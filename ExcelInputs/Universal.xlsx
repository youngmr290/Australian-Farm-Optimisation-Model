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92D6FFEB-A95B-4F58-A0CC-0A74F7826015}" xr6:coauthVersionLast="47" xr6:coauthVersionMax="47" xr10:uidLastSave="{00000000-0000-0000-0000-000000000000}"/>
  <bookViews>
    <workbookView xWindow="-28920" yWindow="-16320" windowWidth="29040" windowHeight="15720" tabRatio="625"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6" i="17" l="1"/>
  <c r="H49" i="17"/>
  <c r="J45" i="17"/>
  <c r="I45" i="17"/>
  <c r="H48" i="17"/>
  <c r="L37" i="20" l="1"/>
  <c r="L53" i="20"/>
  <c r="N52" i="20"/>
  <c r="M52" i="20"/>
  <c r="G60" i="17"/>
  <c r="H52" i="17"/>
  <c r="H51" i="17"/>
  <c r="H50" i="17"/>
  <c r="H47" i="17"/>
  <c r="H43" i="17"/>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Z952" i="24"/>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68" i="24" l="1"/>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<sst xmlns="http://schemas.openxmlformats.org/spreadsheetml/2006/main" count="6207" uniqueCount="3544">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</sst>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abSelected="1" topLeftCell="A22" workbookViewId="0">
      <selection activeCell="F44" sqref="F4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3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3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56" outlineLevel="3" x14ac:dyDescent="0.3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3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3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3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15" customHeight="1" outlineLevel="3" x14ac:dyDescent="0.3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15" customHeight="1" outlineLevel="2" x14ac:dyDescent="0.3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15" customHeight="1" outlineLevel="1" x14ac:dyDescent="0.3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15" customHeight="1" x14ac:dyDescent="0.3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3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3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15" customHeight="1" outlineLevel="1" thickBot="1" x14ac:dyDescent="0.4">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x14ac:dyDescent="0.3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35">
      <c r="A37" s="7"/>
      <c r="B37" s="8"/>
      <c r="C37" s="13"/>
      <c r="D37" s="13"/>
      <c r="E37" s="13" t="s">
        <v>87</v>
      </c>
      <c r="F37" s="14"/>
      <c r="G37" s="15" t="s">
        <v>3527</v>
      </c>
      <c r="H37" s="14"/>
      <c r="I37" s="14" t="s">
        <v>3528</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8"/>
      <c r="E40" s="18"/>
      <c r="F40" s="18"/>
      <c r="G40" s="18"/>
      <c r="H40" s="18"/>
      <c r="I40" s="18" t="s">
        <v>3529</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t="s">
        <v>3530</v>
      </c>
      <c r="H42" s="18" t="s">
        <v>3531</v>
      </c>
      <c r="I42" s="18" t="s">
        <v>3532</v>
      </c>
      <c r="J42" s="18" t="s">
        <v>3533</v>
      </c>
      <c r="K42" s="18" t="s">
        <v>3534</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7"/>
      <c r="G44" s="523" t="s">
        <v>3539</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7"/>
      <c r="G45" s="523" t="s">
        <v>3540</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7"/>
      <c r="G46" s="523" t="s">
        <v>3543</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7"/>
      <c r="G48" s="523" t="s">
        <v>3541</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7"/>
      <c r="G49" s="523" t="s">
        <v>3542</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7"/>
      <c r="G51" s="627" t="s">
        <v>2935</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7"/>
      <c r="G52" s="627" t="s">
        <v>2569</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15" customHeight="1" outlineLevel="1" x14ac:dyDescent="0.3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4" customHeight="1" outlineLevel="1" x14ac:dyDescent="0.3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3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35"/>
    <row r="64" spans="1:68" x14ac:dyDescent="0.35">
      <c r="G64" t="s">
        <v>2318</v>
      </c>
      <c r="I64" t="s">
        <v>2319</v>
      </c>
      <c r="K64" t="s">
        <v>2727</v>
      </c>
      <c r="M64" t="s">
        <v>2728</v>
      </c>
    </row>
    <row r="65" spans="7:13" x14ac:dyDescent="0.35">
      <c r="G65" s="338" t="s">
        <v>4</v>
      </c>
      <c r="I65" s="338" t="s">
        <v>2320</v>
      </c>
      <c r="K65" s="338" t="s">
        <v>45</v>
      </c>
      <c r="M65" s="432" t="s">
        <v>2729</v>
      </c>
    </row>
    <row r="66" spans="7:13" x14ac:dyDescent="0.35">
      <c r="G66" s="339" t="s">
        <v>2312</v>
      </c>
      <c r="I66" s="339" t="s">
        <v>2586</v>
      </c>
      <c r="K66" s="339" t="s">
        <v>2936</v>
      </c>
      <c r="M66" s="433" t="s">
        <v>2730</v>
      </c>
    </row>
    <row r="67" spans="7:13" ht="43.5" x14ac:dyDescent="0.35">
      <c r="G67" s="339" t="s">
        <v>10</v>
      </c>
      <c r="I67" s="339" t="s">
        <v>4</v>
      </c>
      <c r="K67" s="339" t="s">
        <v>2719</v>
      </c>
      <c r="M67" s="433" t="s">
        <v>2731</v>
      </c>
    </row>
    <row r="68" spans="7:13" x14ac:dyDescent="0.35">
      <c r="G68" t="s">
        <v>60</v>
      </c>
      <c r="H68" s="343"/>
      <c r="I68" s="339" t="s">
        <v>2312</v>
      </c>
      <c r="K68" s="339" t="s">
        <v>2720</v>
      </c>
      <c r="M68" s="434" t="s">
        <v>2732</v>
      </c>
    </row>
    <row r="69" spans="7:13" x14ac:dyDescent="0.35">
      <c r="G69" s="339" t="s">
        <v>61</v>
      </c>
      <c r="I69" s="339" t="s">
        <v>10</v>
      </c>
      <c r="K69" s="340" t="s">
        <v>2937</v>
      </c>
    </row>
    <row r="70" spans="7:13" x14ac:dyDescent="0.35">
      <c r="G70" s="339" t="s">
        <v>62</v>
      </c>
      <c r="I70" s="339" t="s">
        <v>60</v>
      </c>
    </row>
    <row r="71" spans="7:13" x14ac:dyDescent="0.35">
      <c r="G71" s="339" t="s">
        <v>7</v>
      </c>
      <c r="I71" s="339" t="s">
        <v>61</v>
      </c>
    </row>
    <row r="72" spans="7:13" x14ac:dyDescent="0.35">
      <c r="G72" s="339" t="s">
        <v>3312</v>
      </c>
      <c r="I72" s="339" t="s">
        <v>2321</v>
      </c>
    </row>
    <row r="73" spans="7:13" x14ac:dyDescent="0.35">
      <c r="G73" s="339" t="s">
        <v>3236</v>
      </c>
      <c r="I73" s="339" t="s">
        <v>107</v>
      </c>
    </row>
    <row r="74" spans="7:13" x14ac:dyDescent="0.35">
      <c r="G74" s="339" t="s">
        <v>6</v>
      </c>
      <c r="I74" s="339" t="s">
        <v>62</v>
      </c>
    </row>
    <row r="75" spans="7:13" x14ac:dyDescent="0.35">
      <c r="G75" s="339" t="s">
        <v>2316</v>
      </c>
      <c r="I75" s="339" t="s">
        <v>7</v>
      </c>
    </row>
    <row r="76" spans="7:13" x14ac:dyDescent="0.35">
      <c r="G76" s="339" t="s">
        <v>72</v>
      </c>
      <c r="I76" s="339" t="s">
        <v>3312</v>
      </c>
    </row>
    <row r="77" spans="7:13" x14ac:dyDescent="0.35">
      <c r="G77" s="339" t="s">
        <v>9</v>
      </c>
      <c r="I77" s="339" t="s">
        <v>113</v>
      </c>
    </row>
    <row r="78" spans="7:13" x14ac:dyDescent="0.35">
      <c r="G78" s="339" t="s">
        <v>2315</v>
      </c>
      <c r="I78" s="339" t="s">
        <v>3236</v>
      </c>
    </row>
    <row r="79" spans="7:13" x14ac:dyDescent="0.35">
      <c r="G79" s="339" t="s">
        <v>63</v>
      </c>
      <c r="I79" s="339" t="s">
        <v>6</v>
      </c>
    </row>
    <row r="80" spans="7:13" x14ac:dyDescent="0.35">
      <c r="G80" s="339" t="s">
        <v>5</v>
      </c>
      <c r="I80" s="339" t="s">
        <v>2316</v>
      </c>
    </row>
    <row r="81" spans="7:9" x14ac:dyDescent="0.35">
      <c r="G81" s="339" t="s">
        <v>2314</v>
      </c>
      <c r="I81" s="339" t="s">
        <v>72</v>
      </c>
    </row>
    <row r="82" spans="7:9" x14ac:dyDescent="0.35">
      <c r="G82" s="339" t="s">
        <v>8</v>
      </c>
      <c r="I82" s="339" t="s">
        <v>9</v>
      </c>
    </row>
    <row r="83" spans="7:9" x14ac:dyDescent="0.35">
      <c r="G83" s="340" t="s">
        <v>2313</v>
      </c>
      <c r="I83" s="339" t="s">
        <v>2315</v>
      </c>
    </row>
    <row r="84" spans="7:9" x14ac:dyDescent="0.35">
      <c r="I84" s="339" t="s">
        <v>2322</v>
      </c>
    </row>
    <row r="85" spans="7:9" x14ac:dyDescent="0.35">
      <c r="I85" s="339" t="s">
        <v>2572</v>
      </c>
    </row>
    <row r="86" spans="7:9" x14ac:dyDescent="0.35">
      <c r="I86" s="339" t="s">
        <v>2323</v>
      </c>
    </row>
    <row r="87" spans="7:9" x14ac:dyDescent="0.35">
      <c r="I87" s="339" t="s">
        <v>106</v>
      </c>
    </row>
    <row r="88" spans="7:9" x14ac:dyDescent="0.35">
      <c r="I88" s="339" t="s">
        <v>2324</v>
      </c>
    </row>
    <row r="89" spans="7:9" x14ac:dyDescent="0.35">
      <c r="I89" s="339" t="s">
        <v>108</v>
      </c>
    </row>
    <row r="90" spans="7:9" x14ac:dyDescent="0.35">
      <c r="I90" s="339" t="s">
        <v>63</v>
      </c>
    </row>
    <row r="91" spans="7:9" x14ac:dyDescent="0.35">
      <c r="I91" s="339" t="s">
        <v>5</v>
      </c>
    </row>
    <row r="92" spans="7:9" x14ac:dyDescent="0.35">
      <c r="I92" s="339" t="s">
        <v>2314</v>
      </c>
    </row>
    <row r="93" spans="7:9" x14ac:dyDescent="0.35">
      <c r="I93" s="339" t="s">
        <v>2325</v>
      </c>
    </row>
    <row r="94" spans="7:9" x14ac:dyDescent="0.35">
      <c r="I94" s="339" t="s">
        <v>109</v>
      </c>
    </row>
    <row r="95" spans="7:9" x14ac:dyDescent="0.35">
      <c r="I95" s="339" t="s">
        <v>8</v>
      </c>
    </row>
    <row r="96" spans="7:9" x14ac:dyDescent="0.35">
      <c r="I96"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3042</v>
      </c>
    </row>
    <row r="9" spans="1:3" x14ac:dyDescent="0.35">
      <c r="A9" s="341" t="str">
        <f>General!G65</f>
        <v>b</v>
      </c>
      <c r="B9">
        <v>680</v>
      </c>
      <c r="C9" s="1" t="s">
        <v>2914</v>
      </c>
    </row>
    <row r="10" spans="1:3" x14ac:dyDescent="0.35">
      <c r="A10" s="341" t="str">
        <f>General!G66</f>
        <v>bd</v>
      </c>
      <c r="B10">
        <v>680</v>
      </c>
      <c r="C10" s="1" t="s">
        <v>2914</v>
      </c>
    </row>
    <row r="11" spans="1:3" x14ac:dyDescent="0.35">
      <c r="A11" s="341" t="str">
        <f>General!G67</f>
        <v>f</v>
      </c>
      <c r="B11">
        <v>680</v>
      </c>
      <c r="C11" s="1" t="s">
        <v>2914</v>
      </c>
    </row>
    <row r="12" spans="1:3" x14ac:dyDescent="0.35">
      <c r="A12" s="341" t="str">
        <f>General!G68</f>
        <v>h</v>
      </c>
      <c r="B12">
        <v>680</v>
      </c>
      <c r="C12" s="1" t="s">
        <v>2914</v>
      </c>
    </row>
    <row r="13" spans="1:3" x14ac:dyDescent="0.35">
      <c r="A13" s="341" t="str">
        <f>General!G69</f>
        <v>i</v>
      </c>
      <c r="B13">
        <v>680</v>
      </c>
      <c r="C13" s="1" t="s">
        <v>2914</v>
      </c>
    </row>
    <row r="14" spans="1:3" x14ac:dyDescent="0.35">
      <c r="A14" s="341" t="str">
        <f>General!G70</f>
        <v>k</v>
      </c>
      <c r="B14">
        <v>680</v>
      </c>
      <c r="C14" s="1" t="s">
        <v>2914</v>
      </c>
    </row>
    <row r="15" spans="1:3" x14ac:dyDescent="0.35">
      <c r="A15" s="341" t="str">
        <f>General!G71</f>
        <v>l</v>
      </c>
      <c r="B15">
        <v>680</v>
      </c>
      <c r="C15" s="1" t="s">
        <v>2914</v>
      </c>
    </row>
    <row r="16" spans="1:3" x14ac:dyDescent="0.35">
      <c r="A16" s="341" t="str">
        <f>General!G72</f>
        <v>lf</v>
      </c>
      <c r="B16">
        <v>680</v>
      </c>
      <c r="C16" s="1" t="s">
        <v>2914</v>
      </c>
    </row>
    <row r="17" spans="1:3" x14ac:dyDescent="0.35">
      <c r="A17" s="341" t="str">
        <f>General!G73</f>
        <v>ms</v>
      </c>
      <c r="B17">
        <v>680</v>
      </c>
      <c r="C17" s="1" t="s">
        <v>2914</v>
      </c>
    </row>
    <row r="18" spans="1:3" x14ac:dyDescent="0.35">
      <c r="A18" s="341" t="str">
        <f>General!G74</f>
        <v>o</v>
      </c>
      <c r="B18">
        <v>680</v>
      </c>
      <c r="C18" s="1" t="s">
        <v>2914</v>
      </c>
    </row>
    <row r="19" spans="1:3" x14ac:dyDescent="0.35">
      <c r="A19" s="341" t="str">
        <f>General!G75</f>
        <v>od</v>
      </c>
      <c r="B19">
        <v>680</v>
      </c>
      <c r="C19" s="1" t="s">
        <v>2914</v>
      </c>
    </row>
    <row r="20" spans="1:3" x14ac:dyDescent="0.35">
      <c r="A20" s="341" t="str">
        <f>General!G76</f>
        <v>of</v>
      </c>
      <c r="B20">
        <v>680</v>
      </c>
      <c r="C20" s="1" t="s">
        <v>2914</v>
      </c>
    </row>
    <row r="21" spans="1:3" x14ac:dyDescent="0.35">
      <c r="A21" s="341" t="str">
        <f>General!G77</f>
        <v>r</v>
      </c>
      <c r="B21">
        <v>680</v>
      </c>
      <c r="C21" s="1" t="s">
        <v>2914</v>
      </c>
    </row>
    <row r="22" spans="1:3" x14ac:dyDescent="0.35">
      <c r="A22" s="341" t="str">
        <f>General!G78</f>
        <v>rd</v>
      </c>
      <c r="B22">
        <v>680</v>
      </c>
      <c r="C22" s="1" t="s">
        <v>2914</v>
      </c>
    </row>
    <row r="23" spans="1:3" x14ac:dyDescent="0.35">
      <c r="A23" s="341" t="str">
        <f>General!G79</f>
        <v>v</v>
      </c>
      <c r="B23">
        <v>680</v>
      </c>
      <c r="C23" s="1" t="s">
        <v>2914</v>
      </c>
    </row>
    <row r="24" spans="1:3" x14ac:dyDescent="0.35">
      <c r="A24" s="341" t="str">
        <f>General!G80</f>
        <v>w</v>
      </c>
      <c r="B24">
        <v>680</v>
      </c>
      <c r="C24" s="1" t="s">
        <v>2914</v>
      </c>
    </row>
    <row r="25" spans="1:3" x14ac:dyDescent="0.35">
      <c r="A25" s="341" t="str">
        <f>General!G81</f>
        <v>wd</v>
      </c>
      <c r="B25">
        <v>680</v>
      </c>
      <c r="C25" s="1" t="s">
        <v>2914</v>
      </c>
    </row>
    <row r="26" spans="1:3" x14ac:dyDescent="0.35">
      <c r="A26" s="341" t="str">
        <f>General!G82</f>
        <v>z</v>
      </c>
      <c r="B26">
        <v>680</v>
      </c>
      <c r="C26" s="1" t="s">
        <v>2914</v>
      </c>
    </row>
    <row r="27" spans="1:3" x14ac:dyDescent="0.35">
      <c r="A27" s="341" t="str">
        <f>General!G83</f>
        <v>zd</v>
      </c>
      <c r="B27">
        <v>680</v>
      </c>
      <c r="C27" s="1" t="s">
        <v>2914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2</v>
      </c>
    </row>
    <row r="46" spans="1:11" x14ac:dyDescent="0.35">
      <c r="A46" t="s">
        <v>80</v>
      </c>
      <c r="B46" s="385">
        <f>MIN(364,INT((C46 - DATE(YEAR(C46),1,1))))</f>
        <v>226</v>
      </c>
      <c r="C46" s="4">
        <v>43692</v>
      </c>
    </row>
    <row r="48" spans="1:11" x14ac:dyDescent="0.35">
      <c r="A48" s="1" t="s">
        <v>2275</v>
      </c>
      <c r="B48">
        <v>50</v>
      </c>
      <c r="K48" s="1" t="s">
        <v>2276</v>
      </c>
    </row>
    <row r="49" spans="1:27" x14ac:dyDescent="0.3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3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35">
      <c r="A51" t="s">
        <v>59</v>
      </c>
      <c r="B51" t="s">
        <v>3302</v>
      </c>
      <c r="C51" t="s">
        <v>3304</v>
      </c>
      <c r="D51" t="s">
        <v>2277</v>
      </c>
      <c r="E51" t="s">
        <v>64</v>
      </c>
      <c r="F51" t="s">
        <v>65</v>
      </c>
      <c r="G51" t="s">
        <v>3275</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3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3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3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3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3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3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35">
      <c r="L71"/>
      <c r="M71" t="s">
        <v>3272</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2317</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2223</v>
      </c>
      <c r="B9" s="42">
        <v>0</v>
      </c>
    </row>
    <row r="10" spans="1:2" x14ac:dyDescent="0.35">
      <c r="A10" t="s">
        <v>2224</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3051</v>
      </c>
    </row>
    <row r="19" spans="1:2" ht="29" x14ac:dyDescent="0.35">
      <c r="A19" s="5" t="s">
        <v>3050</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3306</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3303</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3238</v>
      </c>
      <c r="H54" s="28"/>
      <c r="I54" s="41" t="s">
        <v>3237</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3239</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3240</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3241</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3242</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2335</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2327</v>
      </c>
      <c r="K88" t="s">
        <v>2329</v>
      </c>
      <c r="L88" t="s">
        <v>2328</v>
      </c>
      <c r="AC88" s="27"/>
      <c r="AD88" s="27"/>
      <c r="AE88" s="27"/>
      <c r="AF88" s="17"/>
      <c r="AG88" s="9"/>
      <c r="AH88" s="9"/>
      <c r="AI88" s="9"/>
    </row>
    <row r="89" spans="1:35" ht="12" customHeight="1" x14ac:dyDescent="0.3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5" t="s">
        <v>3274</v>
      </c>
      <c r="K11" s="636"/>
      <c r="L11" s="636"/>
      <c r="M11" s="636"/>
      <c r="N11" s="636"/>
      <c r="O11" s="636"/>
      <c r="P11" s="636"/>
      <c r="Q11" s="636"/>
      <c r="R11" s="636"/>
      <c r="S11" s="636"/>
      <c r="T11" s="636"/>
      <c r="U11" s="637"/>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8" t="s">
        <v>3273</v>
      </c>
      <c r="K12" s="639"/>
      <c r="L12" s="639"/>
      <c r="M12" s="639"/>
      <c r="N12" s="639"/>
      <c r="O12" s="639"/>
      <c r="P12" s="639"/>
      <c r="Q12" s="639"/>
      <c r="R12" s="639"/>
      <c r="S12" s="639"/>
      <c r="T12" s="639"/>
      <c r="U12" s="640"/>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3053</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3054</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3055</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3056</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3057</v>
      </c>
      <c r="J35" s="28"/>
      <c r="K35" s="14" t="s">
        <v>3058</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3059</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3060</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3061</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3062</v>
      </c>
      <c r="J54" s="513" t="s">
        <v>3063</v>
      </c>
      <c r="K54" s="513" t="s">
        <v>3064</v>
      </c>
      <c r="L54" s="513" t="s">
        <v>3065</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3066</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3054</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3067</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3068</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3069</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3070</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3071</v>
      </c>
      <c r="I161" s="28" t="s">
        <v>3072</v>
      </c>
      <c r="J161" s="28" t="s">
        <v>3073</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3074</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2320</v>
      </c>
      <c r="I186" s="538" t="s">
        <v>4</v>
      </c>
      <c r="J186" s="538" t="s">
        <v>3075</v>
      </c>
      <c r="K186" s="538" t="s">
        <v>531</v>
      </c>
      <c r="L186" s="539" t="s">
        <v>3076</v>
      </c>
      <c r="M186" s="540" t="s">
        <v>10</v>
      </c>
      <c r="N186" s="540" t="s">
        <v>3077</v>
      </c>
      <c r="O186" s="540" t="s">
        <v>60</v>
      </c>
      <c r="P186" s="541" t="s">
        <v>61</v>
      </c>
      <c r="Q186" s="542" t="s">
        <v>2321</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3078</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3079</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3080</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3081</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3082</v>
      </c>
      <c r="K205" s="21" t="s">
        <v>3083</v>
      </c>
      <c r="L205" s="21" t="s">
        <v>3084</v>
      </c>
      <c r="M205" s="21" t="s">
        <v>3085</v>
      </c>
      <c r="N205" s="21" t="s">
        <v>3086</v>
      </c>
      <c r="O205" s="21" t="s">
        <v>3087</v>
      </c>
      <c r="P205" s="21" t="s">
        <v>3088</v>
      </c>
      <c r="Q205" s="21" t="s">
        <v>3089</v>
      </c>
      <c r="R205" s="21" t="s">
        <v>3090</v>
      </c>
      <c r="S205" s="21" t="s">
        <v>3091</v>
      </c>
      <c r="T205" s="21" t="s">
        <v>3092</v>
      </c>
      <c r="U205" s="21" t="s">
        <v>3093</v>
      </c>
      <c r="V205" s="21" t="s">
        <v>3094</v>
      </c>
      <c r="W205" s="21" t="s">
        <v>3095</v>
      </c>
      <c r="X205" s="21" t="s">
        <v>3096</v>
      </c>
      <c r="Y205" s="21" t="s">
        <v>3097</v>
      </c>
      <c r="Z205" s="21" t="s">
        <v>3098</v>
      </c>
      <c r="AA205" s="21" t="s">
        <v>3099</v>
      </c>
      <c r="AB205" s="21" t="s">
        <v>3100</v>
      </c>
      <c r="AC205" s="21" t="s">
        <v>3101</v>
      </c>
      <c r="AD205" s="21" t="s">
        <v>3102</v>
      </c>
      <c r="AE205" s="21" t="s">
        <v>3103</v>
      </c>
      <c r="AF205" s="21" t="s">
        <v>3104</v>
      </c>
      <c r="AG205" s="21" t="s">
        <v>3105</v>
      </c>
      <c r="AH205" s="21" t="s">
        <v>3106</v>
      </c>
      <c r="AI205" s="21" t="s">
        <v>3107</v>
      </c>
      <c r="AJ205" s="21" t="s">
        <v>3108</v>
      </c>
      <c r="AK205" s="21" t="s">
        <v>3109</v>
      </c>
      <c r="AL205" s="21" t="s">
        <v>3110</v>
      </c>
      <c r="AM205" s="21" t="s">
        <v>3111</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3112</v>
      </c>
      <c r="S206" s="548"/>
      <c r="T206" s="548"/>
      <c r="U206" s="548"/>
      <c r="V206" s="548"/>
      <c r="W206" s="548"/>
      <c r="X206" s="548"/>
      <c r="Y206" s="548"/>
      <c r="Z206" s="548"/>
      <c r="AA206" s="548"/>
      <c r="AB206" s="548"/>
      <c r="AC206" s="548"/>
      <c r="AD206" s="548" t="s">
        <v>400</v>
      </c>
      <c r="AE206" s="548"/>
      <c r="AF206" s="548"/>
      <c r="AG206" s="548"/>
      <c r="AH206" s="548"/>
      <c r="AI206" s="548"/>
      <c r="AJ206" s="548" t="s">
        <v>3113</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3114</v>
      </c>
      <c r="K207" s="550" t="s">
        <v>3115</v>
      </c>
      <c r="L207" s="550" t="s">
        <v>3116</v>
      </c>
      <c r="M207" s="550" t="s">
        <v>3116</v>
      </c>
      <c r="N207" s="550" t="s">
        <v>3116</v>
      </c>
      <c r="O207" s="550" t="s">
        <v>3116</v>
      </c>
      <c r="P207" s="550" t="s">
        <v>3116</v>
      </c>
      <c r="Q207" s="550" t="s">
        <v>3117</v>
      </c>
      <c r="R207" s="550" t="s">
        <v>3118</v>
      </c>
      <c r="S207" s="550" t="s">
        <v>3118</v>
      </c>
      <c r="T207" s="550" t="s">
        <v>3119</v>
      </c>
      <c r="U207" s="550" t="s">
        <v>3119</v>
      </c>
      <c r="V207" s="550" t="s">
        <v>3120</v>
      </c>
      <c r="W207" s="550" t="s">
        <v>3120</v>
      </c>
      <c r="X207" s="550" t="s">
        <v>3121</v>
      </c>
      <c r="Y207" s="550" t="s">
        <v>3121</v>
      </c>
      <c r="Z207" s="550" t="s">
        <v>3122</v>
      </c>
      <c r="AA207" s="550" t="s">
        <v>3122</v>
      </c>
      <c r="AB207" s="550" t="s">
        <v>3123</v>
      </c>
      <c r="AC207" s="550" t="s">
        <v>3123</v>
      </c>
      <c r="AD207" s="550" t="s">
        <v>3124</v>
      </c>
      <c r="AE207" s="550" t="s">
        <v>3125</v>
      </c>
      <c r="AF207" s="550" t="s">
        <v>3126</v>
      </c>
      <c r="AG207" s="550" t="s">
        <v>3127</v>
      </c>
      <c r="AH207" s="550" t="s">
        <v>3127</v>
      </c>
      <c r="AI207" s="550" t="s">
        <v>3128</v>
      </c>
      <c r="AJ207" s="549" t="s">
        <v>3129</v>
      </c>
      <c r="AK207" s="549" t="s">
        <v>3129</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3130</v>
      </c>
      <c r="K208" s="550" t="s">
        <v>3130</v>
      </c>
      <c r="L208" s="550" t="s">
        <v>3130</v>
      </c>
      <c r="M208" s="550" t="s">
        <v>3130</v>
      </c>
      <c r="N208" s="550" t="s">
        <v>3130</v>
      </c>
      <c r="O208" s="550" t="s">
        <v>3130</v>
      </c>
      <c r="P208" s="550" t="s">
        <v>3130</v>
      </c>
      <c r="Q208" s="550" t="s">
        <v>3130</v>
      </c>
      <c r="R208" s="550" t="s">
        <v>3131</v>
      </c>
      <c r="S208" s="550" t="s">
        <v>3132</v>
      </c>
      <c r="T208" s="550" t="s">
        <v>3133</v>
      </c>
      <c r="U208" s="550" t="s">
        <v>3134</v>
      </c>
      <c r="V208" s="550" t="s">
        <v>3135</v>
      </c>
      <c r="W208" s="550" t="s">
        <v>3136</v>
      </c>
      <c r="X208" s="550" t="s">
        <v>3137</v>
      </c>
      <c r="Y208" s="550" t="s">
        <v>3138</v>
      </c>
      <c r="Z208" s="550" t="s">
        <v>3139</v>
      </c>
      <c r="AA208" s="550" t="s">
        <v>3130</v>
      </c>
      <c r="AB208" s="550" t="s">
        <v>3139</v>
      </c>
      <c r="AC208" s="550" t="s">
        <v>3130</v>
      </c>
      <c r="AD208" s="550" t="s">
        <v>3140</v>
      </c>
      <c r="AE208" s="550" t="s">
        <v>3140</v>
      </c>
      <c r="AF208" s="550" t="s">
        <v>3140</v>
      </c>
      <c r="AG208" s="550" t="s">
        <v>3140</v>
      </c>
      <c r="AH208" s="550" t="s">
        <v>3141</v>
      </c>
      <c r="AI208" s="550" t="s">
        <v>3140</v>
      </c>
      <c r="AJ208" s="550" t="s">
        <v>3142</v>
      </c>
      <c r="AK208" s="550" t="s">
        <v>3141</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3143</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3144</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3145</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3145</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3146</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3147</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3148</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3149</v>
      </c>
      <c r="I221" s="25"/>
      <c r="J221" s="558" t="s">
        <v>2327</v>
      </c>
      <c r="K221" s="558" t="s">
        <v>2327</v>
      </c>
      <c r="L221" s="558" t="s">
        <v>2327</v>
      </c>
      <c r="M221" s="558" t="s">
        <v>2327</v>
      </c>
      <c r="N221" s="558" t="s">
        <v>2327</v>
      </c>
      <c r="O221" s="558" t="s">
        <v>2327</v>
      </c>
      <c r="P221" s="558" t="s">
        <v>2327</v>
      </c>
      <c r="Q221" s="558" t="s">
        <v>2327</v>
      </c>
      <c r="R221" s="558" t="s">
        <v>3150</v>
      </c>
      <c r="S221" s="558" t="s">
        <v>2327</v>
      </c>
      <c r="T221" s="558" t="s">
        <v>3150</v>
      </c>
      <c r="U221" s="558" t="s">
        <v>2327</v>
      </c>
      <c r="V221" s="558" t="s">
        <v>3150</v>
      </c>
      <c r="W221" s="558" t="s">
        <v>2327</v>
      </c>
      <c r="X221" s="558" t="s">
        <v>3150</v>
      </c>
      <c r="Y221" s="558" t="s">
        <v>2327</v>
      </c>
      <c r="Z221" s="558" t="s">
        <v>3150</v>
      </c>
      <c r="AA221" s="558" t="s">
        <v>2327</v>
      </c>
      <c r="AB221" s="558" t="s">
        <v>3150</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35">
      <c r="A222" s="7"/>
      <c r="B222" s="8"/>
      <c r="C222" s="18"/>
      <c r="D222" s="18"/>
      <c r="E222" s="18"/>
      <c r="F222" s="24"/>
      <c r="G222" s="25"/>
      <c r="H222" s="25" t="s">
        <v>3151</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3152</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3153</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3154</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3155</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3156</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3157</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3158</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3159</v>
      </c>
      <c r="I230" s="634" t="s">
        <v>3160</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3161</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3162</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3163</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3164</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3165</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3166</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3167</v>
      </c>
      <c r="I239" s="16" t="s">
        <v>3168</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3169</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3170</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3171</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3172</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3173</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3174</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3175</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3176</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3177</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3178</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3179</v>
      </c>
      <c r="I251" s="570" t="s">
        <v>3170</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3171</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3172</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3173</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3174</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3175</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3180</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3181</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3156</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3157</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3182</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3159</v>
      </c>
      <c r="I263" s="634" t="s">
        <v>3160</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3161</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3162</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3183</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3184</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3185</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3186</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3187</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3188</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3189</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3190</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3191</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3192</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3193</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3194</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3195</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3196</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3197</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3198</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3199</v>
      </c>
      <c r="AR296" s="9"/>
    </row>
    <row r="297" spans="1:44" customFormat="1" ht="12" customHeight="1" outlineLevel="1" x14ac:dyDescent="0.35">
      <c r="A297" s="7"/>
      <c r="B297" s="8"/>
      <c r="C297" s="18"/>
      <c r="D297" s="18"/>
      <c r="E297" s="18"/>
      <c r="F297" s="24"/>
      <c r="G297" s="25"/>
      <c r="H297" s="41" t="s">
        <v>3200</v>
      </c>
      <c r="I297" s="580" t="s">
        <v>3201</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3202</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3203</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3204</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3205</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3206</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3207</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3208</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3209</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3210</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3211</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3212</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3213</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3214</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3215</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3216</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3217</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3218</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3219</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3220</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3221</v>
      </c>
      <c r="H320" s="28"/>
      <c r="I320" s="583" t="s">
        <v>3222</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3075</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3223</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2327</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2329</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2328</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41" t="s">
        <v>2201</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2" t="s">
        <v>2200</v>
      </c>
      <c r="K12" s="643"/>
      <c r="L12" s="643"/>
      <c r="M12" s="643"/>
      <c r="N12" s="643"/>
      <c r="O12" s="643"/>
      <c r="P12" s="643"/>
      <c r="Q12" s="643"/>
      <c r="R12" s="643"/>
      <c r="S12" s="643"/>
      <c r="T12" s="643"/>
      <c r="U12" s="643"/>
      <c r="V12" s="643"/>
      <c r="W12" s="643"/>
      <c r="X12" s="644"/>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166" activePane="bottomLeft" state="frozen"/>
      <selection pane="bottomLeft" activeCell="X186" activeCellId="2" sqref="AC186:AD186 Z186:AA186 X186"/>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collapsed="1"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collapsed="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hidden="1"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45582.576862152797</v>
      </c>
      <c r="J11" s="645" t="s">
        <v>3307</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45843.562885416701</v>
      </c>
      <c r="J12" s="642" t="s">
        <v>3526</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x14ac:dyDescent="0.3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3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3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3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3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collapsed="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hidden="1"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hidden="1"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3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35">
      <c r="A94" s="45"/>
      <c r="B94" s="54"/>
      <c r="C94" s="87">
        <f>INT($C$81)+2</f>
        <v>3</v>
      </c>
      <c r="D94" s="73"/>
      <c r="E94" s="70"/>
      <c r="F94" s="70"/>
      <c r="G94" s="73"/>
      <c r="H94" s="76"/>
      <c r="I94" s="95" t="s">
        <v>3308</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3265</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3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3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3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3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3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3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3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3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3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3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3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3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3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3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3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3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3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3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5" t="s">
        <v>3264</v>
      </c>
      <c r="J114" s="119"/>
      <c r="K114" s="119"/>
      <c r="L114" s="119"/>
      <c r="M114" s="119"/>
      <c r="N114" s="119" t="s">
        <v>197</v>
      </c>
      <c r="O114" s="119"/>
      <c r="P114" s="119"/>
      <c r="Q114" s="602" t="s">
        <v>3263</v>
      </c>
      <c r="R114" s="602"/>
      <c r="S114" s="602"/>
      <c r="T114" s="602"/>
      <c r="U114" s="602"/>
      <c r="V114" s="602"/>
      <c r="W114" s="602"/>
      <c r="X114" s="602"/>
      <c r="Y114" s="119" t="s">
        <v>2205</v>
      </c>
      <c r="Z114" s="119"/>
      <c r="AA114" s="119"/>
      <c r="AB114" s="119"/>
      <c r="AC114" s="119"/>
      <c r="AD114" s="119"/>
      <c r="AE114" s="76"/>
      <c r="AF114" s="119" t="s">
        <v>3262</v>
      </c>
      <c r="AG114" s="119"/>
      <c r="AH114" s="119"/>
      <c r="AI114" s="119"/>
      <c r="AJ114" s="119"/>
      <c r="AK114" s="76"/>
      <c r="AL114" s="76"/>
      <c r="AM114" s="76"/>
      <c r="AN114" s="73"/>
      <c r="AO114" s="57"/>
      <c r="AP114" s="45"/>
      <c r="AQ114" s="45"/>
      <c r="AR114" s="45"/>
      <c r="AS114" s="441"/>
      <c r="AT114" s="441"/>
    </row>
    <row r="115" spans="1:59" ht="15.5"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3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3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3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3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3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3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3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3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3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3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3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3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3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35">
      <c r="A135" s="45"/>
      <c r="B135" s="54"/>
      <c r="C135" s="87">
        <f>INT($C$81)+1</f>
        <v>2</v>
      </c>
      <c r="D135" s="73"/>
      <c r="E135" s="70"/>
      <c r="F135" s="70"/>
      <c r="G135" s="73"/>
      <c r="H135" s="90" t="s">
        <v>3261</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35">
      <c r="A137" s="45"/>
      <c r="B137" s="54"/>
      <c r="C137" s="87">
        <f t="shared" ref="C137:C146" si="31">INT($C$81+3)</f>
        <v>4</v>
      </c>
      <c r="D137" s="73"/>
      <c r="E137" s="70"/>
      <c r="F137" s="70"/>
      <c r="G137" s="73"/>
      <c r="H137" s="246" t="s">
        <v>3260</v>
      </c>
      <c r="I137" s="76" t="s">
        <v>2805</v>
      </c>
      <c r="J137" s="76" t="s">
        <v>2806</v>
      </c>
      <c r="K137" s="76" t="s">
        <v>3259</v>
      </c>
      <c r="L137" s="76"/>
      <c r="M137" s="76"/>
      <c r="N137" s="76"/>
      <c r="O137" s="76"/>
      <c r="P137" s="246" t="s">
        <v>3258</v>
      </c>
      <c r="Q137" s="76"/>
      <c r="R137" s="76" t="s">
        <v>3257</v>
      </c>
      <c r="S137" s="76" t="s">
        <v>3256</v>
      </c>
      <c r="T137" s="76" t="s">
        <v>3255</v>
      </c>
      <c r="U137" s="76" t="s">
        <v>3254</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35">
      <c r="A138" s="45"/>
      <c r="B138" s="54"/>
      <c r="C138" s="87">
        <f t="shared" si="31"/>
        <v>4</v>
      </c>
      <c r="D138" s="73"/>
      <c r="E138" s="70"/>
      <c r="F138" s="70"/>
      <c r="G138" s="73"/>
      <c r="H138" s="76" t="s">
        <v>3253</v>
      </c>
      <c r="I138" s="599">
        <v>-0.10100000000000001</v>
      </c>
      <c r="J138" s="599">
        <v>0</v>
      </c>
      <c r="K138" s="598">
        <v>0</v>
      </c>
      <c r="L138" s="76"/>
      <c r="M138" s="76"/>
      <c r="N138" s="76"/>
      <c r="O138" s="76"/>
      <c r="P138" s="76" t="s">
        <v>3253</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35">
      <c r="A139" s="45"/>
      <c r="B139" s="54"/>
      <c r="C139" s="87">
        <f t="shared" si="31"/>
        <v>4</v>
      </c>
      <c r="D139" s="73"/>
      <c r="E139" s="70"/>
      <c r="F139" s="70"/>
      <c r="G139" s="73"/>
      <c r="H139" s="76" t="s">
        <v>3252</v>
      </c>
      <c r="I139" s="599">
        <v>0</v>
      </c>
      <c r="J139" s="599">
        <v>0.113</v>
      </c>
      <c r="K139" s="598">
        <v>5.9005989731888203E-3</v>
      </c>
      <c r="L139" s="76"/>
      <c r="M139" s="76"/>
      <c r="N139" s="76"/>
      <c r="O139" s="76"/>
      <c r="P139" s="76" t="s">
        <v>3252</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35">
      <c r="A140" s="45"/>
      <c r="B140" s="54"/>
      <c r="C140" s="87">
        <f t="shared" si="31"/>
        <v>4</v>
      </c>
      <c r="D140" s="73"/>
      <c r="E140" s="70"/>
      <c r="F140" s="70"/>
      <c r="G140" s="73"/>
      <c r="H140" s="76" t="s">
        <v>3251</v>
      </c>
      <c r="I140" s="599">
        <v>-6.0999999999999999E-2</v>
      </c>
      <c r="J140" s="599">
        <v>5.1999999999999998E-2</v>
      </c>
      <c r="K140" s="598">
        <v>3.5107296137339059E-3</v>
      </c>
      <c r="L140" s="76"/>
      <c r="M140" s="76"/>
      <c r="N140" s="76"/>
      <c r="O140" s="76"/>
      <c r="P140" s="76" t="s">
        <v>3251</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35">
      <c r="A141" s="45"/>
      <c r="B141" s="54"/>
      <c r="C141" s="87">
        <f t="shared" si="31"/>
        <v>4</v>
      </c>
      <c r="D141" s="73"/>
      <c r="E141" s="70"/>
      <c r="F141" s="70"/>
      <c r="G141" s="73"/>
      <c r="H141" s="76" t="s">
        <v>3250</v>
      </c>
      <c r="I141" s="356">
        <v>47.809731093905945</v>
      </c>
      <c r="J141" s="365">
        <v>4566.4973039173738</v>
      </c>
      <c r="K141" s="356">
        <v>45.892351332455597</v>
      </c>
      <c r="L141" s="76"/>
      <c r="M141" s="76"/>
      <c r="N141" s="76"/>
      <c r="O141" s="76"/>
      <c r="P141" s="76" t="s">
        <v>3250</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35">
      <c r="A142" s="45"/>
      <c r="B142" s="54"/>
      <c r="C142" s="87">
        <f t="shared" si="31"/>
        <v>4</v>
      </c>
      <c r="D142" s="73"/>
      <c r="E142" s="70"/>
      <c r="F142" s="70"/>
      <c r="G142" s="73"/>
      <c r="H142" s="76" t="s">
        <v>3249</v>
      </c>
      <c r="I142" s="442">
        <v>-0.22538711253423788</v>
      </c>
      <c r="J142" s="596">
        <v>-0.50483440440253269</v>
      </c>
      <c r="K142" s="596">
        <v>-0.22213692403040283</v>
      </c>
      <c r="L142" s="76"/>
      <c r="M142" s="76"/>
      <c r="N142" s="76"/>
      <c r="O142" s="76"/>
      <c r="P142" s="76" t="s">
        <v>3249</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3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35">
      <c r="A144" s="45"/>
      <c r="B144" s="54"/>
      <c r="C144" s="87">
        <f t="shared" si="31"/>
        <v>4</v>
      </c>
      <c r="D144" s="73"/>
      <c r="E144" s="70"/>
      <c r="F144" s="70"/>
      <c r="G144" s="73"/>
      <c r="H144" s="76" t="s">
        <v>3248</v>
      </c>
      <c r="I144" s="76">
        <v>35</v>
      </c>
      <c r="J144" s="76"/>
      <c r="K144" s="76"/>
      <c r="L144" s="76"/>
      <c r="M144" s="76"/>
      <c r="N144" s="76"/>
      <c r="O144" s="76"/>
      <c r="P144" s="76" t="s">
        <v>3247</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35">
      <c r="A145" s="45"/>
      <c r="B145" s="54"/>
      <c r="C145" s="87">
        <f t="shared" si="31"/>
        <v>4</v>
      </c>
      <c r="D145" s="73"/>
      <c r="E145" s="70"/>
      <c r="F145" s="70"/>
      <c r="G145" s="73"/>
      <c r="H145" s="76"/>
      <c r="I145" s="76"/>
      <c r="J145" s="76"/>
      <c r="K145" s="76"/>
      <c r="L145" s="76"/>
      <c r="M145" s="76"/>
      <c r="N145" s="76"/>
      <c r="O145" s="76"/>
      <c r="P145" s="76" t="s">
        <v>3246</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35">
      <c r="A146" s="45"/>
      <c r="B146" s="54"/>
      <c r="C146" s="87">
        <f t="shared" si="31"/>
        <v>4</v>
      </c>
      <c r="D146" s="73"/>
      <c r="E146" s="70"/>
      <c r="F146" s="70"/>
      <c r="G146" s="73"/>
      <c r="H146" s="76" t="s">
        <v>196</v>
      </c>
      <c r="I146" s="595" t="s">
        <v>3245</v>
      </c>
      <c r="J146" s="119"/>
      <c r="K146" s="119"/>
      <c r="L146" s="119"/>
      <c r="M146" s="119"/>
      <c r="N146" s="119"/>
      <c r="O146" s="76"/>
      <c r="P146" s="76" t="s">
        <v>196</v>
      </c>
      <c r="Q146" s="76"/>
      <c r="R146" s="595" t="s">
        <v>3244</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3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3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3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3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3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3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3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collapsed="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hidden="1"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hidden="1"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idden="1"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3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3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3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3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39">Z$189</f>
        <v>0.63909774436090228</v>
      </c>
      <c r="AA186" s="593">
        <f t="shared" si="39"/>
        <v>0.85964912280701755</v>
      </c>
      <c r="AB186" s="96">
        <v>1</v>
      </c>
      <c r="AC186" s="593">
        <f t="shared" si="39"/>
        <v>1.2656641604010026</v>
      </c>
      <c r="AD186" s="593">
        <f t="shared" si="39"/>
        <v>1.5563909774436091</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3.6661218629701886</v>
      </c>
      <c r="BA186" s="326">
        <f t="shared" ca="1" si="37"/>
        <v>3.6661218629701886</v>
      </c>
      <c r="BD186" s="326">
        <f ca="1">50*0.44*AZ186</f>
        <v>80.654680985344143</v>
      </c>
      <c r="BE186" t="s">
        <v>2309</v>
      </c>
    </row>
    <row r="187" spans="1:58" outlineLevel="3" x14ac:dyDescent="0.3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3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3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3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3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3243</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35">
      <c r="A199" s="45"/>
      <c r="B199" s="54"/>
      <c r="C199" s="87">
        <f t="shared" ref="C199:C205" si="40">INT($C$167)+3</f>
        <v>4</v>
      </c>
      <c r="D199" s="73"/>
      <c r="E199" s="70">
        <f t="shared" ref="E199:F205" si="41">E198</f>
        <v>0</v>
      </c>
      <c r="F199" s="70">
        <f t="shared" si="41"/>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35">
      <c r="A200" s="45"/>
      <c r="B200" s="54"/>
      <c r="C200" s="87">
        <f t="shared" si="40"/>
        <v>4</v>
      </c>
      <c r="D200" s="73"/>
      <c r="E200" s="70">
        <f t="shared" si="41"/>
        <v>0</v>
      </c>
      <c r="F200" s="70">
        <f t="shared" si="41"/>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35">
      <c r="A201" s="45"/>
      <c r="B201" s="54"/>
      <c r="C201" s="87">
        <f t="shared" si="40"/>
        <v>4</v>
      </c>
      <c r="D201" s="73"/>
      <c r="E201" s="70">
        <f t="shared" si="41"/>
        <v>0</v>
      </c>
      <c r="F201" s="70">
        <f t="shared" si="41"/>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35">
      <c r="A202" s="45"/>
      <c r="B202" s="54"/>
      <c r="C202" s="87">
        <f t="shared" si="40"/>
        <v>4</v>
      </c>
      <c r="D202" s="73"/>
      <c r="E202" s="70">
        <f t="shared" si="41"/>
        <v>0</v>
      </c>
      <c r="F202" s="70">
        <f t="shared" si="41"/>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35">
      <c r="A203" s="45"/>
      <c r="B203" s="54"/>
      <c r="C203" s="87">
        <f t="shared" si="40"/>
        <v>4</v>
      </c>
      <c r="D203" s="73"/>
      <c r="E203" s="70">
        <f t="shared" si="41"/>
        <v>0</v>
      </c>
      <c r="F203" s="70">
        <f t="shared" si="41"/>
        <v>0</v>
      </c>
      <c r="G203" s="73"/>
      <c r="H203" s="76"/>
      <c r="I203" s="173">
        <f t="shared" ref="I203:N204" si="42">I202</f>
        <v>31.1</v>
      </c>
      <c r="J203" s="448">
        <f t="shared" si="42"/>
        <v>4</v>
      </c>
      <c r="K203" s="449">
        <f t="shared" si="42"/>
        <v>5</v>
      </c>
      <c r="L203" s="449">
        <f t="shared" si="42"/>
        <v>5</v>
      </c>
      <c r="M203" s="449">
        <f t="shared" si="42"/>
        <v>5</v>
      </c>
      <c r="N203" s="450">
        <f t="shared" si="42"/>
        <v>3.6</v>
      </c>
      <c r="O203" s="447">
        <v>0</v>
      </c>
      <c r="P203" s="174"/>
      <c r="Q203" s="392">
        <f t="shared" ref="Q203:U204" si="43">Q202</f>
        <v>0.87644444444444447</v>
      </c>
      <c r="R203" s="393">
        <f t="shared" si="43"/>
        <v>0.75088954500719218</v>
      </c>
      <c r="S203" s="393">
        <f t="shared" si="43"/>
        <v>0.75088954500719218</v>
      </c>
      <c r="T203" s="393">
        <f t="shared" si="43"/>
        <v>0.75088954500719218</v>
      </c>
      <c r="U203" s="394">
        <f t="shared" si="43"/>
        <v>0.94890510948905105</v>
      </c>
      <c r="V203" s="175">
        <v>0</v>
      </c>
      <c r="W203" s="174"/>
      <c r="X203" s="392">
        <f t="shared" ref="X203:AB204" si="44">X202</f>
        <v>0.8666666666666667</v>
      </c>
      <c r="Y203" s="393">
        <f t="shared" si="44"/>
        <v>1</v>
      </c>
      <c r="Z203" s="393">
        <f t="shared" si="44"/>
        <v>1</v>
      </c>
      <c r="AA203" s="393">
        <f t="shared" si="44"/>
        <v>1</v>
      </c>
      <c r="AB203" s="394">
        <f t="shared" si="44"/>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35">
      <c r="A204" s="45"/>
      <c r="B204" s="54"/>
      <c r="C204" s="87">
        <f t="shared" si="40"/>
        <v>4</v>
      </c>
      <c r="D204" s="73"/>
      <c r="E204" s="70">
        <f t="shared" si="41"/>
        <v>0</v>
      </c>
      <c r="F204" s="70">
        <f t="shared" si="41"/>
        <v>0</v>
      </c>
      <c r="G204" s="73"/>
      <c r="H204" s="76"/>
      <c r="I204" s="173">
        <f t="shared" si="42"/>
        <v>31.1</v>
      </c>
      <c r="J204" s="451">
        <f t="shared" si="42"/>
        <v>4</v>
      </c>
      <c r="K204" s="452">
        <f t="shared" si="42"/>
        <v>5</v>
      </c>
      <c r="L204" s="452">
        <f t="shared" si="42"/>
        <v>5</v>
      </c>
      <c r="M204" s="452">
        <f t="shared" si="42"/>
        <v>5</v>
      </c>
      <c r="N204" s="453">
        <f t="shared" si="42"/>
        <v>3.6</v>
      </c>
      <c r="O204" s="447">
        <v>0</v>
      </c>
      <c r="P204" s="174"/>
      <c r="Q204" s="395">
        <f t="shared" si="43"/>
        <v>0.87644444444444447</v>
      </c>
      <c r="R204" s="396">
        <f t="shared" si="43"/>
        <v>0.75088954500719218</v>
      </c>
      <c r="S204" s="396">
        <f t="shared" si="43"/>
        <v>0.75088954500719218</v>
      </c>
      <c r="T204" s="396">
        <f t="shared" si="43"/>
        <v>0.75088954500719218</v>
      </c>
      <c r="U204" s="397">
        <f t="shared" si="43"/>
        <v>0.94890510948905105</v>
      </c>
      <c r="V204" s="175">
        <v>0</v>
      </c>
      <c r="W204" s="174"/>
      <c r="X204" s="395">
        <f t="shared" si="44"/>
        <v>0.8666666666666667</v>
      </c>
      <c r="Y204" s="396">
        <f t="shared" si="44"/>
        <v>1</v>
      </c>
      <c r="Z204" s="396">
        <f t="shared" si="44"/>
        <v>1</v>
      </c>
      <c r="AA204" s="396">
        <f t="shared" si="44"/>
        <v>1</v>
      </c>
      <c r="AB204" s="397">
        <f t="shared" si="44"/>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35">
      <c r="A205" s="45"/>
      <c r="B205" s="54"/>
      <c r="C205" s="87">
        <f t="shared" si="40"/>
        <v>4</v>
      </c>
      <c r="D205" s="73"/>
      <c r="E205" s="70">
        <f t="shared" si="41"/>
        <v>0</v>
      </c>
      <c r="F205" s="70">
        <f t="shared" si="41"/>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35">
      <c r="A207" s="45"/>
      <c r="B207" s="54"/>
      <c r="C207" s="87">
        <f t="shared" ref="C207:C213" si="45">INT($C$167)+3</f>
        <v>4</v>
      </c>
      <c r="D207" s="73"/>
      <c r="E207" s="70"/>
      <c r="F207" s="70">
        <f t="shared" ref="F207:F213" si="46">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35">
      <c r="A208" s="45"/>
      <c r="B208" s="54"/>
      <c r="C208" s="87">
        <f t="shared" si="45"/>
        <v>4</v>
      </c>
      <c r="D208" s="73"/>
      <c r="E208" s="70"/>
      <c r="F208" s="70">
        <f t="shared" si="46"/>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35">
      <c r="A209" s="45"/>
      <c r="B209" s="54"/>
      <c r="C209" s="87">
        <f t="shared" si="45"/>
        <v>4</v>
      </c>
      <c r="D209" s="73"/>
      <c r="E209" s="70"/>
      <c r="F209" s="70">
        <f t="shared" si="46"/>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35">
      <c r="A210" s="45"/>
      <c r="B210" s="54"/>
      <c r="C210" s="87">
        <f t="shared" si="45"/>
        <v>4</v>
      </c>
      <c r="D210" s="73"/>
      <c r="E210" s="70"/>
      <c r="F210" s="70">
        <f t="shared" si="46"/>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5"/>
        <v>4</v>
      </c>
      <c r="D211" s="73"/>
      <c r="E211" s="70"/>
      <c r="F211" s="70">
        <f t="shared" si="46"/>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5"/>
        <v>4</v>
      </c>
      <c r="D212" s="73"/>
      <c r="E212" s="70"/>
      <c r="F212" s="70">
        <f t="shared" si="46"/>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5"/>
        <v>4</v>
      </c>
      <c r="D213" s="73"/>
      <c r="E213" s="70"/>
      <c r="F213" s="70">
        <f t="shared" si="46"/>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7">INT($C$167)+3</f>
        <v>4</v>
      </c>
      <c r="D215" s="73"/>
      <c r="E215" s="70"/>
      <c r="F215" s="70">
        <f t="shared" ref="F215:F221" si="48">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7"/>
        <v>4</v>
      </c>
      <c r="D216" s="73"/>
      <c r="E216" s="70"/>
      <c r="F216" s="70">
        <f t="shared" si="48"/>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7"/>
        <v>4</v>
      </c>
      <c r="D217" s="73"/>
      <c r="E217" s="70"/>
      <c r="F217" s="70">
        <f t="shared" si="48"/>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7"/>
        <v>4</v>
      </c>
      <c r="D218" s="73"/>
      <c r="E218" s="70"/>
      <c r="F218" s="70">
        <f t="shared" si="48"/>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7"/>
        <v>4</v>
      </c>
      <c r="D219" s="73"/>
      <c r="E219" s="70"/>
      <c r="F219" s="70">
        <f t="shared" si="48"/>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35">
      <c r="A220" s="45"/>
      <c r="B220" s="54"/>
      <c r="C220" s="87">
        <f t="shared" si="47"/>
        <v>4</v>
      </c>
      <c r="D220" s="73"/>
      <c r="E220" s="70"/>
      <c r="F220" s="70">
        <f t="shared" si="48"/>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35">
      <c r="A221" s="45"/>
      <c r="B221" s="54"/>
      <c r="C221" s="87">
        <f t="shared" si="47"/>
        <v>4</v>
      </c>
      <c r="D221" s="73"/>
      <c r="E221" s="70"/>
      <c r="F221" s="70">
        <f t="shared" si="48"/>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49">I246</f>
        <v>10.1</v>
      </c>
      <c r="J222" s="444">
        <f t="shared" si="49"/>
        <v>3</v>
      </c>
      <c r="K222" s="445">
        <f t="shared" si="49"/>
        <v>3</v>
      </c>
      <c r="L222" s="445">
        <f t="shared" si="49"/>
        <v>3</v>
      </c>
      <c r="M222" s="445">
        <f t="shared" si="49"/>
        <v>3</v>
      </c>
      <c r="N222" s="446">
        <f t="shared" si="49"/>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35">
      <c r="A223" s="45"/>
      <c r="B223" s="54"/>
      <c r="C223" s="87">
        <f t="shared" ref="C223:C229" si="50">INT($C$167)+3</f>
        <v>4</v>
      </c>
      <c r="D223" s="73"/>
      <c r="E223" s="70"/>
      <c r="F223" s="70">
        <f t="shared" ref="F223:F229" si="51">F222</f>
        <v>3</v>
      </c>
      <c r="G223" s="73"/>
      <c r="H223" s="176" t="str">
        <f>INDEX($M$175:$M$177,INDEX(i_salep_price_type_s7,$F223+1,1)+1,1)&amp;INDEX($L$175:$L$177,INDEX(ia_s8_s7,$F223+1,1)+1,1)</f>
        <v>$/kg DW, DW - Fat score</v>
      </c>
      <c r="I223" s="173">
        <f t="shared" si="49"/>
        <v>14.1</v>
      </c>
      <c r="J223" s="448">
        <f t="shared" si="49"/>
        <v>4.4000000000000004</v>
      </c>
      <c r="K223" s="449">
        <f t="shared" si="49"/>
        <v>4.4000000000000004</v>
      </c>
      <c r="L223" s="449">
        <f t="shared" si="49"/>
        <v>4.4000000000000004</v>
      </c>
      <c r="M223" s="449">
        <f t="shared" si="49"/>
        <v>4.4000000000000004</v>
      </c>
      <c r="N223" s="450">
        <f t="shared" si="49"/>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50"/>
        <v>4</v>
      </c>
      <c r="D224" s="73"/>
      <c r="E224" s="70"/>
      <c r="F224" s="70">
        <f t="shared" si="51"/>
        <v>3</v>
      </c>
      <c r="G224" s="73"/>
      <c r="H224" s="179" t="s">
        <v>256</v>
      </c>
      <c r="I224" s="173">
        <f t="shared" si="49"/>
        <v>18.100000000000001</v>
      </c>
      <c r="J224" s="448">
        <f t="shared" si="49"/>
        <v>5</v>
      </c>
      <c r="K224" s="449">
        <f t="shared" si="49"/>
        <v>5.2</v>
      </c>
      <c r="L224" s="449">
        <f t="shared" si="49"/>
        <v>5.2</v>
      </c>
      <c r="M224" s="449">
        <f t="shared" si="49"/>
        <v>5.2</v>
      </c>
      <c r="N224" s="450">
        <f t="shared" si="49"/>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50"/>
        <v>4</v>
      </c>
      <c r="D225" s="73"/>
      <c r="E225" s="70"/>
      <c r="F225" s="70">
        <f t="shared" si="51"/>
        <v>3</v>
      </c>
      <c r="G225" s="73"/>
      <c r="H225" s="76"/>
      <c r="I225" s="173">
        <f t="shared" si="49"/>
        <v>35.1</v>
      </c>
      <c r="J225" s="448">
        <f t="shared" si="49"/>
        <v>4.5</v>
      </c>
      <c r="K225" s="449">
        <f t="shared" si="49"/>
        <v>4.9000000000000004</v>
      </c>
      <c r="L225" s="449">
        <f t="shared" si="49"/>
        <v>4.9000000000000004</v>
      </c>
      <c r="M225" s="449">
        <f t="shared" si="49"/>
        <v>4.9000000000000004</v>
      </c>
      <c r="N225" s="450">
        <f t="shared" si="49"/>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50"/>
        <v>4</v>
      </c>
      <c r="D226" s="73"/>
      <c r="E226" s="70"/>
      <c r="F226" s="70">
        <f t="shared" si="51"/>
        <v>3</v>
      </c>
      <c r="G226" s="73"/>
      <c r="H226" s="76"/>
      <c r="I226" s="173">
        <f t="shared" si="49"/>
        <v>40.1</v>
      </c>
      <c r="J226" s="448">
        <f t="shared" si="49"/>
        <v>4.4000000000000004</v>
      </c>
      <c r="K226" s="449">
        <f t="shared" si="49"/>
        <v>4.5999999999999996</v>
      </c>
      <c r="L226" s="449">
        <f t="shared" si="49"/>
        <v>4.5999999999999996</v>
      </c>
      <c r="M226" s="449">
        <f t="shared" si="49"/>
        <v>4.5999999999999996</v>
      </c>
      <c r="N226" s="450">
        <f t="shared" si="49"/>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50"/>
        <v>4</v>
      </c>
      <c r="D227" s="73"/>
      <c r="E227" s="70"/>
      <c r="F227" s="70">
        <f t="shared" si="51"/>
        <v>3</v>
      </c>
      <c r="G227" s="73"/>
      <c r="H227" s="76"/>
      <c r="I227" s="173">
        <f t="shared" si="49"/>
        <v>45.1</v>
      </c>
      <c r="J227" s="448">
        <f t="shared" si="49"/>
        <v>4</v>
      </c>
      <c r="K227" s="449">
        <f t="shared" si="49"/>
        <v>4</v>
      </c>
      <c r="L227" s="449">
        <f t="shared" si="49"/>
        <v>4</v>
      </c>
      <c r="M227" s="449">
        <f t="shared" si="49"/>
        <v>4</v>
      </c>
      <c r="N227" s="450">
        <f t="shared" si="49"/>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50"/>
        <v>4</v>
      </c>
      <c r="D228" s="73"/>
      <c r="E228" s="70"/>
      <c r="F228" s="70">
        <f t="shared" si="51"/>
        <v>3</v>
      </c>
      <c r="G228" s="73"/>
      <c r="H228" s="76"/>
      <c r="I228" s="173">
        <f t="shared" si="49"/>
        <v>45.1</v>
      </c>
      <c r="J228" s="451">
        <f t="shared" si="49"/>
        <v>4</v>
      </c>
      <c r="K228" s="452">
        <f t="shared" si="49"/>
        <v>4</v>
      </c>
      <c r="L228" s="452">
        <f t="shared" si="49"/>
        <v>4</v>
      </c>
      <c r="M228" s="452">
        <f t="shared" si="49"/>
        <v>4</v>
      </c>
      <c r="N228" s="453">
        <f t="shared" si="49"/>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50"/>
        <v>4</v>
      </c>
      <c r="D229" s="73"/>
      <c r="E229" s="70"/>
      <c r="F229" s="70">
        <f t="shared" si="51"/>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2">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3">INT($C$167)+3</f>
        <v>4</v>
      </c>
      <c r="D231" s="73"/>
      <c r="E231" s="70"/>
      <c r="F231" s="70">
        <f t="shared" ref="F231:F237" si="54">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2"/>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3"/>
        <v>4</v>
      </c>
      <c r="D232" s="73"/>
      <c r="E232" s="70"/>
      <c r="F232" s="70">
        <f t="shared" si="54"/>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2"/>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35">
      <c r="A233" s="45"/>
      <c r="B233" s="54"/>
      <c r="C233" s="87">
        <f t="shared" si="53"/>
        <v>4</v>
      </c>
      <c r="D233" s="73"/>
      <c r="E233" s="70"/>
      <c r="F233" s="70">
        <f t="shared" si="54"/>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2"/>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35">
      <c r="A234" s="45"/>
      <c r="B234" s="54"/>
      <c r="C234" s="87">
        <f t="shared" si="53"/>
        <v>4</v>
      </c>
      <c r="D234" s="73"/>
      <c r="E234" s="70"/>
      <c r="F234" s="70">
        <f t="shared" si="54"/>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2"/>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35">
      <c r="A235" s="45"/>
      <c r="B235" s="54"/>
      <c r="C235" s="87">
        <f t="shared" si="53"/>
        <v>4</v>
      </c>
      <c r="D235" s="73"/>
      <c r="E235" s="70"/>
      <c r="F235" s="70">
        <f t="shared" si="54"/>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2"/>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35">
      <c r="A236" s="45"/>
      <c r="B236" s="54"/>
      <c r="C236" s="87">
        <f t="shared" si="53"/>
        <v>4</v>
      </c>
      <c r="D236" s="73"/>
      <c r="E236" s="70"/>
      <c r="F236" s="70">
        <f t="shared" si="54"/>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2"/>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35">
      <c r="A237" s="45"/>
      <c r="B237" s="54"/>
      <c r="C237" s="87">
        <f t="shared" si="53"/>
        <v>4</v>
      </c>
      <c r="D237" s="73"/>
      <c r="E237" s="70"/>
      <c r="F237" s="70">
        <f t="shared" si="54"/>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35">
      <c r="A239" s="45"/>
      <c r="B239" s="54"/>
      <c r="C239" s="87">
        <f t="shared" ref="C239:C245" si="55">INT($C$167)+3</f>
        <v>4</v>
      </c>
      <c r="D239" s="73"/>
      <c r="E239" s="70"/>
      <c r="F239" s="70">
        <f t="shared" ref="F239:F245" si="56">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35">
      <c r="A240" s="45"/>
      <c r="B240" s="54"/>
      <c r="C240" s="87">
        <f t="shared" si="55"/>
        <v>4</v>
      </c>
      <c r="D240" s="73"/>
      <c r="E240" s="70"/>
      <c r="F240" s="70">
        <f t="shared" si="56"/>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35">
      <c r="A241" s="45"/>
      <c r="B241" s="54"/>
      <c r="C241" s="87">
        <f t="shared" si="55"/>
        <v>4</v>
      </c>
      <c r="D241" s="73"/>
      <c r="E241" s="70"/>
      <c r="F241" s="70">
        <f t="shared" si="56"/>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35">
      <c r="A242" s="45"/>
      <c r="B242" s="54"/>
      <c r="C242" s="87">
        <f t="shared" si="55"/>
        <v>4</v>
      </c>
      <c r="D242" s="73"/>
      <c r="E242" s="70"/>
      <c r="F242" s="70">
        <f t="shared" si="56"/>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35">
      <c r="A243" s="45"/>
      <c r="B243" s="54"/>
      <c r="C243" s="87">
        <f t="shared" si="55"/>
        <v>4</v>
      </c>
      <c r="D243" s="73"/>
      <c r="E243" s="70"/>
      <c r="F243" s="70">
        <f t="shared" si="56"/>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35">
      <c r="A244" s="45"/>
      <c r="B244" s="54"/>
      <c r="C244" s="87">
        <f t="shared" si="55"/>
        <v>4</v>
      </c>
      <c r="D244" s="73"/>
      <c r="E244" s="70"/>
      <c r="F244" s="70">
        <f t="shared" si="56"/>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35">
      <c r="A245" s="45"/>
      <c r="B245" s="54"/>
      <c r="C245" s="87">
        <f t="shared" si="55"/>
        <v>4</v>
      </c>
      <c r="D245" s="73"/>
      <c r="E245" s="70"/>
      <c r="F245" s="70">
        <f t="shared" si="56"/>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35">
      <c r="A247" s="45"/>
      <c r="B247" s="54"/>
      <c r="C247" s="87">
        <f t="shared" ref="C247:C253" si="57">INT($C$167)+3</f>
        <v>4</v>
      </c>
      <c r="D247" s="73"/>
      <c r="E247" s="70"/>
      <c r="F247" s="70">
        <f t="shared" ref="F247:F253" si="58">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35">
      <c r="A248" s="45"/>
      <c r="B248" s="54"/>
      <c r="C248" s="87">
        <f t="shared" si="57"/>
        <v>4</v>
      </c>
      <c r="D248" s="73"/>
      <c r="E248" s="70"/>
      <c r="F248" s="70">
        <f t="shared" si="58"/>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35">
      <c r="A249" s="45"/>
      <c r="B249" s="54"/>
      <c r="C249" s="87">
        <f t="shared" si="57"/>
        <v>4</v>
      </c>
      <c r="D249" s="73"/>
      <c r="E249" s="70"/>
      <c r="F249" s="70">
        <f t="shared" si="58"/>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35">
      <c r="A250" s="45"/>
      <c r="B250" s="54"/>
      <c r="C250" s="87">
        <f t="shared" si="57"/>
        <v>4</v>
      </c>
      <c r="D250" s="73"/>
      <c r="E250" s="70"/>
      <c r="F250" s="70">
        <f t="shared" si="58"/>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35">
      <c r="A251" s="45"/>
      <c r="B251" s="54"/>
      <c r="C251" s="87">
        <f t="shared" si="57"/>
        <v>4</v>
      </c>
      <c r="D251" s="73"/>
      <c r="E251" s="70"/>
      <c r="F251" s="70">
        <f t="shared" si="58"/>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35">
      <c r="A252" s="45"/>
      <c r="B252" s="54"/>
      <c r="C252" s="87">
        <f t="shared" si="57"/>
        <v>4</v>
      </c>
      <c r="D252" s="73"/>
      <c r="E252" s="70"/>
      <c r="F252" s="70">
        <f t="shared" si="58"/>
        <v>6</v>
      </c>
      <c r="G252" s="73"/>
      <c r="H252" s="76"/>
      <c r="I252" s="173">
        <f t="shared" ref="I252:N252" si="59">I251</f>
        <v>45.1</v>
      </c>
      <c r="J252" s="465">
        <f t="shared" si="59"/>
        <v>4</v>
      </c>
      <c r="K252" s="466">
        <f t="shared" si="59"/>
        <v>4</v>
      </c>
      <c r="L252" s="466">
        <f t="shared" si="59"/>
        <v>4</v>
      </c>
      <c r="M252" s="466">
        <f t="shared" si="59"/>
        <v>4</v>
      </c>
      <c r="N252" s="467">
        <f t="shared" si="59"/>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35">
      <c r="A253" s="45"/>
      <c r="B253" s="54"/>
      <c r="C253" s="87">
        <f t="shared" si="57"/>
        <v>4</v>
      </c>
      <c r="D253" s="73"/>
      <c r="E253" s="70"/>
      <c r="F253" s="70">
        <f t="shared" si="58"/>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35">
      <c r="A255" s="45"/>
      <c r="B255" s="54"/>
      <c r="C255" s="87">
        <f t="shared" ref="C255:C261" si="60">INT($C$167)+3</f>
        <v>4</v>
      </c>
      <c r="D255" s="73"/>
      <c r="E255" s="70"/>
      <c r="F255" s="70">
        <f t="shared" ref="F255:F261" si="61">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35">
      <c r="A256" s="45"/>
      <c r="B256" s="54"/>
      <c r="C256" s="87">
        <f t="shared" si="60"/>
        <v>4</v>
      </c>
      <c r="D256" s="73"/>
      <c r="E256" s="70"/>
      <c r="F256" s="70">
        <f t="shared" si="61"/>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35">
      <c r="A257" s="45"/>
      <c r="B257" s="54"/>
      <c r="C257" s="87">
        <f t="shared" si="60"/>
        <v>4</v>
      </c>
      <c r="D257" s="73"/>
      <c r="E257" s="70"/>
      <c r="F257" s="70">
        <f t="shared" si="61"/>
        <v>7</v>
      </c>
      <c r="G257" s="73"/>
      <c r="H257" s="76"/>
      <c r="I257" s="173">
        <f t="shared" ref="I257:N260" si="62">I256</f>
        <v>30</v>
      </c>
      <c r="J257" s="468">
        <f t="shared" si="62"/>
        <v>1</v>
      </c>
      <c r="K257" s="469">
        <f t="shared" si="62"/>
        <v>1</v>
      </c>
      <c r="L257" s="469">
        <f t="shared" si="62"/>
        <v>1</v>
      </c>
      <c r="M257" s="469">
        <f t="shared" si="62"/>
        <v>1</v>
      </c>
      <c r="N257" s="470">
        <f t="shared" si="62"/>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35">
      <c r="A258" s="45"/>
      <c r="B258" s="54"/>
      <c r="C258" s="87">
        <f t="shared" si="60"/>
        <v>4</v>
      </c>
      <c r="D258" s="73"/>
      <c r="E258" s="70"/>
      <c r="F258" s="70">
        <f t="shared" si="61"/>
        <v>7</v>
      </c>
      <c r="G258" s="73"/>
      <c r="H258" s="76"/>
      <c r="I258" s="173">
        <f t="shared" si="62"/>
        <v>30</v>
      </c>
      <c r="J258" s="468">
        <f t="shared" si="62"/>
        <v>1</v>
      </c>
      <c r="K258" s="469">
        <f t="shared" si="62"/>
        <v>1</v>
      </c>
      <c r="L258" s="469">
        <f t="shared" si="62"/>
        <v>1</v>
      </c>
      <c r="M258" s="469">
        <f t="shared" si="62"/>
        <v>1</v>
      </c>
      <c r="N258" s="470">
        <f t="shared" si="62"/>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35">
      <c r="A259" s="45"/>
      <c r="B259" s="54"/>
      <c r="C259" s="87">
        <f t="shared" si="60"/>
        <v>4</v>
      </c>
      <c r="D259" s="73"/>
      <c r="E259" s="70"/>
      <c r="F259" s="70">
        <f t="shared" si="61"/>
        <v>7</v>
      </c>
      <c r="G259" s="73"/>
      <c r="H259" s="76"/>
      <c r="I259" s="173">
        <f t="shared" si="62"/>
        <v>30</v>
      </c>
      <c r="J259" s="468">
        <f t="shared" si="62"/>
        <v>1</v>
      </c>
      <c r="K259" s="469">
        <f t="shared" si="62"/>
        <v>1</v>
      </c>
      <c r="L259" s="469">
        <f t="shared" si="62"/>
        <v>1</v>
      </c>
      <c r="M259" s="469">
        <f t="shared" si="62"/>
        <v>1</v>
      </c>
      <c r="N259" s="470">
        <f t="shared" si="62"/>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35">
      <c r="A260" s="45"/>
      <c r="B260" s="54"/>
      <c r="C260" s="87">
        <f t="shared" si="60"/>
        <v>4</v>
      </c>
      <c r="D260" s="73"/>
      <c r="E260" s="70"/>
      <c r="F260" s="70">
        <f t="shared" si="61"/>
        <v>7</v>
      </c>
      <c r="G260" s="73"/>
      <c r="H260" s="76"/>
      <c r="I260" s="173">
        <f t="shared" si="62"/>
        <v>30</v>
      </c>
      <c r="J260" s="465">
        <f t="shared" si="62"/>
        <v>1</v>
      </c>
      <c r="K260" s="466">
        <f t="shared" si="62"/>
        <v>1</v>
      </c>
      <c r="L260" s="466">
        <f t="shared" si="62"/>
        <v>1</v>
      </c>
      <c r="M260" s="466">
        <f t="shared" si="62"/>
        <v>1</v>
      </c>
      <c r="N260" s="467">
        <f t="shared" si="62"/>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35">
      <c r="A261" s="45"/>
      <c r="B261" s="54"/>
      <c r="C261" s="87">
        <f t="shared" si="60"/>
        <v>4</v>
      </c>
      <c r="D261" s="73"/>
      <c r="E261" s="70"/>
      <c r="F261" s="70">
        <f t="shared" si="61"/>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35">
      <c r="A305" s="45"/>
      <c r="B305" s="54"/>
      <c r="C305" s="87">
        <f t="shared" ref="C305:C313" si="63">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35">
      <c r="A306" s="45"/>
      <c r="B306" s="54"/>
      <c r="C306" s="87">
        <f t="shared" si="63"/>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35">
      <c r="A307" s="45"/>
      <c r="B307" s="54"/>
      <c r="C307" s="87">
        <f t="shared" si="63"/>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35">
      <c r="A308" s="45"/>
      <c r="B308" s="54"/>
      <c r="C308" s="87">
        <f t="shared" si="63"/>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35">
      <c r="A309" s="45"/>
      <c r="B309" s="54"/>
      <c r="C309" s="87">
        <f t="shared" si="63"/>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35">
      <c r="A310" s="45"/>
      <c r="B310" s="54"/>
      <c r="C310" s="87">
        <f t="shared" si="63"/>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35">
      <c r="A311" s="45"/>
      <c r="B311" s="54"/>
      <c r="C311" s="87">
        <f t="shared" si="63"/>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35">
      <c r="A312" s="45"/>
      <c r="B312" s="54"/>
      <c r="C312" s="87">
        <f t="shared" si="63"/>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35">
      <c r="A313" s="45"/>
      <c r="B313" s="54"/>
      <c r="C313" s="87">
        <f t="shared" si="63"/>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3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outlineLevel="3" x14ac:dyDescent="0.35">
      <c r="A317" s="45"/>
      <c r="B317" s="54"/>
      <c r="C317" s="87">
        <f t="shared" ref="C317:C322" si="64">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35">
      <c r="A318" s="45"/>
      <c r="B318" s="54"/>
      <c r="C318" s="87">
        <f t="shared" si="64"/>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35">
      <c r="A319" s="45"/>
      <c r="B319" s="54"/>
      <c r="C319" s="87">
        <f t="shared" si="64"/>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35">
      <c r="A320" s="45"/>
      <c r="B320" s="54"/>
      <c r="C320" s="87">
        <f t="shared" si="64"/>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35">
      <c r="A321" s="45"/>
      <c r="B321" s="54"/>
      <c r="C321" s="87">
        <f t="shared" si="64"/>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35">
      <c r="A322" s="45"/>
      <c r="B322" s="54"/>
      <c r="C322" s="87">
        <f t="shared" si="64"/>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outlineLevel="2" x14ac:dyDescent="0.3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3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35">
      <c r="A330" s="45"/>
      <c r="B330" s="54"/>
      <c r="C330" s="87">
        <f t="shared" ref="C330:C336" si="65">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35">
      <c r="A331" s="45"/>
      <c r="B331" s="54"/>
      <c r="C331" s="87">
        <f t="shared" si="65"/>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35">
      <c r="A332" s="45"/>
      <c r="B332" s="54"/>
      <c r="C332" s="87">
        <f t="shared" si="65"/>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35">
      <c r="A333" s="45"/>
      <c r="B333" s="54"/>
      <c r="C333" s="87">
        <f t="shared" si="65"/>
        <v>4</v>
      </c>
      <c r="D333" s="73"/>
      <c r="E333" s="70"/>
      <c r="F333" s="70"/>
      <c r="G333" s="73"/>
      <c r="H333" s="76"/>
      <c r="I333" s="76"/>
      <c r="J333" s="76"/>
      <c r="K333" s="76"/>
      <c r="L333" s="76"/>
      <c r="M333" s="76"/>
      <c r="N333" s="76"/>
      <c r="O333" s="76"/>
      <c r="P333" s="76"/>
      <c r="Q333" s="76"/>
      <c r="R333" s="76"/>
      <c r="S333" s="76"/>
      <c r="T333" s="96" t="str">
        <f t="shared" ref="T333:AG333" si="66">INDEX($H$306:$H$314,T332+1,1)</f>
        <v>LW</v>
      </c>
      <c r="U333" s="96" t="str">
        <f t="shared" si="66"/>
        <v>LW</v>
      </c>
      <c r="V333" s="96" t="str">
        <f t="shared" si="66"/>
        <v>head</v>
      </c>
      <c r="W333" s="96" t="str">
        <f t="shared" si="66"/>
        <v>head</v>
      </c>
      <c r="X333" s="96" t="str">
        <f t="shared" si="66"/>
        <v>head</v>
      </c>
      <c r="Y333" s="96" t="str">
        <f t="shared" si="66"/>
        <v>head</v>
      </c>
      <c r="Z333" s="96" t="str">
        <f t="shared" si="66"/>
        <v>head</v>
      </c>
      <c r="AA333" s="96" t="str">
        <f t="shared" si="66"/>
        <v>nyatf</v>
      </c>
      <c r="AB333" s="96" t="str">
        <f t="shared" si="66"/>
        <v>nyatf</v>
      </c>
      <c r="AC333" s="96" t="str">
        <f t="shared" si="66"/>
        <v>head</v>
      </c>
      <c r="AD333" s="96" t="str">
        <f t="shared" si="66"/>
        <v>head</v>
      </c>
      <c r="AE333" s="96" t="str">
        <f t="shared" si="66"/>
        <v>head</v>
      </c>
      <c r="AF333" s="96" t="str">
        <f t="shared" si="66"/>
        <v>CFW</v>
      </c>
      <c r="AG333" s="96" t="str">
        <f t="shared" si="66"/>
        <v>mob</v>
      </c>
      <c r="AH333" s="96"/>
      <c r="AI333" s="96"/>
      <c r="AJ333" s="96"/>
      <c r="AK333" s="96"/>
      <c r="AL333" s="96"/>
      <c r="AM333" s="96"/>
      <c r="AN333" s="73"/>
      <c r="AO333" s="57"/>
      <c r="AP333" s="45"/>
      <c r="AQ333" s="45"/>
      <c r="AR333" s="45"/>
      <c r="AS333" s="441"/>
      <c r="AT333" s="441"/>
    </row>
    <row r="334" spans="1:46" outlineLevel="3" x14ac:dyDescent="0.35">
      <c r="A334" s="45"/>
      <c r="B334" s="54"/>
      <c r="C334" s="87">
        <f t="shared" si="65"/>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35">
      <c r="A335" s="45"/>
      <c r="B335" s="54"/>
      <c r="C335" s="87">
        <f t="shared" si="65"/>
        <v>4</v>
      </c>
      <c r="D335" s="73"/>
      <c r="E335" s="70"/>
      <c r="F335" s="70"/>
      <c r="G335" s="73"/>
      <c r="H335" s="76" t="s">
        <v>344</v>
      </c>
      <c r="I335" s="76"/>
      <c r="J335" s="76"/>
      <c r="K335" s="76"/>
      <c r="L335" s="76"/>
      <c r="M335" s="76"/>
      <c r="N335" s="76"/>
      <c r="O335" s="76"/>
      <c r="P335" s="76"/>
      <c r="Q335" s="76"/>
      <c r="R335" s="76"/>
      <c r="S335" s="76"/>
      <c r="T335" s="193">
        <f t="shared" ref="T335:AF335" si="67">T$331*T$334</f>
        <v>7.909090909090909E-3</v>
      </c>
      <c r="U335" s="193">
        <f t="shared" si="67"/>
        <v>1.0454545454545452E-2</v>
      </c>
      <c r="V335" s="193">
        <f t="shared" si="67"/>
        <v>0.4</v>
      </c>
      <c r="W335" s="193">
        <f t="shared" si="67"/>
        <v>0.4</v>
      </c>
      <c r="X335" s="193">
        <f t="shared" si="67"/>
        <v>0.68909090909090898</v>
      </c>
      <c r="Y335" s="193">
        <f t="shared" si="67"/>
        <v>2.56</v>
      </c>
      <c r="Z335" s="193">
        <f t="shared" si="67"/>
        <v>0.40454545454545454</v>
      </c>
      <c r="AA335" s="193">
        <f t="shared" si="67"/>
        <v>4.9090909090909095E-2</v>
      </c>
      <c r="AB335" s="193">
        <f t="shared" si="67"/>
        <v>1.9454545454545453</v>
      </c>
      <c r="AC335" s="193">
        <f t="shared" si="67"/>
        <v>0.97424999999999995</v>
      </c>
      <c r="AD335" s="193">
        <f t="shared" si="67"/>
        <v>0.625</v>
      </c>
      <c r="AE335" s="193">
        <f t="shared" si="67"/>
        <v>0</v>
      </c>
      <c r="AF335" s="193">
        <f t="shared" si="67"/>
        <v>5.6451612903225812E-2</v>
      </c>
      <c r="AG335" s="193">
        <f>AG331</f>
        <v>14.2</v>
      </c>
      <c r="AH335" s="193"/>
      <c r="AI335" s="193"/>
      <c r="AJ335" s="193"/>
      <c r="AK335" s="193"/>
      <c r="AL335" s="193"/>
      <c r="AM335" s="193"/>
      <c r="AN335" s="73"/>
      <c r="AO335" s="57"/>
      <c r="AP335" s="45"/>
      <c r="AQ335" s="45"/>
      <c r="AR335" s="45"/>
      <c r="AS335" s="441"/>
      <c r="AT335" s="441"/>
    </row>
    <row r="336" spans="1:46" ht="31.5" outlineLevel="3" x14ac:dyDescent="0.35">
      <c r="A336" s="45"/>
      <c r="B336" s="54"/>
      <c r="C336" s="87">
        <f t="shared" si="65"/>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8">IF(T$327&lt;&gt;"",T$327,T$326)</f>
        <v>Triguard</v>
      </c>
      <c r="U342" s="196" t="str">
        <f t="shared" si="68"/>
        <v>Q Drench</v>
      </c>
      <c r="V342" s="196" t="str">
        <f t="shared" si="68"/>
        <v>Se bullet</v>
      </c>
      <c r="W342" s="196" t="str">
        <f t="shared" si="68"/>
        <v>Co bullet</v>
      </c>
      <c r="X342" s="196" t="str">
        <f t="shared" si="68"/>
        <v>Glanvac 6S</v>
      </c>
      <c r="Y342" s="196" t="str">
        <f t="shared" si="68"/>
        <v>Gudair</v>
      </c>
      <c r="Z342" s="196" t="str">
        <f t="shared" si="68"/>
        <v>Sidney SP</v>
      </c>
      <c r="AA342" s="196" t="str">
        <f t="shared" si="68"/>
        <v>Rings</v>
      </c>
      <c r="AB342" s="196" t="str">
        <f t="shared" si="68"/>
        <v>Meloxicam</v>
      </c>
      <c r="AC342" s="196" t="str">
        <f t="shared" si="68"/>
        <v>Click</v>
      </c>
      <c r="AD342" s="196" t="str">
        <f t="shared" si="68"/>
        <v>Vetrazin</v>
      </c>
      <c r="AE342" s="196" t="str">
        <f t="shared" si="68"/>
        <v>Footrot treatment</v>
      </c>
      <c r="AF342" s="196" t="str">
        <f t="shared" si="68"/>
        <v>Wool packs</v>
      </c>
      <c r="AG342" s="196" t="str">
        <f t="shared" si="68"/>
        <v>Diesel</v>
      </c>
      <c r="AH342" s="196"/>
      <c r="AI342" s="196"/>
      <c r="AJ342" s="196"/>
      <c r="AK342" s="196"/>
      <c r="AL342" s="196"/>
      <c r="AM342" s="196"/>
      <c r="AN342" s="73"/>
      <c r="AO342" s="57"/>
      <c r="AP342" s="45"/>
      <c r="AQ342" s="45"/>
      <c r="AR342" s="45"/>
      <c r="AS342" s="441"/>
      <c r="AT342" s="441"/>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9">T333</f>
        <v>LW</v>
      </c>
      <c r="U343" s="166" t="str">
        <f t="shared" si="69"/>
        <v>LW</v>
      </c>
      <c r="V343" s="166" t="str">
        <f t="shared" si="69"/>
        <v>head</v>
      </c>
      <c r="W343" s="166" t="str">
        <f t="shared" si="69"/>
        <v>head</v>
      </c>
      <c r="X343" s="166" t="str">
        <f t="shared" si="69"/>
        <v>head</v>
      </c>
      <c r="Y343" s="166" t="str">
        <f t="shared" si="69"/>
        <v>head</v>
      </c>
      <c r="Z343" s="166" t="str">
        <f t="shared" si="69"/>
        <v>head</v>
      </c>
      <c r="AA343" s="166" t="str">
        <f t="shared" si="69"/>
        <v>nyatf</v>
      </c>
      <c r="AB343" s="166" t="str">
        <f t="shared" si="69"/>
        <v>nyatf</v>
      </c>
      <c r="AC343" s="166" t="str">
        <f t="shared" si="69"/>
        <v>head</v>
      </c>
      <c r="AD343" s="166" t="str">
        <f t="shared" si="69"/>
        <v>head</v>
      </c>
      <c r="AE343" s="166" t="str">
        <f t="shared" si="69"/>
        <v>head</v>
      </c>
      <c r="AF343" s="166" t="str">
        <f t="shared" si="69"/>
        <v>CFW</v>
      </c>
      <c r="AG343" s="166" t="str">
        <f t="shared" si="69"/>
        <v>mob</v>
      </c>
      <c r="AH343" s="475"/>
      <c r="AI343" s="475"/>
      <c r="AJ343" s="475"/>
      <c r="AK343" s="475"/>
      <c r="AL343" s="475"/>
      <c r="AM343" s="475"/>
      <c r="AN343" s="73"/>
      <c r="AO343" s="57"/>
      <c r="AP343" s="45"/>
      <c r="AQ343" s="45"/>
      <c r="AR343" s="45"/>
      <c r="AS343" s="441"/>
      <c r="AT343" s="441"/>
    </row>
    <row r="344" spans="1:46" outlineLevel="3" x14ac:dyDescent="0.35">
      <c r="A344" s="45"/>
      <c r="B344" s="54"/>
      <c r="C344" s="87">
        <f t="shared" ref="C344:C370" si="70">INT($C$293+3)</f>
        <v>4</v>
      </c>
      <c r="D344" s="73"/>
      <c r="E344" s="70"/>
      <c r="F344" s="70"/>
      <c r="G344" s="73"/>
      <c r="H344" s="105" t="s">
        <v>369</v>
      </c>
      <c r="I344" s="99">
        <v>1</v>
      </c>
      <c r="J344" s="177" t="str">
        <f t="shared" ref="J344:J370" si="71">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35">
      <c r="A345" s="45"/>
      <c r="B345" s="54"/>
      <c r="C345" s="87">
        <f t="shared" si="70"/>
        <v>4</v>
      </c>
      <c r="D345" s="73"/>
      <c r="E345" s="70"/>
      <c r="F345" s="70"/>
      <c r="G345" s="73"/>
      <c r="H345" s="76" t="s">
        <v>370</v>
      </c>
      <c r="I345" s="99">
        <v>1</v>
      </c>
      <c r="J345" s="96" t="str">
        <f t="shared" si="71"/>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35">
      <c r="A346" s="45"/>
      <c r="B346" s="54"/>
      <c r="C346" s="87">
        <f t="shared" si="70"/>
        <v>4</v>
      </c>
      <c r="D346" s="73"/>
      <c r="E346" s="70"/>
      <c r="F346" s="70"/>
      <c r="G346" s="73"/>
      <c r="H346" s="76" t="s">
        <v>371</v>
      </c>
      <c r="I346" s="99">
        <v>0</v>
      </c>
      <c r="J346" s="96" t="str">
        <f t="shared" si="71"/>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35">
      <c r="A347" s="45"/>
      <c r="B347" s="54"/>
      <c r="C347" s="87">
        <f t="shared" si="70"/>
        <v>4</v>
      </c>
      <c r="D347" s="73"/>
      <c r="E347" s="70"/>
      <c r="F347" s="70"/>
      <c r="G347" s="73"/>
      <c r="H347" s="76" t="s">
        <v>372</v>
      </c>
      <c r="I347" s="99">
        <v>1</v>
      </c>
      <c r="J347" s="96" t="str">
        <f t="shared" si="71"/>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35">
      <c r="A348" s="45"/>
      <c r="B348" s="54"/>
      <c r="C348" s="87">
        <f t="shared" si="70"/>
        <v>4</v>
      </c>
      <c r="D348" s="73"/>
      <c r="E348" s="70"/>
      <c r="F348" s="70"/>
      <c r="G348" s="73"/>
      <c r="H348" s="76" t="s">
        <v>373</v>
      </c>
      <c r="I348" s="99">
        <v>1</v>
      </c>
      <c r="J348" s="96" t="str">
        <f t="shared" si="71"/>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35">
      <c r="A349" s="45"/>
      <c r="B349" s="54"/>
      <c r="C349" s="87">
        <f t="shared" si="70"/>
        <v>4</v>
      </c>
      <c r="D349" s="73"/>
      <c r="E349" s="70"/>
      <c r="F349" s="70"/>
      <c r="G349" s="73"/>
      <c r="H349" s="76" t="s">
        <v>374</v>
      </c>
      <c r="I349" s="99">
        <v>1</v>
      </c>
      <c r="J349" s="96" t="str">
        <f t="shared" si="71"/>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35">
      <c r="A350" s="45"/>
      <c r="B350" s="54"/>
      <c r="C350" s="87">
        <f t="shared" si="70"/>
        <v>4</v>
      </c>
      <c r="D350" s="73"/>
      <c r="E350" s="70"/>
      <c r="F350" s="70"/>
      <c r="G350" s="73"/>
      <c r="H350" s="76" t="s">
        <v>375</v>
      </c>
      <c r="I350" s="99">
        <v>0</v>
      </c>
      <c r="J350" s="96" t="str">
        <f t="shared" si="71"/>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35">
      <c r="A351" s="45"/>
      <c r="B351" s="54"/>
      <c r="C351" s="87">
        <f t="shared" si="70"/>
        <v>4</v>
      </c>
      <c r="D351" s="73"/>
      <c r="E351" s="70"/>
      <c r="F351" s="70"/>
      <c r="G351" s="73"/>
      <c r="H351" s="76" t="s">
        <v>376</v>
      </c>
      <c r="I351" s="99">
        <v>0</v>
      </c>
      <c r="J351" s="96" t="str">
        <f t="shared" si="71"/>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35">
      <c r="A352" s="45"/>
      <c r="B352" s="54"/>
      <c r="C352" s="87">
        <f t="shared" si="70"/>
        <v>4</v>
      </c>
      <c r="D352" s="73"/>
      <c r="E352" s="70"/>
      <c r="F352" s="70"/>
      <c r="G352" s="73"/>
      <c r="H352" s="76" t="s">
        <v>377</v>
      </c>
      <c r="I352" s="99">
        <v>0</v>
      </c>
      <c r="J352" s="96" t="str">
        <f t="shared" si="71"/>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35">
      <c r="A353" s="45"/>
      <c r="B353" s="54"/>
      <c r="C353" s="87">
        <f t="shared" si="70"/>
        <v>4</v>
      </c>
      <c r="D353" s="73"/>
      <c r="E353" s="70"/>
      <c r="F353" s="70"/>
      <c r="G353" s="73"/>
      <c r="H353" s="76" t="s">
        <v>378</v>
      </c>
      <c r="I353" s="99">
        <v>0</v>
      </c>
      <c r="J353" s="96" t="str">
        <f t="shared" si="71"/>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35">
      <c r="A354" s="45"/>
      <c r="B354" s="54"/>
      <c r="C354" s="87">
        <f t="shared" si="70"/>
        <v>4</v>
      </c>
      <c r="D354" s="73"/>
      <c r="E354" s="70"/>
      <c r="F354" s="70"/>
      <c r="G354" s="73"/>
      <c r="H354" s="76" t="s">
        <v>379</v>
      </c>
      <c r="I354" s="99">
        <v>0</v>
      </c>
      <c r="J354" s="96" t="str">
        <f t="shared" si="71"/>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35">
      <c r="A355" s="45"/>
      <c r="B355" s="54"/>
      <c r="C355" s="87">
        <f t="shared" si="70"/>
        <v>4</v>
      </c>
      <c r="D355" s="73"/>
      <c r="E355" s="70"/>
      <c r="F355" s="70"/>
      <c r="G355" s="73"/>
      <c r="H355" s="76" t="s">
        <v>380</v>
      </c>
      <c r="I355" s="99">
        <v>0</v>
      </c>
      <c r="J355" s="96" t="str">
        <f t="shared" si="71"/>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35">
      <c r="A356" s="45"/>
      <c r="B356" s="54"/>
      <c r="C356" s="87">
        <f t="shared" si="70"/>
        <v>4</v>
      </c>
      <c r="D356" s="73"/>
      <c r="E356" s="70"/>
      <c r="F356" s="70"/>
      <c r="G356" s="73"/>
      <c r="H356" s="76" t="s">
        <v>381</v>
      </c>
      <c r="I356" s="99">
        <v>0</v>
      </c>
      <c r="J356" s="96" t="str">
        <f t="shared" si="71"/>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35">
      <c r="A357" s="45"/>
      <c r="B357" s="54"/>
      <c r="C357" s="87">
        <f t="shared" si="70"/>
        <v>4</v>
      </c>
      <c r="D357" s="73"/>
      <c r="E357" s="70"/>
      <c r="F357" s="70"/>
      <c r="G357" s="73"/>
      <c r="H357" s="76" t="s">
        <v>382</v>
      </c>
      <c r="I357" s="99">
        <v>0</v>
      </c>
      <c r="J357" s="96" t="str">
        <f t="shared" si="71"/>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35">
      <c r="A358" s="45"/>
      <c r="B358" s="54"/>
      <c r="C358" s="87">
        <f t="shared" si="70"/>
        <v>4</v>
      </c>
      <c r="D358" s="73"/>
      <c r="E358" s="70"/>
      <c r="F358" s="70"/>
      <c r="G358" s="73"/>
      <c r="H358" s="76" t="s">
        <v>383</v>
      </c>
      <c r="I358" s="99">
        <v>5</v>
      </c>
      <c r="J358" s="96" t="str">
        <f t="shared" si="71"/>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35">
      <c r="A359" s="45"/>
      <c r="B359" s="54"/>
      <c r="C359" s="87">
        <f t="shared" si="70"/>
        <v>4</v>
      </c>
      <c r="D359" s="73"/>
      <c r="E359" s="70"/>
      <c r="F359" s="70"/>
      <c r="G359" s="73"/>
      <c r="H359" s="76" t="s">
        <v>384</v>
      </c>
      <c r="I359" s="99">
        <v>5</v>
      </c>
      <c r="J359" s="96" t="str">
        <f t="shared" si="71"/>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35">
      <c r="A360" s="45"/>
      <c r="B360" s="54"/>
      <c r="C360" s="87">
        <f t="shared" si="70"/>
        <v>4</v>
      </c>
      <c r="D360" s="73"/>
      <c r="E360" s="70"/>
      <c r="F360" s="70"/>
      <c r="G360" s="73"/>
      <c r="H360" s="76" t="s">
        <v>385</v>
      </c>
      <c r="I360" s="99">
        <v>0</v>
      </c>
      <c r="J360" s="96" t="str">
        <f t="shared" si="71"/>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35">
      <c r="A361" s="45"/>
      <c r="B361" s="54"/>
      <c r="C361" s="87">
        <f t="shared" si="70"/>
        <v>4</v>
      </c>
      <c r="D361" s="73"/>
      <c r="E361" s="70"/>
      <c r="F361" s="70"/>
      <c r="G361" s="73"/>
      <c r="H361" s="76" t="s">
        <v>386</v>
      </c>
      <c r="I361" s="99">
        <v>0</v>
      </c>
      <c r="J361" s="96" t="str">
        <f t="shared" si="71"/>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35">
      <c r="A362" s="45"/>
      <c r="B362" s="54"/>
      <c r="C362" s="87">
        <f t="shared" si="70"/>
        <v>4</v>
      </c>
      <c r="D362" s="73"/>
      <c r="E362" s="70"/>
      <c r="F362" s="70"/>
      <c r="G362" s="73"/>
      <c r="H362" s="76" t="s">
        <v>387</v>
      </c>
      <c r="I362" s="99">
        <v>0</v>
      </c>
      <c r="J362" s="96" t="str">
        <f t="shared" si="71"/>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35">
      <c r="A363" s="45"/>
      <c r="B363" s="54"/>
      <c r="C363" s="87">
        <f t="shared" si="70"/>
        <v>4</v>
      </c>
      <c r="D363" s="73"/>
      <c r="E363" s="70"/>
      <c r="F363" s="70"/>
      <c r="G363" s="73"/>
      <c r="H363" s="76" t="s">
        <v>388</v>
      </c>
      <c r="I363" s="99">
        <v>1</v>
      </c>
      <c r="J363" s="96" t="str">
        <f t="shared" si="71"/>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35">
      <c r="A364" s="45"/>
      <c r="B364" s="54"/>
      <c r="C364" s="87">
        <f t="shared" si="70"/>
        <v>4</v>
      </c>
      <c r="D364" s="73"/>
      <c r="E364" s="70"/>
      <c r="F364" s="70"/>
      <c r="G364" s="73"/>
      <c r="H364" s="76" t="s">
        <v>389</v>
      </c>
      <c r="I364" s="99">
        <v>1</v>
      </c>
      <c r="J364" s="96" t="str">
        <f t="shared" si="71"/>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35">
      <c r="A365" s="45"/>
      <c r="B365" s="54"/>
      <c r="C365" s="87">
        <f t="shared" si="70"/>
        <v>4</v>
      </c>
      <c r="D365" s="73"/>
      <c r="E365" s="70"/>
      <c r="F365" s="70"/>
      <c r="G365" s="73"/>
      <c r="H365" s="76" t="s">
        <v>390</v>
      </c>
      <c r="I365" s="99">
        <v>0</v>
      </c>
      <c r="J365" s="96" t="str">
        <f t="shared" si="71"/>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35">
      <c r="A366" s="45"/>
      <c r="B366" s="54"/>
      <c r="C366" s="87">
        <f t="shared" si="70"/>
        <v>4</v>
      </c>
      <c r="D366" s="73"/>
      <c r="E366" s="70"/>
      <c r="F366" s="70"/>
      <c r="G366" s="73"/>
      <c r="H366" s="76" t="s">
        <v>391</v>
      </c>
      <c r="I366" s="99">
        <v>1</v>
      </c>
      <c r="J366" s="96" t="str">
        <f t="shared" si="71"/>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35">
      <c r="A367" s="45"/>
      <c r="B367" s="54"/>
      <c r="C367" s="87">
        <f t="shared" si="70"/>
        <v>4</v>
      </c>
      <c r="D367" s="73"/>
      <c r="E367" s="70"/>
      <c r="F367" s="70"/>
      <c r="G367" s="73"/>
      <c r="H367" s="76" t="s">
        <v>392</v>
      </c>
      <c r="I367" s="99">
        <v>0</v>
      </c>
      <c r="J367" s="96" t="str">
        <f t="shared" si="71"/>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35">
      <c r="A368" s="45"/>
      <c r="B368" s="54"/>
      <c r="C368" s="87">
        <f t="shared" si="70"/>
        <v>4</v>
      </c>
      <c r="D368" s="73"/>
      <c r="E368" s="70"/>
      <c r="F368" s="70"/>
      <c r="G368" s="73"/>
      <c r="H368" s="76" t="s">
        <v>393</v>
      </c>
      <c r="I368" s="99">
        <v>2</v>
      </c>
      <c r="J368" s="96" t="str">
        <f t="shared" si="71"/>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35">
      <c r="A369" s="45"/>
      <c r="B369" s="54"/>
      <c r="C369" s="87">
        <f t="shared" si="70"/>
        <v>4</v>
      </c>
      <c r="D369" s="73"/>
      <c r="E369" s="70"/>
      <c r="F369" s="70"/>
      <c r="G369" s="73"/>
      <c r="H369" s="76" t="s">
        <v>2352</v>
      </c>
      <c r="I369" s="99">
        <v>2</v>
      </c>
      <c r="J369" s="96" t="str">
        <f t="shared" si="71"/>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35">
      <c r="A370" s="45"/>
      <c r="B370" s="54"/>
      <c r="C370" s="87">
        <f t="shared" si="70"/>
        <v>4</v>
      </c>
      <c r="D370" s="73"/>
      <c r="E370" s="70"/>
      <c r="F370" s="70"/>
      <c r="G370" s="73"/>
      <c r="H370" s="76" t="s">
        <v>2353</v>
      </c>
      <c r="I370" s="99">
        <v>2</v>
      </c>
      <c r="J370" s="96" t="str">
        <f t="shared" si="71"/>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3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3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2">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2"/>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2"/>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2"/>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2"/>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2"/>
        <v>4</v>
      </c>
      <c r="D408" s="73"/>
      <c r="E408" s="70"/>
      <c r="F408" s="70"/>
      <c r="G408" s="73"/>
      <c r="H408" s="284" t="s">
        <v>3278</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2"/>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2"/>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2"/>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2"/>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2"/>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2"/>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2"/>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2"/>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2"/>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2"/>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2"/>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2"/>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2"/>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2911</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3006</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3020</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3535</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3536</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3537</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3538</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4" t="s">
        <v>3043</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4" t="s">
        <v>3044</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4" t="s">
        <v>3045</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3028</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3033</v>
      </c>
      <c r="X68" s="21"/>
      <c r="Y68" s="18" t="s">
        <v>3033</v>
      </c>
      <c r="Z68" s="18"/>
      <c r="AA68" s="18"/>
      <c r="AB68" s="21"/>
      <c r="AC68" s="21"/>
      <c r="AD68" s="21"/>
      <c r="AE68" s="17"/>
      <c r="AF68" s="9"/>
      <c r="AG68" s="9"/>
      <c r="AH68" s="9"/>
    </row>
    <row r="69" spans="1:34" ht="12" customHeight="1" x14ac:dyDescent="0.35">
      <c r="A69" s="7"/>
      <c r="B69" s="8"/>
      <c r="C69" s="18"/>
      <c r="D69" s="18"/>
      <c r="E69" s="18"/>
      <c r="F69" s="18"/>
      <c r="G69" s="18" t="s">
        <v>3025</v>
      </c>
      <c r="H69" s="18"/>
      <c r="I69" s="18" t="s">
        <v>3027</v>
      </c>
      <c r="J69" s="18"/>
      <c r="K69" s="18"/>
      <c r="L69" s="18" t="s">
        <v>3026</v>
      </c>
      <c r="M69" s="18"/>
      <c r="N69" s="18" t="s">
        <v>3023</v>
      </c>
      <c r="O69" s="18"/>
      <c r="P69" s="18" t="s">
        <v>3024</v>
      </c>
      <c r="Q69" s="18"/>
      <c r="R69" s="18"/>
      <c r="S69" s="18"/>
      <c r="T69" s="18"/>
      <c r="U69" s="18" t="s">
        <v>3030</v>
      </c>
      <c r="V69" s="21"/>
      <c r="W69" s="18" t="s">
        <v>3031</v>
      </c>
      <c r="X69" s="21"/>
      <c r="Y69" s="18" t="s">
        <v>3032</v>
      </c>
      <c r="Z69" s="18"/>
      <c r="AA69" s="18" t="s">
        <v>3029</v>
      </c>
      <c r="AB69" s="21"/>
      <c r="AC69" s="21"/>
      <c r="AD69" s="21"/>
      <c r="AE69" s="17"/>
      <c r="AF69" s="9"/>
      <c r="AG69" s="9"/>
      <c r="AH69" s="9"/>
    </row>
    <row r="70" spans="1:34" ht="12" customHeight="1" x14ac:dyDescent="0.3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3034</v>
      </c>
      <c r="U70" s="477">
        <v>0.4</v>
      </c>
      <c r="V70" s="24"/>
      <c r="W70" s="478">
        <v>1.4999999999999999E-2</v>
      </c>
      <c r="X70" s="488"/>
      <c r="Y70" s="478">
        <v>1.2E-2</v>
      </c>
      <c r="Z70" s="24"/>
      <c r="AA70" s="384">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General!G66</f>
        <v>bd</v>
      </c>
      <c r="Q71" s="384">
        <v>0.32</v>
      </c>
      <c r="R71" s="24"/>
      <c r="S71" s="24"/>
      <c r="T71" t="s">
        <v>3035</v>
      </c>
      <c r="U71" s="477">
        <v>0.4</v>
      </c>
      <c r="V71" s="24"/>
      <c r="W71" s="478">
        <v>2.7E-2</v>
      </c>
      <c r="X71" s="488"/>
      <c r="Y71" s="478">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General!G67</f>
        <v>f</v>
      </c>
      <c r="Q72" s="384">
        <v>0.51</v>
      </c>
      <c r="R72" s="24"/>
      <c r="S72" s="24"/>
      <c r="T72" t="s">
        <v>3036</v>
      </c>
      <c r="U72" s="477">
        <v>0.8</v>
      </c>
      <c r="V72" s="24"/>
      <c r="W72" s="478">
        <v>1.4999999999999999E-2</v>
      </c>
      <c r="X72" s="488"/>
      <c r="Y72" s="478">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General!G68</f>
        <v>h</v>
      </c>
      <c r="Q73" s="384">
        <v>0.43</v>
      </c>
      <c r="R73" s="24"/>
      <c r="S73" s="24"/>
      <c r="T73" t="s">
        <v>3037</v>
      </c>
      <c r="U73" s="477">
        <v>0.4</v>
      </c>
      <c r="V73" s="24"/>
      <c r="W73" s="478">
        <v>1.4999999999999999E-2</v>
      </c>
      <c r="X73" s="488"/>
      <c r="Y73" s="478">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3008</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3015</v>
      </c>
      <c r="M101" s="18"/>
      <c r="N101" s="18" t="s">
        <v>3014</v>
      </c>
      <c r="O101" s="18"/>
      <c r="P101" s="18" t="s">
        <v>3016</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83" t="s">
        <v>3010</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4" t="s">
        <v>3011</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3" t="s">
        <v>3009</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4"/>
      <c r="I106" s="484" t="s">
        <v>3012</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484" t="s">
        <v>3013</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45" t="s">
        <v>3046</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325" t="s">
        <v>3047</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4"/>
      <c r="I112" s="325" t="s">
        <v>3048</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4"/>
      <c r="I113" s="325" t="s">
        <v>3049</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40" activePane="bottomRight" state="frozen"/>
      <selection activeCell="A3" sqref="A3"/>
      <selection pane="topRight" activeCell="J3" sqref="J3"/>
      <selection pane="bottomLeft" activeCell="A39" sqref="A39"/>
      <selection pane="bottomRight" activeCell="I12" sqref="I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45836.919256828704</v>
      </c>
      <c r="J11" s="635" t="s">
        <v>3378</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45836.919191088004</v>
      </c>
      <c r="J12" s="646" t="s">
        <v>3525</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3336</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3318</v>
      </c>
      <c r="X35" s="617" t="s">
        <v>3319</v>
      </c>
      <c r="Y35" s="72" t="s">
        <v>3317</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3329</v>
      </c>
      <c r="G44" s="73"/>
      <c r="H44" s="129" t="s">
        <v>2994</v>
      </c>
      <c r="I44" s="96" t="s">
        <v>692</v>
      </c>
      <c r="J44" s="96"/>
      <c r="K44" s="76"/>
      <c r="L44" s="76"/>
      <c r="M44" s="76"/>
      <c r="N44" s="76"/>
      <c r="O44" s="76"/>
      <c r="P44" s="76"/>
      <c r="Q44" s="76"/>
      <c r="R44" s="76"/>
      <c r="S44" s="76"/>
      <c r="T44" s="76" t="s">
        <v>3326</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3328</v>
      </c>
      <c r="G50" s="73"/>
      <c r="H50" s="129" t="s">
        <v>464</v>
      </c>
      <c r="I50" s="96" t="s">
        <v>465</v>
      </c>
      <c r="J50" s="96"/>
      <c r="K50" s="76"/>
      <c r="L50" s="76"/>
      <c r="M50" s="76"/>
      <c r="N50" s="76"/>
      <c r="O50" s="76"/>
      <c r="P50" s="76"/>
      <c r="Q50" s="76"/>
      <c r="R50" s="76"/>
      <c r="S50" s="76"/>
      <c r="T50" s="76" t="s">
        <v>3326</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3327</v>
      </c>
      <c r="G51" s="73"/>
      <c r="H51" s="129" t="s">
        <v>466</v>
      </c>
      <c r="I51" s="96" t="s">
        <v>1419</v>
      </c>
      <c r="J51" s="96"/>
      <c r="K51" s="76"/>
      <c r="L51" s="76"/>
      <c r="M51" s="76"/>
      <c r="N51" s="76"/>
      <c r="O51" s="76"/>
      <c r="P51" s="76"/>
      <c r="Q51" s="76"/>
      <c r="R51" s="76"/>
      <c r="S51" s="76"/>
      <c r="T51" s="76" t="s">
        <v>3326</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3326</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3279</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2844</v>
      </c>
      <c r="G192" s="73"/>
      <c r="H192" s="76" t="s">
        <v>3227</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3224</v>
      </c>
      <c r="S192" s="76" t="s">
        <v>3224</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2845</v>
      </c>
      <c r="G193" s="73"/>
      <c r="H193" s="76" t="s">
        <v>3228</v>
      </c>
      <c r="I193" s="96" t="s">
        <v>2856</v>
      </c>
      <c r="J193" s="96"/>
      <c r="K193" s="97">
        <v>7.6536</v>
      </c>
      <c r="L193" s="97">
        <v>7.6536</v>
      </c>
      <c r="M193" s="97">
        <v>7.6536</v>
      </c>
      <c r="N193" s="97">
        <v>7.6536</v>
      </c>
      <c r="O193" s="97">
        <v>7.6536</v>
      </c>
      <c r="P193" s="97">
        <v>7.6536</v>
      </c>
      <c r="Q193" s="76"/>
      <c r="R193" s="76" t="s">
        <v>3224</v>
      </c>
      <c r="S193" s="76" t="s">
        <v>3224</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2848</v>
      </c>
      <c r="G198" s="73"/>
      <c r="H198" s="76" t="s">
        <v>3225</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3224</v>
      </c>
      <c r="S198" s="76" t="s">
        <v>3224</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2851</v>
      </c>
      <c r="G199" s="73"/>
      <c r="H199" s="76" t="s">
        <v>3226</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3224</v>
      </c>
      <c r="S199" s="76" t="s">
        <v>3224</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3280</v>
      </c>
      <c r="G203" s="73"/>
      <c r="H203" s="76" t="s">
        <v>3288</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3281</v>
      </c>
      <c r="G204" s="73"/>
      <c r="H204" s="76" t="s">
        <v>3289</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3282</v>
      </c>
      <c r="G205" s="73"/>
      <c r="H205" s="76" t="s">
        <v>3290</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3283</v>
      </c>
      <c r="G206" s="73"/>
      <c r="H206" s="76" t="s">
        <v>3291</v>
      </c>
      <c r="I206" s="96" t="s">
        <v>626</v>
      </c>
      <c r="J206" s="96"/>
      <c r="K206" s="281">
        <f>1/(1+K$194)</f>
        <v>0.69930069930069938</v>
      </c>
      <c r="L206" s="281">
        <f t="shared" si="35"/>
        <v>0.69930069930069938</v>
      </c>
      <c r="M206" s="76"/>
      <c r="N206" s="76"/>
      <c r="O206" s="76"/>
      <c r="P206" s="76"/>
      <c r="Q206" s="76"/>
      <c r="R206" s="76" t="s">
        <v>3295</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3285</v>
      </c>
      <c r="G207" s="73"/>
      <c r="H207" s="76" t="s">
        <v>3292</v>
      </c>
      <c r="I207" s="96" t="s">
        <v>626</v>
      </c>
      <c r="J207" s="96"/>
      <c r="K207" s="258">
        <v>1</v>
      </c>
      <c r="L207" s="258">
        <f t="shared" si="35"/>
        <v>1</v>
      </c>
      <c r="M207" s="76"/>
      <c r="N207" s="76"/>
      <c r="O207" s="76"/>
      <c r="P207" s="76"/>
      <c r="Q207" s="76"/>
      <c r="R207" s="76" t="s">
        <v>3295</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3284</v>
      </c>
      <c r="G208" s="73"/>
      <c r="H208" s="76" t="s">
        <v>3293</v>
      </c>
      <c r="I208" s="96" t="s">
        <v>626</v>
      </c>
      <c r="J208" s="96"/>
      <c r="K208" s="281">
        <f>1/(1+K$195)</f>
        <v>0.4</v>
      </c>
      <c r="L208" s="281">
        <f t="shared" si="35"/>
        <v>0.4</v>
      </c>
      <c r="M208" s="76"/>
      <c r="N208" s="76"/>
      <c r="O208" s="76"/>
      <c r="P208" s="76"/>
      <c r="Q208" s="76"/>
      <c r="R208" s="76" t="s">
        <v>3295</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3286</v>
      </c>
      <c r="G209" s="73"/>
      <c r="H209" s="76" t="s">
        <v>3294</v>
      </c>
      <c r="I209" s="96" t="s">
        <v>626</v>
      </c>
      <c r="J209" s="96"/>
      <c r="K209" s="258">
        <v>1</v>
      </c>
      <c r="L209" s="258">
        <f t="shared" si="35"/>
        <v>1</v>
      </c>
      <c r="M209" s="76"/>
      <c r="N209" s="76"/>
      <c r="O209" s="76"/>
      <c r="P209" s="76"/>
      <c r="Q209" s="76"/>
      <c r="R209" s="76" t="s">
        <v>3295</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3287</v>
      </c>
      <c r="G210" s="73"/>
      <c r="H210" s="76" t="s">
        <v>3297</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3296</v>
      </c>
      <c r="G211" s="73"/>
      <c r="H211" s="76" t="s">
        <v>3314</v>
      </c>
      <c r="I211" s="96" t="s">
        <v>626</v>
      </c>
      <c r="J211" s="96"/>
      <c r="K211" s="281">
        <f>0.448*K$175</f>
        <v>0.224</v>
      </c>
      <c r="L211" s="281">
        <f>K211</f>
        <v>0.224</v>
      </c>
      <c r="M211" s="76"/>
      <c r="N211" s="76"/>
      <c r="O211" s="76"/>
      <c r="P211" s="76"/>
      <c r="Q211" s="76"/>
      <c r="R211" s="76" t="s">
        <v>3316</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3313</v>
      </c>
      <c r="G212" s="73"/>
      <c r="H212" s="76" t="s">
        <v>3315</v>
      </c>
      <c r="I212" s="96" t="s">
        <v>626</v>
      </c>
      <c r="J212" s="96"/>
      <c r="K212" s="281">
        <f>0.448*K$176</f>
        <v>8.9600000000000009E-3</v>
      </c>
      <c r="L212" s="281">
        <f>K212</f>
        <v>8.9600000000000009E-3</v>
      </c>
      <c r="M212" s="76"/>
      <c r="N212" s="76"/>
      <c r="O212" s="76"/>
      <c r="P212" s="76"/>
      <c r="Q212" s="76"/>
      <c r="R212" s="76" t="s">
        <v>3316</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2862</v>
      </c>
      <c r="G234" s="73"/>
      <c r="H234" s="76" t="s">
        <v>3229</v>
      </c>
      <c r="I234" s="96" t="s">
        <v>2865</v>
      </c>
      <c r="J234" s="96"/>
      <c r="K234" s="97">
        <v>0</v>
      </c>
      <c r="L234" s="97">
        <v>0</v>
      </c>
      <c r="M234" s="97">
        <v>0</v>
      </c>
      <c r="N234" s="97">
        <v>0</v>
      </c>
      <c r="O234" s="97">
        <v>0</v>
      </c>
      <c r="P234" s="97">
        <v>0</v>
      </c>
      <c r="Q234" s="76"/>
      <c r="R234" s="76" t="s">
        <v>3235</v>
      </c>
      <c r="S234" s="76" t="s">
        <v>3235</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3235</v>
      </c>
      <c r="S235" s="76" t="s">
        <v>3235</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3235</v>
      </c>
      <c r="S236" s="76" t="s">
        <v>3235</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3230</v>
      </c>
      <c r="G237" s="73"/>
      <c r="H237" s="76" t="s">
        <v>662</v>
      </c>
      <c r="I237" s="96" t="s">
        <v>502</v>
      </c>
      <c r="J237" s="96"/>
      <c r="K237" s="97">
        <v>0.106</v>
      </c>
      <c r="L237" s="97">
        <v>0.106</v>
      </c>
      <c r="M237" s="97">
        <v>0.106</v>
      </c>
      <c r="N237" s="97">
        <v>0.106</v>
      </c>
      <c r="O237" s="97">
        <v>0.106</v>
      </c>
      <c r="P237" s="97">
        <v>0.106</v>
      </c>
      <c r="Q237" s="76"/>
      <c r="R237" s="76" t="s">
        <v>3234</v>
      </c>
      <c r="S237" s="76" t="s">
        <v>3234</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3231</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3234</v>
      </c>
      <c r="S238" s="76" t="s">
        <v>3234</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3233</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3234</v>
      </c>
      <c r="S239" s="76" t="s">
        <v>3234</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3232</v>
      </c>
      <c r="G240" s="73"/>
      <c r="H240" s="76" t="s">
        <v>671</v>
      </c>
      <c r="I240" s="96" t="s">
        <v>502</v>
      </c>
      <c r="J240" s="96"/>
      <c r="K240" s="97">
        <v>0.39</v>
      </c>
      <c r="L240" s="97">
        <v>0.39</v>
      </c>
      <c r="M240" s="97">
        <v>0.39</v>
      </c>
      <c r="N240" s="97">
        <v>0.39</v>
      </c>
      <c r="O240" s="97">
        <v>0.39</v>
      </c>
      <c r="P240" s="97">
        <v>0.39</v>
      </c>
      <c r="Q240" s="76"/>
      <c r="R240" s="76" t="s">
        <v>3234</v>
      </c>
      <c r="S240" s="76" t="s">
        <v>3234</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3309</v>
      </c>
      <c r="G277" s="73"/>
      <c r="H277" s="76" t="s">
        <v>3310</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3311</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3326</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3266</v>
      </c>
      <c r="I310" s="96" t="s">
        <v>3268</v>
      </c>
      <c r="J310" s="96"/>
      <c r="K310" s="97">
        <v>31.7</v>
      </c>
      <c r="L310" s="97">
        <v>31.7</v>
      </c>
      <c r="M310" s="76"/>
      <c r="N310" s="76"/>
      <c r="O310" s="76"/>
      <c r="P310" s="76"/>
      <c r="Q310" s="76"/>
      <c r="R310" s="76" t="s">
        <v>3267</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3326</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3326</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3269</v>
      </c>
      <c r="G332" s="73"/>
      <c r="H332" s="76" t="s">
        <v>3270</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3271</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3330</v>
      </c>
      <c r="G333" s="73"/>
      <c r="H333" s="76" t="s">
        <v>3333</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3332</v>
      </c>
      <c r="G334" s="73"/>
      <c r="H334" s="76" t="s">
        <v>3335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3334</v>
      </c>
      <c r="G335" s="73"/>
      <c r="H335" s="76" t="s">
        <v>3338</v>
      </c>
      <c r="I335" s="96"/>
      <c r="J335" s="96"/>
      <c r="K335" s="76"/>
      <c r="L335" s="76"/>
      <c r="M335" s="76"/>
      <c r="N335" s="76"/>
      <c r="O335" s="76"/>
      <c r="P335" s="76"/>
      <c r="Q335" s="76"/>
      <c r="R335" s="76"/>
      <c r="S335" s="76"/>
      <c r="T335" s="76" t="s">
        <v>3326</v>
      </c>
      <c r="U335" s="97">
        <v>0.85</v>
      </c>
      <c r="V335" s="97">
        <v>0.85</v>
      </c>
      <c r="W335" s="97">
        <v>0.85</v>
      </c>
      <c r="X335" s="97">
        <v>0.85</v>
      </c>
      <c r="Y335" s="97">
        <v>0.85</v>
      </c>
      <c r="Z335" s="97">
        <v>0.85</v>
      </c>
      <c r="AA335" s="97">
        <v>0.85</v>
      </c>
      <c r="AB335" s="97">
        <v>0.85</v>
      </c>
      <c r="AC335" s="97">
        <v>0.85</v>
      </c>
      <c r="AD335" s="97">
        <v>0.85</v>
      </c>
      <c r="AE335" s="76"/>
      <c r="AF335" s="97" t="s">
        <v>3331</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3337</v>
      </c>
      <c r="G336" s="73"/>
      <c r="H336" s="76" t="s">
        <v>3339</v>
      </c>
      <c r="I336" s="96"/>
      <c r="J336" s="96"/>
      <c r="K336" s="76"/>
      <c r="L336" s="76"/>
      <c r="M336" s="76"/>
      <c r="N336" s="76"/>
      <c r="O336" s="76"/>
      <c r="P336" s="76"/>
      <c r="Q336" s="76"/>
      <c r="R336" s="76"/>
      <c r="S336" s="76"/>
      <c r="T336" s="76" t="s">
        <v>3326</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3326</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3326</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3276</v>
      </c>
      <c r="G394" s="73"/>
      <c r="H394" s="76" t="s">
        <v>3299</v>
      </c>
      <c r="I394" s="96" t="s">
        <v>502</v>
      </c>
      <c r="J394" s="96"/>
      <c r="K394" s="281">
        <v>0.1</v>
      </c>
      <c r="L394" s="281">
        <v>0.1</v>
      </c>
      <c r="M394" s="281">
        <v>0.1</v>
      </c>
      <c r="N394" s="281">
        <v>0.1</v>
      </c>
      <c r="O394" s="281">
        <v>0.1</v>
      </c>
      <c r="P394" s="281">
        <v>0.1</v>
      </c>
      <c r="Q394" s="76"/>
      <c r="R394" s="76" t="s">
        <v>3277</v>
      </c>
      <c r="S394" s="76" t="s">
        <v>3277</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3301</v>
      </c>
      <c r="G395" s="73"/>
      <c r="H395" s="76" t="s">
        <v>3298</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3300</v>
      </c>
      <c r="S395" s="76" t="s">
        <v>3277</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3326</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3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3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3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3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3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3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3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3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3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3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3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3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3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3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3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3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3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3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3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3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3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3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3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3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3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3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3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3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3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3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3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3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3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3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3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3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3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3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3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3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3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3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3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3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3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3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3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3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3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3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3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3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3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3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3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3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3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3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3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3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3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3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3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3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3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3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3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3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3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3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3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3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3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3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3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3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3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3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3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3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3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3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3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3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3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3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3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3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3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3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3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3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3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3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3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3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3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3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3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3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3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3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3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3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3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3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3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3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3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3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3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3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3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3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3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3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3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3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3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3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3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3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3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3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3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3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3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3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3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3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3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3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3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3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3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3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3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3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3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3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3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3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3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3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3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3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3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3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3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3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3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3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3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3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3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3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3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3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3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3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3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3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3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3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3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3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3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3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3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3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3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3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3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3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3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3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3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3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3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3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3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3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3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collapsed="1" x14ac:dyDescent="0.3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3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3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3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3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3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3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3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3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3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3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3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3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3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35">
      <c r="A920" s="45"/>
      <c r="B920" s="54"/>
      <c r="C920" s="47">
        <f t="shared" si="166"/>
        <v>3</v>
      </c>
      <c r="D920" s="73"/>
      <c r="E920" s="70"/>
      <c r="F920" s="70" t="s">
        <v>2531</v>
      </c>
      <c r="G920" s="73"/>
      <c r="H920" s="76" t="s">
        <v>3353</v>
      </c>
      <c r="I920" s="96" t="s">
        <v>502</v>
      </c>
      <c r="J920" s="96"/>
      <c r="K920" s="76"/>
      <c r="L920" s="76"/>
      <c r="M920" s="76"/>
      <c r="N920" s="76"/>
      <c r="O920" s="76"/>
      <c r="P920" s="76"/>
      <c r="Q920" s="76"/>
      <c r="R920" s="76"/>
      <c r="S920" s="76"/>
      <c r="T920" s="76" t="s">
        <v>3326</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3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3326</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3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3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35">
      <c r="A924" s="45"/>
      <c r="B924" s="54"/>
      <c r="C924" s="47">
        <f t="shared" si="166"/>
        <v>3</v>
      </c>
      <c r="D924" s="73"/>
      <c r="E924" s="70"/>
      <c r="F924" s="70" t="s">
        <v>3358</v>
      </c>
      <c r="G924" s="73"/>
      <c r="H924" s="76" t="s">
        <v>2596</v>
      </c>
      <c r="I924" s="96" t="s">
        <v>502</v>
      </c>
      <c r="J924" s="96"/>
      <c r="K924" s="76"/>
      <c r="L924" s="76"/>
      <c r="M924" s="76"/>
      <c r="N924" s="76"/>
      <c r="O924" s="76"/>
      <c r="P924" s="76"/>
      <c r="Q924" s="76"/>
      <c r="R924" s="76"/>
      <c r="S924" s="76"/>
      <c r="T924" s="76" t="s">
        <v>3326</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35">
      <c r="A925" s="45"/>
      <c r="B925" s="54"/>
      <c r="C925" s="47">
        <f t="shared" si="166"/>
        <v>3</v>
      </c>
      <c r="D925" s="73"/>
      <c r="E925" s="70"/>
      <c r="F925" s="70" t="s">
        <v>3359</v>
      </c>
      <c r="G925" s="73"/>
      <c r="H925" s="76" t="s">
        <v>2536</v>
      </c>
      <c r="I925" s="96" t="s">
        <v>502</v>
      </c>
      <c r="J925" s="96"/>
      <c r="K925" s="76"/>
      <c r="L925" s="76"/>
      <c r="M925" s="76"/>
      <c r="N925" s="76"/>
      <c r="O925" s="76"/>
      <c r="P925" s="76"/>
      <c r="Q925" s="76"/>
      <c r="R925" s="76"/>
      <c r="S925" s="76"/>
      <c r="T925" s="76" t="s">
        <v>3326</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35">
      <c r="A926" s="45"/>
      <c r="B926" s="54"/>
      <c r="C926" s="47">
        <f t="shared" si="166"/>
        <v>3</v>
      </c>
      <c r="D926" s="73"/>
      <c r="E926" s="70"/>
      <c r="F926" s="70" t="s">
        <v>3360</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35">
      <c r="A927" s="45"/>
      <c r="B927" s="54"/>
      <c r="C927" s="47">
        <f t="shared" si="166"/>
        <v>3</v>
      </c>
      <c r="D927" s="73"/>
      <c r="E927" s="70"/>
      <c r="F927" s="70" t="s">
        <v>3361</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35">
      <c r="A928" s="45"/>
      <c r="B928" s="54"/>
      <c r="C928" s="47">
        <f t="shared" si="166"/>
        <v>3</v>
      </c>
      <c r="D928" s="73"/>
      <c r="E928" s="70"/>
      <c r="F928" s="70" t="s">
        <v>3427</v>
      </c>
      <c r="G928" s="73"/>
      <c r="H928" s="76" t="s">
        <v>3420</v>
      </c>
      <c r="I928" s="96" t="s">
        <v>502</v>
      </c>
      <c r="J928" s="96"/>
      <c r="K928" s="76"/>
      <c r="L928" s="76"/>
      <c r="M928" s="76"/>
      <c r="N928" s="76"/>
      <c r="O928" s="76"/>
      <c r="P928" s="76"/>
      <c r="Q928" s="76"/>
      <c r="R928" s="76"/>
      <c r="S928" s="76"/>
      <c r="T928" s="76"/>
      <c r="U928" s="97">
        <v>0</v>
      </c>
      <c r="V928" s="255">
        <f t="shared" ref="V928:V931" si="182">U928</f>
        <v>0</v>
      </c>
      <c r="W928" s="255">
        <f t="shared" ref="W928:W929" si="183">U928</f>
        <v>0</v>
      </c>
      <c r="X928" s="255">
        <f t="shared" ref="X928:X929" si="184">V928</f>
        <v>0</v>
      </c>
      <c r="Y928" s="255">
        <f t="shared" ref="Y928:Y929"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3422</v>
      </c>
      <c r="AG928" s="76"/>
      <c r="AH928" s="76">
        <v>1</v>
      </c>
      <c r="AI928" s="76">
        <v>1</v>
      </c>
      <c r="AJ928" s="73"/>
      <c r="AK928" s="57"/>
      <c r="AL928" s="45"/>
      <c r="AM928" s="45"/>
      <c r="AN928" s="45"/>
    </row>
    <row r="929" spans="1:40" hidden="1" outlineLevel="2" x14ac:dyDescent="0.35">
      <c r="A929" s="45"/>
      <c r="B929" s="54"/>
      <c r="C929" s="47">
        <f t="shared" si="166"/>
        <v>3</v>
      </c>
      <c r="D929" s="73"/>
      <c r="E929" s="70"/>
      <c r="F929" s="70" t="s">
        <v>3428</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3426</v>
      </c>
      <c r="AG929" s="76"/>
      <c r="AH929" s="97">
        <v>1</v>
      </c>
      <c r="AI929" s="97">
        <v>1</v>
      </c>
      <c r="AJ929" s="73"/>
      <c r="AK929" s="57"/>
      <c r="AL929" s="45"/>
      <c r="AM929" s="45"/>
      <c r="AN929" s="45"/>
    </row>
    <row r="930" spans="1:40" hidden="1" outlineLevel="2" x14ac:dyDescent="0.35">
      <c r="A930" s="45"/>
      <c r="B930" s="54"/>
      <c r="C930" s="47">
        <f t="shared" si="166"/>
        <v>3</v>
      </c>
      <c r="D930" s="73"/>
      <c r="E930" s="70"/>
      <c r="F930" s="70" t="s">
        <v>3429</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35">
      <c r="A931" s="45"/>
      <c r="B931" s="54"/>
      <c r="C931" s="47">
        <f t="shared" si="166"/>
        <v>3</v>
      </c>
      <c r="D931" s="73"/>
      <c r="E931" s="70"/>
      <c r="F931" s="70" t="s">
        <v>3430</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3421</v>
      </c>
      <c r="AG931" s="76"/>
      <c r="AH931" s="76">
        <v>1</v>
      </c>
      <c r="AI931" s="76">
        <v>1</v>
      </c>
      <c r="AJ931" s="73"/>
      <c r="AK931" s="57"/>
      <c r="AL931" s="45"/>
      <c r="AM931" s="45"/>
      <c r="AN931" s="45"/>
    </row>
    <row r="932" spans="1:40" hidden="1" outlineLevel="2" x14ac:dyDescent="0.35">
      <c r="A932" s="45"/>
      <c r="B932" s="54"/>
      <c r="C932" s="47">
        <f t="shared" si="166"/>
        <v>3</v>
      </c>
      <c r="D932" s="73"/>
      <c r="E932" s="70"/>
      <c r="F932" s="70" t="s">
        <v>3431</v>
      </c>
      <c r="G932" s="73"/>
      <c r="H932" s="76" t="s">
        <v>3423</v>
      </c>
      <c r="I932" s="96" t="s">
        <v>502</v>
      </c>
      <c r="J932" s="96"/>
      <c r="K932" s="76"/>
      <c r="L932" s="76"/>
      <c r="M932" s="76"/>
      <c r="N932" s="76"/>
      <c r="O932" s="76"/>
      <c r="P932" s="76"/>
      <c r="Q932" s="76"/>
      <c r="R932" s="76"/>
      <c r="S932" s="76"/>
      <c r="T932" s="76"/>
      <c r="U932" s="97">
        <v>0</v>
      </c>
      <c r="V932" s="255">
        <f t="shared" ref="V932:V935" si="191">U932</f>
        <v>0</v>
      </c>
      <c r="W932" s="255">
        <f t="shared" ref="W932:W933" si="192">U932</f>
        <v>0</v>
      </c>
      <c r="X932" s="255">
        <f t="shared" ref="X932:X933" si="193">V932</f>
        <v>0</v>
      </c>
      <c r="Y932" s="255">
        <f t="shared" ref="Y932:Y933"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3422</v>
      </c>
      <c r="AG932" s="76"/>
      <c r="AH932" s="76">
        <v>1</v>
      </c>
      <c r="AI932" s="76">
        <v>1</v>
      </c>
      <c r="AJ932" s="73"/>
      <c r="AK932" s="57"/>
      <c r="AL932" s="45"/>
      <c r="AM932" s="45"/>
      <c r="AN932" s="45"/>
    </row>
    <row r="933" spans="1:40" hidden="1" outlineLevel="2" x14ac:dyDescent="0.35">
      <c r="A933" s="45"/>
      <c r="B933" s="54"/>
      <c r="C933" s="47">
        <f t="shared" si="166"/>
        <v>3</v>
      </c>
      <c r="D933" s="73"/>
      <c r="E933" s="70"/>
      <c r="F933" s="70" t="s">
        <v>3432</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3426</v>
      </c>
      <c r="AG933" s="76"/>
      <c r="AH933" s="97">
        <v>1</v>
      </c>
      <c r="AI933" s="97">
        <v>1</v>
      </c>
      <c r="AJ933" s="73"/>
      <c r="AK933" s="57"/>
      <c r="AL933" s="45"/>
      <c r="AM933" s="45"/>
      <c r="AN933" s="45"/>
    </row>
    <row r="934" spans="1:40" hidden="1" outlineLevel="2" x14ac:dyDescent="0.35">
      <c r="A934" s="45"/>
      <c r="B934" s="54"/>
      <c r="C934" s="47">
        <f t="shared" si="166"/>
        <v>3</v>
      </c>
      <c r="D934" s="73"/>
      <c r="E934" s="70"/>
      <c r="F934" s="70" t="s">
        <v>3433</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35">
      <c r="A935" s="45"/>
      <c r="B935" s="54"/>
      <c r="C935" s="47">
        <f t="shared" si="166"/>
        <v>3</v>
      </c>
      <c r="D935" s="73"/>
      <c r="E935" s="70"/>
      <c r="F935" s="70" t="s">
        <v>3434</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3421</v>
      </c>
      <c r="AG935" s="76"/>
      <c r="AH935" s="76">
        <v>1</v>
      </c>
      <c r="AI935" s="76">
        <v>1</v>
      </c>
      <c r="AJ935" s="73"/>
      <c r="AK935" s="57"/>
      <c r="AL935" s="45"/>
      <c r="AM935" s="45"/>
      <c r="AN935" s="45"/>
    </row>
    <row r="936" spans="1:40" hidden="1" outlineLevel="2" x14ac:dyDescent="0.35">
      <c r="A936" s="45"/>
      <c r="B936" s="54"/>
      <c r="C936" s="47">
        <f t="shared" si="166"/>
        <v>3</v>
      </c>
      <c r="D936" s="73"/>
      <c r="E936" s="70"/>
      <c r="F936" s="70" t="s">
        <v>3435</v>
      </c>
      <c r="G936" s="73"/>
      <c r="H936" s="76" t="s">
        <v>3425</v>
      </c>
      <c r="I936" s="96" t="s">
        <v>502</v>
      </c>
      <c r="J936" s="96"/>
      <c r="K936" s="76"/>
      <c r="L936" s="76"/>
      <c r="M936" s="76"/>
      <c r="N936" s="76"/>
      <c r="O936" s="76"/>
      <c r="P936" s="76"/>
      <c r="Q936" s="76"/>
      <c r="R936" s="76"/>
      <c r="S936" s="76"/>
      <c r="T936" s="76"/>
      <c r="U936" s="97">
        <v>0</v>
      </c>
      <c r="V936" s="255">
        <f t="shared" ref="V936:V939" si="200">U936</f>
        <v>0</v>
      </c>
      <c r="W936" s="255">
        <f t="shared" ref="W936:W937" si="201">U936</f>
        <v>0</v>
      </c>
      <c r="X936" s="255">
        <f t="shared" ref="X936:X937" si="202">V936</f>
        <v>0</v>
      </c>
      <c r="Y936" s="255">
        <f t="shared" ref="Y936:Y937"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3422</v>
      </c>
      <c r="AG936" s="76"/>
      <c r="AH936" s="76">
        <v>1</v>
      </c>
      <c r="AI936" s="76">
        <v>1</v>
      </c>
      <c r="AJ936" s="73"/>
      <c r="AK936" s="57"/>
      <c r="AL936" s="45"/>
      <c r="AM936" s="45"/>
      <c r="AN936" s="45"/>
    </row>
    <row r="937" spans="1:40" hidden="1" outlineLevel="2" x14ac:dyDescent="0.35">
      <c r="A937" s="45"/>
      <c r="B937" s="54"/>
      <c r="C937" s="47">
        <f t="shared" si="166"/>
        <v>3</v>
      </c>
      <c r="D937" s="73"/>
      <c r="E937" s="70"/>
      <c r="F937" s="70" t="s">
        <v>3436</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3426</v>
      </c>
      <c r="AG937" s="76"/>
      <c r="AH937" s="97">
        <v>1</v>
      </c>
      <c r="AI937" s="97">
        <v>1</v>
      </c>
      <c r="AJ937" s="73"/>
      <c r="AK937" s="57"/>
      <c r="AL937" s="45"/>
      <c r="AM937" s="45"/>
      <c r="AN937" s="45"/>
    </row>
    <row r="938" spans="1:40" hidden="1" outlineLevel="2" x14ac:dyDescent="0.35">
      <c r="A938" s="45"/>
      <c r="B938" s="54"/>
      <c r="C938" s="47">
        <f t="shared" si="166"/>
        <v>3</v>
      </c>
      <c r="D938" s="73"/>
      <c r="E938" s="70"/>
      <c r="F938" s="70" t="s">
        <v>3437</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35">
      <c r="A939" s="45"/>
      <c r="B939" s="54"/>
      <c r="C939" s="47">
        <f t="shared" si="166"/>
        <v>3</v>
      </c>
      <c r="D939" s="73"/>
      <c r="E939" s="70"/>
      <c r="F939" s="70" t="s">
        <v>3438</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3421</v>
      </c>
      <c r="AG939" s="76"/>
      <c r="AH939" s="76">
        <v>1</v>
      </c>
      <c r="AI939" s="76">
        <v>1</v>
      </c>
      <c r="AJ939" s="73"/>
      <c r="AK939" s="57"/>
      <c r="AL939" s="45"/>
      <c r="AM939" s="45"/>
      <c r="AN939" s="45"/>
    </row>
    <row r="940" spans="1:40" hidden="1" outlineLevel="2" x14ac:dyDescent="0.35">
      <c r="A940" s="45"/>
      <c r="B940" s="54"/>
      <c r="C940" s="47">
        <f t="shared" si="166"/>
        <v>3</v>
      </c>
      <c r="D940" s="73"/>
      <c r="E940" s="70"/>
      <c r="F940" s="70" t="s">
        <v>3439</v>
      </c>
      <c r="G940" s="73"/>
      <c r="H940" s="76" t="s">
        <v>3424</v>
      </c>
      <c r="I940" s="96" t="s">
        <v>502</v>
      </c>
      <c r="J940" s="96"/>
      <c r="K940" s="76"/>
      <c r="L940" s="76"/>
      <c r="M940" s="76"/>
      <c r="N940" s="76"/>
      <c r="O940" s="76"/>
      <c r="P940" s="76"/>
      <c r="Q940" s="76"/>
      <c r="R940" s="76"/>
      <c r="S940" s="76"/>
      <c r="T940" s="76"/>
      <c r="U940" s="97">
        <v>0</v>
      </c>
      <c r="V940" s="255">
        <f t="shared" ref="V940:V943" si="209">U940</f>
        <v>0</v>
      </c>
      <c r="W940" s="255">
        <f t="shared" ref="W940:W941" si="210">U940</f>
        <v>0</v>
      </c>
      <c r="X940" s="255">
        <f t="shared" ref="X940:X941" si="211">V940</f>
        <v>0</v>
      </c>
      <c r="Y940" s="255">
        <f t="shared" ref="Y940:Y941"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3422</v>
      </c>
      <c r="AG940" s="76"/>
      <c r="AH940" s="76">
        <v>1</v>
      </c>
      <c r="AI940" s="76">
        <v>1</v>
      </c>
      <c r="AJ940" s="73"/>
      <c r="AK940" s="57"/>
      <c r="AL940" s="45"/>
      <c r="AM940" s="45"/>
      <c r="AN940" s="45"/>
    </row>
    <row r="941" spans="1:40" hidden="1" outlineLevel="2" x14ac:dyDescent="0.35">
      <c r="A941" s="45"/>
      <c r="B941" s="54"/>
      <c r="C941" s="47">
        <f t="shared" ref="C941:C971" si="217">INT($C$29)+2</f>
        <v>3</v>
      </c>
      <c r="D941" s="73"/>
      <c r="E941" s="70"/>
      <c r="F941" s="70" t="s">
        <v>3440</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3426</v>
      </c>
      <c r="AG941" s="76"/>
      <c r="AH941" s="97">
        <v>1</v>
      </c>
      <c r="AI941" s="97">
        <v>1</v>
      </c>
      <c r="AJ941" s="73"/>
      <c r="AK941" s="57"/>
      <c r="AL941" s="45"/>
      <c r="AM941" s="45"/>
      <c r="AN941" s="45"/>
    </row>
    <row r="942" spans="1:40" hidden="1" outlineLevel="2" x14ac:dyDescent="0.35">
      <c r="A942" s="45"/>
      <c r="B942" s="54"/>
      <c r="C942" s="47">
        <f t="shared" si="217"/>
        <v>3</v>
      </c>
      <c r="D942" s="73"/>
      <c r="E942" s="70"/>
      <c r="F942" s="70" t="s">
        <v>3441</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35">
      <c r="A943" s="45"/>
      <c r="B943" s="54"/>
      <c r="C943" s="47">
        <f t="shared" si="217"/>
        <v>3</v>
      </c>
      <c r="D943" s="73"/>
      <c r="E943" s="70"/>
      <c r="F943" s="70" t="s">
        <v>3442</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3421</v>
      </c>
      <c r="AG943" s="76"/>
      <c r="AH943" s="76">
        <v>1</v>
      </c>
      <c r="AI943" s="76">
        <v>1</v>
      </c>
      <c r="AJ943" s="73"/>
      <c r="AK943" s="57"/>
      <c r="AL943" s="45"/>
      <c r="AM943" s="45"/>
      <c r="AN943" s="45"/>
    </row>
    <row r="944" spans="1:40" hidden="1" outlineLevel="2" x14ac:dyDescent="0.35">
      <c r="A944" s="45"/>
      <c r="B944" s="54"/>
      <c r="C944" s="47">
        <f t="shared" si="217"/>
        <v>3</v>
      </c>
      <c r="D944" s="73"/>
      <c r="E944" s="70"/>
      <c r="F944" s="70" t="s">
        <v>3444</v>
      </c>
      <c r="G944" s="73"/>
      <c r="H944" s="76" t="s">
        <v>3469</v>
      </c>
      <c r="I944" s="96" t="s">
        <v>502</v>
      </c>
      <c r="J944" s="96"/>
      <c r="K944" s="76"/>
      <c r="L944" s="76"/>
      <c r="M944" s="76"/>
      <c r="N944" s="76"/>
      <c r="O944" s="76"/>
      <c r="P944" s="76"/>
      <c r="Q944" s="76"/>
      <c r="R944" s="76"/>
      <c r="S944" s="76"/>
      <c r="T944" s="76"/>
      <c r="U944" s="97">
        <v>0</v>
      </c>
      <c r="V944" s="255">
        <f t="shared" ref="V944:V947" si="219">U944</f>
        <v>0</v>
      </c>
      <c r="W944" s="255">
        <f t="shared" ref="W944:W945" si="220">U944</f>
        <v>0</v>
      </c>
      <c r="X944" s="255">
        <f t="shared" ref="X944:X945" si="221">V944</f>
        <v>0</v>
      </c>
      <c r="Y944" s="255">
        <f t="shared" ref="Y944:Y945"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3422</v>
      </c>
      <c r="AG944" s="76"/>
      <c r="AH944" s="76">
        <v>1</v>
      </c>
      <c r="AI944" s="76">
        <v>1</v>
      </c>
      <c r="AJ944" s="73"/>
      <c r="AK944" s="57"/>
      <c r="AL944" s="45"/>
      <c r="AM944" s="45"/>
      <c r="AN944" s="45"/>
    </row>
    <row r="945" spans="1:40" hidden="1" outlineLevel="2" x14ac:dyDescent="0.35">
      <c r="A945" s="45"/>
      <c r="B945" s="54"/>
      <c r="C945" s="47">
        <f t="shared" si="217"/>
        <v>3</v>
      </c>
      <c r="D945" s="73"/>
      <c r="E945" s="70"/>
      <c r="F945" s="70" t="s">
        <v>3445</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3443</v>
      </c>
      <c r="AG945" s="76"/>
      <c r="AH945" s="97">
        <v>1</v>
      </c>
      <c r="AI945" s="97">
        <v>1</v>
      </c>
      <c r="AJ945" s="73"/>
      <c r="AK945" s="57"/>
      <c r="AL945" s="45"/>
      <c r="AM945" s="45"/>
      <c r="AN945" s="45"/>
    </row>
    <row r="946" spans="1:40" hidden="1" outlineLevel="2" x14ac:dyDescent="0.35">
      <c r="A946" s="45"/>
      <c r="B946" s="54"/>
      <c r="C946" s="47">
        <f t="shared" si="217"/>
        <v>3</v>
      </c>
      <c r="D946" s="73"/>
      <c r="E946" s="70"/>
      <c r="F946" s="70" t="s">
        <v>3446</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35">
      <c r="A947" s="45"/>
      <c r="B947" s="54"/>
      <c r="C947" s="47">
        <f t="shared" si="217"/>
        <v>3</v>
      </c>
      <c r="D947" s="73"/>
      <c r="E947" s="70"/>
      <c r="F947" s="70" t="s">
        <v>3447</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3421</v>
      </c>
      <c r="AG947" s="76"/>
      <c r="AH947" s="76">
        <v>1</v>
      </c>
      <c r="AI947" s="76">
        <v>1</v>
      </c>
      <c r="AJ947" s="73"/>
      <c r="AK947" s="57"/>
      <c r="AL947" s="45"/>
      <c r="AM947" s="45"/>
      <c r="AN947" s="45"/>
    </row>
    <row r="948" spans="1:40" hidden="1" outlineLevel="2" x14ac:dyDescent="0.35">
      <c r="A948" s="45"/>
      <c r="B948" s="54"/>
      <c r="C948" s="47">
        <f t="shared" si="217"/>
        <v>3</v>
      </c>
      <c r="D948" s="73"/>
      <c r="E948" s="70"/>
      <c r="F948" s="70" t="s">
        <v>3448</v>
      </c>
      <c r="G948" s="73"/>
      <c r="H948" s="76" t="s">
        <v>3470</v>
      </c>
      <c r="I948" s="96" t="s">
        <v>502</v>
      </c>
      <c r="J948" s="96"/>
      <c r="K948" s="76"/>
      <c r="L948" s="76"/>
      <c r="M948" s="76"/>
      <c r="N948" s="76"/>
      <c r="O948" s="76"/>
      <c r="P948" s="76"/>
      <c r="Q948" s="76"/>
      <c r="R948" s="76"/>
      <c r="S948" s="76"/>
      <c r="T948" s="76"/>
      <c r="U948" s="97">
        <v>0</v>
      </c>
      <c r="V948" s="255">
        <f t="shared" ref="V948:V963" si="228">U948</f>
        <v>0</v>
      </c>
      <c r="W948" s="255">
        <f t="shared" ref="W948:W949" si="229">U948</f>
        <v>0</v>
      </c>
      <c r="X948" s="255">
        <f t="shared" ref="X948:X949" si="230">V948</f>
        <v>0</v>
      </c>
      <c r="Y948" s="255">
        <f t="shared" ref="Y948:Y949"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3422</v>
      </c>
      <c r="AG948" s="76"/>
      <c r="AH948" s="76">
        <v>1</v>
      </c>
      <c r="AI948" s="76">
        <v>1</v>
      </c>
      <c r="AJ948" s="73"/>
      <c r="AK948" s="57"/>
      <c r="AL948" s="45"/>
      <c r="AM948" s="45"/>
      <c r="AN948" s="45"/>
    </row>
    <row r="949" spans="1:40" hidden="1" outlineLevel="2" x14ac:dyDescent="0.35">
      <c r="A949" s="45"/>
      <c r="B949" s="54"/>
      <c r="C949" s="47">
        <f t="shared" si="217"/>
        <v>3</v>
      </c>
      <c r="D949" s="73"/>
      <c r="E949" s="70"/>
      <c r="F949" s="70" t="s">
        <v>3449</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3443</v>
      </c>
      <c r="AG949" s="76"/>
      <c r="AH949" s="97">
        <v>1</v>
      </c>
      <c r="AI949" s="97">
        <v>1</v>
      </c>
      <c r="AJ949" s="73"/>
      <c r="AK949" s="57"/>
      <c r="AL949" s="45"/>
      <c r="AM949" s="45"/>
      <c r="AN949" s="45"/>
    </row>
    <row r="950" spans="1:40" hidden="1" outlineLevel="2" x14ac:dyDescent="0.35">
      <c r="A950" s="45"/>
      <c r="B950" s="54"/>
      <c r="C950" s="47">
        <f t="shared" si="217"/>
        <v>3</v>
      </c>
      <c r="D950" s="73"/>
      <c r="E950" s="70"/>
      <c r="F950" s="70" t="s">
        <v>3450</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35">
      <c r="A951" s="45"/>
      <c r="B951" s="54"/>
      <c r="C951" s="47">
        <f t="shared" si="217"/>
        <v>3</v>
      </c>
      <c r="D951" s="73"/>
      <c r="E951" s="70"/>
      <c r="F951" s="70" t="s">
        <v>3451</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3421</v>
      </c>
      <c r="AG951" s="76"/>
      <c r="AH951" s="76">
        <v>1</v>
      </c>
      <c r="AI951" s="76">
        <v>1</v>
      </c>
      <c r="AJ951" s="73"/>
      <c r="AK951" s="57"/>
      <c r="AL951" s="45"/>
      <c r="AM951" s="45"/>
      <c r="AN951" s="45"/>
    </row>
    <row r="952" spans="1:40" hidden="1" outlineLevel="2" x14ac:dyDescent="0.35">
      <c r="A952" s="45"/>
      <c r="B952" s="54"/>
      <c r="C952" s="47">
        <f t="shared" si="217"/>
        <v>3</v>
      </c>
      <c r="D952" s="73"/>
      <c r="E952" s="70"/>
      <c r="F952" s="70" t="s">
        <v>3452</v>
      </c>
      <c r="G952" s="73"/>
      <c r="H952" s="76" t="s">
        <v>3471</v>
      </c>
      <c r="I952" s="96" t="s">
        <v>502</v>
      </c>
      <c r="J952" s="96"/>
      <c r="K952" s="76"/>
      <c r="L952" s="76"/>
      <c r="M952" s="76"/>
      <c r="N952" s="76"/>
      <c r="O952" s="76"/>
      <c r="P952" s="76"/>
      <c r="Q952" s="76"/>
      <c r="R952" s="76"/>
      <c r="S952" s="76"/>
      <c r="T952" s="76"/>
      <c r="U952" s="97">
        <v>0</v>
      </c>
      <c r="V952" s="255">
        <f t="shared" si="228"/>
        <v>0</v>
      </c>
      <c r="W952" s="255">
        <f t="shared" ref="W952:W953" si="237">U952</f>
        <v>0</v>
      </c>
      <c r="X952" s="255">
        <f t="shared" ref="X952:X953" si="238">V952</f>
        <v>0</v>
      </c>
      <c r="Y952" s="255">
        <f t="shared" ref="Y952:Y953" si="239">V952</f>
        <v>0</v>
      </c>
      <c r="Z952" s="255">
        <f t="shared" si="232"/>
        <v>0</v>
      </c>
      <c r="AA952" s="97">
        <f>U952</f>
        <v>0</v>
      </c>
      <c r="AB952" s="255">
        <f t="shared" si="233"/>
        <v>0</v>
      </c>
      <c r="AC952" s="255">
        <f t="shared" si="234"/>
        <v>0</v>
      </c>
      <c r="AD952" s="255">
        <f t="shared" si="235"/>
        <v>0</v>
      </c>
      <c r="AE952" s="76"/>
      <c r="AF952" s="97" t="s">
        <v>3422</v>
      </c>
      <c r="AG952" s="76"/>
      <c r="AH952" s="76">
        <v>1</v>
      </c>
      <c r="AI952" s="76">
        <v>1</v>
      </c>
      <c r="AJ952" s="73"/>
      <c r="AK952" s="57"/>
      <c r="AL952" s="45"/>
      <c r="AM952" s="45"/>
      <c r="AN952" s="45"/>
    </row>
    <row r="953" spans="1:40" hidden="1" outlineLevel="2" x14ac:dyDescent="0.35">
      <c r="A953" s="45"/>
      <c r="B953" s="54"/>
      <c r="C953" s="47">
        <f t="shared" si="217"/>
        <v>3</v>
      </c>
      <c r="D953" s="73"/>
      <c r="E953" s="70"/>
      <c r="F953" s="70" t="s">
        <v>3453</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3443</v>
      </c>
      <c r="AG953" s="76"/>
      <c r="AH953" s="97">
        <v>1</v>
      </c>
      <c r="AI953" s="97">
        <v>1</v>
      </c>
      <c r="AJ953" s="73"/>
      <c r="AK953" s="57"/>
      <c r="AL953" s="45"/>
      <c r="AM953" s="45"/>
      <c r="AN953" s="45"/>
    </row>
    <row r="954" spans="1:40" hidden="1" outlineLevel="2" x14ac:dyDescent="0.35">
      <c r="A954" s="45"/>
      <c r="B954" s="54"/>
      <c r="C954" s="47">
        <f t="shared" si="217"/>
        <v>3</v>
      </c>
      <c r="D954" s="73"/>
      <c r="E954" s="70"/>
      <c r="F954" s="70" t="s">
        <v>3454</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35">
      <c r="A955" s="45"/>
      <c r="B955" s="54"/>
      <c r="C955" s="47">
        <f t="shared" si="217"/>
        <v>3</v>
      </c>
      <c r="D955" s="73"/>
      <c r="E955" s="70"/>
      <c r="F955" s="70" t="s">
        <v>3455</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3421</v>
      </c>
      <c r="AG955" s="76"/>
      <c r="AH955" s="76">
        <v>1</v>
      </c>
      <c r="AI955" s="76">
        <v>1</v>
      </c>
      <c r="AJ955" s="73"/>
      <c r="AK955" s="57"/>
      <c r="AL955" s="45"/>
      <c r="AM955" s="45"/>
      <c r="AN955" s="45"/>
    </row>
    <row r="956" spans="1:40" hidden="1" outlineLevel="2" x14ac:dyDescent="0.35">
      <c r="A956" s="45"/>
      <c r="B956" s="54"/>
      <c r="C956" s="47">
        <f t="shared" si="217"/>
        <v>3</v>
      </c>
      <c r="D956" s="73"/>
      <c r="E956" s="70"/>
      <c r="F956" s="70" t="s">
        <v>3456</v>
      </c>
      <c r="G956" s="73"/>
      <c r="H956" s="76" t="s">
        <v>3472</v>
      </c>
      <c r="I956" s="96" t="s">
        <v>502</v>
      </c>
      <c r="J956" s="96"/>
      <c r="K956" s="76"/>
      <c r="L956" s="76"/>
      <c r="M956" s="76"/>
      <c r="N956" s="76"/>
      <c r="O956" s="76"/>
      <c r="P956" s="76"/>
      <c r="Q956" s="76"/>
      <c r="R956" s="76"/>
      <c r="S956" s="76"/>
      <c r="T956" s="76"/>
      <c r="U956" s="97">
        <v>0</v>
      </c>
      <c r="V956" s="255">
        <f t="shared" ref="V956:V959" si="241">U956</f>
        <v>0</v>
      </c>
      <c r="W956" s="255">
        <f t="shared" ref="W956:W957" si="242">U956</f>
        <v>0</v>
      </c>
      <c r="X956" s="255">
        <f t="shared" ref="X956:X957" si="243">V956</f>
        <v>0</v>
      </c>
      <c r="Y956" s="255">
        <f t="shared" ref="Y956:Y957"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3422</v>
      </c>
      <c r="AG956" s="76"/>
      <c r="AH956" s="76">
        <v>1</v>
      </c>
      <c r="AI956" s="76">
        <v>1</v>
      </c>
      <c r="AJ956" s="73"/>
      <c r="AK956" s="57"/>
      <c r="AL956" s="45"/>
      <c r="AM956" s="45"/>
      <c r="AN956" s="45"/>
    </row>
    <row r="957" spans="1:40" hidden="1" outlineLevel="2" x14ac:dyDescent="0.35">
      <c r="A957" s="45"/>
      <c r="B957" s="54"/>
      <c r="C957" s="47">
        <f t="shared" si="217"/>
        <v>3</v>
      </c>
      <c r="D957" s="73"/>
      <c r="E957" s="70"/>
      <c r="F957" s="70" t="s">
        <v>3457</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3443</v>
      </c>
      <c r="AG957" s="76"/>
      <c r="AH957" s="97">
        <v>1</v>
      </c>
      <c r="AI957" s="97">
        <v>1</v>
      </c>
      <c r="AJ957" s="73"/>
      <c r="AK957" s="57"/>
      <c r="AL957" s="45"/>
      <c r="AM957" s="45"/>
      <c r="AN957" s="45"/>
    </row>
    <row r="958" spans="1:40" hidden="1" outlineLevel="2" x14ac:dyDescent="0.35">
      <c r="A958" s="45"/>
      <c r="B958" s="54"/>
      <c r="C958" s="47">
        <f t="shared" si="217"/>
        <v>3</v>
      </c>
      <c r="D958" s="73"/>
      <c r="E958" s="70"/>
      <c r="F958" s="70" t="s">
        <v>3458</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35">
      <c r="A959" s="45"/>
      <c r="B959" s="54"/>
      <c r="C959" s="47">
        <f t="shared" si="217"/>
        <v>3</v>
      </c>
      <c r="D959" s="73"/>
      <c r="E959" s="70"/>
      <c r="F959" s="70" t="s">
        <v>3459</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3421</v>
      </c>
      <c r="AG959" s="76"/>
      <c r="AH959" s="76">
        <v>1</v>
      </c>
      <c r="AI959" s="76">
        <v>1</v>
      </c>
      <c r="AJ959" s="73"/>
      <c r="AK959" s="57"/>
      <c r="AL959" s="45"/>
      <c r="AM959" s="45"/>
      <c r="AN959" s="45"/>
    </row>
    <row r="960" spans="1:40" hidden="1" outlineLevel="2" x14ac:dyDescent="0.35">
      <c r="A960" s="45"/>
      <c r="B960" s="54"/>
      <c r="C960" s="47">
        <f t="shared" si="217"/>
        <v>3</v>
      </c>
      <c r="D960" s="73"/>
      <c r="E960" s="70"/>
      <c r="F960" s="70" t="s">
        <v>3460</v>
      </c>
      <c r="G960" s="73"/>
      <c r="H960" s="76" t="s">
        <v>3477</v>
      </c>
      <c r="I960" s="96" t="s">
        <v>502</v>
      </c>
      <c r="J960" s="96"/>
      <c r="K960" s="76"/>
      <c r="L960" s="76"/>
      <c r="M960" s="76"/>
      <c r="N960" s="76"/>
      <c r="O960" s="76"/>
      <c r="P960" s="76"/>
      <c r="Q960" s="76"/>
      <c r="R960" s="76"/>
      <c r="S960" s="76"/>
      <c r="T960" s="76"/>
      <c r="U960" s="97">
        <v>0</v>
      </c>
      <c r="V960" s="255">
        <f t="shared" si="228"/>
        <v>0</v>
      </c>
      <c r="W960" s="255">
        <f t="shared" ref="W960:W961" si="250">U960</f>
        <v>0</v>
      </c>
      <c r="X960" s="255">
        <f t="shared" ref="X960:X961" si="251">V960</f>
        <v>0</v>
      </c>
      <c r="Y960" s="255">
        <f t="shared" ref="Y960:Y961" si="252">V960</f>
        <v>0</v>
      </c>
      <c r="Z960" s="255">
        <f t="shared" si="232"/>
        <v>0</v>
      </c>
      <c r="AA960" s="97">
        <f>U960</f>
        <v>0</v>
      </c>
      <c r="AB960" s="255">
        <f t="shared" si="233"/>
        <v>0</v>
      </c>
      <c r="AC960" s="255">
        <f t="shared" si="234"/>
        <v>0</v>
      </c>
      <c r="AD960" s="255">
        <f t="shared" si="235"/>
        <v>0</v>
      </c>
      <c r="AE960" s="76"/>
      <c r="AF960" s="97" t="s">
        <v>3422</v>
      </c>
      <c r="AG960" s="76"/>
      <c r="AH960" s="76">
        <v>1</v>
      </c>
      <c r="AI960" s="76">
        <v>1</v>
      </c>
      <c r="AJ960" s="73"/>
      <c r="AK960" s="57"/>
      <c r="AL960" s="45"/>
      <c r="AM960" s="45"/>
      <c r="AN960" s="45"/>
    </row>
    <row r="961" spans="1:40" hidden="1" outlineLevel="2" x14ac:dyDescent="0.35">
      <c r="A961" s="45"/>
      <c r="B961" s="54"/>
      <c r="C961" s="47">
        <f t="shared" si="217"/>
        <v>3</v>
      </c>
      <c r="D961" s="73"/>
      <c r="E961" s="70"/>
      <c r="F961" s="70" t="s">
        <v>3461</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3443</v>
      </c>
      <c r="AG961" s="76"/>
      <c r="AH961" s="97">
        <v>1</v>
      </c>
      <c r="AI961" s="97">
        <v>1</v>
      </c>
      <c r="AJ961" s="73"/>
      <c r="AK961" s="57"/>
      <c r="AL961" s="45"/>
      <c r="AM961" s="45"/>
      <c r="AN961" s="45"/>
    </row>
    <row r="962" spans="1:40" hidden="1" outlineLevel="2" x14ac:dyDescent="0.35">
      <c r="A962" s="45"/>
      <c r="B962" s="54"/>
      <c r="C962" s="47">
        <f t="shared" si="217"/>
        <v>3</v>
      </c>
      <c r="D962" s="73"/>
      <c r="E962" s="70"/>
      <c r="F962" s="70" t="s">
        <v>3462</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35">
      <c r="A963" s="45"/>
      <c r="B963" s="54"/>
      <c r="C963" s="47">
        <f t="shared" si="217"/>
        <v>3</v>
      </c>
      <c r="D963" s="73"/>
      <c r="E963" s="70"/>
      <c r="F963" s="70" t="s">
        <v>3463</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3421</v>
      </c>
      <c r="AG963" s="76"/>
      <c r="AH963" s="76">
        <v>1</v>
      </c>
      <c r="AI963" s="76">
        <v>1</v>
      </c>
      <c r="AJ963" s="73"/>
      <c r="AK963" s="57"/>
      <c r="AL963" s="45"/>
      <c r="AM963" s="45"/>
      <c r="AN963" s="45"/>
    </row>
    <row r="964" spans="1:40" hidden="1" outlineLevel="2" x14ac:dyDescent="0.35">
      <c r="A964" s="45"/>
      <c r="B964" s="54"/>
      <c r="C964" s="47">
        <f t="shared" si="217"/>
        <v>3</v>
      </c>
      <c r="D964" s="73"/>
      <c r="E964" s="70"/>
      <c r="F964" s="70" t="s">
        <v>3464</v>
      </c>
      <c r="G964" s="73"/>
      <c r="H964" s="76" t="s">
        <v>3478</v>
      </c>
      <c r="I964" s="96" t="s">
        <v>502</v>
      </c>
      <c r="J964" s="96"/>
      <c r="K964" s="76"/>
      <c r="L964" s="76"/>
      <c r="M964" s="76"/>
      <c r="N964" s="76"/>
      <c r="O964" s="76"/>
      <c r="P964" s="76"/>
      <c r="Q964" s="76"/>
      <c r="R964" s="76"/>
      <c r="S964" s="76"/>
      <c r="T964" s="76"/>
      <c r="U964" s="97">
        <v>0</v>
      </c>
      <c r="V964" s="255">
        <f t="shared" ref="V964:V967" si="254">U964</f>
        <v>0</v>
      </c>
      <c r="W964" s="255">
        <f t="shared" ref="W964:W965" si="255">U964</f>
        <v>0</v>
      </c>
      <c r="X964" s="255">
        <f t="shared" ref="X964:X965" si="256">V964</f>
        <v>0</v>
      </c>
      <c r="Y964" s="255">
        <f t="shared" ref="Y964:Y965"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3422</v>
      </c>
      <c r="AG964" s="76"/>
      <c r="AH964" s="76">
        <v>1</v>
      </c>
      <c r="AI964" s="76">
        <v>1</v>
      </c>
      <c r="AJ964" s="73"/>
      <c r="AK964" s="57"/>
      <c r="AL964" s="45"/>
      <c r="AM964" s="45"/>
      <c r="AN964" s="45"/>
    </row>
    <row r="965" spans="1:40" hidden="1" outlineLevel="2" x14ac:dyDescent="0.35">
      <c r="A965" s="45"/>
      <c r="B965" s="54"/>
      <c r="C965" s="47">
        <f t="shared" si="217"/>
        <v>3</v>
      </c>
      <c r="D965" s="73"/>
      <c r="E965" s="70"/>
      <c r="F965" s="70" t="s">
        <v>3465</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3443</v>
      </c>
      <c r="AG965" s="76"/>
      <c r="AH965" s="97">
        <v>1</v>
      </c>
      <c r="AI965" s="97">
        <v>1</v>
      </c>
      <c r="AJ965" s="73"/>
      <c r="AK965" s="57"/>
      <c r="AL965" s="45"/>
      <c r="AM965" s="45"/>
      <c r="AN965" s="45"/>
    </row>
    <row r="966" spans="1:40" hidden="1" outlineLevel="2" x14ac:dyDescent="0.35">
      <c r="A966" s="45"/>
      <c r="B966" s="54"/>
      <c r="C966" s="47">
        <f t="shared" si="217"/>
        <v>3</v>
      </c>
      <c r="D966" s="73"/>
      <c r="E966" s="70"/>
      <c r="F966" s="70" t="s">
        <v>3466</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35">
      <c r="A967" s="45"/>
      <c r="B967" s="54"/>
      <c r="C967" s="47">
        <f t="shared" si="217"/>
        <v>3</v>
      </c>
      <c r="D967" s="73"/>
      <c r="E967" s="70"/>
      <c r="F967" s="70" t="s">
        <v>3467</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3421</v>
      </c>
      <c r="AG967" s="76"/>
      <c r="AH967" s="76">
        <v>1</v>
      </c>
      <c r="AI967" s="76">
        <v>1</v>
      </c>
      <c r="AJ967" s="73"/>
      <c r="AK967" s="57"/>
      <c r="AL967" s="45"/>
      <c r="AM967" s="45"/>
      <c r="AN967" s="45"/>
    </row>
    <row r="968" spans="1:40" hidden="1" outlineLevel="2" x14ac:dyDescent="0.35">
      <c r="A968" s="45"/>
      <c r="B968" s="54"/>
      <c r="C968" s="47">
        <f t="shared" si="217"/>
        <v>3</v>
      </c>
      <c r="D968" s="73"/>
      <c r="E968" s="70"/>
      <c r="F968" s="70" t="s">
        <v>3473</v>
      </c>
      <c r="G968" s="73"/>
      <c r="H968" s="76" t="s">
        <v>3468</v>
      </c>
      <c r="I968" s="96" t="s">
        <v>502</v>
      </c>
      <c r="J968" s="96"/>
      <c r="K968" s="76"/>
      <c r="L968" s="76"/>
      <c r="M968" s="76"/>
      <c r="N968" s="76"/>
      <c r="O968" s="76"/>
      <c r="P968" s="76"/>
      <c r="Q968" s="76"/>
      <c r="R968" s="76"/>
      <c r="S968" s="76"/>
      <c r="T968" s="76"/>
      <c r="U968" s="97">
        <v>0</v>
      </c>
      <c r="V968" s="255">
        <f t="shared" ref="V968:V971" si="263">U968</f>
        <v>0</v>
      </c>
      <c r="W968" s="255">
        <f t="shared" ref="W968:W969" si="264">U968</f>
        <v>0</v>
      </c>
      <c r="X968" s="255">
        <f t="shared" ref="X968:X969" si="265">V968</f>
        <v>0</v>
      </c>
      <c r="Y968" s="255">
        <f t="shared" ref="Y968:Y969"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3422</v>
      </c>
      <c r="AG968" s="76"/>
      <c r="AH968" s="76">
        <v>1</v>
      </c>
      <c r="AI968" s="76">
        <v>1</v>
      </c>
      <c r="AJ968" s="73"/>
      <c r="AK968" s="57"/>
      <c r="AL968" s="45"/>
      <c r="AM968" s="45"/>
      <c r="AN968" s="45"/>
    </row>
    <row r="969" spans="1:40" hidden="1" outlineLevel="2" x14ac:dyDescent="0.35">
      <c r="A969" s="45"/>
      <c r="B969" s="54"/>
      <c r="C969" s="47">
        <f t="shared" si="217"/>
        <v>3</v>
      </c>
      <c r="D969" s="73"/>
      <c r="E969" s="70"/>
      <c r="F969" s="70" t="s">
        <v>3474</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3443</v>
      </c>
      <c r="AG969" s="76"/>
      <c r="AH969" s="97">
        <v>1</v>
      </c>
      <c r="AI969" s="97">
        <v>1</v>
      </c>
      <c r="AJ969" s="73"/>
      <c r="AK969" s="57"/>
      <c r="AL969" s="45"/>
      <c r="AM969" s="45"/>
      <c r="AN969" s="45"/>
    </row>
    <row r="970" spans="1:40" hidden="1" outlineLevel="2" x14ac:dyDescent="0.35">
      <c r="A970" s="45"/>
      <c r="B970" s="54"/>
      <c r="C970" s="47">
        <f t="shared" si="217"/>
        <v>3</v>
      </c>
      <c r="D970" s="73"/>
      <c r="E970" s="70"/>
      <c r="F970" s="70" t="s">
        <v>3475</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35">
      <c r="A971" s="45"/>
      <c r="B971" s="54"/>
      <c r="C971" s="47">
        <f t="shared" si="217"/>
        <v>3</v>
      </c>
      <c r="D971" s="73"/>
      <c r="E971" s="70"/>
      <c r="F971" s="70" t="s">
        <v>3476</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3421</v>
      </c>
      <c r="AG971" s="76"/>
      <c r="AH971" s="76">
        <v>1</v>
      </c>
      <c r="AI971" s="76">
        <v>1</v>
      </c>
      <c r="AJ971" s="73"/>
      <c r="AK971" s="57"/>
      <c r="AL971" s="45"/>
      <c r="AM971" s="45"/>
      <c r="AN971" s="45"/>
    </row>
    <row r="972" spans="1:40" outlineLevel="1" x14ac:dyDescent="0.3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outlineLevel="2" x14ac:dyDescent="0.3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outlineLevel="2" x14ac:dyDescent="0.3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outlineLevel="2" x14ac:dyDescent="0.3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outlineLevel="2" collapsed="1" x14ac:dyDescent="0.3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3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3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3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3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3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3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3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3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3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3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3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3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3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2" x14ac:dyDescent="0.3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outlineLevel="2" x14ac:dyDescent="0.3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outlineLevel="2" x14ac:dyDescent="0.3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outlineLevel="2" x14ac:dyDescent="0.3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outlineLevel="3" x14ac:dyDescent="0.3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3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3" x14ac:dyDescent="0.3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3" x14ac:dyDescent="0.3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3" x14ac:dyDescent="0.3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3" x14ac:dyDescent="0.3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3" x14ac:dyDescent="0.3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3" x14ac:dyDescent="0.3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3" x14ac:dyDescent="0.3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3" x14ac:dyDescent="0.3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3" x14ac:dyDescent="0.3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outlineLevel="3" x14ac:dyDescent="0.3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outlineLevel="3" x14ac:dyDescent="0.3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outlineLevel="3" x14ac:dyDescent="0.3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outlineLevel="3" x14ac:dyDescent="0.3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3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3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3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3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3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3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3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3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3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35">
      <c r="A1077" s="45"/>
      <c r="B1077" s="54"/>
      <c r="C1077" s="47">
        <f t="shared" si="277"/>
        <v>4</v>
      </c>
      <c r="D1077" s="73"/>
      <c r="E1077" s="70"/>
      <c r="F1077" s="70" t="s">
        <v>3354</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35">
      <c r="A1078" s="45"/>
      <c r="B1078" s="54"/>
      <c r="C1078" s="47">
        <f t="shared" si="277"/>
        <v>4</v>
      </c>
      <c r="D1078" s="73"/>
      <c r="E1078" s="70"/>
      <c r="F1078" s="70" t="s">
        <v>3355</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35">
      <c r="A1079" s="45"/>
      <c r="B1079" s="54"/>
      <c r="C1079" s="47">
        <f t="shared" si="277"/>
        <v>4</v>
      </c>
      <c r="D1079" s="73"/>
      <c r="E1079" s="70"/>
      <c r="F1079" s="70" t="s">
        <v>3356</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35">
      <c r="A1080" s="45"/>
      <c r="B1080" s="54"/>
      <c r="C1080" s="47">
        <f t="shared" si="277"/>
        <v>4</v>
      </c>
      <c r="D1080" s="73"/>
      <c r="E1080" s="70"/>
      <c r="F1080" s="70" t="s">
        <v>3357</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35">
      <c r="A1081" s="45"/>
      <c r="B1081" s="54"/>
      <c r="C1081" s="47">
        <f t="shared" si="277"/>
        <v>4</v>
      </c>
      <c r="D1081" s="73"/>
      <c r="E1081" s="70"/>
      <c r="F1081" s="70" t="s">
        <v>3481</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35">
      <c r="A1082" s="45"/>
      <c r="B1082" s="54"/>
      <c r="C1082" s="47">
        <f t="shared" si="277"/>
        <v>4</v>
      </c>
      <c r="D1082" s="73"/>
      <c r="E1082" s="70"/>
      <c r="F1082" s="70" t="s">
        <v>3482</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35">
      <c r="A1083" s="45"/>
      <c r="B1083" s="54"/>
      <c r="C1083" s="47">
        <f t="shared" si="277"/>
        <v>4</v>
      </c>
      <c r="D1083" s="73"/>
      <c r="E1083" s="70"/>
      <c r="F1083" s="70" t="s">
        <v>3483</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35">
      <c r="A1084" s="45"/>
      <c r="B1084" s="54"/>
      <c r="C1084" s="47">
        <f t="shared" si="277"/>
        <v>4</v>
      </c>
      <c r="D1084" s="73"/>
      <c r="E1084" s="70"/>
      <c r="F1084" s="70" t="s">
        <v>3484</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35">
      <c r="A1085" s="45"/>
      <c r="B1085" s="54"/>
      <c r="C1085" s="47">
        <f t="shared" si="277"/>
        <v>4</v>
      </c>
      <c r="D1085" s="73"/>
      <c r="E1085" s="70"/>
      <c r="F1085" s="70" t="s">
        <v>3485</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35">
      <c r="A1086" s="45"/>
      <c r="B1086" s="54"/>
      <c r="C1086" s="47">
        <f t="shared" si="277"/>
        <v>4</v>
      </c>
      <c r="D1086" s="73"/>
      <c r="E1086" s="70"/>
      <c r="F1086" s="70" t="s">
        <v>3486</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35">
      <c r="A1087" s="45"/>
      <c r="B1087" s="54"/>
      <c r="C1087" s="47">
        <f t="shared" si="277"/>
        <v>4</v>
      </c>
      <c r="D1087" s="73"/>
      <c r="E1087" s="70"/>
      <c r="F1087" s="70" t="s">
        <v>3487</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35">
      <c r="A1088" s="45"/>
      <c r="B1088" s="54"/>
      <c r="C1088" s="47">
        <f t="shared" si="277"/>
        <v>4</v>
      </c>
      <c r="D1088" s="73"/>
      <c r="E1088" s="70"/>
      <c r="F1088" s="70" t="s">
        <v>3488</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35">
      <c r="A1089" s="45"/>
      <c r="B1089" s="54"/>
      <c r="C1089" s="47">
        <f t="shared" si="277"/>
        <v>4</v>
      </c>
      <c r="D1089" s="73"/>
      <c r="E1089" s="70"/>
      <c r="F1089" s="70" t="s">
        <v>3489</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35">
      <c r="A1090" s="45"/>
      <c r="B1090" s="54"/>
      <c r="C1090" s="47">
        <f t="shared" si="277"/>
        <v>4</v>
      </c>
      <c r="D1090" s="73"/>
      <c r="E1090" s="70"/>
      <c r="F1090" s="70" t="s">
        <v>3490</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35">
      <c r="A1091" s="45"/>
      <c r="B1091" s="54"/>
      <c r="C1091" s="47">
        <f t="shared" si="277"/>
        <v>4</v>
      </c>
      <c r="D1091" s="73"/>
      <c r="E1091" s="70"/>
      <c r="F1091" s="70" t="s">
        <v>3491</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35">
      <c r="A1092" s="45"/>
      <c r="B1092" s="54"/>
      <c r="C1092" s="47">
        <f t="shared" si="277"/>
        <v>4</v>
      </c>
      <c r="D1092" s="73"/>
      <c r="E1092" s="70"/>
      <c r="F1092" s="70" t="s">
        <v>3492</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35">
      <c r="A1093" s="45"/>
      <c r="B1093" s="54"/>
      <c r="C1093" s="47">
        <f t="shared" si="277"/>
        <v>4</v>
      </c>
      <c r="D1093" s="73"/>
      <c r="E1093" s="70"/>
      <c r="F1093" s="70" t="s">
        <v>3493</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35">
      <c r="A1094" s="45"/>
      <c r="B1094" s="54"/>
      <c r="C1094" s="47">
        <f t="shared" si="277"/>
        <v>4</v>
      </c>
      <c r="D1094" s="73"/>
      <c r="E1094" s="70"/>
      <c r="F1094" s="70" t="s">
        <v>3494</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35">
      <c r="A1095" s="45"/>
      <c r="B1095" s="54"/>
      <c r="C1095" s="47">
        <f t="shared" si="277"/>
        <v>4</v>
      </c>
      <c r="D1095" s="73"/>
      <c r="E1095" s="70"/>
      <c r="F1095" s="70" t="s">
        <v>3495</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35">
      <c r="A1096" s="45"/>
      <c r="B1096" s="54"/>
      <c r="C1096" s="47">
        <f t="shared" si="277"/>
        <v>4</v>
      </c>
      <c r="D1096" s="73"/>
      <c r="E1096" s="70"/>
      <c r="F1096" s="70" t="s">
        <v>3496</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35">
      <c r="A1097" s="45"/>
      <c r="B1097" s="54"/>
      <c r="C1097" s="47">
        <f t="shared" si="277"/>
        <v>4</v>
      </c>
      <c r="D1097" s="73"/>
      <c r="E1097" s="70"/>
      <c r="F1097" s="70" t="s">
        <v>3497</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35">
      <c r="A1098" s="45"/>
      <c r="B1098" s="54"/>
      <c r="C1098" s="47">
        <f t="shared" si="277"/>
        <v>4</v>
      </c>
      <c r="D1098" s="73"/>
      <c r="E1098" s="70"/>
      <c r="F1098" s="70" t="s">
        <v>3498</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35">
      <c r="A1099" s="45"/>
      <c r="B1099" s="54"/>
      <c r="C1099" s="47">
        <f t="shared" si="277"/>
        <v>4</v>
      </c>
      <c r="D1099" s="73"/>
      <c r="E1099" s="70"/>
      <c r="F1099" s="70" t="s">
        <v>3499</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35">
      <c r="A1100" s="45"/>
      <c r="B1100" s="54"/>
      <c r="C1100" s="47">
        <f t="shared" si="277"/>
        <v>4</v>
      </c>
      <c r="D1100" s="73"/>
      <c r="E1100" s="70"/>
      <c r="F1100" s="70" t="s">
        <v>3500</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35">
      <c r="A1101" s="45"/>
      <c r="B1101" s="54"/>
      <c r="C1101" s="47">
        <f t="shared" si="277"/>
        <v>4</v>
      </c>
      <c r="D1101" s="73"/>
      <c r="E1101" s="70"/>
      <c r="F1101" s="70" t="s">
        <v>3501</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35">
      <c r="A1102" s="45"/>
      <c r="B1102" s="54"/>
      <c r="C1102" s="47">
        <f t="shared" si="277"/>
        <v>4</v>
      </c>
      <c r="D1102" s="73"/>
      <c r="E1102" s="70"/>
      <c r="F1102" s="70" t="s">
        <v>3502</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35">
      <c r="A1103" s="45"/>
      <c r="B1103" s="54"/>
      <c r="C1103" s="47">
        <f t="shared" si="277"/>
        <v>4</v>
      </c>
      <c r="D1103" s="73"/>
      <c r="E1103" s="70"/>
      <c r="F1103" s="70" t="s">
        <v>3503</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35">
      <c r="A1104" s="45"/>
      <c r="B1104" s="54"/>
      <c r="C1104" s="47">
        <f t="shared" si="277"/>
        <v>4</v>
      </c>
      <c r="D1104" s="73"/>
      <c r="E1104" s="70"/>
      <c r="F1104" s="70" t="s">
        <v>3504</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35">
      <c r="A1105" s="45"/>
      <c r="B1105" s="54"/>
      <c r="C1105" s="47">
        <f t="shared" si="277"/>
        <v>4</v>
      </c>
      <c r="D1105" s="73"/>
      <c r="E1105" s="70"/>
      <c r="F1105" s="70" t="s">
        <v>3505</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35">
      <c r="A1106" s="45"/>
      <c r="B1106" s="54"/>
      <c r="C1106" s="47">
        <f t="shared" si="277"/>
        <v>4</v>
      </c>
      <c r="D1106" s="73"/>
      <c r="E1106" s="70"/>
      <c r="F1106" s="70" t="s">
        <v>3506</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35">
      <c r="A1107" s="45"/>
      <c r="B1107" s="54"/>
      <c r="C1107" s="47">
        <f t="shared" si="277"/>
        <v>4</v>
      </c>
      <c r="D1107" s="73"/>
      <c r="E1107" s="70"/>
      <c r="F1107" s="70" t="s">
        <v>3507</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35">
      <c r="A1108" s="45"/>
      <c r="B1108" s="54"/>
      <c r="C1108" s="47">
        <f t="shared" si="277"/>
        <v>4</v>
      </c>
      <c r="D1108" s="73"/>
      <c r="E1108" s="70"/>
      <c r="F1108" s="70" t="s">
        <v>3508</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35">
      <c r="A1109" s="45"/>
      <c r="B1109" s="54"/>
      <c r="C1109" s="47">
        <f t="shared" si="277"/>
        <v>4</v>
      </c>
      <c r="D1109" s="73"/>
      <c r="E1109" s="70"/>
      <c r="F1109" s="70" t="s">
        <v>3509</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35">
      <c r="A1110" s="45"/>
      <c r="B1110" s="54"/>
      <c r="C1110" s="47">
        <f t="shared" si="277"/>
        <v>4</v>
      </c>
      <c r="D1110" s="73"/>
      <c r="E1110" s="70"/>
      <c r="F1110" s="70" t="s">
        <v>3510</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35">
      <c r="A1111" s="45"/>
      <c r="B1111" s="54"/>
      <c r="C1111" s="47">
        <f t="shared" si="277"/>
        <v>4</v>
      </c>
      <c r="D1111" s="73"/>
      <c r="E1111" s="70"/>
      <c r="F1111" s="70" t="s">
        <v>3511</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35">
      <c r="A1112" s="45"/>
      <c r="B1112" s="54"/>
      <c r="C1112" s="47">
        <f t="shared" si="277"/>
        <v>4</v>
      </c>
      <c r="D1112" s="73"/>
      <c r="E1112" s="70"/>
      <c r="F1112" s="70" t="s">
        <v>3512</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35">
      <c r="A1113" s="45"/>
      <c r="B1113" s="54"/>
      <c r="C1113" s="47">
        <f t="shared" si="277"/>
        <v>4</v>
      </c>
      <c r="D1113" s="73"/>
      <c r="E1113" s="70"/>
      <c r="F1113" s="70" t="s">
        <v>3513</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35">
      <c r="A1114" s="45"/>
      <c r="B1114" s="54"/>
      <c r="C1114" s="47">
        <f t="shared" si="277"/>
        <v>4</v>
      </c>
      <c r="D1114" s="73"/>
      <c r="E1114" s="70"/>
      <c r="F1114" s="70" t="s">
        <v>3514</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35">
      <c r="A1115" s="45"/>
      <c r="B1115" s="54"/>
      <c r="C1115" s="47">
        <f t="shared" si="277"/>
        <v>4</v>
      </c>
      <c r="D1115" s="73"/>
      <c r="E1115" s="70"/>
      <c r="F1115" s="70" t="s">
        <v>3515</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35">
      <c r="A1116" s="45"/>
      <c r="B1116" s="54"/>
      <c r="C1116" s="47">
        <f t="shared" si="277"/>
        <v>4</v>
      </c>
      <c r="D1116" s="73"/>
      <c r="E1116" s="70"/>
      <c r="F1116" s="70" t="s">
        <v>3516</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35">
      <c r="A1117" s="45"/>
      <c r="B1117" s="54"/>
      <c r="C1117" s="47">
        <f t="shared" ref="C1117:C1124" si="278">INT($C$29)+3</f>
        <v>4</v>
      </c>
      <c r="D1117" s="73"/>
      <c r="E1117" s="70"/>
      <c r="F1117" s="70" t="s">
        <v>3517</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35">
      <c r="A1118" s="45"/>
      <c r="B1118" s="54"/>
      <c r="C1118" s="47">
        <f t="shared" si="278"/>
        <v>4</v>
      </c>
      <c r="D1118" s="73"/>
      <c r="E1118" s="70"/>
      <c r="F1118" s="70" t="s">
        <v>3518</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35">
      <c r="A1119" s="45"/>
      <c r="B1119" s="54"/>
      <c r="C1119" s="47">
        <f t="shared" si="278"/>
        <v>4</v>
      </c>
      <c r="D1119" s="73"/>
      <c r="E1119" s="70"/>
      <c r="F1119" s="70" t="s">
        <v>3519</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35">
      <c r="A1120" s="45"/>
      <c r="B1120" s="54"/>
      <c r="C1120" s="47">
        <f t="shared" si="278"/>
        <v>4</v>
      </c>
      <c r="D1120" s="73"/>
      <c r="E1120" s="70"/>
      <c r="F1120" s="70" t="s">
        <v>3520</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35">
      <c r="A1121" s="45"/>
      <c r="B1121" s="54"/>
      <c r="C1121" s="47">
        <f t="shared" si="278"/>
        <v>4</v>
      </c>
      <c r="D1121" s="73"/>
      <c r="E1121" s="70"/>
      <c r="F1121" s="70" t="s">
        <v>3521</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35">
      <c r="A1122" s="45"/>
      <c r="B1122" s="54"/>
      <c r="C1122" s="47">
        <f t="shared" si="278"/>
        <v>4</v>
      </c>
      <c r="D1122" s="73"/>
      <c r="E1122" s="70"/>
      <c r="F1122" s="70" t="s">
        <v>3522</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35">
      <c r="A1123" s="45"/>
      <c r="B1123" s="54"/>
      <c r="C1123" s="47">
        <f t="shared" si="278"/>
        <v>4</v>
      </c>
      <c r="D1123" s="73"/>
      <c r="E1123" s="70"/>
      <c r="F1123" s="70" t="s">
        <v>3523</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35">
      <c r="A1124" s="45"/>
      <c r="B1124" s="54"/>
      <c r="C1124" s="47">
        <f t="shared" si="278"/>
        <v>4</v>
      </c>
      <c r="D1124" s="73"/>
      <c r="E1124" s="70"/>
      <c r="F1124" s="70" t="s">
        <v>3524</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3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3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3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3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3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3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collapsed="1" x14ac:dyDescent="0.3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3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3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3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3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3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3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3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3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3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3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hidden="1" outlineLevel="2" x14ac:dyDescent="0.3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hidden="1" outlineLevel="2" collapsed="1" x14ac:dyDescent="0.3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hidden="1" outlineLevel="3" x14ac:dyDescent="0.3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3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3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3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hidden="1" outlineLevel="2" x14ac:dyDescent="0.3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hidden="1" outlineLevel="2" x14ac:dyDescent="0.3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hidden="1" outlineLevel="2" x14ac:dyDescent="0.3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hidden="1" outlineLevel="2" collapsed="1" x14ac:dyDescent="0.3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hidden="1" outlineLevel="3" x14ac:dyDescent="0.3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3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3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3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3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3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3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3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3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3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3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3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3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3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hidden="1" outlineLevel="2" x14ac:dyDescent="0.3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3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hidden="1" outlineLevel="2" x14ac:dyDescent="0.3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hidden="1" outlineLevel="2" x14ac:dyDescent="0.3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hidden="1" outlineLevel="2" x14ac:dyDescent="0.3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hidden="1" outlineLevel="2" x14ac:dyDescent="0.3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hidden="1" outlineLevel="2" x14ac:dyDescent="0.3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hidden="1" outlineLevel="2" x14ac:dyDescent="0.3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hidden="1" outlineLevel="2" x14ac:dyDescent="0.3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hidden="1" outlineLevel="2" x14ac:dyDescent="0.3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hidden="1" outlineLevel="2" x14ac:dyDescent="0.3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hidden="1" outlineLevel="2" x14ac:dyDescent="0.3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hidden="1" outlineLevel="2" x14ac:dyDescent="0.3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hidden="1" outlineLevel="2" x14ac:dyDescent="0.3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hidden="1" outlineLevel="2" x14ac:dyDescent="0.3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hidden="1" outlineLevel="2" x14ac:dyDescent="0.3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hidden="1" outlineLevel="2" x14ac:dyDescent="0.3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hidden="1" outlineLevel="2" x14ac:dyDescent="0.3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hidden="1" outlineLevel="2" x14ac:dyDescent="0.35">
      <c r="A1284" s="45"/>
      <c r="B1284" s="54"/>
      <c r="C1284" s="47">
        <f>INT($C$29)+2</f>
        <v>3</v>
      </c>
      <c r="D1284" s="73"/>
      <c r="E1284" s="406"/>
      <c r="F1284" s="406" t="s">
        <v>3379</v>
      </c>
      <c r="G1284" s="407"/>
      <c r="H1284" s="181" t="s">
        <v>3479</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1">U1284</f>
        <v>0.52490000000000003</v>
      </c>
      <c r="X1284" s="409">
        <f t="shared" si="301"/>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3391</v>
      </c>
      <c r="AG1284" s="181"/>
      <c r="AH1284" s="408">
        <v>1</v>
      </c>
      <c r="AI1284" s="408">
        <v>1</v>
      </c>
      <c r="AJ1284" s="73"/>
      <c r="AK1284" s="57"/>
      <c r="AL1284" s="45"/>
      <c r="AM1284" s="45"/>
      <c r="AN1284" s="45"/>
    </row>
    <row r="1285" spans="1:40" hidden="1" outlineLevel="2" x14ac:dyDescent="0.35">
      <c r="A1285" s="45"/>
      <c r="B1285" s="54"/>
      <c r="C1285" s="47">
        <f>INT($C$29)+2</f>
        <v>3</v>
      </c>
      <c r="D1285" s="73"/>
      <c r="E1285" s="70"/>
      <c r="F1285" s="70" t="s">
        <v>3380</v>
      </c>
      <c r="G1285" s="234"/>
      <c r="H1285" s="76" t="s">
        <v>3480</v>
      </c>
      <c r="I1285" s="96"/>
      <c r="J1285" s="96"/>
      <c r="K1285" s="76"/>
      <c r="L1285" s="76"/>
      <c r="M1285" s="76"/>
      <c r="N1285" s="76"/>
      <c r="O1285" s="76"/>
      <c r="P1285" s="76"/>
      <c r="Q1285" s="76"/>
      <c r="R1285" s="76"/>
      <c r="S1285" s="76"/>
      <c r="T1285" s="76"/>
      <c r="U1285" s="97">
        <v>-4.28E-3</v>
      </c>
      <c r="V1285" s="404">
        <f>U1285</f>
        <v>-4.28E-3</v>
      </c>
      <c r="W1285" s="404">
        <f t="shared" si="301"/>
        <v>-4.28E-3</v>
      </c>
      <c r="X1285" s="404">
        <f t="shared" si="301"/>
        <v>-4.28E-3</v>
      </c>
      <c r="Y1285" s="404">
        <f>V1285</f>
        <v>-4.28E-3</v>
      </c>
      <c r="Z1285" s="404">
        <f>AA1285</f>
        <v>-4.28E-3</v>
      </c>
      <c r="AA1285" s="97">
        <f t="shared" ref="AA1285:AA1291" si="302">U1285</f>
        <v>-4.28E-3</v>
      </c>
      <c r="AB1285" s="404">
        <f t="shared" ref="AB1285" si="303">AA1285</f>
        <v>-4.28E-3</v>
      </c>
      <c r="AC1285" s="404">
        <f t="shared" ref="AC1285" si="304">AB1285</f>
        <v>-4.28E-3</v>
      </c>
      <c r="AD1285" s="404">
        <f t="shared" ref="AD1285" si="305">AC1285</f>
        <v>-4.28E-3</v>
      </c>
      <c r="AE1285" s="76"/>
      <c r="AF1285" s="97" t="s">
        <v>2182</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3381</v>
      </c>
      <c r="G1286" s="234"/>
      <c r="H1286" s="76" t="s">
        <v>3387</v>
      </c>
      <c r="I1286" s="96"/>
      <c r="J1286" s="96"/>
      <c r="K1286" s="76"/>
      <c r="L1286" s="76"/>
      <c r="M1286" s="76"/>
      <c r="N1286" s="76"/>
      <c r="O1286" s="76"/>
      <c r="P1286" s="76"/>
      <c r="Q1286" s="76"/>
      <c r="R1286" s="76"/>
      <c r="S1286" s="76"/>
      <c r="T1286" s="76"/>
      <c r="U1286" s="97">
        <v>5.5010000000000003E-2</v>
      </c>
      <c r="V1286" s="404">
        <f>U1286</f>
        <v>5.5010000000000003E-2</v>
      </c>
      <c r="W1286" s="404">
        <f t="shared" si="301"/>
        <v>5.5010000000000003E-2</v>
      </c>
      <c r="X1286" s="404">
        <f t="shared" si="301"/>
        <v>5.5010000000000003E-2</v>
      </c>
      <c r="Y1286" s="404">
        <f>V1286</f>
        <v>5.5010000000000003E-2</v>
      </c>
      <c r="Z1286" s="404">
        <f>AA1286</f>
        <v>5.5010000000000003E-2</v>
      </c>
      <c r="AA1286" s="97">
        <f t="shared" si="302"/>
        <v>5.5010000000000003E-2</v>
      </c>
      <c r="AB1286" s="404">
        <f t="shared" ref="AB1286:AB1287" si="306">AA1286</f>
        <v>5.5010000000000003E-2</v>
      </c>
      <c r="AC1286" s="404">
        <f t="shared" ref="AC1286:AC1287" si="307">AB1286</f>
        <v>5.5010000000000003E-2</v>
      </c>
      <c r="AD1286" s="404">
        <f t="shared" ref="AD1286:AD1287" si="308">AC1286</f>
        <v>5.5010000000000003E-2</v>
      </c>
      <c r="AE1286" s="76"/>
      <c r="AF1286" s="76"/>
      <c r="AG1286" s="76"/>
      <c r="AH1286" s="97">
        <v>1</v>
      </c>
      <c r="AI1286" s="97">
        <v>1</v>
      </c>
      <c r="AJ1286" s="73"/>
      <c r="AK1286" s="57"/>
      <c r="AL1286" s="45"/>
      <c r="AM1286" s="45"/>
      <c r="AN1286" s="45"/>
    </row>
    <row r="1287" spans="1:40" hidden="1" outlineLevel="2" x14ac:dyDescent="0.35">
      <c r="A1287" s="45"/>
      <c r="B1287" s="54"/>
      <c r="C1287" s="47">
        <f>INT($C$29)+2</f>
        <v>3</v>
      </c>
      <c r="D1287" s="73"/>
      <c r="E1287" s="70"/>
      <c r="F1287" s="70" t="s">
        <v>3382</v>
      </c>
      <c r="G1287" s="234"/>
      <c r="H1287" s="76" t="s">
        <v>3388</v>
      </c>
      <c r="I1287" s="96"/>
      <c r="J1287" s="96"/>
      <c r="K1287" s="76"/>
      <c r="L1287" s="76"/>
      <c r="M1287" s="76"/>
      <c r="N1287" s="76"/>
      <c r="O1287" s="76"/>
      <c r="P1287" s="76"/>
      <c r="Q1287" s="76"/>
      <c r="R1287" s="76"/>
      <c r="S1287" s="76"/>
      <c r="T1287" s="76"/>
      <c r="U1287" s="97">
        <v>0</v>
      </c>
      <c r="V1287" s="404">
        <f>U1287</f>
        <v>0</v>
      </c>
      <c r="W1287" s="404">
        <f t="shared" si="301"/>
        <v>0</v>
      </c>
      <c r="X1287" s="404">
        <f t="shared" si="301"/>
        <v>0</v>
      </c>
      <c r="Y1287" s="404">
        <f>V1287</f>
        <v>0</v>
      </c>
      <c r="Z1287" s="404">
        <f>AA1287</f>
        <v>0</v>
      </c>
      <c r="AA1287" s="97">
        <f t="shared" si="302"/>
        <v>0</v>
      </c>
      <c r="AB1287" s="404">
        <f t="shared" si="306"/>
        <v>0</v>
      </c>
      <c r="AC1287" s="404">
        <f t="shared" si="307"/>
        <v>0</v>
      </c>
      <c r="AD1287" s="404">
        <f t="shared" si="308"/>
        <v>0</v>
      </c>
      <c r="AE1287" s="76"/>
      <c r="AF1287" s="76"/>
      <c r="AG1287" s="76"/>
      <c r="AH1287" s="97">
        <v>1</v>
      </c>
      <c r="AI1287" s="97">
        <v>1</v>
      </c>
      <c r="AJ1287" s="73"/>
      <c r="AK1287" s="57"/>
      <c r="AL1287" s="45"/>
      <c r="AM1287" s="45"/>
      <c r="AN1287" s="45"/>
    </row>
    <row r="1288" spans="1:40" hidden="1" outlineLevel="2" x14ac:dyDescent="0.35">
      <c r="A1288" s="45"/>
      <c r="B1288" s="54"/>
      <c r="C1288" s="47">
        <f>INT($C$29)+3</f>
        <v>4</v>
      </c>
      <c r="D1288" s="73"/>
      <c r="E1288" s="70"/>
      <c r="F1288" s="70" t="s">
        <v>3383</v>
      </c>
      <c r="G1288" s="234"/>
      <c r="H1288" s="76" t="s">
        <v>3389</v>
      </c>
      <c r="I1288" s="76"/>
      <c r="J1288" s="76"/>
      <c r="K1288" s="76"/>
      <c r="L1288" s="76"/>
      <c r="M1288" s="76"/>
      <c r="N1288" s="76"/>
      <c r="O1288" s="76"/>
      <c r="P1288" s="76"/>
      <c r="Q1288" s="76"/>
      <c r="R1288" s="76"/>
      <c r="S1288" s="76"/>
      <c r="T1288" s="76"/>
      <c r="U1288" s="97">
        <v>0.14710000000000001</v>
      </c>
      <c r="V1288" s="404">
        <f t="shared" ref="V1288:V1289" si="309">U1288</f>
        <v>0.14710000000000001</v>
      </c>
      <c r="W1288" s="404">
        <f t="shared" ref="W1288:W1289" si="310">U1288</f>
        <v>0.14710000000000001</v>
      </c>
      <c r="X1288" s="404">
        <f t="shared" ref="X1288:X1289" si="311">V1288</f>
        <v>0.14710000000000001</v>
      </c>
      <c r="Y1288" s="404">
        <f t="shared" ref="Y1288:Y1289" si="312">V1288</f>
        <v>0.14710000000000001</v>
      </c>
      <c r="Z1288" s="404">
        <f t="shared" ref="Z1288:Z1289" si="313">AA1288</f>
        <v>0.14710000000000001</v>
      </c>
      <c r="AA1288" s="97">
        <f t="shared" ref="AA1288:AA1289" si="314">U1288</f>
        <v>0.14710000000000001</v>
      </c>
      <c r="AB1288" s="404">
        <f t="shared" ref="AB1288:AB1289" si="315">AA1288</f>
        <v>0.14710000000000001</v>
      </c>
      <c r="AC1288" s="404">
        <f t="shared" ref="AC1288:AC1289" si="316">AB1288</f>
        <v>0.14710000000000001</v>
      </c>
      <c r="AD1288" s="404">
        <f t="shared" ref="AD1288:AD1289" si="317">AC1288</f>
        <v>0.14710000000000001</v>
      </c>
      <c r="AE1288" s="76"/>
      <c r="AF1288" s="76"/>
      <c r="AG1288" s="76"/>
      <c r="AH1288" s="76">
        <v>1</v>
      </c>
      <c r="AI1288" s="76">
        <v>1</v>
      </c>
      <c r="AJ1288" s="73"/>
      <c r="AK1288" s="57"/>
      <c r="AL1288" s="45"/>
      <c r="AM1288" s="45"/>
      <c r="AN1288" s="45"/>
    </row>
    <row r="1289" spans="1:40" hidden="1" outlineLevel="2" x14ac:dyDescent="0.35">
      <c r="A1289" s="45"/>
      <c r="B1289" s="54"/>
      <c r="C1289" s="47">
        <f>INT($C$29)+3</f>
        <v>4</v>
      </c>
      <c r="D1289" s="73"/>
      <c r="E1289" s="70"/>
      <c r="F1289" s="70" t="s">
        <v>3384</v>
      </c>
      <c r="G1289" s="234"/>
      <c r="H1289" s="76" t="s">
        <v>3390</v>
      </c>
      <c r="I1289" s="76"/>
      <c r="J1289" s="76"/>
      <c r="K1289" s="76"/>
      <c r="L1289" s="76"/>
      <c r="M1289" s="76"/>
      <c r="N1289" s="76"/>
      <c r="O1289" s="76"/>
      <c r="P1289" s="76"/>
      <c r="Q1289" s="76"/>
      <c r="R1289" s="76"/>
      <c r="S1289" s="76"/>
      <c r="T1289" s="76"/>
      <c r="U1289" s="97">
        <v>-3.79E-3</v>
      </c>
      <c r="V1289" s="404">
        <f t="shared" si="309"/>
        <v>-3.79E-3</v>
      </c>
      <c r="W1289" s="404">
        <f t="shared" si="310"/>
        <v>-3.79E-3</v>
      </c>
      <c r="X1289" s="404">
        <f t="shared" si="311"/>
        <v>-3.79E-3</v>
      </c>
      <c r="Y1289" s="404">
        <f t="shared" si="312"/>
        <v>-3.79E-3</v>
      </c>
      <c r="Z1289" s="404">
        <f t="shared" si="313"/>
        <v>-3.79E-3</v>
      </c>
      <c r="AA1289" s="97">
        <f t="shared" si="314"/>
        <v>-3.79E-3</v>
      </c>
      <c r="AB1289" s="404">
        <f t="shared" si="315"/>
        <v>-3.79E-3</v>
      </c>
      <c r="AC1289" s="404">
        <f t="shared" si="316"/>
        <v>-3.79E-3</v>
      </c>
      <c r="AD1289" s="404">
        <f t="shared" si="317"/>
        <v>-3.79E-3</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3385</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2"/>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 si="318">INT($C$29)+2</f>
        <v>3</v>
      </c>
      <c r="D1291" s="73"/>
      <c r="E1291" s="410"/>
      <c r="F1291" s="410" t="s">
        <v>3386</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2"/>
        <v>-14</v>
      </c>
      <c r="AB1291" s="404">
        <f t="shared" ref="AB1291" si="319">AA1291</f>
        <v>-14</v>
      </c>
      <c r="AC1291" s="404">
        <f t="shared" ref="AC1291" si="320">AB1291</f>
        <v>-14</v>
      </c>
      <c r="AD1291" s="404">
        <f t="shared" ref="AD1291" si="321">AC1291</f>
        <v>-14</v>
      </c>
      <c r="AE1291" s="184"/>
      <c r="AF1291" s="184"/>
      <c r="AG1291" s="184"/>
      <c r="AH1291" s="413">
        <v>1</v>
      </c>
      <c r="AI1291" s="413">
        <v>1</v>
      </c>
      <c r="AJ1291" s="73"/>
      <c r="AK1291" s="57"/>
      <c r="AL1291" s="45"/>
      <c r="AM1291" s="45"/>
      <c r="AN1291" s="45"/>
    </row>
    <row r="1292" spans="1:40" outlineLevel="1" x14ac:dyDescent="0.3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3" x14ac:dyDescent="0.35">
      <c r="A1293" s="45"/>
      <c r="B1293" s="54"/>
      <c r="C1293" s="47">
        <f t="shared" ref="C1293:C1312" si="322">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35">
      <c r="A1294" s="45"/>
      <c r="B1294" s="54"/>
      <c r="C1294" s="47">
        <f t="shared" si="322"/>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35">
      <c r="A1295" s="45"/>
      <c r="B1295" s="54"/>
      <c r="C1295" s="47">
        <f t="shared" si="322"/>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35">
      <c r="A1296" s="45"/>
      <c r="B1296" s="54"/>
      <c r="C1296" s="47">
        <f t="shared" si="322"/>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35">
      <c r="A1297" s="45"/>
      <c r="B1297" s="54"/>
      <c r="C1297" s="47">
        <f t="shared" si="322"/>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35">
      <c r="A1298" s="45"/>
      <c r="B1298" s="54"/>
      <c r="C1298" s="47">
        <f t="shared" si="322"/>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35">
      <c r="A1299" s="45"/>
      <c r="B1299" s="54"/>
      <c r="C1299" s="47">
        <f t="shared" si="322"/>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35">
      <c r="A1300" s="45"/>
      <c r="B1300" s="54"/>
      <c r="C1300" s="47">
        <f t="shared" si="322"/>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35">
      <c r="A1301" s="45"/>
      <c r="B1301" s="54"/>
      <c r="C1301" s="47">
        <f t="shared" si="322"/>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35">
      <c r="A1302" s="45"/>
      <c r="B1302" s="54"/>
      <c r="C1302" s="47">
        <f t="shared" si="322"/>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35">
      <c r="A1303" s="45"/>
      <c r="B1303" s="54"/>
      <c r="C1303" s="47">
        <f t="shared" si="322"/>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35">
      <c r="A1304" s="45"/>
      <c r="B1304" s="54"/>
      <c r="C1304" s="47">
        <f t="shared" si="322"/>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35">
      <c r="A1305" s="45"/>
      <c r="B1305" s="54"/>
      <c r="C1305" s="47">
        <f t="shared" si="322"/>
        <v>4</v>
      </c>
      <c r="D1305" s="73"/>
      <c r="E1305" s="70"/>
      <c r="F1305" s="70" t="str">
        <f>SUBSTITUTE(F1300,",7)",",12)")</f>
        <v>C(U2,0,12)</v>
      </c>
      <c r="G1305" s="73"/>
      <c r="H1305" s="76" t="s">
        <v>3371</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35">
      <c r="A1306" s="45"/>
      <c r="B1306" s="54"/>
      <c r="C1306" s="47">
        <f t="shared" si="322"/>
        <v>4</v>
      </c>
      <c r="D1306" s="73"/>
      <c r="E1306" s="70"/>
      <c r="F1306" s="70" t="str">
        <f>SUBSTITUTE(F1300,",7)",",13)")</f>
        <v>C(U2,0,13)</v>
      </c>
      <c r="G1306" s="73"/>
      <c r="H1306" s="76" t="s">
        <v>3372</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35">
      <c r="A1307" s="45"/>
      <c r="B1307" s="54"/>
      <c r="C1307" s="47">
        <f t="shared" si="322"/>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35">
      <c r="A1308" s="45"/>
      <c r="B1308" s="54"/>
      <c r="C1308" s="47">
        <f t="shared" si="322"/>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35">
      <c r="A1309" s="45"/>
      <c r="B1309" s="54"/>
      <c r="C1309" s="47">
        <f t="shared" si="322"/>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35">
      <c r="A1310" s="45"/>
      <c r="B1310" s="54"/>
      <c r="C1310" s="47">
        <f t="shared" si="322"/>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35">
      <c r="A1311" s="45"/>
      <c r="B1311" s="54"/>
      <c r="C1311" s="47">
        <f t="shared" si="322"/>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35">
      <c r="A1312" s="45"/>
      <c r="B1312" s="54"/>
      <c r="C1312" s="47">
        <f t="shared" si="322"/>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3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3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3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35">
      <c r="A1316" s="45"/>
      <c r="B1316" s="54"/>
      <c r="C1316" s="47">
        <f t="shared" ref="C1316:C1327" si="323">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3" x14ac:dyDescent="0.35">
      <c r="A1317" s="45"/>
      <c r="B1317" s="54"/>
      <c r="C1317" s="47">
        <f t="shared" si="323"/>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outlineLevel="3" x14ac:dyDescent="0.35">
      <c r="A1318" s="45"/>
      <c r="B1318" s="54"/>
      <c r="C1318" s="47">
        <f t="shared" si="323"/>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outlineLevel="3" x14ac:dyDescent="0.35">
      <c r="A1319" s="45"/>
      <c r="B1319" s="54"/>
      <c r="C1319" s="47">
        <f t="shared" si="323"/>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35">
      <c r="A1320" s="45"/>
      <c r="B1320" s="54"/>
      <c r="C1320" s="47">
        <f t="shared" si="323"/>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35">
      <c r="A1321" s="45"/>
      <c r="B1321" s="54"/>
      <c r="C1321" s="47">
        <f t="shared" si="323"/>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35">
      <c r="A1322" s="45"/>
      <c r="B1322" s="54"/>
      <c r="C1322" s="47">
        <f t="shared" si="323"/>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35">
      <c r="A1323" s="45"/>
      <c r="B1323" s="54"/>
      <c r="C1323" s="47">
        <f t="shared" si="323"/>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35">
      <c r="A1324" s="45"/>
      <c r="B1324" s="54"/>
      <c r="C1324" s="47">
        <f t="shared" si="323"/>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35">
      <c r="A1325" s="45"/>
      <c r="B1325" s="54"/>
      <c r="C1325" s="47">
        <f t="shared" si="323"/>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35">
      <c r="A1326" s="45"/>
      <c r="B1326" s="54"/>
      <c r="C1326" s="47">
        <f t="shared" si="323"/>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35">
      <c r="A1327" s="45"/>
      <c r="B1327" s="54"/>
      <c r="C1327" s="47">
        <f t="shared" si="323"/>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3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3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3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35">
      <c r="A1331" s="45"/>
      <c r="B1331" s="54"/>
      <c r="C1331" s="47">
        <f t="shared" ref="C1331:C1342" si="324">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35">
      <c r="A1332" s="45"/>
      <c r="B1332" s="54"/>
      <c r="C1332" s="47">
        <f t="shared" si="324"/>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35">
      <c r="A1333" s="45"/>
      <c r="B1333" s="54"/>
      <c r="C1333" s="47">
        <f t="shared" si="324"/>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35">
      <c r="A1334" s="45"/>
      <c r="B1334" s="54"/>
      <c r="C1334" s="47">
        <f t="shared" si="324"/>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35">
      <c r="A1335" s="45"/>
      <c r="B1335" s="54"/>
      <c r="C1335" s="47">
        <f t="shared" si="324"/>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35">
      <c r="A1336" s="45"/>
      <c r="B1336" s="54"/>
      <c r="C1336" s="47">
        <f t="shared" si="324"/>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35">
      <c r="A1337" s="45"/>
      <c r="B1337" s="54"/>
      <c r="C1337" s="47">
        <f t="shared" si="324"/>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35">
      <c r="A1338" s="45"/>
      <c r="B1338" s="54"/>
      <c r="C1338" s="47">
        <f t="shared" si="324"/>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35">
      <c r="A1339" s="45"/>
      <c r="B1339" s="54"/>
      <c r="C1339" s="47">
        <f t="shared" si="324"/>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35">
      <c r="A1340" s="45"/>
      <c r="B1340" s="54"/>
      <c r="C1340" s="47">
        <f t="shared" si="324"/>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35">
      <c r="A1341" s="45"/>
      <c r="B1341" s="54"/>
      <c r="C1341" s="47">
        <f t="shared" si="324"/>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35">
      <c r="A1342" s="45"/>
      <c r="B1342" s="54"/>
      <c r="C1342" s="47">
        <f t="shared" si="324"/>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3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3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3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35">
      <c r="A1346" s="45"/>
      <c r="B1346" s="54"/>
      <c r="C1346" s="47">
        <f t="shared" ref="C1346:C1357" si="325">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35">
      <c r="A1347" s="45"/>
      <c r="B1347" s="54"/>
      <c r="C1347" s="47">
        <f t="shared" si="325"/>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35">
      <c r="A1348" s="45"/>
      <c r="B1348" s="54"/>
      <c r="C1348" s="47">
        <f t="shared" si="325"/>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35">
      <c r="A1349" s="45"/>
      <c r="B1349" s="54"/>
      <c r="C1349" s="47">
        <f t="shared" si="325"/>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35">
      <c r="A1350" s="45"/>
      <c r="B1350" s="54"/>
      <c r="C1350" s="47">
        <f t="shared" si="325"/>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35">
      <c r="A1351" s="45"/>
      <c r="B1351" s="54"/>
      <c r="C1351" s="47">
        <f t="shared" si="325"/>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35">
      <c r="A1352" s="45"/>
      <c r="B1352" s="54"/>
      <c r="C1352" s="47">
        <f t="shared" si="325"/>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35">
      <c r="A1353" s="45"/>
      <c r="B1353" s="54"/>
      <c r="C1353" s="47">
        <f t="shared" si="325"/>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35">
      <c r="A1354" s="45"/>
      <c r="B1354" s="54"/>
      <c r="C1354" s="47">
        <f t="shared" si="325"/>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35">
      <c r="A1355" s="45"/>
      <c r="B1355" s="54"/>
      <c r="C1355" s="47">
        <f t="shared" si="325"/>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35">
      <c r="A1356" s="45"/>
      <c r="B1356" s="54"/>
      <c r="C1356" s="47">
        <f t="shared" si="325"/>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35">
      <c r="A1357" s="45"/>
      <c r="B1357" s="54"/>
      <c r="C1357" s="47">
        <f t="shared" si="325"/>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3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3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3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35">
      <c r="A1361" s="45"/>
      <c r="B1361" s="54"/>
      <c r="C1361" s="47">
        <f t="shared" ref="C1361:C1372" si="326">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35">
      <c r="A1362" s="45"/>
      <c r="B1362" s="54"/>
      <c r="C1362" s="47">
        <f t="shared" si="326"/>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35">
      <c r="A1363" s="45"/>
      <c r="B1363" s="54"/>
      <c r="C1363" s="47">
        <f t="shared" si="326"/>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35">
      <c r="A1364" s="45"/>
      <c r="B1364" s="54"/>
      <c r="C1364" s="47">
        <f t="shared" si="326"/>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35">
      <c r="A1365" s="45"/>
      <c r="B1365" s="54"/>
      <c r="C1365" s="47">
        <f t="shared" si="326"/>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35">
      <c r="A1366" s="45"/>
      <c r="B1366" s="54"/>
      <c r="C1366" s="47">
        <f t="shared" si="326"/>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35">
      <c r="A1367" s="45"/>
      <c r="B1367" s="54"/>
      <c r="C1367" s="47">
        <f t="shared" si="326"/>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35">
      <c r="A1368" s="45"/>
      <c r="B1368" s="54"/>
      <c r="C1368" s="47">
        <f t="shared" si="326"/>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35">
      <c r="A1369" s="45"/>
      <c r="B1369" s="54"/>
      <c r="C1369" s="47">
        <f t="shared" si="326"/>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35">
      <c r="A1370" s="45"/>
      <c r="B1370" s="54"/>
      <c r="C1370" s="47">
        <f t="shared" si="326"/>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35">
      <c r="A1371" s="45"/>
      <c r="B1371" s="54"/>
      <c r="C1371" s="47">
        <f t="shared" si="326"/>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35">
      <c r="A1372" s="45"/>
      <c r="B1372" s="54"/>
      <c r="C1372" s="47">
        <f t="shared" si="326"/>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3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3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3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35">
      <c r="A1376" s="45"/>
      <c r="B1376" s="54"/>
      <c r="C1376" s="47">
        <f t="shared" ref="C1376:C1387" si="327">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35">
      <c r="A1377" s="45"/>
      <c r="B1377" s="54"/>
      <c r="C1377" s="47">
        <f t="shared" si="327"/>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35">
      <c r="A1378" s="45"/>
      <c r="B1378" s="54"/>
      <c r="C1378" s="47">
        <f t="shared" si="327"/>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35">
      <c r="A1379" s="45"/>
      <c r="B1379" s="54"/>
      <c r="C1379" s="47">
        <f t="shared" si="327"/>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35">
      <c r="A1380" s="45"/>
      <c r="B1380" s="54"/>
      <c r="C1380" s="47">
        <f t="shared" si="327"/>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35">
      <c r="A1381" s="45"/>
      <c r="B1381" s="54"/>
      <c r="C1381" s="47">
        <f t="shared" si="327"/>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35">
      <c r="A1382" s="45"/>
      <c r="B1382" s="54"/>
      <c r="C1382" s="47">
        <f t="shared" si="327"/>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35">
      <c r="A1383" s="45"/>
      <c r="B1383" s="54"/>
      <c r="C1383" s="47">
        <f t="shared" si="327"/>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35">
      <c r="A1384" s="45"/>
      <c r="B1384" s="54"/>
      <c r="C1384" s="47">
        <f t="shared" si="327"/>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35">
      <c r="A1385" s="45"/>
      <c r="B1385" s="54"/>
      <c r="C1385" s="47">
        <f t="shared" si="327"/>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35">
      <c r="A1386" s="45"/>
      <c r="B1386" s="54"/>
      <c r="C1386" s="47">
        <f t="shared" si="327"/>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35">
      <c r="A1387" s="45"/>
      <c r="B1387" s="54"/>
      <c r="C1387" s="47">
        <f t="shared" si="327"/>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3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3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3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35">
      <c r="A1391" s="45"/>
      <c r="B1391" s="54"/>
      <c r="C1391" s="47">
        <f t="shared" ref="C1391:C1402" si="328">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35">
      <c r="A1392" s="45"/>
      <c r="B1392" s="54"/>
      <c r="C1392" s="47">
        <f t="shared" si="328"/>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35">
      <c r="A1393" s="45"/>
      <c r="B1393" s="54"/>
      <c r="C1393" s="47">
        <f t="shared" si="328"/>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35">
      <c r="A1394" s="45"/>
      <c r="B1394" s="54"/>
      <c r="C1394" s="47">
        <f t="shared" si="328"/>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35">
      <c r="A1395" s="45"/>
      <c r="B1395" s="54"/>
      <c r="C1395" s="47">
        <f t="shared" si="328"/>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35">
      <c r="A1396" s="45"/>
      <c r="B1396" s="54"/>
      <c r="C1396" s="47">
        <f t="shared" si="328"/>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35">
      <c r="A1397" s="45"/>
      <c r="B1397" s="54"/>
      <c r="C1397" s="47">
        <f t="shared" si="328"/>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35">
      <c r="A1398" s="45"/>
      <c r="B1398" s="54"/>
      <c r="C1398" s="47">
        <f t="shared" si="328"/>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35">
      <c r="A1399" s="45"/>
      <c r="B1399" s="54"/>
      <c r="C1399" s="47">
        <f t="shared" si="328"/>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35">
      <c r="A1400" s="45"/>
      <c r="B1400" s="54"/>
      <c r="C1400" s="47">
        <f t="shared" si="328"/>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35">
      <c r="A1401" s="45"/>
      <c r="B1401" s="54"/>
      <c r="C1401" s="47">
        <f t="shared" si="328"/>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35">
      <c r="A1402" s="45"/>
      <c r="B1402" s="54"/>
      <c r="C1402" s="47">
        <f t="shared" si="328"/>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3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3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3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3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3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3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3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35">
      <c r="A1410" s="45"/>
      <c r="B1410" s="54"/>
      <c r="C1410" s="47">
        <f t="shared" ref="C1410:C1411" si="329">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35">
      <c r="A1411" s="45"/>
      <c r="B1411" s="54"/>
      <c r="C1411" s="47">
        <f t="shared" si="329"/>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3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3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0">U1413</f>
        <v>3.157</v>
      </c>
      <c r="X1413" s="409">
        <f t="shared" si="330"/>
        <v>3.157</v>
      </c>
      <c r="Y1413" s="409">
        <f>V1413</f>
        <v>3.157</v>
      </c>
      <c r="Z1413" s="409">
        <f>AA1413</f>
        <v>2.9750000000000001</v>
      </c>
      <c r="AA1413" s="408">
        <v>2.9750000000000001</v>
      </c>
      <c r="AB1413" s="409">
        <f t="shared" ref="AB1413:AD1415" si="331">AA1413</f>
        <v>2.9750000000000001</v>
      </c>
      <c r="AC1413" s="409">
        <f t="shared" si="331"/>
        <v>2.9750000000000001</v>
      </c>
      <c r="AD1413" s="409">
        <f t="shared" si="331"/>
        <v>2.9750000000000001</v>
      </c>
      <c r="AE1413" s="181"/>
      <c r="AF1413" s="408" t="s">
        <v>2589</v>
      </c>
      <c r="AG1413" s="181"/>
      <c r="AH1413" s="408">
        <v>1</v>
      </c>
      <c r="AI1413" s="408">
        <v>1</v>
      </c>
      <c r="AJ1413" s="73"/>
      <c r="AK1413" s="57"/>
      <c r="AL1413" s="45"/>
      <c r="AM1413" s="45"/>
      <c r="AN1413" s="45"/>
    </row>
    <row r="1414" spans="1:40" outlineLevel="2" x14ac:dyDescent="0.3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0"/>
        <v>-0.28570000000000001</v>
      </c>
      <c r="X1414" s="255">
        <f t="shared" si="330"/>
        <v>-0.28570000000000001</v>
      </c>
      <c r="Y1414" s="255">
        <f>V1414</f>
        <v>-0.28570000000000001</v>
      </c>
      <c r="Z1414" s="404">
        <f>AA1414</f>
        <v>-0.23649999999999999</v>
      </c>
      <c r="AA1414" s="97">
        <v>-0.23649999999999999</v>
      </c>
      <c r="AB1414" s="404">
        <f t="shared" si="331"/>
        <v>-0.23649999999999999</v>
      </c>
      <c r="AC1414" s="404">
        <f t="shared" si="331"/>
        <v>-0.23649999999999999</v>
      </c>
      <c r="AD1414" s="404">
        <f t="shared" si="331"/>
        <v>-0.23649999999999999</v>
      </c>
      <c r="AE1414" s="76"/>
      <c r="AF1414" s="76"/>
      <c r="AG1414" s="76"/>
      <c r="AH1414" s="97">
        <v>1</v>
      </c>
      <c r="AI1414" s="97">
        <v>1</v>
      </c>
      <c r="AJ1414" s="73"/>
      <c r="AK1414" s="57"/>
      <c r="AL1414" s="45"/>
      <c r="AM1414" s="45"/>
      <c r="AN1414" s="45"/>
    </row>
    <row r="1415" spans="1:40" outlineLevel="2" collapsed="1" x14ac:dyDescent="0.3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0"/>
        <v>-7.9950000000000004E-3</v>
      </c>
      <c r="X1415" s="255">
        <f t="shared" si="330"/>
        <v>-7.9950000000000004E-3</v>
      </c>
      <c r="Y1415" s="255">
        <f>V1415</f>
        <v>-7.9950000000000004E-3</v>
      </c>
      <c r="Z1415" s="404">
        <f>AA1415</f>
        <v>-1.761E-3</v>
      </c>
      <c r="AA1415" s="97">
        <v>-1.761E-3</v>
      </c>
      <c r="AB1415" s="404">
        <f t="shared" si="331"/>
        <v>-1.761E-3</v>
      </c>
      <c r="AC1415" s="404">
        <f t="shared" si="331"/>
        <v>-1.761E-3</v>
      </c>
      <c r="AD1415" s="404">
        <f t="shared" si="331"/>
        <v>-1.761E-3</v>
      </c>
      <c r="AE1415" s="76"/>
      <c r="AF1415" s="76"/>
      <c r="AG1415" s="76"/>
      <c r="AH1415" s="97">
        <v>1</v>
      </c>
      <c r="AI1415" s="97">
        <v>1</v>
      </c>
      <c r="AJ1415" s="73"/>
      <c r="AK1415" s="57"/>
      <c r="AL1415" s="45"/>
      <c r="AM1415" s="45"/>
      <c r="AN1415" s="45"/>
    </row>
    <row r="1416" spans="1:40" hidden="1" outlineLevel="3" x14ac:dyDescent="0.3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3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2">AA1417</f>
        <v>0</v>
      </c>
      <c r="AC1417" s="404">
        <f t="shared" si="332"/>
        <v>0</v>
      </c>
      <c r="AD1417" s="404">
        <f t="shared" si="332"/>
        <v>0</v>
      </c>
      <c r="AE1417" s="76"/>
      <c r="AF1417" s="76"/>
      <c r="AG1417" s="76"/>
      <c r="AH1417" s="97">
        <v>1</v>
      </c>
      <c r="AI1417" s="97">
        <v>1</v>
      </c>
      <c r="AJ1417" s="73"/>
      <c r="AK1417" s="57"/>
      <c r="AL1417" s="45"/>
      <c r="AM1417" s="45"/>
      <c r="AN1417" s="45"/>
    </row>
    <row r="1418" spans="1:40" outlineLevel="2" collapsed="1" x14ac:dyDescent="0.3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2"/>
        <v>0</v>
      </c>
      <c r="AC1418" s="404">
        <f t="shared" si="332"/>
        <v>0</v>
      </c>
      <c r="AD1418" s="404">
        <f t="shared" si="332"/>
        <v>0</v>
      </c>
      <c r="AE1418" s="76"/>
      <c r="AF1418" s="76"/>
      <c r="AG1418" s="76"/>
      <c r="AH1418" s="97">
        <v>1</v>
      </c>
      <c r="AI1418" s="97">
        <v>1</v>
      </c>
      <c r="AJ1418" s="73"/>
      <c r="AK1418" s="57"/>
      <c r="AL1418" s="45"/>
      <c r="AM1418" s="45"/>
      <c r="AN1418" s="45"/>
    </row>
    <row r="1419" spans="1:40" hidden="1" outlineLevel="3" x14ac:dyDescent="0.35">
      <c r="A1419" s="45"/>
      <c r="B1419" s="54"/>
      <c r="C1419" s="47">
        <f t="shared" ref="C1419:C1426" si="333">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3"/>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3"/>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3"/>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3"/>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3"/>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3"/>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3"/>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collapsed="1" x14ac:dyDescent="0.3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3326</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3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3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ref="C1436:C1447" si="334">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 t="shared" si="334"/>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35">
      <c r="A1438" s="45"/>
      <c r="B1438" s="54"/>
      <c r="C1438" s="47">
        <f t="shared" si="334"/>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35">
      <c r="A1439" s="45"/>
      <c r="B1439" s="54"/>
      <c r="C1439" s="47">
        <f t="shared" si="334"/>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35">
      <c r="A1440" s="45"/>
      <c r="B1440" s="54"/>
      <c r="C1440" s="47">
        <f t="shared" si="334"/>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35">
      <c r="A1441" s="45"/>
      <c r="B1441" s="54"/>
      <c r="C1441" s="47">
        <f t="shared" si="334"/>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35">
      <c r="A1442" s="45"/>
      <c r="B1442" s="54"/>
      <c r="C1442" s="47">
        <f t="shared" si="334"/>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35">
      <c r="A1443" s="45"/>
      <c r="B1443" s="54"/>
      <c r="C1443" s="47">
        <f t="shared" si="334"/>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34"/>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34"/>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34"/>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34"/>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ref="C1451:C1462" si="335">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35">
      <c r="A1452" s="45"/>
      <c r="B1452" s="54"/>
      <c r="C1452" s="47">
        <f t="shared" si="335"/>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35">
      <c r="A1453" s="45"/>
      <c r="B1453" s="54"/>
      <c r="C1453" s="47">
        <f t="shared" si="335"/>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 t="shared" si="335"/>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 t="shared" si="335"/>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 t="shared" si="335"/>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 t="shared" si="335"/>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f t="shared" si="335"/>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f t="shared" si="335"/>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si="335"/>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35"/>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35"/>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ref="C1466:C1477" si="336">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36"/>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36"/>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36"/>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36"/>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36"/>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36"/>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f t="shared" si="336"/>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f t="shared" si="336"/>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si="336"/>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36"/>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36"/>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ref="C1481:C1492" si="337">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37"/>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37"/>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37"/>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37"/>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37"/>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37"/>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f t="shared" si="337"/>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f t="shared" si="337"/>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si="337"/>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37"/>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37"/>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ref="C1496:C1507" si="338">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38"/>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38"/>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38"/>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38"/>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38"/>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38"/>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f t="shared" si="338"/>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f t="shared" si="338"/>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si="338"/>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38"/>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38"/>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ref="C1511:C1522" si="339">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39"/>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39"/>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39"/>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39"/>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39"/>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39"/>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f t="shared" si="339"/>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f t="shared" si="339"/>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si="339"/>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39"/>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39"/>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ref="C1526:C1537" si="340">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0"/>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0"/>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0"/>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0"/>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0"/>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0"/>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f t="shared" si="340"/>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f t="shared" si="340"/>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si="340"/>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40"/>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40"/>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ref="C1541:C1552" si="341">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41"/>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41"/>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41"/>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41"/>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41"/>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41"/>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f t="shared" si="341"/>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f t="shared" si="341"/>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si="341"/>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41"/>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41"/>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ref="C1556:C1567" si="342">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42"/>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42"/>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42"/>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42"/>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42"/>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42"/>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f t="shared" si="342"/>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f t="shared" si="342"/>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si="342"/>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42"/>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42"/>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ref="C1571:C1582" si="343">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43"/>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43"/>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43"/>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43"/>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43"/>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43"/>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f t="shared" si="343"/>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f t="shared" si="343"/>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si="343"/>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43"/>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43"/>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ref="C1590:C1591" si="344">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44"/>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3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5">Y1593</f>
        <v>0.57699999999999996</v>
      </c>
      <c r="AA1593" s="255">
        <f t="shared" si="345"/>
        <v>0.57699999999999996</v>
      </c>
      <c r="AB1593" s="255">
        <f t="shared" si="345"/>
        <v>0.57699999999999996</v>
      </c>
      <c r="AC1593" s="255">
        <f t="shared" si="345"/>
        <v>0.57699999999999996</v>
      </c>
      <c r="AD1593" s="255">
        <f t="shared" si="345"/>
        <v>0.57699999999999996</v>
      </c>
      <c r="AE1593" s="76"/>
      <c r="AF1593" s="97" t="s">
        <v>2064</v>
      </c>
      <c r="AG1593" s="76"/>
      <c r="AH1593" s="97">
        <v>1</v>
      </c>
      <c r="AI1593" s="97">
        <v>1</v>
      </c>
      <c r="AJ1593" s="73"/>
      <c r="AK1593" s="57"/>
      <c r="AL1593" s="45"/>
      <c r="AM1593" s="45"/>
      <c r="AN1593" s="45"/>
    </row>
    <row r="1594" spans="1:40" outlineLevel="2" collapsed="1" x14ac:dyDescent="0.3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5"/>
        <v>-1.2E-2</v>
      </c>
      <c r="AA1594" s="255">
        <f t="shared" si="345"/>
        <v>-1.2E-2</v>
      </c>
      <c r="AB1594" s="255">
        <f t="shared" si="345"/>
        <v>-1.2E-2</v>
      </c>
      <c r="AC1594" s="255">
        <f t="shared" si="345"/>
        <v>-1.2E-2</v>
      </c>
      <c r="AD1594" s="255">
        <f t="shared" si="345"/>
        <v>-1.2E-2</v>
      </c>
      <c r="AE1594" s="76"/>
      <c r="AF1594" s="76"/>
      <c r="AG1594" s="76"/>
      <c r="AH1594" s="97">
        <v>1</v>
      </c>
      <c r="AI1594" s="97">
        <v>1</v>
      </c>
      <c r="AJ1594" s="73"/>
      <c r="AK1594" s="57"/>
      <c r="AL1594" s="45"/>
      <c r="AM1594" s="45"/>
      <c r="AN1594" s="45"/>
    </row>
    <row r="1595" spans="1:40" hidden="1" outlineLevel="3" x14ac:dyDescent="0.3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3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3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3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35">
      <c r="A1599" s="45"/>
      <c r="B1599" s="54"/>
      <c r="C1599" s="47">
        <f t="shared" ref="C1599:C1606" si="346">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35">
      <c r="A1600" s="45"/>
      <c r="B1600" s="54"/>
      <c r="C1600" s="47">
        <f t="shared" si="346"/>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35">
      <c r="A1601" s="45"/>
      <c r="B1601" s="54"/>
      <c r="C1601" s="47">
        <f t="shared" si="346"/>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46"/>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46"/>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46"/>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46"/>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46"/>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collapsed="1" x14ac:dyDescent="0.3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3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3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3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35">
      <c r="A1620" s="45"/>
      <c r="B1620" s="54"/>
      <c r="C1620" s="47">
        <f t="shared" ref="C1620:C1621" si="347">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35">
      <c r="A1621" s="45"/>
      <c r="B1621" s="54"/>
      <c r="C1621" s="47">
        <f t="shared" si="347"/>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3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3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8">Y1623</f>
        <v>-8.4959000000000007</v>
      </c>
      <c r="AA1623" s="261">
        <f t="shared" si="348"/>
        <v>-8.4959000000000007</v>
      </c>
      <c r="AB1623" s="261">
        <f t="shared" si="348"/>
        <v>-8.4959000000000007</v>
      </c>
      <c r="AC1623" s="261">
        <f t="shared" si="348"/>
        <v>-8.4959000000000007</v>
      </c>
      <c r="AD1623" s="261">
        <f t="shared" si="348"/>
        <v>-8.4959000000000007</v>
      </c>
      <c r="AE1623" s="76"/>
      <c r="AF1623" s="97" t="s">
        <v>2766</v>
      </c>
      <c r="AG1623" s="76"/>
      <c r="AH1623" s="97">
        <v>1</v>
      </c>
      <c r="AI1623" s="97">
        <v>1</v>
      </c>
      <c r="AJ1623" s="73"/>
      <c r="AK1623" s="57"/>
      <c r="AL1623" s="45"/>
      <c r="AM1623" s="45"/>
      <c r="AN1623" s="45"/>
    </row>
    <row r="1624" spans="1:40" outlineLevel="2" x14ac:dyDescent="0.3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8"/>
        <v>1.38185</v>
      </c>
      <c r="AA1624" s="261">
        <f t="shared" si="348"/>
        <v>1.38185</v>
      </c>
      <c r="AB1624" s="261">
        <f t="shared" si="348"/>
        <v>1.38185</v>
      </c>
      <c r="AC1624" s="261">
        <f t="shared" si="348"/>
        <v>1.38185</v>
      </c>
      <c r="AD1624" s="261">
        <f t="shared" si="348"/>
        <v>1.38185</v>
      </c>
      <c r="AE1624" s="76"/>
      <c r="AF1624" s="76"/>
      <c r="AG1624" s="76"/>
      <c r="AH1624" s="97">
        <v>1</v>
      </c>
      <c r="AI1624" s="97">
        <v>1</v>
      </c>
      <c r="AJ1624" s="73"/>
      <c r="AK1624" s="57"/>
      <c r="AL1624" s="45"/>
      <c r="AM1624" s="45"/>
      <c r="AN1624" s="45"/>
    </row>
    <row r="1625" spans="1:40" outlineLevel="3" x14ac:dyDescent="0.35">
      <c r="A1625" s="45"/>
      <c r="B1625" s="54"/>
      <c r="C1625" s="47">
        <f t="shared" ref="C1625:C1636" si="349">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35">
      <c r="A1626" s="45"/>
      <c r="B1626" s="54"/>
      <c r="C1626" s="47">
        <f t="shared" si="349"/>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35">
      <c r="A1627" s="45"/>
      <c r="B1627" s="54"/>
      <c r="C1627" s="47">
        <f t="shared" si="349"/>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outlineLevel="3" x14ac:dyDescent="0.35">
      <c r="A1628" s="45"/>
      <c r="B1628" s="54"/>
      <c r="C1628" s="47">
        <f t="shared" si="349"/>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outlineLevel="3" x14ac:dyDescent="0.35">
      <c r="A1629" s="45"/>
      <c r="B1629" s="54"/>
      <c r="C1629" s="47">
        <f t="shared" si="349"/>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outlineLevel="3" x14ac:dyDescent="0.35">
      <c r="A1630" s="45"/>
      <c r="B1630" s="54"/>
      <c r="C1630" s="47">
        <f t="shared" si="349"/>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outlineLevel="3" x14ac:dyDescent="0.35">
      <c r="A1631" s="45"/>
      <c r="B1631" s="54"/>
      <c r="C1631" s="47">
        <f t="shared" si="349"/>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35">
      <c r="A1632" s="45"/>
      <c r="B1632" s="54"/>
      <c r="C1632" s="47">
        <f t="shared" si="349"/>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3" x14ac:dyDescent="0.35">
      <c r="A1633" s="45"/>
      <c r="B1633" s="54"/>
      <c r="C1633" s="47">
        <f t="shared" si="349"/>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outlineLevel="3" x14ac:dyDescent="0.35">
      <c r="A1634" s="45"/>
      <c r="B1634" s="54"/>
      <c r="C1634" s="47">
        <f t="shared" si="349"/>
        <v>4</v>
      </c>
      <c r="D1634" s="73"/>
      <c r="E1634" s="70"/>
      <c r="F1634" s="70" t="str">
        <f>SUBSTITUTE(F1630,",7)",",11)")</f>
        <v>C(U2,22,11)</v>
      </c>
      <c r="G1634" s="73"/>
      <c r="H1634" s="377" t="s">
        <v>3375</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35">
      <c r="A1635" s="45"/>
      <c r="B1635" s="54"/>
      <c r="C1635" s="47">
        <f t="shared" si="349"/>
        <v>4</v>
      </c>
      <c r="D1635" s="73"/>
      <c r="E1635" s="70"/>
      <c r="F1635" s="70" t="str">
        <f>SUBSTITUTE(F1629,",6)",",12)")</f>
        <v>C(U2,22,12)</v>
      </c>
      <c r="G1635" s="73"/>
      <c r="H1635" s="377" t="s">
        <v>3376</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35">
      <c r="A1636" s="45"/>
      <c r="B1636" s="54"/>
      <c r="C1636" s="47">
        <f t="shared" si="349"/>
        <v>4</v>
      </c>
      <c r="D1636" s="73"/>
      <c r="E1636" s="70"/>
      <c r="F1636" s="70" t="str">
        <f>SUBSTITUTE(F1630,",7)",",13)")</f>
        <v>C(U2,22,13)</v>
      </c>
      <c r="G1636" s="73"/>
      <c r="H1636" s="377" t="s">
        <v>3377</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3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0">U1637</f>
        <v>7.50061</v>
      </c>
      <c r="X1637" s="261">
        <f t="shared" si="350"/>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3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0"/>
        <v>-4.5568499999999998</v>
      </c>
      <c r="X1638" s="255">
        <f t="shared" si="350"/>
        <v>-4.5568499999999998</v>
      </c>
      <c r="Y1638" s="255">
        <f>V1638</f>
        <v>-4.5568499999999998</v>
      </c>
      <c r="Z1638" s="255">
        <f>AA1638</f>
        <v>-4.5568499999999998</v>
      </c>
      <c r="AA1638" s="97">
        <f>-(4.55685)</f>
        <v>-4.5568499999999998</v>
      </c>
      <c r="AB1638" s="255">
        <f t="shared" ref="AB1638:AD1640" si="351">AA1638</f>
        <v>-4.5568499999999998</v>
      </c>
      <c r="AC1638" s="255">
        <f t="shared" si="351"/>
        <v>-4.5568499999999998</v>
      </c>
      <c r="AD1638" s="255">
        <f t="shared" si="351"/>
        <v>-4.5568499999999998</v>
      </c>
      <c r="AE1638" s="76"/>
      <c r="AF1638" s="97" t="s">
        <v>3373</v>
      </c>
      <c r="AG1638" s="76"/>
      <c r="AH1638" s="76">
        <v>1</v>
      </c>
      <c r="AI1638" s="76">
        <v>1</v>
      </c>
      <c r="AJ1638" s="73"/>
      <c r="AK1638" s="57"/>
      <c r="AL1638" s="45"/>
      <c r="AM1638" s="45"/>
      <c r="AN1638" s="45"/>
    </row>
    <row r="1639" spans="1:40" outlineLevel="2" x14ac:dyDescent="0.3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0"/>
        <v>0.69092500000000001</v>
      </c>
      <c r="X1639" s="255">
        <f t="shared" si="350"/>
        <v>0.69092500000000001</v>
      </c>
      <c r="Y1639" s="255">
        <f>V1639</f>
        <v>0.69092500000000001</v>
      </c>
      <c r="Z1639" s="255">
        <f>AA1639</f>
        <v>0.69092500000000001</v>
      </c>
      <c r="AA1639" s="97">
        <f>-(-0.690925)</f>
        <v>0.69092500000000001</v>
      </c>
      <c r="AB1639" s="255">
        <f t="shared" si="351"/>
        <v>0.69092500000000001</v>
      </c>
      <c r="AC1639" s="255">
        <f t="shared" si="351"/>
        <v>0.69092500000000001</v>
      </c>
      <c r="AD1639" s="255">
        <f t="shared" si="351"/>
        <v>0.69092500000000001</v>
      </c>
      <c r="AE1639" s="76"/>
      <c r="AF1639" s="76"/>
      <c r="AG1639" s="76"/>
      <c r="AH1639" s="76">
        <v>1</v>
      </c>
      <c r="AI1639" s="76">
        <v>1</v>
      </c>
      <c r="AJ1639" s="73"/>
      <c r="AK1639" s="57"/>
      <c r="AL1639" s="45"/>
      <c r="AM1639" s="45"/>
      <c r="AN1639" s="45"/>
    </row>
    <row r="1640" spans="1:40" outlineLevel="2" x14ac:dyDescent="0.35">
      <c r="A1640" s="45"/>
      <c r="B1640" s="54"/>
      <c r="C1640" s="47">
        <f t="shared" ref="C1640:C1651" si="352">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0"/>
        <v>-0.15570000000000001</v>
      </c>
      <c r="X1640" s="255">
        <f t="shared" si="350"/>
        <v>-0.15570000000000001</v>
      </c>
      <c r="Y1640" s="255">
        <f>V1640</f>
        <v>-0.15570000000000001</v>
      </c>
      <c r="Z1640" s="255">
        <f>AA1640</f>
        <v>-0.15570000000000001</v>
      </c>
      <c r="AA1640" s="97">
        <f>-(0.1557)</f>
        <v>-0.15570000000000001</v>
      </c>
      <c r="AB1640" s="255">
        <f t="shared" si="351"/>
        <v>-0.15570000000000001</v>
      </c>
      <c r="AC1640" s="255">
        <f t="shared" si="351"/>
        <v>-0.15570000000000001</v>
      </c>
      <c r="AD1640" s="255">
        <f t="shared" si="351"/>
        <v>-0.15570000000000001</v>
      </c>
      <c r="AE1640" s="76"/>
      <c r="AF1640" s="97"/>
      <c r="AG1640" s="76"/>
      <c r="AH1640" s="97">
        <v>1</v>
      </c>
      <c r="AI1640" s="97">
        <v>1</v>
      </c>
      <c r="AJ1640" s="73"/>
      <c r="AK1640" s="57"/>
      <c r="AL1640" s="45"/>
      <c r="AM1640" s="45"/>
      <c r="AN1640" s="45"/>
    </row>
    <row r="1641" spans="1:40" outlineLevel="3" collapsed="1" x14ac:dyDescent="0.35">
      <c r="A1641" s="45"/>
      <c r="B1641" s="54"/>
      <c r="C1641" s="47">
        <f t="shared" si="352"/>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35">
      <c r="A1642" s="45"/>
      <c r="B1642" s="54"/>
      <c r="C1642" s="47">
        <f t="shared" si="352"/>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35">
      <c r="A1643" s="45"/>
      <c r="B1643" s="54"/>
      <c r="C1643" s="47">
        <f t="shared" si="352"/>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35">
      <c r="A1644" s="45"/>
      <c r="B1644" s="54"/>
      <c r="C1644" s="47">
        <f t="shared" si="352"/>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35">
      <c r="A1645" s="45"/>
      <c r="B1645" s="54"/>
      <c r="C1645" s="47">
        <f t="shared" si="352"/>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35">
      <c r="A1646" s="45"/>
      <c r="B1646" s="54"/>
      <c r="C1646" s="47">
        <f t="shared" si="352"/>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35">
      <c r="A1647" s="45"/>
      <c r="B1647" s="54"/>
      <c r="C1647" s="47">
        <f t="shared" si="352"/>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35">
      <c r="A1648" s="45"/>
      <c r="B1648" s="54"/>
      <c r="C1648" s="47">
        <f t="shared" si="352"/>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35">
      <c r="A1649" s="45"/>
      <c r="B1649" s="54"/>
      <c r="C1649" s="47">
        <f t="shared" si="352"/>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3">-U$1638/(2*U$1639)</f>
        <v>3.2976444621340955</v>
      </c>
      <c r="V1649" s="337">
        <f t="shared" si="353"/>
        <v>3.2976444621340955</v>
      </c>
      <c r="W1649" s="337">
        <f t="shared" si="353"/>
        <v>3.2976444621340955</v>
      </c>
      <c r="X1649" s="337">
        <f t="shared" si="353"/>
        <v>3.2976444621340955</v>
      </c>
      <c r="Y1649" s="337">
        <f t="shared" si="353"/>
        <v>3.2976444621340955</v>
      </c>
      <c r="Z1649" s="337">
        <f t="shared" si="353"/>
        <v>3.2976444621340955</v>
      </c>
      <c r="AA1649" s="337">
        <f t="shared" si="353"/>
        <v>3.2976444621340955</v>
      </c>
      <c r="AB1649" s="337">
        <f t="shared" si="353"/>
        <v>3.2976444621340955</v>
      </c>
      <c r="AC1649" s="337">
        <f t="shared" si="353"/>
        <v>3.2976444621340955</v>
      </c>
      <c r="AD1649" s="337">
        <f t="shared" si="353"/>
        <v>3.2976444621340955</v>
      </c>
      <c r="AE1649" s="76"/>
      <c r="AF1649" s="246" t="s">
        <v>3392</v>
      </c>
      <c r="AG1649" s="76"/>
      <c r="AH1649" s="76">
        <v>1</v>
      </c>
      <c r="AI1649" s="76">
        <v>1</v>
      </c>
      <c r="AJ1649" s="73"/>
      <c r="AK1649" s="57"/>
      <c r="AL1649" s="45"/>
      <c r="AM1649" s="45"/>
      <c r="AN1649" s="45"/>
    </row>
    <row r="1650" spans="1:40" outlineLevel="3" x14ac:dyDescent="0.35">
      <c r="A1650" s="45"/>
      <c r="B1650" s="54"/>
      <c r="C1650" s="47">
        <f t="shared" si="352"/>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35">
      <c r="A1651" s="45"/>
      <c r="B1651" s="54"/>
      <c r="C1651" s="47">
        <f t="shared" si="352"/>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3"/>
        <v>3.2976444621340955</v>
      </c>
      <c r="V1651" s="337">
        <f t="shared" si="353"/>
        <v>3.2976444621340955</v>
      </c>
      <c r="W1651" s="337">
        <f t="shared" si="353"/>
        <v>3.2976444621340955</v>
      </c>
      <c r="X1651" s="337">
        <f t="shared" si="353"/>
        <v>3.2976444621340955</v>
      </c>
      <c r="Y1651" s="337">
        <f t="shared" si="353"/>
        <v>3.2976444621340955</v>
      </c>
      <c r="Z1651" s="337">
        <f t="shared" si="353"/>
        <v>3.2976444621340955</v>
      </c>
      <c r="AA1651" s="337">
        <f t="shared" si="353"/>
        <v>3.2976444621340955</v>
      </c>
      <c r="AB1651" s="337">
        <f t="shared" si="353"/>
        <v>3.2976444621340955</v>
      </c>
      <c r="AC1651" s="337">
        <f t="shared" si="353"/>
        <v>3.2976444621340955</v>
      </c>
      <c r="AD1651" s="337">
        <f t="shared" si="353"/>
        <v>3.2976444621340955</v>
      </c>
      <c r="AE1651" s="76"/>
      <c r="AF1651" s="76"/>
      <c r="AG1651" s="76"/>
      <c r="AH1651" s="76">
        <v>1</v>
      </c>
      <c r="AI1651" s="76">
        <v>1</v>
      </c>
      <c r="AJ1651" s="73"/>
      <c r="AK1651" s="57"/>
      <c r="AL1651" s="45"/>
      <c r="AM1651" s="45"/>
      <c r="AN1651" s="45"/>
    </row>
    <row r="1652" spans="1:40" outlineLevel="2" x14ac:dyDescent="0.3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4">U1652</f>
        <v>2.0276899999999998</v>
      </c>
      <c r="W1652" s="255">
        <f t="shared" ref="W1652:X1657" si="355">U1652</f>
        <v>2.0276899999999998</v>
      </c>
      <c r="X1652" s="255">
        <f t="shared" si="355"/>
        <v>2.0276899999999998</v>
      </c>
      <c r="Y1652" s="255">
        <f t="shared" ref="Y1652:Y1657" si="356">V1652</f>
        <v>2.0276899999999998</v>
      </c>
      <c r="Z1652" s="255">
        <f t="shared" ref="Z1652:Z1657" si="357">AA1652</f>
        <v>3.64628</v>
      </c>
      <c r="AA1652" s="97">
        <f>-(-3.64628)</f>
        <v>3.64628</v>
      </c>
      <c r="AB1652" s="255">
        <f t="shared" ref="AB1652:AD1657" si="358">AA1652</f>
        <v>3.64628</v>
      </c>
      <c r="AC1652" s="255">
        <f t="shared" si="358"/>
        <v>3.64628</v>
      </c>
      <c r="AD1652" s="255">
        <f t="shared" si="358"/>
        <v>3.64628</v>
      </c>
      <c r="AE1652" s="76"/>
      <c r="AF1652" s="97"/>
      <c r="AG1652" s="76"/>
      <c r="AH1652" s="97">
        <v>1</v>
      </c>
      <c r="AI1652" s="97">
        <v>1</v>
      </c>
      <c r="AJ1652" s="73"/>
      <c r="AK1652" s="57"/>
      <c r="AL1652" s="45"/>
      <c r="AM1652" s="45"/>
      <c r="AN1652" s="45"/>
    </row>
    <row r="1653" spans="1:40" outlineLevel="2" x14ac:dyDescent="0.3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4"/>
        <v>-0.43659999999999999</v>
      </c>
      <c r="W1653" s="255">
        <f t="shared" si="355"/>
        <v>-0.43659999999999999</v>
      </c>
      <c r="X1653" s="255">
        <f t="shared" si="355"/>
        <v>-0.43659999999999999</v>
      </c>
      <c r="Y1653" s="255">
        <f t="shared" si="356"/>
        <v>-0.43659999999999999</v>
      </c>
      <c r="Z1653" s="255">
        <f t="shared" si="357"/>
        <v>-0.54688000000000003</v>
      </c>
      <c r="AA1653" s="97">
        <v>-0.54688000000000003</v>
      </c>
      <c r="AB1653" s="255">
        <f t="shared" si="358"/>
        <v>-0.54688000000000003</v>
      </c>
      <c r="AC1653" s="255">
        <f t="shared" si="358"/>
        <v>-0.54688000000000003</v>
      </c>
      <c r="AD1653" s="255">
        <f t="shared" si="358"/>
        <v>-0.54688000000000003</v>
      </c>
      <c r="AE1653" s="76"/>
      <c r="AF1653" s="97" t="s">
        <v>2584</v>
      </c>
      <c r="AG1653" s="76"/>
      <c r="AH1653" s="97">
        <v>1</v>
      </c>
      <c r="AI1653" s="97">
        <v>1</v>
      </c>
      <c r="AJ1653" s="73"/>
      <c r="AK1653" s="57"/>
      <c r="AL1653" s="45"/>
      <c r="AM1653" s="45"/>
      <c r="AN1653" s="45"/>
    </row>
    <row r="1654" spans="1:40" outlineLevel="2" x14ac:dyDescent="0.3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4"/>
        <v>3.7200000000000002E-3</v>
      </c>
      <c r="W1654" s="255">
        <f t="shared" si="355"/>
        <v>3.7200000000000002E-3</v>
      </c>
      <c r="X1654" s="255">
        <f t="shared" si="355"/>
        <v>3.7200000000000002E-3</v>
      </c>
      <c r="Y1654" s="255">
        <f t="shared" si="356"/>
        <v>3.7200000000000002E-3</v>
      </c>
      <c r="Z1654" s="255">
        <f t="shared" si="357"/>
        <v>5.4739999999999997E-3</v>
      </c>
      <c r="AA1654" s="97">
        <v>5.4739999999999997E-3</v>
      </c>
      <c r="AB1654" s="255">
        <f t="shared" si="358"/>
        <v>5.4739999999999997E-3</v>
      </c>
      <c r="AC1654" s="255">
        <f t="shared" si="358"/>
        <v>5.4739999999999997E-3</v>
      </c>
      <c r="AD1654" s="255">
        <f t="shared" si="358"/>
        <v>5.4739999999999997E-3</v>
      </c>
      <c r="AE1654" s="76"/>
      <c r="AF1654" s="97" t="s">
        <v>3374</v>
      </c>
      <c r="AG1654" s="76"/>
      <c r="AH1654" s="97">
        <v>1</v>
      </c>
      <c r="AI1654" s="97">
        <v>1</v>
      </c>
      <c r="AJ1654" s="73"/>
      <c r="AK1654" s="57"/>
      <c r="AL1654" s="45"/>
      <c r="AM1654" s="45"/>
      <c r="AN1654" s="45"/>
    </row>
    <row r="1655" spans="1:40" outlineLevel="2" x14ac:dyDescent="0.35">
      <c r="A1655" s="45"/>
      <c r="B1655" s="54"/>
      <c r="C1655" s="47">
        <f t="shared" ref="C1655:C1666" si="359">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4"/>
        <v>-5.1499999999999997E-2</v>
      </c>
      <c r="W1655" s="255">
        <f t="shared" si="355"/>
        <v>-5.1499999999999997E-2</v>
      </c>
      <c r="X1655" s="255">
        <f t="shared" si="355"/>
        <v>-5.1499999999999997E-2</v>
      </c>
      <c r="Y1655" s="255">
        <f t="shared" si="356"/>
        <v>-5.1499999999999997E-2</v>
      </c>
      <c r="Z1655" s="255">
        <f t="shared" si="357"/>
        <v>-2.75E-2</v>
      </c>
      <c r="AA1655" s="97">
        <v>-2.75E-2</v>
      </c>
      <c r="AB1655" s="255">
        <f t="shared" si="358"/>
        <v>-2.75E-2</v>
      </c>
      <c r="AC1655" s="255">
        <f t="shared" si="358"/>
        <v>-2.75E-2</v>
      </c>
      <c r="AD1655" s="255">
        <f t="shared" si="358"/>
        <v>-2.75E-2</v>
      </c>
      <c r="AE1655" s="76"/>
      <c r="AF1655" s="76"/>
      <c r="AG1655" s="76"/>
      <c r="AH1655" s="97">
        <v>1</v>
      </c>
      <c r="AI1655" s="97">
        <v>1</v>
      </c>
      <c r="AJ1655" s="73"/>
      <c r="AK1655" s="57"/>
      <c r="AL1655" s="45"/>
      <c r="AM1655" s="45"/>
      <c r="AN1655" s="45"/>
    </row>
    <row r="1656" spans="1:40" outlineLevel="2" x14ac:dyDescent="0.35">
      <c r="A1656" s="45"/>
      <c r="B1656" s="54"/>
      <c r="C1656" s="47">
        <f t="shared" si="359"/>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4"/>
        <v>8.916204986149583E-5</v>
      </c>
      <c r="W1656" s="255">
        <f t="shared" si="355"/>
        <v>8.916204986149583E-5</v>
      </c>
      <c r="X1656" s="255">
        <f t="shared" si="355"/>
        <v>8.916204986149583E-5</v>
      </c>
      <c r="Y1656" s="255">
        <f t="shared" si="356"/>
        <v>8.916204986149583E-5</v>
      </c>
      <c r="Z1656" s="255">
        <f t="shared" si="357"/>
        <v>4.7610803324099718E-5</v>
      </c>
      <c r="AA1656" s="97">
        <f>-AA1655/(2*9.5*30.4)</f>
        <v>4.7610803324099718E-5</v>
      </c>
      <c r="AB1656" s="255">
        <f t="shared" si="358"/>
        <v>4.7610803324099718E-5</v>
      </c>
      <c r="AC1656" s="255">
        <f t="shared" si="358"/>
        <v>4.7610803324099718E-5</v>
      </c>
      <c r="AD1656" s="255">
        <f t="shared" si="358"/>
        <v>4.7610803324099718E-5</v>
      </c>
      <c r="AE1656" s="76"/>
      <c r="AF1656" s="76"/>
      <c r="AG1656" s="76"/>
      <c r="AH1656" s="76">
        <v>1</v>
      </c>
      <c r="AI1656" s="76">
        <v>1</v>
      </c>
      <c r="AJ1656" s="73"/>
      <c r="AK1656" s="57"/>
      <c r="AL1656" s="45"/>
      <c r="AM1656" s="45"/>
      <c r="AN1656" s="45"/>
    </row>
    <row r="1657" spans="1:40" outlineLevel="2" collapsed="1" x14ac:dyDescent="0.35">
      <c r="A1657" s="45"/>
      <c r="B1657" s="54"/>
      <c r="C1657" s="47">
        <f t="shared" si="359"/>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4"/>
        <v>-4.0000000000000001E-3</v>
      </c>
      <c r="W1657" s="255">
        <f t="shared" si="355"/>
        <v>-4.0000000000000001E-3</v>
      </c>
      <c r="X1657" s="255">
        <f t="shared" si="355"/>
        <v>-4.0000000000000001E-3</v>
      </c>
      <c r="Y1657" s="255">
        <f t="shared" si="356"/>
        <v>-4.0000000000000001E-3</v>
      </c>
      <c r="Z1657" s="255">
        <f t="shared" si="357"/>
        <v>-4.0000000000000001E-3</v>
      </c>
      <c r="AA1657" s="97">
        <v>-4.0000000000000001E-3</v>
      </c>
      <c r="AB1657" s="255">
        <f t="shared" si="358"/>
        <v>-4.0000000000000001E-3</v>
      </c>
      <c r="AC1657" s="255">
        <f t="shared" si="358"/>
        <v>-4.0000000000000001E-3</v>
      </c>
      <c r="AD1657" s="255">
        <f t="shared" si="358"/>
        <v>-4.0000000000000001E-3</v>
      </c>
      <c r="AE1657" s="76"/>
      <c r="AF1657" s="76"/>
      <c r="AG1657" s="76"/>
      <c r="AH1657" s="97">
        <v>1</v>
      </c>
      <c r="AI1657" s="97">
        <v>1</v>
      </c>
      <c r="AJ1657" s="73"/>
      <c r="AK1657" s="57"/>
      <c r="AL1657" s="45"/>
      <c r="AM1657" s="45"/>
      <c r="AN1657" s="45"/>
    </row>
    <row r="1658" spans="1:40" hidden="1" outlineLevel="3" x14ac:dyDescent="0.35">
      <c r="A1658" s="45"/>
      <c r="B1658" s="54"/>
      <c r="C1658" s="47">
        <f t="shared" si="359"/>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collapsed="1" x14ac:dyDescent="0.35">
      <c r="A1659" s="45"/>
      <c r="B1659" s="54"/>
      <c r="C1659" s="47">
        <f t="shared" si="359"/>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35">
      <c r="A1660" s="45"/>
      <c r="B1660" s="54"/>
      <c r="C1660" s="47">
        <f t="shared" si="359"/>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35">
      <c r="A1661" s="45"/>
      <c r="B1661" s="54"/>
      <c r="C1661" s="47">
        <f t="shared" si="359"/>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35">
      <c r="A1662" s="45"/>
      <c r="B1662" s="54"/>
      <c r="C1662" s="47">
        <f t="shared" si="359"/>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35">
      <c r="A1663" s="45"/>
      <c r="B1663" s="54"/>
      <c r="C1663" s="47">
        <f t="shared" si="359"/>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35">
      <c r="A1664" s="45"/>
      <c r="B1664" s="54"/>
      <c r="C1664" s="47">
        <f t="shared" si="359"/>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35">
      <c r="A1665" s="45"/>
      <c r="B1665" s="54"/>
      <c r="C1665" s="47">
        <f t="shared" si="359"/>
        <v>4</v>
      </c>
      <c r="D1665" s="73"/>
      <c r="E1665" s="70"/>
      <c r="F1665" s="70" t="s">
        <v>3367</v>
      </c>
      <c r="G1665" s="73"/>
      <c r="H1665" s="378" t="s">
        <v>3366</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35">
      <c r="A1666" s="45"/>
      <c r="B1666" s="54"/>
      <c r="C1666" s="47">
        <f t="shared" si="359"/>
        <v>4</v>
      </c>
      <c r="D1666" s="73"/>
      <c r="E1666" s="70"/>
      <c r="F1666" s="70" t="s">
        <v>3368</v>
      </c>
      <c r="G1666" s="73"/>
      <c r="H1666" s="378" t="s">
        <v>3365</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3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0">U1667</f>
        <v>19.482900000000001</v>
      </c>
      <c r="X1667" s="255">
        <f t="shared" si="360"/>
        <v>19.482900000000001</v>
      </c>
      <c r="Y1667" s="255">
        <f>V1667</f>
        <v>19.482900000000001</v>
      </c>
      <c r="Z1667" s="255">
        <f>AA1667</f>
        <v>16.702999999999999</v>
      </c>
      <c r="AA1667" s="97">
        <v>16.702999999999999</v>
      </c>
      <c r="AB1667" s="255">
        <f t="shared" ref="AB1667:AD1685" si="361">AA1667</f>
        <v>16.702999999999999</v>
      </c>
      <c r="AC1667" s="255">
        <f t="shared" si="361"/>
        <v>16.702999999999999</v>
      </c>
      <c r="AD1667" s="255">
        <f t="shared" si="361"/>
        <v>16.702999999999999</v>
      </c>
      <c r="AE1667" s="76"/>
      <c r="AF1667" s="76"/>
      <c r="AG1667" s="76"/>
      <c r="AH1667" s="97">
        <v>1</v>
      </c>
      <c r="AI1667" s="97">
        <v>1</v>
      </c>
      <c r="AJ1667" s="73"/>
      <c r="AK1667" s="57"/>
      <c r="AL1667" s="45"/>
      <c r="AM1667" s="45"/>
      <c r="AN1667" s="45"/>
    </row>
    <row r="1668" spans="1:40" outlineLevel="2" x14ac:dyDescent="0.35">
      <c r="A1668" s="45"/>
      <c r="B1668" s="54"/>
      <c r="C1668" s="47">
        <f>INT($C$29)+2</f>
        <v>3</v>
      </c>
      <c r="D1668" s="73"/>
      <c r="E1668" s="70"/>
      <c r="F1668" s="70" t="s">
        <v>2476</v>
      </c>
      <c r="G1668" s="73"/>
      <c r="H1668" s="76" t="s">
        <v>3362</v>
      </c>
      <c r="I1668" s="76"/>
      <c r="J1668" s="76"/>
      <c r="K1668" s="76"/>
      <c r="L1668" s="76"/>
      <c r="M1668" s="76"/>
      <c r="N1668" s="76"/>
      <c r="O1668" s="76"/>
      <c r="P1668" s="76"/>
      <c r="Q1668" s="76"/>
      <c r="R1668" s="76"/>
      <c r="S1668" s="76"/>
      <c r="T1668" s="76"/>
      <c r="U1668" s="97">
        <v>-9.8000000000000004E-2</v>
      </c>
      <c r="V1668" s="255">
        <f t="shared" ref="V1668:V1682" si="362">U1668</f>
        <v>-9.8000000000000004E-2</v>
      </c>
      <c r="W1668" s="255">
        <f t="shared" si="360"/>
        <v>-9.8000000000000004E-2</v>
      </c>
      <c r="X1668" s="255">
        <f t="shared" si="360"/>
        <v>-9.8000000000000004E-2</v>
      </c>
      <c r="Y1668" s="255">
        <f>V1668</f>
        <v>-9.8000000000000004E-2</v>
      </c>
      <c r="Z1668" s="255">
        <f>AA1668</f>
        <v>-3.9480000000000001E-2</v>
      </c>
      <c r="AA1668" s="97">
        <v>-3.9480000000000001E-2</v>
      </c>
      <c r="AB1668" s="255">
        <f t="shared" si="361"/>
        <v>-3.9480000000000001E-2</v>
      </c>
      <c r="AC1668" s="255">
        <f t="shared" si="361"/>
        <v>-3.9480000000000001E-2</v>
      </c>
      <c r="AD1668" s="255">
        <f t="shared" si="361"/>
        <v>-3.9480000000000001E-2</v>
      </c>
      <c r="AE1668" s="76"/>
      <c r="AF1668" s="97" t="s">
        <v>2824</v>
      </c>
      <c r="AG1668" s="76"/>
      <c r="AH1668" s="97">
        <v>1</v>
      </c>
      <c r="AI1668" s="97">
        <v>1</v>
      </c>
      <c r="AJ1668" s="73"/>
      <c r="AK1668" s="57"/>
      <c r="AL1668" s="45"/>
      <c r="AM1668" s="45"/>
      <c r="AN1668" s="45"/>
    </row>
    <row r="1669" spans="1:40" outlineLevel="2" collapsed="1" x14ac:dyDescent="0.3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2"/>
        <v>0</v>
      </c>
      <c r="W1669" s="255">
        <f t="shared" si="360"/>
        <v>0</v>
      </c>
      <c r="X1669" s="255">
        <f t="shared" si="360"/>
        <v>0</v>
      </c>
      <c r="Y1669" s="255">
        <f>V1669</f>
        <v>0</v>
      </c>
      <c r="Z1669" s="255">
        <f>AA1669</f>
        <v>0</v>
      </c>
      <c r="AA1669" s="97">
        <v>0</v>
      </c>
      <c r="AB1669" s="255">
        <f t="shared" si="361"/>
        <v>0</v>
      </c>
      <c r="AC1669" s="255">
        <f t="shared" si="361"/>
        <v>0</v>
      </c>
      <c r="AD1669" s="255">
        <f t="shared" si="361"/>
        <v>0</v>
      </c>
      <c r="AE1669" s="76"/>
      <c r="AF1669" s="76"/>
      <c r="AG1669" s="76"/>
      <c r="AH1669" s="97">
        <v>1</v>
      </c>
      <c r="AI1669" s="97">
        <v>1</v>
      </c>
      <c r="AJ1669" s="73"/>
      <c r="AK1669" s="57"/>
      <c r="AL1669" s="45"/>
      <c r="AM1669" s="45"/>
      <c r="AN1669" s="45"/>
    </row>
    <row r="1670" spans="1:40" hidden="1" outlineLevel="3" collapsed="1" x14ac:dyDescent="0.35">
      <c r="A1670" s="45"/>
      <c r="B1670" s="54"/>
      <c r="C1670" s="47">
        <f t="shared" ref="C1670:C1681" si="363">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2"/>
        <v>0</v>
      </c>
      <c r="W1670" s="255">
        <f t="shared" si="360"/>
        <v>0</v>
      </c>
      <c r="X1670" s="255">
        <f t="shared" si="360"/>
        <v>0</v>
      </c>
      <c r="Y1670" s="255">
        <f>V1670</f>
        <v>0</v>
      </c>
      <c r="Z1670" s="255">
        <f>AA1670</f>
        <v>0</v>
      </c>
      <c r="AA1670" s="97">
        <v>0</v>
      </c>
      <c r="AB1670" s="255">
        <f t="shared" si="361"/>
        <v>0</v>
      </c>
      <c r="AC1670" s="255">
        <f t="shared" si="361"/>
        <v>0</v>
      </c>
      <c r="AD1670" s="255">
        <f t="shared" si="361"/>
        <v>0</v>
      </c>
      <c r="AE1670" s="76"/>
      <c r="AF1670" s="76"/>
      <c r="AG1670" s="76"/>
      <c r="AH1670" s="97">
        <v>1</v>
      </c>
      <c r="AI1670" s="97">
        <v>1</v>
      </c>
      <c r="AJ1670" s="73"/>
      <c r="AK1670" s="57"/>
      <c r="AL1670" s="45"/>
      <c r="AM1670" s="45"/>
      <c r="AN1670" s="45"/>
    </row>
    <row r="1671" spans="1:40" hidden="1" outlineLevel="3" x14ac:dyDescent="0.35">
      <c r="A1671" s="45"/>
      <c r="B1671" s="54"/>
      <c r="C1671" s="47">
        <f t="shared" si="363"/>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2"/>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collapsed="1" x14ac:dyDescent="0.35">
      <c r="A1672" s="45"/>
      <c r="B1672" s="54"/>
      <c r="C1672" s="47">
        <f t="shared" si="363"/>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2"/>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35">
      <c r="A1673" s="45"/>
      <c r="B1673" s="54"/>
      <c r="C1673" s="47">
        <f t="shared" si="363"/>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2"/>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collapsed="1" x14ac:dyDescent="0.35">
      <c r="A1674" s="45"/>
      <c r="B1674" s="54"/>
      <c r="C1674" s="47">
        <f t="shared" si="363"/>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2"/>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35">
      <c r="A1675" s="45"/>
      <c r="B1675" s="54"/>
      <c r="C1675" s="47">
        <f t="shared" si="363"/>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2"/>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35">
      <c r="A1676" s="45"/>
      <c r="B1676" s="54"/>
      <c r="C1676" s="47">
        <f t="shared" si="363"/>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2"/>
        <v>0.05</v>
      </c>
      <c r="W1676" s="255">
        <f t="shared" ref="W1676:W1682" si="364">U1676</f>
        <v>0.05</v>
      </c>
      <c r="X1676" s="255">
        <f t="shared" ref="X1676:X1682" si="365">V1676</f>
        <v>0.05</v>
      </c>
      <c r="Y1676" s="255">
        <f>V1676</f>
        <v>0.05</v>
      </c>
      <c r="Z1676" s="255">
        <f>AA1676</f>
        <v>0</v>
      </c>
      <c r="AA1676" s="97">
        <v>0</v>
      </c>
      <c r="AB1676" s="255">
        <f t="shared" ref="AB1676:AB1682" si="366">AA1676</f>
        <v>0</v>
      </c>
      <c r="AC1676" s="255">
        <f t="shared" ref="AC1676:AC1682" si="367">AB1676</f>
        <v>0</v>
      </c>
      <c r="AD1676" s="255">
        <f t="shared" ref="AD1676:AD1682" si="368">AC1676</f>
        <v>0</v>
      </c>
      <c r="AE1676" s="76"/>
      <c r="AF1676" s="76"/>
      <c r="AG1676" s="76"/>
      <c r="AH1676" s="76">
        <v>1</v>
      </c>
      <c r="AI1676" s="76">
        <v>1</v>
      </c>
      <c r="AJ1676" s="73"/>
      <c r="AK1676" s="57"/>
      <c r="AL1676" s="45"/>
      <c r="AM1676" s="45"/>
      <c r="AN1676" s="45"/>
    </row>
    <row r="1677" spans="1:40" outlineLevel="2" x14ac:dyDescent="0.35">
      <c r="A1677" s="45"/>
      <c r="B1677" s="54"/>
      <c r="C1677" s="47">
        <f t="shared" si="363"/>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2"/>
        <v>-9.3500000000000007E-3</v>
      </c>
      <c r="W1677" s="255">
        <f t="shared" si="364"/>
        <v>-9.3500000000000007E-3</v>
      </c>
      <c r="X1677" s="255">
        <f t="shared" si="365"/>
        <v>-9.3500000000000007E-3</v>
      </c>
      <c r="Y1677" s="255">
        <f>V1677</f>
        <v>-9.3500000000000007E-3</v>
      </c>
      <c r="Z1677" s="255">
        <f>AA1677</f>
        <v>-9.3500000000000007E-3</v>
      </c>
      <c r="AA1677" s="97">
        <v>-9.3500000000000007E-3</v>
      </c>
      <c r="AB1677" s="255">
        <f t="shared" si="366"/>
        <v>-9.3500000000000007E-3</v>
      </c>
      <c r="AC1677" s="255">
        <f t="shared" si="367"/>
        <v>-9.3500000000000007E-3</v>
      </c>
      <c r="AD1677" s="255">
        <f t="shared" si="368"/>
        <v>-9.3500000000000007E-3</v>
      </c>
      <c r="AE1677" s="76"/>
      <c r="AF1677" s="76"/>
      <c r="AG1677" s="76"/>
      <c r="AH1677" s="76">
        <v>1</v>
      </c>
      <c r="AI1677" s="76">
        <v>1</v>
      </c>
      <c r="AJ1677" s="73"/>
      <c r="AK1677" s="57"/>
      <c r="AL1677" s="45"/>
      <c r="AM1677" s="45"/>
      <c r="AN1677" s="45"/>
    </row>
    <row r="1678" spans="1:40" outlineLevel="2" x14ac:dyDescent="0.35">
      <c r="A1678" s="45"/>
      <c r="B1678" s="54"/>
      <c r="C1678" s="47">
        <f t="shared" si="363"/>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2"/>
        <v>-7.0369200000000003E-3</v>
      </c>
      <c r="W1678" s="255">
        <f t="shared" si="364"/>
        <v>-7.0369200000000003E-3</v>
      </c>
      <c r="X1678" s="255">
        <f t="shared" si="365"/>
        <v>-7.0369200000000003E-3</v>
      </c>
      <c r="Y1678" s="255">
        <f>V1678</f>
        <v>-7.0369200000000003E-3</v>
      </c>
      <c r="Z1678" s="255">
        <f>AA1678</f>
        <v>-7.0369200000000003E-3</v>
      </c>
      <c r="AA1678" s="97">
        <v>-7.0369200000000003E-3</v>
      </c>
      <c r="AB1678" s="255">
        <f t="shared" si="366"/>
        <v>-7.0369200000000003E-3</v>
      </c>
      <c r="AC1678" s="255">
        <f t="shared" si="367"/>
        <v>-7.0369200000000003E-3</v>
      </c>
      <c r="AD1678" s="255">
        <f t="shared" si="368"/>
        <v>-7.0369200000000003E-3</v>
      </c>
      <c r="AE1678" s="76"/>
      <c r="AF1678" s="76"/>
      <c r="AG1678" s="76"/>
      <c r="AH1678" s="76">
        <v>1</v>
      </c>
      <c r="AI1678" s="76">
        <v>1</v>
      </c>
      <c r="AJ1678" s="73"/>
      <c r="AK1678" s="57"/>
      <c r="AL1678" s="45"/>
      <c r="AM1678" s="45"/>
      <c r="AN1678" s="45"/>
    </row>
    <row r="1679" spans="1:40" outlineLevel="2" x14ac:dyDescent="0.35">
      <c r="A1679" s="45"/>
      <c r="B1679" s="54"/>
      <c r="C1679" s="47">
        <f t="shared" si="363"/>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2"/>
        <v>7.4569999999999999E-5</v>
      </c>
      <c r="W1679" s="255">
        <f t="shared" si="364"/>
        <v>7.4569999999999999E-5</v>
      </c>
      <c r="X1679" s="255">
        <f t="shared" si="365"/>
        <v>7.4569999999999999E-5</v>
      </c>
      <c r="Y1679" s="255">
        <f>V1679</f>
        <v>7.4569999999999999E-5</v>
      </c>
      <c r="Z1679" s="255">
        <f>AA1679</f>
        <v>7.4569999999999999E-5</v>
      </c>
      <c r="AA1679" s="97">
        <v>7.4569999999999999E-5</v>
      </c>
      <c r="AB1679" s="255">
        <f t="shared" si="366"/>
        <v>7.4569999999999999E-5</v>
      </c>
      <c r="AC1679" s="255">
        <f t="shared" si="367"/>
        <v>7.4569999999999999E-5</v>
      </c>
      <c r="AD1679" s="255">
        <f t="shared" si="368"/>
        <v>7.4569999999999999E-5</v>
      </c>
      <c r="AE1679" s="76"/>
      <c r="AF1679" s="76"/>
      <c r="AG1679" s="76"/>
      <c r="AH1679" s="76">
        <v>1</v>
      </c>
      <c r="AI1679" s="76">
        <v>1</v>
      </c>
      <c r="AJ1679" s="73"/>
      <c r="AK1679" s="57"/>
      <c r="AL1679" s="45"/>
      <c r="AM1679" s="45"/>
      <c r="AN1679" s="45"/>
    </row>
    <row r="1680" spans="1:40" outlineLevel="2" x14ac:dyDescent="0.35">
      <c r="A1680" s="45"/>
      <c r="B1680" s="54"/>
      <c r="C1680" s="47">
        <f t="shared" si="363"/>
        <v>4</v>
      </c>
      <c r="D1680" s="73"/>
      <c r="E1680" s="70"/>
      <c r="F1680" s="70" t="s">
        <v>3369</v>
      </c>
      <c r="G1680" s="73"/>
      <c r="H1680" s="378" t="s">
        <v>3366</v>
      </c>
      <c r="I1680" s="96"/>
      <c r="J1680" s="76"/>
      <c r="K1680" s="76"/>
      <c r="L1680" s="76"/>
      <c r="M1680" s="76"/>
      <c r="N1680" s="76"/>
      <c r="O1680" s="76"/>
      <c r="P1680" s="76"/>
      <c r="Q1680" s="76"/>
      <c r="R1680" s="76"/>
      <c r="S1680" s="76"/>
      <c r="T1680" s="76"/>
      <c r="U1680" s="97">
        <v>0</v>
      </c>
      <c r="V1680" s="255">
        <f t="shared" si="362"/>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35">
      <c r="A1681" s="45"/>
      <c r="B1681" s="54"/>
      <c r="C1681" s="47">
        <f t="shared" si="363"/>
        <v>4</v>
      </c>
      <c r="D1681" s="73"/>
      <c r="E1681" s="70"/>
      <c r="F1681" s="70" t="s">
        <v>3370</v>
      </c>
      <c r="G1681" s="73"/>
      <c r="H1681" s="378" t="s">
        <v>3365</v>
      </c>
      <c r="I1681" s="96"/>
      <c r="J1681" s="76"/>
      <c r="K1681" s="76"/>
      <c r="L1681" s="76"/>
      <c r="M1681" s="76"/>
      <c r="N1681" s="76"/>
      <c r="O1681" s="76"/>
      <c r="P1681" s="76"/>
      <c r="Q1681" s="76"/>
      <c r="R1681" s="76"/>
      <c r="S1681" s="76"/>
      <c r="T1681" s="76"/>
      <c r="U1681" s="97">
        <v>0</v>
      </c>
      <c r="V1681" s="255">
        <f t="shared" si="362"/>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3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2"/>
        <v>-1.8110552</v>
      </c>
      <c r="W1682" s="255">
        <f t="shared" si="364"/>
        <v>-1.8110552</v>
      </c>
      <c r="X1682" s="255">
        <f t="shared" si="365"/>
        <v>-1.8110552</v>
      </c>
      <c r="Y1682" s="255">
        <f>V1682</f>
        <v>-1.8110552</v>
      </c>
      <c r="Z1682" s="255">
        <f>AA1682</f>
        <v>-0.49941732500000002</v>
      </c>
      <c r="AA1682" s="97">
        <v>-0.49941732500000002</v>
      </c>
      <c r="AB1682" s="255">
        <f t="shared" si="366"/>
        <v>-0.49941732500000002</v>
      </c>
      <c r="AC1682" s="255">
        <f t="shared" si="367"/>
        <v>-0.49941732500000002</v>
      </c>
      <c r="AD1682" s="255">
        <f t="shared" si="368"/>
        <v>-0.49941732500000002</v>
      </c>
      <c r="AE1682" s="76"/>
      <c r="AF1682" s="97" t="s">
        <v>2757</v>
      </c>
      <c r="AG1682" s="76"/>
      <c r="AH1682" s="97">
        <v>1</v>
      </c>
      <c r="AI1682" s="97">
        <v>1</v>
      </c>
      <c r="AJ1682" s="73"/>
      <c r="AK1682" s="57"/>
      <c r="AL1682" s="45"/>
      <c r="AM1682" s="45"/>
      <c r="AN1682" s="45"/>
    </row>
    <row r="1683" spans="1:40" outlineLevel="2" x14ac:dyDescent="0.35">
      <c r="A1683" s="45"/>
      <c r="B1683" s="54"/>
      <c r="C1683" s="47">
        <f>INT($C$29)+2</f>
        <v>3</v>
      </c>
      <c r="D1683" s="73"/>
      <c r="E1683" s="70"/>
      <c r="F1683" s="70" t="s">
        <v>3340</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0"/>
        <v>-9.8000000000000004E-2</v>
      </c>
      <c r="X1683" s="255">
        <f t="shared" si="360"/>
        <v>-9.8000000000000004E-2</v>
      </c>
      <c r="Y1683" s="255">
        <f>V1683</f>
        <v>-9.8000000000000004E-2</v>
      </c>
      <c r="Z1683" s="255">
        <f>AA1683</f>
        <v>-3.9480000000000001E-2</v>
      </c>
      <c r="AA1683" s="97">
        <v>-3.9480000000000001E-2</v>
      </c>
      <c r="AB1683" s="255">
        <f t="shared" si="361"/>
        <v>-3.9480000000000001E-2</v>
      </c>
      <c r="AC1683" s="255">
        <f t="shared" si="361"/>
        <v>-3.9480000000000001E-2</v>
      </c>
      <c r="AD1683" s="255">
        <f t="shared" si="361"/>
        <v>-3.9480000000000001E-2</v>
      </c>
      <c r="AE1683" s="76"/>
      <c r="AF1683" s="97" t="s">
        <v>2824</v>
      </c>
      <c r="AG1683" s="76"/>
      <c r="AH1683" s="97">
        <v>1</v>
      </c>
      <c r="AI1683" s="97">
        <v>1</v>
      </c>
      <c r="AJ1683" s="73"/>
      <c r="AK1683" s="57"/>
      <c r="AL1683" s="45"/>
      <c r="AM1683" s="45"/>
      <c r="AN1683" s="45"/>
    </row>
    <row r="1684" spans="1:40" outlineLevel="2" collapsed="1" x14ac:dyDescent="0.35">
      <c r="A1684" s="45"/>
      <c r="B1684" s="54"/>
      <c r="C1684" s="47">
        <f>INT($C$29)+2</f>
        <v>3</v>
      </c>
      <c r="D1684" s="73"/>
      <c r="E1684" s="70"/>
      <c r="F1684" s="70" t="s">
        <v>3342</v>
      </c>
      <c r="G1684" s="73"/>
      <c r="H1684" s="76" t="s">
        <v>2500</v>
      </c>
      <c r="I1684" s="76"/>
      <c r="J1684" s="76"/>
      <c r="K1684" s="76"/>
      <c r="L1684" s="76"/>
      <c r="M1684" s="76"/>
      <c r="N1684" s="76"/>
      <c r="O1684" s="76"/>
      <c r="P1684" s="76"/>
      <c r="Q1684" s="76"/>
      <c r="R1684" s="76"/>
      <c r="S1684" s="76"/>
      <c r="T1684" s="76"/>
      <c r="U1684" s="97">
        <v>0</v>
      </c>
      <c r="V1684" s="255">
        <f>U1684</f>
        <v>0</v>
      </c>
      <c r="W1684" s="255">
        <f t="shared" si="360"/>
        <v>0</v>
      </c>
      <c r="X1684" s="255">
        <f t="shared" si="360"/>
        <v>0</v>
      </c>
      <c r="Y1684" s="255">
        <f>V1684</f>
        <v>0</v>
      </c>
      <c r="Z1684" s="255">
        <f>AA1684</f>
        <v>0</v>
      </c>
      <c r="AA1684" s="97">
        <v>0</v>
      </c>
      <c r="AB1684" s="255">
        <f t="shared" si="361"/>
        <v>0</v>
      </c>
      <c r="AC1684" s="255">
        <f t="shared" si="361"/>
        <v>0</v>
      </c>
      <c r="AD1684" s="255">
        <f t="shared" si="361"/>
        <v>0</v>
      </c>
      <c r="AE1684" s="76"/>
      <c r="AF1684" s="76"/>
      <c r="AG1684" s="76"/>
      <c r="AH1684" s="97">
        <v>1</v>
      </c>
      <c r="AI1684" s="97">
        <v>1</v>
      </c>
      <c r="AJ1684" s="73"/>
      <c r="AK1684" s="57"/>
      <c r="AL1684" s="45"/>
      <c r="AM1684" s="45"/>
      <c r="AN1684" s="45"/>
    </row>
    <row r="1685" spans="1:40" hidden="1" outlineLevel="3" collapsed="1" x14ac:dyDescent="0.35">
      <c r="A1685" s="45"/>
      <c r="B1685" s="54"/>
      <c r="C1685" s="47">
        <f t="shared" ref="C1685:C1696" si="369">INT($C$29)+3</f>
        <v>4</v>
      </c>
      <c r="D1685" s="73"/>
      <c r="E1685" s="70"/>
      <c r="F1685" s="70" t="s">
        <v>3341</v>
      </c>
      <c r="G1685" s="73"/>
      <c r="H1685" s="378" t="s">
        <v>2501</v>
      </c>
      <c r="I1685" s="76"/>
      <c r="J1685" s="76"/>
      <c r="K1685" s="76"/>
      <c r="L1685" s="76"/>
      <c r="M1685" s="76"/>
      <c r="N1685" s="76"/>
      <c r="O1685" s="76"/>
      <c r="P1685" s="76"/>
      <c r="Q1685" s="76"/>
      <c r="R1685" s="76"/>
      <c r="S1685" s="76"/>
      <c r="T1685" s="76"/>
      <c r="U1685" s="97">
        <v>0</v>
      </c>
      <c r="V1685" s="255">
        <f>U1685</f>
        <v>0</v>
      </c>
      <c r="W1685" s="255">
        <f t="shared" si="360"/>
        <v>0</v>
      </c>
      <c r="X1685" s="255">
        <f t="shared" si="360"/>
        <v>0</v>
      </c>
      <c r="Y1685" s="255">
        <f>V1685</f>
        <v>0</v>
      </c>
      <c r="Z1685" s="255">
        <f>AA1685</f>
        <v>0</v>
      </c>
      <c r="AA1685" s="97">
        <v>0</v>
      </c>
      <c r="AB1685" s="255">
        <f t="shared" si="361"/>
        <v>0</v>
      </c>
      <c r="AC1685" s="255">
        <f t="shared" si="361"/>
        <v>0</v>
      </c>
      <c r="AD1685" s="255">
        <f t="shared" si="361"/>
        <v>0</v>
      </c>
      <c r="AE1685" s="76"/>
      <c r="AF1685" s="76"/>
      <c r="AG1685" s="76"/>
      <c r="AH1685" s="97">
        <v>1</v>
      </c>
      <c r="AI1685" s="97">
        <v>1</v>
      </c>
      <c r="AJ1685" s="73"/>
      <c r="AK1685" s="57"/>
      <c r="AL1685" s="45"/>
      <c r="AM1685" s="45"/>
      <c r="AN1685" s="45"/>
    </row>
    <row r="1686" spans="1:40" hidden="1" outlineLevel="3" x14ac:dyDescent="0.35">
      <c r="A1686" s="45"/>
      <c r="B1686" s="54"/>
      <c r="C1686" s="47">
        <f t="shared" si="369"/>
        <v>4</v>
      </c>
      <c r="D1686" s="73"/>
      <c r="E1686" s="70"/>
      <c r="F1686" s="70" t="s">
        <v>3343</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collapsed="1" x14ac:dyDescent="0.35">
      <c r="A1687" s="45"/>
      <c r="B1687" s="54"/>
      <c r="C1687" s="47">
        <f t="shared" si="369"/>
        <v>4</v>
      </c>
      <c r="D1687" s="73"/>
      <c r="E1687" s="70"/>
      <c r="F1687" s="70" t="s">
        <v>3344</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35">
      <c r="A1688" s="45"/>
      <c r="B1688" s="54"/>
      <c r="C1688" s="47">
        <f t="shared" si="369"/>
        <v>4</v>
      </c>
      <c r="D1688" s="73"/>
      <c r="E1688" s="70"/>
      <c r="F1688" s="70" t="s">
        <v>3345</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collapsed="1" x14ac:dyDescent="0.35">
      <c r="A1689" s="45"/>
      <c r="B1689" s="54"/>
      <c r="C1689" s="47">
        <f t="shared" si="369"/>
        <v>4</v>
      </c>
      <c r="D1689" s="73"/>
      <c r="E1689" s="70"/>
      <c r="F1689" s="70" t="s">
        <v>3346</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35">
      <c r="A1690" s="45"/>
      <c r="B1690" s="54"/>
      <c r="C1690" s="47">
        <f t="shared" si="369"/>
        <v>4</v>
      </c>
      <c r="D1690" s="73"/>
      <c r="E1690" s="70"/>
      <c r="F1690" s="70" t="s">
        <v>3347</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35">
      <c r="A1691" s="45"/>
      <c r="B1691" s="54"/>
      <c r="C1691" s="47">
        <f t="shared" si="369"/>
        <v>4</v>
      </c>
      <c r="D1691" s="73"/>
      <c r="E1691" s="70"/>
      <c r="F1691" s="70" t="s">
        <v>3348</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0">U1691</f>
        <v>0.05</v>
      </c>
      <c r="X1691" s="255">
        <f t="shared" si="370"/>
        <v>0.05</v>
      </c>
      <c r="Y1691" s="255">
        <f>V1691</f>
        <v>0.05</v>
      </c>
      <c r="Z1691" s="255">
        <f>AA1691</f>
        <v>0</v>
      </c>
      <c r="AA1691" s="97">
        <v>0</v>
      </c>
      <c r="AB1691" s="255">
        <f t="shared" ref="AB1691:AD1700" si="371">AA1691</f>
        <v>0</v>
      </c>
      <c r="AC1691" s="255">
        <f t="shared" si="371"/>
        <v>0</v>
      </c>
      <c r="AD1691" s="255">
        <f t="shared" si="371"/>
        <v>0</v>
      </c>
      <c r="AE1691" s="76"/>
      <c r="AF1691" s="76"/>
      <c r="AG1691" s="76"/>
      <c r="AH1691" s="76">
        <v>1</v>
      </c>
      <c r="AI1691" s="76">
        <v>1</v>
      </c>
      <c r="AJ1691" s="73"/>
      <c r="AK1691" s="57"/>
      <c r="AL1691" s="45"/>
      <c r="AM1691" s="45"/>
      <c r="AN1691" s="45"/>
    </row>
    <row r="1692" spans="1:40" outlineLevel="2" x14ac:dyDescent="0.35">
      <c r="A1692" s="45"/>
      <c r="B1692" s="54"/>
      <c r="C1692" s="47">
        <f t="shared" si="369"/>
        <v>4</v>
      </c>
      <c r="D1692" s="73"/>
      <c r="E1692" s="70"/>
      <c r="F1692" s="70" t="s">
        <v>3349</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0"/>
        <v>-9.3500000000000007E-3</v>
      </c>
      <c r="X1692" s="255">
        <f t="shared" si="370"/>
        <v>-9.3500000000000007E-3</v>
      </c>
      <c r="Y1692" s="255">
        <f>V1692</f>
        <v>-9.3500000000000007E-3</v>
      </c>
      <c r="Z1692" s="255">
        <f>AA1692</f>
        <v>-9.3500000000000007E-3</v>
      </c>
      <c r="AA1692" s="97">
        <v>-9.3500000000000007E-3</v>
      </c>
      <c r="AB1692" s="255">
        <f t="shared" si="371"/>
        <v>-9.3500000000000007E-3</v>
      </c>
      <c r="AC1692" s="255">
        <f t="shared" si="371"/>
        <v>-9.3500000000000007E-3</v>
      </c>
      <c r="AD1692" s="255">
        <f t="shared" si="371"/>
        <v>-9.3500000000000007E-3</v>
      </c>
      <c r="AE1692" s="76"/>
      <c r="AF1692" s="76"/>
      <c r="AG1692" s="76"/>
      <c r="AH1692" s="76">
        <v>1</v>
      </c>
      <c r="AI1692" s="76">
        <v>1</v>
      </c>
      <c r="AJ1692" s="73"/>
      <c r="AK1692" s="57"/>
      <c r="AL1692" s="45"/>
      <c r="AM1692" s="45"/>
      <c r="AN1692" s="45"/>
    </row>
    <row r="1693" spans="1:40" outlineLevel="2" x14ac:dyDescent="0.35">
      <c r="A1693" s="45"/>
      <c r="B1693" s="54"/>
      <c r="C1693" s="47">
        <f t="shared" si="369"/>
        <v>4</v>
      </c>
      <c r="D1693" s="73"/>
      <c r="E1693" s="70"/>
      <c r="F1693" s="70" t="s">
        <v>3350</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0"/>
        <v>-7.0369200000000003E-3</v>
      </c>
      <c r="X1693" s="255">
        <f t="shared" si="370"/>
        <v>-7.0369200000000003E-3</v>
      </c>
      <c r="Y1693" s="255">
        <f>V1693</f>
        <v>-7.0369200000000003E-3</v>
      </c>
      <c r="Z1693" s="255">
        <f>AA1693</f>
        <v>-7.0369200000000003E-3</v>
      </c>
      <c r="AA1693" s="97">
        <v>-7.0369200000000003E-3</v>
      </c>
      <c r="AB1693" s="255">
        <f t="shared" si="371"/>
        <v>-7.0369200000000003E-3</v>
      </c>
      <c r="AC1693" s="255">
        <f t="shared" si="371"/>
        <v>-7.0369200000000003E-3</v>
      </c>
      <c r="AD1693" s="255">
        <f t="shared" si="371"/>
        <v>-7.0369200000000003E-3</v>
      </c>
      <c r="AE1693" s="76"/>
      <c r="AF1693" s="76"/>
      <c r="AG1693" s="76"/>
      <c r="AH1693" s="76">
        <v>1</v>
      </c>
      <c r="AI1693" s="76">
        <v>1</v>
      </c>
      <c r="AJ1693" s="73"/>
      <c r="AK1693" s="57"/>
      <c r="AL1693" s="45"/>
      <c r="AM1693" s="45"/>
      <c r="AN1693" s="45"/>
    </row>
    <row r="1694" spans="1:40" outlineLevel="2" x14ac:dyDescent="0.35">
      <c r="A1694" s="45"/>
      <c r="B1694" s="54"/>
      <c r="C1694" s="47">
        <f t="shared" si="369"/>
        <v>4</v>
      </c>
      <c r="D1694" s="73"/>
      <c r="E1694" s="70"/>
      <c r="F1694" s="70" t="s">
        <v>3351</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0"/>
        <v>7.4569999999999999E-5</v>
      </c>
      <c r="X1694" s="255">
        <f t="shared" si="370"/>
        <v>7.4569999999999999E-5</v>
      </c>
      <c r="Y1694" s="255">
        <f>V1694</f>
        <v>7.4569999999999999E-5</v>
      </c>
      <c r="Z1694" s="255">
        <f>AA1694</f>
        <v>7.4569999999999999E-5</v>
      </c>
      <c r="AA1694" s="97">
        <v>7.4569999999999999E-5</v>
      </c>
      <c r="AB1694" s="255">
        <f t="shared" si="371"/>
        <v>7.4569999999999999E-5</v>
      </c>
      <c r="AC1694" s="255">
        <f t="shared" si="371"/>
        <v>7.4569999999999999E-5</v>
      </c>
      <c r="AD1694" s="255">
        <f t="shared" si="371"/>
        <v>7.4569999999999999E-5</v>
      </c>
      <c r="AE1694" s="76"/>
      <c r="AF1694" s="76"/>
      <c r="AG1694" s="76"/>
      <c r="AH1694" s="76">
        <v>1</v>
      </c>
      <c r="AI1694" s="76">
        <v>1</v>
      </c>
      <c r="AJ1694" s="73"/>
      <c r="AK1694" s="57"/>
      <c r="AL1694" s="45"/>
      <c r="AM1694" s="45"/>
      <c r="AN1694" s="45"/>
    </row>
    <row r="1695" spans="1:40" outlineLevel="2" x14ac:dyDescent="0.35">
      <c r="A1695" s="45"/>
      <c r="B1695" s="54"/>
      <c r="C1695" s="47">
        <f t="shared" si="369"/>
        <v>4</v>
      </c>
      <c r="D1695" s="73"/>
      <c r="E1695" s="70"/>
      <c r="F1695" s="70" t="s">
        <v>3363</v>
      </c>
      <c r="G1695" s="73"/>
      <c r="H1695" s="378" t="s">
        <v>3366</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35">
      <c r="A1696" s="45"/>
      <c r="B1696" s="54"/>
      <c r="C1696" s="47">
        <f t="shared" si="369"/>
        <v>4</v>
      </c>
      <c r="D1696" s="73"/>
      <c r="E1696" s="70"/>
      <c r="F1696" s="70" t="s">
        <v>3364</v>
      </c>
      <c r="G1696" s="73"/>
      <c r="H1696" s="378" t="s">
        <v>3365</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35">
      <c r="A1697" s="45"/>
      <c r="B1697" s="54"/>
      <c r="C1697" s="47">
        <f>INT($C$29)+2</f>
        <v>3</v>
      </c>
      <c r="D1697" s="73"/>
      <c r="E1697" s="70"/>
      <c r="F1697" s="70" t="s">
        <v>3352</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0"/>
        <v>-1.8110552</v>
      </c>
      <c r="X1697" s="255">
        <f t="shared" si="370"/>
        <v>-1.8110552</v>
      </c>
      <c r="Y1697" s="255">
        <f>V1697</f>
        <v>-1.8110552</v>
      </c>
      <c r="Z1697" s="255">
        <f>AA1697</f>
        <v>-0.49941732500000002</v>
      </c>
      <c r="AA1697" s="97">
        <v>-0.49941732500000002</v>
      </c>
      <c r="AB1697" s="255">
        <f t="shared" si="371"/>
        <v>-0.49941732500000002</v>
      </c>
      <c r="AC1697" s="255">
        <f t="shared" si="371"/>
        <v>-0.49941732500000002</v>
      </c>
      <c r="AD1697" s="255">
        <f t="shared" si="371"/>
        <v>-0.49941732500000002</v>
      </c>
      <c r="AE1697" s="76"/>
      <c r="AF1697" s="97" t="s">
        <v>3404</v>
      </c>
      <c r="AG1697" s="76"/>
      <c r="AH1697" s="97">
        <v>1</v>
      </c>
      <c r="AI1697" s="97">
        <v>1</v>
      </c>
      <c r="AJ1697" s="73"/>
      <c r="AK1697" s="57"/>
      <c r="AL1697" s="45"/>
      <c r="AM1697" s="45"/>
      <c r="AN1697" s="45"/>
    </row>
    <row r="1698" spans="1:40" outlineLevel="2" x14ac:dyDescent="0.35">
      <c r="A1698" s="45"/>
      <c r="B1698" s="54"/>
      <c r="C1698" s="47">
        <f>INT($C$29)+2</f>
        <v>3</v>
      </c>
      <c r="D1698" s="73"/>
      <c r="E1698" s="70"/>
      <c r="F1698" s="70" t="s">
        <v>3393</v>
      </c>
      <c r="G1698" s="73"/>
      <c r="H1698" s="76" t="s">
        <v>3402</v>
      </c>
      <c r="I1698" s="76"/>
      <c r="J1698" s="76"/>
      <c r="K1698" s="76"/>
      <c r="L1698" s="76"/>
      <c r="M1698" s="76"/>
      <c r="N1698" s="76"/>
      <c r="O1698" s="76"/>
      <c r="P1698" s="76"/>
      <c r="Q1698" s="76"/>
      <c r="R1698" s="76"/>
      <c r="S1698" s="76"/>
      <c r="T1698" s="76"/>
      <c r="U1698" s="97">
        <v>1.034</v>
      </c>
      <c r="V1698" s="255">
        <f>U1698</f>
        <v>1.034</v>
      </c>
      <c r="W1698" s="255">
        <f t="shared" si="370"/>
        <v>1.034</v>
      </c>
      <c r="X1698" s="255">
        <f t="shared" si="370"/>
        <v>1.034</v>
      </c>
      <c r="Y1698" s="255">
        <f>V1698</f>
        <v>1.034</v>
      </c>
      <c r="Z1698" s="255">
        <f>AA1698</f>
        <v>1.034</v>
      </c>
      <c r="AA1698" s="97">
        <f>U1698</f>
        <v>1.034</v>
      </c>
      <c r="AB1698" s="255">
        <f t="shared" si="371"/>
        <v>1.034</v>
      </c>
      <c r="AC1698" s="255">
        <f t="shared" si="371"/>
        <v>1.034</v>
      </c>
      <c r="AD1698" s="255">
        <f t="shared" si="371"/>
        <v>1.034</v>
      </c>
      <c r="AE1698" s="76"/>
      <c r="AF1698" s="97" t="s">
        <v>3405</v>
      </c>
      <c r="AG1698" s="76"/>
      <c r="AH1698" s="76">
        <v>1</v>
      </c>
      <c r="AI1698" s="76">
        <v>1</v>
      </c>
      <c r="AJ1698" s="73"/>
      <c r="AK1698" s="57"/>
      <c r="AL1698" s="45"/>
      <c r="AM1698" s="45"/>
      <c r="AN1698" s="45"/>
    </row>
    <row r="1699" spans="1:40" outlineLevel="2" x14ac:dyDescent="0.35">
      <c r="A1699" s="45"/>
      <c r="B1699" s="54"/>
      <c r="C1699" s="47">
        <f>INT($C$29)+2</f>
        <v>3</v>
      </c>
      <c r="D1699" s="73"/>
      <c r="E1699" s="70"/>
      <c r="F1699" s="70" t="s">
        <v>3394</v>
      </c>
      <c r="G1699" s="73"/>
      <c r="H1699" s="76" t="s">
        <v>3403</v>
      </c>
      <c r="I1699" s="76"/>
      <c r="J1699" s="76"/>
      <c r="K1699" s="76"/>
      <c r="L1699" s="76"/>
      <c r="M1699" s="76"/>
      <c r="N1699" s="76"/>
      <c r="O1699" s="76"/>
      <c r="P1699" s="76"/>
      <c r="Q1699" s="76"/>
      <c r="R1699" s="76"/>
      <c r="S1699" s="76"/>
      <c r="T1699" s="76"/>
      <c r="U1699" s="97">
        <v>-7.4159999999999998E-3</v>
      </c>
      <c r="V1699" s="255">
        <f>U1699</f>
        <v>-7.4159999999999998E-3</v>
      </c>
      <c r="W1699" s="255">
        <f t="shared" si="370"/>
        <v>-7.4159999999999998E-3</v>
      </c>
      <c r="X1699" s="255">
        <f t="shared" si="370"/>
        <v>-7.4159999999999998E-3</v>
      </c>
      <c r="Y1699" s="255">
        <f>V1699</f>
        <v>-7.4159999999999998E-3</v>
      </c>
      <c r="Z1699" s="255">
        <f>AA1699</f>
        <v>-7.4159999999999998E-3</v>
      </c>
      <c r="AA1699" s="97">
        <f t="shared" ref="AA1699:AA1703" si="372">U1699</f>
        <v>-7.4159999999999998E-3</v>
      </c>
      <c r="AB1699" s="255">
        <f t="shared" si="371"/>
        <v>-7.4159999999999998E-3</v>
      </c>
      <c r="AC1699" s="255">
        <f t="shared" si="371"/>
        <v>-7.4159999999999998E-3</v>
      </c>
      <c r="AD1699" s="255">
        <f t="shared" si="371"/>
        <v>-7.4159999999999998E-3</v>
      </c>
      <c r="AE1699" s="76"/>
      <c r="AF1699" s="97" t="s">
        <v>3406</v>
      </c>
      <c r="AG1699" s="76"/>
      <c r="AH1699" s="76">
        <v>1</v>
      </c>
      <c r="AI1699" s="76">
        <v>1</v>
      </c>
      <c r="AJ1699" s="73"/>
      <c r="AK1699" s="57"/>
      <c r="AL1699" s="45"/>
      <c r="AM1699" s="45"/>
      <c r="AN1699" s="45"/>
    </row>
    <row r="1700" spans="1:40" outlineLevel="2" x14ac:dyDescent="0.35">
      <c r="A1700" s="45"/>
      <c r="B1700" s="54"/>
      <c r="C1700" s="47">
        <f t="shared" ref="C1700:C1711" si="373">INT($C$29)+3</f>
        <v>4</v>
      </c>
      <c r="D1700" s="73"/>
      <c r="E1700" s="70"/>
      <c r="F1700" s="70" t="s">
        <v>3395</v>
      </c>
      <c r="G1700" s="73"/>
      <c r="H1700" s="76" t="s">
        <v>3407</v>
      </c>
      <c r="I1700" s="76"/>
      <c r="J1700" s="76"/>
      <c r="K1700" s="76"/>
      <c r="L1700" s="76"/>
      <c r="M1700" s="76"/>
      <c r="N1700" s="76"/>
      <c r="O1700" s="76"/>
      <c r="P1700" s="76"/>
      <c r="Q1700" s="76"/>
      <c r="R1700" s="76"/>
      <c r="S1700" s="76"/>
      <c r="T1700" s="76"/>
      <c r="U1700" s="97">
        <v>0.24360000000000001</v>
      </c>
      <c r="V1700" s="255">
        <f>U1700</f>
        <v>0.24360000000000001</v>
      </c>
      <c r="W1700" s="255">
        <f t="shared" si="370"/>
        <v>0.24360000000000001</v>
      </c>
      <c r="X1700" s="255">
        <f t="shared" si="370"/>
        <v>0.24360000000000001</v>
      </c>
      <c r="Y1700" s="255">
        <f>V1700</f>
        <v>0.24360000000000001</v>
      </c>
      <c r="Z1700" s="255">
        <f>AA1700</f>
        <v>0.24360000000000001</v>
      </c>
      <c r="AA1700" s="97">
        <f t="shared" si="372"/>
        <v>0.24360000000000001</v>
      </c>
      <c r="AB1700" s="255">
        <f t="shared" si="371"/>
        <v>0.24360000000000001</v>
      </c>
      <c r="AC1700" s="255">
        <f t="shared" si="371"/>
        <v>0.24360000000000001</v>
      </c>
      <c r="AD1700" s="255">
        <f t="shared" si="371"/>
        <v>0.24360000000000001</v>
      </c>
      <c r="AE1700" s="76"/>
      <c r="AF1700" s="76"/>
      <c r="AG1700" s="76"/>
      <c r="AH1700" s="97">
        <v>1</v>
      </c>
      <c r="AI1700" s="97">
        <v>1</v>
      </c>
      <c r="AJ1700" s="73"/>
      <c r="AK1700" s="57"/>
      <c r="AL1700" s="45"/>
      <c r="AM1700" s="45"/>
      <c r="AN1700" s="45"/>
    </row>
    <row r="1701" spans="1:40" outlineLevel="2" collapsed="1" x14ac:dyDescent="0.35">
      <c r="A1701" s="45"/>
      <c r="B1701" s="54"/>
      <c r="C1701" s="47">
        <f t="shared" si="373"/>
        <v>4</v>
      </c>
      <c r="D1701" s="73"/>
      <c r="E1701" s="70"/>
      <c r="F1701" s="70" t="s">
        <v>3396</v>
      </c>
      <c r="G1701" s="73"/>
      <c r="H1701" s="76" t="s">
        <v>3408</v>
      </c>
      <c r="I1701" s="76"/>
      <c r="J1701" s="76"/>
      <c r="K1701" s="76"/>
      <c r="L1701" s="76"/>
      <c r="M1701" s="76"/>
      <c r="N1701" s="76"/>
      <c r="O1701" s="76"/>
      <c r="P1701" s="76"/>
      <c r="Q1701" s="76"/>
      <c r="R1701" s="76"/>
      <c r="S1701" s="76"/>
      <c r="T1701" s="76"/>
      <c r="U1701" s="97"/>
      <c r="V1701" s="255">
        <f t="shared" ref="V1701:V1703" si="374">U1701</f>
        <v>0</v>
      </c>
      <c r="W1701" s="255">
        <f t="shared" ref="W1701:W1703" si="375">U1701</f>
        <v>0</v>
      </c>
      <c r="X1701" s="255">
        <f t="shared" ref="X1701:X1703" si="376">V1701</f>
        <v>0</v>
      </c>
      <c r="Y1701" s="255">
        <f t="shared" ref="Y1701:Y1703" si="377">V1701</f>
        <v>0</v>
      </c>
      <c r="Z1701" s="255">
        <f t="shared" ref="Z1701:Z1703" si="378">AA1701</f>
        <v>0</v>
      </c>
      <c r="AA1701" s="97">
        <f t="shared" si="372"/>
        <v>0</v>
      </c>
      <c r="AB1701" s="255">
        <f t="shared" ref="AB1701:AB1703" si="379">AA1701</f>
        <v>0</v>
      </c>
      <c r="AC1701" s="255">
        <f t="shared" ref="AC1701:AC1703" si="380">AB1701</f>
        <v>0</v>
      </c>
      <c r="AD1701" s="255">
        <f t="shared" ref="AD1701:AD1703" si="381">AC1701</f>
        <v>0</v>
      </c>
      <c r="AE1701" s="76"/>
      <c r="AF1701" s="76"/>
      <c r="AG1701" s="76"/>
      <c r="AH1701" s="76">
        <v>1</v>
      </c>
      <c r="AI1701" s="76">
        <v>1</v>
      </c>
      <c r="AJ1701" s="73"/>
      <c r="AK1701" s="57"/>
      <c r="AL1701" s="45"/>
      <c r="AM1701" s="45"/>
      <c r="AN1701" s="45"/>
    </row>
    <row r="1702" spans="1:40" hidden="1" outlineLevel="3" x14ac:dyDescent="0.35">
      <c r="A1702" s="45"/>
      <c r="B1702" s="54"/>
      <c r="C1702" s="47">
        <f t="shared" si="373"/>
        <v>4</v>
      </c>
      <c r="D1702" s="73"/>
      <c r="E1702" s="70"/>
      <c r="F1702" s="70" t="s">
        <v>3397</v>
      </c>
      <c r="G1702" s="73"/>
      <c r="H1702" s="377" t="s">
        <v>3409</v>
      </c>
      <c r="I1702" s="76"/>
      <c r="J1702" s="76"/>
      <c r="K1702" s="76"/>
      <c r="L1702" s="76"/>
      <c r="M1702" s="76"/>
      <c r="N1702" s="76"/>
      <c r="O1702" s="76"/>
      <c r="P1702" s="76"/>
      <c r="Q1702" s="76"/>
      <c r="R1702" s="76"/>
      <c r="S1702" s="76"/>
      <c r="T1702" s="76"/>
      <c r="U1702" s="97"/>
      <c r="V1702" s="255">
        <f t="shared" si="374"/>
        <v>0</v>
      </c>
      <c r="W1702" s="255">
        <f t="shared" si="375"/>
        <v>0</v>
      </c>
      <c r="X1702" s="255">
        <f t="shared" si="376"/>
        <v>0</v>
      </c>
      <c r="Y1702" s="255">
        <f t="shared" si="377"/>
        <v>0</v>
      </c>
      <c r="Z1702" s="255">
        <f t="shared" si="378"/>
        <v>0</v>
      </c>
      <c r="AA1702" s="97">
        <f t="shared" si="372"/>
        <v>0</v>
      </c>
      <c r="AB1702" s="255">
        <f t="shared" si="379"/>
        <v>0</v>
      </c>
      <c r="AC1702" s="255">
        <f t="shared" si="380"/>
        <v>0</v>
      </c>
      <c r="AD1702" s="255">
        <f t="shared" si="381"/>
        <v>0</v>
      </c>
      <c r="AE1702" s="76"/>
      <c r="AF1702" s="76"/>
      <c r="AG1702" s="76"/>
      <c r="AH1702" s="76">
        <v>1</v>
      </c>
      <c r="AI1702" s="76">
        <v>1</v>
      </c>
      <c r="AJ1702" s="73"/>
      <c r="AK1702" s="57"/>
      <c r="AL1702" s="45"/>
      <c r="AM1702" s="45"/>
      <c r="AN1702" s="45"/>
    </row>
    <row r="1703" spans="1:40" hidden="1" outlineLevel="3" x14ac:dyDescent="0.35">
      <c r="A1703" s="45"/>
      <c r="B1703" s="54"/>
      <c r="C1703" s="47">
        <f t="shared" si="373"/>
        <v>4</v>
      </c>
      <c r="D1703" s="73"/>
      <c r="E1703" s="70"/>
      <c r="F1703" s="70" t="s">
        <v>3398</v>
      </c>
      <c r="G1703" s="73"/>
      <c r="H1703" s="377" t="s">
        <v>3410</v>
      </c>
      <c r="I1703" s="76"/>
      <c r="J1703" s="76"/>
      <c r="K1703" s="76"/>
      <c r="L1703" s="76"/>
      <c r="M1703" s="76"/>
      <c r="N1703" s="76"/>
      <c r="O1703" s="76"/>
      <c r="P1703" s="76"/>
      <c r="Q1703" s="76"/>
      <c r="R1703" s="76"/>
      <c r="S1703" s="76"/>
      <c r="T1703" s="76"/>
      <c r="U1703" s="97"/>
      <c r="V1703" s="255">
        <f t="shared" si="374"/>
        <v>0</v>
      </c>
      <c r="W1703" s="255">
        <f t="shared" si="375"/>
        <v>0</v>
      </c>
      <c r="X1703" s="255">
        <f t="shared" si="376"/>
        <v>0</v>
      </c>
      <c r="Y1703" s="255">
        <f t="shared" si="377"/>
        <v>0</v>
      </c>
      <c r="Z1703" s="255">
        <f t="shared" si="378"/>
        <v>0</v>
      </c>
      <c r="AA1703" s="97">
        <f t="shared" si="372"/>
        <v>0</v>
      </c>
      <c r="AB1703" s="255">
        <f t="shared" si="379"/>
        <v>0</v>
      </c>
      <c r="AC1703" s="255">
        <f t="shared" si="380"/>
        <v>0</v>
      </c>
      <c r="AD1703" s="255">
        <f t="shared" si="381"/>
        <v>0</v>
      </c>
      <c r="AE1703" s="76"/>
      <c r="AF1703" s="76"/>
      <c r="AG1703" s="76"/>
      <c r="AH1703" s="76">
        <v>1</v>
      </c>
      <c r="AI1703" s="76">
        <v>1</v>
      </c>
      <c r="AJ1703" s="73"/>
      <c r="AK1703" s="57"/>
      <c r="AL1703" s="45"/>
      <c r="AM1703" s="45"/>
      <c r="AN1703" s="45"/>
    </row>
    <row r="1704" spans="1:40" hidden="1" outlineLevel="3" x14ac:dyDescent="0.35">
      <c r="A1704" s="45"/>
      <c r="B1704" s="54"/>
      <c r="C1704" s="47">
        <f t="shared" si="373"/>
        <v>4</v>
      </c>
      <c r="D1704" s="73"/>
      <c r="E1704" s="70"/>
      <c r="F1704" s="70" t="s">
        <v>3399</v>
      </c>
      <c r="G1704" s="73"/>
      <c r="H1704" s="377" t="s">
        <v>3411</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35">
      <c r="A1705" s="45"/>
      <c r="B1705" s="54"/>
      <c r="C1705" s="47">
        <f t="shared" si="373"/>
        <v>4</v>
      </c>
      <c r="D1705" s="73"/>
      <c r="E1705" s="70"/>
      <c r="F1705" s="70" t="s">
        <v>3400</v>
      </c>
      <c r="G1705" s="73"/>
      <c r="H1705" s="377" t="s">
        <v>3412</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35">
      <c r="A1706" s="45"/>
      <c r="B1706" s="54"/>
      <c r="C1706" s="47">
        <f t="shared" si="373"/>
        <v>4</v>
      </c>
      <c r="D1706" s="73"/>
      <c r="E1706" s="70"/>
      <c r="F1706" s="70" t="str">
        <f>SUBSTITUTE(F1702,",4)",",8)")</f>
        <v>C(U2,27,8)</v>
      </c>
      <c r="G1706" s="73"/>
      <c r="H1706" s="377" t="s">
        <v>3413</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35">
      <c r="A1707" s="45"/>
      <c r="B1707" s="54"/>
      <c r="C1707" s="47">
        <f t="shared" si="373"/>
        <v>4</v>
      </c>
      <c r="D1707" s="73"/>
      <c r="E1707" s="70"/>
      <c r="F1707" s="70" t="str">
        <f>SUBSTITUTE(F1703,",5)",",9)")</f>
        <v>C(U2,27,9)</v>
      </c>
      <c r="G1707" s="73"/>
      <c r="H1707" s="377" t="s">
        <v>3414</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35">
      <c r="A1708" s="45"/>
      <c r="B1708" s="54"/>
      <c r="C1708" s="47">
        <f t="shared" si="373"/>
        <v>4</v>
      </c>
      <c r="D1708" s="73"/>
      <c r="E1708" s="70"/>
      <c r="F1708" s="70" t="str">
        <f>SUBSTITUTE(F1704,",6)",",10)")</f>
        <v>C(U2,27,10)</v>
      </c>
      <c r="G1708" s="73"/>
      <c r="H1708" s="377" t="s">
        <v>3415</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35">
      <c r="A1709" s="45"/>
      <c r="B1709" s="54"/>
      <c r="C1709" s="47">
        <f t="shared" si="373"/>
        <v>4</v>
      </c>
      <c r="D1709" s="73"/>
      <c r="E1709" s="70"/>
      <c r="F1709" s="70" t="str">
        <f>SUBSTITUTE(F1705,",7)",",11)")</f>
        <v>C(U2,27,11)</v>
      </c>
      <c r="G1709" s="73"/>
      <c r="H1709" s="377" t="s">
        <v>3416</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35">
      <c r="A1710" s="45"/>
      <c r="B1710" s="54"/>
      <c r="C1710" s="47">
        <f t="shared" si="373"/>
        <v>4</v>
      </c>
      <c r="D1710" s="73"/>
      <c r="E1710" s="70"/>
      <c r="F1710" s="70" t="str">
        <f>SUBSTITUTE(F1704,",6)",",12)")</f>
        <v>C(U2,27,12)</v>
      </c>
      <c r="G1710" s="73"/>
      <c r="H1710" s="377" t="s">
        <v>3417</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35">
      <c r="A1711" s="45"/>
      <c r="B1711" s="54"/>
      <c r="C1711" s="47">
        <f t="shared" si="373"/>
        <v>4</v>
      </c>
      <c r="D1711" s="73"/>
      <c r="E1711" s="70"/>
      <c r="F1711" s="70" t="str">
        <f>SUBSTITUTE(F1705,",7)",",13)")</f>
        <v>C(U2,27,13)</v>
      </c>
      <c r="G1711" s="73"/>
      <c r="H1711" s="377" t="s">
        <v>3418</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35">
      <c r="A1712" s="45"/>
      <c r="B1712" s="54"/>
      <c r="C1712" s="47">
        <f>INT($C$29)+2</f>
        <v>3</v>
      </c>
      <c r="D1712" s="73"/>
      <c r="E1712" s="70"/>
      <c r="F1712" s="70" t="s">
        <v>3401</v>
      </c>
      <c r="G1712" s="73"/>
      <c r="H1712" s="76" t="s">
        <v>3419</v>
      </c>
      <c r="I1712" s="76"/>
      <c r="J1712" s="76"/>
      <c r="K1712" s="76"/>
      <c r="L1712" s="76"/>
      <c r="M1712" s="76"/>
      <c r="N1712" s="76"/>
      <c r="O1712" s="76"/>
      <c r="P1712" s="76"/>
      <c r="Q1712" s="76"/>
      <c r="R1712" s="76"/>
      <c r="S1712" s="76"/>
      <c r="T1712" s="76"/>
      <c r="U1712" s="97">
        <v>-28.27</v>
      </c>
      <c r="V1712" s="255">
        <f t="shared" ref="V1712" si="382">U1712</f>
        <v>-28.27</v>
      </c>
      <c r="W1712" s="255">
        <f t="shared" ref="W1712" si="383">U1712</f>
        <v>-28.27</v>
      </c>
      <c r="X1712" s="255">
        <f t="shared" ref="X1712" si="384">V1712</f>
        <v>-28.27</v>
      </c>
      <c r="Y1712" s="255">
        <f t="shared" ref="Y1712" si="385">V1712</f>
        <v>-28.27</v>
      </c>
      <c r="Z1712" s="255">
        <f t="shared" ref="Z1712" si="386">AA1712</f>
        <v>-28.27</v>
      </c>
      <c r="AA1712" s="97">
        <f>U1712</f>
        <v>-28.27</v>
      </c>
      <c r="AB1712" s="255">
        <f t="shared" ref="AB1712" si="387">AA1712</f>
        <v>-28.27</v>
      </c>
      <c r="AC1712" s="255">
        <f t="shared" ref="AC1712" si="388">AB1712</f>
        <v>-28.27</v>
      </c>
      <c r="AD1712" s="255">
        <f t="shared" ref="AD1712" si="389">AC1712</f>
        <v>-28.27</v>
      </c>
      <c r="AE1712" s="76"/>
      <c r="AF1712" s="97"/>
      <c r="AG1712" s="76"/>
      <c r="AH1712" s="97">
        <v>1</v>
      </c>
      <c r="AI1712" s="97">
        <v>1</v>
      </c>
      <c r="AJ1712" s="73"/>
      <c r="AK1712" s="57"/>
      <c r="AL1712" s="45"/>
      <c r="AM1712" s="45"/>
      <c r="AN1712" s="45"/>
    </row>
    <row r="1713" spans="1:40" outlineLevel="2" x14ac:dyDescent="0.3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collapsed="1" x14ac:dyDescent="0.3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15" hidden="1" customHeight="1" outlineLevel="3" x14ac:dyDescent="0.3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15" customHeight="1" outlineLevel="2" x14ac:dyDescent="0.3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3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collapsed="1" x14ac:dyDescent="0.3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3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3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3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15" hidden="1" customHeight="1" outlineLevel="3" x14ac:dyDescent="0.3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15" customHeight="1" outlineLevel="2" x14ac:dyDescent="0.3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15" customHeight="1" outlineLevel="1" x14ac:dyDescent="0.3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15" customHeight="1" collapsed="1" x14ac:dyDescent="0.3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3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3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3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3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3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3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3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3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5" t="s">
        <v>2375</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2" t="s">
        <v>2386</v>
      </c>
      <c r="K12" s="643"/>
      <c r="L12" s="643"/>
      <c r="M12" s="643"/>
      <c r="N12" s="643"/>
      <c r="O12" s="643"/>
      <c r="P12" s="643"/>
      <c r="Q12" s="643"/>
      <c r="R12" s="643"/>
      <c r="S12" s="643"/>
      <c r="T12" s="643"/>
      <c r="U12" s="643"/>
      <c r="V12" s="643"/>
      <c r="W12" s="643"/>
      <c r="X12" s="644"/>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3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3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3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2917</v>
      </c>
      <c r="B3" s="491">
        <v>6.9999999999999994E-5</v>
      </c>
      <c r="C3" s="1" t="s">
        <v>2921</v>
      </c>
    </row>
    <row r="4" spans="1:3" x14ac:dyDescent="0.35">
      <c r="A4" t="s">
        <v>2918</v>
      </c>
      <c r="B4" s="491">
        <v>1.2999999999999999E-4</v>
      </c>
      <c r="C4" s="1" t="s">
        <v>2922</v>
      </c>
    </row>
    <row r="5" spans="1:3" x14ac:dyDescent="0.35">
      <c r="A5" t="s">
        <v>2919</v>
      </c>
      <c r="B5" s="491">
        <v>1.9000000000000001E-4</v>
      </c>
      <c r="C5" s="1" t="s">
        <v>2923</v>
      </c>
    </row>
    <row r="6" spans="1:3" x14ac:dyDescent="0.35">
      <c r="A6" t="s">
        <v>2920</v>
      </c>
      <c r="B6" s="491">
        <v>1.9000000000000001E-4</v>
      </c>
      <c r="C6" s="1" t="s">
        <v>2922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2929</v>
      </c>
      <c r="B14"/>
    </row>
    <row r="15" spans="1:3" x14ac:dyDescent="0.35">
      <c r="A15" s="341" t="str">
        <f>General!G65</f>
        <v>b</v>
      </c>
      <c r="B15">
        <v>20</v>
      </c>
      <c r="C15" s="1" t="s">
        <v>2927</v>
      </c>
    </row>
    <row r="16" spans="1:3" x14ac:dyDescent="0.35">
      <c r="A16" s="341" t="str">
        <f>General!G66</f>
        <v>bd</v>
      </c>
      <c r="B16">
        <v>20</v>
      </c>
      <c r="C16" s="1" t="s">
        <v>2927</v>
      </c>
    </row>
    <row r="17" spans="1:3" x14ac:dyDescent="0.35">
      <c r="A17" s="341" t="str">
        <f>General!G67</f>
        <v>f</v>
      </c>
      <c r="B17">
        <v>7</v>
      </c>
      <c r="C17" s="1" t="s">
        <v>2927</v>
      </c>
    </row>
    <row r="18" spans="1:3" x14ac:dyDescent="0.35">
      <c r="A18" s="341" t="str">
        <f>General!G68</f>
        <v>h</v>
      </c>
      <c r="B18">
        <v>20</v>
      </c>
      <c r="C18" s="1" t="s">
        <v>2927</v>
      </c>
    </row>
    <row r="19" spans="1:3" x14ac:dyDescent="0.35">
      <c r="A19" s="341" t="str">
        <f>General!G69</f>
        <v>i</v>
      </c>
      <c r="B19">
        <v>7</v>
      </c>
      <c r="C19" s="1" t="s">
        <v>2927</v>
      </c>
    </row>
    <row r="20" spans="1:3" x14ac:dyDescent="0.35">
      <c r="A20" s="341" t="str">
        <f>General!G70</f>
        <v>k</v>
      </c>
      <c r="B20">
        <v>7</v>
      </c>
      <c r="C20" s="1" t="s">
        <v>2927</v>
      </c>
    </row>
    <row r="21" spans="1:3" x14ac:dyDescent="0.35">
      <c r="A21" s="341" t="str">
        <f>General!G71</f>
        <v>l</v>
      </c>
      <c r="B21">
        <v>7</v>
      </c>
      <c r="C21" s="1" t="s">
        <v>2927</v>
      </c>
    </row>
    <row r="22" spans="1:3" x14ac:dyDescent="0.35">
      <c r="A22" s="341" t="str">
        <f>General!G72</f>
        <v>lf</v>
      </c>
      <c r="B22">
        <v>7</v>
      </c>
      <c r="C22" s="1" t="s">
        <v>2927</v>
      </c>
    </row>
    <row r="23" spans="1:3" x14ac:dyDescent="0.35">
      <c r="A23" s="341" t="str">
        <f>General!G73</f>
        <v>ms</v>
      </c>
      <c r="B23" s="528">
        <f>0.65*B15+0.35*B21</f>
        <v>15.45</v>
      </c>
      <c r="C23" s="1" t="s">
        <v>2927</v>
      </c>
    </row>
    <row r="24" spans="1:3" x14ac:dyDescent="0.35">
      <c r="A24" s="341" t="str">
        <f>General!G74</f>
        <v>o</v>
      </c>
      <c r="B24">
        <v>20</v>
      </c>
      <c r="C24" s="1" t="s">
        <v>2927</v>
      </c>
    </row>
    <row r="25" spans="1:3" x14ac:dyDescent="0.35">
      <c r="A25" s="341" t="str">
        <f>General!G75</f>
        <v>od</v>
      </c>
      <c r="B25">
        <v>20</v>
      </c>
      <c r="C25" s="1" t="s">
        <v>2927</v>
      </c>
    </row>
    <row r="26" spans="1:3" x14ac:dyDescent="0.35">
      <c r="A26" s="341" t="str">
        <f>General!G76</f>
        <v>of</v>
      </c>
      <c r="B26">
        <v>20</v>
      </c>
      <c r="C26" s="1" t="s">
        <v>2927</v>
      </c>
    </row>
    <row r="27" spans="1:3" x14ac:dyDescent="0.35">
      <c r="A27" s="341" t="str">
        <f>General!G77</f>
        <v>r</v>
      </c>
      <c r="B27">
        <v>7</v>
      </c>
      <c r="C27" s="1" t="s">
        <v>2927</v>
      </c>
    </row>
    <row r="28" spans="1:3" x14ac:dyDescent="0.35">
      <c r="A28" s="341" t="str">
        <f>General!G78</f>
        <v>rd</v>
      </c>
      <c r="B28">
        <v>7</v>
      </c>
      <c r="C28" s="1" t="s">
        <v>2927</v>
      </c>
    </row>
    <row r="29" spans="1:3" x14ac:dyDescent="0.35">
      <c r="A29" s="341" t="str">
        <f>General!G79</f>
        <v>v</v>
      </c>
      <c r="B29">
        <v>7</v>
      </c>
      <c r="C29" s="1" t="s">
        <v>2927</v>
      </c>
    </row>
    <row r="30" spans="1:3" x14ac:dyDescent="0.35">
      <c r="A30" s="341" t="str">
        <f>General!G80</f>
        <v>w</v>
      </c>
      <c r="B30">
        <v>20</v>
      </c>
      <c r="C30" s="1" t="s">
        <v>2927</v>
      </c>
    </row>
    <row r="31" spans="1:3" x14ac:dyDescent="0.35">
      <c r="A31" s="341" t="str">
        <f>General!G81</f>
        <v>wd</v>
      </c>
      <c r="B31">
        <v>20</v>
      </c>
      <c r="C31" s="1" t="s">
        <v>2927</v>
      </c>
    </row>
    <row r="32" spans="1:3" x14ac:dyDescent="0.35">
      <c r="A32" s="341" t="str">
        <f>General!G82</f>
        <v>z</v>
      </c>
      <c r="B32">
        <v>7</v>
      </c>
      <c r="C32" s="1" t="s">
        <v>2927</v>
      </c>
    </row>
    <row r="33" spans="1:3" x14ac:dyDescent="0.35">
      <c r="A33" s="341" t="str">
        <f>General!G83</f>
        <v>zd</v>
      </c>
      <c r="B33">
        <v>7</v>
      </c>
      <c r="C33" s="1" t="s">
        <v>2927</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188000</v>
      </c>
      <c r="C12" s="44">
        <v>1</v>
      </c>
      <c r="D12" s="44">
        <v>0</v>
      </c>
      <c r="E12" s="44">
        <v>0</v>
      </c>
      <c r="F12" s="44">
        <v>0</v>
      </c>
    </row>
    <row r="13" spans="1:17" x14ac:dyDescent="0.35">
      <c r="A13" t="s">
        <v>2792</v>
      </c>
      <c r="B13">
        <v>87000</v>
      </c>
      <c r="C13" s="44">
        <v>1</v>
      </c>
      <c r="D13" s="44">
        <v>0</v>
      </c>
      <c r="E13" s="44">
        <v>0</v>
      </c>
      <c r="F13" s="44">
        <v>0</v>
      </c>
    </row>
    <row r="14" spans="1:17" x14ac:dyDescent="0.35">
      <c r="A14" t="s">
        <v>2793</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2790</v>
      </c>
      <c r="B30" s="436">
        <v>1</v>
      </c>
    </row>
    <row r="31" spans="1:6" ht="7.4" customHeight="1" x14ac:dyDescent="0.35"/>
    <row r="32" spans="1:6" x14ac:dyDescent="0.35">
      <c r="A32" t="s">
        <v>2931</v>
      </c>
      <c r="B32">
        <v>8.6999999999999993</v>
      </c>
      <c r="C32" s="1" t="s">
        <v>2930</v>
      </c>
    </row>
    <row r="33" spans="1:3" ht="7.15" customHeight="1" x14ac:dyDescent="0.35"/>
    <row r="34" spans="1:3" x14ac:dyDescent="0.35">
      <c r="A34" t="s">
        <v>3320</v>
      </c>
      <c r="B34">
        <v>50</v>
      </c>
      <c r="C34" s="1" t="s">
        <v>2933</v>
      </c>
    </row>
    <row r="35" spans="1:3" ht="7.15" customHeight="1" x14ac:dyDescent="0.35"/>
    <row r="36" spans="1:3" x14ac:dyDescent="0.35">
      <c r="A36" t="s">
        <v>3321</v>
      </c>
      <c r="B36">
        <v>60</v>
      </c>
      <c r="C36" s="1" t="s">
        <v>3323</v>
      </c>
    </row>
    <row r="37" spans="1:3" ht="7.15" customHeight="1" x14ac:dyDescent="0.35"/>
    <row r="38" spans="1:3" x14ac:dyDescent="0.35">
      <c r="A38" t="s">
        <v>54</v>
      </c>
      <c r="B38"/>
    </row>
    <row r="39" spans="1:3" x14ac:dyDescent="0.35">
      <c r="A39" s="341" t="str">
        <f>General!I65</f>
        <v>a</v>
      </c>
      <c r="B39">
        <v>1</v>
      </c>
    </row>
    <row r="40" spans="1:3" x14ac:dyDescent="0.35">
      <c r="A40" s="341" t="str">
        <f>General!I66</f>
        <v>a2</v>
      </c>
      <c r="B40">
        <v>1</v>
      </c>
    </row>
    <row r="41" spans="1:3" x14ac:dyDescent="0.35">
      <c r="A41" s="341" t="str">
        <f>General!I67</f>
        <v>b</v>
      </c>
      <c r="B41">
        <v>1</v>
      </c>
    </row>
    <row r="42" spans="1:3" x14ac:dyDescent="0.35">
      <c r="A42" s="341" t="str">
        <f>General!I68</f>
        <v>bd</v>
      </c>
      <c r="B42">
        <v>1</v>
      </c>
    </row>
    <row r="43" spans="1:3" x14ac:dyDescent="0.35">
      <c r="A43" s="341" t="str">
        <f>General!I69</f>
        <v>f</v>
      </c>
      <c r="B43">
        <v>1</v>
      </c>
    </row>
    <row r="44" spans="1:3" x14ac:dyDescent="0.35">
      <c r="A44" s="341" t="str">
        <f>General!I70</f>
        <v>h</v>
      </c>
      <c r="B44">
        <v>1</v>
      </c>
    </row>
    <row r="45" spans="1:3" x14ac:dyDescent="0.35">
      <c r="A45" s="341" t="str">
        <f>General!I71</f>
        <v>i</v>
      </c>
      <c r="B45">
        <v>1</v>
      </c>
    </row>
    <row r="46" spans="1:3" x14ac:dyDescent="0.35">
      <c r="A46" s="341" t="str">
        <f>General!I72</f>
        <v>j</v>
      </c>
      <c r="B46">
        <v>1</v>
      </c>
    </row>
    <row r="47" spans="1:3" x14ac:dyDescent="0.35">
      <c r="A47" s="341" t="str">
        <f>General!I73</f>
        <v>jc</v>
      </c>
      <c r="B47">
        <v>1</v>
      </c>
    </row>
    <row r="48" spans="1:3" x14ac:dyDescent="0.35">
      <c r="A48" s="341" t="str">
        <f>General!I74</f>
        <v>k</v>
      </c>
      <c r="B48">
        <v>1</v>
      </c>
    </row>
    <row r="49" spans="1:2" x14ac:dyDescent="0.35">
      <c r="A49" s="341" t="str">
        <f>General!I75</f>
        <v>l</v>
      </c>
      <c r="B49">
        <v>1</v>
      </c>
    </row>
    <row r="50" spans="1:2" x14ac:dyDescent="0.35">
      <c r="A50" s="341" t="str">
        <f>General!I76</f>
        <v>lf</v>
      </c>
      <c r="B50">
        <v>1</v>
      </c>
    </row>
    <row r="51" spans="1:2" x14ac:dyDescent="0.35">
      <c r="A51" s="341" t="str">
        <f>General!I77</f>
        <v>m</v>
      </c>
      <c r="B51">
        <v>1</v>
      </c>
    </row>
    <row r="52" spans="1:2" x14ac:dyDescent="0.35">
      <c r="A52" s="341" t="str">
        <f>General!I78</f>
        <v>ms</v>
      </c>
      <c r="B52">
        <v>1</v>
      </c>
    </row>
    <row r="53" spans="1:2" x14ac:dyDescent="0.35">
      <c r="A53" s="341" t="str">
        <f>General!I79</f>
        <v>o</v>
      </c>
      <c r="B53">
        <v>1</v>
      </c>
    </row>
    <row r="54" spans="1:2" x14ac:dyDescent="0.35">
      <c r="A54" s="341" t="str">
        <f>General!I80</f>
        <v>od</v>
      </c>
      <c r="B54">
        <v>1</v>
      </c>
    </row>
    <row r="55" spans="1:2" x14ac:dyDescent="0.35">
      <c r="A55" s="341" t="str">
        <f>General!I81</f>
        <v>of</v>
      </c>
      <c r="B55">
        <v>1</v>
      </c>
    </row>
    <row r="56" spans="1:2" x14ac:dyDescent="0.35">
      <c r="A56" s="341" t="str">
        <f>General!I82</f>
        <v>r</v>
      </c>
      <c r="B56">
        <v>1</v>
      </c>
    </row>
    <row r="57" spans="1:2" x14ac:dyDescent="0.35">
      <c r="A57" s="341" t="str">
        <f>General!I83</f>
        <v>rd</v>
      </c>
      <c r="B57">
        <v>1</v>
      </c>
    </row>
    <row r="58" spans="1:2" x14ac:dyDescent="0.35">
      <c r="A58" s="341" t="str">
        <f>General!I84</f>
        <v>s</v>
      </c>
      <c r="B58">
        <v>1</v>
      </c>
    </row>
    <row r="59" spans="1:2" x14ac:dyDescent="0.35">
      <c r="A59" s="341" t="str">
        <f>General!I85</f>
        <v>sp</v>
      </c>
      <c r="B59">
        <v>1</v>
      </c>
    </row>
    <row r="60" spans="1:2" x14ac:dyDescent="0.35">
      <c r="A60" s="341" t="str">
        <f>General!I86</f>
        <v>t</v>
      </c>
      <c r="B60">
        <v>1</v>
      </c>
    </row>
    <row r="61" spans="1:2" x14ac:dyDescent="0.35">
      <c r="A61" s="341" t="str">
        <f>General!I87</f>
        <v>tc</v>
      </c>
      <c r="B61">
        <v>1</v>
      </c>
    </row>
    <row r="62" spans="1:2" x14ac:dyDescent="0.35">
      <c r="A62" s="341" t="str">
        <f>General!I88</f>
        <v>u</v>
      </c>
      <c r="B62">
        <v>1</v>
      </c>
    </row>
    <row r="63" spans="1:2" x14ac:dyDescent="0.35">
      <c r="A63" s="341" t="str">
        <f>General!I89</f>
        <v>uc</v>
      </c>
      <c r="B63">
        <v>1</v>
      </c>
    </row>
    <row r="64" spans="1:2" x14ac:dyDescent="0.35">
      <c r="A64" s="341" t="str">
        <f>General!I90</f>
        <v>v</v>
      </c>
      <c r="B64">
        <v>1</v>
      </c>
    </row>
    <row r="65" spans="1:5" x14ac:dyDescent="0.35">
      <c r="A65" s="341" t="str">
        <f>General!I91</f>
        <v>w</v>
      </c>
      <c r="B65">
        <v>1</v>
      </c>
    </row>
    <row r="66" spans="1:5" x14ac:dyDescent="0.35">
      <c r="A66" s="341" t="str">
        <f>General!I92</f>
        <v>wd</v>
      </c>
      <c r="B66">
        <v>1</v>
      </c>
    </row>
    <row r="67" spans="1:5" x14ac:dyDescent="0.35">
      <c r="A67" s="341" t="str">
        <f>General!I93</f>
        <v>x</v>
      </c>
      <c r="B67">
        <v>1</v>
      </c>
    </row>
    <row r="68" spans="1:5" x14ac:dyDescent="0.35">
      <c r="A68" s="341" t="str">
        <f>General!I94</f>
        <v>xc</v>
      </c>
      <c r="B68">
        <v>1</v>
      </c>
    </row>
    <row r="69" spans="1:5" x14ac:dyDescent="0.35">
      <c r="A69" s="341" t="str">
        <f>General!I95</f>
        <v>z</v>
      </c>
      <c r="B69">
        <v>1</v>
      </c>
    </row>
    <row r="70" spans="1:5" x14ac:dyDescent="0.35">
      <c r="A70" s="341" t="str">
        <f>General!I96</f>
        <v>zd</v>
      </c>
      <c r="B70">
        <v>1</v>
      </c>
    </row>
    <row r="72" spans="1:5" x14ac:dyDescent="0.35">
      <c r="A72" s="3" t="s">
        <v>35</v>
      </c>
    </row>
    <row r="73" spans="1:5" x14ac:dyDescent="0.35">
      <c r="A73" t="s">
        <v>2791</v>
      </c>
      <c r="B73" s="436">
        <v>1</v>
      </c>
    </row>
    <row r="74" spans="1:5" ht="7.4" customHeight="1" x14ac:dyDescent="0.35"/>
    <row r="75" spans="1:5" x14ac:dyDescent="0.35">
      <c r="A75" t="s">
        <v>2916</v>
      </c>
      <c r="B75">
        <v>63</v>
      </c>
    </row>
    <row r="76" spans="1:5" ht="7.15" customHeight="1" x14ac:dyDescent="0.35"/>
    <row r="77" spans="1:5" x14ac:dyDescent="0.35">
      <c r="A77" t="s">
        <v>3324</v>
      </c>
      <c r="B77">
        <f>0.3*harvest_maint</f>
        <v>16.5</v>
      </c>
      <c r="C77" s="1" t="s">
        <v>3325</v>
      </c>
    </row>
    <row r="78" spans="1:5" ht="7.15" customHeight="1" x14ac:dyDescent="0.35"/>
    <row r="79" spans="1:5" x14ac:dyDescent="0.35">
      <c r="A79" t="s">
        <v>2926</v>
      </c>
      <c r="B79"/>
    </row>
    <row r="80" spans="1:5" x14ac:dyDescent="0.35">
      <c r="A80" s="341" t="str">
        <f>General!G65</f>
        <v>b</v>
      </c>
      <c r="B80">
        <v>20</v>
      </c>
      <c r="C80" s="1" t="s">
        <v>2927</v>
      </c>
      <c r="E80" s="1" t="s">
        <v>2928</v>
      </c>
    </row>
    <row r="81" spans="1:3" x14ac:dyDescent="0.35">
      <c r="A81" s="341" t="str">
        <f>General!G66</f>
        <v>bd</v>
      </c>
      <c r="B81">
        <v>20</v>
      </c>
      <c r="C81" s="1" t="s">
        <v>2927</v>
      </c>
    </row>
    <row r="82" spans="1:3" x14ac:dyDescent="0.35">
      <c r="A82" s="341" t="str">
        <f>General!G67</f>
        <v>f</v>
      </c>
      <c r="B82">
        <v>12</v>
      </c>
      <c r="C82" s="1" t="s">
        <v>2927</v>
      </c>
    </row>
    <row r="83" spans="1:3" x14ac:dyDescent="0.35">
      <c r="A83" s="341" t="str">
        <f>General!G68</f>
        <v>h</v>
      </c>
      <c r="B83">
        <v>20</v>
      </c>
      <c r="C83" s="1" t="s">
        <v>2927</v>
      </c>
    </row>
    <row r="84" spans="1:3" x14ac:dyDescent="0.35">
      <c r="A84" s="341" t="str">
        <f>General!G69</f>
        <v>i</v>
      </c>
      <c r="B84">
        <v>12</v>
      </c>
      <c r="C84" s="1" t="s">
        <v>2927</v>
      </c>
    </row>
    <row r="85" spans="1:3" x14ac:dyDescent="0.35">
      <c r="A85" s="341" t="str">
        <f>General!G70</f>
        <v>k</v>
      </c>
      <c r="B85">
        <v>12</v>
      </c>
      <c r="C85" s="1" t="s">
        <v>2927</v>
      </c>
    </row>
    <row r="86" spans="1:3" x14ac:dyDescent="0.35">
      <c r="A86" s="341" t="str">
        <f>General!G71</f>
        <v>l</v>
      </c>
      <c r="B86">
        <v>12</v>
      </c>
      <c r="C86" s="1" t="s">
        <v>2927</v>
      </c>
    </row>
    <row r="87" spans="1:3" x14ac:dyDescent="0.35">
      <c r="A87" s="341" t="str">
        <f>General!G72</f>
        <v>lf</v>
      </c>
      <c r="B87">
        <v>12</v>
      </c>
      <c r="C87" s="1" t="s">
        <v>2927</v>
      </c>
    </row>
    <row r="88" spans="1:3" x14ac:dyDescent="0.35">
      <c r="A88" s="341" t="str">
        <f>General!G73</f>
        <v>ms</v>
      </c>
      <c r="B88" s="528">
        <f>0.65*B80+0.35*B86</f>
        <v>17.2</v>
      </c>
      <c r="C88" s="1" t="s">
        <v>2927</v>
      </c>
    </row>
    <row r="89" spans="1:3" x14ac:dyDescent="0.35">
      <c r="A89" s="341" t="str">
        <f>General!G74</f>
        <v>o</v>
      </c>
      <c r="B89">
        <v>20</v>
      </c>
      <c r="C89" s="1" t="s">
        <v>2927</v>
      </c>
    </row>
    <row r="90" spans="1:3" x14ac:dyDescent="0.35">
      <c r="A90" s="341" t="str">
        <f>General!G75</f>
        <v>od</v>
      </c>
      <c r="B90">
        <v>20</v>
      </c>
      <c r="C90" s="1" t="s">
        <v>2927</v>
      </c>
    </row>
    <row r="91" spans="1:3" x14ac:dyDescent="0.35">
      <c r="A91" s="341" t="str">
        <f>General!G76</f>
        <v>of</v>
      </c>
      <c r="B91">
        <v>20</v>
      </c>
      <c r="C91" s="1" t="s">
        <v>2927</v>
      </c>
    </row>
    <row r="92" spans="1:3" x14ac:dyDescent="0.35">
      <c r="A92" s="341" t="str">
        <f>General!G77</f>
        <v>r</v>
      </c>
      <c r="B92">
        <v>7</v>
      </c>
      <c r="C92" s="1" t="s">
        <v>2927</v>
      </c>
    </row>
    <row r="93" spans="1:3" x14ac:dyDescent="0.35">
      <c r="A93" s="341" t="str">
        <f>General!G78</f>
        <v>rd</v>
      </c>
      <c r="B93">
        <v>7</v>
      </c>
      <c r="C93" s="1" t="s">
        <v>2927</v>
      </c>
    </row>
    <row r="94" spans="1:3" x14ac:dyDescent="0.35">
      <c r="A94" s="341" t="str">
        <f>General!G79</f>
        <v>v</v>
      </c>
      <c r="B94">
        <v>12</v>
      </c>
      <c r="C94" s="1" t="s">
        <v>2927</v>
      </c>
    </row>
    <row r="95" spans="1:3" x14ac:dyDescent="0.35">
      <c r="A95" s="341" t="str">
        <f>General!G80</f>
        <v>w</v>
      </c>
      <c r="B95">
        <v>20</v>
      </c>
      <c r="C95" s="1" t="s">
        <v>2927</v>
      </c>
    </row>
    <row r="96" spans="1:3" x14ac:dyDescent="0.35">
      <c r="A96" s="341" t="str">
        <f>General!G81</f>
        <v>wd</v>
      </c>
      <c r="B96">
        <v>20</v>
      </c>
      <c r="C96" s="1" t="s">
        <v>2927</v>
      </c>
    </row>
    <row r="97" spans="1:3" x14ac:dyDescent="0.35">
      <c r="A97" s="341" t="str">
        <f>General!G82</f>
        <v>z</v>
      </c>
      <c r="B97">
        <v>7</v>
      </c>
      <c r="C97" s="1" t="s">
        <v>2927</v>
      </c>
    </row>
    <row r="98" spans="1:3" x14ac:dyDescent="0.35">
      <c r="A98" s="341" t="str">
        <f>General!G83</f>
        <v>zd</v>
      </c>
      <c r="B98">
        <v>7</v>
      </c>
      <c r="C98" s="1" t="s">
        <v>2927</v>
      </c>
    </row>
    <row r="100" spans="1:3" x14ac:dyDescent="0.35">
      <c r="A100" t="s">
        <v>37</v>
      </c>
      <c r="B100">
        <v>55</v>
      </c>
      <c r="C100" s="1" t="s">
        <v>2915</v>
      </c>
    </row>
    <row r="101" spans="1:3" ht="9" customHeight="1" x14ac:dyDescent="0.35"/>
    <row r="102" spans="1:3" x14ac:dyDescent="0.35">
      <c r="A102" t="s">
        <v>37</v>
      </c>
      <c r="B102" t="s">
        <v>3322</v>
      </c>
    </row>
    <row r="103" spans="1:3" x14ac:dyDescent="0.35">
      <c r="A103" s="341" t="str">
        <f>General!G65</f>
        <v>b</v>
      </c>
      <c r="B103" s="326">
        <v>1</v>
      </c>
    </row>
    <row r="104" spans="1:3" x14ac:dyDescent="0.35">
      <c r="A104" s="341" t="str">
        <f>General!G66</f>
        <v>bd</v>
      </c>
      <c r="B104" s="326">
        <v>1</v>
      </c>
    </row>
    <row r="105" spans="1:3" x14ac:dyDescent="0.35">
      <c r="A105" s="341" t="str">
        <f>General!G67</f>
        <v>f</v>
      </c>
      <c r="B105" s="326">
        <f>38/33</f>
        <v>1.1515151515151516</v>
      </c>
    </row>
    <row r="106" spans="1:3" x14ac:dyDescent="0.35">
      <c r="A106" s="341" t="str">
        <f>General!G68</f>
        <v>h</v>
      </c>
      <c r="B106" s="326">
        <v>1</v>
      </c>
    </row>
    <row r="107" spans="1:3" x14ac:dyDescent="0.35">
      <c r="A107" s="341" t="str">
        <f>General!G69</f>
        <v>i</v>
      </c>
      <c r="B107" s="326">
        <f t="shared" ref="B107:B108" si="0">38/33</f>
        <v>1.1515151515151516</v>
      </c>
    </row>
    <row r="108" spans="1:3" x14ac:dyDescent="0.35">
      <c r="A108" s="341" t="str">
        <f>General!G70</f>
        <v>k</v>
      </c>
      <c r="B108" s="326">
        <f t="shared" si="0"/>
        <v>1.1515151515151516</v>
      </c>
    </row>
    <row r="109" spans="1:3" x14ac:dyDescent="0.35">
      <c r="A109" s="341" t="str">
        <f>General!G71</f>
        <v>l</v>
      </c>
      <c r="B109" s="326">
        <v>1</v>
      </c>
    </row>
    <row r="110" spans="1:3" x14ac:dyDescent="0.35">
      <c r="A110" s="341" t="str">
        <f>General!G72</f>
        <v>lf</v>
      </c>
      <c r="B110" s="326">
        <v>1</v>
      </c>
    </row>
    <row r="111" spans="1:3" x14ac:dyDescent="0.35">
      <c r="A111" s="341" t="str">
        <f>General!G73</f>
        <v>ms</v>
      </c>
      <c r="B111" s="618">
        <f>0.65*B103+0.35*B109</f>
        <v>1</v>
      </c>
    </row>
    <row r="112" spans="1:3" x14ac:dyDescent="0.35">
      <c r="A112" s="341" t="str">
        <f>General!G74</f>
        <v>o</v>
      </c>
      <c r="B112" s="326">
        <v>1</v>
      </c>
    </row>
    <row r="113" spans="1:3" x14ac:dyDescent="0.35">
      <c r="A113" s="341" t="str">
        <f>General!G75</f>
        <v>od</v>
      </c>
      <c r="B113" s="326">
        <v>1</v>
      </c>
    </row>
    <row r="114" spans="1:3" x14ac:dyDescent="0.35">
      <c r="A114" s="341" t="str">
        <f>General!G76</f>
        <v>of</v>
      </c>
      <c r="B114" s="326">
        <v>1</v>
      </c>
    </row>
    <row r="115" spans="1:3" x14ac:dyDescent="0.35">
      <c r="A115" s="341" t="str">
        <f>General!G77</f>
        <v>r</v>
      </c>
      <c r="B115" s="326">
        <f t="shared" ref="B115:B117" si="1">38/33</f>
        <v>1.1515151515151516</v>
      </c>
    </row>
    <row r="116" spans="1:3" x14ac:dyDescent="0.35">
      <c r="A116" s="341" t="str">
        <f>General!G78</f>
        <v>rd</v>
      </c>
      <c r="B116" s="326">
        <f t="shared" si="1"/>
        <v>1.1515151515151516</v>
      </c>
    </row>
    <row r="117" spans="1:3" x14ac:dyDescent="0.35">
      <c r="A117" s="341" t="str">
        <f>General!G79</f>
        <v>v</v>
      </c>
      <c r="B117" s="326">
        <f t="shared" si="1"/>
        <v>1.1515151515151516</v>
      </c>
    </row>
    <row r="118" spans="1:3" x14ac:dyDescent="0.35">
      <c r="A118" s="341" t="str">
        <f>General!G80</f>
        <v>w</v>
      </c>
      <c r="B118" s="326">
        <v>1</v>
      </c>
    </row>
    <row r="119" spans="1:3" x14ac:dyDescent="0.35">
      <c r="A119" s="341" t="str">
        <f>General!G81</f>
        <v>wd</v>
      </c>
      <c r="B119" s="326">
        <v>1</v>
      </c>
    </row>
    <row r="120" spans="1:3" x14ac:dyDescent="0.35">
      <c r="A120" s="341" t="str">
        <f>General!G82</f>
        <v>z</v>
      </c>
      <c r="B120" s="326">
        <f t="shared" ref="B120:B121" si="2">38/33</f>
        <v>1.1515151515151516</v>
      </c>
    </row>
    <row r="121" spans="1:3" x14ac:dyDescent="0.35">
      <c r="A121" s="341" t="str">
        <f>General!G83</f>
        <v>zd</v>
      </c>
      <c r="B121" s="326">
        <f t="shared" si="2"/>
        <v>1.1515151515151516</v>
      </c>
    </row>
    <row r="123" spans="1:3" x14ac:dyDescent="0.35">
      <c r="A123" s="3" t="s">
        <v>38</v>
      </c>
    </row>
    <row r="124" spans="1:3" x14ac:dyDescent="0.35">
      <c r="A124" t="s">
        <v>2932</v>
      </c>
      <c r="B124">
        <v>33</v>
      </c>
      <c r="C124" s="1" t="s">
        <v>2934</v>
      </c>
    </row>
    <row r="125" spans="1:3" ht="4.1500000000000004" customHeight="1" x14ac:dyDescent="0.35"/>
    <row r="126" spans="1:3" x14ac:dyDescent="0.35">
      <c r="A126" t="s">
        <v>39</v>
      </c>
      <c r="B126">
        <v>30</v>
      </c>
      <c r="C126" s="1" t="s">
        <v>2933</v>
      </c>
    </row>
    <row r="127" spans="1:3" ht="3" customHeight="1" x14ac:dyDescent="0.35"/>
    <row r="128" spans="1:3" x14ac:dyDescent="0.35">
      <c r="A128" t="s">
        <v>40</v>
      </c>
      <c r="B128">
        <v>35</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General!K65</f>
        <v>lime</v>
      </c>
      <c r="C134">
        <v>15</v>
      </c>
    </row>
    <row r="135" spans="1:3" x14ac:dyDescent="0.35">
      <c r="A135" s="431" t="s">
        <v>44</v>
      </c>
      <c r="B135" t="str">
        <f>General!K66</f>
        <v>early</v>
      </c>
      <c r="C135">
        <v>25</v>
      </c>
    </row>
    <row r="136" spans="1:3" x14ac:dyDescent="0.35">
      <c r="A136" s="431" t="s">
        <v>69</v>
      </c>
      <c r="B136" t="str">
        <f>General!K67</f>
        <v>at_seeding</v>
      </c>
      <c r="C136"/>
    </row>
    <row r="137" spans="1:3" x14ac:dyDescent="0.35">
      <c r="A137" s="431" t="s">
        <v>2935</v>
      </c>
      <c r="B137" t="str">
        <f>General!K68</f>
        <v>mid</v>
      </c>
      <c r="C137">
        <v>25</v>
      </c>
    </row>
    <row r="138" spans="1:3" x14ac:dyDescent="0.35">
      <c r="A138" s="431" t="s">
        <v>2569</v>
      </c>
      <c r="B138" t="str">
        <f>General!K69</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3305</v>
      </c>
      <c r="B156" s="6" t="s">
        <v>92</v>
      </c>
      <c r="C156" s="6" t="s">
        <v>93</v>
      </c>
    </row>
    <row r="157" spans="1:3" x14ac:dyDescent="0.35">
      <c r="A157" s="342" t="str">
        <f>General!G65</f>
        <v>b</v>
      </c>
      <c r="B157" s="6">
        <v>1</v>
      </c>
      <c r="C157" s="6">
        <v>1</v>
      </c>
    </row>
    <row r="158" spans="1:3" x14ac:dyDescent="0.35">
      <c r="A158" s="342" t="str">
        <f>General!G66</f>
        <v>bd</v>
      </c>
      <c r="B158" s="6">
        <v>1</v>
      </c>
      <c r="C158" s="6">
        <v>1</v>
      </c>
    </row>
    <row r="159" spans="1:3" x14ac:dyDescent="0.35">
      <c r="A159" s="342" t="str">
        <f>General!G67</f>
        <v>f</v>
      </c>
      <c r="B159" s="6">
        <v>1</v>
      </c>
      <c r="C159" s="6">
        <v>1</v>
      </c>
    </row>
    <row r="160" spans="1:3" x14ac:dyDescent="0.35">
      <c r="A160" s="342" t="str">
        <f>General!G68</f>
        <v>h</v>
      </c>
      <c r="B160" s="6">
        <v>1</v>
      </c>
      <c r="C160" s="6">
        <v>3</v>
      </c>
    </row>
    <row r="161" spans="1:3" x14ac:dyDescent="0.35">
      <c r="A161" s="342" t="str">
        <f>General!G69</f>
        <v>i</v>
      </c>
      <c r="B161" s="6">
        <v>1</v>
      </c>
      <c r="C161" s="6">
        <v>1</v>
      </c>
    </row>
    <row r="162" spans="1:3" x14ac:dyDescent="0.35">
      <c r="A162" s="342" t="str">
        <f>General!G70</f>
        <v>k</v>
      </c>
      <c r="B162" s="6">
        <v>1</v>
      </c>
      <c r="C162" s="6">
        <v>1</v>
      </c>
    </row>
    <row r="163" spans="1:3" x14ac:dyDescent="0.35">
      <c r="A163" s="342" t="str">
        <f>General!G71</f>
        <v>l</v>
      </c>
      <c r="B163" s="6">
        <v>1</v>
      </c>
      <c r="C163" s="6">
        <v>1</v>
      </c>
    </row>
    <row r="164" spans="1:3" x14ac:dyDescent="0.35">
      <c r="A164" s="342" t="str">
        <f>General!G72</f>
        <v>lf</v>
      </c>
      <c r="B164" s="6">
        <v>1</v>
      </c>
      <c r="C164" s="6">
        <v>1</v>
      </c>
    </row>
    <row r="165" spans="1:3" x14ac:dyDescent="0.35">
      <c r="A165" s="342" t="str">
        <f>General!G73</f>
        <v>ms</v>
      </c>
      <c r="B165" s="6">
        <v>1</v>
      </c>
      <c r="C165" s="6">
        <v>1</v>
      </c>
    </row>
    <row r="166" spans="1:3" x14ac:dyDescent="0.35">
      <c r="A166" s="342" t="str">
        <f>General!G74</f>
        <v>o</v>
      </c>
      <c r="B166" s="6">
        <v>1</v>
      </c>
      <c r="C166" s="6">
        <v>1</v>
      </c>
    </row>
    <row r="167" spans="1:3" x14ac:dyDescent="0.35">
      <c r="A167" s="342" t="str">
        <f>General!G75</f>
        <v>od</v>
      </c>
      <c r="B167" s="6">
        <v>1</v>
      </c>
      <c r="C167" s="6">
        <v>1</v>
      </c>
    </row>
    <row r="168" spans="1:3" x14ac:dyDescent="0.35">
      <c r="A168" s="342" t="str">
        <f>General!G76</f>
        <v>of</v>
      </c>
      <c r="B168" s="6">
        <v>1</v>
      </c>
      <c r="C168" s="6">
        <v>1</v>
      </c>
    </row>
    <row r="169" spans="1:3" x14ac:dyDescent="0.35">
      <c r="A169" s="342" t="str">
        <f>General!G77</f>
        <v>r</v>
      </c>
      <c r="B169" s="6">
        <v>1</v>
      </c>
      <c r="C169" s="6">
        <v>1</v>
      </c>
    </row>
    <row r="170" spans="1:3" x14ac:dyDescent="0.35">
      <c r="A170" s="342" t="str">
        <f>General!G78</f>
        <v>rd</v>
      </c>
      <c r="B170" s="6">
        <v>1</v>
      </c>
      <c r="C170" s="6">
        <v>1</v>
      </c>
    </row>
    <row r="171" spans="1:3" x14ac:dyDescent="0.35">
      <c r="A171" s="342" t="str">
        <f>General!G79</f>
        <v>v</v>
      </c>
      <c r="B171" s="6">
        <v>1</v>
      </c>
      <c r="C171" s="6">
        <v>1</v>
      </c>
    </row>
    <row r="172" spans="1:3" x14ac:dyDescent="0.35">
      <c r="A172" s="342" t="str">
        <f>General!G80</f>
        <v>w</v>
      </c>
      <c r="B172" s="6">
        <v>1</v>
      </c>
      <c r="C172" s="6">
        <v>1</v>
      </c>
    </row>
    <row r="173" spans="1:3" x14ac:dyDescent="0.35">
      <c r="A173" s="342" t="str">
        <f>General!G81</f>
        <v>wd</v>
      </c>
      <c r="B173" s="6">
        <v>1</v>
      </c>
      <c r="C173" s="6">
        <v>1</v>
      </c>
    </row>
    <row r="174" spans="1:3" x14ac:dyDescent="0.35">
      <c r="A174" s="342" t="str">
        <f>General!G82</f>
        <v>z</v>
      </c>
      <c r="B174" s="6">
        <v>1</v>
      </c>
      <c r="C174" s="6">
        <v>1</v>
      </c>
    </row>
    <row r="175" spans="1:3" x14ac:dyDescent="0.3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2165</v>
      </c>
    </row>
    <row r="11" spans="1:6" x14ac:dyDescent="0.35">
      <c r="A11" t="s">
        <v>70</v>
      </c>
      <c r="B11" t="s">
        <v>71</v>
      </c>
      <c r="C11" t="s">
        <v>120</v>
      </c>
      <c r="D11" t="s">
        <v>121</v>
      </c>
      <c r="E11" t="s">
        <v>2924</v>
      </c>
      <c r="F11" t="s">
        <v>2925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2790</v>
      </c>
      <c r="B29" s="436">
        <v>1</v>
      </c>
    </row>
    <row r="30" spans="1:6" ht="7.4" customHeight="1" x14ac:dyDescent="0.35"/>
    <row r="31" spans="1:6" ht="4.9000000000000004" customHeight="1" x14ac:dyDescent="0.35"/>
    <row r="32" spans="1:6" x14ac:dyDescent="0.35">
      <c r="A32" t="s">
        <v>2931</v>
      </c>
      <c r="B32">
        <v>4</v>
      </c>
      <c r="C32" s="1" t="s">
        <v>2930</v>
      </c>
    </row>
    <row r="33" spans="1:3" ht="7.15" customHeight="1" x14ac:dyDescent="0.35"/>
    <row r="34" spans="1:3" x14ac:dyDescent="0.35">
      <c r="A34" t="s">
        <v>3320</v>
      </c>
      <c r="B34">
        <v>40</v>
      </c>
      <c r="C34" s="1" t="s">
        <v>2933</v>
      </c>
    </row>
    <row r="35" spans="1:3" ht="7.15" customHeight="1" x14ac:dyDescent="0.35"/>
    <row r="36" spans="1:3" x14ac:dyDescent="0.35">
      <c r="A36" t="s">
        <v>3321</v>
      </c>
      <c r="B36">
        <v>35</v>
      </c>
      <c r="C36" s="1" t="s">
        <v>3323</v>
      </c>
    </row>
    <row r="37" spans="1:3" ht="7.15" customHeight="1" x14ac:dyDescent="0.35"/>
    <row r="38" spans="1:3" x14ac:dyDescent="0.35">
      <c r="A38" t="s">
        <v>54</v>
      </c>
      <c r="B38"/>
    </row>
    <row r="39" spans="1:3" x14ac:dyDescent="0.35">
      <c r="A39" s="341" t="str">
        <f>General!I65</f>
        <v>a</v>
      </c>
      <c r="B39">
        <v>1</v>
      </c>
    </row>
    <row r="40" spans="1:3" x14ac:dyDescent="0.35">
      <c r="A40" s="341" t="str">
        <f>General!I66</f>
        <v>a2</v>
      </c>
      <c r="B40">
        <v>1</v>
      </c>
    </row>
    <row r="41" spans="1:3" x14ac:dyDescent="0.35">
      <c r="A41" s="341" t="str">
        <f>General!I67</f>
        <v>b</v>
      </c>
      <c r="B41">
        <v>1</v>
      </c>
    </row>
    <row r="42" spans="1:3" x14ac:dyDescent="0.35">
      <c r="A42" s="341" t="str">
        <f>General!I68</f>
        <v>bd</v>
      </c>
      <c r="B42">
        <v>1</v>
      </c>
    </row>
    <row r="43" spans="1:3" x14ac:dyDescent="0.35">
      <c r="A43" s="341" t="str">
        <f>General!I69</f>
        <v>f</v>
      </c>
      <c r="B43">
        <v>1</v>
      </c>
    </row>
    <row r="44" spans="1:3" x14ac:dyDescent="0.35">
      <c r="A44" s="341" t="str">
        <f>General!I70</f>
        <v>h</v>
      </c>
      <c r="B44">
        <v>1</v>
      </c>
    </row>
    <row r="45" spans="1:3" x14ac:dyDescent="0.35">
      <c r="A45" s="341" t="str">
        <f>General!I71</f>
        <v>i</v>
      </c>
      <c r="B45">
        <v>1</v>
      </c>
    </row>
    <row r="46" spans="1:3" x14ac:dyDescent="0.35">
      <c r="A46" s="341" t="str">
        <f>General!I72</f>
        <v>j</v>
      </c>
      <c r="B46">
        <v>1</v>
      </c>
    </row>
    <row r="47" spans="1:3" x14ac:dyDescent="0.35">
      <c r="A47" s="341" t="str">
        <f>General!I73</f>
        <v>jc</v>
      </c>
      <c r="B47">
        <v>1</v>
      </c>
    </row>
    <row r="48" spans="1:3" x14ac:dyDescent="0.35">
      <c r="A48" s="341" t="str">
        <f>General!I74</f>
        <v>k</v>
      </c>
      <c r="B48">
        <v>1</v>
      </c>
    </row>
    <row r="49" spans="1:2" x14ac:dyDescent="0.35">
      <c r="A49" s="341" t="str">
        <f>General!I75</f>
        <v>l</v>
      </c>
      <c r="B49">
        <v>1</v>
      </c>
    </row>
    <row r="50" spans="1:2" x14ac:dyDescent="0.35">
      <c r="A50" s="341" t="str">
        <f>General!I76</f>
        <v>lf</v>
      </c>
      <c r="B50">
        <v>1</v>
      </c>
    </row>
    <row r="51" spans="1:2" x14ac:dyDescent="0.35">
      <c r="A51" s="341" t="str">
        <f>General!I77</f>
        <v>m</v>
      </c>
      <c r="B51">
        <v>1</v>
      </c>
    </row>
    <row r="52" spans="1:2" x14ac:dyDescent="0.35">
      <c r="A52" s="341" t="str">
        <f>General!I78</f>
        <v>ms</v>
      </c>
      <c r="B52">
        <v>1</v>
      </c>
    </row>
    <row r="53" spans="1:2" x14ac:dyDescent="0.35">
      <c r="A53" s="341" t="str">
        <f>General!I79</f>
        <v>o</v>
      </c>
      <c r="B53">
        <v>1</v>
      </c>
    </row>
    <row r="54" spans="1:2" x14ac:dyDescent="0.35">
      <c r="A54" s="341" t="str">
        <f>General!I80</f>
        <v>od</v>
      </c>
      <c r="B54">
        <v>1</v>
      </c>
    </row>
    <row r="55" spans="1:2" x14ac:dyDescent="0.35">
      <c r="A55" s="341" t="str">
        <f>General!I81</f>
        <v>of</v>
      </c>
      <c r="B55">
        <v>1</v>
      </c>
    </row>
    <row r="56" spans="1:2" x14ac:dyDescent="0.35">
      <c r="A56" s="341" t="str">
        <f>General!I82</f>
        <v>r</v>
      </c>
      <c r="B56">
        <v>1</v>
      </c>
    </row>
    <row r="57" spans="1:2" x14ac:dyDescent="0.35">
      <c r="A57" s="341" t="str">
        <f>General!I83</f>
        <v>rd</v>
      </c>
      <c r="B57">
        <v>1</v>
      </c>
    </row>
    <row r="58" spans="1:2" x14ac:dyDescent="0.35">
      <c r="A58" s="341" t="str">
        <f>General!I84</f>
        <v>s</v>
      </c>
      <c r="B58">
        <v>1</v>
      </c>
    </row>
    <row r="59" spans="1:2" x14ac:dyDescent="0.35">
      <c r="A59" s="341" t="str">
        <f>General!I85</f>
        <v>sp</v>
      </c>
      <c r="B59">
        <v>1</v>
      </c>
    </row>
    <row r="60" spans="1:2" x14ac:dyDescent="0.35">
      <c r="A60" s="341" t="str">
        <f>General!I86</f>
        <v>t</v>
      </c>
      <c r="B60">
        <v>1</v>
      </c>
    </row>
    <row r="61" spans="1:2" x14ac:dyDescent="0.35">
      <c r="A61" s="341" t="str">
        <f>General!I87</f>
        <v>tc</v>
      </c>
      <c r="B61">
        <v>1</v>
      </c>
    </row>
    <row r="62" spans="1:2" x14ac:dyDescent="0.35">
      <c r="A62" s="341" t="str">
        <f>General!I88</f>
        <v>u</v>
      </c>
      <c r="B62">
        <v>1</v>
      </c>
    </row>
    <row r="63" spans="1:2" x14ac:dyDescent="0.35">
      <c r="A63" s="341" t="str">
        <f>General!I89</f>
        <v>uc</v>
      </c>
      <c r="B63">
        <v>1</v>
      </c>
    </row>
    <row r="64" spans="1:2" x14ac:dyDescent="0.35">
      <c r="A64" s="341" t="str">
        <f>General!I90</f>
        <v>v</v>
      </c>
      <c r="B64">
        <v>1</v>
      </c>
    </row>
    <row r="65" spans="1:3" x14ac:dyDescent="0.35">
      <c r="A65" s="341" t="str">
        <f>General!I91</f>
        <v>w</v>
      </c>
      <c r="B65">
        <v>1</v>
      </c>
    </row>
    <row r="66" spans="1:3" x14ac:dyDescent="0.35">
      <c r="A66" s="341" t="str">
        <f>General!I92</f>
        <v>wd</v>
      </c>
      <c r="B66">
        <v>1</v>
      </c>
    </row>
    <row r="67" spans="1:3" x14ac:dyDescent="0.35">
      <c r="A67" s="341" t="str">
        <f>General!I93</f>
        <v>x</v>
      </c>
      <c r="B67">
        <v>1</v>
      </c>
    </row>
    <row r="68" spans="1:3" x14ac:dyDescent="0.35">
      <c r="A68" s="341" t="str">
        <f>General!I94</f>
        <v>xc</v>
      </c>
      <c r="B68">
        <v>1</v>
      </c>
    </row>
    <row r="69" spans="1:3" x14ac:dyDescent="0.35">
      <c r="A69" s="341" t="str">
        <f>General!I95</f>
        <v>z</v>
      </c>
      <c r="B69">
        <v>1</v>
      </c>
    </row>
    <row r="70" spans="1:3" x14ac:dyDescent="0.35">
      <c r="A70" s="341" t="str">
        <f>General!I96</f>
        <v>zd</v>
      </c>
      <c r="B70">
        <v>1</v>
      </c>
    </row>
    <row r="72" spans="1:3" x14ac:dyDescent="0.35">
      <c r="A72" s="3" t="s">
        <v>35</v>
      </c>
    </row>
    <row r="73" spans="1:3" x14ac:dyDescent="0.35">
      <c r="A73" t="s">
        <v>2791</v>
      </c>
      <c r="B73" s="436">
        <v>1</v>
      </c>
    </row>
    <row r="74" spans="1:3" ht="7.4" customHeight="1" x14ac:dyDescent="0.35"/>
    <row r="75" spans="1:3" x14ac:dyDescent="0.35">
      <c r="A75" t="s">
        <v>36</v>
      </c>
      <c r="B75">
        <v>50</v>
      </c>
    </row>
    <row r="76" spans="1:3" ht="7.15" customHeight="1" x14ac:dyDescent="0.35"/>
    <row r="77" spans="1:3" x14ac:dyDescent="0.35">
      <c r="A77" t="s">
        <v>3324</v>
      </c>
      <c r="B77">
        <f>0.3*harvest_maint</f>
        <v>12</v>
      </c>
      <c r="C77" s="1" t="s">
        <v>3325</v>
      </c>
    </row>
    <row r="78" spans="1:3" ht="7.15" customHeight="1" x14ac:dyDescent="0.35"/>
    <row r="79" spans="1:3" x14ac:dyDescent="0.35">
      <c r="A79" t="s">
        <v>2926</v>
      </c>
      <c r="B79"/>
    </row>
    <row r="80" spans="1:3" x14ac:dyDescent="0.35">
      <c r="A80" s="341" t="str">
        <f>General!G65</f>
        <v>b</v>
      </c>
      <c r="B80">
        <f>'Mach 1'!B80*0.66</f>
        <v>13.200000000000001</v>
      </c>
      <c r="C80" s="1" t="s">
        <v>2927</v>
      </c>
    </row>
    <row r="81" spans="1:3" x14ac:dyDescent="0.35">
      <c r="A81" s="341" t="str">
        <f>General!G66</f>
        <v>bd</v>
      </c>
      <c r="B81">
        <f>'Mach 1'!B81*0.66</f>
        <v>13.200000000000001</v>
      </c>
      <c r="C81" s="1" t="s">
        <v>2927</v>
      </c>
    </row>
    <row r="82" spans="1:3" x14ac:dyDescent="0.35">
      <c r="A82" s="341" t="str">
        <f>General!G67</f>
        <v>f</v>
      </c>
      <c r="B82">
        <f>'Mach 1'!B82*0.66</f>
        <v>7.92</v>
      </c>
      <c r="C82" s="1" t="s">
        <v>2927</v>
      </c>
    </row>
    <row r="83" spans="1:3" x14ac:dyDescent="0.35">
      <c r="A83" s="341" t="str">
        <f>General!G68</f>
        <v>h</v>
      </c>
      <c r="B83">
        <f>'Mach 1'!B83*0.66</f>
        <v>13.200000000000001</v>
      </c>
      <c r="C83" s="1" t="s">
        <v>2927</v>
      </c>
    </row>
    <row r="84" spans="1:3" x14ac:dyDescent="0.35">
      <c r="A84" s="341" t="str">
        <f>General!G69</f>
        <v>i</v>
      </c>
      <c r="B84">
        <f>'Mach 1'!B84*0.66</f>
        <v>7.92</v>
      </c>
      <c r="C84" s="1" t="s">
        <v>2927</v>
      </c>
    </row>
    <row r="85" spans="1:3" x14ac:dyDescent="0.35">
      <c r="A85" s="341" t="str">
        <f>General!G70</f>
        <v>k</v>
      </c>
      <c r="B85">
        <f>'Mach 1'!B85*0.66</f>
        <v>7.92</v>
      </c>
      <c r="C85" s="1" t="s">
        <v>2927</v>
      </c>
    </row>
    <row r="86" spans="1:3" x14ac:dyDescent="0.35">
      <c r="A86" s="341" t="str">
        <f>General!G71</f>
        <v>l</v>
      </c>
      <c r="B86">
        <f>'Mach 1'!B86*0.66</f>
        <v>7.92</v>
      </c>
      <c r="C86" s="1" t="s">
        <v>2927</v>
      </c>
    </row>
    <row r="87" spans="1:3" x14ac:dyDescent="0.35">
      <c r="A87" s="341" t="str">
        <f>General!G72</f>
        <v>lf</v>
      </c>
      <c r="B87">
        <f>'Mach 1'!B87*0.66</f>
        <v>7.92</v>
      </c>
      <c r="C87" s="1" t="s">
        <v>2927</v>
      </c>
    </row>
    <row r="88" spans="1:3" x14ac:dyDescent="0.35">
      <c r="A88" s="341" t="str">
        <f>General!G73</f>
        <v>ms</v>
      </c>
      <c r="B88" s="528">
        <f>0.65*B80+0.35*B86</f>
        <v>11.352000000000002</v>
      </c>
      <c r="C88" s="1" t="s">
        <v>2927</v>
      </c>
    </row>
    <row r="89" spans="1:3" x14ac:dyDescent="0.35">
      <c r="A89" s="341" t="str">
        <f>General!G74</f>
        <v>o</v>
      </c>
      <c r="B89">
        <f>'Mach 1'!B89*0.66</f>
        <v>13.200000000000001</v>
      </c>
      <c r="C89" s="1" t="s">
        <v>2927</v>
      </c>
    </row>
    <row r="90" spans="1:3" x14ac:dyDescent="0.35">
      <c r="A90" s="341" t="str">
        <f>General!G75</f>
        <v>od</v>
      </c>
      <c r="B90">
        <f>'Mach 1'!B90*0.66</f>
        <v>13.200000000000001</v>
      </c>
      <c r="C90" s="1" t="s">
        <v>2927</v>
      </c>
    </row>
    <row r="91" spans="1:3" x14ac:dyDescent="0.35">
      <c r="A91" s="341" t="str">
        <f>General!G76</f>
        <v>of</v>
      </c>
      <c r="B91">
        <f>'Mach 1'!B91*0.66</f>
        <v>13.200000000000001</v>
      </c>
      <c r="C91" s="1" t="s">
        <v>2927</v>
      </c>
    </row>
    <row r="92" spans="1:3" x14ac:dyDescent="0.35">
      <c r="A92" s="341" t="str">
        <f>General!G77</f>
        <v>r</v>
      </c>
      <c r="B92">
        <f>'Mach 1'!B92*0.66</f>
        <v>4.62</v>
      </c>
      <c r="C92" s="1" t="s">
        <v>2927</v>
      </c>
    </row>
    <row r="93" spans="1:3" x14ac:dyDescent="0.35">
      <c r="A93" s="341" t="str">
        <f>General!G78</f>
        <v>rd</v>
      </c>
      <c r="B93">
        <f>'Mach 1'!B93*0.66</f>
        <v>4.62</v>
      </c>
      <c r="C93" s="1" t="s">
        <v>2927</v>
      </c>
    </row>
    <row r="94" spans="1:3" x14ac:dyDescent="0.35">
      <c r="A94" s="341" t="str">
        <f>General!G79</f>
        <v>v</v>
      </c>
      <c r="B94">
        <f>'Mach 1'!B94*0.66</f>
        <v>7.92</v>
      </c>
      <c r="C94" s="1" t="s">
        <v>2927</v>
      </c>
    </row>
    <row r="95" spans="1:3" x14ac:dyDescent="0.35">
      <c r="A95" s="341" t="str">
        <f>General!G80</f>
        <v>w</v>
      </c>
      <c r="B95">
        <f>'Mach 1'!B95*0.66</f>
        <v>13.200000000000001</v>
      </c>
      <c r="C95" s="1" t="s">
        <v>2927</v>
      </c>
    </row>
    <row r="96" spans="1:3" x14ac:dyDescent="0.35">
      <c r="A96" s="341" t="str">
        <f>General!G81</f>
        <v>wd</v>
      </c>
      <c r="B96">
        <f>'Mach 1'!B96*0.66</f>
        <v>13.200000000000001</v>
      </c>
      <c r="C96" s="1" t="s">
        <v>2927</v>
      </c>
    </row>
    <row r="97" spans="1:3" x14ac:dyDescent="0.35">
      <c r="A97" s="341" t="str">
        <f>General!G82</f>
        <v>z</v>
      </c>
      <c r="B97">
        <f>'Mach 1'!B97*0.66</f>
        <v>4.62</v>
      </c>
      <c r="C97" s="1" t="s">
        <v>2927</v>
      </c>
    </row>
    <row r="98" spans="1:3" x14ac:dyDescent="0.35">
      <c r="A98" s="341" t="str">
        <f>General!G83</f>
        <v>zd</v>
      </c>
      <c r="B98">
        <f>'Mach 1'!B98*0.66</f>
        <v>4.62</v>
      </c>
      <c r="C98" s="1" t="s">
        <v>2927</v>
      </c>
    </row>
    <row r="100" spans="1:3" x14ac:dyDescent="0.35">
      <c r="A100" t="s">
        <v>37</v>
      </c>
      <c r="B100">
        <v>40</v>
      </c>
      <c r="C100" s="1" t="s">
        <v>2915</v>
      </c>
    </row>
    <row r="102" spans="1:3" x14ac:dyDescent="0.35">
      <c r="A102" t="s">
        <v>37</v>
      </c>
      <c r="B102" t="s">
        <v>3322</v>
      </c>
    </row>
    <row r="103" spans="1:3" x14ac:dyDescent="0.35">
      <c r="A103" s="341" t="str">
        <f>General!G65</f>
        <v>b</v>
      </c>
      <c r="B103" s="326">
        <v>1</v>
      </c>
    </row>
    <row r="104" spans="1:3" x14ac:dyDescent="0.35">
      <c r="A104" s="341" t="str">
        <f>General!G66</f>
        <v>bd</v>
      </c>
      <c r="B104" s="326">
        <v>1</v>
      </c>
    </row>
    <row r="105" spans="1:3" x14ac:dyDescent="0.35">
      <c r="A105" s="341" t="str">
        <f>General!G67</f>
        <v>f</v>
      </c>
      <c r="B105" s="326">
        <f>38/33</f>
        <v>1.1515151515151516</v>
      </c>
    </row>
    <row r="106" spans="1:3" x14ac:dyDescent="0.35">
      <c r="A106" s="341" t="str">
        <f>General!G68</f>
        <v>h</v>
      </c>
      <c r="B106" s="326">
        <v>1</v>
      </c>
    </row>
    <row r="107" spans="1:3" x14ac:dyDescent="0.35">
      <c r="A107" s="341" t="str">
        <f>General!G69</f>
        <v>i</v>
      </c>
      <c r="B107" s="326">
        <f t="shared" ref="B107:B108" si="0">38/33</f>
        <v>1.1515151515151516</v>
      </c>
    </row>
    <row r="108" spans="1:3" x14ac:dyDescent="0.35">
      <c r="A108" s="341" t="str">
        <f>General!G70</f>
        <v>k</v>
      </c>
      <c r="B108" s="326">
        <f t="shared" si="0"/>
        <v>1.1515151515151516</v>
      </c>
    </row>
    <row r="109" spans="1:3" x14ac:dyDescent="0.35">
      <c r="A109" s="341" t="str">
        <f>General!G71</f>
        <v>l</v>
      </c>
      <c r="B109" s="326">
        <v>1</v>
      </c>
    </row>
    <row r="110" spans="1:3" x14ac:dyDescent="0.35">
      <c r="A110" s="341" t="str">
        <f>General!G72</f>
        <v>lf</v>
      </c>
      <c r="B110" s="326">
        <v>1</v>
      </c>
    </row>
    <row r="111" spans="1:3" x14ac:dyDescent="0.35">
      <c r="A111" s="341" t="str">
        <f>General!G73</f>
        <v>ms</v>
      </c>
      <c r="B111" s="618">
        <f>0.65*B103+0.35*B109</f>
        <v>1</v>
      </c>
    </row>
    <row r="112" spans="1:3" x14ac:dyDescent="0.35">
      <c r="A112" s="341" t="str">
        <f>General!G74</f>
        <v>o</v>
      </c>
      <c r="B112" s="326">
        <v>1</v>
      </c>
    </row>
    <row r="113" spans="1:3" x14ac:dyDescent="0.35">
      <c r="A113" s="341" t="str">
        <f>General!G75</f>
        <v>od</v>
      </c>
      <c r="B113" s="326">
        <v>1</v>
      </c>
    </row>
    <row r="114" spans="1:3" x14ac:dyDescent="0.35">
      <c r="A114" s="341" t="str">
        <f>General!G76</f>
        <v>of</v>
      </c>
      <c r="B114" s="326">
        <v>1</v>
      </c>
    </row>
    <row r="115" spans="1:3" x14ac:dyDescent="0.35">
      <c r="A115" s="341" t="str">
        <f>General!G77</f>
        <v>r</v>
      </c>
      <c r="B115" s="326">
        <f t="shared" ref="B115:B117" si="1">38/33</f>
        <v>1.1515151515151516</v>
      </c>
    </row>
    <row r="116" spans="1:3" x14ac:dyDescent="0.35">
      <c r="A116" s="341" t="str">
        <f>General!G78</f>
        <v>rd</v>
      </c>
      <c r="B116" s="326">
        <f t="shared" si="1"/>
        <v>1.1515151515151516</v>
      </c>
    </row>
    <row r="117" spans="1:3" x14ac:dyDescent="0.35">
      <c r="A117" s="341" t="str">
        <f>General!G79</f>
        <v>v</v>
      </c>
      <c r="B117" s="326">
        <f t="shared" si="1"/>
        <v>1.1515151515151516</v>
      </c>
    </row>
    <row r="118" spans="1:3" x14ac:dyDescent="0.35">
      <c r="A118" s="341" t="str">
        <f>General!G80</f>
        <v>w</v>
      </c>
      <c r="B118" s="326">
        <v>1</v>
      </c>
    </row>
    <row r="119" spans="1:3" x14ac:dyDescent="0.35">
      <c r="A119" s="341" t="str">
        <f>General!G81</f>
        <v>wd</v>
      </c>
      <c r="B119" s="326">
        <v>1</v>
      </c>
    </row>
    <row r="120" spans="1:3" x14ac:dyDescent="0.35">
      <c r="A120" s="341" t="str">
        <f>General!G82</f>
        <v>z</v>
      </c>
      <c r="B120" s="326">
        <f t="shared" ref="B120:B121" si="2">38/33</f>
        <v>1.1515151515151516</v>
      </c>
    </row>
    <row r="121" spans="1:3" x14ac:dyDescent="0.35">
      <c r="A121" s="341" t="str">
        <f>General!G83</f>
        <v>zd</v>
      </c>
      <c r="B121" s="326">
        <f t="shared" si="2"/>
        <v>1.1515151515151516</v>
      </c>
    </row>
    <row r="123" spans="1:3" x14ac:dyDescent="0.35">
      <c r="A123" s="3" t="s">
        <v>38</v>
      </c>
    </row>
    <row r="124" spans="1:3" x14ac:dyDescent="0.35">
      <c r="A124" t="s">
        <v>2932</v>
      </c>
      <c r="B124">
        <v>23</v>
      </c>
      <c r="C124" s="1" t="s">
        <v>2934</v>
      </c>
    </row>
    <row r="125" spans="1:3" ht="4.1500000000000004" customHeight="1" x14ac:dyDescent="0.35"/>
    <row r="126" spans="1:3" x14ac:dyDescent="0.35">
      <c r="A126" t="s">
        <v>39</v>
      </c>
      <c r="B126">
        <v>20</v>
      </c>
      <c r="C126" s="1" t="s">
        <v>2933</v>
      </c>
    </row>
    <row r="127" spans="1:3" ht="3" customHeight="1" x14ac:dyDescent="0.35"/>
    <row r="128" spans="1:3" x14ac:dyDescent="0.35">
      <c r="A128" t="s">
        <v>40</v>
      </c>
      <c r="B128">
        <v>22</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General!K65</f>
        <v>lime</v>
      </c>
      <c r="C134">
        <v>15</v>
      </c>
    </row>
    <row r="135" spans="1:3" x14ac:dyDescent="0.35">
      <c r="A135" s="431" t="s">
        <v>44</v>
      </c>
      <c r="B135" t="str">
        <f>General!K66</f>
        <v>early</v>
      </c>
      <c r="C135">
        <v>20</v>
      </c>
    </row>
    <row r="136" spans="1:3" x14ac:dyDescent="0.35">
      <c r="A136" s="431" t="s">
        <v>69</v>
      </c>
      <c r="B136" t="str">
        <f>General!K67</f>
        <v>at_seeding</v>
      </c>
      <c r="C136"/>
    </row>
    <row r="137" spans="1:3" x14ac:dyDescent="0.35">
      <c r="A137" s="431" t="s">
        <v>2935</v>
      </c>
      <c r="B137" t="str">
        <f>General!K68</f>
        <v>mid</v>
      </c>
      <c r="C137">
        <v>20</v>
      </c>
    </row>
    <row r="138" spans="1:3" x14ac:dyDescent="0.35">
      <c r="A138" s="431" t="s">
        <v>2569</v>
      </c>
      <c r="B138" t="str">
        <f>General!K69</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General!G65</f>
        <v>b</v>
      </c>
      <c r="B157" s="6">
        <v>1</v>
      </c>
      <c r="C157" s="6">
        <v>1</v>
      </c>
    </row>
    <row r="158" spans="1:3" x14ac:dyDescent="0.35">
      <c r="A158" s="342" t="str">
        <f>General!G66</f>
        <v>bd</v>
      </c>
      <c r="B158" s="6">
        <v>1</v>
      </c>
      <c r="C158" s="6">
        <v>1</v>
      </c>
    </row>
    <row r="159" spans="1:3" x14ac:dyDescent="0.35">
      <c r="A159" s="342" t="str">
        <f>General!G67</f>
        <v>f</v>
      </c>
      <c r="B159" s="6">
        <v>1</v>
      </c>
      <c r="C159" s="6">
        <v>1</v>
      </c>
    </row>
    <row r="160" spans="1:3" x14ac:dyDescent="0.35">
      <c r="A160" s="342" t="str">
        <f>General!G68</f>
        <v>h</v>
      </c>
      <c r="B160" s="6">
        <v>1</v>
      </c>
      <c r="C160" s="6">
        <v>3</v>
      </c>
    </row>
    <row r="161" spans="1:3" x14ac:dyDescent="0.35">
      <c r="A161" s="342" t="str">
        <f>General!G69</f>
        <v>i</v>
      </c>
      <c r="B161" s="6">
        <v>1</v>
      </c>
      <c r="C161" s="6">
        <v>1</v>
      </c>
    </row>
    <row r="162" spans="1:3" x14ac:dyDescent="0.35">
      <c r="A162" s="342" t="str">
        <f>General!G70</f>
        <v>k</v>
      </c>
      <c r="B162" s="6">
        <v>1</v>
      </c>
      <c r="C162" s="6">
        <v>1</v>
      </c>
    </row>
    <row r="163" spans="1:3" x14ac:dyDescent="0.35">
      <c r="A163" s="342" t="str">
        <f>General!G71</f>
        <v>l</v>
      </c>
      <c r="B163" s="6">
        <v>1</v>
      </c>
      <c r="C163" s="6">
        <v>1</v>
      </c>
    </row>
    <row r="164" spans="1:3" x14ac:dyDescent="0.35">
      <c r="A164" s="342" t="str">
        <f>General!G72</f>
        <v>lf</v>
      </c>
      <c r="B164" s="6">
        <v>1</v>
      </c>
      <c r="C164" s="6">
        <v>1</v>
      </c>
    </row>
    <row r="165" spans="1:3" x14ac:dyDescent="0.35">
      <c r="A165" s="342" t="str">
        <f>General!G73</f>
        <v>ms</v>
      </c>
      <c r="B165" s="6">
        <v>1</v>
      </c>
      <c r="C165" s="6">
        <v>1</v>
      </c>
    </row>
    <row r="166" spans="1:3" x14ac:dyDescent="0.35">
      <c r="A166" s="342" t="str">
        <f>General!G74</f>
        <v>o</v>
      </c>
      <c r="B166" s="6">
        <v>1</v>
      </c>
      <c r="C166" s="6">
        <v>1</v>
      </c>
    </row>
    <row r="167" spans="1:3" x14ac:dyDescent="0.35">
      <c r="A167" s="342" t="str">
        <f>General!G75</f>
        <v>od</v>
      </c>
      <c r="B167" s="6">
        <v>1</v>
      </c>
      <c r="C167" s="6">
        <v>1</v>
      </c>
    </row>
    <row r="168" spans="1:3" x14ac:dyDescent="0.35">
      <c r="A168" s="342" t="str">
        <f>General!G76</f>
        <v>of</v>
      </c>
      <c r="B168" s="6">
        <v>1</v>
      </c>
      <c r="C168" s="6">
        <v>1</v>
      </c>
    </row>
    <row r="169" spans="1:3" x14ac:dyDescent="0.35">
      <c r="A169" s="342" t="str">
        <f>General!G77</f>
        <v>r</v>
      </c>
      <c r="B169" s="6">
        <v>1</v>
      </c>
      <c r="C169" s="6">
        <v>1</v>
      </c>
    </row>
    <row r="170" spans="1:3" x14ac:dyDescent="0.35">
      <c r="A170" s="342" t="str">
        <f>General!G78</f>
        <v>rd</v>
      </c>
      <c r="B170" s="6">
        <v>1</v>
      </c>
      <c r="C170" s="6">
        <v>1</v>
      </c>
    </row>
    <row r="171" spans="1:3" x14ac:dyDescent="0.35">
      <c r="A171" s="342" t="str">
        <f>General!G79</f>
        <v>v</v>
      </c>
      <c r="B171" s="6">
        <v>1</v>
      </c>
      <c r="C171" s="6">
        <v>1</v>
      </c>
    </row>
    <row r="172" spans="1:3" x14ac:dyDescent="0.35">
      <c r="A172" s="342" t="str">
        <f>General!G80</f>
        <v>w</v>
      </c>
      <c r="B172" s="6">
        <v>1</v>
      </c>
      <c r="C172" s="6">
        <v>1</v>
      </c>
    </row>
    <row r="173" spans="1:3" x14ac:dyDescent="0.35">
      <c r="A173" s="342" t="str">
        <f>General!G81</f>
        <v>wd</v>
      </c>
      <c r="B173" s="6">
        <v>1</v>
      </c>
      <c r="C173" s="6">
        <v>1</v>
      </c>
    </row>
    <row r="174" spans="1:3" x14ac:dyDescent="0.35">
      <c r="A174" s="342" t="str">
        <f>General!G82</f>
        <v>z</v>
      </c>
      <c r="B174" s="6">
        <v>1</v>
      </c>
      <c r="C174" s="6">
        <v>1</v>
      </c>
    </row>
    <row r="175" spans="1:3" x14ac:dyDescent="0.3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250000</v>
      </c>
      <c r="C12" s="44">
        <v>1</v>
      </c>
      <c r="D12" s="44">
        <v>0</v>
      </c>
      <c r="E12" s="44">
        <v>0</v>
      </c>
      <c r="F12" s="44">
        <v>0</v>
      </c>
    </row>
    <row r="13" spans="1:17" x14ac:dyDescent="0.35">
      <c r="A13" t="s">
        <v>2792</v>
      </c>
      <c r="B13">
        <v>115000</v>
      </c>
      <c r="C13" s="44">
        <v>1</v>
      </c>
      <c r="D13" s="44">
        <v>0</v>
      </c>
      <c r="E13" s="44">
        <v>0</v>
      </c>
      <c r="F13" s="44">
        <v>0</v>
      </c>
    </row>
    <row r="14" spans="1:17" x14ac:dyDescent="0.35">
      <c r="A14" t="s">
        <v>2793</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2790</v>
      </c>
      <c r="B29" s="436">
        <v>1</v>
      </c>
    </row>
    <row r="30" spans="1:6" ht="7.4" customHeight="1" x14ac:dyDescent="0.35"/>
    <row r="31" spans="1:6" x14ac:dyDescent="0.35">
      <c r="A31" t="s">
        <v>2931</v>
      </c>
      <c r="B31">
        <v>12.5</v>
      </c>
      <c r="C31" s="1" t="s">
        <v>2930</v>
      </c>
      <c r="D31" s="1" t="s">
        <v>3052</v>
      </c>
    </row>
    <row r="32" spans="1:6" ht="7.15" customHeight="1" x14ac:dyDescent="0.35"/>
    <row r="33" spans="1:3" x14ac:dyDescent="0.35">
      <c r="A33" t="s">
        <v>3320</v>
      </c>
      <c r="B33">
        <v>60</v>
      </c>
      <c r="C33" s="1" t="s">
        <v>2933</v>
      </c>
    </row>
    <row r="34" spans="1:3" ht="7.15" customHeight="1" x14ac:dyDescent="0.35"/>
    <row r="35" spans="1:3" x14ac:dyDescent="0.35">
      <c r="A35" t="s">
        <v>3321</v>
      </c>
      <c r="B35">
        <v>78</v>
      </c>
      <c r="C35" s="1" t="s">
        <v>3323</v>
      </c>
    </row>
    <row r="36" spans="1:3" ht="7.15" customHeight="1" x14ac:dyDescent="0.35"/>
    <row r="37" spans="1:3" x14ac:dyDescent="0.35">
      <c r="A37" t="s">
        <v>54</v>
      </c>
      <c r="B37"/>
    </row>
    <row r="38" spans="1:3" x14ac:dyDescent="0.35">
      <c r="A38" s="341" t="str">
        <f>General!I65</f>
        <v>a</v>
      </c>
      <c r="B38">
        <v>1</v>
      </c>
    </row>
    <row r="39" spans="1:3" x14ac:dyDescent="0.35">
      <c r="A39" s="341" t="str">
        <f>General!I66</f>
        <v>a2</v>
      </c>
      <c r="B39">
        <v>1</v>
      </c>
    </row>
    <row r="40" spans="1:3" x14ac:dyDescent="0.35">
      <c r="A40" s="341" t="str">
        <f>General!I67</f>
        <v>b</v>
      </c>
      <c r="B40">
        <v>1</v>
      </c>
    </row>
    <row r="41" spans="1:3" x14ac:dyDescent="0.35">
      <c r="A41" s="341" t="str">
        <f>General!I68</f>
        <v>bd</v>
      </c>
      <c r="B41">
        <v>1</v>
      </c>
    </row>
    <row r="42" spans="1:3" x14ac:dyDescent="0.35">
      <c r="A42" s="341" t="str">
        <f>General!I69</f>
        <v>f</v>
      </c>
      <c r="B42">
        <v>1</v>
      </c>
    </row>
    <row r="43" spans="1:3" x14ac:dyDescent="0.35">
      <c r="A43" s="341" t="str">
        <f>General!I70</f>
        <v>h</v>
      </c>
      <c r="B43">
        <v>1</v>
      </c>
    </row>
    <row r="44" spans="1:3" x14ac:dyDescent="0.35">
      <c r="A44" s="341" t="str">
        <f>General!I71</f>
        <v>i</v>
      </c>
      <c r="B44">
        <v>1</v>
      </c>
    </row>
    <row r="45" spans="1:3" x14ac:dyDescent="0.35">
      <c r="A45" s="341" t="str">
        <f>General!I72</f>
        <v>j</v>
      </c>
      <c r="B45">
        <v>1</v>
      </c>
    </row>
    <row r="46" spans="1:3" x14ac:dyDescent="0.35">
      <c r="A46" s="341" t="str">
        <f>General!I73</f>
        <v>jc</v>
      </c>
      <c r="B46">
        <v>1</v>
      </c>
    </row>
    <row r="47" spans="1:3" x14ac:dyDescent="0.35">
      <c r="A47" s="341" t="str">
        <f>General!I74</f>
        <v>k</v>
      </c>
      <c r="B47">
        <v>1</v>
      </c>
    </row>
    <row r="48" spans="1:3" x14ac:dyDescent="0.35">
      <c r="A48" s="341" t="str">
        <f>General!I75</f>
        <v>l</v>
      </c>
      <c r="B48">
        <v>1</v>
      </c>
    </row>
    <row r="49" spans="1:2" x14ac:dyDescent="0.35">
      <c r="A49" s="341" t="str">
        <f>General!I76</f>
        <v>lf</v>
      </c>
      <c r="B49">
        <v>1</v>
      </c>
    </row>
    <row r="50" spans="1:2" x14ac:dyDescent="0.35">
      <c r="A50" s="341" t="str">
        <f>General!I77</f>
        <v>m</v>
      </c>
      <c r="B50">
        <v>1</v>
      </c>
    </row>
    <row r="51" spans="1:2" x14ac:dyDescent="0.35">
      <c r="A51" s="341" t="str">
        <f>General!I78</f>
        <v>ms</v>
      </c>
      <c r="B51">
        <v>1</v>
      </c>
    </row>
    <row r="52" spans="1:2" x14ac:dyDescent="0.35">
      <c r="A52" s="341" t="str">
        <f>General!I79</f>
        <v>o</v>
      </c>
      <c r="B52">
        <v>1</v>
      </c>
    </row>
    <row r="53" spans="1:2" x14ac:dyDescent="0.35">
      <c r="A53" s="341" t="str">
        <f>General!I80</f>
        <v>od</v>
      </c>
      <c r="B53">
        <v>1</v>
      </c>
    </row>
    <row r="54" spans="1:2" x14ac:dyDescent="0.35">
      <c r="A54" s="341" t="str">
        <f>General!I81</f>
        <v>of</v>
      </c>
      <c r="B54">
        <v>1</v>
      </c>
    </row>
    <row r="55" spans="1:2" x14ac:dyDescent="0.35">
      <c r="A55" s="341" t="str">
        <f>General!I82</f>
        <v>r</v>
      </c>
      <c r="B55">
        <v>1</v>
      </c>
    </row>
    <row r="56" spans="1:2" x14ac:dyDescent="0.35">
      <c r="A56" s="341" t="str">
        <f>General!I83</f>
        <v>rd</v>
      </c>
      <c r="B56">
        <v>1</v>
      </c>
    </row>
    <row r="57" spans="1:2" x14ac:dyDescent="0.35">
      <c r="A57" s="341" t="str">
        <f>General!I84</f>
        <v>s</v>
      </c>
      <c r="B57">
        <v>1</v>
      </c>
    </row>
    <row r="58" spans="1:2" x14ac:dyDescent="0.35">
      <c r="A58" s="341" t="str">
        <f>General!I85</f>
        <v>sp</v>
      </c>
      <c r="B58">
        <v>1</v>
      </c>
    </row>
    <row r="59" spans="1:2" x14ac:dyDescent="0.35">
      <c r="A59" s="341" t="str">
        <f>General!I86</f>
        <v>t</v>
      </c>
      <c r="B59">
        <v>1</v>
      </c>
    </row>
    <row r="60" spans="1:2" x14ac:dyDescent="0.35">
      <c r="A60" s="341" t="str">
        <f>General!I87</f>
        <v>tc</v>
      </c>
      <c r="B60">
        <v>1</v>
      </c>
    </row>
    <row r="61" spans="1:2" x14ac:dyDescent="0.35">
      <c r="A61" s="341" t="str">
        <f>General!I88</f>
        <v>u</v>
      </c>
      <c r="B61">
        <v>1</v>
      </c>
    </row>
    <row r="62" spans="1:2" x14ac:dyDescent="0.35">
      <c r="A62" s="341" t="str">
        <f>General!I89</f>
        <v>uc</v>
      </c>
      <c r="B62">
        <v>1</v>
      </c>
    </row>
    <row r="63" spans="1:2" x14ac:dyDescent="0.35">
      <c r="A63" s="341" t="str">
        <f>General!I90</f>
        <v>v</v>
      </c>
      <c r="B63">
        <v>1</v>
      </c>
    </row>
    <row r="64" spans="1:2" x14ac:dyDescent="0.35">
      <c r="A64" s="341" t="str">
        <f>General!I91</f>
        <v>w</v>
      </c>
      <c r="B64">
        <v>1</v>
      </c>
    </row>
    <row r="65" spans="1:3" x14ac:dyDescent="0.35">
      <c r="A65" s="341" t="str">
        <f>General!I92</f>
        <v>wd</v>
      </c>
      <c r="B65">
        <v>1</v>
      </c>
    </row>
    <row r="66" spans="1:3" x14ac:dyDescent="0.35">
      <c r="A66" s="341" t="str">
        <f>General!I93</f>
        <v>x</v>
      </c>
      <c r="B66">
        <v>1</v>
      </c>
    </row>
    <row r="67" spans="1:3" x14ac:dyDescent="0.35">
      <c r="A67" s="341" t="str">
        <f>General!I94</f>
        <v>xc</v>
      </c>
      <c r="B67">
        <v>1</v>
      </c>
    </row>
    <row r="68" spans="1:3" x14ac:dyDescent="0.35">
      <c r="A68" s="341" t="str">
        <f>General!I95</f>
        <v>z</v>
      </c>
      <c r="B68">
        <v>1</v>
      </c>
    </row>
    <row r="69" spans="1:3" x14ac:dyDescent="0.35">
      <c r="A69" s="341" t="str">
        <f>General!I96</f>
        <v>zd</v>
      </c>
      <c r="B69">
        <v>1</v>
      </c>
    </row>
    <row r="71" spans="1:3" x14ac:dyDescent="0.35">
      <c r="A71" s="3" t="s">
        <v>35</v>
      </c>
    </row>
    <row r="72" spans="1:3" x14ac:dyDescent="0.35">
      <c r="A72" t="s">
        <v>2791</v>
      </c>
      <c r="B72" s="436">
        <v>1</v>
      </c>
    </row>
    <row r="73" spans="1:3" ht="7.4" customHeight="1" x14ac:dyDescent="0.35"/>
    <row r="74" spans="1:3" x14ac:dyDescent="0.35">
      <c r="A74" t="s">
        <v>2916</v>
      </c>
      <c r="B74">
        <v>63</v>
      </c>
    </row>
    <row r="75" spans="1:3" ht="7.15" customHeight="1" x14ac:dyDescent="0.35"/>
    <row r="76" spans="1:3" x14ac:dyDescent="0.35">
      <c r="A76" t="s">
        <v>3324</v>
      </c>
      <c r="B76">
        <f>0.3*harvest_maint</f>
        <v>24</v>
      </c>
      <c r="C76" s="1" t="s">
        <v>3325</v>
      </c>
    </row>
    <row r="77" spans="1:3" ht="7.15" customHeight="1" x14ac:dyDescent="0.35"/>
    <row r="78" spans="1:3" x14ac:dyDescent="0.35">
      <c r="A78" t="s">
        <v>2926</v>
      </c>
      <c r="B78"/>
    </row>
    <row r="79" spans="1:3" x14ac:dyDescent="0.35">
      <c r="A79" s="341" t="str">
        <f>General!G65</f>
        <v>b</v>
      </c>
      <c r="B79">
        <v>30</v>
      </c>
      <c r="C79" s="1" t="s">
        <v>2927</v>
      </c>
    </row>
    <row r="80" spans="1:3" x14ac:dyDescent="0.35">
      <c r="A80" s="341" t="str">
        <f>General!G66</f>
        <v>bd</v>
      </c>
      <c r="B80">
        <v>30</v>
      </c>
      <c r="C80" s="1" t="s">
        <v>2927</v>
      </c>
    </row>
    <row r="81" spans="1:3" x14ac:dyDescent="0.35">
      <c r="A81" s="341" t="str">
        <f>General!G67</f>
        <v>f</v>
      </c>
      <c r="B81">
        <v>18</v>
      </c>
      <c r="C81" s="1" t="s">
        <v>2927</v>
      </c>
    </row>
    <row r="82" spans="1:3" x14ac:dyDescent="0.35">
      <c r="A82" s="341" t="str">
        <f>General!G68</f>
        <v>h</v>
      </c>
      <c r="B82">
        <v>30</v>
      </c>
      <c r="C82" s="1" t="s">
        <v>2927</v>
      </c>
    </row>
    <row r="83" spans="1:3" x14ac:dyDescent="0.35">
      <c r="A83" s="341" t="str">
        <f>General!G69</f>
        <v>i</v>
      </c>
      <c r="B83">
        <v>18</v>
      </c>
      <c r="C83" s="1" t="s">
        <v>2927</v>
      </c>
    </row>
    <row r="84" spans="1:3" x14ac:dyDescent="0.35">
      <c r="A84" s="341" t="str">
        <f>General!G70</f>
        <v>k</v>
      </c>
      <c r="B84">
        <v>18</v>
      </c>
      <c r="C84" s="1" t="s">
        <v>2927</v>
      </c>
    </row>
    <row r="85" spans="1:3" x14ac:dyDescent="0.35">
      <c r="A85" s="341" t="str">
        <f>General!G71</f>
        <v>l</v>
      </c>
      <c r="B85">
        <v>18</v>
      </c>
      <c r="C85" s="1" t="s">
        <v>2927</v>
      </c>
    </row>
    <row r="86" spans="1:3" x14ac:dyDescent="0.35">
      <c r="A86" s="341" t="str">
        <f>General!G72</f>
        <v>lf</v>
      </c>
      <c r="B86">
        <v>18</v>
      </c>
      <c r="C86" s="1" t="s">
        <v>2927</v>
      </c>
    </row>
    <row r="87" spans="1:3" x14ac:dyDescent="0.35">
      <c r="A87" s="341" t="str">
        <f>General!G73</f>
        <v>ms</v>
      </c>
      <c r="B87" s="528">
        <f>0.65*B79+0.35*B85</f>
        <v>25.8</v>
      </c>
      <c r="C87" s="1" t="s">
        <v>2927</v>
      </c>
    </row>
    <row r="88" spans="1:3" x14ac:dyDescent="0.35">
      <c r="A88" s="341" t="str">
        <f>General!G74</f>
        <v>o</v>
      </c>
      <c r="B88">
        <v>30</v>
      </c>
      <c r="C88" s="1" t="s">
        <v>2927</v>
      </c>
    </row>
    <row r="89" spans="1:3" x14ac:dyDescent="0.35">
      <c r="A89" s="341" t="str">
        <f>General!G75</f>
        <v>od</v>
      </c>
      <c r="B89">
        <v>30</v>
      </c>
      <c r="C89" s="1" t="s">
        <v>2927</v>
      </c>
    </row>
    <row r="90" spans="1:3" x14ac:dyDescent="0.35">
      <c r="A90" s="341" t="str">
        <f>General!G76</f>
        <v>of</v>
      </c>
      <c r="B90">
        <v>30</v>
      </c>
      <c r="C90" s="1" t="s">
        <v>2927</v>
      </c>
    </row>
    <row r="91" spans="1:3" x14ac:dyDescent="0.35">
      <c r="A91" s="341" t="str">
        <f>General!G77</f>
        <v>r</v>
      </c>
      <c r="B91">
        <v>12</v>
      </c>
      <c r="C91" s="1" t="s">
        <v>2927</v>
      </c>
    </row>
    <row r="92" spans="1:3" x14ac:dyDescent="0.35">
      <c r="A92" s="341" t="str">
        <f>General!G78</f>
        <v>rd</v>
      </c>
      <c r="B92">
        <v>12</v>
      </c>
      <c r="C92" s="1" t="s">
        <v>2927</v>
      </c>
    </row>
    <row r="93" spans="1:3" x14ac:dyDescent="0.35">
      <c r="A93" s="341" t="str">
        <f>General!G79</f>
        <v>v</v>
      </c>
      <c r="B93">
        <v>18</v>
      </c>
      <c r="C93" s="1" t="s">
        <v>2927</v>
      </c>
    </row>
    <row r="94" spans="1:3" x14ac:dyDescent="0.35">
      <c r="A94" s="341" t="str">
        <f>General!G80</f>
        <v>w</v>
      </c>
      <c r="B94">
        <v>30</v>
      </c>
      <c r="C94" s="1" t="s">
        <v>2927</v>
      </c>
    </row>
    <row r="95" spans="1:3" x14ac:dyDescent="0.35">
      <c r="A95" s="341" t="str">
        <f>General!G81</f>
        <v>wd</v>
      </c>
      <c r="B95">
        <v>30</v>
      </c>
      <c r="C95" s="1" t="s">
        <v>2927</v>
      </c>
    </row>
    <row r="96" spans="1:3" x14ac:dyDescent="0.35">
      <c r="A96" s="341" t="str">
        <f>General!G82</f>
        <v>z</v>
      </c>
      <c r="B96">
        <v>12</v>
      </c>
      <c r="C96" s="1" t="s">
        <v>2927</v>
      </c>
    </row>
    <row r="97" spans="1:3" x14ac:dyDescent="0.35">
      <c r="A97" s="341" t="str">
        <f>General!G83</f>
        <v>zd</v>
      </c>
      <c r="B97">
        <v>12</v>
      </c>
      <c r="C97" s="1" t="s">
        <v>2927</v>
      </c>
    </row>
    <row r="99" spans="1:3" x14ac:dyDescent="0.35">
      <c r="A99" t="s">
        <v>37</v>
      </c>
      <c r="B99">
        <v>80</v>
      </c>
      <c r="C99" s="1" t="s">
        <v>2915</v>
      </c>
    </row>
    <row r="101" spans="1:3" x14ac:dyDescent="0.35">
      <c r="A101" t="s">
        <v>37</v>
      </c>
      <c r="B101" t="s">
        <v>3322</v>
      </c>
    </row>
    <row r="102" spans="1:3" x14ac:dyDescent="0.35">
      <c r="A102" s="341" t="str">
        <f>General!G65</f>
        <v>b</v>
      </c>
      <c r="B102" s="326">
        <v>1</v>
      </c>
    </row>
    <row r="103" spans="1:3" x14ac:dyDescent="0.35">
      <c r="A103" s="341" t="str">
        <f>General!G66</f>
        <v>bd</v>
      </c>
      <c r="B103" s="326">
        <v>1</v>
      </c>
    </row>
    <row r="104" spans="1:3" x14ac:dyDescent="0.35">
      <c r="A104" s="341" t="str">
        <f>General!G67</f>
        <v>f</v>
      </c>
      <c r="B104" s="326">
        <f>38/33</f>
        <v>1.1515151515151516</v>
      </c>
    </row>
    <row r="105" spans="1:3" x14ac:dyDescent="0.35">
      <c r="A105" s="341" t="str">
        <f>General!G68</f>
        <v>h</v>
      </c>
      <c r="B105" s="326">
        <v>1</v>
      </c>
    </row>
    <row r="106" spans="1:3" x14ac:dyDescent="0.35">
      <c r="A106" s="341" t="str">
        <f>General!G69</f>
        <v>i</v>
      </c>
      <c r="B106" s="326">
        <f t="shared" ref="B106:B107" si="0">38/33</f>
        <v>1.1515151515151516</v>
      </c>
    </row>
    <row r="107" spans="1:3" x14ac:dyDescent="0.35">
      <c r="A107" s="341" t="str">
        <f>General!G70</f>
        <v>k</v>
      </c>
      <c r="B107" s="326">
        <f t="shared" si="0"/>
        <v>1.1515151515151516</v>
      </c>
    </row>
    <row r="108" spans="1:3" x14ac:dyDescent="0.35">
      <c r="A108" s="341" t="str">
        <f>General!G71</f>
        <v>l</v>
      </c>
      <c r="B108" s="326">
        <v>1</v>
      </c>
    </row>
    <row r="109" spans="1:3" x14ac:dyDescent="0.35">
      <c r="A109" s="341" t="str">
        <f>General!G72</f>
        <v>lf</v>
      </c>
      <c r="B109" s="326">
        <v>1</v>
      </c>
    </row>
    <row r="110" spans="1:3" x14ac:dyDescent="0.35">
      <c r="A110" s="341" t="str">
        <f>General!G73</f>
        <v>ms</v>
      </c>
      <c r="B110" s="618">
        <f>0.65*B102+0.35*B108</f>
        <v>1</v>
      </c>
    </row>
    <row r="111" spans="1:3" x14ac:dyDescent="0.35">
      <c r="A111" s="341" t="str">
        <f>General!G74</f>
        <v>o</v>
      </c>
      <c r="B111" s="326">
        <v>1</v>
      </c>
    </row>
    <row r="112" spans="1:3" x14ac:dyDescent="0.35">
      <c r="A112" s="341" t="str">
        <f>General!G75</f>
        <v>od</v>
      </c>
      <c r="B112" s="326">
        <v>1</v>
      </c>
    </row>
    <row r="113" spans="1:3" x14ac:dyDescent="0.35">
      <c r="A113" s="341" t="str">
        <f>General!G76</f>
        <v>of</v>
      </c>
      <c r="B113" s="326">
        <v>1</v>
      </c>
    </row>
    <row r="114" spans="1:3" x14ac:dyDescent="0.35">
      <c r="A114" s="341" t="str">
        <f>General!G77</f>
        <v>r</v>
      </c>
      <c r="B114" s="326">
        <f t="shared" ref="B114:B116" si="1">38/33</f>
        <v>1.1515151515151516</v>
      </c>
    </row>
    <row r="115" spans="1:3" x14ac:dyDescent="0.35">
      <c r="A115" s="341" t="str">
        <f>General!G78</f>
        <v>rd</v>
      </c>
      <c r="B115" s="326">
        <f t="shared" si="1"/>
        <v>1.1515151515151516</v>
      </c>
    </row>
    <row r="116" spans="1:3" x14ac:dyDescent="0.35">
      <c r="A116" s="341" t="str">
        <f>General!G79</f>
        <v>v</v>
      </c>
      <c r="B116" s="326">
        <f t="shared" si="1"/>
        <v>1.1515151515151516</v>
      </c>
    </row>
    <row r="117" spans="1:3" x14ac:dyDescent="0.35">
      <c r="A117" s="341" t="str">
        <f>General!G80</f>
        <v>w</v>
      </c>
      <c r="B117" s="326">
        <v>1</v>
      </c>
    </row>
    <row r="118" spans="1:3" x14ac:dyDescent="0.35">
      <c r="A118" s="341" t="str">
        <f>General!G81</f>
        <v>wd</v>
      </c>
      <c r="B118" s="326">
        <v>1</v>
      </c>
    </row>
    <row r="119" spans="1:3" x14ac:dyDescent="0.35">
      <c r="A119" s="341" t="str">
        <f>General!G82</f>
        <v>z</v>
      </c>
      <c r="B119" s="326">
        <f t="shared" ref="B119:B120" si="2">38/33</f>
        <v>1.1515151515151516</v>
      </c>
    </row>
    <row r="120" spans="1:3" x14ac:dyDescent="0.35">
      <c r="A120" s="341" t="str">
        <f>General!G83</f>
        <v>zd</v>
      </c>
      <c r="B120" s="326">
        <f t="shared" si="2"/>
        <v>1.1515151515151516</v>
      </c>
    </row>
    <row r="122" spans="1:3" x14ac:dyDescent="0.35">
      <c r="A122" s="3" t="s">
        <v>38</v>
      </c>
    </row>
    <row r="123" spans="1:3" x14ac:dyDescent="0.35">
      <c r="A123" t="s">
        <v>2932</v>
      </c>
      <c r="B123">
        <v>50</v>
      </c>
      <c r="C123" s="1" t="s">
        <v>2934</v>
      </c>
    </row>
    <row r="124" spans="1:3" ht="4.1500000000000004" customHeight="1" x14ac:dyDescent="0.35"/>
    <row r="125" spans="1:3" x14ac:dyDescent="0.35">
      <c r="A125" t="s">
        <v>39</v>
      </c>
      <c r="B125">
        <v>40</v>
      </c>
      <c r="C125" s="1" t="s">
        <v>2933</v>
      </c>
    </row>
    <row r="126" spans="1:3" ht="3" customHeight="1" x14ac:dyDescent="0.35"/>
    <row r="127" spans="1:3" x14ac:dyDescent="0.35">
      <c r="A127" t="s">
        <v>40</v>
      </c>
      <c r="B127">
        <v>50</v>
      </c>
      <c r="C127" s="1" t="s">
        <v>3323</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General!K65</f>
        <v>lime</v>
      </c>
      <c r="C133">
        <v>15</v>
      </c>
    </row>
    <row r="134" spans="1:3" x14ac:dyDescent="0.35">
      <c r="A134" s="431" t="s">
        <v>44</v>
      </c>
      <c r="B134" t="str">
        <f>General!K66</f>
        <v>early</v>
      </c>
      <c r="C134">
        <v>25</v>
      </c>
    </row>
    <row r="135" spans="1:3" x14ac:dyDescent="0.35">
      <c r="A135" s="431" t="s">
        <v>69</v>
      </c>
      <c r="B135" t="str">
        <f>General!K67</f>
        <v>at_seeding</v>
      </c>
      <c r="C135"/>
    </row>
    <row r="136" spans="1:3" x14ac:dyDescent="0.35">
      <c r="A136" s="431" t="s">
        <v>2935</v>
      </c>
      <c r="B136" t="str">
        <f>General!K68</f>
        <v>mid</v>
      </c>
      <c r="C136">
        <v>25</v>
      </c>
    </row>
    <row r="137" spans="1:3" x14ac:dyDescent="0.35">
      <c r="A137" s="431" t="s">
        <v>2569</v>
      </c>
      <c r="B137" t="str">
        <f>General!K69</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General!G65</f>
        <v>b</v>
      </c>
      <c r="B156" s="6">
        <v>1</v>
      </c>
      <c r="C156" s="6">
        <v>1</v>
      </c>
    </row>
    <row r="157" spans="1:3" x14ac:dyDescent="0.35">
      <c r="A157" s="342" t="str">
        <f>General!G66</f>
        <v>bd</v>
      </c>
      <c r="B157" s="6">
        <v>1</v>
      </c>
      <c r="C157" s="6">
        <v>1</v>
      </c>
    </row>
    <row r="158" spans="1:3" x14ac:dyDescent="0.35">
      <c r="A158" s="342" t="str">
        <f>General!G67</f>
        <v>f</v>
      </c>
      <c r="B158" s="6">
        <v>1</v>
      </c>
      <c r="C158" s="6">
        <v>1</v>
      </c>
    </row>
    <row r="159" spans="1:3" x14ac:dyDescent="0.35">
      <c r="A159" s="342" t="str">
        <f>General!G68</f>
        <v>h</v>
      </c>
      <c r="B159" s="6">
        <v>1</v>
      </c>
      <c r="C159" s="6">
        <v>3</v>
      </c>
    </row>
    <row r="160" spans="1:3" x14ac:dyDescent="0.35">
      <c r="A160" s="342" t="str">
        <f>General!G69</f>
        <v>i</v>
      </c>
      <c r="B160" s="6">
        <v>1</v>
      </c>
      <c r="C160" s="6">
        <v>1</v>
      </c>
    </row>
    <row r="161" spans="1:3" x14ac:dyDescent="0.35">
      <c r="A161" s="342" t="str">
        <f>General!G70</f>
        <v>k</v>
      </c>
      <c r="B161" s="6">
        <v>1</v>
      </c>
      <c r="C161" s="6">
        <v>1</v>
      </c>
    </row>
    <row r="162" spans="1:3" x14ac:dyDescent="0.35">
      <c r="A162" s="342" t="str">
        <f>General!G71</f>
        <v>l</v>
      </c>
      <c r="B162" s="6">
        <v>1</v>
      </c>
      <c r="C162" s="6">
        <v>1</v>
      </c>
    </row>
    <row r="163" spans="1:3" x14ac:dyDescent="0.35">
      <c r="A163" s="342" t="str">
        <f>General!G72</f>
        <v>lf</v>
      </c>
      <c r="B163" s="6">
        <v>1</v>
      </c>
      <c r="C163" s="6">
        <v>1</v>
      </c>
    </row>
    <row r="164" spans="1:3" x14ac:dyDescent="0.35">
      <c r="A164" s="342" t="str">
        <f>General!G73</f>
        <v>ms</v>
      </c>
      <c r="B164" s="6">
        <v>1</v>
      </c>
      <c r="C164" s="6">
        <v>1</v>
      </c>
    </row>
    <row r="165" spans="1:3" x14ac:dyDescent="0.35">
      <c r="A165" s="342" t="str">
        <f>General!G74</f>
        <v>o</v>
      </c>
      <c r="B165" s="6">
        <v>1</v>
      </c>
      <c r="C165" s="6">
        <v>1</v>
      </c>
    </row>
    <row r="166" spans="1:3" x14ac:dyDescent="0.35">
      <c r="A166" s="342" t="str">
        <f>General!G75</f>
        <v>od</v>
      </c>
      <c r="B166" s="6">
        <v>1</v>
      </c>
      <c r="C166" s="6">
        <v>1</v>
      </c>
    </row>
    <row r="167" spans="1:3" x14ac:dyDescent="0.35">
      <c r="A167" s="342" t="str">
        <f>General!G76</f>
        <v>of</v>
      </c>
      <c r="B167" s="6">
        <v>1</v>
      </c>
      <c r="C167" s="6">
        <v>1</v>
      </c>
    </row>
    <row r="168" spans="1:3" x14ac:dyDescent="0.35">
      <c r="A168" s="342" t="str">
        <f>General!G77</f>
        <v>r</v>
      </c>
      <c r="B168" s="6">
        <v>1</v>
      </c>
      <c r="C168" s="6">
        <v>1</v>
      </c>
    </row>
    <row r="169" spans="1:3" x14ac:dyDescent="0.35">
      <c r="A169" s="342" t="str">
        <f>General!G78</f>
        <v>rd</v>
      </c>
      <c r="B169" s="6">
        <v>1</v>
      </c>
      <c r="C169" s="6">
        <v>1</v>
      </c>
    </row>
    <row r="170" spans="1:3" x14ac:dyDescent="0.35">
      <c r="A170" s="342" t="str">
        <f>General!G79</f>
        <v>v</v>
      </c>
      <c r="B170" s="6">
        <v>1</v>
      </c>
      <c r="C170" s="6">
        <v>1</v>
      </c>
    </row>
    <row r="171" spans="1:3" x14ac:dyDescent="0.35">
      <c r="A171" s="342" t="str">
        <f>General!G80</f>
        <v>w</v>
      </c>
      <c r="B171" s="6">
        <v>1</v>
      </c>
      <c r="C171" s="6">
        <v>1</v>
      </c>
    </row>
    <row r="172" spans="1:3" x14ac:dyDescent="0.35">
      <c r="A172" s="342" t="str">
        <f>General!G81</f>
        <v>wd</v>
      </c>
      <c r="B172" s="6">
        <v>1</v>
      </c>
      <c r="C172" s="6">
        <v>1</v>
      </c>
    </row>
    <row r="173" spans="1:3" x14ac:dyDescent="0.35">
      <c r="A173" s="342" t="str">
        <f>General!G82</f>
        <v>z</v>
      </c>
      <c r="B173" s="6">
        <v>1</v>
      </c>
      <c r="C173" s="6">
        <v>1</v>
      </c>
    </row>
    <row r="174" spans="1:3" x14ac:dyDescent="0.3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523</vt:i4>
      </vt:variant>
    </vt:vector>
  </HeadingPairs>
  <TitlesOfParts>
    <vt:vector size="537"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2025-07-21T04:14:51Z</dcterms:modified>
</cp:coreProperties>
</file>