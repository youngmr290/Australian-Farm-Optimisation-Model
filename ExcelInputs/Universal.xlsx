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drawings/drawing6.xml" ContentType="application/vnd.openxmlformats-officedocument.drawing+xml"/>
  <Override PartName="/xl/comments12.xml" ContentType="application/vnd.openxmlformats-officedocument.spreadsheetml.comments+xml"/>
  <Override PartName="/xl/drawings/drawing7.xml" ContentType="application/vnd.openxmlformats-officedocument.drawing+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Models\AFO\ExcelInputs\"/>
    </mc:Choice>
  </mc:AlternateContent>
  <xr:revisionPtr revIDLastSave="0" documentId="13_ncr:1_{08F826DA-2FE5-44C7-A427-BC7ACE099BCF}" xr6:coauthVersionLast="47" xr6:coauthVersionMax="47" xr10:uidLastSave="{00000000-0000-0000-0000-000000000000}"/>
  <bookViews>
    <workbookView xWindow="810" yWindow="-120" windowWidth="28110" windowHeight="16440" tabRatio="625" activeTab="8" xr2:uid="{26DC18AC-FA22-4741-8965-316F71A72BB8}"/>
  </bookViews>
  <sheets>
    <sheet name="General" sheetId="17" r:id="rId1"/>
    <sheet name="Price" sheetId="1" r:id="rId2"/>
    <sheet name="Finance" sheetId="2" r:id="rId3"/>
    <sheet name="Sup Feed" sheetId="6" r:id="rId4"/>
    <sheet name="CropResidue" sheetId="22" r:id="rId5"/>
    <sheet name="ErrorChecks" sheetId="10" r:id="rId6"/>
    <sheet name="Sheep" sheetId="23" r:id="rId7"/>
    <sheet name="Emissions" sheetId="20" r:id="rId8"/>
    <sheet name="Parameters" sheetId="24" r:id="rId9"/>
    <sheet name="PastParameters" sheetId="9" r:id="rId10"/>
    <sheet name="Mach General" sheetId="4" r:id="rId11"/>
    <sheet name="Mach 1" sheetId="16" r:id="rId12"/>
    <sheet name="Mach 2" sheetId="18" r:id="rId13"/>
    <sheet name="Mach 3" sheetId="21" r:id="rId14"/>
  </sheets>
  <externalReferences>
    <externalReference r:id="rId15"/>
  </externalReferences>
  <definedNames>
    <definedName name="__123Graph_A" localSheetId="6" hidden="1">[1]LucRotnData!#REF!</definedName>
    <definedName name="__123Graph_A" hidden="1">[1]LucRotnData!#REF!</definedName>
    <definedName name="__123Graph_B" hidden="1">[1]LucRotnData!#REF!</definedName>
    <definedName name="__123Graph_C" hidden="1">[1]LucRotnData!#REF!</definedName>
    <definedName name="__123Graph_X" hidden="1">[1]LucRotnData!#REF!</definedName>
    <definedName name="_xlnm._FilterDatabase" localSheetId="5" hidden="1">ErrorChecks!$E$9:$Y$20</definedName>
    <definedName name="_xlnm._FilterDatabase" localSheetId="8" hidden="1">Parameters!$E$36:$AK$2120</definedName>
    <definedName name="_xlnm._FilterDatabase" localSheetId="9" hidden="1">PastParameters!$E$9:$Y$20</definedName>
    <definedName name="_xlnm._FilterDatabase" localSheetId="6" hidden="1">Sheep!$E$9:$AC$20</definedName>
    <definedName name="a_c2_c0t" localSheetId="4">CropResidue!$J$271:$AM$273</definedName>
    <definedName name="approx_hay_yield" localSheetId="10">'Mach General'!$B$9</definedName>
    <definedName name="cart_hay" localSheetId="1">Price!$B$36</definedName>
    <definedName name="casual_cost">Price!$B$84</definedName>
    <definedName name="casual_super">Price!$B$86</definedName>
    <definedName name="casual_workers_comp">Price!$B$88</definedName>
    <definedName name="clearing_value" localSheetId="11">'Mach 1'!$A$11:$F$26</definedName>
    <definedName name="clearing_value" localSheetId="12">'Mach 2'!$A$11:$F$26</definedName>
    <definedName name="clearing_value" localSheetId="13">'Mach 3'!$A$11:$F$26</definedName>
    <definedName name="clover_propn_in_sward_stubble" localSheetId="4">CropResidue!$J$33</definedName>
    <definedName name="contract_bail" localSheetId="1">Price!$B$34</definedName>
    <definedName name="contract_harv_cost" localSheetId="1">Price!$A$8:$B$27</definedName>
    <definedName name="contract_harvest_rate" localSheetId="10">'Mach General'!$A$14:$B$33</definedName>
    <definedName name="contract_mow_hay" localSheetId="1">Price!$B$32</definedName>
    <definedName name="contract_seed_cost" localSheetId="1">Price!$B$29</definedName>
    <definedName name="crp_insurance_date">Price!$B$46</definedName>
    <definedName name="diesel" localSheetId="1">Price!$B$4</definedName>
    <definedName name="diesel_rebate" localSheetId="1">Price!$B$6</definedName>
    <definedName name="equip_insurance">Finance!$B$16</definedName>
    <definedName name="fixed_dep" localSheetId="2">Finance!$B$13</definedName>
    <definedName name="flagfall" localSheetId="1">Price!$B$44</definedName>
    <definedName name="fuel_seeding" localSheetId="11">'Mach 1'!$B$34</definedName>
    <definedName name="fuel_seeding" localSheetId="12">'Mach 2'!$B$34</definedName>
    <definedName name="fuel_seeding" localSheetId="13">'Mach 3'!$B$33</definedName>
    <definedName name="grain_density">'Sup Feed'!$I$70:$AB$72</definedName>
    <definedName name="grain_price" localSheetId="1">Price!$L$50:$AA$70</definedName>
    <definedName name="grain_price_info" localSheetId="1">Price!$A$51:$J$70</definedName>
    <definedName name="grain_price_percentile" localSheetId="1">Price!$B$48</definedName>
    <definedName name="harv_fuel_consumption" localSheetId="11">'Mach 1'!$B$75</definedName>
    <definedName name="harv_fuel_consumption" localSheetId="12">'Mach 2'!$B$75</definedName>
    <definedName name="harv_fuel_consumption" localSheetId="13">'Mach 3'!$B$74</definedName>
    <definedName name="harvest_maint" localSheetId="11">'Mach 1'!$B$100</definedName>
    <definedName name="harvest_maint" localSheetId="12">'Mach 2'!$B$100</definedName>
    <definedName name="harvest_maint" localSheetId="13">'Mach 3'!$B$99</definedName>
    <definedName name="harvest_maint_scalar" localSheetId="11">'Mach 1'!$A$102:$B$121</definedName>
    <definedName name="harvest_maint_scalar" localSheetId="12">'Mach 2'!$A$102:$B$121</definedName>
    <definedName name="harvest_maint_scalar" localSheetId="13">'Mach 3'!$A$101:$B$120</definedName>
    <definedName name="harvest_rate" localSheetId="11">'Mach 1'!$A$79:$B$98</definedName>
    <definedName name="harvest_rate" localSheetId="12">'Mach 2'!$A$79:$B$98</definedName>
    <definedName name="harvest_rate" localSheetId="13">'Mach 3'!$A$78:$B$97</definedName>
    <definedName name="i_a_expo_risk_coef" localSheetId="0">General!$R$24</definedName>
    <definedName name="i_a_t" localSheetId="4">CropResidue!$J$322:$AM$322</definedName>
    <definedName name="i_agedam_propn_pos">Parameters!$L$67</definedName>
    <definedName name="i_agedam_propn_std_dc2">Parameters!$U$68:$AF$75</definedName>
    <definedName name="i_agedam_propn_y">Parameters!$AI$68:$AJ$75</definedName>
    <definedName name="i_agemax_s7c2">Parameters!$U$77:$AF$84</definedName>
    <definedName name="i_agemax_s7y">Parameters!$AI$77:$AJ$84</definedName>
    <definedName name="i_agemin_s7c2">Parameters!$U$85:$AF$92</definedName>
    <definedName name="i_agemin_s7y">Parameters!$AI$85:$AJ$92</definedName>
    <definedName name="i_b_t" localSheetId="4">CropResidue!$J$323:$AM$323</definedName>
    <definedName name="i_b0_len">Parameters!$L$713</definedName>
    <definedName name="i_b0_pos">Parameters!$M$713</definedName>
    <definedName name="i_b0_propn_b0t" localSheetId="4">CropResidue!$J$252:$AM$257</definedName>
    <definedName name="i_b1_pos">Parameters!$M$993</definedName>
    <definedName name="i_b1_propn_b1t" localSheetId="4">CropResidue!$J$240:$AM$250</definedName>
    <definedName name="i_biomass_scalar_ks2" localSheetId="4">CropResidue!$H$95:$J$113</definedName>
    <definedName name="i_bvcfw_c2">Parameters!$U$52:$AF$52</definedName>
    <definedName name="i_bvcfw_y">Parameters!$AI$52:$AJ$52</definedName>
    <definedName name="i_c_t" localSheetId="4">CropResidue!$J$324:$AM$324</definedName>
    <definedName name="i_c1_variation_included" localSheetId="0">General!$G$16</definedName>
    <definedName name="i_ca_c2">Parameters!$U$259:$AF$268</definedName>
    <definedName name="i_ca_len">Parameters!$K$258</definedName>
    <definedName name="i_ca_pos">Parameters!$M$258</definedName>
    <definedName name="i_ca_y">Parameters!$AI$259:$AJ$268</definedName>
    <definedName name="i_calibration_offest_t" localSheetId="4">CropResidue!$J$216:$AM$216</definedName>
    <definedName name="i_cara_risk_coef" localSheetId="0">General!$L$23</definedName>
    <definedName name="i_cb0_c2">Parameters!$U$714:$AF$827</definedName>
    <definedName name="i_cb0_len">Parameters!$K$713</definedName>
    <definedName name="i_cb0_len2">Parameters!$L$713</definedName>
    <definedName name="i_cb0_pos">Parameters!$M$713</definedName>
    <definedName name="i_cb0_y">Parameters!$AI$714:$AJ$827</definedName>
    <definedName name="i_cc_c2">Parameters!$U$346:$AF$362</definedName>
    <definedName name="i_cc_len">Parameters!$K$345</definedName>
    <definedName name="i_cc_pos">Parameters!$M$345</definedName>
    <definedName name="i_cc_y">Parameters!$AI$346:$AJ$362</definedName>
    <definedName name="i_CCa" localSheetId="7">Emissions!$L$70</definedName>
    <definedName name="i_cd_c2">Parameters!$U$420:$AF$446</definedName>
    <definedName name="i_cd_len">Parameters!$K$419</definedName>
    <definedName name="i_cd_pos">Parameters!$M$419</definedName>
    <definedName name="i_cd_y">Parameters!$AI$420:$AJ$446</definedName>
    <definedName name="i_ce_c2">Parameters!$U$448:$AF$639</definedName>
    <definedName name="i_ce_len">Parameters!$K$447</definedName>
    <definedName name="i_ce_len2">Parameters!$L$447</definedName>
    <definedName name="i_ce_pos">Parameters!$M$447</definedName>
    <definedName name="i_ce_y">Parameters!$AI$448:$AJ$639</definedName>
    <definedName name="i_cf_c2">Parameters!$U$412:$AF$418</definedName>
    <definedName name="i_cf_ch4" localSheetId="7">Emissions!$K$13</definedName>
    <definedName name="i_cf_co2" localSheetId="7">Emissions!$K$17</definedName>
    <definedName name="i_cf_len">Parameters!$K$411</definedName>
    <definedName name="i_cf_n2o" localSheetId="7">Emissions!$K$15</definedName>
    <definedName name="i_cf_pos">Parameters!$M$411</definedName>
    <definedName name="i_cf_y">Parameters!$AI$412:$AJ$418</definedName>
    <definedName name="i_cfw_initial_c2">Parameters!$U$97:$AF$97</definedName>
    <definedName name="i_cfw_initial_y">Parameters!$AI$97:$AJ$97</definedName>
    <definedName name="i_cfw_propn_c2">Parameters!$U$47:$AF$47</definedName>
    <definedName name="i_cfw_propn_y">Parameters!$AI$47:$AJ$47</definedName>
    <definedName name="i_cg_c2">Parameters!$U$364:$AF$403</definedName>
    <definedName name="i_cg_len">Parameters!$K$363</definedName>
    <definedName name="i_cg_pos">Parameters!$M$363</definedName>
    <definedName name="i_cg_y">Parameters!$AI$364:$AJ$403</definedName>
    <definedName name="i_ch_c2">Parameters!$U$405:$AF$410</definedName>
    <definedName name="i_ch_len">Parameters!$K$404</definedName>
    <definedName name="i_ch_pos">Parameters!$M$404</definedName>
    <definedName name="i_ch_y">Parameters!$AI$405:$AJ$410</definedName>
    <definedName name="i_ch4_gwp_factor" localSheetId="7">Emissions!$I$13</definedName>
    <definedName name="i_chem_idx" localSheetId="0">General!$M$66:$M$69</definedName>
    <definedName name="i_ci_c2">Parameters!$U$130:$AF$153</definedName>
    <definedName name="i_ci_len">Parameters!$K$129</definedName>
    <definedName name="i_ci_pos">Parameters!$M$129</definedName>
    <definedName name="i_ci_y">Parameters!$AI$130:$AJ$153</definedName>
    <definedName name="i_ck_c2">Parameters!$U$179:$AF$218</definedName>
    <definedName name="i_ck_len">Parameters!$K$178</definedName>
    <definedName name="i_ck_pos">Parameters!$M$178</definedName>
    <definedName name="i_ck_y">Parameters!$AI$179:$AJ$218</definedName>
    <definedName name="i_cl_c2">Parameters!$U$291:$AF$316</definedName>
    <definedName name="i_cl_len">Parameters!$K$290</definedName>
    <definedName name="i_cl_pos">Parameters!$M$290</definedName>
    <definedName name="i_cl_y">Parameters!$AI$291:$AJ$316</definedName>
    <definedName name="i_cl0_c2">Parameters!$U$829:$AF$992</definedName>
    <definedName name="i_cl0_len">Parameters!$K$828</definedName>
    <definedName name="i_cl0_len2">Parameters!$L$828</definedName>
    <definedName name="i_cl0_pos">Parameters!$M$828</definedName>
    <definedName name="i_cl0_y">Parameters!$AI$829:$AJ$992</definedName>
    <definedName name="i_cl1_c2">Parameters!$U$994:$AF$1157</definedName>
    <definedName name="i_cl1_len">Parameters!$K$993</definedName>
    <definedName name="i_cl1_len2">Parameters!$L$993</definedName>
    <definedName name="i_cl1_pos">Parameters!$M$993</definedName>
    <definedName name="i_cl1_y">Parameters!$AI$994:$AJ$1157</definedName>
    <definedName name="i_cm_c2">Parameters!$U$220:$AF$248</definedName>
    <definedName name="i_cm_len">Parameters!$K$219</definedName>
    <definedName name="i_cm_pos">Parameters!$M$219</definedName>
    <definedName name="i_cm_y">Parameters!$AI$220:$AJ$248</definedName>
    <definedName name="i_cn_c2">Parameters!$U$102:$AF$128</definedName>
    <definedName name="i_cn_len">Parameters!$K$101</definedName>
    <definedName name="i_cn_pos">Parameters!$M$101</definedName>
    <definedName name="i_cn_y">Parameters!$AI$102:$AJ$128</definedName>
    <definedName name="i_co2_gwp_factor" localSheetId="7">Emissions!$I$17</definedName>
    <definedName name="i_confinement_feeding_cost_factor" localSheetId="3">'Sup Feed'!$J$25</definedName>
    <definedName name="i_confinement_feeding_labour_factor" localSheetId="3">'Sup Feed'!$L$25</definedName>
    <definedName name="i_cp_c2">Parameters!$U$270:$AF$289</definedName>
    <definedName name="i_cp_len">Parameters!$K$269</definedName>
    <definedName name="i_cp_pos">Parameters!$M$269</definedName>
    <definedName name="i_cp_y">Parameters!$AI$270:$AJ$289</definedName>
    <definedName name="i_cr_c2">Parameters!$U$155:$AF$177</definedName>
    <definedName name="i_cr_len">Parameters!$K$154</definedName>
    <definedName name="i_cr_pos">Parameters!$M$154</definedName>
    <definedName name="i_cr_y">Parameters!$AI$155:$AJ$177</definedName>
    <definedName name="i_crd_c2">Parameters!$U$250:$AF$257</definedName>
    <definedName name="i_crd_len">Parameters!$K$249</definedName>
    <definedName name="i_crd_pos">Parameters!$M$249</definedName>
    <definedName name="i_crd_y">Parameters!$AI$250:$AJ$257</definedName>
    <definedName name="i_crra_risk_coef" localSheetId="0">General!$O$23</definedName>
    <definedName name="i_cu0_c2">Parameters!$U$1159:$AF$1163</definedName>
    <definedName name="i_cu0_len">Parameters!$K$1158</definedName>
    <definedName name="i_cu0_pos">Parameters!$M$1158</definedName>
    <definedName name="i_cu0_y">Parameters!$AI$1159:$AJ$1163</definedName>
    <definedName name="i_cu1_c2">Parameters!$U$1165:$AF$1324</definedName>
    <definedName name="i_cu1_len">Parameters!$K$1164</definedName>
    <definedName name="i_cu1_len2">Parameters!$L$1164</definedName>
    <definedName name="i_cu1_pos">Parameters!$M$1164</definedName>
    <definedName name="i_cu1_y">Parameters!$AI$1165:$AJ$1324</definedName>
    <definedName name="i_cu2_c2">Parameters!$U$1326:$AF$1745</definedName>
    <definedName name="i_cu2_len">Parameters!$K$1325</definedName>
    <definedName name="i_cu2_len2">Parameters!$L$1325</definedName>
    <definedName name="i_cu2_pos">Parameters!$M$1325</definedName>
    <definedName name="i_cu2_y">Parameters!$AI$1326:$AJ$1745</definedName>
    <definedName name="i_cu3_c4">PastParameters!$K$48:$Q$77</definedName>
    <definedName name="i_cu3_len">PastParameters!$K$47</definedName>
    <definedName name="i_cu3_len2">PastParameters!$L$47</definedName>
    <definedName name="i_cu4_c4">PastParameters!$K$79:$Q$138</definedName>
    <definedName name="i_cu4_len">PastParameters!$K$78</definedName>
    <definedName name="i_cu4_len2">PastParameters!$L$78</definedName>
    <definedName name="i_cu5_c5">Sheep!$I$63:$N$71</definedName>
    <definedName name="i_cu6_c2">Parameters!$U$1747:$AF$2106</definedName>
    <definedName name="i_cu6_len">Parameters!$K$1746</definedName>
    <definedName name="i_cu6_len2">Parameters!$L$1746</definedName>
    <definedName name="i_cu6_pos">Parameters!$M$1746</definedName>
    <definedName name="i_cu6_y">Parameters!$AI$1747:$AJ$2106</definedName>
    <definedName name="i_cv_bw_c2">Parameters!$U$64:$AF$64</definedName>
    <definedName name="i_cv_bw_y">Parameters!$AI$64:$AJ$64</definedName>
    <definedName name="i_cv_cs_c2">Parameters!$U$65:$AF$65</definedName>
    <definedName name="i_cv_cs_y">Parameters!$AI$65:$AJ$65</definedName>
    <definedName name="i_cv_weight_c2">Parameters!$U$63:$AF$63</definedName>
    <definedName name="i_cv_weight_y">Parameters!$AI$63:$AJ$63</definedName>
    <definedName name="i_cvlw_s7">Sheep!$U$183:$U$190</definedName>
    <definedName name="i_cvscore_s7">Sheep!$V$183:$V$190</definedName>
    <definedName name="i_cw_c2">Parameters!$U$318:$AF$344</definedName>
    <definedName name="i_cw_len">Parameters!$K$317</definedName>
    <definedName name="i_cw_pos">Parameters!$M$317</definedName>
    <definedName name="i_cw_y">Parameters!$AI$318:$AJ$344</definedName>
    <definedName name="i_cx_c2">Parameters!$U$641:$AF$712</definedName>
    <definedName name="i_cx_len">Parameters!$K$640</definedName>
    <definedName name="i_cx_len2">Parameters!$L$640</definedName>
    <definedName name="i_cx_pos">Parameters!$M$640</definedName>
    <definedName name="i_cx_y">Parameters!$AI$641:$AJ$712</definedName>
    <definedName name="i_d_len">Parameters!$L$447</definedName>
    <definedName name="i_d_pos">Parameters!$M$447</definedName>
    <definedName name="i_dams_in_trial_t" localSheetId="4">CropResidue!$J$237:$AM$237</definedName>
    <definedName name="i_dressp_adj_c2">Parameters!$U$93:$AF$93</definedName>
    <definedName name="i_dressp_adj_y">Parameters!$AI$93:$AJ$93</definedName>
    <definedName name="i_ef_atmos_deposition_manure" localSheetId="7">Emissions!$L$37</definedName>
    <definedName name="i_ef_atmospheric_dep_fert_crop_r1" localSheetId="7">Emissions!$M$52:$N$52</definedName>
    <definedName name="i_ef_atmospheric_dep_fert_pas" localSheetId="7">Emissions!$L$53</definedName>
    <definedName name="i_ef_ch4_burning" localSheetId="7">Emissions!$L$42</definedName>
    <definedName name="i_ef_diesel_ch4" localSheetId="7">Emissions!$L$46</definedName>
    <definedName name="i_ef_diesel_co2" localSheetId="7">Emissions!$L$45</definedName>
    <definedName name="i_ef_diesel_n2o" localSheetId="7">Emissions!$L$47</definedName>
    <definedName name="i_ef_dolomite" localSheetId="7">Emissions!$L$56</definedName>
    <definedName name="i_ef_fert_crop_r1" localSheetId="7">Emissions!$M$50:$N$50</definedName>
    <definedName name="i_ef_fert_pas" localSheetId="7">Emissions!$L$51</definedName>
    <definedName name="i_ef_leach_runoff" localSheetId="7">Emissions!$L$36</definedName>
    <definedName name="i_ef_limestone" localSheetId="7">Emissions!$L$55</definedName>
    <definedName name="i_ef_n2o_burning" localSheetId="7">Emissions!$L$41</definedName>
    <definedName name="i_ef_residue" localSheetId="7">Emissions!$L$40</definedName>
    <definedName name="i_ef_urea" localSheetId="7">Emissions!$L$54</definedName>
    <definedName name="i_eff" localSheetId="7">Emissions!$L$34</definedName>
    <definedName name="i_eft" localSheetId="7">Emissions!$L$33</definedName>
    <definedName name="i_efu" localSheetId="7">Emissions!$L$35</definedName>
    <definedName name="i_eqn_compare">Sheep!$I$399</definedName>
    <definedName name="i_eqn_cvh">Sheep!$J$60</definedName>
    <definedName name="i_eqn_exists_q0q1">Sheep!$J$401:$L$419</definedName>
    <definedName name="i_eqn_ph">Sheep!$I$60</definedName>
    <definedName name="i_eqn_reportvars_q1">Sheep!$M$401:$M$419</definedName>
    <definedName name="i_eqn_romaine">Sheep!$K$60</definedName>
    <definedName name="i_eqn_used_g0_q1p7">Sheep!$N$401:$O$419</definedName>
    <definedName name="i_eqn_used_g1_q1p7">Sheep!$P$401:$Q$419</definedName>
    <definedName name="i_eqn_used_g2_q1p7">Sheep!$R$401:$S$419</definedName>
    <definedName name="i_eqn_used_g3_q1p7">Sheep!$T$401:$U$419</definedName>
    <definedName name="i_fat_birth_y">Parameters!$AI$54:$AJ$54</definedName>
    <definedName name="i_fat_propn_birth_c2">Parameters!$U$54:$AF$54</definedName>
    <definedName name="i_fat_t" localSheetId="4">CropResidue!$J$231:$AM$231</definedName>
    <definedName name="i_fat_yatf_t" localSheetId="4">CropResidue!$J$264:$AM$264</definedName>
    <definedName name="i_fd_initial_c2">Parameters!$U$98:$AF$98</definedName>
    <definedName name="i_fd_initial_y">Parameters!$AI$98:$AJ$98</definedName>
    <definedName name="i_fd_t" localSheetId="4">CropResidue!$J$229:$AM$229</definedName>
    <definedName name="i_fd_yatf_t" localSheetId="4">CropResidue!$J$262:$AM$262</definedName>
    <definedName name="i_feedbud_labourreq_l2h3">Sheep!$L$375:$N$377</definedName>
    <definedName name="i_feedbud_requisites_prob_h6h3">Sheep!$T$375:$AG$377</definedName>
    <definedName name="i_fert_idx" localSheetId="0">General!$K$66:$K$70</definedName>
    <definedName name="i_fert_info_n1" localSheetId="0">General!$G$43:$K$53</definedName>
    <definedName name="i_fl_birth_c2">Parameters!$U$49:$AF$49</definedName>
    <definedName name="i_fl_birth_y">Parameters!$AI$49:$AJ$49</definedName>
    <definedName name="i_fl_initial_c2">Parameters!$U$99:$AF$99</definedName>
    <definedName name="i_fl_initial_y">Parameters!$AI$99:$AJ$99</definedName>
    <definedName name="i_fl_shear_c2">Parameters!$U$50:$AF$50</definedName>
    <definedName name="i_fl_shear_y">Parameters!$AI$50:$AJ$50</definedName>
    <definedName name="i_fl_t" localSheetId="4">CropResidue!$J$230:$AM$230</definedName>
    <definedName name="i_fl_yatf_t" localSheetId="4">CropResidue!$J$263:$AM$263</definedName>
    <definedName name="i_foo_t" localSheetId="4">CropResidue!$J$297:$AM$297</definedName>
    <definedName name="i_FracGASM_fert" localSheetId="7">Emissions!$N$103</definedName>
    <definedName name="i_FracGASM_manure" localSheetId="7">Emissions!$L$103</definedName>
    <definedName name="i_FracLEACH_fert" localSheetId="7">Emissions!$N$107</definedName>
    <definedName name="i_FracLEACH_manure" localSheetId="7">Emissions!$L$107</definedName>
    <definedName name="i_FracLEACH_residue" localSheetId="7">Emissions!$P$107</definedName>
    <definedName name="i_FracLime" localSheetId="7">Emissions!$N$111</definedName>
    <definedName name="i_FracRENEWAL" localSheetId="7">Emissions!$AA$70</definedName>
    <definedName name="i_FracWET_fert" localSheetId="7">Emissions!$N$106</definedName>
    <definedName name="i_FracWET_manure" localSheetId="7">Emissions!$L$106</definedName>
    <definedName name="i_FracWET_residue" localSheetId="7">Emissions!$P$106</definedName>
    <definedName name="i_g3_inc_g3t" localSheetId="4">CropResidue!$J$276:$AM$279</definedName>
    <definedName name="i_gfw_t" localSheetId="4">CropResidue!$J$228:$AM$228</definedName>
    <definedName name="i_gfw_yatf_t" localSheetId="4">CropResidue!$J$261:$AM$261</definedName>
    <definedName name="i_growth_scalar_k" localSheetId="4">CropResidue!$I$55:$I$73</definedName>
    <definedName name="i_h1_idx">Sheep!$Q$343:$R$343</definedName>
    <definedName name="i_h4_len">Sheep!$J$372</definedName>
    <definedName name="i_h6_fuel_slice" localSheetId="6">Sheep!$M$326</definedName>
    <definedName name="i_harvest_index_ks2" localSheetId="4">CropResidue!$H$118:$J$136</definedName>
    <definedName name="i_hd_std">PastParameters!$K$41</definedName>
    <definedName name="i_head_adjust_dams">Sheep!$L$307</definedName>
    <definedName name="i_head_adjust_offs">Sheep!$M$307</definedName>
    <definedName name="i_head_adjust_sire">Sheep!$K$307</definedName>
    <definedName name="i_hr" localSheetId="4">CropResidue!$J$32</definedName>
    <definedName name="i_husb_muster_infrastructurereq_h1h4">Sheep!$Q$373:$R$373</definedName>
    <definedName name="i_husb_muster_labourreq_l2h4">Sheep!$L$373:$N$373</definedName>
    <definedName name="i_husb_muster_requisites_prob_h6h4">Sheep!$T$373:$AG$373</definedName>
    <definedName name="i_husb_operations_contract_cost_h2">Sheep!$K$344:$K$370</definedName>
    <definedName name="i_husb_operations_infrastructurereq_h1h2">Sheep!$Q$344:$R$370</definedName>
    <definedName name="i_husb_operations_labourreq_l2h2">Sheep!$L$344:$N$370</definedName>
    <definedName name="i_husb_operations_muster_propn_h2">Sheep!$P$344:$P$370</definedName>
    <definedName name="i_husb_operations_requisites_prob_h6h2">Sheep!$T$344:$AG$370</definedName>
    <definedName name="i_husb_requisite_cost_h6">Sheep!$T$335:$AG$335</definedName>
    <definedName name="i_idx_s2" localSheetId="4">CropResidue!$H$93:$J$93</definedName>
    <definedName name="i_infrastructure_asset_h1">Sheep!$J$319:$J$320</definedName>
    <definedName name="i_infrastructure_costfixed_h1">Sheep!$K$319:$K$320</definedName>
    <definedName name="i_infrastructure_costvariable_h1">Sheep!$L$319:$L$320</definedName>
    <definedName name="i_infrastructure_labourfixed_h1">Sheep!$M$319:$M$320</definedName>
    <definedName name="i_infrastructure_labourvariable_h1">Sheep!$N$319:$N$320</definedName>
    <definedName name="i_initial_wealth" localSheetId="0">General!$Q$26</definedName>
    <definedName name="i_initial_y">Parameters!$AI$42:$AJ$42</definedName>
    <definedName name="i_initial_y0">Parameters!$AI$42:$AJ$42</definedName>
    <definedName name="i_initial_y1">Parameters!$AI$42:$AJ$42</definedName>
    <definedName name="i_initial_y2">Parameters!$AI$42:$AJ$42</definedName>
    <definedName name="i_initial_y3">Parameters!$AI$42:$AJ$42</definedName>
    <definedName name="i_interest" localSheetId="2">Finance!$B$3</definedName>
    <definedName name="i_kgcs_c2">Parameters!$U$1160:$AF$1160</definedName>
    <definedName name="i_kgcs_y">Parameters!$AI$1160:$AJ$1160</definedName>
    <definedName name="i_lss_std_c2">Parameters!$U$60:$AF$60</definedName>
    <definedName name="i_lss_std_y">Parameters!$AI$60:$AJ$60</definedName>
    <definedName name="i_lstr_std_c2">Parameters!$U$62:$AF$62</definedName>
    <definedName name="i_lstr_std_y">Parameters!$AI$62:$AJ$62</definedName>
    <definedName name="i_lstw_std_c2">Parameters!$U$61:$AF$61</definedName>
    <definedName name="i_lstw_std_y">Parameters!$AI$61:$AJ$61</definedName>
    <definedName name="i_lw_initial_c2">Parameters!$U$96:$AF$96</definedName>
    <definedName name="i_lw_initial_y">Parameters!$AI$96:$AJ$96</definedName>
    <definedName name="i_lw_yatf_t" localSheetId="4">CropResidue!$J$260:$AM$260</definedName>
    <definedName name="i_mask_s7g" localSheetId="6">Sheep!$Q$183:$T$190</definedName>
    <definedName name="i_mask_s7x">Sheep!$I$183:$K$190</definedName>
    <definedName name="i_mask_y">Parameters!$AI$40:$AJ$40</definedName>
    <definedName name="i_mask_y0">Parameters!$AI$40:$AJ$40</definedName>
    <definedName name="i_mask_y1">Parameters!$AI$40:$AJ$40</definedName>
    <definedName name="i_mask_y2">Parameters!$AI$40:$AJ$40</definedName>
    <definedName name="i_mask_y3">Parameters!$AI$40:$AJ$40</definedName>
    <definedName name="i_max_sup_selectivity" localSheetId="3">'Sup Feed'!$L$11</definedName>
    <definedName name="i_md_t" localSheetId="4">CropResidue!$J$235:$AM$235</definedName>
    <definedName name="i_min_grazing_limit">PastParameters!$K$42</definedName>
    <definedName name="i_mobsize_scalar_l0">Sheep!$R$49:$R$52</definedName>
    <definedName name="i_muscle_birth_y">Parameters!$AI$56:$AJ$56</definedName>
    <definedName name="i_muscle_propn_birth_c2">Parameters!$U$56:$AF$56</definedName>
    <definedName name="i_muscle_t" localSheetId="4">CropResidue!$J$233:$AM$233</definedName>
    <definedName name="i_muscle_target_c2">Parameters!$U$46:$AF$46</definedName>
    <definedName name="i_muscle_target_y">Parameters!$AI$46:$AJ$46</definedName>
    <definedName name="i_muscle_yatf_t" localSheetId="4">CropResidue!$J$266:$AM$266</definedName>
    <definedName name="i_n_pasture_stage">PastParameters!$I$47</definedName>
    <definedName name="i_n2o_gwp_factor" localSheetId="7">Emissions!$I$15</definedName>
    <definedName name="i_NCa" localSheetId="7">Emissions!$I$70</definedName>
    <definedName name="i_NCAG_t" localSheetId="7">Emissions!$W$70:$W$73</definedName>
    <definedName name="i_NCb" localSheetId="7">Emissions!$G$70</definedName>
    <definedName name="i_NCBG_t" localSheetId="7">Emissions!$Y$70:$Y$73</definedName>
    <definedName name="i_nlb_c2">Parameters!$U$58:$AF$58</definedName>
    <definedName name="i_nlb_y">Parameters!$AI$58:$AJ$58</definedName>
    <definedName name="i_offs_in_trial_t" localSheetId="4">CropResidue!$J$238:$AM$238</definedName>
    <definedName name="i_propn_baled_k" localSheetId="4">CropResidue!$K$55:$K$73</definedName>
    <definedName name="i_propn_conserved_k" localSheetId="4">CropResidue!$L$55:$L$73</definedName>
    <definedName name="i_propn_grain_harv_ks2" localSheetId="4">CropResidue!$H$140:$J$158</definedName>
    <definedName name="i_purity_dolomite" localSheetId="7">Emissions!$N$113</definedName>
    <definedName name="i_purity_limestone" localSheetId="7">Emissions!$N$112</definedName>
    <definedName name="i_r_expo_risk_coef" localSheetId="0">General!$R$23</definedName>
    <definedName name="i_rain_t" localSheetId="4">CropResidue!$J$290:$AM$290</definedName>
    <definedName name="i_Rbg" localSheetId="7">Emissions!$Q$70:$Q$88</definedName>
    <definedName name="i_RBG_t" localSheetId="7">Emissions!$U$70:$U$73</definedName>
    <definedName name="i_s5_len">Sheep!$K$197</definedName>
    <definedName name="i_s7_len">Sheep!$J$197</definedName>
    <definedName name="i_s9_len">Sheep!$J$265</definedName>
    <definedName name="i_sale_cost_hd_s7">Sheep!$AL$183:$AL$190</definedName>
    <definedName name="i_sale_cost_pc_s7">Sheep!$AM$183:$AM$190</definedName>
    <definedName name="i_sale_ffcfw_max" localSheetId="6">Sheep!$P$183:$P$190</definedName>
    <definedName name="i_sale_ffcfw_min" localSheetId="6">Sheep!$O$183:$O$190</definedName>
    <definedName name="i_salegrid_keys">Sheep!$H$183:$H$190</definedName>
    <definedName name="i_salep_discount_age_s7">Sheep!$N$183:$N$190</definedName>
    <definedName name="i_salep_dressp_adj_s6">Sheep!$J$196:$O$196</definedName>
    <definedName name="i_salep_dressp_adj_s7">Sheep!$W$183:$W$190</definedName>
    <definedName name="i_salep_months_priceadj_s7s9p4">Sheep!$J$268:$U$283</definedName>
    <definedName name="i_salep_percentile">Sheep!$I$180</definedName>
    <definedName name="i_salep_percentile_range_s4">Sheep!$Z$182:$AD$182</definedName>
    <definedName name="i_salep_percentile_scalar_s7s4">Sheep!$Z$183:$AD$190</definedName>
    <definedName name="i_salep_price_max_s7">Sheep!$Y$183:$Y$190</definedName>
    <definedName name="i_salep_price_type_s7">Sheep!$M$183:$M$190</definedName>
    <definedName name="i_salep_score_range_s8s6">Sheep!$J$194:$O$195</definedName>
    <definedName name="i_salep_score_scalar_s7s5s6">Sheep!$X$198:$AC$261</definedName>
    <definedName name="i_salep_weight_range_s7s5">Sheep!$I$198:$I$261</definedName>
    <definedName name="i_salep_weight_scalar_s7s5s6">Sheep!$Q$198:$V$261</definedName>
    <definedName name="i_scan_coeff_cycles">Sheep!$J$54</definedName>
    <definedName name="i_scan_coeff_l0s">Sheep!$J$49:$N$52</definedName>
    <definedName name="i_scan_powers">Sheep!$J$38:$N$38</definedName>
    <definedName name="i_scan_std_c2">Parameters!$U$57:$AF$57</definedName>
    <definedName name="i_scan_std_doj_c2">Parameters!$U$59:$AF$59</definedName>
    <definedName name="i_scan_std_doj_y">Parameters!$AI$59:$AJ$59</definedName>
    <definedName name="i_scan_std_y">Parameters!$AI$57:$AJ$57</definedName>
    <definedName name="i_sd_ebg_c2">Parameters!$U$66:$AF$66</definedName>
    <definedName name="i_sd_ebg_y">Parameters!$AI$66:$AJ$66</definedName>
    <definedName name="i_sfd_c2">Parameters!$U$53:$AF$53</definedName>
    <definedName name="i_sfd_y">Parameters!$AI$53:$AJ$53</definedName>
    <definedName name="i_sfw_c2">Parameters!$U$51:$AF$51</definedName>
    <definedName name="i_sfw_y">Parameters!$AI$51:$AJ$51</definedName>
    <definedName name="i_sim_yr_t" localSheetId="4">CropResidue!$J$218:$AM$218</definedName>
    <definedName name="i_sr_t" localSheetId="4">CropResidue!$J$220:$AM$220</definedName>
    <definedName name="i_srw" localSheetId="4">CropResidue!$J$227:$AM$227</definedName>
    <definedName name="i_srw_c2">Parameters!$U$44:$AF$44</definedName>
    <definedName name="i_srw_y">Parameters!$AI$44:$AJ$44</definedName>
    <definedName name="i_srwfat_c2">Parameters!$U$45:$AF$45</definedName>
    <definedName name="i_srwfat_y">Parameters!$AI$45:$AJ$45</definedName>
    <definedName name="i_stub_cat_cp_s1" localSheetId="4">CropResidue!$H$188:$Q$188</definedName>
    <definedName name="i_stub_cat_dmd_s1" localSheetId="4">CropResidue!$H$187:$Q$187</definedName>
    <definedName name="i_stub_cat_idx" localSheetId="4">CropResidue!$H$186:$Q$186</definedName>
    <definedName name="i_stub_me_eff_gainlose" localSheetId="4">CropResidue!$M$35</definedName>
    <definedName name="i_sup_intake_pt" localSheetId="4">CropResidue!$J$298:$AM$317</definedName>
    <definedName name="i_sup_s2_ks2" localSheetId="3">'Sup Feed'!$I$88:$L$107</definedName>
    <definedName name="i_sup_selectivity_included" localSheetId="3">'Sup Feed'!$J$11</definedName>
    <definedName name="i_supp_inc_k3" localSheetId="3">'Sup Feed'!$I$38:$AB$39</definedName>
    <definedName name="i_t_inc_s2kt" localSheetId="4">CropResidue!$J$327:$AM$383</definedName>
    <definedName name="i_tail_alpha" localSheetId="0">General!$U$23</definedName>
    <definedName name="i_tail_lambda" localSheetId="0">General!$U$24</definedName>
    <definedName name="i_temp_ave_t" localSheetId="4">CropResidue!$J$293:$AM$293</definedName>
    <definedName name="i_temp_max_t" localSheetId="4">CropResidue!$J$291:$AM$291</definedName>
    <definedName name="i_temp_min_t" localSheetId="4">CropResidue!$J$292:$AM$292</definedName>
    <definedName name="i_trial_biomass_use_t" localSheetId="4">CropResidue!$J$222:$AM$222</definedName>
    <definedName name="i_trial_crop_t" localSheetId="4">CropResidue!$J$223:$AM$223</definedName>
    <definedName name="i_trial_inc_t" localSheetId="4">CropResidue!$J$212:$AM$212</definedName>
    <definedName name="i_trial_yield_t" localSheetId="4">CropResidue!$J$225:$AM$225</definedName>
    <definedName name="i_utility_method" localSheetId="0">General!$H$20</definedName>
    <definedName name="i_variable_dep_hr_harv" localSheetId="10">'Mach General'!$B$3</definedName>
    <definedName name="i_variable_dep_hr_seeding" localSheetId="10">'Mach General'!$B$4</definedName>
    <definedName name="i_variable_dep_hr_spraying" localSheetId="10">'Mach General'!$B$5</definedName>
    <definedName name="i_variable_dep_hr_spreading" localSheetId="10">'Mach General'!$B$6</definedName>
    <definedName name="i_viscera_birth_y">Parameters!$AI$55:$AJ$55</definedName>
    <definedName name="i_viscera_propn_birth_c2">Parameters!$U$55:$AF$55</definedName>
    <definedName name="i_viscera_t" localSheetId="4">CropResidue!$J$232:$AM$232</definedName>
    <definedName name="i_viscera_yatf_t" localSheetId="4">CropResidue!$J$265:$AM$265</definedName>
    <definedName name="i_wool_cost_kg">Sheep!$K$157</definedName>
    <definedName name="i_wool_cost_pc">Sheep!$L$157</definedName>
    <definedName name="i_wool_genes_c2">Parameters!$U$48:$AF$48</definedName>
    <definedName name="i_wool_genes_y">Parameters!$AI$48:$AJ$48</definedName>
    <definedName name="i_woolp_component_mer_fd_w3">Sheep!$J$128:$O$128</definedName>
    <definedName name="i_woolp_component_mer_propn_w3">Sheep!$J$127:$O$127</definedName>
    <definedName name="i_woolp_component_price_w4w3">Sheep!$Y$96:$AD$113</definedName>
    <definedName name="i_woolp_component_xb_fd_w3">Sheep!$J$133:$O$133</definedName>
    <definedName name="i_woolp_component_xb_propn_w3">Sheep!$J$132:$O$132</definedName>
    <definedName name="i_woolp_cvh_adj_w4w8">Sheep!$U$96:$V$113</definedName>
    <definedName name="i_woolp_cvh_range_w8">Sheep!$U$95:$V$95</definedName>
    <definedName name="i_woolp_fd_range_w4">Sheep!$H$96:$H$113</definedName>
    <definedName name="i_woolp_fd_std">Sheep!$I$115</definedName>
    <definedName name="i_woolp_fdprem_percentile">Sheep!$I$118</definedName>
    <definedName name="i_woolp_fdprem_range_w5">Sheep!$AF$95:$AJ$95</definedName>
    <definedName name="i_woolp_fdprem_w4w5">Sheep!$AF$96:$AJ$113</definedName>
    <definedName name="i_woolp_mpg_percentile">Sheep!$I$117</definedName>
    <definedName name="i_woolp_mpg_range_w5">Sheep!$I$95:$M$95</definedName>
    <definedName name="i_woolp_mpg_w5">Sheep!$I$116:$M$116</definedName>
    <definedName name="i_woolp_ph_adj_w4w7">Sheep!$Q$96:$T$113</definedName>
    <definedName name="i_woolp_ph_range_w7">Sheep!$Q$95:$T$95</definedName>
    <definedName name="i_woolp_romaine_adj_w4w9">Sheep!$W$96:$X$113</definedName>
    <definedName name="i_woolp_romaine_range_w9">Sheep!$W$95:$X$95</definedName>
    <definedName name="i_woolp_sl">Sheep!$R$138:$U$142</definedName>
    <definedName name="i_woolp_sl_range">Sheep!$R$145</definedName>
    <definedName name="i_woolp_sl_threshold">Sheep!$R$144</definedName>
    <definedName name="i_woolp_ss">Sheep!$I$138:$K$142</definedName>
    <definedName name="i_woolp_ss_pd0">Sheep!$I$144</definedName>
    <definedName name="i_woolp_vm_adj_w4w6">Sheep!$N$96:$P$113</definedName>
    <definedName name="i_woolp_vm_range_w6">Sheep!$N$95:$P$95</definedName>
    <definedName name="i_working_capital_constraint_included" localSheetId="2">Finance!$B$19</definedName>
    <definedName name="i_ws_t" localSheetId="4">CropResidue!$J$289:$AM$289</definedName>
    <definedName name="i_x_pos">Parameters!$M$640</definedName>
    <definedName name="i_y_idx_dams">Parameters!$AI$36:$AJ$36</definedName>
    <definedName name="i_y_idx_offs">Parameters!$AI$36:$AJ$36</definedName>
    <definedName name="i_y_idx_sire">Parameters!$AI$36:$AJ$36</definedName>
    <definedName name="i_y_pos">Parameters!$AI$41</definedName>
    <definedName name="i_Z" localSheetId="7">Emissions!$N$70</definedName>
    <definedName name="ia_h8_h2">Sheep!$I$344:$I$370</definedName>
    <definedName name="ia_h8_h3">Sheep!$I$375:$I$377</definedName>
    <definedName name="ia_h8_h4">Sheep!$I$373</definedName>
    <definedName name="ia_h8_h6">Sheep!$T$332:$AG$332</definedName>
    <definedName name="ia_s8_s7">Sheep!$L$183:$L$190</definedName>
    <definedName name="insurance_date">'Mach General'!$B$35</definedName>
    <definedName name="lambing_date_t" localSheetId="4">CropResidue!$J$283:$AM$283</definedName>
    <definedName name="manager_cost">Price!$B$74</definedName>
    <definedName name="minroe">Finance!$B$9</definedName>
    <definedName name="minroe_dsp">Finance!$B$10</definedName>
    <definedName name="number_of_harvesters" localSheetId="11">'Mach 1'!$B$73</definedName>
    <definedName name="number_of_harvesters" localSheetId="12">'Mach 2'!$B$73</definedName>
    <definedName name="number_of_harvesters" localSheetId="13">'Mach 3'!$B$72</definedName>
    <definedName name="number_of_seeders" localSheetId="11">'Mach 1'!$B$30</definedName>
    <definedName name="number_of_seeders" localSheetId="12">'Mach 2'!$B$29</definedName>
    <definedName name="number_of_seeders" localSheetId="13">'Mach 3'!$B$29</definedName>
    <definedName name="opportunity_cost_capital">Finance!$B$6</definedName>
    <definedName name="permanent_cost">Price!$B$76</definedName>
    <definedName name="permanent_ls_leave">Price!$B$82</definedName>
    <definedName name="permanent_super">Price!$B$78</definedName>
    <definedName name="permanent_workers_comp">Price!$B$80</definedName>
    <definedName name="prejoin_to_lamb_offset_approx">Sheep!$I$45</definedName>
    <definedName name="_xlnm.Print_Area" localSheetId="8">Parameters!$E$72:$P$908</definedName>
    <definedName name="quality_deterioration" localSheetId="4">CropResidue!$I$162:$I$180</definedName>
    <definedName name="quantity_decay" localSheetId="4">CropResidue!$H$162:$H$180</definedName>
    <definedName name="seeding_rate_base" localSheetId="11">'Mach 1'!$B$32</definedName>
    <definedName name="seeding_rate_base" localSheetId="12">'Mach 2'!$B$32</definedName>
    <definedName name="seeding_rate_base" localSheetId="13">'Mach 3'!$B$31</definedName>
    <definedName name="seeding_rate_crop_adj" localSheetId="11">'Mach 1'!$A$38:$B$70</definedName>
    <definedName name="seeding_rate_crop_adj" localSheetId="12">'Mach 2'!$A$38:$B$70</definedName>
    <definedName name="seeding_rate_crop_adj" localSheetId="13">'Mach 3'!$A$37:$B$69</definedName>
    <definedName name="shear_date_t" localSheetId="4">CropResidue!$J$285:$AM$285</definedName>
    <definedName name="sprayer_fuel_consumption" localSheetId="11">'Mach 1'!$B$126</definedName>
    <definedName name="sprayer_fuel_consumption" localSheetId="12">'Mach 2'!$B$126</definedName>
    <definedName name="sprayer_fuel_consumption" localSheetId="13">'Mach 3'!$B$125</definedName>
    <definedName name="sprayer_maint" localSheetId="11">'Mach 1'!$B$128</definedName>
    <definedName name="sprayer_maint" localSheetId="12">'Mach 2'!$B$128</definedName>
    <definedName name="sprayer_maint" localSheetId="13">'Mach 3'!$B$127</definedName>
    <definedName name="spraying_rate" localSheetId="11">'Mach 1'!$B$124</definedName>
    <definedName name="spraying_rate" localSheetId="12">'Mach 2'!$B$124</definedName>
    <definedName name="spraying_rate" localSheetId="13">'Mach 3'!$B$123</definedName>
    <definedName name="spreader_cap" localSheetId="11">'Mach 1'!$B$140</definedName>
    <definedName name="spreader_cap" localSheetId="12">'Mach 2'!$B$140</definedName>
    <definedName name="spreader_cap" localSheetId="13">'Mach 3'!$B$139</definedName>
    <definedName name="spreader_eff" localSheetId="11">'Mach 1'!$B$146</definedName>
    <definedName name="spreader_eff" localSheetId="12">'Mach 2'!$B$146</definedName>
    <definedName name="spreader_eff" localSheetId="13">'Mach 3'!$B$145</definedName>
    <definedName name="spreader_fuel" localSheetId="11">'Mach 1'!$B$131</definedName>
    <definedName name="spreader_fuel" localSheetId="12">'Mach 2'!$B$131</definedName>
    <definedName name="spreader_fuel" localSheetId="13">'Mach 3'!$B$130</definedName>
    <definedName name="spreader_maint" localSheetId="11">'Mach 1'!$B$148</definedName>
    <definedName name="spreader_maint" localSheetId="12">'Mach 2'!$B$148</definedName>
    <definedName name="spreader_maint" localSheetId="13">'Mach 3'!$B$147</definedName>
    <definedName name="spreader_speed" localSheetId="11">'Mach 1'!$B$144</definedName>
    <definedName name="spreader_speed" localSheetId="12">'Mach 2'!$B$144</definedName>
    <definedName name="spreader_speed" localSheetId="13">'Mach 3'!$B$143</definedName>
    <definedName name="spreader_width" localSheetId="11">'Mach 1'!$B$133:$C$138</definedName>
    <definedName name="spreader_width" localSheetId="12">'Mach 2'!$B$133:$C$138</definedName>
    <definedName name="spreader_width" localSheetId="13">'Mach 3'!$B$132:$C$137</definedName>
    <definedName name="start_trial_t" localSheetId="4">CropResidue!$J$215:$AM$215</definedName>
    <definedName name="stubble_fuel_consumption" localSheetId="11">'Mach 1'!$B$151</definedName>
    <definedName name="stubble_fuel_consumption" localSheetId="12">'Mach 2'!$B$151</definedName>
    <definedName name="stubble_fuel_consumption" localSheetId="13">'Mach 3'!$B$150</definedName>
    <definedName name="stubble_maint" localSheetId="11">'Mach 1'!$B$153</definedName>
    <definedName name="stubble_maint" localSheetId="12">'Mach 2'!$B$153</definedName>
    <definedName name="stubble_maint" localSheetId="13">'Mach 3'!$B$152</definedName>
    <definedName name="sup_cartage">Price!$B$39</definedName>
    <definedName name="sup_feed" localSheetId="11">'Mach 1'!$A$156:$C$175</definedName>
    <definedName name="sup_feed" localSheetId="12">'Mach 2'!$A$156:$C$175</definedName>
    <definedName name="sup_feed" localSheetId="13">'Mach 3'!$A$155:$C$174</definedName>
    <definedName name="sup_md_vol">'Sup Feed'!$I$53:$AB$58</definedName>
    <definedName name="sup_transaction">Price!$B$41</definedName>
    <definedName name="tillage_maint" localSheetId="11">'Mach 1'!$B$36</definedName>
    <definedName name="tillage_maint" localSheetId="12">'Mach 2'!$B$36</definedName>
    <definedName name="tillage_maint" localSheetId="13">'Mach 3'!$B$35</definedName>
    <definedName name="time_fill_spreader" localSheetId="11">'Mach 1'!$B$142</definedName>
    <definedName name="time_fill_spreader" localSheetId="12">'Mach 2'!$B$142</definedName>
    <definedName name="time_fill_spreader" localSheetId="13">'Mach 3'!$B$141</definedName>
    <definedName name="trampling" localSheetId="4">CropResidue!$J$162:$J$180</definedName>
    <definedName name="trial_length_t" localSheetId="4">CropResidue!$J$217:$AM$217</definedName>
    <definedName name="truck_chaser_rm" localSheetId="11">'Mach 1'!$B$77</definedName>
    <definedName name="truck_chaser_rm" localSheetId="12">'Mach 2'!$B$77</definedName>
    <definedName name="truck_chaser_rm" localSheetId="13">'Mach 3'!$B$76</definedName>
    <definedName name="w_foetus_start_t" localSheetId="4">CropResidue!$J$234:$AM$234</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80" i="24" l="1"/>
  <c r="AB375" i="24"/>
  <c r="AA375" i="24"/>
  <c r="Z375" i="24"/>
  <c r="Y375" i="24"/>
  <c r="X375" i="24"/>
  <c r="W375" i="24"/>
  <c r="AE380" i="24"/>
  <c r="AD380" i="24"/>
  <c r="AC380" i="24"/>
  <c r="V380" i="24"/>
  <c r="U380" i="24"/>
  <c r="W921" i="24"/>
  <c r="Y921" i="24" s="1"/>
  <c r="AA921" i="24" s="1"/>
  <c r="AB921" i="24" s="1"/>
  <c r="AC921" i="24" s="1"/>
  <c r="AD921" i="24" s="1"/>
  <c r="AE921" i="24" s="1"/>
  <c r="V921" i="24"/>
  <c r="X921" i="24" s="1"/>
  <c r="Z921" i="24" s="1"/>
  <c r="W928" i="24"/>
  <c r="Y928" i="24" s="1"/>
  <c r="AA928" i="24" s="1"/>
  <c r="AB928" i="24" s="1"/>
  <c r="AC928" i="24" s="1"/>
  <c r="AD928" i="24" s="1"/>
  <c r="AE928" i="24" s="1"/>
  <c r="V928" i="24"/>
  <c r="X928" i="24" s="1"/>
  <c r="Z928" i="24" s="1"/>
  <c r="W932" i="24"/>
  <c r="Y932" i="24" s="1"/>
  <c r="AA932" i="24" s="1"/>
  <c r="AB932" i="24" s="1"/>
  <c r="AC932" i="24" s="1"/>
  <c r="AD932" i="24" s="1"/>
  <c r="AE932" i="24" s="1"/>
  <c r="V932" i="24"/>
  <c r="X932" i="24" s="1"/>
  <c r="Z932" i="24" s="1"/>
  <c r="W936" i="24"/>
  <c r="Y936" i="24" s="1"/>
  <c r="AA936" i="24" s="1"/>
  <c r="AB936" i="24" s="1"/>
  <c r="AC936" i="24" s="1"/>
  <c r="AD936" i="24" s="1"/>
  <c r="AE936" i="24" s="1"/>
  <c r="V936" i="24"/>
  <c r="X936" i="24" s="1"/>
  <c r="Z936" i="24" s="1"/>
  <c r="W956" i="24"/>
  <c r="Y956" i="24" s="1"/>
  <c r="AA956" i="24" s="1"/>
  <c r="AB956" i="24" s="1"/>
  <c r="AC956" i="24" s="1"/>
  <c r="AD956" i="24" s="1"/>
  <c r="AE956" i="24" s="1"/>
  <c r="V956" i="24"/>
  <c r="X956" i="24" s="1"/>
  <c r="Z956" i="24" s="1"/>
  <c r="V1670" i="24"/>
  <c r="W1670" i="24" s="1"/>
  <c r="X1670" i="24" s="1"/>
  <c r="Y1670" i="24" s="1"/>
  <c r="Z1670" i="24" s="1"/>
  <c r="AA1670" i="24" s="1"/>
  <c r="AB1670" i="24" s="1"/>
  <c r="AC1670" i="24" s="1"/>
  <c r="AD1670" i="24" s="1"/>
  <c r="AE1670" i="24" s="1"/>
  <c r="C248" i="24"/>
  <c r="C52" i="24"/>
  <c r="X218" i="24"/>
  <c r="W218" i="24"/>
  <c r="V218" i="24"/>
  <c r="U218" i="24"/>
  <c r="AA218" i="24"/>
  <c r="C218" i="24"/>
  <c r="Y218" i="24" l="1"/>
  <c r="Z218" i="24"/>
  <c r="AE218" i="24" l="1"/>
  <c r="AD218" i="24"/>
  <c r="AC218" i="24"/>
  <c r="AB218" i="24"/>
  <c r="AE126" i="24" l="1"/>
  <c r="AD126" i="24"/>
  <c r="AC126" i="24"/>
  <c r="AB126" i="24"/>
  <c r="AA126" i="24"/>
  <c r="Z126" i="24"/>
  <c r="Y126" i="24"/>
  <c r="X126" i="24"/>
  <c r="W126" i="24"/>
  <c r="V126" i="24"/>
  <c r="AE125" i="24"/>
  <c r="AD125" i="24"/>
  <c r="AC125" i="24"/>
  <c r="AB125" i="24"/>
  <c r="AA125" i="24"/>
  <c r="Z125" i="24"/>
  <c r="Y125" i="24"/>
  <c r="X125" i="24"/>
  <c r="W125" i="24"/>
  <c r="V125" i="24"/>
  <c r="U126" i="24"/>
  <c r="U125" i="24"/>
  <c r="C128" i="24"/>
  <c r="C127" i="24"/>
  <c r="C126" i="24"/>
  <c r="C125" i="24"/>
  <c r="AB2106" i="24" l="1"/>
  <c r="AB2099" i="24"/>
  <c r="AB2098" i="24"/>
  <c r="AB2097" i="24"/>
  <c r="AB2096" i="24"/>
  <c r="AB2093" i="24"/>
  <c r="AB2092" i="24"/>
  <c r="AB1880" i="24"/>
  <c r="AB1879" i="24"/>
  <c r="AB1878" i="24"/>
  <c r="AB1877" i="24"/>
  <c r="AB1876" i="24"/>
  <c r="AB1875" i="24"/>
  <c r="AB1874" i="24"/>
  <c r="AB1873" i="24"/>
  <c r="AB1872" i="24"/>
  <c r="AB1871" i="24"/>
  <c r="AB1870" i="24"/>
  <c r="AB1869" i="24"/>
  <c r="AB1868" i="24"/>
  <c r="AB1867" i="24"/>
  <c r="AB1745" i="24"/>
  <c r="AB1736" i="24"/>
  <c r="AB1735" i="24"/>
  <c r="AB1734" i="24"/>
  <c r="AB1733" i="24"/>
  <c r="AB1732" i="24"/>
  <c r="AB1731" i="24"/>
  <c r="AB1316" i="24"/>
  <c r="AB1315" i="24"/>
  <c r="AB1314" i="24"/>
  <c r="AB1309" i="24"/>
  <c r="AB1312" i="24" s="1"/>
  <c r="AB1308" i="24"/>
  <c r="AB1305" i="24"/>
  <c r="AB1304" i="24"/>
  <c r="AB1303" i="24"/>
  <c r="AB1302" i="24" s="1"/>
  <c r="AB1294" i="24"/>
  <c r="AB694" i="24"/>
  <c r="AB1715" i="24"/>
  <c r="AB1714" i="24"/>
  <c r="AB1713" i="24"/>
  <c r="AB1712" i="24"/>
  <c r="AB1711" i="24"/>
  <c r="AB1710" i="24"/>
  <c r="AB1709" i="24"/>
  <c r="AB1708" i="24"/>
  <c r="AB1707" i="24"/>
  <c r="AB1706" i="24"/>
  <c r="AB1705" i="24"/>
  <c r="AB1704" i="24"/>
  <c r="AB1703" i="24"/>
  <c r="AB1702" i="24"/>
  <c r="AB1701" i="24"/>
  <c r="AB1691" i="24"/>
  <c r="AB1685" i="24"/>
  <c r="AB1673" i="24"/>
  <c r="U1673" i="24" s="1"/>
  <c r="AB1672" i="24"/>
  <c r="U1672" i="24" s="1"/>
  <c r="AB1671" i="24"/>
  <c r="U1671" i="24" s="1"/>
  <c r="V1657" i="24"/>
  <c r="W1657" i="24" s="1"/>
  <c r="X1657" i="24" s="1"/>
  <c r="Y1657" i="24" s="1"/>
  <c r="Z1657" i="24" s="1"/>
  <c r="AA1657" i="24" s="1"/>
  <c r="AB1657" i="24" s="1"/>
  <c r="AC1657" i="24" s="1"/>
  <c r="AD1657" i="24" s="1"/>
  <c r="AE1657" i="24" s="1"/>
  <c r="V1656" i="24"/>
  <c r="W1656" i="24" s="1"/>
  <c r="X1656" i="24" s="1"/>
  <c r="Y1656" i="24" s="1"/>
  <c r="Z1656" i="24" s="1"/>
  <c r="AA1656" i="24" s="1"/>
  <c r="AB1656" i="24" s="1"/>
  <c r="AC1656" i="24" s="1"/>
  <c r="AD1656" i="24" s="1"/>
  <c r="AE1656" i="24" s="1"/>
  <c r="U923" i="24"/>
  <c r="AB931" i="24"/>
  <c r="AB930" i="24"/>
  <c r="AB924" i="24"/>
  <c r="U924" i="24" s="1"/>
  <c r="AB922" i="24"/>
  <c r="U922" i="24" s="1"/>
  <c r="AB639" i="24"/>
  <c r="AE639" i="24" s="1"/>
  <c r="AB638" i="24"/>
  <c r="AC638" i="24" s="1"/>
  <c r="AB637" i="24"/>
  <c r="U637" i="24" s="1"/>
  <c r="AB636" i="24"/>
  <c r="AE636" i="24" s="1"/>
  <c r="AB635" i="24"/>
  <c r="AD635" i="24" s="1"/>
  <c r="AB634" i="24"/>
  <c r="U634" i="24" s="1"/>
  <c r="AB633" i="24"/>
  <c r="AE633" i="24" s="1"/>
  <c r="AB632" i="24"/>
  <c r="AE632" i="24" s="1"/>
  <c r="U1685" i="24" l="1"/>
  <c r="AB1313" i="24"/>
  <c r="AB1311" i="24"/>
  <c r="AB1310" i="24" s="1"/>
  <c r="U635" i="24"/>
  <c r="X635" i="24" s="1"/>
  <c r="U633" i="24"/>
  <c r="AA633" i="24" s="1"/>
  <c r="U638" i="24"/>
  <c r="AA638" i="24" s="1"/>
  <c r="AD632" i="24"/>
  <c r="AD633" i="24"/>
  <c r="AE635" i="24"/>
  <c r="U636" i="24"/>
  <c r="AA636" i="24" s="1"/>
  <c r="U632" i="24"/>
  <c r="AC636" i="24"/>
  <c r="AD636" i="24"/>
  <c r="V634" i="24"/>
  <c r="X634" i="24"/>
  <c r="Z634" i="24"/>
  <c r="W634" i="24"/>
  <c r="AA634" i="24"/>
  <c r="Y634" i="24"/>
  <c r="Z637" i="24"/>
  <c r="W637" i="24"/>
  <c r="AA637" i="24"/>
  <c r="Y637" i="24"/>
  <c r="X637" i="24"/>
  <c r="V637" i="24"/>
  <c r="AC637" i="24"/>
  <c r="AE637" i="24"/>
  <c r="AD638" i="24"/>
  <c r="AE634" i="24"/>
  <c r="AE638" i="24"/>
  <c r="AC635" i="24"/>
  <c r="U639" i="24"/>
  <c r="AD634" i="24"/>
  <c r="AC633" i="24"/>
  <c r="AC634" i="24"/>
  <c r="AD637" i="24"/>
  <c r="AC639" i="24"/>
  <c r="AD639" i="24"/>
  <c r="Y635" i="24" l="1"/>
  <c r="W635" i="24"/>
  <c r="AA635" i="24"/>
  <c r="Z635" i="24"/>
  <c r="V635" i="24"/>
  <c r="Z633" i="24"/>
  <c r="V633" i="24"/>
  <c r="Y633" i="24"/>
  <c r="X633" i="24"/>
  <c r="W633" i="24"/>
  <c r="Z638" i="24"/>
  <c r="X638" i="24"/>
  <c r="W638" i="24"/>
  <c r="Y638" i="24"/>
  <c r="V638" i="24"/>
  <c r="AA632" i="24"/>
  <c r="Y632" i="24"/>
  <c r="X632" i="24"/>
  <c r="Z632" i="24"/>
  <c r="W636" i="24"/>
  <c r="V636" i="24"/>
  <c r="Z636" i="24"/>
  <c r="X636" i="24"/>
  <c r="Y636" i="24"/>
  <c r="AA639" i="24"/>
  <c r="Z639" i="24"/>
  <c r="Y639" i="24"/>
  <c r="X639" i="24"/>
  <c r="W639" i="24"/>
  <c r="V639" i="24"/>
  <c r="AA1316" i="24" l="1"/>
  <c r="Z1316" i="24"/>
  <c r="AA1315" i="24"/>
  <c r="Z1315" i="24"/>
  <c r="AA1314" i="24"/>
  <c r="Z1314" i="24"/>
  <c r="AA1309" i="24"/>
  <c r="AA1313" i="24" s="1"/>
  <c r="Z1309" i="24"/>
  <c r="Z1311" i="24" s="1"/>
  <c r="Z1310" i="24" s="1"/>
  <c r="AA1305" i="24"/>
  <c r="Z1305" i="24"/>
  <c r="AA1304" i="24"/>
  <c r="Z1304" i="24"/>
  <c r="AA1303" i="24"/>
  <c r="AA1302" i="24" s="1"/>
  <c r="Z1303" i="24"/>
  <c r="Z1302" i="24" s="1"/>
  <c r="AA1272" i="24"/>
  <c r="Z1272" i="24"/>
  <c r="AA1271" i="24"/>
  <c r="AA1270" i="24" s="1"/>
  <c r="Z1271" i="24"/>
  <c r="Z1270" i="24" s="1"/>
  <c r="AA1264" i="24"/>
  <c r="Z1264" i="24"/>
  <c r="AA1263" i="24"/>
  <c r="AA1262" i="24" s="1"/>
  <c r="Z1263" i="24"/>
  <c r="Z1262" i="24" s="1"/>
  <c r="AA1159" i="24"/>
  <c r="Z1159" i="24"/>
  <c r="AA1073" i="24"/>
  <c r="Z1073" i="24"/>
  <c r="AA1072" i="24"/>
  <c r="Z1072" i="24"/>
  <c r="AA1071" i="24"/>
  <c r="Z1071" i="24"/>
  <c r="AA997" i="24"/>
  <c r="Z997" i="24"/>
  <c r="AA996" i="24"/>
  <c r="Z996" i="24"/>
  <c r="AA995" i="24"/>
  <c r="Z995" i="24"/>
  <c r="AA892" i="24"/>
  <c r="AA809" i="24" s="1"/>
  <c r="Z892" i="24"/>
  <c r="Z809" i="24" s="1"/>
  <c r="AA891" i="24"/>
  <c r="AA807" i="24" s="1"/>
  <c r="Z891" i="24"/>
  <c r="Z807" i="24" s="1"/>
  <c r="AA890" i="24"/>
  <c r="AA804" i="24" s="1"/>
  <c r="Z890" i="24"/>
  <c r="Z804" i="24" s="1"/>
  <c r="AA888" i="24"/>
  <c r="Z888" i="24"/>
  <c r="AA887" i="24"/>
  <c r="Z887" i="24"/>
  <c r="AA886" i="24"/>
  <c r="Z886" i="24"/>
  <c r="AA872" i="24"/>
  <c r="Z872" i="24"/>
  <c r="AA852" i="24"/>
  <c r="Z852" i="24"/>
  <c r="AA851" i="24"/>
  <c r="Z851" i="24"/>
  <c r="AA848" i="24"/>
  <c r="Z848" i="24"/>
  <c r="AA847" i="24"/>
  <c r="Z847" i="24"/>
  <c r="AA836" i="24"/>
  <c r="Z836" i="24"/>
  <c r="AA835" i="24"/>
  <c r="Z835" i="24"/>
  <c r="AA834" i="24"/>
  <c r="Z834" i="24"/>
  <c r="AA696" i="24"/>
  <c r="Z696" i="24"/>
  <c r="AA676" i="24"/>
  <c r="Z676" i="24"/>
  <c r="AA675" i="24"/>
  <c r="Z675" i="24"/>
  <c r="AA674" i="24"/>
  <c r="Z674" i="24"/>
  <c r="AA673" i="24"/>
  <c r="Z673" i="24"/>
  <c r="AA672" i="24"/>
  <c r="Z672" i="24"/>
  <c r="AA671" i="24"/>
  <c r="Z671" i="24"/>
  <c r="AA557" i="24"/>
  <c r="AA558" i="24" s="1"/>
  <c r="AA559" i="24" s="1"/>
  <c r="Z557" i="24"/>
  <c r="Z558" i="24" s="1"/>
  <c r="Z559" i="24" s="1"/>
  <c r="AA549" i="24"/>
  <c r="AA550" i="24" s="1"/>
  <c r="AA551" i="24" s="1"/>
  <c r="Z549" i="24"/>
  <c r="Z550" i="24" s="1"/>
  <c r="Z551" i="24" s="1"/>
  <c r="AA453" i="24"/>
  <c r="AA454" i="24" s="1"/>
  <c r="AA455" i="24" s="1"/>
  <c r="Z453" i="24"/>
  <c r="Z454" i="24" s="1"/>
  <c r="Z455" i="24" s="1"/>
  <c r="AA442" i="24"/>
  <c r="Z442" i="24"/>
  <c r="AA441" i="24"/>
  <c r="Z441" i="24"/>
  <c r="AA440" i="24"/>
  <c r="Z440" i="24"/>
  <c r="AA439" i="24"/>
  <c r="Z439" i="24"/>
  <c r="AA438" i="24"/>
  <c r="Z438" i="24"/>
  <c r="AA437" i="24"/>
  <c r="Z437" i="24"/>
  <c r="AA436" i="24"/>
  <c r="Z436" i="24"/>
  <c r="AA435" i="24"/>
  <c r="Z435" i="24"/>
  <c r="AA434" i="24"/>
  <c r="Z434" i="24"/>
  <c r="AA433" i="24"/>
  <c r="Z433" i="24"/>
  <c r="AA432" i="24"/>
  <c r="Z432" i="24"/>
  <c r="AA423" i="24"/>
  <c r="Z423" i="24"/>
  <c r="AA422" i="24"/>
  <c r="Z422" i="24"/>
  <c r="AA416" i="24"/>
  <c r="Z416" i="24"/>
  <c r="AA413" i="24"/>
  <c r="Z413" i="24"/>
  <c r="AA410" i="24"/>
  <c r="Z410" i="24"/>
  <c r="AA409" i="24"/>
  <c r="Z409" i="24"/>
  <c r="AA408" i="24"/>
  <c r="Z408" i="24"/>
  <c r="AA407" i="24"/>
  <c r="Z407" i="24"/>
  <c r="AA406" i="24"/>
  <c r="Z406" i="24"/>
  <c r="AA402" i="24"/>
  <c r="Z402" i="24"/>
  <c r="AA401" i="24"/>
  <c r="Z401" i="24"/>
  <c r="AA400" i="24"/>
  <c r="Z400" i="24"/>
  <c r="AA399" i="24"/>
  <c r="Z399" i="24"/>
  <c r="AA398" i="24"/>
  <c r="Z398" i="24"/>
  <c r="AA397" i="24"/>
  <c r="Z397" i="24"/>
  <c r="AA396" i="24"/>
  <c r="Z396" i="24"/>
  <c r="AA395" i="24"/>
  <c r="Z395" i="24"/>
  <c r="AA394" i="24"/>
  <c r="Z394" i="24"/>
  <c r="AA393" i="24"/>
  <c r="Z393" i="24"/>
  <c r="AA392" i="24"/>
  <c r="Z392" i="24"/>
  <c r="AA391" i="24"/>
  <c r="Z391" i="24"/>
  <c r="AA390" i="24"/>
  <c r="Z390" i="24"/>
  <c r="AA389" i="24"/>
  <c r="Z389" i="24"/>
  <c r="AA388" i="24"/>
  <c r="Z388" i="24"/>
  <c r="AA387" i="24"/>
  <c r="Z387" i="24"/>
  <c r="AA386" i="24"/>
  <c r="Z386" i="24"/>
  <c r="AA385" i="24"/>
  <c r="Z385" i="24"/>
  <c r="AA384" i="24"/>
  <c r="Z384" i="24"/>
  <c r="AA382" i="24"/>
  <c r="Z382" i="24"/>
  <c r="AA379" i="24"/>
  <c r="Z379" i="24"/>
  <c r="AA378" i="24"/>
  <c r="Z378" i="24"/>
  <c r="AA377" i="24"/>
  <c r="Z377" i="24"/>
  <c r="AA376" i="24"/>
  <c r="Z376" i="24"/>
  <c r="AA374" i="24"/>
  <c r="Z374" i="24"/>
  <c r="AA371" i="24"/>
  <c r="Z371" i="24"/>
  <c r="AA370" i="24"/>
  <c r="Z370" i="24"/>
  <c r="AA367" i="24"/>
  <c r="Z367" i="24"/>
  <c r="AA366" i="24"/>
  <c r="Z366" i="24"/>
  <c r="AA365" i="24"/>
  <c r="Z365" i="24"/>
  <c r="AA362" i="24"/>
  <c r="Z362" i="24"/>
  <c r="AA361" i="24"/>
  <c r="Z361" i="24"/>
  <c r="AA360" i="24"/>
  <c r="Z360" i="24"/>
  <c r="AA359" i="24"/>
  <c r="Z359" i="24"/>
  <c r="AA358" i="24"/>
  <c r="Z358" i="24"/>
  <c r="AA357" i="24"/>
  <c r="Z357" i="24"/>
  <c r="AA356" i="24"/>
  <c r="Z356" i="24"/>
  <c r="AA355" i="24"/>
  <c r="Z355" i="24"/>
  <c r="AA354" i="24"/>
  <c r="Z354" i="24"/>
  <c r="AA353" i="24"/>
  <c r="Z353" i="24"/>
  <c r="AA352" i="24"/>
  <c r="Z352" i="24"/>
  <c r="AA351" i="24"/>
  <c r="Z351" i="24"/>
  <c r="AA350" i="24"/>
  <c r="Z350" i="24"/>
  <c r="AA349" i="24"/>
  <c r="Z349" i="24"/>
  <c r="AA348" i="24"/>
  <c r="Z348" i="24"/>
  <c r="AA347" i="24"/>
  <c r="Z347" i="24"/>
  <c r="AA341" i="24"/>
  <c r="Z341" i="24"/>
  <c r="AA340" i="24"/>
  <c r="Z340" i="24"/>
  <c r="AA339" i="24"/>
  <c r="Z339" i="24"/>
  <c r="AA335" i="24"/>
  <c r="Z335" i="24"/>
  <c r="AA334" i="24"/>
  <c r="Z334" i="24"/>
  <c r="AA332" i="24"/>
  <c r="Z332" i="24"/>
  <c r="AA328" i="24"/>
  <c r="Z328" i="24"/>
  <c r="AA327" i="24"/>
  <c r="Z327" i="24"/>
  <c r="AA326" i="24"/>
  <c r="Z326" i="24"/>
  <c r="AA325" i="24"/>
  <c r="Z325" i="24"/>
  <c r="AA323" i="24"/>
  <c r="Z323" i="24"/>
  <c r="AA322" i="24"/>
  <c r="Z322" i="24"/>
  <c r="AA320" i="24"/>
  <c r="Z320" i="24"/>
  <c r="AA319" i="24"/>
  <c r="Z319" i="24"/>
  <c r="AA318" i="24"/>
  <c r="Z318" i="24"/>
  <c r="AA316" i="24"/>
  <c r="Z316" i="24"/>
  <c r="AA315" i="24"/>
  <c r="Z315" i="24"/>
  <c r="AA314" i="24"/>
  <c r="Z314" i="24"/>
  <c r="AA313" i="24"/>
  <c r="Z313" i="24"/>
  <c r="AA312" i="24"/>
  <c r="Z312" i="24"/>
  <c r="AA311" i="24"/>
  <c r="Z311" i="24"/>
  <c r="AA310" i="24"/>
  <c r="Z310" i="24"/>
  <c r="AA309" i="24"/>
  <c r="Z309" i="24"/>
  <c r="AA308" i="24"/>
  <c r="Z308" i="24"/>
  <c r="AA307" i="24"/>
  <c r="Z307" i="24"/>
  <c r="AA306" i="24"/>
  <c r="Z306" i="24"/>
  <c r="AA305" i="24"/>
  <c r="Z305" i="24"/>
  <c r="AA304" i="24"/>
  <c r="Z304" i="24"/>
  <c r="AA303" i="24"/>
  <c r="Z303" i="24"/>
  <c r="AA298" i="24"/>
  <c r="Z298" i="24"/>
  <c r="AA297" i="24"/>
  <c r="Z297" i="24"/>
  <c r="AA296" i="24"/>
  <c r="Z296" i="24"/>
  <c r="AA295" i="24"/>
  <c r="Z295" i="24"/>
  <c r="AA294" i="24"/>
  <c r="Z294" i="24"/>
  <c r="AA293" i="24"/>
  <c r="Z293" i="24"/>
  <c r="AA292" i="24"/>
  <c r="Z292" i="24"/>
  <c r="AA289" i="24"/>
  <c r="Z289" i="24"/>
  <c r="AA288" i="24"/>
  <c r="Z288" i="24"/>
  <c r="AA287" i="24"/>
  <c r="Z287" i="24"/>
  <c r="AA286" i="24"/>
  <c r="Z286" i="24"/>
  <c r="AA283" i="24"/>
  <c r="Z283" i="24"/>
  <c r="AA282" i="24"/>
  <c r="Z282" i="24"/>
  <c r="AA281" i="24"/>
  <c r="Z281" i="24"/>
  <c r="AA280" i="24"/>
  <c r="Z280" i="24"/>
  <c r="AA279" i="24"/>
  <c r="Z279" i="24"/>
  <c r="AA278" i="24"/>
  <c r="Z278" i="24"/>
  <c r="AA277" i="24"/>
  <c r="Z277" i="24"/>
  <c r="AA276" i="24"/>
  <c r="Z276" i="24"/>
  <c r="AA275" i="24"/>
  <c r="Z275" i="24"/>
  <c r="AA274" i="24"/>
  <c r="Z274" i="24"/>
  <c r="AA273" i="24"/>
  <c r="Z273" i="24"/>
  <c r="AA272" i="24"/>
  <c r="Z272" i="24"/>
  <c r="AA271" i="24"/>
  <c r="Z271" i="24"/>
  <c r="AA270" i="24"/>
  <c r="Z270" i="24"/>
  <c r="AA268" i="24"/>
  <c r="Z268" i="24"/>
  <c r="AA267" i="24"/>
  <c r="Z267" i="24"/>
  <c r="AA266" i="24"/>
  <c r="Z266" i="24"/>
  <c r="AA265" i="24"/>
  <c r="Z265" i="24"/>
  <c r="AA264" i="24"/>
  <c r="Z264" i="24"/>
  <c r="AA263" i="24"/>
  <c r="Z263" i="24"/>
  <c r="AA262" i="24"/>
  <c r="Z262" i="24"/>
  <c r="AA261" i="24"/>
  <c r="Z261" i="24"/>
  <c r="AA260" i="24"/>
  <c r="Z260" i="24"/>
  <c r="AA257" i="24"/>
  <c r="Z257" i="24"/>
  <c r="AA256" i="24"/>
  <c r="Z256" i="24"/>
  <c r="AA255" i="24"/>
  <c r="Z255" i="24"/>
  <c r="AA254" i="24"/>
  <c r="Z254" i="24"/>
  <c r="AA253" i="24"/>
  <c r="Z253" i="24"/>
  <c r="AA252" i="24"/>
  <c r="Z252" i="24"/>
  <c r="AA251" i="24"/>
  <c r="Z251" i="24"/>
  <c r="AA247" i="24"/>
  <c r="Z247" i="24"/>
  <c r="AA244" i="24"/>
  <c r="Z244" i="24"/>
  <c r="AA243" i="24"/>
  <c r="Z243" i="24"/>
  <c r="AA242" i="24"/>
  <c r="Z242" i="24"/>
  <c r="AA241" i="24"/>
  <c r="Z241" i="24"/>
  <c r="AA240" i="24"/>
  <c r="Z240" i="24"/>
  <c r="AA239" i="24"/>
  <c r="Z239" i="24"/>
  <c r="AA238" i="24"/>
  <c r="Z238" i="24"/>
  <c r="AA237" i="24"/>
  <c r="Z237" i="24"/>
  <c r="AA236" i="24"/>
  <c r="Z236" i="24"/>
  <c r="AA234" i="24"/>
  <c r="Z234" i="24"/>
  <c r="AA233" i="24"/>
  <c r="Z233" i="24"/>
  <c r="AA232" i="24"/>
  <c r="Z232" i="24"/>
  <c r="AA231" i="24"/>
  <c r="Z231" i="24"/>
  <c r="AA230" i="24"/>
  <c r="Z230" i="24"/>
  <c r="AA229" i="24"/>
  <c r="Z229" i="24"/>
  <c r="AA228" i="24"/>
  <c r="Z228" i="24"/>
  <c r="AA227" i="24"/>
  <c r="Z227" i="24"/>
  <c r="AA226" i="24"/>
  <c r="Z226" i="24"/>
  <c r="AA225" i="24"/>
  <c r="Z225" i="24"/>
  <c r="AA224" i="24"/>
  <c r="Z224" i="24"/>
  <c r="AA223" i="24"/>
  <c r="Z223" i="24"/>
  <c r="AA222" i="24"/>
  <c r="Z222" i="24"/>
  <c r="AA221" i="24"/>
  <c r="Z221" i="24"/>
  <c r="AA220" i="24"/>
  <c r="Z220" i="24"/>
  <c r="AA215" i="24"/>
  <c r="Z215" i="24"/>
  <c r="AA214" i="24"/>
  <c r="Z214" i="24"/>
  <c r="AA212" i="24"/>
  <c r="Z212" i="24"/>
  <c r="AA207" i="24"/>
  <c r="Z207" i="24"/>
  <c r="AA206" i="24"/>
  <c r="Z206" i="24"/>
  <c r="AA205" i="24"/>
  <c r="Z205" i="24"/>
  <c r="AA199" i="24"/>
  <c r="Z199" i="24"/>
  <c r="AA198" i="24"/>
  <c r="Z198" i="24"/>
  <c r="AA197" i="24"/>
  <c r="Z197" i="24"/>
  <c r="AA196" i="24"/>
  <c r="Z196" i="24"/>
  <c r="AA195" i="24"/>
  <c r="Z195" i="24"/>
  <c r="AA194" i="24"/>
  <c r="Z194" i="24"/>
  <c r="AA193" i="24"/>
  <c r="Z193" i="24"/>
  <c r="AA192" i="24"/>
  <c r="Z192" i="24"/>
  <c r="AA191" i="24"/>
  <c r="Z191" i="24"/>
  <c r="AA190" i="24"/>
  <c r="Z190" i="24"/>
  <c r="AA189" i="24"/>
  <c r="Z189" i="24"/>
  <c r="AA188" i="24"/>
  <c r="Z188" i="24"/>
  <c r="AA187" i="24"/>
  <c r="Z187" i="24"/>
  <c r="AA186" i="24"/>
  <c r="Z186" i="24"/>
  <c r="AA185" i="24"/>
  <c r="Z185" i="24"/>
  <c r="AA184" i="24"/>
  <c r="Z184" i="24"/>
  <c r="AA183" i="24"/>
  <c r="Z183" i="24"/>
  <c r="AA182" i="24"/>
  <c r="Z182" i="24"/>
  <c r="AA181" i="24"/>
  <c r="Z181" i="24"/>
  <c r="AA180" i="24"/>
  <c r="Z180" i="24"/>
  <c r="AA176" i="24"/>
  <c r="Z176" i="24"/>
  <c r="AA175" i="24"/>
  <c r="Z175" i="24"/>
  <c r="AA169" i="24"/>
  <c r="Z169" i="24"/>
  <c r="AA168" i="24"/>
  <c r="Z168" i="24"/>
  <c r="AA167" i="24"/>
  <c r="Z167" i="24"/>
  <c r="AA166" i="24"/>
  <c r="Z166" i="24"/>
  <c r="AA165" i="24"/>
  <c r="Z165" i="24"/>
  <c r="AA164" i="24"/>
  <c r="Z164" i="24"/>
  <c r="AA163" i="24"/>
  <c r="Z163" i="24"/>
  <c r="AA162" i="24"/>
  <c r="Z162" i="24"/>
  <c r="AA161" i="24"/>
  <c r="Z161" i="24"/>
  <c r="AA160" i="24"/>
  <c r="Z160" i="24"/>
  <c r="AA159" i="24"/>
  <c r="Z159" i="24"/>
  <c r="AA158" i="24"/>
  <c r="Z158" i="24"/>
  <c r="AA157" i="24"/>
  <c r="Z157" i="24"/>
  <c r="AA156" i="24"/>
  <c r="Z156" i="24"/>
  <c r="AA153" i="24"/>
  <c r="Z153" i="24"/>
  <c r="AA150" i="24"/>
  <c r="Z150" i="24"/>
  <c r="AA148" i="24"/>
  <c r="Z148" i="24"/>
  <c r="AA147" i="24"/>
  <c r="Z147" i="24"/>
  <c r="AA145" i="24"/>
  <c r="Z145" i="24"/>
  <c r="AA144" i="24"/>
  <c r="Z144" i="24"/>
  <c r="AA143" i="24"/>
  <c r="Z143" i="24"/>
  <c r="AA142" i="24"/>
  <c r="Z142" i="24"/>
  <c r="AA141" i="24"/>
  <c r="Z141" i="24"/>
  <c r="AA140" i="24"/>
  <c r="Z140" i="24"/>
  <c r="AA139" i="24"/>
  <c r="Z139" i="24"/>
  <c r="AA138" i="24"/>
  <c r="Z138" i="24"/>
  <c r="AA137" i="24"/>
  <c r="Z137" i="24"/>
  <c r="AA136" i="24"/>
  <c r="Z136" i="24"/>
  <c r="AA135" i="24"/>
  <c r="Z135" i="24"/>
  <c r="AA134" i="24"/>
  <c r="Z134" i="24"/>
  <c r="AA133" i="24"/>
  <c r="Z133" i="24"/>
  <c r="AA132" i="24"/>
  <c r="AA151" i="24" s="1"/>
  <c r="Z132" i="24"/>
  <c r="Z151" i="24" s="1"/>
  <c r="AA106" i="24"/>
  <c r="Z106" i="24"/>
  <c r="AA105" i="24"/>
  <c r="Z105" i="24"/>
  <c r="AA104" i="24"/>
  <c r="Z104" i="24"/>
  <c r="AA103" i="24"/>
  <c r="Z103" i="24"/>
  <c r="AA88" i="24"/>
  <c r="Z88" i="24"/>
  <c r="AA86" i="24"/>
  <c r="AA87" i="24" s="1"/>
  <c r="Z86" i="24"/>
  <c r="Z87" i="24" s="1"/>
  <c r="AA78" i="24"/>
  <c r="AA79" i="24" s="1"/>
  <c r="Z78" i="24"/>
  <c r="Z79" i="24" s="1"/>
  <c r="AA66" i="24"/>
  <c r="Z66" i="24"/>
  <c r="W131" i="24"/>
  <c r="Y66" i="24"/>
  <c r="Y78" i="24"/>
  <c r="Y79" i="24" s="1"/>
  <c r="Y86" i="24"/>
  <c r="Y87" i="24" s="1"/>
  <c r="Y88" i="24"/>
  <c r="Y103" i="24"/>
  <c r="Y104" i="24"/>
  <c r="Y105" i="24"/>
  <c r="Y106" i="24"/>
  <c r="Y132" i="24"/>
  <c r="Y151" i="24" s="1"/>
  <c r="Y133" i="24"/>
  <c r="Y134" i="24"/>
  <c r="Y135" i="24"/>
  <c r="Y136" i="24"/>
  <c r="Y137" i="24"/>
  <c r="Y138" i="24"/>
  <c r="Y139" i="24"/>
  <c r="Y140" i="24"/>
  <c r="Y141" i="24"/>
  <c r="Y142" i="24"/>
  <c r="Y143" i="24"/>
  <c r="Y144" i="24"/>
  <c r="Y145" i="24"/>
  <c r="Y147" i="24"/>
  <c r="Y148" i="24"/>
  <c r="Y150" i="24"/>
  <c r="Y153" i="24"/>
  <c r="Y156" i="24"/>
  <c r="Y157" i="24"/>
  <c r="Y158" i="24"/>
  <c r="Y159" i="24"/>
  <c r="Y160" i="24"/>
  <c r="Y161" i="24"/>
  <c r="Y162" i="24"/>
  <c r="Y163" i="24"/>
  <c r="Y164" i="24"/>
  <c r="Y165" i="24"/>
  <c r="Y166" i="24"/>
  <c r="Y167" i="24"/>
  <c r="Y168" i="24"/>
  <c r="Y169" i="24"/>
  <c r="Y175" i="24"/>
  <c r="Y176" i="24"/>
  <c r="Y180" i="24"/>
  <c r="Y181" i="24"/>
  <c r="Y182" i="24"/>
  <c r="Y183" i="24"/>
  <c r="Y184" i="24"/>
  <c r="Y185" i="24"/>
  <c r="Y186" i="24"/>
  <c r="Y187" i="24"/>
  <c r="Y188" i="24"/>
  <c r="Y189" i="24"/>
  <c r="Y190" i="24"/>
  <c r="Y191" i="24"/>
  <c r="Y192" i="24"/>
  <c r="Y193" i="24"/>
  <c r="Y194" i="24"/>
  <c r="Y195" i="24"/>
  <c r="Y196" i="24"/>
  <c r="Y197" i="24"/>
  <c r="Y198" i="24"/>
  <c r="Y199" i="24"/>
  <c r="Y205" i="24"/>
  <c r="Y206" i="24"/>
  <c r="Y207" i="24"/>
  <c r="Y212" i="24"/>
  <c r="Y214" i="24"/>
  <c r="Y215" i="24"/>
  <c r="Y220" i="24"/>
  <c r="Y221" i="24"/>
  <c r="Y222" i="24"/>
  <c r="Y223" i="24"/>
  <c r="Y224" i="24"/>
  <c r="Y225" i="24"/>
  <c r="Y226" i="24"/>
  <c r="Y227" i="24"/>
  <c r="Y228" i="24"/>
  <c r="Y229" i="24"/>
  <c r="Y230" i="24"/>
  <c r="Y231" i="24"/>
  <c r="Y232" i="24"/>
  <c r="Y233" i="24"/>
  <c r="Y234" i="24"/>
  <c r="Y236" i="24"/>
  <c r="Y237" i="24"/>
  <c r="Y238" i="24"/>
  <c r="Y239" i="24"/>
  <c r="Y240" i="24"/>
  <c r="Y241" i="24"/>
  <c r="Y242" i="24"/>
  <c r="Y243" i="24"/>
  <c r="Y244" i="24"/>
  <c r="Y247" i="24"/>
  <c r="Y251" i="24"/>
  <c r="Y252" i="24"/>
  <c r="Y253" i="24"/>
  <c r="Y254" i="24"/>
  <c r="Y255" i="24"/>
  <c r="Y256" i="24"/>
  <c r="Y257" i="24"/>
  <c r="Y260" i="24"/>
  <c r="Y261" i="24"/>
  <c r="Y262" i="24"/>
  <c r="Y263" i="24"/>
  <c r="Y264" i="24"/>
  <c r="Y265" i="24"/>
  <c r="Y266" i="24"/>
  <c r="Y267" i="24"/>
  <c r="Y268" i="24"/>
  <c r="Y270" i="24"/>
  <c r="Y271" i="24"/>
  <c r="Y272" i="24"/>
  <c r="Y273" i="24"/>
  <c r="Y274" i="24"/>
  <c r="Y275" i="24"/>
  <c r="Y276" i="24"/>
  <c r="Y277" i="24"/>
  <c r="Y278" i="24"/>
  <c r="Y279" i="24"/>
  <c r="Y280" i="24"/>
  <c r="Y281" i="24"/>
  <c r="Y282" i="24"/>
  <c r="Y283" i="24"/>
  <c r="Y286" i="24"/>
  <c r="Y287" i="24"/>
  <c r="Y288" i="24"/>
  <c r="Y289" i="24"/>
  <c r="Y292" i="24"/>
  <c r="Y293" i="24"/>
  <c r="Y294" i="24"/>
  <c r="Y295" i="24"/>
  <c r="Y296" i="24"/>
  <c r="Y297" i="24"/>
  <c r="Y298" i="24"/>
  <c r="Y303" i="24"/>
  <c r="Y304" i="24"/>
  <c r="Y305" i="24"/>
  <c r="Y306" i="24"/>
  <c r="Y307" i="24"/>
  <c r="Y308" i="24"/>
  <c r="Y309" i="24"/>
  <c r="Y310" i="24"/>
  <c r="Y311" i="24"/>
  <c r="Y312" i="24"/>
  <c r="Y313" i="24"/>
  <c r="Y314" i="24"/>
  <c r="Y315" i="24"/>
  <c r="Y316" i="24"/>
  <c r="Y318" i="24"/>
  <c r="Y319" i="24"/>
  <c r="Y320" i="24"/>
  <c r="Y322" i="24"/>
  <c r="Y323" i="24"/>
  <c r="Y325" i="24"/>
  <c r="Y326" i="24"/>
  <c r="Y327" i="24"/>
  <c r="Y328" i="24"/>
  <c r="Y332" i="24"/>
  <c r="Y334" i="24"/>
  <c r="Y335" i="24"/>
  <c r="Y339" i="24"/>
  <c r="Y340" i="24"/>
  <c r="Y341" i="24"/>
  <c r="Y347" i="24"/>
  <c r="Y348" i="24"/>
  <c r="Y349" i="24"/>
  <c r="Y350" i="24"/>
  <c r="Y351" i="24"/>
  <c r="Y352" i="24"/>
  <c r="Y353" i="24"/>
  <c r="Y354" i="24"/>
  <c r="Y355" i="24"/>
  <c r="Y356" i="24"/>
  <c r="Y357" i="24"/>
  <c r="Y358" i="24"/>
  <c r="Y359" i="24"/>
  <c r="Y360" i="24"/>
  <c r="Y361" i="24"/>
  <c r="Y362" i="24"/>
  <c r="Y365" i="24"/>
  <c r="Y366" i="24"/>
  <c r="Y367" i="24"/>
  <c r="Y370" i="24"/>
  <c r="Y371" i="24"/>
  <c r="Y374" i="24"/>
  <c r="Y376" i="24"/>
  <c r="Y377" i="24"/>
  <c r="Y378" i="24"/>
  <c r="Y379" i="24"/>
  <c r="Y382" i="24"/>
  <c r="Y384" i="24"/>
  <c r="Y385" i="24"/>
  <c r="Y386" i="24"/>
  <c r="Y387" i="24"/>
  <c r="Y388" i="24"/>
  <c r="Y389" i="24"/>
  <c r="Y390" i="24"/>
  <c r="Y391" i="24"/>
  <c r="Y392" i="24"/>
  <c r="Y393" i="24"/>
  <c r="Y394" i="24"/>
  <c r="Y395" i="24"/>
  <c r="Y396" i="24"/>
  <c r="Y397" i="24"/>
  <c r="Y398" i="24"/>
  <c r="Y399" i="24"/>
  <c r="Y400" i="24"/>
  <c r="Y401" i="24"/>
  <c r="Y402" i="24"/>
  <c r="Y406" i="24"/>
  <c r="Y407" i="24"/>
  <c r="Y408" i="24"/>
  <c r="Y409" i="24"/>
  <c r="Y410" i="24"/>
  <c r="Y413" i="24"/>
  <c r="Y416" i="24"/>
  <c r="Y422" i="24"/>
  <c r="Y423" i="24"/>
  <c r="Y432" i="24"/>
  <c r="Y433" i="24"/>
  <c r="Y434" i="24"/>
  <c r="Y435" i="24"/>
  <c r="Y436" i="24"/>
  <c r="Y437" i="24"/>
  <c r="Y438" i="24"/>
  <c r="Y439" i="24"/>
  <c r="Y440" i="24"/>
  <c r="Y441" i="24"/>
  <c r="Y442" i="24"/>
  <c r="Y453" i="24"/>
  <c r="Y454" i="24" s="1"/>
  <c r="Y455" i="24" s="1"/>
  <c r="Y549" i="24"/>
  <c r="Y550" i="24" s="1"/>
  <c r="Y551" i="24" s="1"/>
  <c r="Y557" i="24"/>
  <c r="Y558" i="24" s="1"/>
  <c r="Y559" i="24" s="1"/>
  <c r="Y671" i="24"/>
  <c r="Y672" i="24"/>
  <c r="Y673" i="24"/>
  <c r="Y674" i="24"/>
  <c r="Y675" i="24"/>
  <c r="Y676" i="24"/>
  <c r="Y696" i="24"/>
  <c r="Y834" i="24"/>
  <c r="Y835" i="24"/>
  <c r="Y836" i="24"/>
  <c r="Y847" i="24"/>
  <c r="Y848" i="24"/>
  <c r="Y851" i="24"/>
  <c r="Y852" i="24"/>
  <c r="Y872" i="24"/>
  <c r="Y886" i="24"/>
  <c r="Y887" i="24"/>
  <c r="Y888" i="24"/>
  <c r="Y890" i="24"/>
  <c r="Y804" i="24" s="1"/>
  <c r="Y891" i="24"/>
  <c r="Y805" i="24" s="1"/>
  <c r="Y892" i="24"/>
  <c r="Y808" i="24" s="1"/>
  <c r="Y995" i="24"/>
  <c r="Y996" i="24"/>
  <c r="Y997" i="24"/>
  <c r="Y1071" i="24"/>
  <c r="Y1072" i="24"/>
  <c r="Y1073" i="24"/>
  <c r="Y1159" i="24"/>
  <c r="Y1263" i="24"/>
  <c r="Y1262" i="24" s="1"/>
  <c r="Y1264" i="24"/>
  <c r="Y1271" i="24"/>
  <c r="Y1270" i="24" s="1"/>
  <c r="Y1272" i="24"/>
  <c r="Y1303" i="24"/>
  <c r="Y1302" i="24" s="1"/>
  <c r="Y1304" i="24"/>
  <c r="Y1305" i="24"/>
  <c r="Y1309" i="24"/>
  <c r="Y1311" i="24" s="1"/>
  <c r="Y1310" i="24" s="1"/>
  <c r="Y1314" i="24"/>
  <c r="Y1315" i="24"/>
  <c r="Y1316" i="24"/>
  <c r="AE1159" i="24"/>
  <c r="AE1073" i="24"/>
  <c r="AE1072" i="24"/>
  <c r="AE1071" i="24"/>
  <c r="AE997" i="24"/>
  <c r="AE996" i="24"/>
  <c r="AE995" i="24"/>
  <c r="AE892" i="24"/>
  <c r="AE808" i="24" s="1"/>
  <c r="AE891" i="24"/>
  <c r="AE805" i="24" s="1"/>
  <c r="AE890" i="24"/>
  <c r="AE804" i="24" s="1"/>
  <c r="AE888" i="24"/>
  <c r="AE887" i="24"/>
  <c r="AE886" i="24"/>
  <c r="AE872" i="24"/>
  <c r="AE852" i="24"/>
  <c r="AE851" i="24"/>
  <c r="AE848" i="24"/>
  <c r="AE847" i="24"/>
  <c r="AE836" i="24"/>
  <c r="AE835" i="24"/>
  <c r="AE834" i="24"/>
  <c r="AE676" i="24"/>
  <c r="AE675" i="24"/>
  <c r="AE674" i="24"/>
  <c r="AE673" i="24"/>
  <c r="AE672" i="24"/>
  <c r="AE671" i="24"/>
  <c r="AE646" i="24"/>
  <c r="AE645" i="24"/>
  <c r="AE644" i="24"/>
  <c r="AE453" i="24"/>
  <c r="AE454" i="24" s="1"/>
  <c r="AE455" i="24" s="1"/>
  <c r="AE442" i="24"/>
  <c r="AE441" i="24"/>
  <c r="AE440" i="24"/>
  <c r="AE439" i="24"/>
  <c r="AE438" i="24"/>
  <c r="AE437" i="24"/>
  <c r="AE436" i="24"/>
  <c r="AE435" i="24"/>
  <c r="AE434" i="24"/>
  <c r="AE433" i="24"/>
  <c r="AE432" i="24"/>
  <c r="AE423" i="24"/>
  <c r="AE422" i="24"/>
  <c r="AE416" i="24"/>
  <c r="AE413" i="24"/>
  <c r="AE410" i="24"/>
  <c r="AE409" i="24"/>
  <c r="AE408" i="24"/>
  <c r="AE407" i="24"/>
  <c r="AE406" i="24"/>
  <c r="AE402" i="24"/>
  <c r="AE401" i="24"/>
  <c r="AE400" i="24"/>
  <c r="AE399" i="24"/>
  <c r="AE398" i="24"/>
  <c r="AE397" i="24"/>
  <c r="AE396" i="24"/>
  <c r="AE395" i="24"/>
  <c r="AE394" i="24"/>
  <c r="AE393" i="24"/>
  <c r="AE392" i="24"/>
  <c r="AE391" i="24"/>
  <c r="AE390" i="24"/>
  <c r="AE389" i="24"/>
  <c r="AE388" i="24"/>
  <c r="AE387" i="24"/>
  <c r="AE386" i="24"/>
  <c r="AE385" i="24"/>
  <c r="AE384" i="24"/>
  <c r="AE382" i="24"/>
  <c r="AE379" i="24"/>
  <c r="AE378" i="24"/>
  <c r="AE377" i="24"/>
  <c r="AE376" i="24"/>
  <c r="AE375" i="24"/>
  <c r="AE374" i="24"/>
  <c r="AE373" i="24"/>
  <c r="AE372" i="24"/>
  <c r="AE371" i="24"/>
  <c r="AE370" i="24"/>
  <c r="AE369" i="24"/>
  <c r="AE368" i="24"/>
  <c r="AE367" i="24"/>
  <c r="AE366" i="24"/>
  <c r="AE365" i="24"/>
  <c r="AE362" i="24"/>
  <c r="AE361" i="24"/>
  <c r="AE360" i="24"/>
  <c r="AE359" i="24"/>
  <c r="AE358" i="24"/>
  <c r="AE357" i="24"/>
  <c r="AE356" i="24"/>
  <c r="AE355" i="24"/>
  <c r="AE354" i="24"/>
  <c r="AE353" i="24"/>
  <c r="AE352" i="24"/>
  <c r="AE351" i="24"/>
  <c r="AE350" i="24"/>
  <c r="AE349" i="24"/>
  <c r="AE348" i="24"/>
  <c r="AE347" i="24"/>
  <c r="AE341" i="24"/>
  <c r="AE340" i="24"/>
  <c r="AE339" i="24"/>
  <c r="AE334" i="24"/>
  <c r="AE332" i="24"/>
  <c r="AE328" i="24"/>
  <c r="AE327" i="24"/>
  <c r="AE326" i="24"/>
  <c r="AE325" i="24"/>
  <c r="AE323" i="24"/>
  <c r="AE322" i="24"/>
  <c r="AE320" i="24"/>
  <c r="AE319" i="24"/>
  <c r="AE318" i="24"/>
  <c r="AE316" i="24"/>
  <c r="AE315" i="24"/>
  <c r="AE314" i="24"/>
  <c r="AE313" i="24"/>
  <c r="AE312" i="24"/>
  <c r="AE311" i="24"/>
  <c r="AE310" i="24"/>
  <c r="AE309" i="24"/>
  <c r="AE308" i="24"/>
  <c r="AE307" i="24"/>
  <c r="AE306" i="24"/>
  <c r="AE305" i="24"/>
  <c r="AE304" i="24"/>
  <c r="AE303" i="24"/>
  <c r="AE298" i="24"/>
  <c r="AE297" i="24"/>
  <c r="AE296" i="24"/>
  <c r="AE295" i="24"/>
  <c r="AE294" i="24"/>
  <c r="AE293" i="24"/>
  <c r="AE292" i="24"/>
  <c r="AE289" i="24"/>
  <c r="AE288" i="24"/>
  <c r="AE287" i="24"/>
  <c r="AE286" i="24"/>
  <c r="AE283" i="24"/>
  <c r="AE282" i="24"/>
  <c r="AE281" i="24"/>
  <c r="AE280" i="24"/>
  <c r="AE279" i="24"/>
  <c r="AE278" i="24"/>
  <c r="AE277" i="24"/>
  <c r="AE276" i="24"/>
  <c r="AE275" i="24"/>
  <c r="AE274" i="24"/>
  <c r="AE273" i="24"/>
  <c r="AE272" i="24"/>
  <c r="AE271" i="24"/>
  <c r="AE270" i="24"/>
  <c r="AE268" i="24"/>
  <c r="AE267" i="24"/>
  <c r="AE266" i="24"/>
  <c r="AE265" i="24"/>
  <c r="AE264" i="24"/>
  <c r="AE263" i="24"/>
  <c r="AE262" i="24"/>
  <c r="AE261" i="24"/>
  <c r="AE260" i="24"/>
  <c r="AE257" i="24"/>
  <c r="AE256" i="24"/>
  <c r="AE255" i="24"/>
  <c r="AE254" i="24"/>
  <c r="AE253" i="24"/>
  <c r="AE252" i="24"/>
  <c r="AE251" i="24"/>
  <c r="AE247" i="24"/>
  <c r="AE244" i="24"/>
  <c r="AE243" i="24"/>
  <c r="AE242" i="24"/>
  <c r="AE241" i="24"/>
  <c r="AE240" i="24"/>
  <c r="AE239" i="24"/>
  <c r="AE238" i="24"/>
  <c r="AE237" i="24"/>
  <c r="AE236" i="24"/>
  <c r="AE234" i="24"/>
  <c r="AE233" i="24"/>
  <c r="AE232" i="24"/>
  <c r="AE231" i="24"/>
  <c r="AE230" i="24"/>
  <c r="AE229" i="24"/>
  <c r="AE228" i="24"/>
  <c r="AE227" i="24"/>
  <c r="AE226" i="24"/>
  <c r="AE225" i="24"/>
  <c r="AE224" i="24"/>
  <c r="AE223" i="24"/>
  <c r="AE222" i="24"/>
  <c r="AE221" i="24"/>
  <c r="AE220" i="24"/>
  <c r="AE215" i="24"/>
  <c r="AE207" i="24"/>
  <c r="AE206" i="24"/>
  <c r="AE205" i="24"/>
  <c r="AE199" i="24"/>
  <c r="AE198" i="24"/>
  <c r="AE197" i="24"/>
  <c r="AE196" i="24"/>
  <c r="AE195" i="24"/>
  <c r="AE194" i="24"/>
  <c r="AE193" i="24"/>
  <c r="AE192" i="24"/>
  <c r="AE191" i="24"/>
  <c r="AE190" i="24"/>
  <c r="AE189" i="24"/>
  <c r="AE188" i="24"/>
  <c r="AE187" i="24"/>
  <c r="AE186" i="24"/>
  <c r="AE185" i="24"/>
  <c r="AE184" i="24"/>
  <c r="AE183" i="24"/>
  <c r="AE182" i="24"/>
  <c r="AE181" i="24"/>
  <c r="AE180" i="24"/>
  <c r="AE176" i="24"/>
  <c r="AE175" i="24"/>
  <c r="AE169" i="24"/>
  <c r="AE168" i="24"/>
  <c r="AE167" i="24"/>
  <c r="AE166" i="24"/>
  <c r="AE165" i="24"/>
  <c r="AE164" i="24"/>
  <c r="AE163" i="24"/>
  <c r="AE162" i="24"/>
  <c r="AE161" i="24"/>
  <c r="AE160" i="24"/>
  <c r="AE159" i="24"/>
  <c r="AE158" i="24"/>
  <c r="AE157" i="24"/>
  <c r="AE156" i="24"/>
  <c r="AE153" i="24"/>
  <c r="AE150" i="24"/>
  <c r="AE148" i="24"/>
  <c r="AE147" i="24"/>
  <c r="AE145" i="24"/>
  <c r="AE144" i="24"/>
  <c r="AE143" i="24"/>
  <c r="AE142" i="24"/>
  <c r="AE141" i="24"/>
  <c r="AE140" i="24"/>
  <c r="AE139" i="24"/>
  <c r="AE138" i="24"/>
  <c r="AE137" i="24"/>
  <c r="AE136" i="24"/>
  <c r="AE135" i="24"/>
  <c r="AE134" i="24"/>
  <c r="AE133" i="24"/>
  <c r="AE132" i="24"/>
  <c r="AE131" i="24"/>
  <c r="AE106" i="24"/>
  <c r="AE105" i="24"/>
  <c r="AE104" i="24"/>
  <c r="AE103" i="24"/>
  <c r="AE88" i="24"/>
  <c r="AE86" i="24"/>
  <c r="AE87" i="24" s="1"/>
  <c r="AE78" i="24"/>
  <c r="AE79" i="24" s="1"/>
  <c r="AE66" i="24"/>
  <c r="Y1313" i="24" l="1"/>
  <c r="Y1312" i="24"/>
  <c r="AA1311" i="24"/>
  <c r="AA1310" i="24" s="1"/>
  <c r="Z1312" i="24"/>
  <c r="Z1313" i="24"/>
  <c r="Z46" i="24"/>
  <c r="AA46" i="24"/>
  <c r="Y806" i="24"/>
  <c r="Z805" i="24"/>
  <c r="AA805" i="24"/>
  <c r="Z806" i="24"/>
  <c r="AA806" i="24"/>
  <c r="Z808" i="24"/>
  <c r="Y46" i="24"/>
  <c r="Y809" i="24"/>
  <c r="AA808" i="24"/>
  <c r="Y807" i="24"/>
  <c r="AE46" i="24"/>
  <c r="AA1312" i="24"/>
  <c r="AE806" i="24"/>
  <c r="AE807" i="24"/>
  <c r="AE809" i="24"/>
  <c r="X334" i="24" l="1"/>
  <c r="W334" i="24"/>
  <c r="V376" i="24"/>
  <c r="U376" i="24"/>
  <c r="V375" i="24"/>
  <c r="U375" i="24"/>
  <c r="V374" i="24"/>
  <c r="U374" i="24"/>
  <c r="V373" i="24"/>
  <c r="U373" i="24"/>
  <c r="V372" i="24"/>
  <c r="U372" i="24"/>
  <c r="X374" i="24"/>
  <c r="W374" i="24"/>
  <c r="P152" i="24"/>
  <c r="O152" i="24"/>
  <c r="N152" i="24"/>
  <c r="M152" i="24"/>
  <c r="L152" i="24"/>
  <c r="K152" i="24"/>
  <c r="P151" i="24"/>
  <c r="O151" i="24"/>
  <c r="N151" i="24"/>
  <c r="M151" i="24"/>
  <c r="L151" i="24"/>
  <c r="K151" i="24"/>
  <c r="C152" i="24"/>
  <c r="C151" i="24"/>
  <c r="AD646" i="24"/>
  <c r="AC646" i="24"/>
  <c r="AB646" i="24"/>
  <c r="V646" i="24"/>
  <c r="U646" i="24"/>
  <c r="AD645" i="24"/>
  <c r="AC645" i="24"/>
  <c r="AB645" i="24"/>
  <c r="V645" i="24"/>
  <c r="U645" i="24"/>
  <c r="X152" i="24" l="1"/>
  <c r="Y152" i="24"/>
  <c r="AA152" i="24"/>
  <c r="Z152" i="24"/>
  <c r="AB151" i="24"/>
  <c r="AC151" i="24"/>
  <c r="AD151" i="24"/>
  <c r="AE151" i="24"/>
  <c r="AB152" i="24"/>
  <c r="AE152" i="24"/>
  <c r="W151" i="24"/>
  <c r="W152" i="24"/>
  <c r="AC152" i="24"/>
  <c r="AD152" i="24"/>
  <c r="U152" i="24"/>
  <c r="V152" i="24"/>
  <c r="V151" i="24"/>
  <c r="U151" i="24"/>
  <c r="AD644" i="24"/>
  <c r="AC644" i="24"/>
  <c r="AB644" i="24"/>
  <c r="V644" i="24"/>
  <c r="U644" i="24"/>
  <c r="C246" i="24"/>
  <c r="C45" i="24"/>
  <c r="U199" i="23"/>
  <c r="Q199" i="23"/>
  <c r="AM225" i="22"/>
  <c r="AL225" i="22"/>
  <c r="AL383" i="22"/>
  <c r="AL382" i="22"/>
  <c r="AL381" i="22"/>
  <c r="AL380" i="22"/>
  <c r="AL379" i="22"/>
  <c r="AL378" i="22"/>
  <c r="AL377" i="22"/>
  <c r="AL376" i="22"/>
  <c r="AL375" i="22"/>
  <c r="AL374" i="22"/>
  <c r="AL373" i="22"/>
  <c r="AL372" i="22"/>
  <c r="AL371" i="22"/>
  <c r="AL370" i="22"/>
  <c r="AL369" i="22"/>
  <c r="AL368" i="22"/>
  <c r="AL367" i="22"/>
  <c r="AL366" i="22"/>
  <c r="AL365" i="22"/>
  <c r="AL283" i="22"/>
  <c r="AL238" i="22"/>
  <c r="AL215" i="22"/>
  <c r="AK383" i="22"/>
  <c r="AK382" i="22"/>
  <c r="AK381" i="22"/>
  <c r="AK380" i="22"/>
  <c r="AK379" i="22"/>
  <c r="AK378" i="22"/>
  <c r="AK377" i="22"/>
  <c r="AK376" i="22"/>
  <c r="AK375" i="22"/>
  <c r="AK374" i="22"/>
  <c r="AK373" i="22"/>
  <c r="AK372" i="22"/>
  <c r="AK371" i="22"/>
  <c r="AK370" i="22"/>
  <c r="AK369" i="22"/>
  <c r="AK368" i="22"/>
  <c r="AK367" i="22"/>
  <c r="AK366" i="22"/>
  <c r="AK365" i="22"/>
  <c r="AK293" i="22"/>
  <c r="AK292" i="22"/>
  <c r="AK291" i="22"/>
  <c r="AK290" i="22"/>
  <c r="AK289" i="22"/>
  <c r="AK283" i="22"/>
  <c r="AK238" i="22"/>
  <c r="AK235" i="22"/>
  <c r="AK234" i="22"/>
  <c r="AK231" i="22"/>
  <c r="AK230" i="22"/>
  <c r="AK229" i="22"/>
  <c r="AK228" i="22"/>
  <c r="AK227" i="22"/>
  <c r="AK225" i="22"/>
  <c r="AK220" i="22"/>
  <c r="AK218" i="22"/>
  <c r="AK217" i="22"/>
  <c r="AK216" i="22"/>
  <c r="AK214" i="22"/>
  <c r="AK215" i="22" s="1"/>
  <c r="AH317" i="22"/>
  <c r="AM383" i="22"/>
  <c r="AM382" i="22"/>
  <c r="AM381" i="22"/>
  <c r="AM380" i="22"/>
  <c r="AM379" i="22"/>
  <c r="AM378" i="22"/>
  <c r="AM377" i="22"/>
  <c r="AM376" i="22"/>
  <c r="AM375" i="22"/>
  <c r="AM374" i="22"/>
  <c r="AM373" i="22"/>
  <c r="AM372" i="22"/>
  <c r="AM371" i="22"/>
  <c r="AM370" i="22"/>
  <c r="AM369" i="22"/>
  <c r="AM368" i="22"/>
  <c r="AM367" i="22"/>
  <c r="AM366" i="22"/>
  <c r="AM365" i="22"/>
  <c r="AM283" i="22"/>
  <c r="AM238" i="22"/>
  <c r="AM215" i="22"/>
  <c r="C417" i="24"/>
  <c r="Q202" i="23"/>
  <c r="Q201" i="23"/>
  <c r="Q200" i="23"/>
  <c r="Q198" i="23"/>
  <c r="U202" i="23"/>
  <c r="U201" i="23"/>
  <c r="U200" i="23"/>
  <c r="U198" i="23"/>
  <c r="X202" i="23"/>
  <c r="X201" i="23"/>
  <c r="X200" i="23"/>
  <c r="X199" i="23"/>
  <c r="X198" i="23"/>
  <c r="AB202" i="23"/>
  <c r="AB201" i="23"/>
  <c r="AB200" i="23"/>
  <c r="AB199" i="23"/>
  <c r="AB198" i="23"/>
  <c r="V1702" i="24"/>
  <c r="W1702" i="24" s="1"/>
  <c r="X1702" i="24" s="1"/>
  <c r="Y1702" i="24" s="1"/>
  <c r="Z1702" i="24" s="1"/>
  <c r="AA1702" i="24" s="1"/>
  <c r="U1881" i="24" l="1"/>
  <c r="J65" i="1"/>
  <c r="I65" i="1"/>
  <c r="H65" i="1"/>
  <c r="J70" i="1"/>
  <c r="I70" i="1"/>
  <c r="H70" i="1"/>
  <c r="J59" i="1"/>
  <c r="I59" i="1"/>
  <c r="H59" i="1"/>
  <c r="AB1881" i="24" l="1"/>
  <c r="H20" i="17"/>
  <c r="C1149" i="24" l="1"/>
  <c r="C1148" i="24"/>
  <c r="C1147" i="24"/>
  <c r="C1146" i="24"/>
  <c r="C1153" i="24"/>
  <c r="C1152" i="24"/>
  <c r="C1151" i="24"/>
  <c r="C1150" i="24"/>
  <c r="U988" i="24"/>
  <c r="C988" i="24"/>
  <c r="W987" i="24"/>
  <c r="V987" i="24"/>
  <c r="V988" i="24" s="1"/>
  <c r="C987" i="24"/>
  <c r="W986" i="24"/>
  <c r="Y986" i="24" s="1"/>
  <c r="AA986" i="24" s="1"/>
  <c r="V986" i="24"/>
  <c r="X986" i="24" s="1"/>
  <c r="Z986" i="24" s="1"/>
  <c r="C986" i="24"/>
  <c r="W985" i="24"/>
  <c r="Y985" i="24" s="1"/>
  <c r="AA985" i="24" s="1"/>
  <c r="V985" i="24"/>
  <c r="X985" i="24" s="1"/>
  <c r="Z985" i="24" s="1"/>
  <c r="C985" i="24"/>
  <c r="U984" i="24"/>
  <c r="C984" i="24"/>
  <c r="W983" i="24"/>
  <c r="V983" i="24"/>
  <c r="C983" i="24"/>
  <c r="W982" i="24"/>
  <c r="Y982" i="24" s="1"/>
  <c r="AA982" i="24" s="1"/>
  <c r="V982" i="24"/>
  <c r="X982" i="24" s="1"/>
  <c r="Z982" i="24" s="1"/>
  <c r="C982" i="24"/>
  <c r="W981" i="24"/>
  <c r="Y981" i="24" s="1"/>
  <c r="AA981" i="24" s="1"/>
  <c r="V981" i="24"/>
  <c r="C981" i="24"/>
  <c r="W1871" i="24"/>
  <c r="Y1871" i="24" s="1"/>
  <c r="AA1871" i="24" s="1"/>
  <c r="V1871" i="24"/>
  <c r="W1874" i="24"/>
  <c r="Y1874" i="24" s="1"/>
  <c r="AA1874" i="24" s="1"/>
  <c r="V1874" i="24"/>
  <c r="X1874" i="24" s="1"/>
  <c r="Z1874" i="24" s="1"/>
  <c r="W1873" i="24"/>
  <c r="Y1873" i="24" s="1"/>
  <c r="AA1873" i="24" s="1"/>
  <c r="V1873" i="24"/>
  <c r="X1873" i="24" s="1"/>
  <c r="Z1873" i="24" s="1"/>
  <c r="V2096" i="24"/>
  <c r="X2096" i="24" s="1"/>
  <c r="Z2096" i="24" s="1"/>
  <c r="W2096" i="24"/>
  <c r="Y2096" i="24" s="1"/>
  <c r="AA2096" i="24" s="1"/>
  <c r="V2097" i="24"/>
  <c r="W2097" i="24"/>
  <c r="Y2097" i="24" s="1"/>
  <c r="AA2097" i="24" s="1"/>
  <c r="V2098" i="24"/>
  <c r="X2098" i="24" s="1"/>
  <c r="Z2098" i="24" s="1"/>
  <c r="W2098" i="24"/>
  <c r="Y2098" i="24" s="1"/>
  <c r="AA2098" i="24" s="1"/>
  <c r="V2099" i="24"/>
  <c r="X2099" i="24" s="1"/>
  <c r="Z2099" i="24" s="1"/>
  <c r="W2099" i="24"/>
  <c r="Y2099" i="24" s="1"/>
  <c r="AA2099" i="24" s="1"/>
  <c r="Y983" i="24" l="1"/>
  <c r="W984" i="24"/>
  <c r="Y987" i="24"/>
  <c r="W988" i="24"/>
  <c r="X983" i="24"/>
  <c r="V984" i="24"/>
  <c r="X987" i="24"/>
  <c r="X981" i="24"/>
  <c r="Z981" i="24" s="1"/>
  <c r="X1871" i="24"/>
  <c r="Z1871" i="24" s="1"/>
  <c r="X2097" i="24"/>
  <c r="Z2097" i="24" s="1"/>
  <c r="Z987" i="24" l="1"/>
  <c r="Z988" i="24" s="1"/>
  <c r="X988" i="24"/>
  <c r="Z983" i="24"/>
  <c r="Z984" i="24" s="1"/>
  <c r="X984" i="24"/>
  <c r="AA987" i="24"/>
  <c r="AA988" i="24" s="1"/>
  <c r="Y988" i="24"/>
  <c r="AA983" i="24"/>
  <c r="AA984" i="24" s="1"/>
  <c r="Y984" i="24"/>
  <c r="C1145" i="24"/>
  <c r="C1144" i="24"/>
  <c r="C1143" i="24"/>
  <c r="C1142" i="24"/>
  <c r="U952" i="24"/>
  <c r="C952" i="24"/>
  <c r="W951" i="24"/>
  <c r="V951" i="24"/>
  <c r="V952" i="24" s="1"/>
  <c r="C951" i="24"/>
  <c r="W950" i="24"/>
  <c r="Y950" i="24" s="1"/>
  <c r="AA950" i="24" s="1"/>
  <c r="V950" i="24"/>
  <c r="X950" i="24" s="1"/>
  <c r="Z950" i="24" s="1"/>
  <c r="C950" i="24"/>
  <c r="W949" i="24"/>
  <c r="Y949" i="24" s="1"/>
  <c r="AA949" i="24" s="1"/>
  <c r="V949" i="24"/>
  <c r="C949" i="24"/>
  <c r="W2106" i="24"/>
  <c r="Y2106" i="24" s="1"/>
  <c r="AA2106" i="24" s="1"/>
  <c r="V2106" i="24"/>
  <c r="C2106" i="24"/>
  <c r="F2105" i="24"/>
  <c r="C2105" i="24"/>
  <c r="F2104" i="24"/>
  <c r="C2104" i="24"/>
  <c r="F2103" i="24"/>
  <c r="C2103" i="24"/>
  <c r="F2102" i="24"/>
  <c r="C2102" i="24"/>
  <c r="F2101" i="24"/>
  <c r="C2101" i="24"/>
  <c r="F2100" i="24"/>
  <c r="C2100" i="24"/>
  <c r="C2099" i="24"/>
  <c r="C2098" i="24"/>
  <c r="C2097" i="24"/>
  <c r="C2096" i="24"/>
  <c r="C2095" i="24"/>
  <c r="C2094" i="24"/>
  <c r="W2093" i="24"/>
  <c r="Y2093" i="24" s="1"/>
  <c r="AA2093" i="24" s="1"/>
  <c r="V2093" i="24"/>
  <c r="C2093" i="24"/>
  <c r="W2092" i="24"/>
  <c r="Y2092" i="24" s="1"/>
  <c r="AA2092" i="24" s="1"/>
  <c r="V2092" i="24"/>
  <c r="C2092" i="24"/>
  <c r="C2091" i="24"/>
  <c r="F2090" i="24"/>
  <c r="C2090" i="24"/>
  <c r="F2089" i="24"/>
  <c r="C2089" i="24"/>
  <c r="F2088" i="24"/>
  <c r="C2088" i="24"/>
  <c r="F2087" i="24"/>
  <c r="C2087" i="24"/>
  <c r="F2086" i="24"/>
  <c r="C2086" i="24"/>
  <c r="F2085" i="24"/>
  <c r="C2085" i="24"/>
  <c r="C2081" i="24"/>
  <c r="C2080" i="24"/>
  <c r="C2079" i="24"/>
  <c r="C2078" i="24"/>
  <c r="C2077" i="24"/>
  <c r="C2076" i="24"/>
  <c r="F2075" i="24"/>
  <c r="C2075" i="24"/>
  <c r="F2074" i="24"/>
  <c r="C2074" i="24"/>
  <c r="F2073" i="24"/>
  <c r="C2073" i="24"/>
  <c r="F2072" i="24"/>
  <c r="C2072" i="24"/>
  <c r="F2071" i="24"/>
  <c r="C2071" i="24"/>
  <c r="F2070" i="24"/>
  <c r="C2070" i="24"/>
  <c r="C2066" i="24"/>
  <c r="C2065" i="24"/>
  <c r="C2064" i="24"/>
  <c r="C2063" i="24"/>
  <c r="C2062" i="24"/>
  <c r="C2061" i="24"/>
  <c r="F2060" i="24"/>
  <c r="C2060" i="24"/>
  <c r="F2059" i="24"/>
  <c r="C2059" i="24"/>
  <c r="F2058" i="24"/>
  <c r="C2058" i="24"/>
  <c r="F2057" i="24"/>
  <c r="C2057" i="24"/>
  <c r="F2056" i="24"/>
  <c r="C2056" i="24"/>
  <c r="F2055" i="24"/>
  <c r="C2055" i="24"/>
  <c r="C2051" i="24"/>
  <c r="C2050" i="24"/>
  <c r="C2049" i="24"/>
  <c r="C2048" i="24"/>
  <c r="C2047" i="24"/>
  <c r="C2046" i="24"/>
  <c r="F2045" i="24"/>
  <c r="C2045" i="24"/>
  <c r="F2044" i="24"/>
  <c r="C2044" i="24"/>
  <c r="F2043" i="24"/>
  <c r="C2043" i="24"/>
  <c r="F2042" i="24"/>
  <c r="C2042" i="24"/>
  <c r="F2041" i="24"/>
  <c r="C2041" i="24"/>
  <c r="F2040" i="24"/>
  <c r="C2040" i="24"/>
  <c r="C2036" i="24"/>
  <c r="C2035" i="24"/>
  <c r="C2034" i="24"/>
  <c r="C2033" i="24"/>
  <c r="C2032" i="24"/>
  <c r="C2031" i="24"/>
  <c r="F2030" i="24"/>
  <c r="C2030" i="24"/>
  <c r="F2029" i="24"/>
  <c r="C2029" i="24"/>
  <c r="F2028" i="24"/>
  <c r="C2028" i="24"/>
  <c r="F2027" i="24"/>
  <c r="C2027" i="24"/>
  <c r="F2026" i="24"/>
  <c r="C2026" i="24"/>
  <c r="F2025" i="24"/>
  <c r="C2025" i="24"/>
  <c r="C2021" i="24"/>
  <c r="C2020" i="24"/>
  <c r="C2019" i="24"/>
  <c r="C2018" i="24"/>
  <c r="C2017" i="24"/>
  <c r="C2016" i="24"/>
  <c r="F2015" i="24"/>
  <c r="C2015" i="24"/>
  <c r="F2014" i="24"/>
  <c r="C2014" i="24"/>
  <c r="F2013" i="24"/>
  <c r="C2013" i="24"/>
  <c r="F2012" i="24"/>
  <c r="C2012" i="24"/>
  <c r="F2011" i="24"/>
  <c r="C2011" i="24"/>
  <c r="F2010" i="24"/>
  <c r="C2010" i="24"/>
  <c r="C2006" i="24"/>
  <c r="C2005" i="24"/>
  <c r="C2004" i="24"/>
  <c r="C2003" i="24"/>
  <c r="C2002" i="24"/>
  <c r="C2001" i="24"/>
  <c r="F2000" i="24"/>
  <c r="C2000" i="24"/>
  <c r="F1999" i="24"/>
  <c r="C1999" i="24"/>
  <c r="F1998" i="24"/>
  <c r="C1998" i="24"/>
  <c r="F1997" i="24"/>
  <c r="C1997" i="24"/>
  <c r="F1996" i="24"/>
  <c r="C1996" i="24"/>
  <c r="F1995" i="24"/>
  <c r="C1995" i="24"/>
  <c r="C1991" i="24"/>
  <c r="C1990" i="24"/>
  <c r="C1989" i="24"/>
  <c r="C1988" i="24"/>
  <c r="C1987" i="24"/>
  <c r="C1986" i="24"/>
  <c r="F1985" i="24"/>
  <c r="C1985" i="24"/>
  <c r="F1984" i="24"/>
  <c r="C1984" i="24"/>
  <c r="F1983" i="24"/>
  <c r="C1983" i="24"/>
  <c r="F1982" i="24"/>
  <c r="C1982" i="24"/>
  <c r="F1981" i="24"/>
  <c r="C1981" i="24"/>
  <c r="F1980" i="24"/>
  <c r="C1980" i="24"/>
  <c r="C1976" i="24"/>
  <c r="C1975" i="24"/>
  <c r="C1974" i="24"/>
  <c r="C1973" i="24"/>
  <c r="C1972" i="24"/>
  <c r="C1971" i="24"/>
  <c r="F1970" i="24"/>
  <c r="C1970" i="24"/>
  <c r="F1969" i="24"/>
  <c r="C1969" i="24"/>
  <c r="F1968" i="24"/>
  <c r="C1968" i="24"/>
  <c r="F1967" i="24"/>
  <c r="C1967" i="24"/>
  <c r="F1966" i="24"/>
  <c r="C1966" i="24"/>
  <c r="F1965" i="24"/>
  <c r="C1965" i="24"/>
  <c r="C1961" i="24"/>
  <c r="C1960" i="24"/>
  <c r="C1959" i="24"/>
  <c r="C1958" i="24"/>
  <c r="C1957" i="24"/>
  <c r="C1956" i="24"/>
  <c r="F1955" i="24"/>
  <c r="C1955" i="24"/>
  <c r="F1954" i="24"/>
  <c r="C1954" i="24"/>
  <c r="F1953" i="24"/>
  <c r="C1953" i="24"/>
  <c r="F1952" i="24"/>
  <c r="C1952" i="24"/>
  <c r="F1951" i="24"/>
  <c r="C1951" i="24"/>
  <c r="F1950" i="24"/>
  <c r="C1950" i="24"/>
  <c r="C1946" i="24"/>
  <c r="C1945" i="24"/>
  <c r="C1944" i="24"/>
  <c r="C1943" i="24"/>
  <c r="C1942" i="24"/>
  <c r="C1941" i="24"/>
  <c r="F1940" i="24"/>
  <c r="C1940" i="24"/>
  <c r="F1939" i="24"/>
  <c r="C1939" i="24"/>
  <c r="F1938" i="24"/>
  <c r="C1938" i="24"/>
  <c r="F1937" i="24"/>
  <c r="C1937" i="24"/>
  <c r="F1936" i="24"/>
  <c r="C1936" i="24"/>
  <c r="F1935" i="24"/>
  <c r="C1935" i="24"/>
  <c r="C1931" i="24"/>
  <c r="C1930" i="24"/>
  <c r="C1929" i="24"/>
  <c r="C1928" i="24"/>
  <c r="C1927" i="24"/>
  <c r="C1926" i="24"/>
  <c r="F1925" i="24"/>
  <c r="C1925" i="24"/>
  <c r="F1924" i="24"/>
  <c r="C1924" i="24"/>
  <c r="F1923" i="24"/>
  <c r="C1923" i="24"/>
  <c r="F1922" i="24"/>
  <c r="C1922" i="24"/>
  <c r="F1921" i="24"/>
  <c r="C1921" i="24"/>
  <c r="F1920" i="24"/>
  <c r="C1920" i="24"/>
  <c r="C1916" i="24"/>
  <c r="C1915" i="24"/>
  <c r="C1914" i="24"/>
  <c r="C1913" i="24"/>
  <c r="C1912" i="24"/>
  <c r="C1911" i="24"/>
  <c r="F1910" i="24"/>
  <c r="C1910" i="24"/>
  <c r="F1909" i="24"/>
  <c r="C1909" i="24"/>
  <c r="F1908" i="24"/>
  <c r="C1908" i="24"/>
  <c r="F1907" i="24"/>
  <c r="C1907" i="24"/>
  <c r="F1906" i="24"/>
  <c r="C1906" i="24"/>
  <c r="F1905" i="24"/>
  <c r="C1905" i="24"/>
  <c r="C1901" i="24"/>
  <c r="C1900" i="24"/>
  <c r="C1899" i="24"/>
  <c r="C1898" i="24"/>
  <c r="C1897" i="24"/>
  <c r="C1896" i="24"/>
  <c r="F1895" i="24"/>
  <c r="C1895" i="24"/>
  <c r="F1894" i="24"/>
  <c r="C1894" i="24"/>
  <c r="F1893" i="24"/>
  <c r="C1893" i="24"/>
  <c r="F1892" i="24"/>
  <c r="C1892" i="24"/>
  <c r="F1891" i="24"/>
  <c r="C1891" i="24"/>
  <c r="F1890" i="24"/>
  <c r="C1890" i="24"/>
  <c r="C1886" i="24"/>
  <c r="C1885" i="24"/>
  <c r="C1884" i="24"/>
  <c r="C1883" i="24"/>
  <c r="C1882" i="24"/>
  <c r="W1736" i="24"/>
  <c r="Y1736" i="24" s="1"/>
  <c r="AA1736" i="24" s="1"/>
  <c r="V1736" i="24"/>
  <c r="W1735" i="24"/>
  <c r="Y1735" i="24" s="1"/>
  <c r="AA1735" i="24" s="1"/>
  <c r="V1735" i="24"/>
  <c r="X1735" i="24" s="1"/>
  <c r="Z1735" i="24" s="1"/>
  <c r="Y951" i="24" l="1"/>
  <c r="W952" i="24"/>
  <c r="X949" i="24"/>
  <c r="Z949" i="24" s="1"/>
  <c r="X951" i="24"/>
  <c r="X2092" i="24"/>
  <c r="Z2092" i="24" s="1"/>
  <c r="X2093" i="24"/>
  <c r="Z2093" i="24" s="1"/>
  <c r="X2106" i="24"/>
  <c r="Z2106" i="24" s="1"/>
  <c r="X1736" i="24"/>
  <c r="Z1736" i="24" s="1"/>
  <c r="Z951" i="24" l="1"/>
  <c r="Z952" i="24" s="1"/>
  <c r="X952" i="24"/>
  <c r="AA951" i="24"/>
  <c r="AA952" i="24" s="1"/>
  <c r="Y952" i="24"/>
  <c r="W1879" i="24"/>
  <c r="Y1879" i="24" s="1"/>
  <c r="AA1879" i="24" s="1"/>
  <c r="V1879" i="24"/>
  <c r="X1879" i="24" s="1"/>
  <c r="Z1879" i="24" s="1"/>
  <c r="V1881" i="24"/>
  <c r="C1881" i="24"/>
  <c r="F1880" i="24"/>
  <c r="C1880" i="24"/>
  <c r="F1879" i="24"/>
  <c r="C1879" i="24"/>
  <c r="F1878" i="24"/>
  <c r="C1878" i="24"/>
  <c r="F1877" i="24"/>
  <c r="C1877" i="24"/>
  <c r="F1876" i="24"/>
  <c r="C1876" i="24"/>
  <c r="F1875" i="24"/>
  <c r="C1875" i="24"/>
  <c r="C1874" i="24"/>
  <c r="C1873" i="24"/>
  <c r="C1872" i="24"/>
  <c r="C1871" i="24"/>
  <c r="C1870" i="24"/>
  <c r="C1869" i="24"/>
  <c r="W1868" i="24"/>
  <c r="Y1868" i="24" s="1"/>
  <c r="AA1868" i="24" s="1"/>
  <c r="V1868" i="24"/>
  <c r="C1868" i="24"/>
  <c r="W1867" i="24"/>
  <c r="Y1867" i="24" s="1"/>
  <c r="AA1867" i="24" s="1"/>
  <c r="V1867" i="24"/>
  <c r="X1867" i="24" s="1"/>
  <c r="Z1867" i="24" s="1"/>
  <c r="C1867" i="24"/>
  <c r="C1866" i="24"/>
  <c r="F1865" i="24"/>
  <c r="C1865" i="24"/>
  <c r="F1864" i="24"/>
  <c r="C1864" i="24"/>
  <c r="F1863" i="24"/>
  <c r="C1863" i="24"/>
  <c r="F1862" i="24"/>
  <c r="C1862" i="24"/>
  <c r="F1861" i="24"/>
  <c r="C1861" i="24"/>
  <c r="F1860" i="24"/>
  <c r="C1860" i="24"/>
  <c r="C1856" i="24"/>
  <c r="C1855" i="24"/>
  <c r="C1854" i="24"/>
  <c r="C1853" i="24"/>
  <c r="C1852" i="24"/>
  <c r="C1851" i="24"/>
  <c r="F1850" i="24"/>
  <c r="C1850" i="24"/>
  <c r="F1849" i="24"/>
  <c r="C1849" i="24"/>
  <c r="F1848" i="24"/>
  <c r="C1848" i="24"/>
  <c r="F1847" i="24"/>
  <c r="C1847" i="24"/>
  <c r="F1846" i="24"/>
  <c r="C1846" i="24"/>
  <c r="F1845" i="24"/>
  <c r="C1845" i="24"/>
  <c r="C1841" i="24"/>
  <c r="C1840" i="24"/>
  <c r="C1839" i="24"/>
  <c r="C1838" i="24"/>
  <c r="C1837" i="24"/>
  <c r="C1836" i="24"/>
  <c r="F1835" i="24"/>
  <c r="C1835" i="24"/>
  <c r="F1834" i="24"/>
  <c r="C1834" i="24"/>
  <c r="F1833" i="24"/>
  <c r="C1833" i="24"/>
  <c r="F1832" i="24"/>
  <c r="C1832" i="24"/>
  <c r="F1831" i="24"/>
  <c r="C1831" i="24"/>
  <c r="F1830" i="24"/>
  <c r="C1830" i="24"/>
  <c r="C1826" i="24"/>
  <c r="C1825" i="24"/>
  <c r="C1824" i="24"/>
  <c r="C1823" i="24"/>
  <c r="C1822" i="24"/>
  <c r="C1821" i="24"/>
  <c r="F1820" i="24"/>
  <c r="C1820" i="24"/>
  <c r="F1819" i="24"/>
  <c r="C1819" i="24"/>
  <c r="F1818" i="24"/>
  <c r="C1818" i="24"/>
  <c r="F1817" i="24"/>
  <c r="C1817" i="24"/>
  <c r="F1816" i="24"/>
  <c r="C1816" i="24"/>
  <c r="F1815" i="24"/>
  <c r="C1815" i="24"/>
  <c r="C1811" i="24"/>
  <c r="C1810" i="24"/>
  <c r="C1809" i="24"/>
  <c r="C1808" i="24"/>
  <c r="C1807" i="24"/>
  <c r="C1806" i="24"/>
  <c r="F1805" i="24"/>
  <c r="C1805" i="24"/>
  <c r="F1804" i="24"/>
  <c r="C1804" i="24"/>
  <c r="F1803" i="24"/>
  <c r="C1803" i="24"/>
  <c r="F1802" i="24"/>
  <c r="C1802" i="24"/>
  <c r="F1801" i="24"/>
  <c r="C1801" i="24"/>
  <c r="F1800" i="24"/>
  <c r="C1800" i="24"/>
  <c r="C1796" i="24"/>
  <c r="C1795" i="24"/>
  <c r="C1794" i="24"/>
  <c r="C1793" i="24"/>
  <c r="C1792" i="24"/>
  <c r="C1791" i="24"/>
  <c r="F1790" i="24"/>
  <c r="C1790" i="24"/>
  <c r="F1789" i="24"/>
  <c r="C1789" i="24"/>
  <c r="F1788" i="24"/>
  <c r="C1788" i="24"/>
  <c r="F1787" i="24"/>
  <c r="C1787" i="24"/>
  <c r="F1786" i="24"/>
  <c r="C1786" i="24"/>
  <c r="F1785" i="24"/>
  <c r="C1785" i="24"/>
  <c r="C1781" i="24"/>
  <c r="C1780" i="24"/>
  <c r="C1779" i="24"/>
  <c r="C1778" i="24"/>
  <c r="C1777" i="24"/>
  <c r="C1776" i="24"/>
  <c r="F1775" i="24"/>
  <c r="C1775" i="24"/>
  <c r="F1774" i="24"/>
  <c r="C1774" i="24"/>
  <c r="F1773" i="24"/>
  <c r="C1773" i="24"/>
  <c r="F1772" i="24"/>
  <c r="C1772" i="24"/>
  <c r="F1771" i="24"/>
  <c r="C1771" i="24"/>
  <c r="F1770" i="24"/>
  <c r="C1770" i="24"/>
  <c r="C1766" i="24"/>
  <c r="C1765" i="24"/>
  <c r="C1764" i="24"/>
  <c r="C1763" i="24"/>
  <c r="C1762" i="24"/>
  <c r="C1761" i="24"/>
  <c r="F1760" i="24"/>
  <c r="C1760" i="24"/>
  <c r="F1759" i="24"/>
  <c r="C1759" i="24"/>
  <c r="F1758" i="24"/>
  <c r="C1758" i="24"/>
  <c r="F1757" i="24"/>
  <c r="C1757" i="24"/>
  <c r="F1756" i="24"/>
  <c r="C1756" i="24"/>
  <c r="F1755" i="24"/>
  <c r="C1755" i="24"/>
  <c r="C1754" i="24"/>
  <c r="C1753" i="24"/>
  <c r="C1752" i="24"/>
  <c r="C1751" i="24"/>
  <c r="C1750" i="24"/>
  <c r="C1749" i="24"/>
  <c r="C1748" i="24"/>
  <c r="C1747" i="24"/>
  <c r="C1746" i="24"/>
  <c r="C1169" i="24"/>
  <c r="C1168" i="24"/>
  <c r="Q50" i="23"/>
  <c r="Q49" i="23"/>
  <c r="P49" i="23"/>
  <c r="P50" i="23"/>
  <c r="R51" i="23"/>
  <c r="R52" i="23" s="1"/>
  <c r="P52" i="23" s="1"/>
  <c r="AJ453" i="24"/>
  <c r="AJ454" i="24" s="1"/>
  <c r="AJ455" i="24" s="1"/>
  <c r="AI453" i="24"/>
  <c r="AI454" i="24" s="1"/>
  <c r="AI455" i="24" s="1"/>
  <c r="AD453" i="24"/>
  <c r="AD454" i="24" s="1"/>
  <c r="AD455" i="24" s="1"/>
  <c r="AC453" i="24"/>
  <c r="AC454" i="24" s="1"/>
  <c r="AC455" i="24" s="1"/>
  <c r="AB453" i="24"/>
  <c r="AB454" i="24" s="1"/>
  <c r="AB455" i="24" s="1"/>
  <c r="X453" i="24"/>
  <c r="X454" i="24" s="1"/>
  <c r="X455" i="24" s="1"/>
  <c r="W453" i="24"/>
  <c r="W454" i="24" s="1"/>
  <c r="W455" i="24" s="1"/>
  <c r="V453" i="24"/>
  <c r="V454" i="24" s="1"/>
  <c r="V455" i="24" s="1"/>
  <c r="U453" i="24"/>
  <c r="U454" i="24" s="1"/>
  <c r="U455" i="24" s="1"/>
  <c r="W1881" i="24" l="1"/>
  <c r="X1868" i="24"/>
  <c r="Z1868" i="24" s="1"/>
  <c r="Q52" i="23"/>
  <c r="P51" i="23"/>
  <c r="Q51" i="23"/>
  <c r="X1881" i="24" l="1"/>
  <c r="H47" i="17"/>
  <c r="H50" i="17"/>
  <c r="J46" i="17"/>
  <c r="I46" i="17"/>
  <c r="H49" i="17"/>
  <c r="Y1881" i="24" l="1"/>
  <c r="L37" i="20"/>
  <c r="L53" i="20"/>
  <c r="N52" i="20"/>
  <c r="M52" i="20"/>
  <c r="G61" i="17"/>
  <c r="H53" i="17"/>
  <c r="H52" i="17"/>
  <c r="H51" i="17"/>
  <c r="H48" i="17"/>
  <c r="H44" i="17"/>
  <c r="Z1881" i="24" l="1"/>
  <c r="AD186" i="23"/>
  <c r="AC186" i="23"/>
  <c r="AA186" i="23"/>
  <c r="Z186" i="23"/>
  <c r="X186" i="23"/>
  <c r="AA1881" i="24" l="1"/>
  <c r="C1157" i="24"/>
  <c r="C1156" i="24"/>
  <c r="C1155" i="24"/>
  <c r="C1154" i="24"/>
  <c r="C1141" i="24"/>
  <c r="C1140" i="24"/>
  <c r="C1139" i="24"/>
  <c r="C1138" i="24"/>
  <c r="C1137" i="24"/>
  <c r="C1136" i="24"/>
  <c r="C1135" i="24"/>
  <c r="C1134" i="24"/>
  <c r="C1133" i="24"/>
  <c r="C1132" i="24"/>
  <c r="C1131" i="24"/>
  <c r="C1130" i="24"/>
  <c r="C1129" i="24"/>
  <c r="C1128" i="24"/>
  <c r="C1127" i="24"/>
  <c r="C1126" i="24"/>
  <c r="C1125" i="24"/>
  <c r="C1124" i="24"/>
  <c r="C1123" i="24"/>
  <c r="C1122" i="24"/>
  <c r="C1121" i="24"/>
  <c r="C1120" i="24"/>
  <c r="C1119" i="24"/>
  <c r="C1118" i="24"/>
  <c r="C1117" i="24"/>
  <c r="C1116" i="24"/>
  <c r="C1115" i="24"/>
  <c r="C1114" i="24"/>
  <c r="C1113" i="24"/>
  <c r="C1112" i="24"/>
  <c r="C1111" i="24"/>
  <c r="C1110" i="24"/>
  <c r="C1109" i="24"/>
  <c r="C1108" i="24"/>
  <c r="C1107" i="24"/>
  <c r="C1106" i="24"/>
  <c r="C1105" i="24"/>
  <c r="C1104" i="24"/>
  <c r="C1103" i="24"/>
  <c r="C1102" i="24"/>
  <c r="U992" i="24"/>
  <c r="C992" i="24"/>
  <c r="W991" i="24"/>
  <c r="V991" i="24"/>
  <c r="C991" i="24"/>
  <c r="W990" i="24"/>
  <c r="Y990" i="24" s="1"/>
  <c r="AA990" i="24" s="1"/>
  <c r="V990" i="24"/>
  <c r="X990" i="24" s="1"/>
  <c r="Z990" i="24" s="1"/>
  <c r="C990" i="24"/>
  <c r="W989" i="24"/>
  <c r="Y989" i="24" s="1"/>
  <c r="AA989" i="24" s="1"/>
  <c r="V989" i="24"/>
  <c r="X989" i="24" s="1"/>
  <c r="Z989" i="24" s="1"/>
  <c r="C989" i="24"/>
  <c r="U968" i="24"/>
  <c r="C968" i="24"/>
  <c r="W967" i="24"/>
  <c r="V967" i="24"/>
  <c r="C967" i="24"/>
  <c r="W966" i="24"/>
  <c r="Y966" i="24" s="1"/>
  <c r="AA966" i="24" s="1"/>
  <c r="V966" i="24"/>
  <c r="C966" i="24"/>
  <c r="W965" i="24"/>
  <c r="Y965" i="24" s="1"/>
  <c r="AA965" i="24" s="1"/>
  <c r="V965" i="24"/>
  <c r="X965" i="24" s="1"/>
  <c r="Z965" i="24" s="1"/>
  <c r="C965" i="24"/>
  <c r="U972" i="24"/>
  <c r="C972" i="24"/>
  <c r="W971" i="24"/>
  <c r="V971" i="24"/>
  <c r="C971" i="24"/>
  <c r="W970" i="24"/>
  <c r="Y970" i="24" s="1"/>
  <c r="AA970" i="24" s="1"/>
  <c r="V970" i="24"/>
  <c r="C970" i="24"/>
  <c r="W969" i="24"/>
  <c r="Y969" i="24" s="1"/>
  <c r="AA969" i="24" s="1"/>
  <c r="V969" i="24"/>
  <c r="X969" i="24" s="1"/>
  <c r="Z969" i="24" s="1"/>
  <c r="C969" i="24"/>
  <c r="U976" i="24"/>
  <c r="C976" i="24"/>
  <c r="W975" i="24"/>
  <c r="V975" i="24"/>
  <c r="V976" i="24" s="1"/>
  <c r="C975" i="24"/>
  <c r="W974" i="24"/>
  <c r="Y974" i="24" s="1"/>
  <c r="AA974" i="24" s="1"/>
  <c r="V974" i="24"/>
  <c r="X974" i="24" s="1"/>
  <c r="Z974" i="24" s="1"/>
  <c r="C974" i="24"/>
  <c r="W973" i="24"/>
  <c r="Y973" i="24" s="1"/>
  <c r="AA973" i="24" s="1"/>
  <c r="V973" i="24"/>
  <c r="X973" i="24" s="1"/>
  <c r="Z973" i="24" s="1"/>
  <c r="C973" i="24"/>
  <c r="U980" i="24"/>
  <c r="C980" i="24"/>
  <c r="W979" i="24"/>
  <c r="V979" i="24"/>
  <c r="C979" i="24"/>
  <c r="W978" i="24"/>
  <c r="Y978" i="24" s="1"/>
  <c r="AA978" i="24" s="1"/>
  <c r="V978" i="24"/>
  <c r="X978" i="24" s="1"/>
  <c r="Z978" i="24" s="1"/>
  <c r="C978" i="24"/>
  <c r="W977" i="24"/>
  <c r="Y977" i="24" s="1"/>
  <c r="AA977" i="24" s="1"/>
  <c r="V977" i="24"/>
  <c r="X977" i="24" s="1"/>
  <c r="Z977" i="24" s="1"/>
  <c r="C977" i="24"/>
  <c r="U964" i="24"/>
  <c r="C964" i="24"/>
  <c r="W963" i="24"/>
  <c r="V963" i="24"/>
  <c r="V964" i="24" s="1"/>
  <c r="C963" i="24"/>
  <c r="W962" i="24"/>
  <c r="Y962" i="24" s="1"/>
  <c r="AA962" i="24" s="1"/>
  <c r="V962" i="24"/>
  <c r="X962" i="24" s="1"/>
  <c r="Z962" i="24" s="1"/>
  <c r="C962" i="24"/>
  <c r="W961" i="24"/>
  <c r="Y961" i="24" s="1"/>
  <c r="AA961" i="24" s="1"/>
  <c r="V961" i="24"/>
  <c r="C961" i="24"/>
  <c r="U960" i="24"/>
  <c r="C960" i="24"/>
  <c r="W959" i="24"/>
  <c r="V959" i="24"/>
  <c r="V960" i="24" s="1"/>
  <c r="C959" i="24"/>
  <c r="W958" i="24"/>
  <c r="Y958" i="24" s="1"/>
  <c r="AA958" i="24" s="1"/>
  <c r="V958" i="24"/>
  <c r="X958" i="24" s="1"/>
  <c r="Z958" i="24" s="1"/>
  <c r="C958" i="24"/>
  <c r="W957" i="24"/>
  <c r="Y957" i="24" s="1"/>
  <c r="AA957" i="24" s="1"/>
  <c r="V957" i="24"/>
  <c r="C957" i="24"/>
  <c r="C956" i="24"/>
  <c r="W955" i="24"/>
  <c r="Y955" i="24" s="1"/>
  <c r="AA955" i="24" s="1"/>
  <c r="V955" i="24"/>
  <c r="C955" i="24"/>
  <c r="W954" i="24"/>
  <c r="Y954" i="24" s="1"/>
  <c r="AA954" i="24" s="1"/>
  <c r="V954" i="24"/>
  <c r="X954" i="24" s="1"/>
  <c r="Z954" i="24" s="1"/>
  <c r="C954" i="24"/>
  <c r="W953" i="24"/>
  <c r="Y953" i="24" s="1"/>
  <c r="AA953" i="24" s="1"/>
  <c r="V953" i="24"/>
  <c r="X953" i="24" s="1"/>
  <c r="Z953" i="24" s="1"/>
  <c r="C953" i="24"/>
  <c r="U948" i="24"/>
  <c r="C948" i="24"/>
  <c r="W947" i="24"/>
  <c r="V947" i="24"/>
  <c r="C947" i="24"/>
  <c r="W946" i="24"/>
  <c r="Y946" i="24" s="1"/>
  <c r="AA946" i="24" s="1"/>
  <c r="V946" i="24"/>
  <c r="X946" i="24" s="1"/>
  <c r="Z946" i="24" s="1"/>
  <c r="C946" i="24"/>
  <c r="W945" i="24"/>
  <c r="Y945" i="24" s="1"/>
  <c r="AA945" i="24" s="1"/>
  <c r="V945" i="24"/>
  <c r="X945" i="24" s="1"/>
  <c r="Z945" i="24" s="1"/>
  <c r="C945" i="24"/>
  <c r="U944" i="24"/>
  <c r="C944" i="24"/>
  <c r="W943" i="24"/>
  <c r="V943" i="24"/>
  <c r="C943" i="24"/>
  <c r="W942" i="24"/>
  <c r="Y942" i="24" s="1"/>
  <c r="AA942" i="24" s="1"/>
  <c r="V942" i="24"/>
  <c r="C942" i="24"/>
  <c r="W941" i="24"/>
  <c r="Y941" i="24" s="1"/>
  <c r="AA941" i="24" s="1"/>
  <c r="V941" i="24"/>
  <c r="C941" i="24"/>
  <c r="W938" i="24"/>
  <c r="Y938" i="24" s="1"/>
  <c r="AA938" i="24" s="1"/>
  <c r="W937" i="24"/>
  <c r="Y937" i="24" s="1"/>
  <c r="AA937" i="24" s="1"/>
  <c r="U940" i="24"/>
  <c r="C940" i="24"/>
  <c r="W939" i="24"/>
  <c r="V939" i="24"/>
  <c r="C939" i="24"/>
  <c r="V938" i="24"/>
  <c r="C938" i="24"/>
  <c r="V937" i="24"/>
  <c r="C937" i="24"/>
  <c r="W1734" i="24"/>
  <c r="Y1734" i="24" s="1"/>
  <c r="AA1734" i="24" s="1"/>
  <c r="V1734" i="24"/>
  <c r="W1745" i="24"/>
  <c r="C1745" i="24"/>
  <c r="F1744" i="24"/>
  <c r="C1744" i="24"/>
  <c r="F1743" i="24"/>
  <c r="C1743" i="24"/>
  <c r="F1742" i="24"/>
  <c r="C1742" i="24"/>
  <c r="F1741" i="24"/>
  <c r="C1741" i="24"/>
  <c r="F1740" i="24"/>
  <c r="C1740" i="24"/>
  <c r="F1739" i="24"/>
  <c r="C1739" i="24"/>
  <c r="C1738" i="24"/>
  <c r="C1737" i="24"/>
  <c r="C1736" i="24"/>
  <c r="C1735" i="24"/>
  <c r="C1734" i="24"/>
  <c r="W1733" i="24"/>
  <c r="Y1733" i="24" s="1"/>
  <c r="AA1733" i="24" s="1"/>
  <c r="C1733" i="24"/>
  <c r="C1732" i="24"/>
  <c r="V1731" i="24"/>
  <c r="C1731" i="24"/>
  <c r="Y939" i="24" l="1"/>
  <c r="W940" i="24"/>
  <c r="X979" i="24"/>
  <c r="V980" i="24"/>
  <c r="Y943" i="24"/>
  <c r="W944" i="24"/>
  <c r="Y979" i="24"/>
  <c r="W980" i="24"/>
  <c r="Y975" i="24"/>
  <c r="W976" i="24"/>
  <c r="X967" i="24"/>
  <c r="V968" i="24"/>
  <c r="X991" i="24"/>
  <c r="V992" i="24"/>
  <c r="Y967" i="24"/>
  <c r="W968" i="24"/>
  <c r="Y991" i="24"/>
  <c r="W992" i="24"/>
  <c r="Y963" i="24"/>
  <c r="W964" i="24"/>
  <c r="Y971" i="24"/>
  <c r="W972" i="24"/>
  <c r="X939" i="24"/>
  <c r="V940" i="24"/>
  <c r="Y947" i="24"/>
  <c r="W948" i="24"/>
  <c r="X943" i="24"/>
  <c r="V944" i="24"/>
  <c r="Y959" i="24"/>
  <c r="W960" i="24"/>
  <c r="X947" i="24"/>
  <c r="V948" i="24"/>
  <c r="X971" i="24"/>
  <c r="V972" i="24"/>
  <c r="Y1745" i="24"/>
  <c r="X966" i="24"/>
  <c r="Z966" i="24" s="1"/>
  <c r="X970" i="24"/>
  <c r="Z970" i="24" s="1"/>
  <c r="X975" i="24"/>
  <c r="X963" i="24"/>
  <c r="X957" i="24"/>
  <c r="Z957" i="24" s="1"/>
  <c r="X961" i="24"/>
  <c r="Z961" i="24" s="1"/>
  <c r="X959" i="24"/>
  <c r="X955" i="24"/>
  <c r="Z955" i="24" s="1"/>
  <c r="X941" i="24"/>
  <c r="Z941" i="24" s="1"/>
  <c r="X942" i="24"/>
  <c r="Z942" i="24" s="1"/>
  <c r="X938" i="24"/>
  <c r="Z938" i="24" s="1"/>
  <c r="X937" i="24"/>
  <c r="Z937" i="24" s="1"/>
  <c r="X1734" i="24"/>
  <c r="Z1734" i="24" s="1"/>
  <c r="W1732" i="24"/>
  <c r="Y1732" i="24" s="1"/>
  <c r="AA1732" i="24" s="1"/>
  <c r="V1732" i="24"/>
  <c r="X1731" i="24"/>
  <c r="Z1731" i="24" s="1"/>
  <c r="V1733" i="24"/>
  <c r="W1731" i="24"/>
  <c r="Y1731" i="24" s="1"/>
  <c r="AA1731" i="24" s="1"/>
  <c r="V1745" i="24"/>
  <c r="AA971" i="24" l="1"/>
  <c r="AA972" i="24" s="1"/>
  <c r="Y972" i="24"/>
  <c r="AA947" i="24"/>
  <c r="AA948" i="24" s="1"/>
  <c r="Y948" i="24"/>
  <c r="AA967" i="24"/>
  <c r="AA968" i="24" s="1"/>
  <c r="Y968" i="24"/>
  <c r="AA959" i="24"/>
  <c r="AA960" i="24" s="1"/>
  <c r="Y960" i="24"/>
  <c r="Z943" i="24"/>
  <c r="Z944" i="24" s="1"/>
  <c r="X944" i="24"/>
  <c r="Z991" i="24"/>
  <c r="Z992" i="24" s="1"/>
  <c r="X992" i="24"/>
  <c r="Z967" i="24"/>
  <c r="Z968" i="24" s="1"/>
  <c r="X968" i="24"/>
  <c r="Z979" i="24"/>
  <c r="Z980" i="24" s="1"/>
  <c r="X980" i="24"/>
  <c r="Z939" i="24"/>
  <c r="Z940" i="24" s="1"/>
  <c r="X940" i="24"/>
  <c r="AA963" i="24"/>
  <c r="AA964" i="24" s="1"/>
  <c r="Y964" i="24"/>
  <c r="AA991" i="24"/>
  <c r="AA992" i="24" s="1"/>
  <c r="Y992" i="24"/>
  <c r="Z959" i="24"/>
  <c r="Z960" i="24" s="1"/>
  <c r="X960" i="24"/>
  <c r="Z963" i="24"/>
  <c r="Z964" i="24" s="1"/>
  <c r="X964" i="24"/>
  <c r="AA943" i="24"/>
  <c r="AA944" i="24" s="1"/>
  <c r="Y944" i="24"/>
  <c r="Z947" i="24"/>
  <c r="Z948" i="24" s="1"/>
  <c r="X948" i="24"/>
  <c r="AA975" i="24"/>
  <c r="AA976" i="24" s="1"/>
  <c r="Y976" i="24"/>
  <c r="AA979" i="24"/>
  <c r="AA980" i="24" s="1"/>
  <c r="Y980" i="24"/>
  <c r="Z975" i="24"/>
  <c r="Z976" i="24" s="1"/>
  <c r="X976" i="24"/>
  <c r="Z971" i="24"/>
  <c r="Z972" i="24" s="1"/>
  <c r="X972" i="24"/>
  <c r="AA939" i="24"/>
  <c r="AA940" i="24" s="1"/>
  <c r="Y940" i="24"/>
  <c r="AA1745" i="24"/>
  <c r="X1732" i="24"/>
  <c r="Z1732" i="24" s="1"/>
  <c r="X1745" i="24"/>
  <c r="X1733" i="24"/>
  <c r="Z1733" i="24" s="1"/>
  <c r="Z1745" i="24" l="1"/>
  <c r="C1324" i="24"/>
  <c r="C1323" i="24"/>
  <c r="C1322" i="24"/>
  <c r="C1321" i="24"/>
  <c r="C1320" i="24"/>
  <c r="C1319" i="24"/>
  <c r="C1318" i="24"/>
  <c r="C1317" i="24"/>
  <c r="V931" i="24"/>
  <c r="W931" i="24" l="1"/>
  <c r="V930" i="24"/>
  <c r="V929" i="24"/>
  <c r="V1701" i="24"/>
  <c r="W1701" i="24" s="1"/>
  <c r="X1701" i="24" s="1"/>
  <c r="Y1701" i="24" s="1"/>
  <c r="Z1701" i="24" s="1"/>
  <c r="AA1701" i="24" s="1"/>
  <c r="V1703" i="24"/>
  <c r="W1703" i="24" s="1"/>
  <c r="X1703" i="24" s="1"/>
  <c r="Y1703" i="24" s="1"/>
  <c r="Z1703" i="24" s="1"/>
  <c r="AA1703" i="24" s="1"/>
  <c r="V1707" i="24"/>
  <c r="W1707" i="24" s="1"/>
  <c r="X1707" i="24" s="1"/>
  <c r="Y1707" i="24" s="1"/>
  <c r="Z1707" i="24" s="1"/>
  <c r="AA1707" i="24" s="1"/>
  <c r="V1708" i="24"/>
  <c r="W1708" i="24" s="1"/>
  <c r="X1708" i="24" s="1"/>
  <c r="Y1708" i="24" s="1"/>
  <c r="Z1708" i="24" s="1"/>
  <c r="AA1708" i="24" s="1"/>
  <c r="V1710" i="24"/>
  <c r="W1710" i="24" s="1"/>
  <c r="X1710" i="24" s="1"/>
  <c r="Y1710" i="24" s="1"/>
  <c r="Z1710" i="24" s="1"/>
  <c r="AA1710" i="24" s="1"/>
  <c r="V1711" i="24"/>
  <c r="W1711" i="24" s="1"/>
  <c r="X1711" i="24" s="1"/>
  <c r="Y1711" i="24" s="1"/>
  <c r="Z1711" i="24" s="1"/>
  <c r="AA1711" i="24" s="1"/>
  <c r="V1712" i="24"/>
  <c r="W1712" i="24" s="1"/>
  <c r="X1712" i="24" s="1"/>
  <c r="Y1712" i="24" s="1"/>
  <c r="Z1712" i="24" s="1"/>
  <c r="AA1712" i="24" s="1"/>
  <c r="V1713" i="24"/>
  <c r="W1713" i="24" s="1"/>
  <c r="X1713" i="24" s="1"/>
  <c r="Y1713" i="24" s="1"/>
  <c r="Z1713" i="24" s="1"/>
  <c r="AA1713" i="24" s="1"/>
  <c r="V1715" i="24"/>
  <c r="W1715" i="24" s="1"/>
  <c r="X1715" i="24" s="1"/>
  <c r="Y1715" i="24" s="1"/>
  <c r="Z1715" i="24" s="1"/>
  <c r="AA1715" i="24" s="1"/>
  <c r="C1684" i="24"/>
  <c r="F1683" i="24"/>
  <c r="C1683" i="24"/>
  <c r="F1669" i="24"/>
  <c r="C1669" i="24"/>
  <c r="F1668" i="24"/>
  <c r="C1668" i="24"/>
  <c r="F1654" i="24"/>
  <c r="C1654" i="24"/>
  <c r="F1653" i="24"/>
  <c r="C1653" i="24"/>
  <c r="F1639" i="24"/>
  <c r="C1639" i="24"/>
  <c r="F1638" i="24"/>
  <c r="C1638" i="24"/>
  <c r="F1624" i="24"/>
  <c r="C1624" i="24"/>
  <c r="F1623" i="24"/>
  <c r="C1623" i="24"/>
  <c r="F1609" i="24"/>
  <c r="C1609" i="24"/>
  <c r="F1608" i="24"/>
  <c r="C1608" i="24"/>
  <c r="F1594" i="24"/>
  <c r="C1594" i="24"/>
  <c r="F1593" i="24"/>
  <c r="C1593" i="24"/>
  <c r="F1579" i="24"/>
  <c r="C1579" i="24"/>
  <c r="F1578" i="24"/>
  <c r="C1578" i="24"/>
  <c r="F1564" i="24"/>
  <c r="C1564" i="24"/>
  <c r="F1563" i="24"/>
  <c r="C1563" i="24"/>
  <c r="F1549" i="24"/>
  <c r="C1549" i="24"/>
  <c r="F1548" i="24"/>
  <c r="C1548" i="24"/>
  <c r="F1534" i="24"/>
  <c r="C1534" i="24"/>
  <c r="F1533" i="24"/>
  <c r="C1533" i="24"/>
  <c r="F1519" i="24"/>
  <c r="C1519" i="24"/>
  <c r="F1518" i="24"/>
  <c r="C1518" i="24"/>
  <c r="F1504" i="24"/>
  <c r="C1504" i="24"/>
  <c r="F1503" i="24"/>
  <c r="C1503" i="24"/>
  <c r="F1489" i="24"/>
  <c r="C1489" i="24"/>
  <c r="F1488" i="24"/>
  <c r="C1488" i="24"/>
  <c r="F1474" i="24"/>
  <c r="C1474" i="24"/>
  <c r="F1473" i="24"/>
  <c r="C1473" i="24"/>
  <c r="F1459" i="24"/>
  <c r="C1459" i="24"/>
  <c r="F1458" i="24"/>
  <c r="C1458" i="24"/>
  <c r="F1444" i="24"/>
  <c r="C1444" i="24"/>
  <c r="F1443" i="24"/>
  <c r="C1443" i="24"/>
  <c r="F1429" i="24"/>
  <c r="C1429" i="24"/>
  <c r="F1428" i="24"/>
  <c r="C1428" i="24"/>
  <c r="F1414" i="24"/>
  <c r="C1414" i="24"/>
  <c r="F1413" i="24"/>
  <c r="C1413" i="24"/>
  <c r="F1399" i="24"/>
  <c r="C1399" i="24"/>
  <c r="F1398" i="24"/>
  <c r="C1398" i="24"/>
  <c r="F1384" i="24"/>
  <c r="C1384" i="24"/>
  <c r="F1383" i="24"/>
  <c r="C1383" i="24"/>
  <c r="F1369" i="24"/>
  <c r="C1369" i="24"/>
  <c r="F1368" i="24"/>
  <c r="C1368" i="24"/>
  <c r="F1353" i="24"/>
  <c r="F1354" i="24"/>
  <c r="C1354" i="24"/>
  <c r="C1353" i="24"/>
  <c r="F1339" i="24"/>
  <c r="F1338" i="24"/>
  <c r="F1337" i="24"/>
  <c r="F1352" i="24"/>
  <c r="F1335" i="24"/>
  <c r="F1336" i="24"/>
  <c r="C1339" i="24"/>
  <c r="C1338" i="24"/>
  <c r="C1699" i="24"/>
  <c r="C1698" i="24"/>
  <c r="C1714" i="24"/>
  <c r="C1713" i="24"/>
  <c r="C1729" i="24"/>
  <c r="C1728" i="24"/>
  <c r="C1097" i="24"/>
  <c r="C1096" i="24"/>
  <c r="C1095" i="24"/>
  <c r="C1094" i="24"/>
  <c r="C932" i="24"/>
  <c r="C931" i="24"/>
  <c r="C930" i="24"/>
  <c r="C929" i="24"/>
  <c r="V1730" i="24"/>
  <c r="V1727" i="24"/>
  <c r="V1726" i="24"/>
  <c r="V1725" i="24"/>
  <c r="V1724" i="24"/>
  <c r="V1722" i="24"/>
  <c r="V1718" i="24"/>
  <c r="V1717" i="24"/>
  <c r="V1716" i="24"/>
  <c r="C1715" i="24"/>
  <c r="F1712" i="24"/>
  <c r="C1712" i="24"/>
  <c r="F1711" i="24"/>
  <c r="C1711" i="24"/>
  <c r="F1710" i="24"/>
  <c r="C1710" i="24"/>
  <c r="F1709" i="24"/>
  <c r="C1709" i="24"/>
  <c r="C1708" i="24"/>
  <c r="C1707" i="24"/>
  <c r="C1704" i="24"/>
  <c r="C1703" i="24"/>
  <c r="C1706" i="24"/>
  <c r="C1705" i="24"/>
  <c r="C1702" i="24"/>
  <c r="C1701" i="24"/>
  <c r="W930" i="24" l="1"/>
  <c r="W929" i="24"/>
  <c r="X931" i="24"/>
  <c r="C2107" i="24"/>
  <c r="C2108" i="24"/>
  <c r="C2109" i="24"/>
  <c r="C2110" i="24"/>
  <c r="C2111" i="24"/>
  <c r="C2112" i="24"/>
  <c r="C2113" i="24"/>
  <c r="C2114" i="24"/>
  <c r="C2115" i="24"/>
  <c r="C2116" i="24"/>
  <c r="C2117" i="24"/>
  <c r="C2118" i="24"/>
  <c r="C2119" i="24"/>
  <c r="C343" i="24"/>
  <c r="AD341" i="24"/>
  <c r="AC341" i="24"/>
  <c r="AB341" i="24"/>
  <c r="X341" i="24"/>
  <c r="W341" i="24"/>
  <c r="V341" i="24"/>
  <c r="U341" i="24"/>
  <c r="X930" i="24" l="1"/>
  <c r="Y931" i="24"/>
  <c r="X929" i="24"/>
  <c r="C342" i="24"/>
  <c r="C341" i="24"/>
  <c r="AD340" i="24"/>
  <c r="AC340" i="24"/>
  <c r="AB340" i="24"/>
  <c r="X340" i="24"/>
  <c r="W340" i="24"/>
  <c r="V340" i="24"/>
  <c r="U340" i="24"/>
  <c r="C340" i="24"/>
  <c r="Y930" i="24" l="1"/>
  <c r="Y929" i="24"/>
  <c r="Z931" i="24"/>
  <c r="G1" i="24"/>
  <c r="C2" i="24"/>
  <c r="C3" i="24"/>
  <c r="C4" i="24"/>
  <c r="C7" i="24"/>
  <c r="C8" i="24"/>
  <c r="C9" i="24"/>
  <c r="C10" i="24"/>
  <c r="C11" i="24"/>
  <c r="C12" i="24"/>
  <c r="C13" i="24"/>
  <c r="C14" i="24"/>
  <c r="C15" i="24"/>
  <c r="C16" i="24"/>
  <c r="C17" i="24"/>
  <c r="C18" i="24"/>
  <c r="C19" i="24"/>
  <c r="C20" i="24"/>
  <c r="C21" i="24"/>
  <c r="C22" i="24"/>
  <c r="C23" i="24"/>
  <c r="C24" i="24"/>
  <c r="C25" i="24"/>
  <c r="C26" i="24"/>
  <c r="C27" i="24"/>
  <c r="H29" i="24"/>
  <c r="C30" i="24"/>
  <c r="C31" i="24"/>
  <c r="C32" i="24"/>
  <c r="C33" i="24"/>
  <c r="C34" i="24"/>
  <c r="C35" i="24"/>
  <c r="C36" i="24"/>
  <c r="C39" i="24"/>
  <c r="C40" i="24"/>
  <c r="C41" i="24"/>
  <c r="C42" i="24"/>
  <c r="AI42" i="24"/>
  <c r="C43" i="24"/>
  <c r="C44" i="24"/>
  <c r="C46" i="24"/>
  <c r="C47" i="24"/>
  <c r="C48" i="24"/>
  <c r="C49" i="24"/>
  <c r="C50" i="24"/>
  <c r="C51" i="24"/>
  <c r="C53" i="24"/>
  <c r="C54" i="24"/>
  <c r="C55" i="24"/>
  <c r="C56" i="24"/>
  <c r="C57" i="24"/>
  <c r="C58" i="24"/>
  <c r="C59" i="24"/>
  <c r="C60" i="24"/>
  <c r="C61" i="24"/>
  <c r="C62" i="24"/>
  <c r="C63" i="24"/>
  <c r="C64" i="24"/>
  <c r="C65" i="24"/>
  <c r="C66" i="24"/>
  <c r="U66" i="24"/>
  <c r="V66" i="24"/>
  <c r="W66" i="24"/>
  <c r="X66" i="24"/>
  <c r="AB66" i="24"/>
  <c r="AC66" i="24"/>
  <c r="AD66" i="24"/>
  <c r="C67" i="24"/>
  <c r="C68" i="24"/>
  <c r="V68" i="24"/>
  <c r="X68" i="24" s="1"/>
  <c r="Z68" i="24" s="1"/>
  <c r="W68" i="24"/>
  <c r="Y68" i="24" s="1"/>
  <c r="AA68" i="24" s="1"/>
  <c r="C69" i="24"/>
  <c r="U69" i="24"/>
  <c r="V69" i="24" s="1"/>
  <c r="C70" i="24"/>
  <c r="U70" i="24"/>
  <c r="V70" i="24" s="1"/>
  <c r="C71" i="24"/>
  <c r="U71" i="24"/>
  <c r="V71" i="24" s="1"/>
  <c r="C72" i="24"/>
  <c r="U72" i="24"/>
  <c r="V72" i="24" s="1"/>
  <c r="C73" i="24"/>
  <c r="U73" i="24"/>
  <c r="V73" i="24" s="1"/>
  <c r="C74" i="24"/>
  <c r="U74" i="24"/>
  <c r="W74" i="24" s="1"/>
  <c r="Y74" i="24" s="1"/>
  <c r="AA74" i="24" s="1"/>
  <c r="C75" i="24"/>
  <c r="U75" i="24"/>
  <c r="V75" i="24" s="1"/>
  <c r="C76" i="24"/>
  <c r="C77" i="24"/>
  <c r="C78" i="24"/>
  <c r="U78" i="24"/>
  <c r="U79" i="24" s="1"/>
  <c r="V78" i="24"/>
  <c r="V79" i="24" s="1"/>
  <c r="W78" i="24"/>
  <c r="W79" i="24" s="1"/>
  <c r="X78" i="24"/>
  <c r="X79" i="24" s="1"/>
  <c r="AB78" i="24"/>
  <c r="AB79" i="24" s="1"/>
  <c r="AC78" i="24"/>
  <c r="AC79" i="24" s="1"/>
  <c r="AD78" i="24"/>
  <c r="AD79" i="24" s="1"/>
  <c r="C79" i="24"/>
  <c r="C80" i="24"/>
  <c r="C81" i="24"/>
  <c r="C82" i="24"/>
  <c r="C83" i="24"/>
  <c r="C84" i="24"/>
  <c r="C85" i="24"/>
  <c r="C86" i="24"/>
  <c r="U86" i="24"/>
  <c r="U87" i="24" s="1"/>
  <c r="V86" i="24"/>
  <c r="V87" i="24" s="1"/>
  <c r="W86" i="24"/>
  <c r="W87" i="24" s="1"/>
  <c r="X86" i="24"/>
  <c r="X87" i="24" s="1"/>
  <c r="AB86" i="24"/>
  <c r="AB87" i="24" s="1"/>
  <c r="AC86" i="24"/>
  <c r="AC87" i="24" s="1"/>
  <c r="AD86" i="24"/>
  <c r="AD87" i="24" s="1"/>
  <c r="C87" i="24"/>
  <c r="C88" i="24"/>
  <c r="U88" i="24"/>
  <c r="V88" i="24"/>
  <c r="W88" i="24"/>
  <c r="X88" i="24"/>
  <c r="AB88" i="24"/>
  <c r="AC88" i="24"/>
  <c r="AD88" i="24"/>
  <c r="C89" i="24"/>
  <c r="C90" i="24"/>
  <c r="C91" i="24"/>
  <c r="C92" i="24"/>
  <c r="C93" i="24"/>
  <c r="C94" i="24"/>
  <c r="C95" i="24"/>
  <c r="C96" i="24"/>
  <c r="AB96" i="24"/>
  <c r="AC96" i="24" s="1"/>
  <c r="AD96" i="24" s="1"/>
  <c r="AE96" i="24" s="1"/>
  <c r="C97" i="24"/>
  <c r="AB97" i="24"/>
  <c r="AC97" i="24" s="1"/>
  <c r="AD97" i="24" s="1"/>
  <c r="AE97" i="24" s="1"/>
  <c r="C98" i="24"/>
  <c r="AB98" i="24"/>
  <c r="AC98" i="24" s="1"/>
  <c r="AD98" i="24" s="1"/>
  <c r="AE98" i="24" s="1"/>
  <c r="C99" i="24"/>
  <c r="AB99" i="24"/>
  <c r="AC99" i="24" s="1"/>
  <c r="AD99" i="24" s="1"/>
  <c r="AE99" i="24" s="1"/>
  <c r="C100" i="24"/>
  <c r="C101" i="24"/>
  <c r="C102" i="24"/>
  <c r="C103" i="24"/>
  <c r="U103" i="24"/>
  <c r="V103" i="24"/>
  <c r="W103" i="24"/>
  <c r="X103" i="24"/>
  <c r="AB103" i="24"/>
  <c r="AC103" i="24"/>
  <c r="AD103" i="24"/>
  <c r="C104" i="24"/>
  <c r="U104" i="24"/>
  <c r="V104" i="24"/>
  <c r="W104" i="24"/>
  <c r="X104" i="24"/>
  <c r="AB104" i="24"/>
  <c r="AC104" i="24"/>
  <c r="AD104" i="24"/>
  <c r="C105" i="24"/>
  <c r="U105" i="24"/>
  <c r="V105" i="24"/>
  <c r="W105" i="24"/>
  <c r="X105" i="24"/>
  <c r="AB105" i="24"/>
  <c r="AC105" i="24"/>
  <c r="AD105" i="24"/>
  <c r="C106" i="24"/>
  <c r="U106" i="24"/>
  <c r="V106" i="24"/>
  <c r="W106" i="24"/>
  <c r="X106" i="24"/>
  <c r="AB106" i="24"/>
  <c r="AC106" i="24"/>
  <c r="AD106" i="24"/>
  <c r="C107" i="24"/>
  <c r="C108" i="24"/>
  <c r="C109" i="24"/>
  <c r="C110" i="24"/>
  <c r="C111" i="24"/>
  <c r="C112" i="24"/>
  <c r="C113" i="24"/>
  <c r="C114" i="24"/>
  <c r="C115" i="24"/>
  <c r="C116" i="24"/>
  <c r="C117" i="24"/>
  <c r="C118" i="24"/>
  <c r="C119" i="24"/>
  <c r="C120" i="24"/>
  <c r="C121" i="24"/>
  <c r="C122" i="24"/>
  <c r="C123" i="24"/>
  <c r="C124" i="24"/>
  <c r="C129" i="24"/>
  <c r="C130" i="24"/>
  <c r="C131" i="24"/>
  <c r="U131" i="24"/>
  <c r="V131" i="24"/>
  <c r="AB131" i="24"/>
  <c r="AC131" i="24"/>
  <c r="AD131" i="24"/>
  <c r="C132" i="24"/>
  <c r="U132" i="24"/>
  <c r="V132" i="24"/>
  <c r="W132" i="24"/>
  <c r="X132" i="24"/>
  <c r="AB132" i="24"/>
  <c r="AC132" i="24"/>
  <c r="AD132" i="24"/>
  <c r="C133" i="24"/>
  <c r="U133" i="24"/>
  <c r="V133" i="24"/>
  <c r="W133" i="24"/>
  <c r="X133" i="24"/>
  <c r="AB133" i="24"/>
  <c r="AC133" i="24"/>
  <c r="AD133" i="24"/>
  <c r="C134" i="24"/>
  <c r="U134" i="24"/>
  <c r="V134" i="24"/>
  <c r="W134" i="24"/>
  <c r="X134" i="24"/>
  <c r="AB134" i="24"/>
  <c r="AC134" i="24"/>
  <c r="AD134" i="24"/>
  <c r="C135" i="24"/>
  <c r="U135" i="24"/>
  <c r="V135" i="24"/>
  <c r="W135" i="24"/>
  <c r="X135" i="24"/>
  <c r="AB135" i="24"/>
  <c r="AC135" i="24"/>
  <c r="AD135" i="24"/>
  <c r="C136" i="24"/>
  <c r="U136" i="24"/>
  <c r="V136" i="24"/>
  <c r="W136" i="24"/>
  <c r="X136" i="24"/>
  <c r="AB136" i="24"/>
  <c r="AC136" i="24"/>
  <c r="AD136" i="24"/>
  <c r="C137" i="24"/>
  <c r="U137" i="24"/>
  <c r="V137" i="24"/>
  <c r="W137" i="24"/>
  <c r="X137" i="24"/>
  <c r="AB137" i="24"/>
  <c r="AC137" i="24"/>
  <c r="AD137" i="24"/>
  <c r="C138" i="24"/>
  <c r="U138" i="24"/>
  <c r="V138" i="24"/>
  <c r="W138" i="24"/>
  <c r="X138" i="24"/>
  <c r="AB138" i="24"/>
  <c r="AC138" i="24"/>
  <c r="AD138" i="24"/>
  <c r="C139" i="24"/>
  <c r="U139" i="24"/>
  <c r="V139" i="24"/>
  <c r="W139" i="24"/>
  <c r="X139" i="24"/>
  <c r="AB139" i="24"/>
  <c r="AC139" i="24"/>
  <c r="AD139" i="24"/>
  <c r="C140" i="24"/>
  <c r="U140" i="24"/>
  <c r="V140" i="24"/>
  <c r="W140" i="24"/>
  <c r="X140" i="24"/>
  <c r="AB140" i="24"/>
  <c r="AC140" i="24"/>
  <c r="AD140" i="24"/>
  <c r="C141" i="24"/>
  <c r="U141" i="24"/>
  <c r="V141" i="24"/>
  <c r="W141" i="24"/>
  <c r="X141" i="24"/>
  <c r="AB141" i="24"/>
  <c r="AC141" i="24"/>
  <c r="AD141" i="24"/>
  <c r="C142" i="24"/>
  <c r="U142" i="24"/>
  <c r="V142" i="24"/>
  <c r="W142" i="24"/>
  <c r="X142" i="24"/>
  <c r="AB142" i="24"/>
  <c r="AC142" i="24"/>
  <c r="AD142" i="24"/>
  <c r="C143" i="24"/>
  <c r="U143" i="24"/>
  <c r="V143" i="24"/>
  <c r="W143" i="24"/>
  <c r="X143" i="24"/>
  <c r="AB143" i="24"/>
  <c r="AC143" i="24"/>
  <c r="AD143" i="24"/>
  <c r="C144" i="24"/>
  <c r="U144" i="24"/>
  <c r="V144" i="24"/>
  <c r="W144" i="24"/>
  <c r="X144" i="24"/>
  <c r="AB144" i="24"/>
  <c r="AC144" i="24"/>
  <c r="AD144" i="24"/>
  <c r="C145" i="24"/>
  <c r="U145" i="24"/>
  <c r="V145" i="24"/>
  <c r="W145" i="24"/>
  <c r="X145" i="24"/>
  <c r="AB145" i="24"/>
  <c r="AC145" i="24"/>
  <c r="AD145" i="24"/>
  <c r="C146" i="24"/>
  <c r="C147" i="24"/>
  <c r="U147" i="24"/>
  <c r="V147" i="24"/>
  <c r="W147" i="24"/>
  <c r="X147" i="24"/>
  <c r="AB147" i="24"/>
  <c r="AC147" i="24"/>
  <c r="AD147" i="24"/>
  <c r="C148" i="24"/>
  <c r="U148" i="24"/>
  <c r="V148" i="24"/>
  <c r="W148" i="24"/>
  <c r="X148" i="24"/>
  <c r="AB148" i="24"/>
  <c r="AC148" i="24"/>
  <c r="AD148" i="24"/>
  <c r="C149" i="24"/>
  <c r="C150" i="24"/>
  <c r="U150" i="24"/>
  <c r="V150" i="24"/>
  <c r="W150" i="24"/>
  <c r="X150" i="24"/>
  <c r="AB150" i="24"/>
  <c r="AC150" i="24"/>
  <c r="AD150" i="24"/>
  <c r="C153" i="24"/>
  <c r="U153" i="24"/>
  <c r="V153" i="24"/>
  <c r="W153" i="24"/>
  <c r="X153" i="24"/>
  <c r="AB153" i="24"/>
  <c r="AC153" i="24"/>
  <c r="AD153" i="24"/>
  <c r="C154" i="24"/>
  <c r="C155" i="24"/>
  <c r="C156" i="24"/>
  <c r="U156" i="24"/>
  <c r="V156" i="24"/>
  <c r="W156" i="24"/>
  <c r="X156" i="24"/>
  <c r="AB156" i="24"/>
  <c r="AC156" i="24"/>
  <c r="AD156" i="24"/>
  <c r="C157" i="24"/>
  <c r="U157" i="24"/>
  <c r="V157" i="24"/>
  <c r="W157" i="24"/>
  <c r="X157" i="24"/>
  <c r="AB157" i="24"/>
  <c r="AC157" i="24"/>
  <c r="AD157" i="24"/>
  <c r="C158" i="24"/>
  <c r="U158" i="24"/>
  <c r="V158" i="24"/>
  <c r="W158" i="24"/>
  <c r="X158" i="24"/>
  <c r="AB158" i="24"/>
  <c r="AC158" i="24"/>
  <c r="AD158" i="24"/>
  <c r="C159" i="24"/>
  <c r="U159" i="24"/>
  <c r="V159" i="24"/>
  <c r="W159" i="24"/>
  <c r="X159" i="24"/>
  <c r="AB159" i="24"/>
  <c r="AC159" i="24"/>
  <c r="AD159" i="24"/>
  <c r="C160" i="24"/>
  <c r="U160" i="24"/>
  <c r="V160" i="24"/>
  <c r="W160" i="24"/>
  <c r="X160" i="24"/>
  <c r="AB160" i="24"/>
  <c r="AC160" i="24"/>
  <c r="AD160" i="24"/>
  <c r="C161" i="24"/>
  <c r="U161" i="24"/>
  <c r="V161" i="24"/>
  <c r="W161" i="24"/>
  <c r="X161" i="24"/>
  <c r="AB161" i="24"/>
  <c r="AC161" i="24"/>
  <c r="AD161" i="24"/>
  <c r="C162" i="24"/>
  <c r="U162" i="24"/>
  <c r="V162" i="24"/>
  <c r="W162" i="24"/>
  <c r="X162" i="24"/>
  <c r="AB162" i="24"/>
  <c r="AC162" i="24"/>
  <c r="AD162" i="24"/>
  <c r="C163" i="24"/>
  <c r="U163" i="24"/>
  <c r="V163" i="24"/>
  <c r="W163" i="24"/>
  <c r="X163" i="24"/>
  <c r="AB163" i="24"/>
  <c r="AC163" i="24"/>
  <c r="AD163" i="24"/>
  <c r="C164" i="24"/>
  <c r="U164" i="24"/>
  <c r="V164" i="24"/>
  <c r="W164" i="24"/>
  <c r="X164" i="24"/>
  <c r="AB164" i="24"/>
  <c r="AC164" i="24"/>
  <c r="AD164" i="24"/>
  <c r="C165" i="24"/>
  <c r="U165" i="24"/>
  <c r="V165" i="24"/>
  <c r="W165" i="24"/>
  <c r="X165" i="24"/>
  <c r="AB165" i="24"/>
  <c r="AC165" i="24"/>
  <c r="AD165" i="24"/>
  <c r="C166" i="24"/>
  <c r="U166" i="24"/>
  <c r="V166" i="24"/>
  <c r="W166" i="24"/>
  <c r="X166" i="24"/>
  <c r="AB166" i="24"/>
  <c r="AC166" i="24"/>
  <c r="AD166" i="24"/>
  <c r="C167" i="24"/>
  <c r="U167" i="24"/>
  <c r="V167" i="24"/>
  <c r="W167" i="24"/>
  <c r="X167" i="24"/>
  <c r="AB167" i="24"/>
  <c r="AC167" i="24"/>
  <c r="AD167" i="24"/>
  <c r="C168" i="24"/>
  <c r="U168" i="24"/>
  <c r="V168" i="24"/>
  <c r="W168" i="24"/>
  <c r="X168" i="24"/>
  <c r="AB168" i="24"/>
  <c r="AC168" i="24"/>
  <c r="AD168" i="24"/>
  <c r="C169" i="24"/>
  <c r="U169" i="24"/>
  <c r="V169" i="24"/>
  <c r="W169" i="24"/>
  <c r="X169" i="24"/>
  <c r="AB169" i="24"/>
  <c r="AC169" i="24"/>
  <c r="AD169" i="24"/>
  <c r="C170" i="24"/>
  <c r="C171" i="24"/>
  <c r="C172" i="24"/>
  <c r="C173" i="24"/>
  <c r="C174" i="24"/>
  <c r="C175" i="24"/>
  <c r="U175" i="24"/>
  <c r="V175" i="24"/>
  <c r="W175" i="24"/>
  <c r="X175" i="24"/>
  <c r="AB175" i="24"/>
  <c r="AC175" i="24"/>
  <c r="AD175" i="24"/>
  <c r="C176" i="24"/>
  <c r="U176" i="24"/>
  <c r="V176" i="24"/>
  <c r="W176" i="24"/>
  <c r="X176" i="24"/>
  <c r="AB176" i="24"/>
  <c r="AC176" i="24"/>
  <c r="AD176" i="24"/>
  <c r="C177" i="24"/>
  <c r="K177" i="24"/>
  <c r="L177" i="24"/>
  <c r="M177" i="24"/>
  <c r="N177" i="24"/>
  <c r="O177" i="24"/>
  <c r="P177" i="24"/>
  <c r="C178" i="24"/>
  <c r="C179" i="24"/>
  <c r="C180" i="24"/>
  <c r="U180" i="24"/>
  <c r="V180" i="24"/>
  <c r="W180" i="24"/>
  <c r="X180" i="24"/>
  <c r="AB180" i="24"/>
  <c r="AC180" i="24"/>
  <c r="AD180" i="24"/>
  <c r="C181" i="24"/>
  <c r="U181" i="24"/>
  <c r="V181" i="24"/>
  <c r="W181" i="24"/>
  <c r="X181" i="24"/>
  <c r="AB181" i="24"/>
  <c r="AC181" i="24"/>
  <c r="AD181" i="24"/>
  <c r="C182" i="24"/>
  <c r="U182" i="24"/>
  <c r="V182" i="24"/>
  <c r="W182" i="24"/>
  <c r="X182" i="24"/>
  <c r="AB182" i="24"/>
  <c r="AC182" i="24"/>
  <c r="AD182" i="24"/>
  <c r="C183" i="24"/>
  <c r="U183" i="24"/>
  <c r="V183" i="24"/>
  <c r="W183" i="24"/>
  <c r="X183" i="24"/>
  <c r="AB183" i="24"/>
  <c r="AC183" i="24"/>
  <c r="AD183" i="24"/>
  <c r="C184" i="24"/>
  <c r="U184" i="24"/>
  <c r="V184" i="24"/>
  <c r="W184" i="24"/>
  <c r="X184" i="24"/>
  <c r="AB184" i="24"/>
  <c r="AC184" i="24"/>
  <c r="AD184" i="24"/>
  <c r="C185" i="24"/>
  <c r="U185" i="24"/>
  <c r="V185" i="24"/>
  <c r="W185" i="24"/>
  <c r="X185" i="24"/>
  <c r="AB185" i="24"/>
  <c r="AC185" i="24"/>
  <c r="AD185" i="24"/>
  <c r="C186" i="24"/>
  <c r="U186" i="24"/>
  <c r="V186" i="24"/>
  <c r="W186" i="24"/>
  <c r="X186" i="24"/>
  <c r="AB186" i="24"/>
  <c r="AC186" i="24"/>
  <c r="AD186" i="24"/>
  <c r="C187" i="24"/>
  <c r="U187" i="24"/>
  <c r="V187" i="24"/>
  <c r="W187" i="24"/>
  <c r="X187" i="24"/>
  <c r="AB187" i="24"/>
  <c r="AC187" i="24"/>
  <c r="AD187" i="24"/>
  <c r="C188" i="24"/>
  <c r="U188" i="24"/>
  <c r="V188" i="24"/>
  <c r="W188" i="24"/>
  <c r="X188" i="24"/>
  <c r="AB188" i="24"/>
  <c r="AC188" i="24"/>
  <c r="AD188" i="24"/>
  <c r="C189" i="24"/>
  <c r="U189" i="24"/>
  <c r="V189" i="24"/>
  <c r="W189" i="24"/>
  <c r="X189" i="24"/>
  <c r="AB189" i="24"/>
  <c r="AC189" i="24"/>
  <c r="AD189" i="24"/>
  <c r="C190" i="24"/>
  <c r="U190" i="24"/>
  <c r="V190" i="24"/>
  <c r="W190" i="24"/>
  <c r="X190" i="24"/>
  <c r="AB190" i="24"/>
  <c r="AC190" i="24"/>
  <c r="AD190" i="24"/>
  <c r="C191" i="24"/>
  <c r="U191" i="24"/>
  <c r="V191" i="24"/>
  <c r="W191" i="24"/>
  <c r="X191" i="24"/>
  <c r="AB191" i="24"/>
  <c r="AC191" i="24"/>
  <c r="AD191" i="24"/>
  <c r="C192" i="24"/>
  <c r="U192" i="24"/>
  <c r="V192" i="24"/>
  <c r="W192" i="24"/>
  <c r="X192" i="24"/>
  <c r="AB192" i="24"/>
  <c r="AC192" i="24"/>
  <c r="AD192" i="24"/>
  <c r="C193" i="24"/>
  <c r="U193" i="24"/>
  <c r="V193" i="24"/>
  <c r="W193" i="24"/>
  <c r="X193" i="24"/>
  <c r="AB193" i="24"/>
  <c r="AC193" i="24"/>
  <c r="AD193" i="24"/>
  <c r="C194" i="24"/>
  <c r="U194" i="24"/>
  <c r="V194" i="24"/>
  <c r="W194" i="24"/>
  <c r="X194" i="24"/>
  <c r="AB194" i="24"/>
  <c r="AC194" i="24"/>
  <c r="AD194" i="24"/>
  <c r="C195" i="24"/>
  <c r="U195" i="24"/>
  <c r="V195" i="24"/>
  <c r="W195" i="24"/>
  <c r="X195" i="24"/>
  <c r="AB195" i="24"/>
  <c r="AC195" i="24"/>
  <c r="AD195" i="24"/>
  <c r="C196" i="24"/>
  <c r="U196" i="24"/>
  <c r="V196" i="24"/>
  <c r="W196" i="24"/>
  <c r="X196" i="24"/>
  <c r="AB196" i="24"/>
  <c r="AC196" i="24"/>
  <c r="AD196" i="24"/>
  <c r="C197" i="24"/>
  <c r="U197" i="24"/>
  <c r="V197" i="24"/>
  <c r="W197" i="24"/>
  <c r="X197" i="24"/>
  <c r="AB197" i="24"/>
  <c r="AC197" i="24"/>
  <c r="AD197" i="24"/>
  <c r="C198" i="24"/>
  <c r="U198" i="24"/>
  <c r="V198" i="24"/>
  <c r="W198" i="24"/>
  <c r="X198" i="24"/>
  <c r="AB198" i="24"/>
  <c r="AC198" i="24"/>
  <c r="AD198" i="24"/>
  <c r="C199" i="24"/>
  <c r="U199" i="24"/>
  <c r="V199" i="24"/>
  <c r="W199" i="24"/>
  <c r="X199" i="24"/>
  <c r="AB199" i="24"/>
  <c r="AC199" i="24"/>
  <c r="AD199" i="24"/>
  <c r="C200" i="24"/>
  <c r="K200" i="24"/>
  <c r="C201" i="24"/>
  <c r="K201" i="24"/>
  <c r="C202" i="24"/>
  <c r="K202" i="24"/>
  <c r="C203" i="24"/>
  <c r="K203" i="24"/>
  <c r="L203" i="24"/>
  <c r="M203" i="24"/>
  <c r="N203" i="24"/>
  <c r="O203" i="24"/>
  <c r="P203" i="24"/>
  <c r="C204" i="24"/>
  <c r="K204" i="24"/>
  <c r="L204" i="24"/>
  <c r="M204" i="24"/>
  <c r="N204" i="24"/>
  <c r="O204" i="24"/>
  <c r="P204" i="24"/>
  <c r="C205" i="24"/>
  <c r="U205" i="24"/>
  <c r="V205" i="24"/>
  <c r="W205" i="24"/>
  <c r="X205" i="24"/>
  <c r="AB205" i="24"/>
  <c r="AC205" i="24"/>
  <c r="AD205" i="24"/>
  <c r="C206" i="24"/>
  <c r="U206" i="24"/>
  <c r="V206" i="24"/>
  <c r="W206" i="24"/>
  <c r="X206" i="24"/>
  <c r="AB206" i="24"/>
  <c r="AC206" i="24"/>
  <c r="AD206" i="24"/>
  <c r="C207" i="24"/>
  <c r="U207" i="24"/>
  <c r="V207" i="24"/>
  <c r="W207" i="24"/>
  <c r="X207" i="24"/>
  <c r="AB207" i="24"/>
  <c r="AC207" i="24"/>
  <c r="AD207" i="24"/>
  <c r="C208" i="24"/>
  <c r="K208" i="24"/>
  <c r="C209" i="24"/>
  <c r="K209" i="24"/>
  <c r="C210" i="24"/>
  <c r="K210" i="24"/>
  <c r="C211" i="24"/>
  <c r="K211" i="24"/>
  <c r="C212" i="24"/>
  <c r="L212" i="24"/>
  <c r="U212" i="24"/>
  <c r="V212" i="24"/>
  <c r="W212" i="24"/>
  <c r="X212" i="24"/>
  <c r="C213" i="24"/>
  <c r="C214" i="24"/>
  <c r="L214" i="24"/>
  <c r="U214" i="24"/>
  <c r="V214" i="24"/>
  <c r="W214" i="24"/>
  <c r="X214" i="24"/>
  <c r="C215" i="24"/>
  <c r="U215" i="24"/>
  <c r="V215" i="24"/>
  <c r="W215" i="24"/>
  <c r="X215" i="24"/>
  <c r="AB215" i="24"/>
  <c r="AC215" i="24"/>
  <c r="AD215" i="24"/>
  <c r="C216" i="24"/>
  <c r="K216" i="24"/>
  <c r="C217" i="24"/>
  <c r="K217" i="24"/>
  <c r="C219" i="24"/>
  <c r="C220" i="24"/>
  <c r="U220" i="24"/>
  <c r="V220" i="24"/>
  <c r="W220" i="24"/>
  <c r="X220" i="24"/>
  <c r="AB220" i="24"/>
  <c r="AC220" i="24"/>
  <c r="AD220" i="24"/>
  <c r="C221" i="24"/>
  <c r="U221" i="24"/>
  <c r="V221" i="24"/>
  <c r="W221" i="24"/>
  <c r="X221" i="24"/>
  <c r="AB221" i="24"/>
  <c r="AC221" i="24"/>
  <c r="AD221" i="24"/>
  <c r="C222" i="24"/>
  <c r="U222" i="24"/>
  <c r="V222" i="24"/>
  <c r="W222" i="24"/>
  <c r="X222" i="24"/>
  <c r="AB222" i="24"/>
  <c r="AC222" i="24"/>
  <c r="AD222" i="24"/>
  <c r="C223" i="24"/>
  <c r="U223" i="24"/>
  <c r="V223" i="24"/>
  <c r="W223" i="24"/>
  <c r="X223" i="24"/>
  <c r="AB223" i="24"/>
  <c r="AC223" i="24"/>
  <c r="AD223" i="24"/>
  <c r="C224" i="24"/>
  <c r="U224" i="24"/>
  <c r="V224" i="24"/>
  <c r="W224" i="24"/>
  <c r="X224" i="24"/>
  <c r="AB224" i="24"/>
  <c r="AC224" i="24"/>
  <c r="AD224" i="24"/>
  <c r="C225" i="24"/>
  <c r="U225" i="24"/>
  <c r="V225" i="24"/>
  <c r="W225" i="24"/>
  <c r="X225" i="24"/>
  <c r="AB225" i="24"/>
  <c r="AC225" i="24"/>
  <c r="AD225" i="24"/>
  <c r="C226" i="24"/>
  <c r="U226" i="24"/>
  <c r="V226" i="24"/>
  <c r="W226" i="24"/>
  <c r="X226" i="24"/>
  <c r="AB226" i="24"/>
  <c r="AC226" i="24"/>
  <c r="AD226" i="24"/>
  <c r="C227" i="24"/>
  <c r="U227" i="24"/>
  <c r="V227" i="24"/>
  <c r="W227" i="24"/>
  <c r="X227" i="24"/>
  <c r="AB227" i="24"/>
  <c r="AC227" i="24"/>
  <c r="AD227" i="24"/>
  <c r="C228" i="24"/>
  <c r="U228" i="24"/>
  <c r="V228" i="24"/>
  <c r="W228" i="24"/>
  <c r="X228" i="24"/>
  <c r="AB228" i="24"/>
  <c r="AC228" i="24"/>
  <c r="AD228" i="24"/>
  <c r="C229" i="24"/>
  <c r="U229" i="24"/>
  <c r="V229" i="24"/>
  <c r="W229" i="24"/>
  <c r="X229" i="24"/>
  <c r="AB229" i="24"/>
  <c r="AC229" i="24"/>
  <c r="AD229" i="24"/>
  <c r="C230" i="24"/>
  <c r="U230" i="24"/>
  <c r="V230" i="24"/>
  <c r="W230" i="24"/>
  <c r="X230" i="24"/>
  <c r="AB230" i="24"/>
  <c r="AC230" i="24"/>
  <c r="AD230" i="24"/>
  <c r="C231" i="24"/>
  <c r="U231" i="24"/>
  <c r="V231" i="24"/>
  <c r="W231" i="24"/>
  <c r="X231" i="24"/>
  <c r="AB231" i="24"/>
  <c r="AC231" i="24"/>
  <c r="AD231" i="24"/>
  <c r="C232" i="24"/>
  <c r="U232" i="24"/>
  <c r="V232" i="24"/>
  <c r="W232" i="24"/>
  <c r="X232" i="24"/>
  <c r="AB232" i="24"/>
  <c r="AC232" i="24"/>
  <c r="AD232" i="24"/>
  <c r="C233" i="24"/>
  <c r="U233" i="24"/>
  <c r="V233" i="24"/>
  <c r="W233" i="24"/>
  <c r="X233" i="24"/>
  <c r="AB233" i="24"/>
  <c r="AC233" i="24"/>
  <c r="AD233" i="24"/>
  <c r="C234" i="24"/>
  <c r="U234" i="24"/>
  <c r="V234" i="24"/>
  <c r="W234" i="24"/>
  <c r="X234" i="24"/>
  <c r="AB234" i="24"/>
  <c r="AC234" i="24"/>
  <c r="AD234" i="24"/>
  <c r="C235" i="24"/>
  <c r="C236" i="24"/>
  <c r="U236" i="24"/>
  <c r="V236" i="24"/>
  <c r="W236" i="24"/>
  <c r="X236" i="24"/>
  <c r="AB236" i="24"/>
  <c r="AC236" i="24"/>
  <c r="AD236" i="24"/>
  <c r="C237" i="24"/>
  <c r="U237" i="24"/>
  <c r="V237" i="24"/>
  <c r="W237" i="24"/>
  <c r="X237" i="24"/>
  <c r="AB237" i="24"/>
  <c r="AC237" i="24"/>
  <c r="AD237" i="24"/>
  <c r="C238" i="24"/>
  <c r="U238" i="24"/>
  <c r="V238" i="24"/>
  <c r="W238" i="24"/>
  <c r="X238" i="24"/>
  <c r="AB238" i="24"/>
  <c r="AC238" i="24"/>
  <c r="AD238" i="24"/>
  <c r="C239" i="24"/>
  <c r="U239" i="24"/>
  <c r="V239" i="24"/>
  <c r="W239" i="24"/>
  <c r="X239" i="24"/>
  <c r="AB239" i="24"/>
  <c r="AC239" i="24"/>
  <c r="AD239" i="24"/>
  <c r="C240" i="24"/>
  <c r="U240" i="24"/>
  <c r="V240" i="24"/>
  <c r="W240" i="24"/>
  <c r="X240" i="24"/>
  <c r="AB240" i="24"/>
  <c r="AC240" i="24"/>
  <c r="AD240" i="24"/>
  <c r="C241" i="24"/>
  <c r="U241" i="24"/>
  <c r="V241" i="24"/>
  <c r="W241" i="24"/>
  <c r="X241" i="24"/>
  <c r="AB241" i="24"/>
  <c r="AC241" i="24"/>
  <c r="AD241" i="24"/>
  <c r="C242" i="24"/>
  <c r="U242" i="24"/>
  <c r="V242" i="24"/>
  <c r="W242" i="24"/>
  <c r="X242" i="24"/>
  <c r="AB242" i="24"/>
  <c r="AC242" i="24"/>
  <c r="AD242" i="24"/>
  <c r="C243" i="24"/>
  <c r="U243" i="24"/>
  <c r="V243" i="24"/>
  <c r="W243" i="24"/>
  <c r="X243" i="24"/>
  <c r="AB243" i="24"/>
  <c r="AC243" i="24"/>
  <c r="AD243" i="24"/>
  <c r="C244" i="24"/>
  <c r="U244" i="24"/>
  <c r="V244" i="24"/>
  <c r="W244" i="24"/>
  <c r="X244" i="24"/>
  <c r="AB244" i="24"/>
  <c r="AC244" i="24"/>
  <c r="AD244" i="24"/>
  <c r="C245" i="24"/>
  <c r="K245" i="24"/>
  <c r="L245" i="24"/>
  <c r="AE245" i="24" s="1"/>
  <c r="M245" i="24"/>
  <c r="M246" i="24" s="1"/>
  <c r="N245" i="24"/>
  <c r="N246" i="24" s="1"/>
  <c r="O245" i="24"/>
  <c r="O246" i="24" s="1"/>
  <c r="P245" i="24"/>
  <c r="P246" i="24" s="1"/>
  <c r="C247" i="24"/>
  <c r="U247" i="24"/>
  <c r="V247" i="24"/>
  <c r="W247" i="24"/>
  <c r="X247" i="24"/>
  <c r="AB247" i="24"/>
  <c r="AC247" i="24"/>
  <c r="AD247" i="24"/>
  <c r="C249" i="24"/>
  <c r="C250" i="24"/>
  <c r="C251" i="24"/>
  <c r="U251" i="24"/>
  <c r="V251" i="24"/>
  <c r="W251" i="24"/>
  <c r="X251" i="24"/>
  <c r="AB251" i="24"/>
  <c r="AC251" i="24"/>
  <c r="AD251" i="24"/>
  <c r="C252" i="24"/>
  <c r="U252" i="24"/>
  <c r="V252" i="24"/>
  <c r="W252" i="24"/>
  <c r="X252" i="24"/>
  <c r="AB252" i="24"/>
  <c r="AC252" i="24"/>
  <c r="AD252" i="24"/>
  <c r="C253" i="24"/>
  <c r="U253" i="24"/>
  <c r="V253" i="24"/>
  <c r="W253" i="24"/>
  <c r="X253" i="24"/>
  <c r="AB253" i="24"/>
  <c r="AC253" i="24"/>
  <c r="AD253" i="24"/>
  <c r="C254" i="24"/>
  <c r="U254" i="24"/>
  <c r="V254" i="24"/>
  <c r="W254" i="24"/>
  <c r="X254" i="24"/>
  <c r="AB254" i="24"/>
  <c r="AC254" i="24"/>
  <c r="AD254" i="24"/>
  <c r="C255" i="24"/>
  <c r="U255" i="24"/>
  <c r="V255" i="24"/>
  <c r="W255" i="24"/>
  <c r="X255" i="24"/>
  <c r="AB255" i="24"/>
  <c r="AC255" i="24"/>
  <c r="AD255" i="24"/>
  <c r="C256" i="24"/>
  <c r="U256" i="24"/>
  <c r="V256" i="24"/>
  <c r="W256" i="24"/>
  <c r="X256" i="24"/>
  <c r="AB256" i="24"/>
  <c r="AC256" i="24"/>
  <c r="AD256" i="24"/>
  <c r="C257" i="24"/>
  <c r="U257" i="24"/>
  <c r="V257" i="24"/>
  <c r="W257" i="24"/>
  <c r="X257" i="24"/>
  <c r="AB257" i="24"/>
  <c r="AC257" i="24"/>
  <c r="AD257" i="24"/>
  <c r="C258" i="24"/>
  <c r="C259" i="24"/>
  <c r="C260" i="24"/>
  <c r="U260" i="24"/>
  <c r="V260" i="24"/>
  <c r="W260" i="24"/>
  <c r="X260" i="24"/>
  <c r="AB260" i="24"/>
  <c r="AC260" i="24"/>
  <c r="AD260" i="24"/>
  <c r="C261" i="24"/>
  <c r="U261" i="24"/>
  <c r="V261" i="24"/>
  <c r="W261" i="24"/>
  <c r="X261" i="24"/>
  <c r="AB261" i="24"/>
  <c r="AC261" i="24"/>
  <c r="AD261" i="24"/>
  <c r="C262" i="24"/>
  <c r="U262" i="24"/>
  <c r="V262" i="24"/>
  <c r="W262" i="24"/>
  <c r="X262" i="24"/>
  <c r="AB262" i="24"/>
  <c r="AC262" i="24"/>
  <c r="AD262" i="24"/>
  <c r="C263" i="24"/>
  <c r="U263" i="24"/>
  <c r="V263" i="24"/>
  <c r="W263" i="24"/>
  <c r="X263" i="24"/>
  <c r="AB263" i="24"/>
  <c r="AC263" i="24"/>
  <c r="AD263" i="24"/>
  <c r="C264" i="24"/>
  <c r="U264" i="24"/>
  <c r="V264" i="24"/>
  <c r="W264" i="24"/>
  <c r="X264" i="24"/>
  <c r="AB264" i="24"/>
  <c r="AC264" i="24"/>
  <c r="AD264" i="24"/>
  <c r="C265" i="24"/>
  <c r="U265" i="24"/>
  <c r="V265" i="24"/>
  <c r="W265" i="24"/>
  <c r="X265" i="24"/>
  <c r="AB265" i="24"/>
  <c r="AC265" i="24"/>
  <c r="AD265" i="24"/>
  <c r="C266" i="24"/>
  <c r="U266" i="24"/>
  <c r="V266" i="24"/>
  <c r="W266" i="24"/>
  <c r="X266" i="24"/>
  <c r="AB266" i="24"/>
  <c r="AC266" i="24"/>
  <c r="AD266" i="24"/>
  <c r="C267" i="24"/>
  <c r="U267" i="24"/>
  <c r="V267" i="24"/>
  <c r="W267" i="24"/>
  <c r="X267" i="24"/>
  <c r="AB267" i="24"/>
  <c r="AC267" i="24"/>
  <c r="AD267" i="24"/>
  <c r="C268" i="24"/>
  <c r="U268" i="24"/>
  <c r="V268" i="24"/>
  <c r="W268" i="24"/>
  <c r="X268" i="24"/>
  <c r="AB268" i="24"/>
  <c r="AC268" i="24"/>
  <c r="AD268" i="24"/>
  <c r="C269" i="24"/>
  <c r="K269" i="24"/>
  <c r="C270" i="24"/>
  <c r="U270" i="24"/>
  <c r="V270" i="24"/>
  <c r="W270" i="24"/>
  <c r="X270" i="24"/>
  <c r="AB270" i="24"/>
  <c r="AC270" i="24"/>
  <c r="AD270" i="24"/>
  <c r="C271" i="24"/>
  <c r="U271" i="24"/>
  <c r="V271" i="24"/>
  <c r="W271" i="24"/>
  <c r="X271" i="24"/>
  <c r="AB271" i="24"/>
  <c r="AC271" i="24"/>
  <c r="AD271" i="24"/>
  <c r="C272" i="24"/>
  <c r="U272" i="24"/>
  <c r="V272" i="24"/>
  <c r="W272" i="24"/>
  <c r="X272" i="24"/>
  <c r="AB272" i="24"/>
  <c r="AC272" i="24"/>
  <c r="AD272" i="24"/>
  <c r="C273" i="24"/>
  <c r="U273" i="24"/>
  <c r="V273" i="24"/>
  <c r="W273" i="24"/>
  <c r="X273" i="24"/>
  <c r="AB273" i="24"/>
  <c r="AC273" i="24"/>
  <c r="AD273" i="24"/>
  <c r="C274" i="24"/>
  <c r="U274" i="24"/>
  <c r="V274" i="24"/>
  <c r="W274" i="24"/>
  <c r="X274" i="24"/>
  <c r="AB274" i="24"/>
  <c r="AC274" i="24"/>
  <c r="AD274" i="24"/>
  <c r="C275" i="24"/>
  <c r="U275" i="24"/>
  <c r="V275" i="24"/>
  <c r="W275" i="24"/>
  <c r="X275" i="24"/>
  <c r="AB275" i="24"/>
  <c r="AC275" i="24"/>
  <c r="AD275" i="24"/>
  <c r="C276" i="24"/>
  <c r="U276" i="24"/>
  <c r="V276" i="24"/>
  <c r="W276" i="24"/>
  <c r="X276" i="24"/>
  <c r="AB276" i="24"/>
  <c r="AC276" i="24"/>
  <c r="AD276" i="24"/>
  <c r="C277" i="24"/>
  <c r="U277" i="24"/>
  <c r="V277" i="24"/>
  <c r="W277" i="24"/>
  <c r="X277" i="24"/>
  <c r="AB277" i="24"/>
  <c r="AC277" i="24"/>
  <c r="AD277" i="24"/>
  <c r="C278" i="24"/>
  <c r="U278" i="24"/>
  <c r="V278" i="24"/>
  <c r="W278" i="24"/>
  <c r="X278" i="24"/>
  <c r="AB278" i="24"/>
  <c r="AC278" i="24"/>
  <c r="AD278" i="24"/>
  <c r="C279" i="24"/>
  <c r="U279" i="24"/>
  <c r="V279" i="24"/>
  <c r="W279" i="24"/>
  <c r="X279" i="24"/>
  <c r="AB279" i="24"/>
  <c r="AC279" i="24"/>
  <c r="AD279" i="24"/>
  <c r="C280" i="24"/>
  <c r="U280" i="24"/>
  <c r="V280" i="24"/>
  <c r="W280" i="24"/>
  <c r="X280" i="24"/>
  <c r="AB280" i="24"/>
  <c r="AC280" i="24"/>
  <c r="AD280" i="24"/>
  <c r="C281" i="24"/>
  <c r="U281" i="24"/>
  <c r="V281" i="24"/>
  <c r="W281" i="24"/>
  <c r="X281" i="24"/>
  <c r="AB281" i="24"/>
  <c r="AC281" i="24"/>
  <c r="AD281" i="24"/>
  <c r="C282" i="24"/>
  <c r="U282" i="24"/>
  <c r="V282" i="24"/>
  <c r="W282" i="24"/>
  <c r="X282" i="24"/>
  <c r="AB282" i="24"/>
  <c r="AC282" i="24"/>
  <c r="AD282" i="24"/>
  <c r="C283" i="24"/>
  <c r="U283" i="24"/>
  <c r="V283" i="24"/>
  <c r="W283" i="24"/>
  <c r="X283" i="24"/>
  <c r="AB283" i="24"/>
  <c r="AC283" i="24"/>
  <c r="AD283" i="24"/>
  <c r="C284" i="24"/>
  <c r="C285" i="24"/>
  <c r="C286" i="24"/>
  <c r="U286" i="24"/>
  <c r="V286" i="24"/>
  <c r="W286" i="24"/>
  <c r="X286" i="24"/>
  <c r="AB286" i="24"/>
  <c r="AC286" i="24"/>
  <c r="AD286" i="24"/>
  <c r="C287" i="24"/>
  <c r="U287" i="24"/>
  <c r="V287" i="24"/>
  <c r="W287" i="24"/>
  <c r="X287" i="24"/>
  <c r="AB287" i="24"/>
  <c r="AC287" i="24"/>
  <c r="AD287" i="24"/>
  <c r="C288" i="24"/>
  <c r="U288" i="24"/>
  <c r="V288" i="24"/>
  <c r="W288" i="24"/>
  <c r="X288" i="24"/>
  <c r="AB288" i="24"/>
  <c r="AC288" i="24"/>
  <c r="AD288" i="24"/>
  <c r="C289" i="24"/>
  <c r="U289" i="24"/>
  <c r="V289" i="24"/>
  <c r="W289" i="24"/>
  <c r="X289" i="24"/>
  <c r="AB289" i="24"/>
  <c r="AC289" i="24"/>
  <c r="AD289" i="24"/>
  <c r="C290" i="24"/>
  <c r="C291" i="24"/>
  <c r="C292" i="24"/>
  <c r="U292" i="24"/>
  <c r="V292" i="24"/>
  <c r="W292" i="24"/>
  <c r="X292" i="24"/>
  <c r="AB292" i="24"/>
  <c r="AC292" i="24"/>
  <c r="AD292" i="24"/>
  <c r="C293" i="24"/>
  <c r="U293" i="24"/>
  <c r="V293" i="24"/>
  <c r="W293" i="24"/>
  <c r="X293" i="24"/>
  <c r="AB293" i="24"/>
  <c r="AC293" i="24"/>
  <c r="AD293" i="24"/>
  <c r="C294" i="24"/>
  <c r="U294" i="24"/>
  <c r="V294" i="24"/>
  <c r="W294" i="24"/>
  <c r="X294" i="24"/>
  <c r="AB294" i="24"/>
  <c r="AC294" i="24"/>
  <c r="AD294" i="24"/>
  <c r="C295" i="24"/>
  <c r="U295" i="24"/>
  <c r="V295" i="24"/>
  <c r="W295" i="24"/>
  <c r="X295" i="24"/>
  <c r="AB295" i="24"/>
  <c r="AC295" i="24"/>
  <c r="AD295" i="24"/>
  <c r="C296" i="24"/>
  <c r="U296" i="24"/>
  <c r="V296" i="24"/>
  <c r="W296" i="24"/>
  <c r="X296" i="24"/>
  <c r="AB296" i="24"/>
  <c r="AC296" i="24"/>
  <c r="AD296" i="24"/>
  <c r="C297" i="24"/>
  <c r="U297" i="24"/>
  <c r="V297" i="24"/>
  <c r="W297" i="24"/>
  <c r="X297" i="24"/>
  <c r="AB297" i="24"/>
  <c r="AC297" i="24"/>
  <c r="AD297" i="24"/>
  <c r="C298" i="24"/>
  <c r="U298" i="24"/>
  <c r="V298" i="24"/>
  <c r="W298" i="24"/>
  <c r="X298" i="24"/>
  <c r="AB298" i="24"/>
  <c r="AC298" i="24"/>
  <c r="AD298" i="24"/>
  <c r="C299" i="24"/>
  <c r="C300" i="24"/>
  <c r="C301" i="24"/>
  <c r="C302" i="24"/>
  <c r="C303" i="24"/>
  <c r="U303" i="24"/>
  <c r="V303" i="24"/>
  <c r="W303" i="24"/>
  <c r="X303" i="24"/>
  <c r="AB303" i="24"/>
  <c r="AC303" i="24"/>
  <c r="AD303" i="24"/>
  <c r="C304" i="24"/>
  <c r="U304" i="24"/>
  <c r="V304" i="24"/>
  <c r="W304" i="24"/>
  <c r="X304" i="24"/>
  <c r="AB304" i="24"/>
  <c r="AC304" i="24"/>
  <c r="AD304" i="24"/>
  <c r="C305" i="24"/>
  <c r="U305" i="24"/>
  <c r="V305" i="24"/>
  <c r="W305" i="24"/>
  <c r="X305" i="24"/>
  <c r="AB305" i="24"/>
  <c r="AC305" i="24"/>
  <c r="AD305" i="24"/>
  <c r="C306" i="24"/>
  <c r="U306" i="24"/>
  <c r="V306" i="24"/>
  <c r="W306" i="24"/>
  <c r="X306" i="24"/>
  <c r="AB306" i="24"/>
  <c r="AC306" i="24"/>
  <c r="AD306" i="24"/>
  <c r="C307" i="24"/>
  <c r="U307" i="24"/>
  <c r="V307" i="24"/>
  <c r="W307" i="24"/>
  <c r="X307" i="24"/>
  <c r="AB307" i="24"/>
  <c r="AC307" i="24"/>
  <c r="AD307" i="24"/>
  <c r="C308" i="24"/>
  <c r="U308" i="24"/>
  <c r="V308" i="24"/>
  <c r="W308" i="24"/>
  <c r="X308" i="24"/>
  <c r="AB308" i="24"/>
  <c r="AC308" i="24"/>
  <c r="AD308" i="24"/>
  <c r="C309" i="24"/>
  <c r="U309" i="24"/>
  <c r="V309" i="24"/>
  <c r="W309" i="24"/>
  <c r="X309" i="24"/>
  <c r="AB309" i="24"/>
  <c r="AC309" i="24"/>
  <c r="AD309" i="24"/>
  <c r="C310" i="24"/>
  <c r="U310" i="24"/>
  <c r="V310" i="24"/>
  <c r="W310" i="24"/>
  <c r="X310" i="24"/>
  <c r="AB310" i="24"/>
  <c r="AC310" i="24"/>
  <c r="AD310" i="24"/>
  <c r="C311" i="24"/>
  <c r="U311" i="24"/>
  <c r="V311" i="24"/>
  <c r="W311" i="24"/>
  <c r="X311" i="24"/>
  <c r="AB311" i="24"/>
  <c r="AC311" i="24"/>
  <c r="AD311" i="24"/>
  <c r="C312" i="24"/>
  <c r="U312" i="24"/>
  <c r="V312" i="24"/>
  <c r="W312" i="24"/>
  <c r="X312" i="24"/>
  <c r="AB312" i="24"/>
  <c r="AC312" i="24"/>
  <c r="AD312" i="24"/>
  <c r="C313" i="24"/>
  <c r="U313" i="24"/>
  <c r="V313" i="24"/>
  <c r="W313" i="24"/>
  <c r="X313" i="24"/>
  <c r="AB313" i="24"/>
  <c r="AC313" i="24"/>
  <c r="AD313" i="24"/>
  <c r="C314" i="24"/>
  <c r="U314" i="24"/>
  <c r="V314" i="24"/>
  <c r="W314" i="24"/>
  <c r="X314" i="24"/>
  <c r="AB314" i="24"/>
  <c r="AC314" i="24"/>
  <c r="AD314" i="24"/>
  <c r="C315" i="24"/>
  <c r="U315" i="24"/>
  <c r="V315" i="24"/>
  <c r="W315" i="24"/>
  <c r="X315" i="24"/>
  <c r="AB315" i="24"/>
  <c r="AC315" i="24"/>
  <c r="AD315" i="24"/>
  <c r="C316" i="24"/>
  <c r="U316" i="24"/>
  <c r="V316" i="24"/>
  <c r="W316" i="24"/>
  <c r="X316" i="24"/>
  <c r="AB316" i="24"/>
  <c r="AC316" i="24"/>
  <c r="AD316" i="24"/>
  <c r="C317" i="24"/>
  <c r="C318" i="24"/>
  <c r="U318" i="24"/>
  <c r="V318" i="24"/>
  <c r="W318" i="24"/>
  <c r="X318" i="24"/>
  <c r="AB318" i="24"/>
  <c r="AC318" i="24"/>
  <c r="AD318" i="24"/>
  <c r="C319" i="24"/>
  <c r="U319" i="24"/>
  <c r="V319" i="24"/>
  <c r="W319" i="24"/>
  <c r="X319" i="24"/>
  <c r="AB319" i="24"/>
  <c r="AC319" i="24"/>
  <c r="AD319" i="24"/>
  <c r="C320" i="24"/>
  <c r="U320" i="24"/>
  <c r="V320" i="24"/>
  <c r="W320" i="24"/>
  <c r="X320" i="24"/>
  <c r="AB320" i="24"/>
  <c r="AC320" i="24"/>
  <c r="AD320" i="24"/>
  <c r="C321" i="24"/>
  <c r="C322" i="24"/>
  <c r="U322" i="24"/>
  <c r="V322" i="24"/>
  <c r="W322" i="24"/>
  <c r="X322" i="24"/>
  <c r="AB322" i="24"/>
  <c r="AC322" i="24"/>
  <c r="AD322" i="24"/>
  <c r="C323" i="24"/>
  <c r="U323" i="24"/>
  <c r="V323" i="24"/>
  <c r="W323" i="24"/>
  <c r="X323" i="24"/>
  <c r="AB323" i="24"/>
  <c r="AC323" i="24"/>
  <c r="AD323" i="24"/>
  <c r="C324" i="24"/>
  <c r="C325" i="24"/>
  <c r="U325" i="24"/>
  <c r="V325" i="24"/>
  <c r="W325" i="24"/>
  <c r="X325" i="24"/>
  <c r="AB325" i="24"/>
  <c r="AC325" i="24"/>
  <c r="AD325" i="24"/>
  <c r="C326" i="24"/>
  <c r="U326" i="24"/>
  <c r="V326" i="24"/>
  <c r="W326" i="24"/>
  <c r="X326" i="24"/>
  <c r="AB326" i="24"/>
  <c r="AC326" i="24"/>
  <c r="AD326" i="24"/>
  <c r="C327" i="24"/>
  <c r="U327" i="24"/>
  <c r="V327" i="24"/>
  <c r="W327" i="24"/>
  <c r="X327" i="24"/>
  <c r="AB327" i="24"/>
  <c r="AC327" i="24"/>
  <c r="AD327" i="24"/>
  <c r="C328" i="24"/>
  <c r="U328" i="24"/>
  <c r="V328" i="24"/>
  <c r="W328" i="24"/>
  <c r="X328" i="24"/>
  <c r="AB328" i="24"/>
  <c r="AC328" i="24"/>
  <c r="AD328" i="24"/>
  <c r="C329" i="24"/>
  <c r="AD329" i="24"/>
  <c r="C330" i="24"/>
  <c r="AB330" i="24"/>
  <c r="AC330" i="24" s="1"/>
  <c r="AD330" i="24" s="1"/>
  <c r="AE330" i="24" s="1"/>
  <c r="C331" i="24"/>
  <c r="AB331" i="24"/>
  <c r="AC331" i="24" s="1"/>
  <c r="AD331" i="24" s="1"/>
  <c r="AE331" i="24" s="1"/>
  <c r="C332" i="24"/>
  <c r="U332" i="24"/>
  <c r="V332" i="24"/>
  <c r="W332" i="24"/>
  <c r="X332" i="24"/>
  <c r="AB332" i="24"/>
  <c r="AC332" i="24"/>
  <c r="AD332" i="24"/>
  <c r="C333" i="24"/>
  <c r="K333" i="24"/>
  <c r="L333" i="24"/>
  <c r="C334" i="24"/>
  <c r="U334" i="24"/>
  <c r="V334" i="24"/>
  <c r="AB334" i="24"/>
  <c r="AC334" i="24"/>
  <c r="AD334" i="24"/>
  <c r="C335" i="24"/>
  <c r="U335" i="24"/>
  <c r="V335" i="24"/>
  <c r="W335" i="24"/>
  <c r="X335" i="24"/>
  <c r="AB335" i="24"/>
  <c r="AC335" i="24" s="1"/>
  <c r="AD335" i="24" s="1"/>
  <c r="AE335" i="24" s="1"/>
  <c r="C336" i="24"/>
  <c r="U336" i="24"/>
  <c r="AB336" i="24"/>
  <c r="AC336" i="24" s="1"/>
  <c r="AD336" i="24" s="1"/>
  <c r="AE336" i="24" s="1"/>
  <c r="C337" i="24"/>
  <c r="AB337" i="24"/>
  <c r="AC337" i="24" s="1"/>
  <c r="AD337" i="24" s="1"/>
  <c r="AE337" i="24" s="1"/>
  <c r="C338" i="24"/>
  <c r="V338" i="24"/>
  <c r="X338" i="24" s="1"/>
  <c r="Z338" i="24" s="1"/>
  <c r="W338" i="24"/>
  <c r="Y338" i="24" s="1"/>
  <c r="AA338" i="24" s="1"/>
  <c r="C339" i="24"/>
  <c r="U339" i="24"/>
  <c r="V339" i="24"/>
  <c r="W339" i="24"/>
  <c r="X339" i="24"/>
  <c r="AB339" i="24"/>
  <c r="AC339" i="24" s="1"/>
  <c r="AD339" i="24" s="1"/>
  <c r="C344" i="24"/>
  <c r="C345" i="24"/>
  <c r="C346" i="24"/>
  <c r="C347" i="24"/>
  <c r="U347" i="24"/>
  <c r="V347" i="24"/>
  <c r="W347" i="24"/>
  <c r="X347" i="24"/>
  <c r="AB347" i="24"/>
  <c r="AC347" i="24"/>
  <c r="AD347" i="24"/>
  <c r="C348" i="24"/>
  <c r="U348" i="24"/>
  <c r="V348" i="24"/>
  <c r="W348" i="24"/>
  <c r="X348" i="24"/>
  <c r="AB348" i="24"/>
  <c r="AC348" i="24"/>
  <c r="AD348" i="24"/>
  <c r="C349" i="24"/>
  <c r="U349" i="24"/>
  <c r="V349" i="24"/>
  <c r="W349" i="24"/>
  <c r="X349" i="24"/>
  <c r="AB349" i="24"/>
  <c r="AC349" i="24"/>
  <c r="AD349" i="24"/>
  <c r="C350" i="24"/>
  <c r="U350" i="24"/>
  <c r="V350" i="24"/>
  <c r="W350" i="24"/>
  <c r="X350" i="24"/>
  <c r="AB350" i="24"/>
  <c r="AC350" i="24"/>
  <c r="AD350" i="24"/>
  <c r="C351" i="24"/>
  <c r="U351" i="24"/>
  <c r="V351" i="24"/>
  <c r="W351" i="24"/>
  <c r="X351" i="24"/>
  <c r="AB351" i="24"/>
  <c r="AC351" i="24"/>
  <c r="AD351" i="24"/>
  <c r="C352" i="24"/>
  <c r="U352" i="24"/>
  <c r="V352" i="24"/>
  <c r="W352" i="24"/>
  <c r="X352" i="24"/>
  <c r="AB352" i="24"/>
  <c r="AC352" i="24"/>
  <c r="AD352" i="24"/>
  <c r="C353" i="24"/>
  <c r="U353" i="24"/>
  <c r="V353" i="24"/>
  <c r="W353" i="24"/>
  <c r="X353" i="24"/>
  <c r="AB353" i="24"/>
  <c r="AC353" i="24"/>
  <c r="AD353" i="24"/>
  <c r="C354" i="24"/>
  <c r="U354" i="24"/>
  <c r="V354" i="24"/>
  <c r="W354" i="24"/>
  <c r="X354" i="24"/>
  <c r="AB354" i="24"/>
  <c r="AC354" i="24"/>
  <c r="AD354" i="24"/>
  <c r="C355" i="24"/>
  <c r="U355" i="24"/>
  <c r="V355" i="24"/>
  <c r="W355" i="24"/>
  <c r="X355" i="24"/>
  <c r="AB355" i="24"/>
  <c r="AC355" i="24"/>
  <c r="AD355" i="24"/>
  <c r="C356" i="24"/>
  <c r="U356" i="24"/>
  <c r="V356" i="24"/>
  <c r="W356" i="24"/>
  <c r="X356" i="24"/>
  <c r="AB356" i="24"/>
  <c r="AC356" i="24"/>
  <c r="AD356" i="24"/>
  <c r="C357" i="24"/>
  <c r="U357" i="24"/>
  <c r="V357" i="24"/>
  <c r="W357" i="24"/>
  <c r="X357" i="24"/>
  <c r="AB357" i="24"/>
  <c r="AC357" i="24"/>
  <c r="AD357" i="24"/>
  <c r="C358" i="24"/>
  <c r="U358" i="24"/>
  <c r="V358" i="24"/>
  <c r="W358" i="24"/>
  <c r="X358" i="24"/>
  <c r="AB358" i="24"/>
  <c r="AC358" i="24"/>
  <c r="AD358" i="24"/>
  <c r="C359" i="24"/>
  <c r="U359" i="24"/>
  <c r="V359" i="24"/>
  <c r="W359" i="24"/>
  <c r="X359" i="24"/>
  <c r="AB359" i="24"/>
  <c r="AC359" i="24"/>
  <c r="AD359" i="24"/>
  <c r="C360" i="24"/>
  <c r="U360" i="24"/>
  <c r="V360" i="24"/>
  <c r="W360" i="24"/>
  <c r="X360" i="24"/>
  <c r="AB360" i="24"/>
  <c r="AC360" i="24"/>
  <c r="AD360" i="24"/>
  <c r="C361" i="24"/>
  <c r="U361" i="24"/>
  <c r="V361" i="24"/>
  <c r="W361" i="24"/>
  <c r="X361" i="24"/>
  <c r="AB361" i="24"/>
  <c r="AC361" i="24"/>
  <c r="AD361" i="24"/>
  <c r="C362" i="24"/>
  <c r="U362" i="24"/>
  <c r="V362" i="24"/>
  <c r="W362" i="24"/>
  <c r="X362" i="24"/>
  <c r="AB362" i="24"/>
  <c r="AC362" i="24"/>
  <c r="AD362" i="24"/>
  <c r="C363" i="24"/>
  <c r="C364" i="24"/>
  <c r="C365" i="24"/>
  <c r="U365" i="24"/>
  <c r="V365" i="24"/>
  <c r="W365" i="24"/>
  <c r="X365" i="24"/>
  <c r="AB365" i="24"/>
  <c r="AC365" i="24"/>
  <c r="AD365" i="24"/>
  <c r="C366" i="24"/>
  <c r="U366" i="24"/>
  <c r="V366" i="24"/>
  <c r="W366" i="24"/>
  <c r="X366" i="24"/>
  <c r="AB366" i="24"/>
  <c r="AC366" i="24"/>
  <c r="AD366" i="24"/>
  <c r="C367" i="24"/>
  <c r="U367" i="24"/>
  <c r="V367" i="24"/>
  <c r="W367" i="24"/>
  <c r="X367" i="24"/>
  <c r="AB367" i="24"/>
  <c r="AC367" i="24"/>
  <c r="AD367" i="24"/>
  <c r="C368" i="24"/>
  <c r="U368" i="24"/>
  <c r="V368" i="24"/>
  <c r="AB368" i="24"/>
  <c r="AC368" i="24"/>
  <c r="AD368" i="24"/>
  <c r="C369" i="24"/>
  <c r="U369" i="24"/>
  <c r="V369" i="24"/>
  <c r="AB369" i="24"/>
  <c r="AC369" i="24"/>
  <c r="AD369" i="24"/>
  <c r="C370" i="24"/>
  <c r="U370" i="24"/>
  <c r="V370" i="24"/>
  <c r="W370" i="24"/>
  <c r="X370" i="24"/>
  <c r="AB370" i="24"/>
  <c r="AC370" i="24"/>
  <c r="AD370" i="24"/>
  <c r="C371" i="24"/>
  <c r="U371" i="24"/>
  <c r="V371" i="24"/>
  <c r="W371" i="24"/>
  <c r="X371" i="24"/>
  <c r="AB371" i="24"/>
  <c r="AC371" i="24"/>
  <c r="AD371" i="24"/>
  <c r="C372" i="24"/>
  <c r="AB372" i="24"/>
  <c r="AC372" i="24"/>
  <c r="AD372" i="24"/>
  <c r="C373" i="24"/>
  <c r="AB373" i="24"/>
  <c r="AC373" i="24"/>
  <c r="C374" i="24"/>
  <c r="AB374" i="24"/>
  <c r="AC374" i="24"/>
  <c r="AD374" i="24"/>
  <c r="C375" i="24"/>
  <c r="AC375" i="24"/>
  <c r="AD375" i="24"/>
  <c r="C376" i="24"/>
  <c r="W376" i="24"/>
  <c r="X376" i="24"/>
  <c r="AB376" i="24"/>
  <c r="AC376" i="24"/>
  <c r="AD376" i="24"/>
  <c r="C377" i="24"/>
  <c r="U377" i="24"/>
  <c r="V377" i="24"/>
  <c r="W377" i="24"/>
  <c r="X377" i="24"/>
  <c r="AB377" i="24"/>
  <c r="AC377" i="24"/>
  <c r="AD377" i="24"/>
  <c r="C378" i="24"/>
  <c r="U378" i="24"/>
  <c r="V378" i="24"/>
  <c r="W378" i="24"/>
  <c r="X378" i="24"/>
  <c r="AB378" i="24"/>
  <c r="AC378" i="24"/>
  <c r="AD378" i="24"/>
  <c r="C379" i="24"/>
  <c r="U379" i="24"/>
  <c r="V379" i="24"/>
  <c r="W379" i="24"/>
  <c r="X379" i="24"/>
  <c r="AB379" i="24"/>
  <c r="AC379" i="24"/>
  <c r="AD379" i="24"/>
  <c r="C380" i="24"/>
  <c r="C381" i="24"/>
  <c r="C382" i="24"/>
  <c r="U382" i="24"/>
  <c r="V382" i="24"/>
  <c r="W382" i="24"/>
  <c r="X382" i="24"/>
  <c r="AB382" i="24"/>
  <c r="AC382" i="24"/>
  <c r="AD382" i="24"/>
  <c r="C383" i="24"/>
  <c r="C384" i="24"/>
  <c r="U384" i="24"/>
  <c r="V384" i="24"/>
  <c r="W384" i="24"/>
  <c r="X384" i="24"/>
  <c r="AB384" i="24"/>
  <c r="AC384" i="24"/>
  <c r="AD384" i="24"/>
  <c r="C385" i="24"/>
  <c r="U385" i="24"/>
  <c r="V385" i="24"/>
  <c r="W385" i="24"/>
  <c r="X385" i="24"/>
  <c r="AB385" i="24"/>
  <c r="AC385" i="24"/>
  <c r="AD385" i="24"/>
  <c r="C386" i="24"/>
  <c r="U386" i="24"/>
  <c r="V386" i="24"/>
  <c r="W386" i="24"/>
  <c r="X386" i="24"/>
  <c r="AB386" i="24"/>
  <c r="AC386" i="24"/>
  <c r="AD386" i="24"/>
  <c r="C387" i="24"/>
  <c r="U387" i="24"/>
  <c r="V387" i="24"/>
  <c r="W387" i="24"/>
  <c r="X387" i="24"/>
  <c r="AB387" i="24"/>
  <c r="AC387" i="24"/>
  <c r="AD387" i="24"/>
  <c r="C388" i="24"/>
  <c r="U388" i="24"/>
  <c r="V388" i="24"/>
  <c r="W388" i="24"/>
  <c r="X388" i="24"/>
  <c r="AB388" i="24"/>
  <c r="AC388" i="24"/>
  <c r="AD388" i="24"/>
  <c r="C389" i="24"/>
  <c r="U389" i="24"/>
  <c r="V389" i="24"/>
  <c r="W389" i="24"/>
  <c r="X389" i="24"/>
  <c r="AB389" i="24"/>
  <c r="AC389" i="24"/>
  <c r="AD389" i="24"/>
  <c r="C390" i="24"/>
  <c r="U390" i="24"/>
  <c r="V390" i="24"/>
  <c r="W390" i="24"/>
  <c r="X390" i="24"/>
  <c r="AB390" i="24"/>
  <c r="AC390" i="24"/>
  <c r="AD390" i="24"/>
  <c r="C391" i="24"/>
  <c r="U391" i="24"/>
  <c r="V391" i="24"/>
  <c r="W391" i="24"/>
  <c r="X391" i="24"/>
  <c r="AB391" i="24"/>
  <c r="AC391" i="24"/>
  <c r="AD391" i="24"/>
  <c r="C392" i="24"/>
  <c r="U392" i="24"/>
  <c r="V392" i="24"/>
  <c r="W392" i="24"/>
  <c r="X392" i="24"/>
  <c r="AB392" i="24"/>
  <c r="AC392" i="24"/>
  <c r="AD392" i="24"/>
  <c r="C393" i="24"/>
  <c r="U393" i="24"/>
  <c r="V393" i="24"/>
  <c r="W393" i="24"/>
  <c r="X393" i="24"/>
  <c r="AB393" i="24"/>
  <c r="AC393" i="24"/>
  <c r="AD393" i="24"/>
  <c r="C394" i="24"/>
  <c r="U394" i="24"/>
  <c r="V394" i="24"/>
  <c r="W394" i="24"/>
  <c r="X394" i="24"/>
  <c r="AB394" i="24"/>
  <c r="AC394" i="24"/>
  <c r="AD394" i="24"/>
  <c r="C395" i="24"/>
  <c r="U395" i="24"/>
  <c r="V395" i="24"/>
  <c r="W395" i="24"/>
  <c r="X395" i="24"/>
  <c r="AB395" i="24"/>
  <c r="AC395" i="24"/>
  <c r="AD395" i="24"/>
  <c r="C396" i="24"/>
  <c r="U396" i="24"/>
  <c r="V396" i="24"/>
  <c r="W396" i="24"/>
  <c r="X396" i="24"/>
  <c r="AB396" i="24"/>
  <c r="AC396" i="24"/>
  <c r="AD396" i="24"/>
  <c r="C397" i="24"/>
  <c r="U397" i="24"/>
  <c r="V397" i="24"/>
  <c r="W397" i="24"/>
  <c r="X397" i="24"/>
  <c r="AB397" i="24"/>
  <c r="AC397" i="24"/>
  <c r="AD397" i="24"/>
  <c r="C398" i="24"/>
  <c r="U398" i="24"/>
  <c r="V398" i="24"/>
  <c r="W398" i="24"/>
  <c r="X398" i="24"/>
  <c r="AB398" i="24"/>
  <c r="AC398" i="24"/>
  <c r="AD398" i="24"/>
  <c r="C399" i="24"/>
  <c r="U399" i="24"/>
  <c r="V399" i="24"/>
  <c r="W399" i="24"/>
  <c r="X399" i="24"/>
  <c r="AB399" i="24"/>
  <c r="AC399" i="24"/>
  <c r="AD399" i="24"/>
  <c r="C400" i="24"/>
  <c r="U400" i="24"/>
  <c r="V400" i="24"/>
  <c r="W400" i="24"/>
  <c r="X400" i="24"/>
  <c r="AB400" i="24"/>
  <c r="AC400" i="24"/>
  <c r="AD400" i="24"/>
  <c r="C401" i="24"/>
  <c r="U401" i="24"/>
  <c r="V401" i="24"/>
  <c r="W401" i="24"/>
  <c r="X401" i="24"/>
  <c r="AB401" i="24"/>
  <c r="AC401" i="24"/>
  <c r="AD401" i="24"/>
  <c r="C402" i="24"/>
  <c r="U402" i="24"/>
  <c r="V402" i="24"/>
  <c r="W402" i="24"/>
  <c r="X402" i="24"/>
  <c r="AB402" i="24"/>
  <c r="AC402" i="24"/>
  <c r="AD402" i="24"/>
  <c r="C403" i="24"/>
  <c r="K403" i="24"/>
  <c r="L403" i="24"/>
  <c r="M403" i="24"/>
  <c r="N403" i="24"/>
  <c r="O403" i="24"/>
  <c r="P403" i="24"/>
  <c r="C404" i="24"/>
  <c r="C405" i="24"/>
  <c r="C406" i="24"/>
  <c r="U406" i="24"/>
  <c r="V406" i="24"/>
  <c r="W406" i="24"/>
  <c r="X406" i="24"/>
  <c r="AB406" i="24"/>
  <c r="AC406" i="24"/>
  <c r="AD406" i="24"/>
  <c r="C407" i="24"/>
  <c r="U407" i="24"/>
  <c r="V407" i="24"/>
  <c r="W407" i="24"/>
  <c r="X407" i="24"/>
  <c r="AB407" i="24"/>
  <c r="AC407" i="24"/>
  <c r="AD407" i="24"/>
  <c r="C408" i="24"/>
  <c r="U408" i="24"/>
  <c r="V408" i="24"/>
  <c r="W408" i="24"/>
  <c r="X408" i="24"/>
  <c r="AB408" i="24"/>
  <c r="AC408" i="24"/>
  <c r="AD408" i="24"/>
  <c r="C409" i="24"/>
  <c r="U409" i="24"/>
  <c r="V409" i="24"/>
  <c r="W409" i="24"/>
  <c r="X409" i="24"/>
  <c r="AB409" i="24"/>
  <c r="AC409" i="24"/>
  <c r="AD409" i="24"/>
  <c r="C410" i="24"/>
  <c r="U410" i="24"/>
  <c r="V410" i="24"/>
  <c r="W410" i="24"/>
  <c r="X410" i="24"/>
  <c r="AB410" i="24"/>
  <c r="AC410" i="24"/>
  <c r="AD410" i="24"/>
  <c r="C411" i="24"/>
  <c r="C412" i="24"/>
  <c r="C413" i="24"/>
  <c r="U413" i="24"/>
  <c r="V413" i="24"/>
  <c r="W413" i="24"/>
  <c r="X413" i="24"/>
  <c r="AB413" i="24"/>
  <c r="AC413" i="24"/>
  <c r="AD413" i="24"/>
  <c r="C414" i="24"/>
  <c r="C415" i="24"/>
  <c r="C416" i="24"/>
  <c r="U416" i="24"/>
  <c r="V416" i="24"/>
  <c r="W416" i="24"/>
  <c r="X416" i="24"/>
  <c r="AB416" i="24"/>
  <c r="AC416" i="24"/>
  <c r="AD416" i="24"/>
  <c r="C418" i="24"/>
  <c r="C419" i="24"/>
  <c r="C420" i="24"/>
  <c r="C421" i="24"/>
  <c r="K421" i="24"/>
  <c r="L421" i="24"/>
  <c r="C422" i="24"/>
  <c r="U422" i="24"/>
  <c r="V422" i="24"/>
  <c r="W422" i="24"/>
  <c r="X422" i="24"/>
  <c r="AB422" i="24"/>
  <c r="AC422" i="24"/>
  <c r="AD422" i="24"/>
  <c r="C423" i="24"/>
  <c r="U423" i="24"/>
  <c r="V423" i="24"/>
  <c r="W423" i="24"/>
  <c r="X423" i="24"/>
  <c r="AB423" i="24"/>
  <c r="AC423" i="24"/>
  <c r="AD423" i="24"/>
  <c r="C424" i="24"/>
  <c r="C425" i="24"/>
  <c r="C426" i="24"/>
  <c r="C427" i="24"/>
  <c r="C428" i="24"/>
  <c r="C429" i="24"/>
  <c r="C430" i="24"/>
  <c r="C431" i="24"/>
  <c r="C432" i="24"/>
  <c r="U432" i="24"/>
  <c r="V432" i="24"/>
  <c r="W432" i="24"/>
  <c r="X432" i="24"/>
  <c r="AB432" i="24"/>
  <c r="AC432" i="24"/>
  <c r="AD432" i="24"/>
  <c r="C433" i="24"/>
  <c r="U433" i="24"/>
  <c r="V433" i="24"/>
  <c r="W433" i="24"/>
  <c r="X433" i="24"/>
  <c r="AB433" i="24"/>
  <c r="AC433" i="24"/>
  <c r="AD433" i="24"/>
  <c r="C434" i="24"/>
  <c r="U434" i="24"/>
  <c r="V434" i="24"/>
  <c r="W434" i="24"/>
  <c r="X434" i="24"/>
  <c r="AB434" i="24"/>
  <c r="AC434" i="24"/>
  <c r="AD434" i="24"/>
  <c r="C435" i="24"/>
  <c r="U435" i="24"/>
  <c r="V435" i="24"/>
  <c r="W435" i="24"/>
  <c r="X435" i="24"/>
  <c r="AB435" i="24"/>
  <c r="AC435" i="24"/>
  <c r="AD435" i="24"/>
  <c r="C436" i="24"/>
  <c r="U436" i="24"/>
  <c r="V436" i="24"/>
  <c r="W436" i="24"/>
  <c r="X436" i="24"/>
  <c r="AB436" i="24"/>
  <c r="AC436" i="24"/>
  <c r="AD436" i="24"/>
  <c r="C437" i="24"/>
  <c r="U437" i="24"/>
  <c r="V437" i="24"/>
  <c r="W437" i="24"/>
  <c r="X437" i="24"/>
  <c r="AB437" i="24"/>
  <c r="AC437" i="24"/>
  <c r="AD437" i="24"/>
  <c r="C438" i="24"/>
  <c r="U438" i="24"/>
  <c r="V438" i="24"/>
  <c r="W438" i="24"/>
  <c r="X438" i="24"/>
  <c r="AB438" i="24"/>
  <c r="AC438" i="24"/>
  <c r="AD438" i="24"/>
  <c r="C439" i="24"/>
  <c r="U439" i="24"/>
  <c r="V439" i="24"/>
  <c r="W439" i="24"/>
  <c r="X439" i="24"/>
  <c r="AB439" i="24"/>
  <c r="AC439" i="24"/>
  <c r="AD439" i="24"/>
  <c r="C440" i="24"/>
  <c r="U440" i="24"/>
  <c r="V440" i="24"/>
  <c r="W440" i="24"/>
  <c r="X440" i="24"/>
  <c r="AB440" i="24"/>
  <c r="AC440" i="24"/>
  <c r="AD440" i="24"/>
  <c r="C441" i="24"/>
  <c r="U441" i="24"/>
  <c r="V441" i="24"/>
  <c r="W441" i="24"/>
  <c r="X441" i="24"/>
  <c r="AB441" i="24"/>
  <c r="AC441" i="24"/>
  <c r="AD441" i="24"/>
  <c r="C442" i="24"/>
  <c r="U442" i="24"/>
  <c r="V442" i="24"/>
  <c r="W442" i="24"/>
  <c r="X442" i="24"/>
  <c r="AB442" i="24"/>
  <c r="AC442" i="24"/>
  <c r="AD442" i="24"/>
  <c r="C443" i="24"/>
  <c r="C444" i="24"/>
  <c r="C445" i="24"/>
  <c r="C446" i="24"/>
  <c r="C447" i="24"/>
  <c r="C448" i="24"/>
  <c r="C449" i="24"/>
  <c r="C450" i="24"/>
  <c r="C451" i="24"/>
  <c r="C452" i="24"/>
  <c r="C453" i="24"/>
  <c r="C454" i="24"/>
  <c r="C455" i="24"/>
  <c r="C456" i="24"/>
  <c r="C457" i="24"/>
  <c r="C458" i="24"/>
  <c r="C459" i="24"/>
  <c r="C460" i="24"/>
  <c r="C461" i="24"/>
  <c r="C462" i="24"/>
  <c r="C463" i="24"/>
  <c r="C464" i="24"/>
  <c r="C465" i="24"/>
  <c r="C466" i="24"/>
  <c r="C467" i="24"/>
  <c r="C468" i="24"/>
  <c r="C469" i="24"/>
  <c r="C470" i="24"/>
  <c r="C471" i="24"/>
  <c r="C472" i="24"/>
  <c r="C473" i="24"/>
  <c r="C474" i="24"/>
  <c r="C475" i="24"/>
  <c r="C476" i="24"/>
  <c r="C477" i="24"/>
  <c r="C478" i="24"/>
  <c r="C479" i="24"/>
  <c r="C480" i="24"/>
  <c r="C481" i="24"/>
  <c r="C482" i="24"/>
  <c r="C483" i="24"/>
  <c r="C484" i="24"/>
  <c r="C485" i="24"/>
  <c r="C486" i="24"/>
  <c r="C487" i="24"/>
  <c r="C488" i="24"/>
  <c r="C489" i="24"/>
  <c r="C490" i="24"/>
  <c r="C491" i="24"/>
  <c r="C492" i="24"/>
  <c r="C493" i="24"/>
  <c r="C494" i="24"/>
  <c r="C495" i="24"/>
  <c r="C496" i="24"/>
  <c r="C497" i="24"/>
  <c r="C498" i="24"/>
  <c r="C499" i="24"/>
  <c r="C500" i="24"/>
  <c r="C501" i="24"/>
  <c r="C502" i="24"/>
  <c r="C503" i="24"/>
  <c r="C504" i="24"/>
  <c r="C505" i="24"/>
  <c r="C506" i="24"/>
  <c r="C507" i="24"/>
  <c r="C508" i="24"/>
  <c r="C509" i="24"/>
  <c r="C510" i="24"/>
  <c r="C511" i="24"/>
  <c r="C512" i="24"/>
  <c r="U512" i="24"/>
  <c r="V512" i="24" s="1"/>
  <c r="C513" i="24"/>
  <c r="C514" i="24"/>
  <c r="C515" i="24"/>
  <c r="C516" i="24"/>
  <c r="C517" i="24"/>
  <c r="C518" i="24"/>
  <c r="C519" i="24"/>
  <c r="C520" i="24"/>
  <c r="C521" i="24"/>
  <c r="C522" i="24"/>
  <c r="C523" i="24"/>
  <c r="C524" i="24"/>
  <c r="C525" i="24"/>
  <c r="C526" i="24"/>
  <c r="C527" i="24"/>
  <c r="C528" i="24"/>
  <c r="C529" i="24"/>
  <c r="C530" i="24"/>
  <c r="C531" i="24"/>
  <c r="C532" i="24"/>
  <c r="C533" i="24"/>
  <c r="C534" i="24"/>
  <c r="C535" i="24"/>
  <c r="C536" i="24"/>
  <c r="C537" i="24"/>
  <c r="C538" i="24"/>
  <c r="C539" i="24"/>
  <c r="C540" i="24"/>
  <c r="C541" i="24"/>
  <c r="C542" i="24"/>
  <c r="C543" i="24"/>
  <c r="C544" i="24"/>
  <c r="AB544" i="24"/>
  <c r="AC544" i="24" s="1"/>
  <c r="AD544" i="24" s="1"/>
  <c r="AE544" i="24" s="1"/>
  <c r="C545" i="24"/>
  <c r="AB545" i="24"/>
  <c r="AC545" i="24" s="1"/>
  <c r="AD545" i="24" s="1"/>
  <c r="AE545" i="24" s="1"/>
  <c r="C546" i="24"/>
  <c r="AB546" i="24"/>
  <c r="AC546" i="24" s="1"/>
  <c r="AD546" i="24" s="1"/>
  <c r="AE546" i="24" s="1"/>
  <c r="C547" i="24"/>
  <c r="AB547" i="24"/>
  <c r="AC547" i="24" s="1"/>
  <c r="AD547" i="24" s="1"/>
  <c r="AE547" i="24" s="1"/>
  <c r="C548" i="24"/>
  <c r="C549" i="24"/>
  <c r="U549" i="24"/>
  <c r="U550" i="24" s="1"/>
  <c r="U551" i="24" s="1"/>
  <c r="V549" i="24"/>
  <c r="V550" i="24" s="1"/>
  <c r="V551" i="24" s="1"/>
  <c r="W549" i="24"/>
  <c r="W550" i="24" s="1"/>
  <c r="W551" i="24" s="1"/>
  <c r="X549" i="24"/>
  <c r="X550" i="24" s="1"/>
  <c r="X551" i="24" s="1"/>
  <c r="C550" i="24"/>
  <c r="C551" i="24"/>
  <c r="C552" i="24"/>
  <c r="AB552" i="24"/>
  <c r="AC552" i="24" s="1"/>
  <c r="AD552" i="24" s="1"/>
  <c r="AE552" i="24" s="1"/>
  <c r="C553" i="24"/>
  <c r="AB553" i="24"/>
  <c r="AC553" i="24" s="1"/>
  <c r="AD553" i="24" s="1"/>
  <c r="AE553" i="24" s="1"/>
  <c r="C554" i="24"/>
  <c r="AB554" i="24"/>
  <c r="AC554" i="24" s="1"/>
  <c r="AD554" i="24" s="1"/>
  <c r="AE554" i="24" s="1"/>
  <c r="C555" i="24"/>
  <c r="AB555" i="24"/>
  <c r="AC555" i="24" s="1"/>
  <c r="AD555" i="24" s="1"/>
  <c r="AE555" i="24" s="1"/>
  <c r="C556" i="24"/>
  <c r="C557" i="24"/>
  <c r="U557" i="24"/>
  <c r="U558" i="24" s="1"/>
  <c r="U559" i="24" s="1"/>
  <c r="V557" i="24"/>
  <c r="V558" i="24" s="1"/>
  <c r="V559" i="24" s="1"/>
  <c r="W557" i="24"/>
  <c r="W558" i="24" s="1"/>
  <c r="W559" i="24" s="1"/>
  <c r="X557" i="24"/>
  <c r="X558" i="24" s="1"/>
  <c r="X559" i="24" s="1"/>
  <c r="C558" i="24"/>
  <c r="C559" i="24"/>
  <c r="C560" i="24"/>
  <c r="C561" i="24"/>
  <c r="C562" i="24"/>
  <c r="C563" i="24"/>
  <c r="C564" i="24"/>
  <c r="C565" i="24"/>
  <c r="C566" i="24"/>
  <c r="C567" i="24"/>
  <c r="C568" i="24"/>
  <c r="C569" i="24"/>
  <c r="C570" i="24"/>
  <c r="C571" i="24"/>
  <c r="C572" i="24"/>
  <c r="C573" i="24"/>
  <c r="C574" i="24"/>
  <c r="C575" i="24"/>
  <c r="C576" i="24"/>
  <c r="AC576" i="24"/>
  <c r="AD576" i="24" s="1"/>
  <c r="AE576" i="24" s="1"/>
  <c r="C577" i="24"/>
  <c r="AC577" i="24"/>
  <c r="AD577" i="24" s="1"/>
  <c r="AE577" i="24" s="1"/>
  <c r="C578" i="24"/>
  <c r="AC578" i="24"/>
  <c r="AD578" i="24" s="1"/>
  <c r="AE578" i="24" s="1"/>
  <c r="C579" i="24"/>
  <c r="AC579" i="24"/>
  <c r="AD579" i="24" s="1"/>
  <c r="AE579" i="24" s="1"/>
  <c r="C580" i="24"/>
  <c r="AC580" i="24"/>
  <c r="AD580" i="24" s="1"/>
  <c r="AE580" i="24" s="1"/>
  <c r="C581" i="24"/>
  <c r="AC581" i="24"/>
  <c r="AD581" i="24" s="1"/>
  <c r="AE581" i="24" s="1"/>
  <c r="C582" i="24"/>
  <c r="AC582" i="24"/>
  <c r="AD582" i="24" s="1"/>
  <c r="AE582" i="24" s="1"/>
  <c r="C583" i="24"/>
  <c r="AB583" i="24"/>
  <c r="AC583" i="24" s="1"/>
  <c r="AD583" i="24" s="1"/>
  <c r="AE583" i="24" s="1"/>
  <c r="C584" i="24"/>
  <c r="AB584" i="24"/>
  <c r="AC584" i="24" s="1"/>
  <c r="AD584" i="24" s="1"/>
  <c r="AE584" i="24" s="1"/>
  <c r="C585" i="24"/>
  <c r="AB585" i="24"/>
  <c r="AC585" i="24" s="1"/>
  <c r="AD585" i="24" s="1"/>
  <c r="AE585" i="24" s="1"/>
  <c r="C586" i="24"/>
  <c r="AB586" i="24"/>
  <c r="AC586" i="24" s="1"/>
  <c r="AD586" i="24" s="1"/>
  <c r="AE586" i="24" s="1"/>
  <c r="C587" i="24"/>
  <c r="AB587" i="24"/>
  <c r="AC587" i="24" s="1"/>
  <c r="AD587" i="24" s="1"/>
  <c r="AE587" i="24" s="1"/>
  <c r="C588" i="24"/>
  <c r="AB588" i="24"/>
  <c r="AC588" i="24" s="1"/>
  <c r="AD588" i="24" s="1"/>
  <c r="AE588" i="24" s="1"/>
  <c r="C589" i="24"/>
  <c r="AB589" i="24"/>
  <c r="AC589" i="24" s="1"/>
  <c r="AD589" i="24" s="1"/>
  <c r="AE589" i="24" s="1"/>
  <c r="C590" i="24"/>
  <c r="AB590" i="24"/>
  <c r="AC590" i="24" s="1"/>
  <c r="AD590" i="24" s="1"/>
  <c r="AE590" i="24" s="1"/>
  <c r="C591" i="24"/>
  <c r="AB591" i="24"/>
  <c r="AC591" i="24" s="1"/>
  <c r="AD591" i="24" s="1"/>
  <c r="AE591" i="24" s="1"/>
  <c r="C592" i="24"/>
  <c r="AB592" i="24"/>
  <c r="AC592" i="24" s="1"/>
  <c r="AD592" i="24" s="1"/>
  <c r="AE592" i="24" s="1"/>
  <c r="C593" i="24"/>
  <c r="AB593" i="24"/>
  <c r="AC593" i="24" s="1"/>
  <c r="AD593" i="24" s="1"/>
  <c r="AE593" i="24" s="1"/>
  <c r="C594" i="24"/>
  <c r="AB594" i="24"/>
  <c r="AC594" i="24" s="1"/>
  <c r="AD594" i="24" s="1"/>
  <c r="AE594" i="24" s="1"/>
  <c r="C595" i="24"/>
  <c r="AB595" i="24"/>
  <c r="AC595" i="24" s="1"/>
  <c r="AD595" i="24" s="1"/>
  <c r="AE595" i="24" s="1"/>
  <c r="C596" i="24"/>
  <c r="AB596" i="24"/>
  <c r="AC596" i="24" s="1"/>
  <c r="AD596" i="24" s="1"/>
  <c r="AE596" i="24" s="1"/>
  <c r="C597" i="24"/>
  <c r="AB597" i="24"/>
  <c r="AC597" i="24" s="1"/>
  <c r="AD597" i="24" s="1"/>
  <c r="AE597" i="24" s="1"/>
  <c r="C598" i="24"/>
  <c r="AB598" i="24"/>
  <c r="AC598" i="24" s="1"/>
  <c r="AD598" i="24" s="1"/>
  <c r="AE598" i="24" s="1"/>
  <c r="C599" i="24"/>
  <c r="AB599" i="24"/>
  <c r="AC599" i="24" s="1"/>
  <c r="AD599" i="24" s="1"/>
  <c r="AE599" i="24" s="1"/>
  <c r="C600" i="24"/>
  <c r="C601" i="24"/>
  <c r="C602" i="24"/>
  <c r="C603" i="24"/>
  <c r="C604" i="24"/>
  <c r="C605" i="24"/>
  <c r="C606" i="24"/>
  <c r="C607" i="24"/>
  <c r="C608" i="24"/>
  <c r="C609" i="24"/>
  <c r="C610" i="24"/>
  <c r="C611" i="24"/>
  <c r="C612" i="24"/>
  <c r="C613" i="24"/>
  <c r="C614" i="24"/>
  <c r="C615" i="24"/>
  <c r="C616" i="24"/>
  <c r="C617" i="24"/>
  <c r="C618" i="24"/>
  <c r="C619" i="24"/>
  <c r="C620" i="24"/>
  <c r="C621" i="24"/>
  <c r="C622" i="24"/>
  <c r="C623" i="24"/>
  <c r="C624" i="24"/>
  <c r="C625" i="24"/>
  <c r="C626" i="24"/>
  <c r="C627" i="24"/>
  <c r="C628" i="24"/>
  <c r="C629" i="24"/>
  <c r="C630" i="24"/>
  <c r="C631" i="24"/>
  <c r="C632" i="24"/>
  <c r="C633" i="24"/>
  <c r="C634" i="24"/>
  <c r="C635" i="24"/>
  <c r="C636" i="24"/>
  <c r="C637" i="24"/>
  <c r="C638" i="24"/>
  <c r="C639" i="24"/>
  <c r="C640" i="24"/>
  <c r="K640" i="24"/>
  <c r="C641" i="24"/>
  <c r="C642" i="24"/>
  <c r="C643" i="24"/>
  <c r="C644" i="24"/>
  <c r="C645" i="24"/>
  <c r="C646" i="24"/>
  <c r="C647" i="24"/>
  <c r="C648" i="24"/>
  <c r="C649" i="24"/>
  <c r="C650" i="24"/>
  <c r="C651" i="24"/>
  <c r="C652" i="24"/>
  <c r="C653" i="24"/>
  <c r="C654" i="24"/>
  <c r="C655" i="24"/>
  <c r="C656" i="24"/>
  <c r="C657" i="24"/>
  <c r="C658" i="24"/>
  <c r="C659" i="24"/>
  <c r="C660" i="24"/>
  <c r="C661" i="24"/>
  <c r="C662" i="24"/>
  <c r="C663" i="24"/>
  <c r="C664" i="24"/>
  <c r="C665" i="24"/>
  <c r="V665" i="24"/>
  <c r="V667" i="24" s="1"/>
  <c r="W665" i="24"/>
  <c r="C666" i="24"/>
  <c r="V666" i="24"/>
  <c r="W666" i="24"/>
  <c r="Y666" i="24" s="1"/>
  <c r="AA666" i="24" s="1"/>
  <c r="C667" i="24"/>
  <c r="U667" i="24"/>
  <c r="C668" i="24"/>
  <c r="V668" i="24"/>
  <c r="X668" i="24" s="1"/>
  <c r="Z668" i="24" s="1"/>
  <c r="W668" i="24"/>
  <c r="Y668" i="24" s="1"/>
  <c r="AA668" i="24" s="1"/>
  <c r="C669" i="24"/>
  <c r="V669" i="24"/>
  <c r="X669" i="24" s="1"/>
  <c r="Z669" i="24" s="1"/>
  <c r="W669" i="24"/>
  <c r="Y669" i="24" s="1"/>
  <c r="AA669" i="24" s="1"/>
  <c r="C670" i="24"/>
  <c r="C671" i="24"/>
  <c r="U671" i="24"/>
  <c r="V671" i="24"/>
  <c r="W671" i="24"/>
  <c r="X671" i="24"/>
  <c r="AB671" i="24"/>
  <c r="AC671" i="24"/>
  <c r="AD671" i="24"/>
  <c r="C672" i="24"/>
  <c r="U672" i="24"/>
  <c r="V672" i="24"/>
  <c r="W672" i="24"/>
  <c r="X672" i="24"/>
  <c r="AB672" i="24"/>
  <c r="AC672" i="24"/>
  <c r="AD672" i="24"/>
  <c r="C673" i="24"/>
  <c r="U673" i="24"/>
  <c r="V673" i="24"/>
  <c r="W673" i="24"/>
  <c r="X673" i="24"/>
  <c r="AB673" i="24"/>
  <c r="AC673" i="24"/>
  <c r="AD673" i="24"/>
  <c r="C674" i="24"/>
  <c r="U674" i="24"/>
  <c r="V674" i="24"/>
  <c r="W674" i="24"/>
  <c r="X674" i="24"/>
  <c r="AB674" i="24"/>
  <c r="AC674" i="24"/>
  <c r="AD674" i="24"/>
  <c r="C675" i="24"/>
  <c r="U675" i="24"/>
  <c r="V675" i="24"/>
  <c r="W675" i="24"/>
  <c r="X675" i="24"/>
  <c r="AB675" i="24"/>
  <c r="AC675" i="24"/>
  <c r="AD675" i="24"/>
  <c r="C676" i="24"/>
  <c r="U676" i="24"/>
  <c r="V676" i="24"/>
  <c r="W676" i="24"/>
  <c r="X676" i="24"/>
  <c r="AB676" i="24"/>
  <c r="AC676" i="24"/>
  <c r="AD676" i="24"/>
  <c r="C677" i="24"/>
  <c r="AB677" i="24"/>
  <c r="AC677" i="24" s="1"/>
  <c r="AD677" i="24" s="1"/>
  <c r="AE677" i="24" s="1"/>
  <c r="C678" i="24"/>
  <c r="AB678" i="24"/>
  <c r="AC678" i="24" s="1"/>
  <c r="AD678" i="24" s="1"/>
  <c r="AE678" i="24" s="1"/>
  <c r="C679" i="24"/>
  <c r="AB679" i="24"/>
  <c r="AC679" i="24" s="1"/>
  <c r="AD679" i="24" s="1"/>
  <c r="AE679" i="24" s="1"/>
  <c r="C680" i="24"/>
  <c r="AB680" i="24"/>
  <c r="AC680" i="24" s="1"/>
  <c r="AD680" i="24" s="1"/>
  <c r="AE680" i="24" s="1"/>
  <c r="C681" i="24"/>
  <c r="AB681" i="24"/>
  <c r="AC681" i="24" s="1"/>
  <c r="AD681" i="24" s="1"/>
  <c r="AE681" i="24" s="1"/>
  <c r="C682" i="24"/>
  <c r="AB682" i="24"/>
  <c r="AC682" i="24" s="1"/>
  <c r="AD682" i="24" s="1"/>
  <c r="AE682" i="24" s="1"/>
  <c r="C683" i="24"/>
  <c r="C684" i="24"/>
  <c r="C685" i="24"/>
  <c r="C686" i="24"/>
  <c r="K686" i="24"/>
  <c r="L686" i="24"/>
  <c r="C687" i="24"/>
  <c r="K687" i="24"/>
  <c r="L687" i="24"/>
  <c r="C688" i="24"/>
  <c r="M688" i="24"/>
  <c r="N688" i="24"/>
  <c r="O688" i="24"/>
  <c r="P688" i="24"/>
  <c r="C689" i="24"/>
  <c r="AC689" i="24"/>
  <c r="AD689" i="24" s="1"/>
  <c r="AE689" i="24" s="1"/>
  <c r="C690" i="24"/>
  <c r="V690" i="24"/>
  <c r="X690" i="24" s="1"/>
  <c r="Z690" i="24" s="1"/>
  <c r="W690" i="24"/>
  <c r="Y690" i="24" s="1"/>
  <c r="AA690" i="24" s="1"/>
  <c r="AC690" i="24"/>
  <c r="AD690" i="24" s="1"/>
  <c r="AE690" i="24" s="1"/>
  <c r="C691" i="24"/>
  <c r="AB691" i="24"/>
  <c r="C692" i="24"/>
  <c r="AC692" i="24"/>
  <c r="AD692" i="24" s="1"/>
  <c r="AE692" i="24" s="1"/>
  <c r="C693" i="24"/>
  <c r="AC693" i="24"/>
  <c r="AD693" i="24" s="1"/>
  <c r="AE693" i="24" s="1"/>
  <c r="C694" i="24"/>
  <c r="AC694" i="24"/>
  <c r="AD694" i="24" s="1"/>
  <c r="AE694" i="24" s="1"/>
  <c r="C695" i="24"/>
  <c r="AB695" i="24"/>
  <c r="AC695" i="24" s="1"/>
  <c r="AD695" i="24" s="1"/>
  <c r="AE695" i="24" s="1"/>
  <c r="C696" i="24"/>
  <c r="U696" i="24"/>
  <c r="V696" i="24"/>
  <c r="W696" i="24"/>
  <c r="X696" i="24"/>
  <c r="AB696" i="24"/>
  <c r="AC696" i="24" s="1"/>
  <c r="AD696" i="24" s="1"/>
  <c r="AE696" i="24" s="1"/>
  <c r="C697" i="24"/>
  <c r="AB697" i="24"/>
  <c r="AC697" i="24" s="1"/>
  <c r="AD697" i="24" s="1"/>
  <c r="AE697" i="24" s="1"/>
  <c r="C698" i="24"/>
  <c r="C699" i="24"/>
  <c r="C700" i="24"/>
  <c r="C701" i="24"/>
  <c r="C702" i="24"/>
  <c r="AB702" i="24"/>
  <c r="AC702" i="24" s="1"/>
  <c r="AD702" i="24" s="1"/>
  <c r="AE702" i="24" s="1"/>
  <c r="C703" i="24"/>
  <c r="C704" i="24"/>
  <c r="AB704" i="24"/>
  <c r="AC704" i="24" s="1"/>
  <c r="AD704" i="24" s="1"/>
  <c r="AE704" i="24" s="1"/>
  <c r="C705" i="24"/>
  <c r="AB705" i="24"/>
  <c r="AC705" i="24" s="1"/>
  <c r="AD705" i="24" s="1"/>
  <c r="AE705" i="24" s="1"/>
  <c r="C706" i="24"/>
  <c r="AB706" i="24"/>
  <c r="AC706" i="24" s="1"/>
  <c r="AD706" i="24" s="1"/>
  <c r="AE706" i="24" s="1"/>
  <c r="C707" i="24"/>
  <c r="C708" i="24"/>
  <c r="C709" i="24"/>
  <c r="C710" i="24"/>
  <c r="C711" i="24"/>
  <c r="C712" i="24"/>
  <c r="C713" i="24"/>
  <c r="C714" i="24"/>
  <c r="C715" i="24"/>
  <c r="C716" i="24"/>
  <c r="C717" i="24"/>
  <c r="C718" i="24"/>
  <c r="C719" i="24"/>
  <c r="C720" i="24"/>
  <c r="C721" i="24"/>
  <c r="C722" i="24"/>
  <c r="C723" i="24"/>
  <c r="C724" i="24"/>
  <c r="C725" i="24"/>
  <c r="C726" i="24"/>
  <c r="C727" i="24"/>
  <c r="C728" i="24"/>
  <c r="C729" i="24"/>
  <c r="C730" i="24"/>
  <c r="A731" i="24"/>
  <c r="C731" i="24"/>
  <c r="C732" i="24"/>
  <c r="C733" i="24"/>
  <c r="C734" i="24"/>
  <c r="C735" i="24"/>
  <c r="C736" i="24"/>
  <c r="A737" i="24"/>
  <c r="C737" i="24"/>
  <c r="C738" i="24"/>
  <c r="C739" i="24"/>
  <c r="C740" i="24"/>
  <c r="C741" i="24"/>
  <c r="C742" i="24"/>
  <c r="A743" i="24"/>
  <c r="C743" i="24"/>
  <c r="C744" i="24"/>
  <c r="C745" i="24"/>
  <c r="C746" i="24"/>
  <c r="C747" i="24"/>
  <c r="C748" i="24"/>
  <c r="A749" i="24"/>
  <c r="C749" i="24"/>
  <c r="C750" i="24"/>
  <c r="C751" i="24"/>
  <c r="C752" i="24"/>
  <c r="C753" i="24"/>
  <c r="C754" i="24"/>
  <c r="A755" i="24"/>
  <c r="C755" i="24"/>
  <c r="C756" i="24"/>
  <c r="C757" i="24"/>
  <c r="C758" i="24"/>
  <c r="C759" i="24"/>
  <c r="C760" i="24"/>
  <c r="A761" i="24"/>
  <c r="C761" i="24"/>
  <c r="C762" i="24"/>
  <c r="U762" i="24"/>
  <c r="AI762" i="24"/>
  <c r="AJ762" i="24"/>
  <c r="C763" i="24"/>
  <c r="U763" i="24"/>
  <c r="AI763" i="24"/>
  <c r="AJ763" i="24"/>
  <c r="C764" i="24"/>
  <c r="U764" i="24"/>
  <c r="AI764" i="24"/>
  <c r="AJ764" i="24"/>
  <c r="C765" i="24"/>
  <c r="U765" i="24"/>
  <c r="AI765" i="24"/>
  <c r="AJ765" i="24"/>
  <c r="C766" i="24"/>
  <c r="U766" i="24"/>
  <c r="AI766" i="24"/>
  <c r="AJ766" i="24"/>
  <c r="A767" i="24"/>
  <c r="C767" i="24"/>
  <c r="U767" i="24"/>
  <c r="AI767" i="24"/>
  <c r="AJ767" i="24"/>
  <c r="C768" i="24"/>
  <c r="C769" i="24"/>
  <c r="C770" i="24"/>
  <c r="C771" i="24"/>
  <c r="C772" i="24"/>
  <c r="A773" i="24"/>
  <c r="C773" i="24"/>
  <c r="C774" i="24"/>
  <c r="C775" i="24"/>
  <c r="C776" i="24"/>
  <c r="C777" i="24"/>
  <c r="C778" i="24"/>
  <c r="A779" i="24"/>
  <c r="C779" i="24"/>
  <c r="C780" i="24"/>
  <c r="V780" i="24"/>
  <c r="X780" i="24" s="1"/>
  <c r="Z780" i="24" s="1"/>
  <c r="W780" i="24"/>
  <c r="Y780" i="24" s="1"/>
  <c r="AA780" i="24" s="1"/>
  <c r="C781" i="24"/>
  <c r="V781" i="24"/>
  <c r="X781" i="24" s="1"/>
  <c r="Z781" i="24" s="1"/>
  <c r="W781" i="24"/>
  <c r="Y781" i="24" s="1"/>
  <c r="AA781" i="24" s="1"/>
  <c r="C782" i="24"/>
  <c r="V782" i="24"/>
  <c r="X782" i="24" s="1"/>
  <c r="Z782" i="24" s="1"/>
  <c r="W782" i="24"/>
  <c r="Y782" i="24" s="1"/>
  <c r="AA782" i="24" s="1"/>
  <c r="C783" i="24"/>
  <c r="V783" i="24"/>
  <c r="W783" i="24"/>
  <c r="Y783" i="24" s="1"/>
  <c r="AA783" i="24" s="1"/>
  <c r="C784" i="24"/>
  <c r="V784" i="24"/>
  <c r="X784" i="24" s="1"/>
  <c r="Z784" i="24" s="1"/>
  <c r="W784" i="24"/>
  <c r="Y784" i="24" s="1"/>
  <c r="AA784" i="24" s="1"/>
  <c r="A785" i="24"/>
  <c r="C785" i="24"/>
  <c r="V785" i="24"/>
  <c r="X785" i="24" s="1"/>
  <c r="Z785" i="24" s="1"/>
  <c r="W785" i="24"/>
  <c r="Y785" i="24" s="1"/>
  <c r="AA785" i="24" s="1"/>
  <c r="C786" i="24"/>
  <c r="AB786" i="24"/>
  <c r="AC786" i="24" s="1"/>
  <c r="AD786" i="24" s="1"/>
  <c r="AE786" i="24" s="1"/>
  <c r="C787" i="24"/>
  <c r="AB787" i="24"/>
  <c r="AC787" i="24" s="1"/>
  <c r="AD787" i="24" s="1"/>
  <c r="AE787" i="24" s="1"/>
  <c r="C788" i="24"/>
  <c r="AB788" i="24"/>
  <c r="AC788" i="24" s="1"/>
  <c r="AD788" i="24" s="1"/>
  <c r="AE788" i="24" s="1"/>
  <c r="C789" i="24"/>
  <c r="AB789" i="24"/>
  <c r="AC789" i="24" s="1"/>
  <c r="AD789" i="24" s="1"/>
  <c r="AE789" i="24" s="1"/>
  <c r="C790" i="24"/>
  <c r="AB790" i="24"/>
  <c r="AC790" i="24" s="1"/>
  <c r="AD790" i="24" s="1"/>
  <c r="AE790" i="24" s="1"/>
  <c r="A791" i="24"/>
  <c r="C791" i="24"/>
  <c r="AB791" i="24"/>
  <c r="AC791" i="24" s="1"/>
  <c r="AD791" i="24" s="1"/>
  <c r="AE791" i="24" s="1"/>
  <c r="C792" i="24"/>
  <c r="AB792" i="24"/>
  <c r="AC792" i="24" s="1"/>
  <c r="AD792" i="24" s="1"/>
  <c r="AE792" i="24" s="1"/>
  <c r="C793" i="24"/>
  <c r="AB793" i="24"/>
  <c r="AC793" i="24" s="1"/>
  <c r="AD793" i="24" s="1"/>
  <c r="AE793" i="24" s="1"/>
  <c r="C794" i="24"/>
  <c r="AB794" i="24"/>
  <c r="AC794" i="24" s="1"/>
  <c r="AD794" i="24" s="1"/>
  <c r="AE794" i="24" s="1"/>
  <c r="C795" i="24"/>
  <c r="AB795" i="24"/>
  <c r="AC795" i="24" s="1"/>
  <c r="AD795" i="24" s="1"/>
  <c r="AE795" i="24" s="1"/>
  <c r="C796" i="24"/>
  <c r="AB796" i="24"/>
  <c r="AC796" i="24" s="1"/>
  <c r="AD796" i="24" s="1"/>
  <c r="AE796" i="24" s="1"/>
  <c r="A797" i="24"/>
  <c r="C797" i="24"/>
  <c r="AB797" i="24"/>
  <c r="AC797" i="24" s="1"/>
  <c r="AD797" i="24" s="1"/>
  <c r="AE797" i="24" s="1"/>
  <c r="C798" i="24"/>
  <c r="C799" i="24"/>
  <c r="C800" i="24"/>
  <c r="C801" i="24"/>
  <c r="C802" i="24"/>
  <c r="A803" i="24"/>
  <c r="C803" i="24"/>
  <c r="C804" i="24"/>
  <c r="AI804" i="24"/>
  <c r="AJ804" i="24"/>
  <c r="C805" i="24"/>
  <c r="AI805" i="24"/>
  <c r="AJ805" i="24"/>
  <c r="C806" i="24"/>
  <c r="AI806" i="24"/>
  <c r="AJ806" i="24"/>
  <c r="C807" i="24"/>
  <c r="AI807" i="24"/>
  <c r="AJ807" i="24"/>
  <c r="C808" i="24"/>
  <c r="AI808" i="24"/>
  <c r="AJ808" i="24"/>
  <c r="A809" i="24"/>
  <c r="C809" i="24"/>
  <c r="AI809" i="24"/>
  <c r="AJ809" i="24"/>
  <c r="C810" i="24"/>
  <c r="U810" i="24"/>
  <c r="AI810" i="24"/>
  <c r="AJ810" i="24"/>
  <c r="C811" i="24"/>
  <c r="U811" i="24"/>
  <c r="AI811" i="24"/>
  <c r="AJ811" i="24"/>
  <c r="C812" i="24"/>
  <c r="U812" i="24"/>
  <c r="AI812" i="24"/>
  <c r="AJ812" i="24"/>
  <c r="C813" i="24"/>
  <c r="U813" i="24"/>
  <c r="AI813" i="24"/>
  <c r="AJ813" i="24"/>
  <c r="C814" i="24"/>
  <c r="U814" i="24"/>
  <c r="AI814" i="24"/>
  <c r="AJ814" i="24"/>
  <c r="A815" i="24"/>
  <c r="C815" i="24"/>
  <c r="U815" i="24"/>
  <c r="AI815" i="24"/>
  <c r="AJ815" i="24"/>
  <c r="C816" i="24"/>
  <c r="C817" i="24"/>
  <c r="V817" i="24"/>
  <c r="X817" i="24" s="1"/>
  <c r="Z817" i="24" s="1"/>
  <c r="W817" i="24"/>
  <c r="Y817" i="24" s="1"/>
  <c r="AA817" i="24" s="1"/>
  <c r="C818" i="24"/>
  <c r="U818" i="24"/>
  <c r="U821" i="24" s="1"/>
  <c r="C819" i="24"/>
  <c r="V819" i="24"/>
  <c r="X819" i="24" s="1"/>
  <c r="Z819" i="24" s="1"/>
  <c r="W819" i="24"/>
  <c r="Y819" i="24" s="1"/>
  <c r="AA819" i="24" s="1"/>
  <c r="C820" i="24"/>
  <c r="A821" i="24"/>
  <c r="C821" i="24"/>
  <c r="C822" i="24"/>
  <c r="C823" i="24"/>
  <c r="U823" i="24"/>
  <c r="V823" i="24" s="1"/>
  <c r="V824" i="24" s="1"/>
  <c r="C824" i="24"/>
  <c r="C825" i="24"/>
  <c r="U825" i="24"/>
  <c r="V825" i="24" s="1"/>
  <c r="C826" i="24"/>
  <c r="A827" i="24"/>
  <c r="C827" i="24"/>
  <c r="C828" i="24"/>
  <c r="C829" i="24"/>
  <c r="C830" i="24"/>
  <c r="C831" i="24"/>
  <c r="C832" i="24"/>
  <c r="C833" i="24"/>
  <c r="C834" i="24"/>
  <c r="U834" i="24"/>
  <c r="V834" i="24"/>
  <c r="W834" i="24"/>
  <c r="X834" i="24"/>
  <c r="AB834" i="24"/>
  <c r="AC834" i="24"/>
  <c r="AD834" i="24"/>
  <c r="AF834" i="24"/>
  <c r="C835" i="24"/>
  <c r="U835" i="24"/>
  <c r="V835" i="24"/>
  <c r="W835" i="24"/>
  <c r="X835" i="24"/>
  <c r="AB835" i="24"/>
  <c r="AC835" i="24"/>
  <c r="AD835" i="24"/>
  <c r="AF835" i="24"/>
  <c r="C836" i="24"/>
  <c r="U836" i="24"/>
  <c r="V836" i="24"/>
  <c r="W836" i="24"/>
  <c r="X836" i="24"/>
  <c r="AB836" i="24"/>
  <c r="AC836" i="24"/>
  <c r="AD836" i="24"/>
  <c r="AF836" i="24"/>
  <c r="C837" i="24"/>
  <c r="C838" i="24"/>
  <c r="C839" i="24"/>
  <c r="C840" i="24"/>
  <c r="C841" i="24"/>
  <c r="C842" i="24"/>
  <c r="C843" i="24"/>
  <c r="C844" i="24"/>
  <c r="C845" i="24"/>
  <c r="C846" i="24"/>
  <c r="C847" i="24"/>
  <c r="U847" i="24"/>
  <c r="V847" i="24"/>
  <c r="W847" i="24"/>
  <c r="X847" i="24"/>
  <c r="AB847" i="24"/>
  <c r="AC847" i="24"/>
  <c r="AD847" i="24"/>
  <c r="C848" i="24"/>
  <c r="U848" i="24"/>
  <c r="V848" i="24"/>
  <c r="W848" i="24"/>
  <c r="X848" i="24"/>
  <c r="AB848" i="24"/>
  <c r="AC848" i="24"/>
  <c r="AD848" i="24"/>
  <c r="C849" i="24"/>
  <c r="C850" i="24"/>
  <c r="C851" i="24"/>
  <c r="U851" i="24"/>
  <c r="V851" i="24"/>
  <c r="W851" i="24"/>
  <c r="X851" i="24"/>
  <c r="AB851" i="24"/>
  <c r="AC851" i="24"/>
  <c r="AD851" i="24"/>
  <c r="C852" i="24"/>
  <c r="U852" i="24"/>
  <c r="V852" i="24"/>
  <c r="W852" i="24"/>
  <c r="X852" i="24"/>
  <c r="AB852" i="24"/>
  <c r="AC852" i="24"/>
  <c r="AD852" i="24"/>
  <c r="C853" i="24"/>
  <c r="C854" i="24"/>
  <c r="C855" i="24"/>
  <c r="C856" i="24"/>
  <c r="C857" i="24"/>
  <c r="C858" i="24"/>
  <c r="C859" i="24"/>
  <c r="C860" i="24"/>
  <c r="C861" i="24"/>
  <c r="C862" i="24"/>
  <c r="V862" i="24"/>
  <c r="V762" i="24" s="1"/>
  <c r="W862" i="24"/>
  <c r="C863" i="24"/>
  <c r="V863" i="24"/>
  <c r="C864" i="24"/>
  <c r="V864" i="24"/>
  <c r="V766" i="24" s="1"/>
  <c r="W864" i="24"/>
  <c r="C865" i="24"/>
  <c r="C866" i="24"/>
  <c r="V866" i="24"/>
  <c r="X866" i="24" s="1"/>
  <c r="Z866" i="24" s="1"/>
  <c r="W866" i="24"/>
  <c r="Y866" i="24" s="1"/>
  <c r="AA866" i="24" s="1"/>
  <c r="C867" i="24"/>
  <c r="V867" i="24"/>
  <c r="X867" i="24" s="1"/>
  <c r="Z867" i="24" s="1"/>
  <c r="W867" i="24"/>
  <c r="Y867" i="24" s="1"/>
  <c r="AA867" i="24" s="1"/>
  <c r="C868" i="24"/>
  <c r="V868" i="24"/>
  <c r="X868" i="24" s="1"/>
  <c r="Z868" i="24" s="1"/>
  <c r="W868" i="24"/>
  <c r="Y868" i="24" s="1"/>
  <c r="AA868" i="24" s="1"/>
  <c r="C869" i="24"/>
  <c r="C870" i="24"/>
  <c r="C871" i="24"/>
  <c r="C872" i="24"/>
  <c r="U872" i="24"/>
  <c r="V872" i="24"/>
  <c r="W872" i="24"/>
  <c r="X872" i="24"/>
  <c r="AB872" i="24"/>
  <c r="AC872" i="24"/>
  <c r="AD872" i="24"/>
  <c r="C873" i="24"/>
  <c r="C874" i="24"/>
  <c r="C875" i="24"/>
  <c r="C876" i="24"/>
  <c r="C877" i="24"/>
  <c r="C878" i="24"/>
  <c r="C879" i="24"/>
  <c r="C880" i="24"/>
  <c r="C881" i="24"/>
  <c r="C882" i="24"/>
  <c r="C883" i="24"/>
  <c r="C884" i="24"/>
  <c r="C885" i="24"/>
  <c r="C886" i="24"/>
  <c r="U886" i="24"/>
  <c r="V886" i="24"/>
  <c r="W886" i="24"/>
  <c r="X886" i="24"/>
  <c r="AB886" i="24"/>
  <c r="AC886" i="24"/>
  <c r="AD886" i="24"/>
  <c r="C887" i="24"/>
  <c r="U887" i="24"/>
  <c r="V887" i="24"/>
  <c r="W887" i="24"/>
  <c r="X887" i="24"/>
  <c r="AB887" i="24"/>
  <c r="AC887" i="24"/>
  <c r="AD887" i="24"/>
  <c r="C888" i="24"/>
  <c r="U888" i="24"/>
  <c r="V888" i="24"/>
  <c r="W888" i="24"/>
  <c r="X888" i="24"/>
  <c r="AB888" i="24"/>
  <c r="AC888" i="24"/>
  <c r="AD888" i="24"/>
  <c r="C889" i="24"/>
  <c r="C890" i="24"/>
  <c r="U890" i="24"/>
  <c r="U804" i="24" s="1"/>
  <c r="V890" i="24"/>
  <c r="V804" i="24" s="1"/>
  <c r="W890" i="24"/>
  <c r="W804" i="24" s="1"/>
  <c r="X890" i="24"/>
  <c r="X804" i="24" s="1"/>
  <c r="AB890" i="24"/>
  <c r="AB804" i="24" s="1"/>
  <c r="AC890" i="24"/>
  <c r="AC804" i="24" s="1"/>
  <c r="AD890" i="24"/>
  <c r="AD804" i="24" s="1"/>
  <c r="C891" i="24"/>
  <c r="U891" i="24"/>
  <c r="U807" i="24" s="1"/>
  <c r="V891" i="24"/>
  <c r="V807" i="24" s="1"/>
  <c r="W891" i="24"/>
  <c r="W807" i="24" s="1"/>
  <c r="X891" i="24"/>
  <c r="X807" i="24" s="1"/>
  <c r="AB891" i="24"/>
  <c r="AB807" i="24" s="1"/>
  <c r="AC891" i="24"/>
  <c r="AC807" i="24" s="1"/>
  <c r="AD891" i="24"/>
  <c r="AD807" i="24" s="1"/>
  <c r="C892" i="24"/>
  <c r="U892" i="24"/>
  <c r="U808" i="24" s="1"/>
  <c r="V892" i="24"/>
  <c r="V809" i="24" s="1"/>
  <c r="W892" i="24"/>
  <c r="W809" i="24" s="1"/>
  <c r="X892" i="24"/>
  <c r="X809" i="24" s="1"/>
  <c r="AB892" i="24"/>
  <c r="AB808" i="24" s="1"/>
  <c r="AC892" i="24"/>
  <c r="AC809" i="24" s="1"/>
  <c r="AD892" i="24"/>
  <c r="AD809" i="24" s="1"/>
  <c r="C893" i="24"/>
  <c r="C894" i="24"/>
  <c r="V894" i="24"/>
  <c r="X894" i="24" s="1"/>
  <c r="W894" i="24"/>
  <c r="AB810" i="24"/>
  <c r="C895" i="24"/>
  <c r="V895" i="24"/>
  <c r="V811" i="24" s="1"/>
  <c r="W895" i="24"/>
  <c r="AB811" i="24"/>
  <c r="C896" i="24"/>
  <c r="V896" i="24"/>
  <c r="V814" i="24" s="1"/>
  <c r="W896" i="24"/>
  <c r="AC896" i="24"/>
  <c r="C897" i="24"/>
  <c r="C898" i="24"/>
  <c r="C899" i="24"/>
  <c r="C900" i="24"/>
  <c r="C901" i="24"/>
  <c r="C902" i="24"/>
  <c r="C903" i="24"/>
  <c r="C904" i="24"/>
  <c r="C905" i="24"/>
  <c r="C906" i="24"/>
  <c r="C907" i="24"/>
  <c r="C908" i="24"/>
  <c r="C909" i="24"/>
  <c r="C910" i="24"/>
  <c r="C911" i="24"/>
  <c r="C912" i="24"/>
  <c r="C913" i="24"/>
  <c r="C914" i="24"/>
  <c r="C915" i="24"/>
  <c r="C916" i="24"/>
  <c r="C917" i="24"/>
  <c r="C918" i="24"/>
  <c r="AB918" i="24"/>
  <c r="AC918" i="24" s="1"/>
  <c r="AD918" i="24" s="1"/>
  <c r="AE918" i="24" s="1"/>
  <c r="C919" i="24"/>
  <c r="AB919" i="24"/>
  <c r="AC919" i="24" s="1"/>
  <c r="AD919" i="24" s="1"/>
  <c r="AE919" i="24" s="1"/>
  <c r="C920" i="24"/>
  <c r="AB920" i="24"/>
  <c r="AC920" i="24" s="1"/>
  <c r="AD920" i="24" s="1"/>
  <c r="AE920" i="24" s="1"/>
  <c r="C921" i="24"/>
  <c r="C922" i="24"/>
  <c r="C923" i="24"/>
  <c r="C924" i="24"/>
  <c r="C925" i="24"/>
  <c r="C926" i="24"/>
  <c r="V926" i="24"/>
  <c r="W926" i="24"/>
  <c r="C927" i="24"/>
  <c r="V927" i="24"/>
  <c r="W927" i="24"/>
  <c r="C928" i="24"/>
  <c r="C933" i="24"/>
  <c r="V933" i="24"/>
  <c r="C934" i="24"/>
  <c r="V934" i="24"/>
  <c r="C935" i="24"/>
  <c r="V935" i="24"/>
  <c r="W935" i="24"/>
  <c r="C936" i="24"/>
  <c r="C993" i="24"/>
  <c r="C994" i="24"/>
  <c r="C995" i="24"/>
  <c r="U995" i="24"/>
  <c r="V995" i="24"/>
  <c r="W995" i="24"/>
  <c r="X995" i="24"/>
  <c r="AB995" i="24"/>
  <c r="AC995" i="24"/>
  <c r="AD995" i="24"/>
  <c r="C996" i="24"/>
  <c r="U996" i="24"/>
  <c r="V996" i="24"/>
  <c r="W996" i="24"/>
  <c r="X996" i="24"/>
  <c r="AB996" i="24"/>
  <c r="AC996" i="24"/>
  <c r="AD996" i="24"/>
  <c r="C997" i="24"/>
  <c r="U997" i="24"/>
  <c r="V997" i="24"/>
  <c r="W997" i="24"/>
  <c r="X997" i="24"/>
  <c r="AB997" i="24"/>
  <c r="AC997" i="24"/>
  <c r="AD997" i="24"/>
  <c r="C998" i="24"/>
  <c r="C999" i="24"/>
  <c r="C1000" i="24"/>
  <c r="C1001" i="24"/>
  <c r="C1002" i="24"/>
  <c r="C1003" i="24"/>
  <c r="C1004" i="24"/>
  <c r="C1005" i="24"/>
  <c r="C1006" i="24"/>
  <c r="C1007" i="24"/>
  <c r="C1008" i="24"/>
  <c r="C1009" i="24"/>
  <c r="C1010" i="24"/>
  <c r="C1011" i="24"/>
  <c r="C1012" i="24"/>
  <c r="C1013" i="24"/>
  <c r="C1014" i="24"/>
  <c r="C1015" i="24"/>
  <c r="C1016" i="24"/>
  <c r="C1017" i="24"/>
  <c r="C1018" i="24"/>
  <c r="C1019" i="24"/>
  <c r="C1020" i="24"/>
  <c r="C1021" i="24"/>
  <c r="C1022" i="24"/>
  <c r="C1023" i="24"/>
  <c r="C1024" i="24"/>
  <c r="C1025" i="24"/>
  <c r="C1026" i="24"/>
  <c r="C1027" i="24"/>
  <c r="C1028" i="24"/>
  <c r="C1029" i="24"/>
  <c r="C1030" i="24"/>
  <c r="C1031" i="24"/>
  <c r="C1032" i="24"/>
  <c r="C1033" i="24"/>
  <c r="C1034" i="24"/>
  <c r="C1035" i="24"/>
  <c r="C1036" i="24"/>
  <c r="C1037" i="24"/>
  <c r="C1038" i="24"/>
  <c r="C1039" i="24"/>
  <c r="C1040" i="24"/>
  <c r="C1041" i="24"/>
  <c r="C1042" i="24"/>
  <c r="C1043" i="24"/>
  <c r="C1044" i="24"/>
  <c r="C1045" i="24"/>
  <c r="C1046" i="24"/>
  <c r="C1047" i="24"/>
  <c r="C1048" i="24"/>
  <c r="C1049" i="24"/>
  <c r="C1050" i="24"/>
  <c r="C1051" i="24"/>
  <c r="C1052" i="24"/>
  <c r="C1053" i="24"/>
  <c r="C1054" i="24"/>
  <c r="C1055" i="24"/>
  <c r="C1056" i="24"/>
  <c r="C1057" i="24"/>
  <c r="C1058" i="24"/>
  <c r="C1059" i="24"/>
  <c r="C1060" i="24"/>
  <c r="C1061" i="24"/>
  <c r="C1062" i="24"/>
  <c r="C1063" i="24"/>
  <c r="C1064" i="24"/>
  <c r="C1065" i="24"/>
  <c r="C1066" i="24"/>
  <c r="C1067" i="24"/>
  <c r="C1068" i="24"/>
  <c r="C1069" i="24"/>
  <c r="C1070" i="24"/>
  <c r="C1071" i="24"/>
  <c r="U1071" i="24"/>
  <c r="V1071" i="24"/>
  <c r="W1071" i="24"/>
  <c r="X1071" i="24"/>
  <c r="AB1071" i="24"/>
  <c r="AC1071" i="24"/>
  <c r="AD1071" i="24"/>
  <c r="C1072" i="24"/>
  <c r="U1072" i="24"/>
  <c r="V1072" i="24"/>
  <c r="W1072" i="24"/>
  <c r="X1072" i="24"/>
  <c r="AB1072" i="24"/>
  <c r="AC1072" i="24"/>
  <c r="AD1072" i="24"/>
  <c r="C1073" i="24"/>
  <c r="U1073" i="24"/>
  <c r="V1073" i="24"/>
  <c r="W1073" i="24"/>
  <c r="X1073" i="24"/>
  <c r="AB1073" i="24"/>
  <c r="AC1073" i="24"/>
  <c r="AD1073" i="24"/>
  <c r="C1074" i="24"/>
  <c r="C1075" i="24"/>
  <c r="C1076" i="24"/>
  <c r="C1077" i="24"/>
  <c r="C1078" i="24"/>
  <c r="C1079" i="24"/>
  <c r="C1080" i="24"/>
  <c r="C1081" i="24"/>
  <c r="C1082" i="24"/>
  <c r="C1083" i="24"/>
  <c r="C1084" i="24"/>
  <c r="C1085" i="24"/>
  <c r="C1086" i="24"/>
  <c r="C1087" i="24"/>
  <c r="C1088" i="24"/>
  <c r="C1089" i="24"/>
  <c r="C1090" i="24"/>
  <c r="C1091" i="24"/>
  <c r="C1092" i="24"/>
  <c r="C1093" i="24"/>
  <c r="C1098" i="24"/>
  <c r="C1099" i="24"/>
  <c r="C1100" i="24"/>
  <c r="C1101" i="24"/>
  <c r="C1158" i="24"/>
  <c r="C1159" i="24"/>
  <c r="U1159" i="24"/>
  <c r="V1159" i="24"/>
  <c r="W1159" i="24"/>
  <c r="X1159" i="24"/>
  <c r="AB1159" i="24"/>
  <c r="AC1159" i="24"/>
  <c r="AD1159" i="24"/>
  <c r="C1160" i="24"/>
  <c r="C1161" i="24"/>
  <c r="AB1161" i="24"/>
  <c r="AC1161" i="24" s="1"/>
  <c r="AD1161" i="24" s="1"/>
  <c r="AE1161" i="24" s="1"/>
  <c r="C1162" i="24"/>
  <c r="AB1162" i="24"/>
  <c r="AC1162" i="24" s="1"/>
  <c r="AD1162" i="24" s="1"/>
  <c r="AE1162" i="24" s="1"/>
  <c r="C1163" i="24"/>
  <c r="AB1163" i="24"/>
  <c r="AC1163" i="24" s="1"/>
  <c r="AD1163" i="24" s="1"/>
  <c r="AE1163" i="24" s="1"/>
  <c r="C1164" i="24"/>
  <c r="C1165" i="24"/>
  <c r="C1166" i="24"/>
  <c r="C1167" i="24"/>
  <c r="C1170" i="24"/>
  <c r="C1171" i="24"/>
  <c r="C1172" i="24"/>
  <c r="C1173" i="24"/>
  <c r="C1174" i="24"/>
  <c r="C1175" i="24"/>
  <c r="C1176" i="24"/>
  <c r="C1177" i="24"/>
  <c r="C1178" i="24"/>
  <c r="C1179" i="24"/>
  <c r="C1180" i="24"/>
  <c r="C1181" i="24"/>
  <c r="C1182" i="24"/>
  <c r="C1183" i="24"/>
  <c r="C1184" i="24"/>
  <c r="C1185" i="24"/>
  <c r="C1186" i="24"/>
  <c r="C1187" i="24"/>
  <c r="C1188" i="24"/>
  <c r="C1189" i="24"/>
  <c r="C1190" i="24"/>
  <c r="C1191" i="24"/>
  <c r="C1192" i="24"/>
  <c r="C1193" i="24"/>
  <c r="C1194" i="24"/>
  <c r="C1195" i="24"/>
  <c r="C1196" i="24"/>
  <c r="C1197" i="24"/>
  <c r="C1198" i="24"/>
  <c r="C1199" i="24"/>
  <c r="C1200" i="24"/>
  <c r="C1201" i="24"/>
  <c r="C1202" i="24"/>
  <c r="C1203" i="24"/>
  <c r="C1204" i="24"/>
  <c r="C1205" i="24"/>
  <c r="C1206" i="24"/>
  <c r="C1207" i="24"/>
  <c r="C1208" i="24"/>
  <c r="C1209" i="24"/>
  <c r="C1210" i="24"/>
  <c r="C1211" i="24"/>
  <c r="C1212" i="24"/>
  <c r="C1213" i="24"/>
  <c r="C1214" i="24"/>
  <c r="C1215" i="24"/>
  <c r="C1216" i="24"/>
  <c r="C1217" i="24"/>
  <c r="C1218" i="24"/>
  <c r="C1219" i="24"/>
  <c r="C1220" i="24"/>
  <c r="C1221" i="24"/>
  <c r="C1222" i="24"/>
  <c r="C1223" i="24"/>
  <c r="C1224" i="24"/>
  <c r="C1225" i="24"/>
  <c r="C1226" i="24"/>
  <c r="C1227" i="24"/>
  <c r="C1228" i="24"/>
  <c r="C1229" i="24"/>
  <c r="C1230" i="24"/>
  <c r="C1231" i="24"/>
  <c r="C1232" i="24"/>
  <c r="C1233" i="24"/>
  <c r="C1234" i="24"/>
  <c r="C1235" i="24"/>
  <c r="C1236" i="24"/>
  <c r="C1237" i="24"/>
  <c r="C1238" i="24"/>
  <c r="C1239" i="24"/>
  <c r="C1240" i="24"/>
  <c r="C1241" i="24"/>
  <c r="C1242" i="24"/>
  <c r="C1243" i="24"/>
  <c r="C1244" i="24"/>
  <c r="C1245" i="24"/>
  <c r="C1246" i="24"/>
  <c r="C1247" i="24"/>
  <c r="C1248" i="24"/>
  <c r="C1249" i="24"/>
  <c r="C1250" i="24"/>
  <c r="C1251" i="24"/>
  <c r="C1252" i="24"/>
  <c r="C1253" i="24"/>
  <c r="C1254" i="24"/>
  <c r="C1255" i="24"/>
  <c r="C1256" i="24"/>
  <c r="C1257" i="24"/>
  <c r="C1258" i="24"/>
  <c r="C1259" i="24"/>
  <c r="C1260" i="24"/>
  <c r="C1261" i="24"/>
  <c r="AB1261" i="24"/>
  <c r="AC1261" i="24" s="1"/>
  <c r="AD1261" i="24" s="1"/>
  <c r="AE1261" i="24" s="1"/>
  <c r="C1262" i="24"/>
  <c r="AI1262" i="24"/>
  <c r="AJ1262" i="24"/>
  <c r="C1263" i="24"/>
  <c r="U1263" i="24"/>
  <c r="U1262" i="24" s="1"/>
  <c r="V1263" i="24"/>
  <c r="V1262" i="24" s="1"/>
  <c r="W1263" i="24"/>
  <c r="W1262" i="24" s="1"/>
  <c r="X1263" i="24"/>
  <c r="X1262" i="24" s="1"/>
  <c r="C1264" i="24"/>
  <c r="U1264" i="24"/>
  <c r="V1264" i="24"/>
  <c r="W1264" i="24"/>
  <c r="X1264" i="24"/>
  <c r="AB1264" i="24"/>
  <c r="AC1264" i="24" s="1"/>
  <c r="AD1264" i="24" s="1"/>
  <c r="AE1264" i="24" s="1"/>
  <c r="C1265" i="24"/>
  <c r="C1266" i="24"/>
  <c r="C1267" i="24"/>
  <c r="C1268" i="24"/>
  <c r="AB1268" i="24"/>
  <c r="AC1268" i="24" s="1"/>
  <c r="AD1268" i="24" s="1"/>
  <c r="AE1268" i="24" s="1"/>
  <c r="C1269" i="24"/>
  <c r="AB1269" i="24"/>
  <c r="AC1269" i="24" s="1"/>
  <c r="AD1269" i="24" s="1"/>
  <c r="AE1269" i="24" s="1"/>
  <c r="C1270" i="24"/>
  <c r="AI1270" i="24"/>
  <c r="AJ1270" i="24"/>
  <c r="C1271" i="24"/>
  <c r="U1271" i="24"/>
  <c r="U1270" i="24" s="1"/>
  <c r="V1271" i="24"/>
  <c r="V1270" i="24" s="1"/>
  <c r="W1271" i="24"/>
  <c r="W1270" i="24" s="1"/>
  <c r="X1271" i="24"/>
  <c r="X1270" i="24" s="1"/>
  <c r="C1272" i="24"/>
  <c r="U1272" i="24"/>
  <c r="V1272" i="24"/>
  <c r="W1272" i="24"/>
  <c r="X1272" i="24"/>
  <c r="AB1272" i="24"/>
  <c r="AC1272" i="24" s="1"/>
  <c r="AD1272" i="24" s="1"/>
  <c r="AE1272" i="24" s="1"/>
  <c r="C1273" i="24"/>
  <c r="C1274" i="24"/>
  <c r="C1275" i="24"/>
  <c r="C1276" i="24"/>
  <c r="AB1276" i="24"/>
  <c r="AC1276" i="24" s="1"/>
  <c r="AD1276" i="24" s="1"/>
  <c r="AE1276" i="24" s="1"/>
  <c r="C1277" i="24"/>
  <c r="C1278" i="24"/>
  <c r="C1279" i="24"/>
  <c r="C1280" i="24"/>
  <c r="C1281" i="24"/>
  <c r="C1282" i="24"/>
  <c r="C1283" i="24"/>
  <c r="C1284" i="24"/>
  <c r="C1285" i="24"/>
  <c r="C1286" i="24"/>
  <c r="C1287" i="24"/>
  <c r="C1288" i="24"/>
  <c r="C1289" i="24"/>
  <c r="C1290" i="24"/>
  <c r="C1291" i="24"/>
  <c r="C1292" i="24"/>
  <c r="C1293" i="24"/>
  <c r="V1293" i="24"/>
  <c r="W1293" i="24"/>
  <c r="Y1293" i="24" s="1"/>
  <c r="AA1293" i="24" s="1"/>
  <c r="C1294" i="24"/>
  <c r="U1294" i="24"/>
  <c r="AI1294" i="24"/>
  <c r="AJ1294" i="24"/>
  <c r="C1295" i="24"/>
  <c r="V1295" i="24"/>
  <c r="V1294" i="24" s="1"/>
  <c r="W1295" i="24"/>
  <c r="C1296" i="24"/>
  <c r="V1296" i="24"/>
  <c r="W1296" i="24"/>
  <c r="Y1296" i="24" s="1"/>
  <c r="AA1296" i="24" s="1"/>
  <c r="C1297" i="24"/>
  <c r="C1298" i="24"/>
  <c r="C1299" i="24"/>
  <c r="C1300" i="24"/>
  <c r="C1301" i="24"/>
  <c r="C1302" i="24"/>
  <c r="AI1302" i="24"/>
  <c r="AJ1302" i="24"/>
  <c r="C1303" i="24"/>
  <c r="U1303" i="24"/>
  <c r="U1302" i="24" s="1"/>
  <c r="V1303" i="24"/>
  <c r="V1302" i="24" s="1"/>
  <c r="W1303" i="24"/>
  <c r="W1302" i="24" s="1"/>
  <c r="X1303" i="24"/>
  <c r="X1302" i="24" s="1"/>
  <c r="C1304" i="24"/>
  <c r="U1304" i="24"/>
  <c r="V1304" i="24"/>
  <c r="W1304" i="24"/>
  <c r="X1304" i="24"/>
  <c r="C1305" i="24"/>
  <c r="U1305" i="24"/>
  <c r="V1305" i="24"/>
  <c r="W1305" i="24"/>
  <c r="X1305" i="24"/>
  <c r="C1306" i="24"/>
  <c r="C1307" i="24"/>
  <c r="C1308" i="24"/>
  <c r="C1309" i="24"/>
  <c r="U1309" i="24"/>
  <c r="U1311" i="24" s="1"/>
  <c r="U1310" i="24" s="1"/>
  <c r="V1309" i="24"/>
  <c r="V1313" i="24" s="1"/>
  <c r="W1309" i="24"/>
  <c r="W1313" i="24" s="1"/>
  <c r="X1309" i="24"/>
  <c r="X1313" i="24" s="1"/>
  <c r="C1310" i="24"/>
  <c r="AI1310" i="24"/>
  <c r="AJ1310" i="24"/>
  <c r="C1311" i="24"/>
  <c r="C1312" i="24"/>
  <c r="C1313" i="24"/>
  <c r="C1314" i="24"/>
  <c r="U1314" i="24"/>
  <c r="V1314" i="24"/>
  <c r="W1314" i="24"/>
  <c r="X1314" i="24"/>
  <c r="C1315" i="24"/>
  <c r="U1315" i="24"/>
  <c r="V1315" i="24"/>
  <c r="W1315" i="24"/>
  <c r="X1315" i="24"/>
  <c r="C1316" i="24"/>
  <c r="U1316" i="24"/>
  <c r="V1316" i="24"/>
  <c r="W1316" i="24"/>
  <c r="X1316" i="24"/>
  <c r="C1325" i="24"/>
  <c r="C1326" i="24"/>
  <c r="C1327" i="24"/>
  <c r="C1328" i="24"/>
  <c r="C1329" i="24"/>
  <c r="C1330" i="24"/>
  <c r="C1331" i="24"/>
  <c r="C1332" i="24"/>
  <c r="C1333" i="24"/>
  <c r="C1334" i="24"/>
  <c r="F1334" i="24"/>
  <c r="C1335" i="24"/>
  <c r="C1336" i="24"/>
  <c r="C1337" i="24"/>
  <c r="C1340" i="24"/>
  <c r="C1341" i="24"/>
  <c r="C1342" i="24"/>
  <c r="C1343" i="24"/>
  <c r="C1344" i="24"/>
  <c r="C1345" i="24"/>
  <c r="C1349" i="24"/>
  <c r="F1349" i="24"/>
  <c r="C1350" i="24"/>
  <c r="F1350" i="24"/>
  <c r="C1351" i="24"/>
  <c r="F1351" i="24"/>
  <c r="C1352" i="24"/>
  <c r="C1355" i="24"/>
  <c r="C1356" i="24"/>
  <c r="C1357" i="24"/>
  <c r="C1358" i="24"/>
  <c r="C1359" i="24"/>
  <c r="C1360" i="24"/>
  <c r="C1364" i="24"/>
  <c r="F1364" i="24"/>
  <c r="C1365" i="24"/>
  <c r="F1365" i="24"/>
  <c r="C1366" i="24"/>
  <c r="F1366" i="24"/>
  <c r="C1367" i="24"/>
  <c r="F1367" i="24"/>
  <c r="C1370" i="24"/>
  <c r="C1371" i="24"/>
  <c r="C1372" i="24"/>
  <c r="C1373" i="24"/>
  <c r="C1374" i="24"/>
  <c r="C1375" i="24"/>
  <c r="C1379" i="24"/>
  <c r="F1379" i="24"/>
  <c r="C1380" i="24"/>
  <c r="F1380" i="24"/>
  <c r="C1381" i="24"/>
  <c r="F1381" i="24"/>
  <c r="C1382" i="24"/>
  <c r="F1382" i="24"/>
  <c r="C1385" i="24"/>
  <c r="C1386" i="24"/>
  <c r="C1387" i="24"/>
  <c r="C1388" i="24"/>
  <c r="C1389" i="24"/>
  <c r="C1390" i="24"/>
  <c r="C1394" i="24"/>
  <c r="F1394" i="24"/>
  <c r="C1395" i="24"/>
  <c r="F1395" i="24"/>
  <c r="C1396" i="24"/>
  <c r="F1396" i="24"/>
  <c r="C1397" i="24"/>
  <c r="F1397" i="24"/>
  <c r="C1400" i="24"/>
  <c r="C1401" i="24"/>
  <c r="C1402" i="24"/>
  <c r="C1403" i="24"/>
  <c r="C1404" i="24"/>
  <c r="C1405" i="24"/>
  <c r="C1409" i="24"/>
  <c r="F1409" i="24"/>
  <c r="C1410" i="24"/>
  <c r="F1410" i="24"/>
  <c r="C1411" i="24"/>
  <c r="F1411" i="24"/>
  <c r="C1412" i="24"/>
  <c r="F1412" i="24"/>
  <c r="C1415" i="24"/>
  <c r="C1416" i="24"/>
  <c r="C1417" i="24"/>
  <c r="C1418" i="24"/>
  <c r="C1419" i="24"/>
  <c r="C1420" i="24"/>
  <c r="C1424" i="24"/>
  <c r="F1424" i="24"/>
  <c r="C1425" i="24"/>
  <c r="F1425" i="24"/>
  <c r="C1426" i="24"/>
  <c r="F1426" i="24"/>
  <c r="C1427" i="24"/>
  <c r="F1427" i="24"/>
  <c r="C1430" i="24"/>
  <c r="C1431" i="24"/>
  <c r="C1432" i="24"/>
  <c r="C1433" i="24"/>
  <c r="C1434" i="24"/>
  <c r="C1435" i="24"/>
  <c r="C1439" i="24"/>
  <c r="F1439" i="24"/>
  <c r="C1440" i="24"/>
  <c r="F1440" i="24"/>
  <c r="C1441" i="24"/>
  <c r="F1441" i="24"/>
  <c r="C1442" i="24"/>
  <c r="F1442" i="24"/>
  <c r="C1445" i="24"/>
  <c r="C1446" i="24"/>
  <c r="V1446" i="24"/>
  <c r="X1446" i="24" s="1"/>
  <c r="Z1446" i="24" s="1"/>
  <c r="W1446" i="24"/>
  <c r="Y1446" i="24" s="1"/>
  <c r="AA1446" i="24" s="1"/>
  <c r="C1447" i="24"/>
  <c r="V1447" i="24"/>
  <c r="X1447" i="24" s="1"/>
  <c r="Z1447" i="24" s="1"/>
  <c r="W1447" i="24"/>
  <c r="Y1447" i="24" s="1"/>
  <c r="AA1447" i="24" s="1"/>
  <c r="C1448" i="24"/>
  <c r="V1448" i="24"/>
  <c r="X1448" i="24" s="1"/>
  <c r="Z1448" i="24" s="1"/>
  <c r="W1448" i="24"/>
  <c r="Y1448" i="24" s="1"/>
  <c r="AA1448" i="24" s="1"/>
  <c r="C1449" i="24"/>
  <c r="C1450" i="24"/>
  <c r="U1450" i="24"/>
  <c r="W1450" i="24" s="1"/>
  <c r="Y1450" i="24" s="1"/>
  <c r="AA1450" i="24" s="1"/>
  <c r="C1451" i="24"/>
  <c r="U1451" i="24"/>
  <c r="W1451" i="24" s="1"/>
  <c r="Y1451" i="24" s="1"/>
  <c r="AA1451" i="24" s="1"/>
  <c r="C1452" i="24"/>
  <c r="C1453" i="24"/>
  <c r="C1454" i="24"/>
  <c r="F1454" i="24"/>
  <c r="C1455" i="24"/>
  <c r="F1455" i="24"/>
  <c r="C1456" i="24"/>
  <c r="F1456" i="24"/>
  <c r="C1457" i="24"/>
  <c r="F1457" i="24"/>
  <c r="C1460" i="24"/>
  <c r="V1460" i="24"/>
  <c r="C1461" i="24"/>
  <c r="C1462" i="24"/>
  <c r="C1463" i="24"/>
  <c r="C1464" i="24"/>
  <c r="C1465" i="24"/>
  <c r="C1469" i="24"/>
  <c r="F1469" i="24"/>
  <c r="C1470" i="24"/>
  <c r="F1470" i="24"/>
  <c r="C1471" i="24"/>
  <c r="F1471" i="24"/>
  <c r="C1472" i="24"/>
  <c r="F1472" i="24"/>
  <c r="C1475" i="24"/>
  <c r="C1476" i="24"/>
  <c r="C1477" i="24"/>
  <c r="C1478" i="24"/>
  <c r="C1479" i="24"/>
  <c r="C1480" i="24"/>
  <c r="C1484" i="24"/>
  <c r="F1484" i="24"/>
  <c r="C1485" i="24"/>
  <c r="F1485" i="24"/>
  <c r="C1486" i="24"/>
  <c r="F1486" i="24"/>
  <c r="C1487" i="24"/>
  <c r="F1487" i="24"/>
  <c r="C1490" i="24"/>
  <c r="C1491" i="24"/>
  <c r="C1492" i="24"/>
  <c r="C1493" i="24"/>
  <c r="C1494" i="24"/>
  <c r="C1495" i="24"/>
  <c r="C1499" i="24"/>
  <c r="F1499" i="24"/>
  <c r="C1500" i="24"/>
  <c r="F1500" i="24"/>
  <c r="C1501" i="24"/>
  <c r="F1501" i="24"/>
  <c r="C1502" i="24"/>
  <c r="F1502" i="24"/>
  <c r="C1505" i="24"/>
  <c r="C1506" i="24"/>
  <c r="C1507" i="24"/>
  <c r="C1508" i="24"/>
  <c r="C1509" i="24"/>
  <c r="C1510" i="24"/>
  <c r="C1514" i="24"/>
  <c r="F1514" i="24"/>
  <c r="C1515" i="24"/>
  <c r="F1515" i="24"/>
  <c r="C1516" i="24"/>
  <c r="F1516" i="24"/>
  <c r="C1517" i="24"/>
  <c r="F1517" i="24"/>
  <c r="C1520" i="24"/>
  <c r="C1521" i="24"/>
  <c r="C1522" i="24"/>
  <c r="C1523" i="24"/>
  <c r="C1524" i="24"/>
  <c r="C1525" i="24"/>
  <c r="C1529" i="24"/>
  <c r="F1529" i="24"/>
  <c r="C1530" i="24"/>
  <c r="F1530" i="24"/>
  <c r="C1531" i="24"/>
  <c r="F1531" i="24"/>
  <c r="C1532" i="24"/>
  <c r="F1532" i="24"/>
  <c r="C1535" i="24"/>
  <c r="C1536" i="24"/>
  <c r="C1537" i="24"/>
  <c r="C1538" i="24"/>
  <c r="C1539" i="24"/>
  <c r="C1540" i="24"/>
  <c r="C1544" i="24"/>
  <c r="F1544" i="24"/>
  <c r="C1545" i="24"/>
  <c r="F1545" i="24"/>
  <c r="C1546" i="24"/>
  <c r="F1546" i="24"/>
  <c r="C1547" i="24"/>
  <c r="F1547" i="24"/>
  <c r="C1550" i="24"/>
  <c r="C1551" i="24"/>
  <c r="C1552" i="24"/>
  <c r="C1553" i="24"/>
  <c r="C1554" i="24"/>
  <c r="C1555" i="24"/>
  <c r="C1559" i="24"/>
  <c r="F1559" i="24"/>
  <c r="C1560" i="24"/>
  <c r="F1560" i="24"/>
  <c r="C1561" i="24"/>
  <c r="F1561" i="24"/>
  <c r="C1562" i="24"/>
  <c r="F1562" i="24"/>
  <c r="C1565" i="24"/>
  <c r="C1566" i="24"/>
  <c r="C1567" i="24"/>
  <c r="C1568" i="24"/>
  <c r="C1569" i="24"/>
  <c r="C1570" i="24"/>
  <c r="C1574" i="24"/>
  <c r="F1574" i="24"/>
  <c r="C1575" i="24"/>
  <c r="F1575" i="24"/>
  <c r="C1576" i="24"/>
  <c r="F1576" i="24"/>
  <c r="C1577" i="24"/>
  <c r="F1577" i="24"/>
  <c r="C1580" i="24"/>
  <c r="C1581" i="24"/>
  <c r="C1582" i="24"/>
  <c r="C1583" i="24"/>
  <c r="C1584" i="24"/>
  <c r="C1585" i="24"/>
  <c r="C1589" i="24"/>
  <c r="F1589" i="24"/>
  <c r="C1590" i="24"/>
  <c r="F1590" i="24"/>
  <c r="C1591" i="24"/>
  <c r="F1591" i="24"/>
  <c r="C1592" i="24"/>
  <c r="F1592" i="24"/>
  <c r="C1595" i="24"/>
  <c r="C1596" i="24"/>
  <c r="C1597" i="24"/>
  <c r="C1598" i="24"/>
  <c r="C1599" i="24"/>
  <c r="C1600" i="24"/>
  <c r="C1604" i="24"/>
  <c r="F1604" i="24"/>
  <c r="C1605" i="24"/>
  <c r="F1605" i="24"/>
  <c r="C1606" i="24"/>
  <c r="F1606" i="24"/>
  <c r="C1607" i="24"/>
  <c r="F1607" i="24"/>
  <c r="C1610" i="24"/>
  <c r="C1611" i="24"/>
  <c r="C1612" i="24"/>
  <c r="C1613" i="24"/>
  <c r="C1614" i="24"/>
  <c r="C1615" i="24"/>
  <c r="C1619" i="24"/>
  <c r="F1619" i="24"/>
  <c r="C1620" i="24"/>
  <c r="F1620" i="24"/>
  <c r="C1621" i="24"/>
  <c r="F1621" i="24"/>
  <c r="C1622" i="24"/>
  <c r="F1622" i="24"/>
  <c r="C1625" i="24"/>
  <c r="C1626" i="24"/>
  <c r="AB1626" i="24"/>
  <c r="AC1626" i="24" s="1"/>
  <c r="AD1626" i="24" s="1"/>
  <c r="AE1626" i="24" s="1"/>
  <c r="C1627" i="24"/>
  <c r="AB1627" i="24"/>
  <c r="AC1627" i="24" s="1"/>
  <c r="AD1627" i="24" s="1"/>
  <c r="AE1627" i="24" s="1"/>
  <c r="C1628" i="24"/>
  <c r="C1629" i="24"/>
  <c r="C1630" i="24"/>
  <c r="C1631" i="24"/>
  <c r="C1632" i="24"/>
  <c r="C1633" i="24"/>
  <c r="C1634" i="24"/>
  <c r="F1634" i="24"/>
  <c r="C1635" i="24"/>
  <c r="F1635" i="24"/>
  <c r="C1636" i="24"/>
  <c r="F1636" i="24"/>
  <c r="C1637" i="24"/>
  <c r="F1637" i="24"/>
  <c r="C1640" i="24"/>
  <c r="AB1640" i="24"/>
  <c r="AC1640" i="24" s="1"/>
  <c r="AD1640" i="24" s="1"/>
  <c r="AE1640" i="24" s="1"/>
  <c r="C1641" i="24"/>
  <c r="C1642" i="24"/>
  <c r="C1643" i="24"/>
  <c r="C1644" i="24"/>
  <c r="C1645" i="24"/>
  <c r="C1649" i="24"/>
  <c r="F1649" i="24"/>
  <c r="C1650" i="24"/>
  <c r="F1650" i="24"/>
  <c r="C1651" i="24"/>
  <c r="F1651" i="24"/>
  <c r="C1652" i="24"/>
  <c r="F1652" i="24"/>
  <c r="C1655" i="24"/>
  <c r="C1656" i="24"/>
  <c r="C1657" i="24"/>
  <c r="C1658" i="24"/>
  <c r="C1659" i="24"/>
  <c r="C1660" i="24"/>
  <c r="C1661" i="24"/>
  <c r="C1662" i="24"/>
  <c r="C1663" i="24"/>
  <c r="C1664" i="24"/>
  <c r="F1664" i="24"/>
  <c r="C1665" i="24"/>
  <c r="F1665" i="24"/>
  <c r="C1666" i="24"/>
  <c r="F1666" i="24"/>
  <c r="C1667" i="24"/>
  <c r="F1667" i="24"/>
  <c r="C1670" i="24"/>
  <c r="C1671" i="24"/>
  <c r="C1672" i="24"/>
  <c r="C1673" i="24"/>
  <c r="C1674" i="24"/>
  <c r="C1675" i="24"/>
  <c r="C1676" i="24"/>
  <c r="C1677" i="24"/>
  <c r="C1678" i="24"/>
  <c r="C1679" i="24"/>
  <c r="F1679" i="24"/>
  <c r="C1680" i="24"/>
  <c r="F1680" i="24"/>
  <c r="C1681" i="24"/>
  <c r="F1681" i="24"/>
  <c r="C1682" i="24"/>
  <c r="F1682" i="24"/>
  <c r="C1685" i="24"/>
  <c r="C1686" i="24"/>
  <c r="V1686" i="24"/>
  <c r="X1686" i="24" s="1"/>
  <c r="Z1686" i="24" s="1"/>
  <c r="W1686" i="24"/>
  <c r="Y1686" i="24" s="1"/>
  <c r="AA1686" i="24" s="1"/>
  <c r="C1687" i="24"/>
  <c r="V1687" i="24"/>
  <c r="X1687" i="24" s="1"/>
  <c r="Z1687" i="24" s="1"/>
  <c r="W1687" i="24"/>
  <c r="Y1687" i="24" s="1"/>
  <c r="AA1687" i="24" s="1"/>
  <c r="C1690" i="24"/>
  <c r="V1690" i="24"/>
  <c r="X1690" i="24" s="1"/>
  <c r="Z1690" i="24" s="1"/>
  <c r="W1690" i="24"/>
  <c r="Y1690" i="24" s="1"/>
  <c r="AA1690" i="24" s="1"/>
  <c r="C1691" i="24"/>
  <c r="U1691" i="24"/>
  <c r="V1691" i="24" s="1"/>
  <c r="X1691" i="24" s="1"/>
  <c r="Z1691" i="24" s="1"/>
  <c r="C1688" i="24"/>
  <c r="V1688" i="24"/>
  <c r="X1688" i="24" s="1"/>
  <c r="Z1688" i="24" s="1"/>
  <c r="W1688" i="24"/>
  <c r="Y1688" i="24" s="1"/>
  <c r="AA1688" i="24" s="1"/>
  <c r="C1689" i="24"/>
  <c r="C1692" i="24"/>
  <c r="V1692" i="24"/>
  <c r="X1692" i="24" s="1"/>
  <c r="Z1692" i="24" s="1"/>
  <c r="W1692" i="24"/>
  <c r="Y1692" i="24" s="1"/>
  <c r="AA1692" i="24" s="1"/>
  <c r="C1693" i="24"/>
  <c r="C1694" i="24"/>
  <c r="F1694" i="24"/>
  <c r="C1695" i="24"/>
  <c r="F1695" i="24"/>
  <c r="C1696" i="24"/>
  <c r="F1696" i="24"/>
  <c r="C1697" i="24"/>
  <c r="F1697" i="24"/>
  <c r="C1700" i="24"/>
  <c r="V1700" i="24"/>
  <c r="C1716" i="24"/>
  <c r="X1716" i="24"/>
  <c r="Z1716" i="24" s="1"/>
  <c r="W1716" i="24"/>
  <c r="Y1716" i="24" s="1"/>
  <c r="AA1716" i="24" s="1"/>
  <c r="C1717" i="24"/>
  <c r="X1717" i="24"/>
  <c r="Z1717" i="24" s="1"/>
  <c r="W1717" i="24"/>
  <c r="Y1717" i="24" s="1"/>
  <c r="AA1717" i="24" s="1"/>
  <c r="C1720" i="24"/>
  <c r="C1721" i="24"/>
  <c r="C1718" i="24"/>
  <c r="W1718" i="24"/>
  <c r="Y1718" i="24" s="1"/>
  <c r="AA1718" i="24" s="1"/>
  <c r="C1719" i="24"/>
  <c r="C1722" i="24"/>
  <c r="X1722" i="24"/>
  <c r="Z1722" i="24" s="1"/>
  <c r="W1722" i="24"/>
  <c r="Y1722" i="24" s="1"/>
  <c r="AA1722" i="24" s="1"/>
  <c r="C1723" i="24"/>
  <c r="C1724" i="24"/>
  <c r="X1724" i="24"/>
  <c r="Z1724" i="24" s="1"/>
  <c r="W1724" i="24"/>
  <c r="Y1724" i="24" s="1"/>
  <c r="AA1724" i="24" s="1"/>
  <c r="C1725" i="24"/>
  <c r="W1725" i="24"/>
  <c r="Y1725" i="24" s="1"/>
  <c r="AA1725" i="24" s="1"/>
  <c r="C1726" i="24"/>
  <c r="X1726" i="24"/>
  <c r="Z1726" i="24" s="1"/>
  <c r="W1726" i="24"/>
  <c r="Y1726" i="24" s="1"/>
  <c r="AA1726" i="24" s="1"/>
  <c r="C1727" i="24"/>
  <c r="W1727" i="24"/>
  <c r="Y1727" i="24" s="1"/>
  <c r="AA1727" i="24" s="1"/>
  <c r="C1730" i="24"/>
  <c r="W1730" i="24"/>
  <c r="Y1730" i="24" s="1"/>
  <c r="AA1730" i="24" s="1"/>
  <c r="C2120" i="24"/>
  <c r="W934" i="24" l="1"/>
  <c r="Y926" i="24"/>
  <c r="X926" i="24"/>
  <c r="Z930" i="24"/>
  <c r="Y935" i="24"/>
  <c r="W933" i="24"/>
  <c r="Y927" i="24"/>
  <c r="X927" i="24"/>
  <c r="W1460" i="24"/>
  <c r="AA931" i="24"/>
  <c r="Z929" i="24"/>
  <c r="X151" i="24"/>
  <c r="Z926" i="24"/>
  <c r="Y421" i="24"/>
  <c r="AA421" i="24"/>
  <c r="Z421" i="24"/>
  <c r="Y245" i="24"/>
  <c r="AA245" i="24"/>
  <c r="Z245" i="24"/>
  <c r="U204" i="24"/>
  <c r="Y204" i="24"/>
  <c r="AA204" i="24"/>
  <c r="Z204" i="24"/>
  <c r="U203" i="24"/>
  <c r="Y203" i="24"/>
  <c r="AA203" i="24"/>
  <c r="Z203" i="24"/>
  <c r="U202" i="24"/>
  <c r="AA202" i="24"/>
  <c r="Z202" i="24"/>
  <c r="Y202" i="24"/>
  <c r="L201" i="24"/>
  <c r="AE201" i="24" s="1"/>
  <c r="AA201" i="24"/>
  <c r="Y201" i="24"/>
  <c r="Z201" i="24"/>
  <c r="K213" i="24"/>
  <c r="AA213" i="24" s="1"/>
  <c r="AA200" i="24"/>
  <c r="Z200" i="24"/>
  <c r="Y200" i="24"/>
  <c r="V333" i="24"/>
  <c r="AA333" i="24"/>
  <c r="Z333" i="24"/>
  <c r="Y333" i="24"/>
  <c r="U687" i="24"/>
  <c r="Y687" i="24"/>
  <c r="AA687" i="24"/>
  <c r="Z687" i="24"/>
  <c r="K688" i="24"/>
  <c r="Y688" i="24" s="1"/>
  <c r="AA686" i="24"/>
  <c r="Z686" i="24"/>
  <c r="Y686" i="24"/>
  <c r="AB783" i="24"/>
  <c r="AC783" i="24" s="1"/>
  <c r="AD783" i="24" s="1"/>
  <c r="AE783" i="24" s="1"/>
  <c r="W810" i="24"/>
  <c r="Y894" i="24"/>
  <c r="X810" i="24"/>
  <c r="Z894" i="24"/>
  <c r="Z810" i="24" s="1"/>
  <c r="W1294" i="24"/>
  <c r="Y1295" i="24"/>
  <c r="L211" i="24"/>
  <c r="AB211" i="24" s="1"/>
  <c r="AA211" i="24"/>
  <c r="Z211" i="24"/>
  <c r="Y211" i="24"/>
  <c r="X210" i="24"/>
  <c r="AA210" i="24"/>
  <c r="Z210" i="24"/>
  <c r="Y210" i="24"/>
  <c r="W209" i="24"/>
  <c r="AA209" i="24"/>
  <c r="Z209" i="24"/>
  <c r="Y209" i="24"/>
  <c r="L208" i="24"/>
  <c r="AE208" i="24" s="1"/>
  <c r="Y208" i="24"/>
  <c r="AA208" i="24"/>
  <c r="Z208" i="24"/>
  <c r="W667" i="24"/>
  <c r="Y665" i="24"/>
  <c r="L217" i="24"/>
  <c r="AE217" i="24" s="1"/>
  <c r="AA217" i="24"/>
  <c r="Z217" i="24"/>
  <c r="Y217" i="24"/>
  <c r="U216" i="24"/>
  <c r="AA216" i="24"/>
  <c r="Z216" i="24"/>
  <c r="Y216" i="24"/>
  <c r="Y403" i="24"/>
  <c r="AA403" i="24"/>
  <c r="Z403" i="24"/>
  <c r="W766" i="24"/>
  <c r="Y864" i="24"/>
  <c r="W814" i="24"/>
  <c r="Y896" i="24"/>
  <c r="W811" i="24"/>
  <c r="Y895" i="24"/>
  <c r="W762" i="24"/>
  <c r="Y862" i="24"/>
  <c r="U177" i="24"/>
  <c r="Z177" i="24"/>
  <c r="AA177" i="24"/>
  <c r="Y177" i="24"/>
  <c r="AC204" i="24"/>
  <c r="AE204" i="24"/>
  <c r="AB329" i="24"/>
  <c r="AE329" i="24"/>
  <c r="AE203" i="24"/>
  <c r="AD214" i="24"/>
  <c r="AE214" i="24"/>
  <c r="AE687" i="24"/>
  <c r="AE403" i="24"/>
  <c r="AE421" i="24"/>
  <c r="AD212" i="24"/>
  <c r="AE212" i="24"/>
  <c r="V421" i="24"/>
  <c r="X421" i="24"/>
  <c r="W421" i="24"/>
  <c r="AE177" i="24"/>
  <c r="AC333" i="24"/>
  <c r="AE333" i="24"/>
  <c r="L688" i="24"/>
  <c r="AE688" i="24" s="1"/>
  <c r="AE686" i="24"/>
  <c r="V763" i="24"/>
  <c r="W863" i="24"/>
  <c r="AB245" i="24"/>
  <c r="L246" i="24"/>
  <c r="AE246" i="24" s="1"/>
  <c r="V245" i="24"/>
  <c r="K246" i="24"/>
  <c r="X202" i="24"/>
  <c r="U824" i="24"/>
  <c r="W202" i="24"/>
  <c r="AB686" i="24"/>
  <c r="AC686" i="24"/>
  <c r="V200" i="24"/>
  <c r="W208" i="24"/>
  <c r="V208" i="24"/>
  <c r="U208" i="24"/>
  <c r="U217" i="24"/>
  <c r="W1700" i="24"/>
  <c r="Y1700" i="24" s="1"/>
  <c r="AA1700" i="24" s="1"/>
  <c r="X686" i="24"/>
  <c r="V686" i="24"/>
  <c r="U686" i="24"/>
  <c r="V1450" i="24"/>
  <c r="X1450" i="24" s="1"/>
  <c r="Z1450" i="24" s="1"/>
  <c r="X201" i="24"/>
  <c r="X208" i="24"/>
  <c r="W245" i="24"/>
  <c r="U245" i="24"/>
  <c r="X245" i="24"/>
  <c r="V1451" i="24"/>
  <c r="X1451" i="24" s="1"/>
  <c r="Z1451" i="24" s="1"/>
  <c r="U421" i="24"/>
  <c r="W825" i="24"/>
  <c r="AD204" i="24"/>
  <c r="AB204" i="24"/>
  <c r="W686" i="24"/>
  <c r="X204" i="24"/>
  <c r="W204" i="24"/>
  <c r="V204" i="24"/>
  <c r="AD333" i="24"/>
  <c r="W512" i="24"/>
  <c r="Y512" i="24" s="1"/>
  <c r="AA512" i="24" s="1"/>
  <c r="AB333" i="24"/>
  <c r="V211" i="24"/>
  <c r="U211" i="24"/>
  <c r="X1718" i="24"/>
  <c r="Z1718" i="24" s="1"/>
  <c r="W1691" i="24"/>
  <c r="Y1691" i="24" s="1"/>
  <c r="AA1691" i="24" s="1"/>
  <c r="X217" i="24"/>
  <c r="AB785" i="24"/>
  <c r="AC785" i="24" s="1"/>
  <c r="AD785" i="24" s="1"/>
  <c r="AE785" i="24" s="1"/>
  <c r="X1296" i="24"/>
  <c r="Z1296" i="24" s="1"/>
  <c r="W823" i="24"/>
  <c r="V202" i="24"/>
  <c r="L202" i="24"/>
  <c r="X1730" i="24"/>
  <c r="Z1730" i="24" s="1"/>
  <c r="X333" i="24"/>
  <c r="AC214" i="24"/>
  <c r="W333" i="24"/>
  <c r="AB214" i="24"/>
  <c r="U333" i="24"/>
  <c r="W201" i="24"/>
  <c r="V201" i="24"/>
  <c r="U201" i="24"/>
  <c r="W1312" i="24"/>
  <c r="U200" i="24"/>
  <c r="V1312" i="24"/>
  <c r="U1312" i="24"/>
  <c r="U1313" i="24"/>
  <c r="U826" i="24"/>
  <c r="U827" i="24" s="1"/>
  <c r="AD245" i="24"/>
  <c r="AC245" i="24"/>
  <c r="X935" i="24"/>
  <c r="AB781" i="24"/>
  <c r="AC781" i="24" s="1"/>
  <c r="AD781" i="24" s="1"/>
  <c r="AE781" i="24" s="1"/>
  <c r="AC177" i="24"/>
  <c r="AC894" i="24"/>
  <c r="AD894" i="24" s="1"/>
  <c r="X216" i="24"/>
  <c r="W211" i="24"/>
  <c r="X1725" i="24"/>
  <c r="Z1725" i="24" s="1"/>
  <c r="X209" i="24"/>
  <c r="W46" i="24"/>
  <c r="AB782" i="24"/>
  <c r="AC782" i="24" s="1"/>
  <c r="AD782" i="24" s="1"/>
  <c r="AE782" i="24" s="1"/>
  <c r="AB68" i="24"/>
  <c r="AC68" i="24" s="1"/>
  <c r="AD68" i="24" s="1"/>
  <c r="AE68" i="24" s="1"/>
  <c r="X1727" i="24"/>
  <c r="Z1727" i="24" s="1"/>
  <c r="W177" i="24"/>
  <c r="V177" i="24"/>
  <c r="X896" i="24"/>
  <c r="X823" i="24"/>
  <c r="AB809" i="24"/>
  <c r="AB46" i="24"/>
  <c r="V818" i="24"/>
  <c r="X818" i="24" s="1"/>
  <c r="Z818" i="24" s="1"/>
  <c r="V217" i="24"/>
  <c r="V74" i="24"/>
  <c r="X74" i="24" s="1"/>
  <c r="Z74" i="24" s="1"/>
  <c r="W403" i="24"/>
  <c r="X211" i="24"/>
  <c r="X895" i="24"/>
  <c r="W71" i="24"/>
  <c r="Y71" i="24" s="1"/>
  <c r="AA71" i="24" s="1"/>
  <c r="AB71" i="24" s="1"/>
  <c r="AC71" i="24" s="1"/>
  <c r="AD71" i="24" s="1"/>
  <c r="AE71" i="24" s="1"/>
  <c r="V209" i="24"/>
  <c r="X177" i="24"/>
  <c r="C28" i="24"/>
  <c r="AD808" i="24"/>
  <c r="AC808" i="24"/>
  <c r="U820" i="24"/>
  <c r="V820" i="24" s="1"/>
  <c r="C38" i="24"/>
  <c r="C5" i="24"/>
  <c r="X783" i="24"/>
  <c r="Z783" i="24" s="1"/>
  <c r="AD806" i="24"/>
  <c r="AC806" i="24"/>
  <c r="C37" i="24"/>
  <c r="X72" i="24"/>
  <c r="Z72" i="24" s="1"/>
  <c r="AB556" i="24"/>
  <c r="AC556" i="24" s="1"/>
  <c r="X1293" i="24"/>
  <c r="Z1293" i="24" s="1"/>
  <c r="AB806" i="24"/>
  <c r="U209" i="24"/>
  <c r="AB177" i="24"/>
  <c r="W72" i="24"/>
  <c r="Y72" i="24" s="1"/>
  <c r="AA72" i="24" s="1"/>
  <c r="AB72" i="24" s="1"/>
  <c r="AC72" i="24" s="1"/>
  <c r="AD72" i="24" s="1"/>
  <c r="AE72" i="24" s="1"/>
  <c r="X46" i="24"/>
  <c r="L209" i="24"/>
  <c r="AE209" i="24" s="1"/>
  <c r="V46" i="24"/>
  <c r="L216" i="24"/>
  <c r="AE216" i="24" s="1"/>
  <c r="W806" i="24"/>
  <c r="U46" i="24"/>
  <c r="AB338" i="24"/>
  <c r="AC338" i="24" s="1"/>
  <c r="AD338" i="24" s="1"/>
  <c r="AE338" i="24" s="1"/>
  <c r="W69" i="24"/>
  <c r="Y69" i="24" s="1"/>
  <c r="AA69" i="24" s="1"/>
  <c r="AB69" i="24" s="1"/>
  <c r="AC69" i="24" s="1"/>
  <c r="AD69" i="24" s="1"/>
  <c r="AE69" i="24" s="1"/>
  <c r="AC691" i="24"/>
  <c r="AD691" i="24" s="1"/>
  <c r="AE691" i="24" s="1"/>
  <c r="X512" i="24"/>
  <c r="Z512" i="24" s="1"/>
  <c r="U809" i="24"/>
  <c r="X864" i="24"/>
  <c r="Z864" i="24" s="1"/>
  <c r="W764" i="24"/>
  <c r="W813" i="24"/>
  <c r="V813" i="24"/>
  <c r="W210" i="24"/>
  <c r="W767" i="24"/>
  <c r="V210" i="24"/>
  <c r="V767" i="24"/>
  <c r="X403" i="24"/>
  <c r="W808" i="24"/>
  <c r="U403" i="24"/>
  <c r="W217" i="24"/>
  <c r="AB780" i="24"/>
  <c r="AC780" i="24" s="1"/>
  <c r="AD780" i="24" s="1"/>
  <c r="AE780" i="24" s="1"/>
  <c r="AD46" i="24"/>
  <c r="AC46" i="24"/>
  <c r="W73" i="24"/>
  <c r="Y73" i="24" s="1"/>
  <c r="AA73" i="24" s="1"/>
  <c r="AB73" i="24" s="1"/>
  <c r="AC73" i="24" s="1"/>
  <c r="AD73" i="24" s="1"/>
  <c r="AE73" i="24" s="1"/>
  <c r="X666" i="24"/>
  <c r="Z666" i="24" s="1"/>
  <c r="AC212" i="24"/>
  <c r="AD177" i="24"/>
  <c r="AD896" i="24"/>
  <c r="AE896" i="24" s="1"/>
  <c r="AC812" i="24"/>
  <c r="AC814" i="24"/>
  <c r="AC815" i="24"/>
  <c r="X71" i="24"/>
  <c r="Z71" i="24" s="1"/>
  <c r="X70" i="24"/>
  <c r="Z70" i="24" s="1"/>
  <c r="X69" i="24"/>
  <c r="Z69" i="24" s="1"/>
  <c r="X1700" i="24"/>
  <c r="Z1700" i="24" s="1"/>
  <c r="X825" i="24"/>
  <c r="V826" i="24"/>
  <c r="V827" i="24" s="1"/>
  <c r="X75" i="24"/>
  <c r="Z75" i="24" s="1"/>
  <c r="AB548" i="24"/>
  <c r="V821" i="24"/>
  <c r="W821" i="24"/>
  <c r="Y821" i="24" s="1"/>
  <c r="AA821" i="24" s="1"/>
  <c r="X73" i="24"/>
  <c r="Z73" i="24" s="1"/>
  <c r="V403" i="24"/>
  <c r="AB212" i="24"/>
  <c r="U210" i="24"/>
  <c r="AD686" i="24"/>
  <c r="L210" i="24"/>
  <c r="AE210" i="24" s="1"/>
  <c r="AB813" i="24"/>
  <c r="X806" i="24"/>
  <c r="AB784" i="24"/>
  <c r="AC784" i="24" s="1"/>
  <c r="AD784" i="24" s="1"/>
  <c r="AE784" i="24" s="1"/>
  <c r="V765" i="24"/>
  <c r="X200" i="24"/>
  <c r="W70" i="24"/>
  <c r="Y70" i="24" s="1"/>
  <c r="AA70" i="24" s="1"/>
  <c r="AB70" i="24" s="1"/>
  <c r="AC70" i="24" s="1"/>
  <c r="AD70" i="24" s="1"/>
  <c r="AE70" i="24" s="1"/>
  <c r="V806" i="24"/>
  <c r="W200" i="24"/>
  <c r="X1312" i="24"/>
  <c r="AC895" i="24"/>
  <c r="U806" i="24"/>
  <c r="X665" i="24"/>
  <c r="X1295" i="24"/>
  <c r="X862" i="24"/>
  <c r="AB815" i="24"/>
  <c r="AD805" i="24"/>
  <c r="V808" i="24"/>
  <c r="AC805" i="24"/>
  <c r="AB805" i="24"/>
  <c r="L200" i="24"/>
  <c r="AE200" i="24" s="1"/>
  <c r="W815" i="24"/>
  <c r="W75" i="24"/>
  <c r="Y75" i="24" s="1"/>
  <c r="AA75" i="24" s="1"/>
  <c r="AB75" i="24" s="1"/>
  <c r="AC75" i="24" s="1"/>
  <c r="AD75" i="24" s="1"/>
  <c r="AE75" i="24" s="1"/>
  <c r="AD203" i="24"/>
  <c r="AB812" i="24"/>
  <c r="V810" i="24"/>
  <c r="X805" i="24"/>
  <c r="V764" i="24"/>
  <c r="AC203" i="24"/>
  <c r="X808" i="24"/>
  <c r="X1311" i="24"/>
  <c r="X1310" i="24" s="1"/>
  <c r="W805" i="24"/>
  <c r="AB203" i="24"/>
  <c r="V815" i="24"/>
  <c r="W1311" i="24"/>
  <c r="W1310" i="24" s="1"/>
  <c r="V805" i="24"/>
  <c r="V1311" i="24"/>
  <c r="V1310" i="24" s="1"/>
  <c r="U805" i="24"/>
  <c r="AD687" i="24"/>
  <c r="W216" i="24"/>
  <c r="AC687" i="24"/>
  <c r="V216" i="24"/>
  <c r="W812" i="24"/>
  <c r="AB687" i="24"/>
  <c r="X203" i="24"/>
  <c r="W818" i="24"/>
  <c r="Y818" i="24" s="1"/>
  <c r="AA818" i="24" s="1"/>
  <c r="AB814" i="24"/>
  <c r="V812" i="24"/>
  <c r="AD421" i="24"/>
  <c r="W203" i="24"/>
  <c r="AC421" i="24"/>
  <c r="AD403" i="24"/>
  <c r="V203" i="24"/>
  <c r="AB421" i="24"/>
  <c r="AC403" i="24"/>
  <c r="X687" i="24"/>
  <c r="AB403" i="24"/>
  <c r="W687" i="24"/>
  <c r="V687" i="24"/>
  <c r="AA926" i="24" l="1"/>
  <c r="AA930" i="24"/>
  <c r="X934" i="24"/>
  <c r="AA929" i="24"/>
  <c r="X1460" i="24"/>
  <c r="Z688" i="24"/>
  <c r="Z927" i="24"/>
  <c r="AA927" i="24"/>
  <c r="X933" i="24"/>
  <c r="Z935" i="24"/>
  <c r="AA935" i="24"/>
  <c r="AC329" i="24"/>
  <c r="W688" i="24"/>
  <c r="V688" i="24"/>
  <c r="U688" i="24"/>
  <c r="AA688" i="24"/>
  <c r="X688" i="24"/>
  <c r="X213" i="24"/>
  <c r="M201" i="24"/>
  <c r="N201" i="24" s="1"/>
  <c r="O201" i="24" s="1"/>
  <c r="P201" i="24" s="1"/>
  <c r="AE211" i="24"/>
  <c r="AC211" i="24"/>
  <c r="AD211" i="24"/>
  <c r="W213" i="24"/>
  <c r="V213" i="24"/>
  <c r="L213" i="24"/>
  <c r="AE213" i="24" s="1"/>
  <c r="U213" i="24"/>
  <c r="Y213" i="24"/>
  <c r="Z213" i="24"/>
  <c r="AB201" i="24"/>
  <c r="AC201" i="24"/>
  <c r="AD201" i="24"/>
  <c r="AD217" i="24"/>
  <c r="AC217" i="24"/>
  <c r="AB217" i="24"/>
  <c r="X824" i="24"/>
  <c r="Z823" i="24"/>
  <c r="Z824" i="24" s="1"/>
  <c r="X826" i="24"/>
  <c r="X827" i="24" s="1"/>
  <c r="Z825" i="24"/>
  <c r="Z826" i="24" s="1"/>
  <c r="Z827" i="24" s="1"/>
  <c r="AA895" i="24"/>
  <c r="Y811" i="24"/>
  <c r="Y813" i="24"/>
  <c r="Y812" i="24"/>
  <c r="AA896" i="24"/>
  <c r="Y815" i="24"/>
  <c r="Y814" i="24"/>
  <c r="Y667" i="24"/>
  <c r="AA665" i="24"/>
  <c r="AA667" i="24" s="1"/>
  <c r="AB208" i="24"/>
  <c r="W824" i="24"/>
  <c r="Y823" i="24"/>
  <c r="X1294" i="24"/>
  <c r="Z1295" i="24"/>
  <c r="Z1294" i="24" s="1"/>
  <c r="AC208" i="24"/>
  <c r="X813" i="24"/>
  <c r="Z895" i="24"/>
  <c r="W826" i="24"/>
  <c r="W827" i="24" s="1"/>
  <c r="Y825" i="24"/>
  <c r="Y766" i="24"/>
  <c r="AA864" i="24"/>
  <c r="Y764" i="24"/>
  <c r="Y767" i="24"/>
  <c r="AA1295" i="24"/>
  <c r="AA1294" i="24" s="1"/>
  <c r="Y1294" i="24"/>
  <c r="Z767" i="24"/>
  <c r="Z764" i="24"/>
  <c r="Z766" i="24"/>
  <c r="AD208" i="24"/>
  <c r="X762" i="24"/>
  <c r="Z862" i="24"/>
  <c r="Z762" i="24" s="1"/>
  <c r="X667" i="24"/>
  <c r="Z665" i="24"/>
  <c r="Z667" i="24" s="1"/>
  <c r="X814" i="24"/>
  <c r="Z896" i="24"/>
  <c r="AA862" i="24"/>
  <c r="AA762" i="24" s="1"/>
  <c r="Y762" i="24"/>
  <c r="Z55" i="24"/>
  <c r="Z56" i="24" s="1"/>
  <c r="AA55" i="24"/>
  <c r="AA56" i="24" s="1"/>
  <c r="AA894" i="24"/>
  <c r="AA810" i="24" s="1"/>
  <c r="Y810" i="24"/>
  <c r="Z246" i="24"/>
  <c r="AA246" i="24"/>
  <c r="Y246" i="24"/>
  <c r="Y55" i="24"/>
  <c r="Y56" i="24" s="1"/>
  <c r="AE55" i="24"/>
  <c r="AE56" i="24" s="1"/>
  <c r="AE815" i="24"/>
  <c r="AE814" i="24"/>
  <c r="AE812" i="24"/>
  <c r="AE202" i="24"/>
  <c r="AD688" i="24"/>
  <c r="AC688" i="24"/>
  <c r="AD810" i="24"/>
  <c r="AE894" i="24"/>
  <c r="AE810" i="24" s="1"/>
  <c r="AB688" i="24"/>
  <c r="X863" i="24"/>
  <c r="Y863" i="24" s="1"/>
  <c r="W763" i="24"/>
  <c r="W765" i="24"/>
  <c r="U246" i="24"/>
  <c r="W246" i="24"/>
  <c r="V246" i="24"/>
  <c r="X246" i="24"/>
  <c r="AD246" i="24"/>
  <c r="AB246" i="24"/>
  <c r="AC246" i="24"/>
  <c r="AB55" i="24"/>
  <c r="AB56" i="24" s="1"/>
  <c r="AC55" i="24"/>
  <c r="AC56" i="24" s="1"/>
  <c r="AD55" i="24"/>
  <c r="AD56" i="24" s="1"/>
  <c r="W55" i="24"/>
  <c r="W56" i="24" s="1"/>
  <c r="X55" i="24"/>
  <c r="X56" i="24" s="1"/>
  <c r="AM232" i="22"/>
  <c r="AM233" i="22" s="1"/>
  <c r="AL232" i="22"/>
  <c r="AL233" i="22" s="1"/>
  <c r="AJ232" i="22"/>
  <c r="AH265" i="22"/>
  <c r="AI232" i="22"/>
  <c r="AG265" i="22"/>
  <c r="U265" i="22"/>
  <c r="T265" i="22"/>
  <c r="AH232" i="22"/>
  <c r="AG232" i="22"/>
  <c r="AE265" i="22"/>
  <c r="V265" i="22"/>
  <c r="AF232" i="22"/>
  <c r="AD265" i="22"/>
  <c r="AE232" i="22"/>
  <c r="AC265" i="22"/>
  <c r="AD232" i="22"/>
  <c r="AB265" i="22"/>
  <c r="AC232" i="22"/>
  <c r="AA265" i="22"/>
  <c r="AB232" i="22"/>
  <c r="Z265" i="22"/>
  <c r="AA232" i="22"/>
  <c r="Y265" i="22"/>
  <c r="Z232" i="22"/>
  <c r="V55" i="24"/>
  <c r="V56" i="24" s="1"/>
  <c r="W265" i="22"/>
  <c r="X265" i="22"/>
  <c r="Y232" i="22"/>
  <c r="X232" i="22"/>
  <c r="W232" i="22"/>
  <c r="V232" i="22"/>
  <c r="U232" i="22"/>
  <c r="S265" i="22"/>
  <c r="Q265" i="22"/>
  <c r="P265" i="22"/>
  <c r="AF265" i="22"/>
  <c r="T232" i="22"/>
  <c r="R265" i="22"/>
  <c r="S232" i="22"/>
  <c r="R232" i="22"/>
  <c r="Q232" i="22"/>
  <c r="O265" i="22"/>
  <c r="J265" i="22"/>
  <c r="P232" i="22"/>
  <c r="N265" i="22"/>
  <c r="L265" i="22"/>
  <c r="L232" i="22"/>
  <c r="O232" i="22"/>
  <c r="M265" i="22"/>
  <c r="K265" i="22"/>
  <c r="K232" i="22"/>
  <c r="N232" i="22"/>
  <c r="M232" i="22"/>
  <c r="J232" i="22"/>
  <c r="AI265" i="22"/>
  <c r="AM265" i="22"/>
  <c r="AM266" i="22" s="1"/>
  <c r="AJ265" i="22"/>
  <c r="AL265" i="22"/>
  <c r="AL266" i="22" s="1"/>
  <c r="AK265" i="22"/>
  <c r="AK266" i="22" s="1"/>
  <c r="U55" i="24"/>
  <c r="U56" i="24" s="1"/>
  <c r="AC810" i="24"/>
  <c r="AB202" i="24"/>
  <c r="AD202" i="24"/>
  <c r="AC202" i="24"/>
  <c r="X812" i="24"/>
  <c r="X815" i="24"/>
  <c r="X820" i="24"/>
  <c r="Z820" i="24" s="1"/>
  <c r="W820" i="24"/>
  <c r="Y820" i="24" s="1"/>
  <c r="AA820" i="24" s="1"/>
  <c r="AB74" i="24"/>
  <c r="AC74" i="24" s="1"/>
  <c r="AD74" i="24" s="1"/>
  <c r="AE74" i="24" s="1"/>
  <c r="X811" i="24"/>
  <c r="AB557" i="24"/>
  <c r="AB558" i="24" s="1"/>
  <c r="AB559" i="24" s="1"/>
  <c r="AB209" i="24"/>
  <c r="AC209" i="24"/>
  <c r="AD209" i="24"/>
  <c r="X766" i="24"/>
  <c r="X767" i="24"/>
  <c r="X764" i="24"/>
  <c r="AC216" i="24"/>
  <c r="AD216" i="24"/>
  <c r="AB216" i="24"/>
  <c r="AB1263" i="24"/>
  <c r="M200" i="24"/>
  <c r="N200" i="24" s="1"/>
  <c r="O200" i="24" s="1"/>
  <c r="P200" i="24" s="1"/>
  <c r="AB200" i="24"/>
  <c r="AC200" i="24"/>
  <c r="AD200" i="24"/>
  <c r="AD556" i="24"/>
  <c r="AC557" i="24"/>
  <c r="AC558" i="24" s="1"/>
  <c r="AC559" i="24" s="1"/>
  <c r="AD814" i="24"/>
  <c r="AD812" i="24"/>
  <c r="AD815" i="24"/>
  <c r="AB210" i="24"/>
  <c r="AC210" i="24"/>
  <c r="AD210" i="24"/>
  <c r="X821" i="24"/>
  <c r="Z821" i="24" s="1"/>
  <c r="AC548" i="24"/>
  <c r="AB549" i="24"/>
  <c r="AB550" i="24" s="1"/>
  <c r="AB551" i="24" s="1"/>
  <c r="AC811" i="24"/>
  <c r="AD895" i="24"/>
  <c r="AE895" i="24" s="1"/>
  <c r="AC813" i="24"/>
  <c r="Y934" i="24" l="1"/>
  <c r="Y933" i="24"/>
  <c r="Y1460" i="24"/>
  <c r="AB213" i="24"/>
  <c r="AD213" i="24"/>
  <c r="AC213" i="24"/>
  <c r="AA767" i="24"/>
  <c r="AA764" i="24"/>
  <c r="AA766" i="24"/>
  <c r="AA812" i="24"/>
  <c r="AA815" i="24"/>
  <c r="AA814" i="24"/>
  <c r="Z814" i="24"/>
  <c r="Z815" i="24"/>
  <c r="Z812" i="24"/>
  <c r="Y765" i="24"/>
  <c r="Y763" i="24"/>
  <c r="Z863" i="24"/>
  <c r="Y826" i="24"/>
  <c r="Y827" i="24" s="1"/>
  <c r="AA825" i="24"/>
  <c r="AA826" i="24" s="1"/>
  <c r="AA827" i="24" s="1"/>
  <c r="AA813" i="24"/>
  <c r="AA811" i="24"/>
  <c r="Y824" i="24"/>
  <c r="AA823" i="24"/>
  <c r="Z813" i="24"/>
  <c r="Z811" i="24"/>
  <c r="AE813" i="24"/>
  <c r="AE811" i="24"/>
  <c r="AD557" i="24"/>
  <c r="AD558" i="24" s="1"/>
  <c r="AD559" i="24" s="1"/>
  <c r="AE556" i="24"/>
  <c r="AE557" i="24" s="1"/>
  <c r="AE558" i="24" s="1"/>
  <c r="AE559" i="24" s="1"/>
  <c r="X763" i="24"/>
  <c r="X765" i="24"/>
  <c r="AK232" i="22"/>
  <c r="AK233" i="22" s="1"/>
  <c r="AB1271" i="24"/>
  <c r="AB1270" i="24" s="1"/>
  <c r="AC1263" i="24"/>
  <c r="AB1262" i="24"/>
  <c r="AD811" i="24"/>
  <c r="AD813" i="24"/>
  <c r="AD548" i="24"/>
  <c r="AC549" i="24"/>
  <c r="AC550" i="24" s="1"/>
  <c r="AC551" i="24" s="1"/>
  <c r="Z934" i="24" l="1"/>
  <c r="Z1460" i="24"/>
  <c r="Z933" i="24"/>
  <c r="Z763" i="24"/>
  <c r="AA863" i="24"/>
  <c r="Z765" i="24"/>
  <c r="AA824" i="24"/>
  <c r="AB823" i="24"/>
  <c r="AD549" i="24"/>
  <c r="AD550" i="24" s="1"/>
  <c r="AD551" i="24" s="1"/>
  <c r="AE548" i="24"/>
  <c r="AE549" i="24" s="1"/>
  <c r="AE550" i="24" s="1"/>
  <c r="AE551" i="24" s="1"/>
  <c r="AC1271" i="24"/>
  <c r="AC1270" i="24" s="1"/>
  <c r="AC1262" i="24"/>
  <c r="AD1263" i="24"/>
  <c r="AB825" i="24"/>
  <c r="AA934" i="24" l="1"/>
  <c r="AA1460" i="24"/>
  <c r="AA933" i="24"/>
  <c r="AB824" i="24"/>
  <c r="AC823" i="24"/>
  <c r="AA763" i="24"/>
  <c r="AA765" i="24"/>
  <c r="AD1262" i="24"/>
  <c r="AE1263" i="24"/>
  <c r="AE1262" i="24" s="1"/>
  <c r="AD1271" i="24"/>
  <c r="AC825" i="24"/>
  <c r="AB826" i="24"/>
  <c r="AB827" i="24" s="1"/>
  <c r="AD823" i="24" l="1"/>
  <c r="AC824" i="24"/>
  <c r="AD1270" i="24"/>
  <c r="AE1271" i="24"/>
  <c r="AE1270" i="24" s="1"/>
  <c r="AD825" i="24"/>
  <c r="AC826" i="24"/>
  <c r="AC827" i="24" s="1"/>
  <c r="AD824" i="24" l="1"/>
  <c r="AE823" i="24"/>
  <c r="AE824" i="24" s="1"/>
  <c r="AD826" i="24"/>
  <c r="AD827" i="24" s="1"/>
  <c r="AE825" i="24"/>
  <c r="AE826" i="24" s="1"/>
  <c r="AE827" i="24" s="1"/>
  <c r="B76" i="21"/>
  <c r="B77" i="18"/>
  <c r="B77" i="16"/>
  <c r="B147" i="21" l="1"/>
  <c r="B148" i="18"/>
  <c r="B148" i="16"/>
  <c r="B121" i="16"/>
  <c r="B120" i="16"/>
  <c r="B117" i="16"/>
  <c r="B116" i="16"/>
  <c r="B115" i="16"/>
  <c r="B111" i="16"/>
  <c r="B108" i="16"/>
  <c r="B107" i="16"/>
  <c r="B105" i="16"/>
  <c r="B121" i="18"/>
  <c r="B120" i="18"/>
  <c r="B117" i="18"/>
  <c r="B116" i="18"/>
  <c r="B115" i="18"/>
  <c r="B111" i="18"/>
  <c r="B108" i="18"/>
  <c r="B107" i="18"/>
  <c r="B105" i="18"/>
  <c r="B152" i="21"/>
  <c r="B153" i="18"/>
  <c r="B153" i="16"/>
  <c r="B110" i="21"/>
  <c r="B120" i="21"/>
  <c r="B119" i="21"/>
  <c r="B116" i="21"/>
  <c r="B115" i="21"/>
  <c r="B114" i="21"/>
  <c r="B107" i="21"/>
  <c r="B106" i="21"/>
  <c r="B104" i="21"/>
  <c r="A16" i="1" l="1"/>
  <c r="A163" i="21" l="1"/>
  <c r="A109" i="21"/>
  <c r="A86" i="21"/>
  <c r="A49" i="21"/>
  <c r="A164" i="18"/>
  <c r="A110" i="18"/>
  <c r="B87" i="18"/>
  <c r="A87" i="18"/>
  <c r="A50" i="18"/>
  <c r="A164" i="16"/>
  <c r="A110" i="16"/>
  <c r="A87" i="16"/>
  <c r="A50" i="16"/>
  <c r="A22" i="4"/>
  <c r="P77" i="20"/>
  <c r="AJ372" i="22"/>
  <c r="AI372" i="22"/>
  <c r="AH372" i="22"/>
  <c r="AG372" i="22"/>
  <c r="AF372" i="22"/>
  <c r="AE372" i="22"/>
  <c r="AD372" i="22"/>
  <c r="AC372" i="22"/>
  <c r="AB372" i="22"/>
  <c r="AA372" i="22"/>
  <c r="Z372" i="22"/>
  <c r="Y372" i="22"/>
  <c r="X372" i="22"/>
  <c r="W372" i="22"/>
  <c r="V372" i="22"/>
  <c r="U372" i="22"/>
  <c r="T372" i="22"/>
  <c r="S372" i="22"/>
  <c r="R372" i="22"/>
  <c r="Q372" i="22"/>
  <c r="P372" i="22"/>
  <c r="O372" i="22"/>
  <c r="N372" i="22"/>
  <c r="M372" i="22"/>
  <c r="L372" i="22"/>
  <c r="K372" i="22"/>
  <c r="J372" i="22"/>
  <c r="I372" i="22"/>
  <c r="AP353" i="22"/>
  <c r="I353" i="22"/>
  <c r="AP334" i="22"/>
  <c r="I334" i="22"/>
  <c r="G169" i="22"/>
  <c r="G147" i="22"/>
  <c r="I125" i="22"/>
  <c r="G125" i="22"/>
  <c r="J102" i="22"/>
  <c r="J125" i="22" s="1"/>
  <c r="G102" i="22"/>
  <c r="G103" i="22"/>
  <c r="J103" i="22"/>
  <c r="H62" i="22"/>
  <c r="M96" i="6"/>
  <c r="I96" i="6"/>
  <c r="N59" i="1"/>
  <c r="O59" i="1"/>
  <c r="P59" i="1"/>
  <c r="Q59" i="1"/>
  <c r="R59" i="1"/>
  <c r="S59" i="1"/>
  <c r="T59" i="1"/>
  <c r="U59" i="1"/>
  <c r="V59" i="1"/>
  <c r="Y59" i="1"/>
  <c r="M59" i="1"/>
  <c r="F59" i="1"/>
  <c r="A59" i="1"/>
  <c r="L59" i="1" s="1"/>
  <c r="G42" i="6"/>
  <c r="R54" i="6"/>
  <c r="B87" i="21"/>
  <c r="B88" i="16"/>
  <c r="B23" i="4"/>
  <c r="Q78" i="20"/>
  <c r="H148" i="22"/>
  <c r="H126" i="22"/>
  <c r="I126" i="22" s="1"/>
  <c r="R72" i="6"/>
  <c r="R58" i="6"/>
  <c r="R57" i="6"/>
  <c r="R56" i="6"/>
  <c r="R55" i="6"/>
  <c r="AA60" i="1"/>
  <c r="Z60" i="1"/>
  <c r="X60" i="1"/>
  <c r="W60" i="1"/>
  <c r="AP372" i="22" l="1"/>
  <c r="C17" i="22"/>
  <c r="C16" i="22"/>
  <c r="C15" i="22"/>
  <c r="C14" i="22"/>
  <c r="C13" i="22"/>
  <c r="C12" i="22"/>
  <c r="C11" i="22"/>
  <c r="C10" i="22"/>
  <c r="C9" i="22"/>
  <c r="C5" i="22" s="1"/>
  <c r="C8" i="22"/>
  <c r="C7" i="22"/>
  <c r="C4" i="22"/>
  <c r="C3" i="22"/>
  <c r="C2" i="22"/>
  <c r="I285" i="22" l="1"/>
  <c r="AJ283" i="22"/>
  <c r="AI283" i="22"/>
  <c r="AH283" i="22"/>
  <c r="AG283" i="22"/>
  <c r="AF283" i="22"/>
  <c r="AE283" i="22"/>
  <c r="AD283" i="22"/>
  <c r="AC283" i="22"/>
  <c r="AB283" i="22"/>
  <c r="AA283" i="22"/>
  <c r="Z283" i="22"/>
  <c r="Y283" i="22"/>
  <c r="X283" i="22"/>
  <c r="W283" i="22"/>
  <c r="V283" i="22"/>
  <c r="U283" i="22"/>
  <c r="T283" i="22"/>
  <c r="S283" i="22"/>
  <c r="R283" i="22"/>
  <c r="Q283" i="22"/>
  <c r="P283" i="22"/>
  <c r="O283" i="22"/>
  <c r="N283" i="22"/>
  <c r="M283" i="22"/>
  <c r="L283" i="22"/>
  <c r="K283" i="22"/>
  <c r="AJ285" i="22"/>
  <c r="AI285" i="22"/>
  <c r="AG285" i="22"/>
  <c r="AF285" i="22"/>
  <c r="AE285" i="22"/>
  <c r="AD285" i="22"/>
  <c r="AC285" i="22"/>
  <c r="AB285" i="22"/>
  <c r="AA285" i="22"/>
  <c r="Z285" i="22"/>
  <c r="W285" i="22"/>
  <c r="V285" i="22"/>
  <c r="U285" i="22"/>
  <c r="T285" i="22"/>
  <c r="S285" i="22"/>
  <c r="R285" i="22"/>
  <c r="Q285" i="22"/>
  <c r="P285" i="22"/>
  <c r="O285" i="22"/>
  <c r="N285" i="22"/>
  <c r="M285" i="22"/>
  <c r="L285" i="22"/>
  <c r="K285" i="22"/>
  <c r="J285" i="22"/>
  <c r="J283" i="22"/>
  <c r="AK285" i="22" l="1"/>
  <c r="AL285" i="22"/>
  <c r="AH285" i="22"/>
  <c r="AM285" i="22"/>
  <c r="X285" i="22"/>
  <c r="Y285" i="22"/>
  <c r="Q70" i="1"/>
  <c r="P70" i="1"/>
  <c r="O70" i="1"/>
  <c r="N70" i="1"/>
  <c r="M70" i="1"/>
  <c r="Q69" i="1"/>
  <c r="P69" i="1"/>
  <c r="O69" i="1"/>
  <c r="N69" i="1"/>
  <c r="M69" i="1"/>
  <c r="Q68" i="1"/>
  <c r="P68" i="1"/>
  <c r="O68" i="1"/>
  <c r="N68" i="1"/>
  <c r="M68" i="1"/>
  <c r="Q66" i="1"/>
  <c r="P66" i="1"/>
  <c r="O66" i="1"/>
  <c r="N66" i="1"/>
  <c r="M66" i="1"/>
  <c r="Q65" i="1"/>
  <c r="P65" i="1"/>
  <c r="O65" i="1"/>
  <c r="N65" i="1"/>
  <c r="M65" i="1"/>
  <c r="Q61" i="1"/>
  <c r="Q62" i="1" s="1"/>
  <c r="P61" i="1"/>
  <c r="P63" i="1" s="1"/>
  <c r="O61" i="1"/>
  <c r="O55" i="1" s="1"/>
  <c r="N61" i="1"/>
  <c r="N55" i="1" s="1"/>
  <c r="M61" i="1"/>
  <c r="M62" i="1" s="1"/>
  <c r="Q57" i="1"/>
  <c r="P57" i="1"/>
  <c r="O57" i="1"/>
  <c r="N57" i="1"/>
  <c r="M57" i="1"/>
  <c r="Q56" i="1"/>
  <c r="P56" i="1"/>
  <c r="O56" i="1"/>
  <c r="N56" i="1"/>
  <c r="M56" i="1"/>
  <c r="Q54" i="1"/>
  <c r="P54" i="1"/>
  <c r="O54" i="1"/>
  <c r="N54" i="1"/>
  <c r="M54" i="1"/>
  <c r="Q53" i="1"/>
  <c r="P53" i="1"/>
  <c r="O53" i="1"/>
  <c r="N53" i="1"/>
  <c r="M53" i="1"/>
  <c r="R53" i="1"/>
  <c r="S53" i="1"/>
  <c r="T53" i="1"/>
  <c r="U53" i="1"/>
  <c r="R62" i="1"/>
  <c r="S62" i="1"/>
  <c r="T62" i="1"/>
  <c r="U62" i="1"/>
  <c r="R63" i="1"/>
  <c r="S63" i="1"/>
  <c r="T63" i="1"/>
  <c r="U63" i="1"/>
  <c r="R65" i="1"/>
  <c r="S65" i="1"/>
  <c r="T65" i="1"/>
  <c r="U65" i="1"/>
  <c r="R68" i="1"/>
  <c r="S68" i="1"/>
  <c r="T68" i="1"/>
  <c r="U68" i="1"/>
  <c r="R69" i="1"/>
  <c r="S69" i="1"/>
  <c r="T69" i="1"/>
  <c r="U69" i="1"/>
  <c r="P55" i="1" l="1"/>
  <c r="Q55" i="1"/>
  <c r="N63" i="1"/>
  <c r="N62" i="1"/>
  <c r="Q63" i="1"/>
  <c r="O62" i="1"/>
  <c r="P62" i="1"/>
  <c r="M55" i="1"/>
  <c r="O63" i="1"/>
  <c r="M63" i="1"/>
  <c r="AA67" i="1"/>
  <c r="AA66" i="1"/>
  <c r="AA64" i="1"/>
  <c r="AA61" i="1"/>
  <c r="AA58" i="1"/>
  <c r="AA59" i="1" s="1"/>
  <c r="AA57" i="1"/>
  <c r="AA56" i="1"/>
  <c r="AA55" i="1"/>
  <c r="AA54" i="1"/>
  <c r="AA52" i="1"/>
  <c r="Z67" i="1"/>
  <c r="Z68" i="1" s="1"/>
  <c r="Z66" i="1"/>
  <c r="Z64" i="1"/>
  <c r="Z61" i="1"/>
  <c r="Z62" i="1" s="1"/>
  <c r="Z58" i="1"/>
  <c r="Z59" i="1" s="1"/>
  <c r="Z57" i="1"/>
  <c r="Z56" i="1"/>
  <c r="Z55" i="1"/>
  <c r="Z54" i="1"/>
  <c r="Z52" i="1"/>
  <c r="Z53" i="1" s="1"/>
  <c r="Z70" i="1"/>
  <c r="Z69" i="1"/>
  <c r="Z65" i="1"/>
  <c r="W67" i="1"/>
  <c r="W66" i="1"/>
  <c r="W64" i="1"/>
  <c r="W61" i="1"/>
  <c r="W58" i="1"/>
  <c r="W59" i="1" s="1"/>
  <c r="W57" i="1"/>
  <c r="W56" i="1"/>
  <c r="W55" i="1"/>
  <c r="W54" i="1"/>
  <c r="W52" i="1"/>
  <c r="X67" i="1"/>
  <c r="X68" i="1" s="1"/>
  <c r="X66" i="1"/>
  <c r="X64" i="1"/>
  <c r="X61" i="1"/>
  <c r="X58" i="1"/>
  <c r="X59" i="1" s="1"/>
  <c r="X57" i="1"/>
  <c r="X56" i="1"/>
  <c r="X55" i="1"/>
  <c r="X54" i="1"/>
  <c r="X52" i="1"/>
  <c r="X65" i="1"/>
  <c r="X62" i="1"/>
  <c r="X63" i="1"/>
  <c r="X53" i="1"/>
  <c r="V70" i="1"/>
  <c r="U70" i="1"/>
  <c r="T70" i="1"/>
  <c r="S70" i="1"/>
  <c r="V69" i="1"/>
  <c r="V68" i="1"/>
  <c r="V65" i="1"/>
  <c r="V63" i="1"/>
  <c r="V62" i="1"/>
  <c r="V53" i="1"/>
  <c r="AZ106" i="23"/>
  <c r="AY106" i="23"/>
  <c r="AX106" i="23"/>
  <c r="AZ105" i="23"/>
  <c r="AY105" i="23"/>
  <c r="AX105" i="23"/>
  <c r="AZ113" i="23"/>
  <c r="AY113" i="23"/>
  <c r="AZ112" i="23"/>
  <c r="AY112" i="23"/>
  <c r="AZ111" i="23"/>
  <c r="AY111" i="23"/>
  <c r="AZ110" i="23"/>
  <c r="AY110" i="23"/>
  <c r="AZ109" i="23"/>
  <c r="AY109" i="23"/>
  <c r="AZ108" i="23"/>
  <c r="AY108" i="23"/>
  <c r="AZ107" i="23"/>
  <c r="AY107" i="23"/>
  <c r="AZ103" i="23"/>
  <c r="AY103" i="23"/>
  <c r="AZ102" i="23"/>
  <c r="AY102" i="23"/>
  <c r="AZ101" i="23"/>
  <c r="AY101" i="23"/>
  <c r="AZ100" i="23"/>
  <c r="AY100" i="23"/>
  <c r="AZ99" i="23"/>
  <c r="AY99" i="23"/>
  <c r="AZ98" i="23"/>
  <c r="AY98" i="23"/>
  <c r="AZ97" i="23"/>
  <c r="AY97" i="23"/>
  <c r="Z63" i="1" l="1"/>
  <c r="X69" i="1"/>
  <c r="X70" i="1"/>
  <c r="C2" i="23"/>
  <c r="C3" i="23"/>
  <c r="C4" i="23"/>
  <c r="C7" i="23"/>
  <c r="C8" i="23"/>
  <c r="C9" i="23"/>
  <c r="C10" i="23"/>
  <c r="C11" i="23"/>
  <c r="C12" i="23"/>
  <c r="C13" i="23"/>
  <c r="C14" i="23"/>
  <c r="C15" i="23"/>
  <c r="C16" i="23"/>
  <c r="C17" i="23"/>
  <c r="C18" i="23"/>
  <c r="C19" i="23"/>
  <c r="C20" i="23"/>
  <c r="C21" i="23"/>
  <c r="C22" i="23"/>
  <c r="C23" i="23"/>
  <c r="C24" i="23"/>
  <c r="C25" i="23"/>
  <c r="C26" i="23"/>
  <c r="C27" i="23"/>
  <c r="H29" i="23"/>
  <c r="C30" i="23"/>
  <c r="C31" i="23"/>
  <c r="C32" i="23"/>
  <c r="C33" i="23"/>
  <c r="C34" i="23"/>
  <c r="C35" i="23"/>
  <c r="C36" i="23"/>
  <c r="C39" i="23"/>
  <c r="I39" i="23"/>
  <c r="C40" i="23"/>
  <c r="C41" i="23"/>
  <c r="C42" i="23"/>
  <c r="I42" i="23"/>
  <c r="C43" i="23"/>
  <c r="C44" i="23"/>
  <c r="C45" i="23"/>
  <c r="C46" i="23"/>
  <c r="C47" i="23"/>
  <c r="C48" i="23"/>
  <c r="J48" i="23"/>
  <c r="K48" i="23"/>
  <c r="L48" i="23"/>
  <c r="M48" i="23"/>
  <c r="N48" i="23"/>
  <c r="C49" i="23"/>
  <c r="C50" i="23"/>
  <c r="C51" i="23"/>
  <c r="C52" i="23"/>
  <c r="C53" i="23"/>
  <c r="C54" i="23"/>
  <c r="C55" i="23"/>
  <c r="C56" i="23"/>
  <c r="I56" i="23"/>
  <c r="C57" i="23"/>
  <c r="C58" i="23"/>
  <c r="C59" i="23"/>
  <c r="C60" i="23"/>
  <c r="C61" i="23"/>
  <c r="C62" i="23"/>
  <c r="C63" i="23"/>
  <c r="C64" i="23"/>
  <c r="C65" i="23"/>
  <c r="C66" i="23"/>
  <c r="C67" i="23"/>
  <c r="C68" i="23"/>
  <c r="C69" i="23"/>
  <c r="C70" i="23"/>
  <c r="C71" i="23"/>
  <c r="C72" i="23"/>
  <c r="C73" i="23"/>
  <c r="C74" i="23"/>
  <c r="C75" i="23"/>
  <c r="C76" i="23"/>
  <c r="C77" i="23"/>
  <c r="C78" i="23"/>
  <c r="C79" i="23"/>
  <c r="H81" i="23"/>
  <c r="C82" i="23"/>
  <c r="C83" i="23"/>
  <c r="C84" i="23"/>
  <c r="C85" i="23"/>
  <c r="C86" i="23"/>
  <c r="C87" i="23"/>
  <c r="C88" i="23"/>
  <c r="C91" i="23"/>
  <c r="I91" i="23"/>
  <c r="C92" i="23"/>
  <c r="C93" i="23"/>
  <c r="C94" i="23"/>
  <c r="AX94" i="23"/>
  <c r="C95" i="23"/>
  <c r="AF95" i="23"/>
  <c r="AG95" i="23"/>
  <c r="AX95" i="23" s="1"/>
  <c r="AH95" i="23"/>
  <c r="AY95" i="23" s="1"/>
  <c r="AI95" i="23"/>
  <c r="AZ95" i="23" s="1"/>
  <c r="AJ95" i="23"/>
  <c r="BE95" i="23"/>
  <c r="BH95" i="23"/>
  <c r="BE97" i="23" s="1"/>
  <c r="C96" i="23"/>
  <c r="F96" i="23"/>
  <c r="C97" i="23"/>
  <c r="F97" i="23"/>
  <c r="AX97" i="23"/>
  <c r="BC97" i="23"/>
  <c r="BD97" i="23" s="1"/>
  <c r="C98" i="23"/>
  <c r="F98" i="23"/>
  <c r="AX98" i="23"/>
  <c r="BC98" i="23"/>
  <c r="BD98" i="23" s="1"/>
  <c r="C99" i="23"/>
  <c r="F99" i="23"/>
  <c r="AX99" i="23"/>
  <c r="BC99" i="23"/>
  <c r="BD99" i="23" s="1"/>
  <c r="C100" i="23"/>
  <c r="F100" i="23"/>
  <c r="AX100" i="23"/>
  <c r="BC100" i="23"/>
  <c r="BD100" i="23" s="1"/>
  <c r="C101" i="23"/>
  <c r="F101" i="23"/>
  <c r="AX101" i="23"/>
  <c r="BC101" i="23"/>
  <c r="BD101" i="23" s="1"/>
  <c r="C102" i="23"/>
  <c r="F102" i="23"/>
  <c r="N102" i="23"/>
  <c r="N101" i="23" s="1"/>
  <c r="N100" i="23" s="1"/>
  <c r="N99" i="23" s="1"/>
  <c r="N98" i="23" s="1"/>
  <c r="N97" i="23" s="1"/>
  <c r="N96" i="23" s="1"/>
  <c r="S102" i="23"/>
  <c r="S101" i="23" s="1"/>
  <c r="S100" i="23" s="1"/>
  <c r="S99" i="23" s="1"/>
  <c r="S98" i="23" s="1"/>
  <c r="S97" i="23" s="1"/>
  <c r="S96" i="23" s="1"/>
  <c r="U102" i="23"/>
  <c r="U101" i="23" s="1"/>
  <c r="U100" i="23" s="1"/>
  <c r="U99" i="23" s="1"/>
  <c r="U98" i="23" s="1"/>
  <c r="U97" i="23" s="1"/>
  <c r="U96" i="23" s="1"/>
  <c r="V102" i="23"/>
  <c r="V101" i="23" s="1"/>
  <c r="V100" i="23" s="1"/>
  <c r="V99" i="23" s="1"/>
  <c r="V98" i="23" s="1"/>
  <c r="V97" i="23" s="1"/>
  <c r="V96" i="23" s="1"/>
  <c r="W102" i="23"/>
  <c r="W101" i="23" s="1"/>
  <c r="W100" i="23" s="1"/>
  <c r="W99" i="23" s="1"/>
  <c r="W98" i="23" s="1"/>
  <c r="W97" i="23" s="1"/>
  <c r="W96" i="23" s="1"/>
  <c r="X102" i="23"/>
  <c r="X101" i="23" s="1"/>
  <c r="X100" i="23" s="1"/>
  <c r="X99" i="23" s="1"/>
  <c r="X98" i="23" s="1"/>
  <c r="X97" i="23" s="1"/>
  <c r="X96" i="23" s="1"/>
  <c r="Y102" i="23"/>
  <c r="Y101" i="23" s="1"/>
  <c r="Y100" i="23" s="1"/>
  <c r="Y99" i="23" s="1"/>
  <c r="Y98" i="23" s="1"/>
  <c r="Y97" i="23" s="1"/>
  <c r="Y96" i="23" s="1"/>
  <c r="Z102" i="23"/>
  <c r="Z101" i="23" s="1"/>
  <c r="Z100" i="23" s="1"/>
  <c r="Z99" i="23" s="1"/>
  <c r="Z98" i="23" s="1"/>
  <c r="Z97" i="23" s="1"/>
  <c r="Z96" i="23" s="1"/>
  <c r="AA102" i="23"/>
  <c r="AA101" i="23" s="1"/>
  <c r="AA100" i="23" s="1"/>
  <c r="AA99" i="23" s="1"/>
  <c r="AA98" i="23" s="1"/>
  <c r="AA97" i="23" s="1"/>
  <c r="AA96" i="23" s="1"/>
  <c r="AB102" i="23"/>
  <c r="AB101" i="23" s="1"/>
  <c r="AB100" i="23" s="1"/>
  <c r="AB99" i="23" s="1"/>
  <c r="AB98" i="23" s="1"/>
  <c r="AB97" i="23" s="1"/>
  <c r="AB96" i="23" s="1"/>
  <c r="AC102" i="23"/>
  <c r="AC101" i="23" s="1"/>
  <c r="AC100" i="23" s="1"/>
  <c r="AC99" i="23" s="1"/>
  <c r="AC98" i="23" s="1"/>
  <c r="AC97" i="23" s="1"/>
  <c r="AC96" i="23" s="1"/>
  <c r="AD102" i="23"/>
  <c r="AD101" i="23" s="1"/>
  <c r="AD100" i="23" s="1"/>
  <c r="AD99" i="23" s="1"/>
  <c r="AD98" i="23" s="1"/>
  <c r="AD97" i="23" s="1"/>
  <c r="AD96" i="23" s="1"/>
  <c r="AX102" i="23"/>
  <c r="BC102" i="23"/>
  <c r="BD102" i="23" s="1"/>
  <c r="C103" i="23"/>
  <c r="F103" i="23"/>
  <c r="O103" i="23"/>
  <c r="O104" i="23" s="1"/>
  <c r="O105" i="23" s="1"/>
  <c r="O106" i="23" s="1"/>
  <c r="O107" i="23" s="1"/>
  <c r="O108" i="23" s="1"/>
  <c r="O109" i="23" s="1"/>
  <c r="P103" i="23"/>
  <c r="P104" i="23" s="1"/>
  <c r="P105" i="23" s="1"/>
  <c r="P106" i="23" s="1"/>
  <c r="P107" i="23" s="1"/>
  <c r="P108" i="23" s="1"/>
  <c r="P109" i="23" s="1"/>
  <c r="R103" i="23"/>
  <c r="R104" i="23" s="1"/>
  <c r="R105" i="23" s="1"/>
  <c r="R106" i="23" s="1"/>
  <c r="R107" i="23" s="1"/>
  <c r="R108" i="23" s="1"/>
  <c r="R109" i="23" s="1"/>
  <c r="T103" i="23"/>
  <c r="T104" i="23" s="1"/>
  <c r="T105" i="23" s="1"/>
  <c r="T106" i="23" s="1"/>
  <c r="T107" i="23" s="1"/>
  <c r="T108" i="23" s="1"/>
  <c r="T109" i="23" s="1"/>
  <c r="AX103" i="23"/>
  <c r="BC103" i="23"/>
  <c r="BD103" i="23" s="1"/>
  <c r="C104" i="23"/>
  <c r="F104" i="23"/>
  <c r="N104" i="23"/>
  <c r="N105" i="23" s="1"/>
  <c r="N106" i="23" s="1"/>
  <c r="N107" i="23" s="1"/>
  <c r="N108" i="23" s="1"/>
  <c r="N109" i="23" s="1"/>
  <c r="S104" i="23"/>
  <c r="S105" i="23" s="1"/>
  <c r="S106" i="23" s="1"/>
  <c r="S107" i="23" s="1"/>
  <c r="S108" i="23" s="1"/>
  <c r="S109" i="23" s="1"/>
  <c r="U104" i="23"/>
  <c r="U105" i="23" s="1"/>
  <c r="U106" i="23" s="1"/>
  <c r="U107" i="23" s="1"/>
  <c r="U108" i="23" s="1"/>
  <c r="U109" i="23" s="1"/>
  <c r="V104" i="23"/>
  <c r="V105" i="23" s="1"/>
  <c r="V106" i="23" s="1"/>
  <c r="V107" i="23" s="1"/>
  <c r="V108" i="23" s="1"/>
  <c r="V109" i="23" s="1"/>
  <c r="W104" i="23"/>
  <c r="W105" i="23" s="1"/>
  <c r="W106" i="23" s="1"/>
  <c r="W107" i="23" s="1"/>
  <c r="W108" i="23" s="1"/>
  <c r="W109" i="23" s="1"/>
  <c r="X104" i="23"/>
  <c r="X105" i="23" s="1"/>
  <c r="X106" i="23" s="1"/>
  <c r="X107" i="23" s="1"/>
  <c r="X108" i="23" s="1"/>
  <c r="X109" i="23" s="1"/>
  <c r="Y104" i="23"/>
  <c r="Y105" i="23" s="1"/>
  <c r="Y106" i="23" s="1"/>
  <c r="Y107" i="23" s="1"/>
  <c r="Y108" i="23" s="1"/>
  <c r="Z104" i="23"/>
  <c r="Z105" i="23" s="1"/>
  <c r="Z106" i="23" s="1"/>
  <c r="Z107" i="23" s="1"/>
  <c r="Z108" i="23" s="1"/>
  <c r="AA104" i="23"/>
  <c r="AA105" i="23" s="1"/>
  <c r="AA106" i="23" s="1"/>
  <c r="AA107" i="23" s="1"/>
  <c r="AA108" i="23" s="1"/>
  <c r="AB104" i="23"/>
  <c r="AB105" i="23" s="1"/>
  <c r="AB106" i="23" s="1"/>
  <c r="AB107" i="23" s="1"/>
  <c r="AB108" i="23" s="1"/>
  <c r="AC104" i="23"/>
  <c r="AC105" i="23" s="1"/>
  <c r="AC106" i="23" s="1"/>
  <c r="AC107" i="23" s="1"/>
  <c r="AC108" i="23" s="1"/>
  <c r="AD104" i="23"/>
  <c r="AD105" i="23" s="1"/>
  <c r="AD106" i="23" s="1"/>
  <c r="AD107" i="23" s="1"/>
  <c r="AD108" i="23" s="1"/>
  <c r="AD109" i="23" s="1"/>
  <c r="BC104" i="23"/>
  <c r="C105" i="23"/>
  <c r="F105" i="23"/>
  <c r="BC105" i="23"/>
  <c r="BD105" i="23" s="1"/>
  <c r="C106" i="23"/>
  <c r="F106" i="23"/>
  <c r="BC106" i="23"/>
  <c r="BD106" i="23" s="1"/>
  <c r="C107" i="23"/>
  <c r="F107" i="23"/>
  <c r="AX107" i="23"/>
  <c r="BC107" i="23"/>
  <c r="BD107" i="23" s="1"/>
  <c r="C108" i="23"/>
  <c r="F108" i="23"/>
  <c r="AX108" i="23"/>
  <c r="BC108" i="23"/>
  <c r="BD108" i="23" s="1"/>
  <c r="C109" i="23"/>
  <c r="F109" i="23"/>
  <c r="AX109" i="23"/>
  <c r="BC109" i="23"/>
  <c r="BD109" i="23" s="1"/>
  <c r="C110" i="23"/>
  <c r="F110" i="23"/>
  <c r="Y110" i="23"/>
  <c r="Y112" i="23" s="1"/>
  <c r="Z110" i="23"/>
  <c r="Z112" i="23" s="1"/>
  <c r="AA110" i="23"/>
  <c r="AA112" i="23" s="1"/>
  <c r="AB110" i="23"/>
  <c r="AB112" i="23" s="1"/>
  <c r="AC110" i="23"/>
  <c r="AC112" i="23" s="1"/>
  <c r="AX110" i="23"/>
  <c r="BC110" i="23"/>
  <c r="BD110" i="23" s="1"/>
  <c r="C111" i="23"/>
  <c r="Y111" i="23"/>
  <c r="Y113" i="23" s="1"/>
  <c r="Z111" i="23"/>
  <c r="Z113" i="23" s="1"/>
  <c r="AA111" i="23"/>
  <c r="AA113" i="23" s="1"/>
  <c r="AB111" i="23"/>
  <c r="AB113" i="23" s="1"/>
  <c r="AC111" i="23"/>
  <c r="AC113" i="23" s="1"/>
  <c r="AX111" i="23"/>
  <c r="BC111" i="23"/>
  <c r="BD111" i="23" s="1"/>
  <c r="C112" i="23"/>
  <c r="AX112" i="23"/>
  <c r="BC112" i="23"/>
  <c r="BD112" i="23" s="1"/>
  <c r="AX113" i="23"/>
  <c r="BC113" i="23"/>
  <c r="BD113" i="23" s="1"/>
  <c r="C114" i="23"/>
  <c r="C115" i="23"/>
  <c r="C116" i="23"/>
  <c r="I116" i="23"/>
  <c r="J116" i="23"/>
  <c r="K116" i="23"/>
  <c r="L116" i="23"/>
  <c r="M116" i="23"/>
  <c r="C117" i="23"/>
  <c r="C118" i="23"/>
  <c r="C119" i="23"/>
  <c r="C120" i="23"/>
  <c r="C121" i="23"/>
  <c r="C122" i="23"/>
  <c r="C123" i="23"/>
  <c r="J123" i="23"/>
  <c r="J129" i="23" s="1"/>
  <c r="K123" i="23"/>
  <c r="K129" i="23" s="1"/>
  <c r="L123" i="23"/>
  <c r="L129" i="23" s="1"/>
  <c r="M123" i="23"/>
  <c r="M129" i="23" s="1"/>
  <c r="N123" i="23"/>
  <c r="N129" i="23" s="1"/>
  <c r="O123" i="23"/>
  <c r="O129" i="23" s="1"/>
  <c r="C124" i="23"/>
  <c r="O124" i="23"/>
  <c r="J125" i="23" s="1"/>
  <c r="C125" i="23"/>
  <c r="P125" i="23"/>
  <c r="C126" i="23"/>
  <c r="C127" i="23"/>
  <c r="K127" i="23"/>
  <c r="L127" i="23"/>
  <c r="M127" i="23"/>
  <c r="N127" i="23"/>
  <c r="O127" i="23"/>
  <c r="C128" i="23"/>
  <c r="C129" i="23"/>
  <c r="P129" i="23"/>
  <c r="C130" i="23"/>
  <c r="C131" i="23"/>
  <c r="C132" i="23"/>
  <c r="K132" i="23"/>
  <c r="L132" i="23"/>
  <c r="M132" i="23"/>
  <c r="N132" i="23"/>
  <c r="O132" i="23"/>
  <c r="C133" i="23"/>
  <c r="C134" i="23"/>
  <c r="C135" i="23"/>
  <c r="C136" i="23"/>
  <c r="C137" i="23"/>
  <c r="C138" i="23"/>
  <c r="C139" i="23"/>
  <c r="C140" i="23"/>
  <c r="C141" i="23"/>
  <c r="C142" i="23"/>
  <c r="C143" i="23"/>
  <c r="C144" i="23"/>
  <c r="C145" i="23"/>
  <c r="C146" i="23"/>
  <c r="C147" i="23"/>
  <c r="C148" i="23"/>
  <c r="C149" i="23"/>
  <c r="C150" i="23"/>
  <c r="C151" i="23"/>
  <c r="K151" i="23"/>
  <c r="K155" i="23" s="1"/>
  <c r="C152" i="23"/>
  <c r="C153" i="23"/>
  <c r="C154" i="23"/>
  <c r="C155" i="23"/>
  <c r="C156" i="23"/>
  <c r="C157" i="23"/>
  <c r="L157" i="23"/>
  <c r="C158" i="23"/>
  <c r="C159" i="23"/>
  <c r="C160" i="23"/>
  <c r="C161" i="23"/>
  <c r="C162" i="23"/>
  <c r="C163" i="23"/>
  <c r="C164" i="23"/>
  <c r="C165" i="23"/>
  <c r="H167" i="23"/>
  <c r="C168" i="23"/>
  <c r="C169" i="23"/>
  <c r="C170" i="23"/>
  <c r="C171" i="23"/>
  <c r="C172" i="23"/>
  <c r="C173" i="23"/>
  <c r="C174" i="23"/>
  <c r="C178" i="23"/>
  <c r="C179" i="23"/>
  <c r="C180" i="23"/>
  <c r="C181" i="23"/>
  <c r="C182" i="23"/>
  <c r="C183" i="23"/>
  <c r="Y183" i="23"/>
  <c r="AL183" i="23"/>
  <c r="AM183" i="23"/>
  <c r="AV183" i="23"/>
  <c r="AX183" i="23"/>
  <c r="AY183" i="23" s="1"/>
  <c r="C184" i="23"/>
  <c r="Y184" i="23"/>
  <c r="AL184" i="23"/>
  <c r="AM184" i="23"/>
  <c r="AV184" i="23"/>
  <c r="C185" i="23"/>
  <c r="Y185" i="23"/>
  <c r="AL185" i="23"/>
  <c r="AM185" i="23"/>
  <c r="AV185" i="23"/>
  <c r="C186" i="23"/>
  <c r="Y186" i="23"/>
  <c r="AL186" i="23"/>
  <c r="AM186" i="23"/>
  <c r="AV186" i="23"/>
  <c r="C187" i="23"/>
  <c r="Y187" i="23"/>
  <c r="AL187" i="23"/>
  <c r="AM187" i="23"/>
  <c r="AV187" i="23"/>
  <c r="C188" i="23"/>
  <c r="Z188" i="23"/>
  <c r="AA188" i="23"/>
  <c r="AC188" i="23"/>
  <c r="AD188" i="23"/>
  <c r="AH188" i="23"/>
  <c r="AL188" i="23" s="1"/>
  <c r="AM188" i="23"/>
  <c r="AV188" i="23"/>
  <c r="C189" i="23"/>
  <c r="Y189" i="23"/>
  <c r="Y188" i="23" s="1"/>
  <c r="AH189" i="23"/>
  <c r="AL189" i="23"/>
  <c r="AM189" i="23"/>
  <c r="AV189" i="23"/>
  <c r="C190" i="23"/>
  <c r="X190" i="23"/>
  <c r="Y190" i="23" s="1"/>
  <c r="Z190" i="23"/>
  <c r="AA190" i="23"/>
  <c r="AC190" i="23"/>
  <c r="AD190" i="23"/>
  <c r="AH190" i="23"/>
  <c r="AL190" i="23"/>
  <c r="AM190" i="23"/>
  <c r="AV190" i="23"/>
  <c r="C191" i="23"/>
  <c r="C192" i="23"/>
  <c r="I192" i="23"/>
  <c r="C193" i="23"/>
  <c r="C194" i="23"/>
  <c r="C195" i="23"/>
  <c r="C196" i="23"/>
  <c r="O196" i="23"/>
  <c r="C197" i="23"/>
  <c r="C198" i="23"/>
  <c r="F198" i="23"/>
  <c r="F199" i="23" s="1"/>
  <c r="H198" i="23"/>
  <c r="C199" i="23"/>
  <c r="E199" i="23"/>
  <c r="E200" i="23" s="1"/>
  <c r="E201" i="23" s="1"/>
  <c r="E202" i="23" s="1"/>
  <c r="E203" i="23" s="1"/>
  <c r="E204" i="23" s="1"/>
  <c r="E205" i="23" s="1"/>
  <c r="AW212" i="23" a="1"/>
  <c r="AW212" i="23" s="1"/>
  <c r="C200" i="23"/>
  <c r="C201" i="23"/>
  <c r="C202" i="23"/>
  <c r="C203" i="23"/>
  <c r="I203" i="23"/>
  <c r="AW218" i="23" s="1" a="1"/>
  <c r="AW218" i="23" s="1"/>
  <c r="J203" i="23"/>
  <c r="J204" i="23" s="1"/>
  <c r="K203" i="23"/>
  <c r="K204" i="23" s="1"/>
  <c r="L203" i="23"/>
  <c r="L204" i="23" s="1"/>
  <c r="M203" i="23"/>
  <c r="M204" i="23" s="1"/>
  <c r="N203" i="23"/>
  <c r="N204" i="23" s="1"/>
  <c r="Q203" i="23"/>
  <c r="Q204" i="23" s="1"/>
  <c r="R203" i="23"/>
  <c r="R204" i="23" s="1"/>
  <c r="S203" i="23"/>
  <c r="S204" i="23" s="1"/>
  <c r="T203" i="23"/>
  <c r="T204" i="23" s="1"/>
  <c r="U203" i="23"/>
  <c r="U204" i="23" s="1"/>
  <c r="X203" i="23"/>
  <c r="X204" i="23" s="1"/>
  <c r="Y203" i="23"/>
  <c r="Y204" i="23" s="1"/>
  <c r="Z203" i="23"/>
  <c r="Z204" i="23" s="1"/>
  <c r="AA203" i="23"/>
  <c r="AA204" i="23" s="1"/>
  <c r="AB203" i="23"/>
  <c r="AB204" i="23" s="1"/>
  <c r="C204" i="23"/>
  <c r="C205" i="23"/>
  <c r="C206" i="23"/>
  <c r="F206" i="23"/>
  <c r="F207" i="23" s="1"/>
  <c r="H206" i="23"/>
  <c r="C207" i="23"/>
  <c r="C208" i="23"/>
  <c r="C209" i="23"/>
  <c r="C210" i="23"/>
  <c r="AW210" i="23" a="1"/>
  <c r="AW210" i="23" s="1"/>
  <c r="AX210" i="23" a="1"/>
  <c r="AX210" i="23" s="1"/>
  <c r="AY210" i="23" a="1"/>
  <c r="AY210" i="23" s="1"/>
  <c r="BA210" i="23" a="1"/>
  <c r="BA210" i="23" s="1"/>
  <c r="BC210" i="23" a="1"/>
  <c r="BC210" i="23" s="1"/>
  <c r="C211" i="23"/>
  <c r="I211" i="23"/>
  <c r="AX218" i="23" s="1" a="1"/>
  <c r="AX218" i="23" s="1"/>
  <c r="AW211" i="23" a="1"/>
  <c r="AW211" i="23" s="1"/>
  <c r="AX211" i="23" a="1"/>
  <c r="AX211" i="23" s="1"/>
  <c r="AY211" i="23" a="1"/>
  <c r="AY211" i="23" s="1"/>
  <c r="BA211" i="23" a="1"/>
  <c r="BA211" i="23" s="1"/>
  <c r="BC211" i="23" a="1"/>
  <c r="BC211" i="23" s="1"/>
  <c r="C212" i="23"/>
  <c r="AX212" i="23" a="1"/>
  <c r="AX212" i="23" s="1"/>
  <c r="AY212" i="23" a="1"/>
  <c r="AY212" i="23" s="1"/>
  <c r="BA212" i="23" a="1"/>
  <c r="BA212" i="23" s="1"/>
  <c r="BC212" i="23" a="1"/>
  <c r="BC212" i="23" s="1"/>
  <c r="C213" i="23"/>
  <c r="AW213" i="23" a="1"/>
  <c r="AW213" i="23" s="1"/>
  <c r="AX213" i="23" a="1"/>
  <c r="AX213" i="23" s="1"/>
  <c r="AY213" i="23" a="1"/>
  <c r="AY213" i="23" s="1"/>
  <c r="BA213" i="23" a="1"/>
  <c r="BA213" i="23" s="1"/>
  <c r="BC213" i="23" a="1"/>
  <c r="BC213" i="23" s="1"/>
  <c r="C214" i="23"/>
  <c r="F214" i="23"/>
  <c r="F215" i="23" s="1"/>
  <c r="H214" i="23"/>
  <c r="AW214" i="23" a="1"/>
  <c r="AW214" i="23" s="1"/>
  <c r="AX214" i="23" a="1"/>
  <c r="AX214" i="23" s="1"/>
  <c r="AY214" i="23" a="1"/>
  <c r="AY214" i="23" s="1"/>
  <c r="BA214" i="23" a="1"/>
  <c r="BA214" i="23" s="1"/>
  <c r="BC214" i="23" a="1"/>
  <c r="BC214" i="23" s="1"/>
  <c r="C215" i="23"/>
  <c r="AW215" i="23" a="1"/>
  <c r="AW215" i="23" s="1"/>
  <c r="AX215" i="23" a="1"/>
  <c r="AX215" i="23" s="1"/>
  <c r="AY215" i="23" a="1"/>
  <c r="AY215" i="23" s="1"/>
  <c r="BA215" i="23" a="1"/>
  <c r="BA215" i="23" s="1"/>
  <c r="BC215" i="23" a="1"/>
  <c r="BC215" i="23" s="1"/>
  <c r="C216" i="23"/>
  <c r="AW216" i="23" a="1"/>
  <c r="AW216" i="23" s="1"/>
  <c r="AX216" i="23" a="1"/>
  <c r="AX216" i="23" s="1"/>
  <c r="AY216" i="23" a="1"/>
  <c r="AY216" i="23" s="1"/>
  <c r="BA216" i="23" a="1"/>
  <c r="BA216" i="23" s="1"/>
  <c r="BC216" i="23" a="1"/>
  <c r="BC216" i="23" s="1"/>
  <c r="C217" i="23"/>
  <c r="AX217" i="23" a="1"/>
  <c r="AX217" i="23" s="1"/>
  <c r="AY217" i="23" a="1"/>
  <c r="AY217" i="23" s="1"/>
  <c r="BA217" i="23" a="1"/>
  <c r="BA217" i="23" s="1"/>
  <c r="BC217" i="23" a="1"/>
  <c r="BC217" i="23" s="1"/>
  <c r="C218" i="23"/>
  <c r="BA218" i="23" a="1"/>
  <c r="BA218" i="23" s="1"/>
  <c r="BC218" i="23" a="1"/>
  <c r="BC218" i="23" s="1"/>
  <c r="C219" i="23"/>
  <c r="I219" i="23"/>
  <c r="AY218" i="23" s="1" a="1"/>
  <c r="AY218" i="23" s="1"/>
  <c r="C220" i="23"/>
  <c r="C221" i="23"/>
  <c r="C222" i="23"/>
  <c r="F222" i="23"/>
  <c r="F223" i="23" s="1"/>
  <c r="F224" i="23" s="1"/>
  <c r="F225" i="23" s="1"/>
  <c r="F226" i="23" s="1"/>
  <c r="F227" i="23" s="1"/>
  <c r="F228" i="23" s="1"/>
  <c r="F229" i="23" s="1"/>
  <c r="H222" i="23"/>
  <c r="I222" i="23"/>
  <c r="J222" i="23"/>
  <c r="K222" i="23"/>
  <c r="L222" i="23"/>
  <c r="M222" i="23"/>
  <c r="N222" i="23"/>
  <c r="C223" i="23"/>
  <c r="I223" i="23"/>
  <c r="J223" i="23"/>
  <c r="K223" i="23"/>
  <c r="L223" i="23"/>
  <c r="M223" i="23"/>
  <c r="N223" i="23"/>
  <c r="AW223" i="23" a="1"/>
  <c r="AW223" i="23" s="1"/>
  <c r="AX223" i="23" a="1"/>
  <c r="AX223" i="23" s="1"/>
  <c r="AY223" i="23" a="1"/>
  <c r="AY223" i="23" s="1"/>
  <c r="BA223" i="23" a="1"/>
  <c r="BA223" i="23" s="1"/>
  <c r="BC223" i="23" a="1"/>
  <c r="BC223" i="23" s="1"/>
  <c r="C224" i="23"/>
  <c r="I224" i="23"/>
  <c r="J224" i="23"/>
  <c r="K224" i="23"/>
  <c r="L224" i="23"/>
  <c r="M224" i="23"/>
  <c r="N224" i="23"/>
  <c r="AW224" i="23" a="1"/>
  <c r="AW224" i="23" s="1"/>
  <c r="AX224" i="23" a="1"/>
  <c r="AX224" i="23" s="1"/>
  <c r="AY224" i="23" a="1"/>
  <c r="AY224" i="23" s="1"/>
  <c r="BA224" i="23" a="1"/>
  <c r="BA224" i="23" s="1"/>
  <c r="BC224" i="23" a="1"/>
  <c r="BC224" i="23" s="1"/>
  <c r="C225" i="23"/>
  <c r="I225" i="23"/>
  <c r="J225" i="23"/>
  <c r="K225" i="23"/>
  <c r="L225" i="23"/>
  <c r="M225" i="23"/>
  <c r="N225" i="23"/>
  <c r="AW225" i="23" a="1"/>
  <c r="AW225" i="23" s="1"/>
  <c r="AX225" i="23" a="1"/>
  <c r="AX225" i="23" s="1"/>
  <c r="AY225" i="23" a="1"/>
  <c r="AY225" i="23" s="1"/>
  <c r="BA225" i="23" a="1"/>
  <c r="BA225" i="23" s="1"/>
  <c r="BC225" i="23" a="1"/>
  <c r="BC225" i="23" s="1"/>
  <c r="C226" i="23"/>
  <c r="I226" i="23"/>
  <c r="J226" i="23"/>
  <c r="K226" i="23"/>
  <c r="L226" i="23"/>
  <c r="M226" i="23"/>
  <c r="N226" i="23"/>
  <c r="AW226" i="23" a="1"/>
  <c r="AW226" i="23" s="1"/>
  <c r="AX226" i="23" a="1"/>
  <c r="AX226" i="23" s="1"/>
  <c r="AY226" i="23" a="1"/>
  <c r="AY226" i="23" s="1"/>
  <c r="BA226" i="23" a="1"/>
  <c r="BA226" i="23" s="1"/>
  <c r="BC226" i="23" a="1"/>
  <c r="BC226" i="23" s="1"/>
  <c r="C227" i="23"/>
  <c r="I227" i="23"/>
  <c r="J227" i="23"/>
  <c r="K227" i="23"/>
  <c r="L227" i="23"/>
  <c r="M227" i="23"/>
  <c r="N227" i="23"/>
  <c r="AW227" i="23" a="1"/>
  <c r="AW227" i="23" s="1"/>
  <c r="AX227" i="23" a="1"/>
  <c r="AX227" i="23" s="1"/>
  <c r="AY227" i="23" a="1"/>
  <c r="AY227" i="23" s="1"/>
  <c r="BA227" i="23" a="1"/>
  <c r="BA227" i="23" s="1"/>
  <c r="BC227" i="23" a="1"/>
  <c r="BC227" i="23" s="1"/>
  <c r="C228" i="23"/>
  <c r="AW228" i="23" a="1"/>
  <c r="AW228" i="23" s="1"/>
  <c r="AX228" i="23" a="1"/>
  <c r="AX228" i="23" s="1"/>
  <c r="AY228" i="23" a="1"/>
  <c r="AY228" i="23" s="1"/>
  <c r="BA228" i="23" a="1"/>
  <c r="BA228" i="23" s="1"/>
  <c r="BC228" i="23" a="1"/>
  <c r="BC228" i="23" s="1"/>
  <c r="C229" i="23"/>
  <c r="AW229" i="23" a="1"/>
  <c r="AW229" i="23" s="1"/>
  <c r="AX229" i="23" a="1"/>
  <c r="AX229" i="23" s="1"/>
  <c r="AY229" i="23" a="1"/>
  <c r="AY229" i="23" s="1"/>
  <c r="BA229" i="23" a="1"/>
  <c r="BA229" i="23" s="1"/>
  <c r="BC229" i="23" a="1"/>
  <c r="BC229" i="23" s="1"/>
  <c r="C230" i="23"/>
  <c r="F230" i="23"/>
  <c r="F231" i="23" s="1"/>
  <c r="H230" i="23"/>
  <c r="Z230" i="23"/>
  <c r="AX230" i="23" a="1"/>
  <c r="AX230" i="23" s="1"/>
  <c r="AY230" i="23" a="1"/>
  <c r="AY230" i="23" s="1"/>
  <c r="BA230" i="23" a="1"/>
  <c r="BA230" i="23" s="1"/>
  <c r="BC230" i="23" a="1"/>
  <c r="BC230" i="23" s="1"/>
  <c r="C231" i="23"/>
  <c r="Z231" i="23"/>
  <c r="BA231" i="23" a="1"/>
  <c r="BA231" i="23" s="1"/>
  <c r="BC231" i="23" a="1"/>
  <c r="BC231" i="23" s="1"/>
  <c r="C232" i="23"/>
  <c r="Z232" i="23"/>
  <c r="C233" i="23"/>
  <c r="Z233" i="23"/>
  <c r="C234" i="23"/>
  <c r="Z234" i="23"/>
  <c r="C235" i="23"/>
  <c r="Z235" i="23"/>
  <c r="C236" i="23"/>
  <c r="Z236" i="23"/>
  <c r="C237" i="23"/>
  <c r="C238" i="23"/>
  <c r="F238" i="23"/>
  <c r="F239" i="23" s="1"/>
  <c r="H238" i="23"/>
  <c r="I238" i="23"/>
  <c r="C239" i="23"/>
  <c r="I239" i="23"/>
  <c r="C240" i="23"/>
  <c r="C241" i="23"/>
  <c r="I241" i="23"/>
  <c r="C242" i="23"/>
  <c r="C243" i="23"/>
  <c r="C244" i="23"/>
  <c r="C245" i="23"/>
  <c r="C246" i="23"/>
  <c r="F246" i="23"/>
  <c r="F247" i="23" s="1"/>
  <c r="H246" i="23"/>
  <c r="C247" i="23"/>
  <c r="C248" i="23"/>
  <c r="C249" i="23"/>
  <c r="C250" i="23"/>
  <c r="C251" i="23"/>
  <c r="C252" i="23"/>
  <c r="I252" i="23"/>
  <c r="I228" i="23" s="1"/>
  <c r="J252" i="23"/>
  <c r="J228" i="23" s="1"/>
  <c r="K252" i="23"/>
  <c r="K228" i="23" s="1"/>
  <c r="L252" i="23"/>
  <c r="L228" i="23" s="1"/>
  <c r="M252" i="23"/>
  <c r="M228" i="23" s="1"/>
  <c r="N252" i="23"/>
  <c r="N228" i="23" s="1"/>
  <c r="C253" i="23"/>
  <c r="C254" i="23"/>
  <c r="F254" i="23"/>
  <c r="F255" i="23" s="1"/>
  <c r="H254" i="23"/>
  <c r="C255" i="23"/>
  <c r="C256" i="23"/>
  <c r="C257" i="23"/>
  <c r="I257" i="23"/>
  <c r="BD217" i="23" s="1" a="1"/>
  <c r="BD217" i="23" s="1"/>
  <c r="J257" i="23"/>
  <c r="J258" i="23" s="1"/>
  <c r="J259" i="23" s="1"/>
  <c r="J260" i="23" s="1"/>
  <c r="K257" i="23"/>
  <c r="K258" i="23" s="1"/>
  <c r="K259" i="23" s="1"/>
  <c r="K260" i="23" s="1"/>
  <c r="L257" i="23"/>
  <c r="L258" i="23" s="1"/>
  <c r="L259" i="23" s="1"/>
  <c r="L260" i="23" s="1"/>
  <c r="M257" i="23"/>
  <c r="M258" i="23" s="1"/>
  <c r="M259" i="23" s="1"/>
  <c r="M260" i="23" s="1"/>
  <c r="N257" i="23"/>
  <c r="N258" i="23" s="1"/>
  <c r="N259" i="23" s="1"/>
  <c r="N260" i="23" s="1"/>
  <c r="C258" i="23"/>
  <c r="C259" i="23"/>
  <c r="C260" i="23"/>
  <c r="C261" i="23"/>
  <c r="C262" i="23"/>
  <c r="C263" i="23"/>
  <c r="C264" i="23"/>
  <c r="C265" i="23"/>
  <c r="C266" i="23"/>
  <c r="C267" i="23"/>
  <c r="C268" i="23"/>
  <c r="C269" i="23"/>
  <c r="C270" i="23"/>
  <c r="C271" i="23"/>
  <c r="C272" i="23"/>
  <c r="C273" i="23"/>
  <c r="C274" i="23"/>
  <c r="C275" i="23"/>
  <c r="C276" i="23"/>
  <c r="C277" i="23"/>
  <c r="C278" i="23"/>
  <c r="J278" i="23"/>
  <c r="K278" i="23"/>
  <c r="L278" i="23"/>
  <c r="T278" i="23"/>
  <c r="U278" i="23"/>
  <c r="C279" i="23"/>
  <c r="C280" i="23"/>
  <c r="C281" i="23"/>
  <c r="C282" i="23"/>
  <c r="C283" i="23"/>
  <c r="C284" i="23"/>
  <c r="C285" i="23"/>
  <c r="C286" i="23"/>
  <c r="C287" i="23"/>
  <c r="C288" i="23"/>
  <c r="C289" i="23"/>
  <c r="C290" i="23"/>
  <c r="C291" i="23"/>
  <c r="H293" i="23"/>
  <c r="C294" i="23"/>
  <c r="C295" i="23"/>
  <c r="C296" i="23"/>
  <c r="C297" i="23"/>
  <c r="C298" i="23"/>
  <c r="C299" i="23"/>
  <c r="C300" i="23"/>
  <c r="C303" i="23"/>
  <c r="C304" i="23"/>
  <c r="C305" i="23"/>
  <c r="C306" i="23"/>
  <c r="C307" i="23"/>
  <c r="C308" i="23"/>
  <c r="C309" i="23"/>
  <c r="C310" i="23"/>
  <c r="C311" i="23"/>
  <c r="C312" i="23"/>
  <c r="C313" i="23"/>
  <c r="C314" i="23"/>
  <c r="C315" i="23"/>
  <c r="C316" i="23"/>
  <c r="C317" i="23"/>
  <c r="C318" i="23"/>
  <c r="C319" i="23"/>
  <c r="M319" i="23"/>
  <c r="N319" i="23"/>
  <c r="C320" i="23"/>
  <c r="M320" i="23"/>
  <c r="N320" i="23"/>
  <c r="C321" i="23"/>
  <c r="C322" i="23"/>
  <c r="C323" i="23"/>
  <c r="C324" i="23"/>
  <c r="I324" i="23"/>
  <c r="C325" i="23"/>
  <c r="C326" i="23"/>
  <c r="M326" i="23"/>
  <c r="C327" i="23"/>
  <c r="C328" i="23"/>
  <c r="C329" i="23"/>
  <c r="T329" i="23"/>
  <c r="U329" i="23"/>
  <c r="U331" i="23" s="1"/>
  <c r="U335" i="23" s="1"/>
  <c r="X329" i="23"/>
  <c r="X331" i="23" s="1"/>
  <c r="X335" i="23" s="1"/>
  <c r="Z329" i="23"/>
  <c r="Z331" i="23" s="1"/>
  <c r="Z335" i="23" s="1"/>
  <c r="AA329" i="23"/>
  <c r="AA331" i="23" s="1"/>
  <c r="AA335" i="23" s="1"/>
  <c r="AB329" i="23"/>
  <c r="AB331" i="23" s="1"/>
  <c r="AB335" i="23" s="1"/>
  <c r="AF329" i="23"/>
  <c r="AF331" i="23" s="1"/>
  <c r="AG329" i="23"/>
  <c r="AG331" i="23" s="1"/>
  <c r="AG335" i="23" s="1"/>
  <c r="C330" i="23"/>
  <c r="C331" i="23"/>
  <c r="T331" i="23"/>
  <c r="T335" i="23" s="1"/>
  <c r="V331" i="23"/>
  <c r="V335" i="23" s="1"/>
  <c r="W331" i="23"/>
  <c r="W335" i="23" s="1"/>
  <c r="Y331" i="23"/>
  <c r="Y335" i="23" s="1"/>
  <c r="AC331" i="23"/>
  <c r="AC335" i="23" s="1"/>
  <c r="AD331" i="23"/>
  <c r="AD335" i="23" s="1"/>
  <c r="AE331" i="23"/>
  <c r="AE335" i="23" s="1"/>
  <c r="C332" i="23"/>
  <c r="C333" i="23"/>
  <c r="T333" i="23"/>
  <c r="T343" i="23" s="1"/>
  <c r="U333" i="23"/>
  <c r="U343" i="23" s="1"/>
  <c r="V333" i="23"/>
  <c r="V343" i="23" s="1"/>
  <c r="W333" i="23"/>
  <c r="W343" i="23" s="1"/>
  <c r="X333" i="23"/>
  <c r="X343" i="23" s="1"/>
  <c r="Y333" i="23"/>
  <c r="Y343" i="23" s="1"/>
  <c r="Z333" i="23"/>
  <c r="Z343" i="23" s="1"/>
  <c r="AA333" i="23"/>
  <c r="AA343" i="23" s="1"/>
  <c r="AB333" i="23"/>
  <c r="AB343" i="23" s="1"/>
  <c r="AC333" i="23"/>
  <c r="AC343" i="23" s="1"/>
  <c r="AD333" i="23"/>
  <c r="AD343" i="23" s="1"/>
  <c r="AE333" i="23"/>
  <c r="AE343" i="23" s="1"/>
  <c r="AF333" i="23"/>
  <c r="AF343" i="23" s="1"/>
  <c r="AG333" i="23"/>
  <c r="AG343" i="23" s="1"/>
  <c r="C334" i="23"/>
  <c r="AF334" i="23"/>
  <c r="C335" i="23"/>
  <c r="C336" i="23"/>
  <c r="C337" i="23"/>
  <c r="C339" i="23"/>
  <c r="I339" i="23"/>
  <c r="C340" i="23"/>
  <c r="C341" i="23"/>
  <c r="C342" i="23"/>
  <c r="T342" i="23"/>
  <c r="U342" i="23"/>
  <c r="V342" i="23"/>
  <c r="W342" i="23"/>
  <c r="X342" i="23"/>
  <c r="Y342" i="23"/>
  <c r="Z342" i="23"/>
  <c r="AA342" i="23"/>
  <c r="AB342" i="23"/>
  <c r="AC342" i="23"/>
  <c r="AD342" i="23"/>
  <c r="AE342" i="23"/>
  <c r="AF342" i="23"/>
  <c r="AG342" i="23"/>
  <c r="C343" i="23"/>
  <c r="C344" i="23"/>
  <c r="J344" i="23"/>
  <c r="C345" i="23"/>
  <c r="J345" i="23"/>
  <c r="C346" i="23"/>
  <c r="J346" i="23"/>
  <c r="C347" i="23"/>
  <c r="J347" i="23"/>
  <c r="C348" i="23"/>
  <c r="J348" i="23"/>
  <c r="C349" i="23"/>
  <c r="J349" i="23"/>
  <c r="C350" i="23"/>
  <c r="J350" i="23"/>
  <c r="N350" i="23"/>
  <c r="C351" i="23"/>
  <c r="J351" i="23"/>
  <c r="N351" i="23"/>
  <c r="C352" i="23"/>
  <c r="J352" i="23"/>
  <c r="C353" i="23"/>
  <c r="J353" i="23"/>
  <c r="N353" i="23"/>
  <c r="C354" i="23"/>
  <c r="J354" i="23"/>
  <c r="N354" i="23"/>
  <c r="C355" i="23"/>
  <c r="J355" i="23"/>
  <c r="N355" i="23"/>
  <c r="N356" i="23" s="1"/>
  <c r="C356" i="23"/>
  <c r="J356" i="23"/>
  <c r="C357" i="23"/>
  <c r="J357" i="23"/>
  <c r="C358" i="23"/>
  <c r="J358" i="23"/>
  <c r="C359" i="23"/>
  <c r="J359" i="23"/>
  <c r="N359" i="23"/>
  <c r="C360" i="23"/>
  <c r="J360" i="23"/>
  <c r="C361" i="23"/>
  <c r="J361" i="23"/>
  <c r="C362" i="23"/>
  <c r="J362" i="23"/>
  <c r="C363" i="23"/>
  <c r="J363" i="23"/>
  <c r="C364" i="23"/>
  <c r="J364" i="23"/>
  <c r="C365" i="23"/>
  <c r="J365" i="23"/>
  <c r="C366" i="23"/>
  <c r="J366" i="23"/>
  <c r="C367" i="23"/>
  <c r="J367" i="23"/>
  <c r="C368" i="23"/>
  <c r="J368" i="23"/>
  <c r="AG368" i="23"/>
  <c r="C369" i="23"/>
  <c r="J369" i="23"/>
  <c r="N369" i="23"/>
  <c r="AG369" i="23" s="1"/>
  <c r="C370" i="23"/>
  <c r="J370" i="23"/>
  <c r="AG370" i="23"/>
  <c r="C371" i="23"/>
  <c r="C372" i="23"/>
  <c r="J372" i="23"/>
  <c r="C373" i="23"/>
  <c r="J373" i="23"/>
  <c r="N373" i="23"/>
  <c r="N377" i="23" s="1"/>
  <c r="AG377" i="23" s="1"/>
  <c r="AG373" i="23"/>
  <c r="C374" i="23"/>
  <c r="C375" i="23"/>
  <c r="J375" i="23"/>
  <c r="AG375" i="23"/>
  <c r="C376" i="23"/>
  <c r="J376" i="23"/>
  <c r="C377" i="23"/>
  <c r="J377" i="23"/>
  <c r="C378" i="23"/>
  <c r="C379" i="23"/>
  <c r="C380" i="23"/>
  <c r="C381" i="23"/>
  <c r="C382" i="23"/>
  <c r="C383" i="23"/>
  <c r="C384" i="23"/>
  <c r="C385" i="23"/>
  <c r="H387" i="23"/>
  <c r="C388" i="23"/>
  <c r="C389" i="23"/>
  <c r="C390" i="23"/>
  <c r="C391" i="23"/>
  <c r="C392" i="23"/>
  <c r="C393" i="23"/>
  <c r="C394" i="23"/>
  <c r="C397" i="23"/>
  <c r="C398" i="23"/>
  <c r="C399" i="23"/>
  <c r="C400" i="23"/>
  <c r="C401" i="23"/>
  <c r="C402" i="23"/>
  <c r="C403" i="23"/>
  <c r="C404" i="23"/>
  <c r="C405" i="23"/>
  <c r="C406" i="23"/>
  <c r="C407" i="23"/>
  <c r="C408" i="23"/>
  <c r="C409" i="23"/>
  <c r="C410" i="23"/>
  <c r="C411" i="23"/>
  <c r="C412" i="23"/>
  <c r="C413" i="23"/>
  <c r="C414" i="23"/>
  <c r="C415" i="23"/>
  <c r="C416" i="23"/>
  <c r="C417" i="23"/>
  <c r="C418" i="23"/>
  <c r="C419" i="23"/>
  <c r="C420" i="23"/>
  <c r="C421" i="23"/>
  <c r="C422" i="23"/>
  <c r="C423" i="23"/>
  <c r="C424" i="23"/>
  <c r="C425" i="23"/>
  <c r="C426" i="23"/>
  <c r="J49" i="10"/>
  <c r="J47" i="10"/>
  <c r="L42" i="10"/>
  <c r="J42" i="10"/>
  <c r="P130" i="23" l="1"/>
  <c r="BE111" i="23"/>
  <c r="J130" i="23"/>
  <c r="N125" i="23"/>
  <c r="M125" i="23"/>
  <c r="BD224" i="23" a="1"/>
  <c r="BD224" i="23" s="1"/>
  <c r="L125" i="23"/>
  <c r="K125" i="23"/>
  <c r="BD227" i="23" a="1"/>
  <c r="BD227" i="23" s="1"/>
  <c r="BD230" i="23" a="1"/>
  <c r="BD230" i="23" s="1"/>
  <c r="I258" i="23"/>
  <c r="I259" i="23" s="1"/>
  <c r="I260" i="23" s="1"/>
  <c r="BE104" i="23"/>
  <c r="O102" i="23"/>
  <c r="O101" i="23" s="1"/>
  <c r="O100" i="23" s="1"/>
  <c r="O99" i="23" s="1"/>
  <c r="O98" i="23" s="1"/>
  <c r="O97" i="23" s="1"/>
  <c r="O96" i="23" s="1"/>
  <c r="O130" i="23"/>
  <c r="AZ210" i="23" a="1"/>
  <c r="AZ210" i="23" s="1"/>
  <c r="N130" i="23"/>
  <c r="M130" i="23"/>
  <c r="L130" i="23"/>
  <c r="K130" i="23"/>
  <c r="BE101" i="23"/>
  <c r="H239" i="23"/>
  <c r="F240" i="23"/>
  <c r="F241" i="23" s="1"/>
  <c r="F242" i="23" s="1"/>
  <c r="F243" i="23" s="1"/>
  <c r="F244" i="23" s="1"/>
  <c r="F245" i="23" s="1"/>
  <c r="BD231" i="23" a="1"/>
  <c r="BD231" i="23" s="1"/>
  <c r="BD228" i="23" a="1"/>
  <c r="BD228" i="23" s="1"/>
  <c r="BD215" i="23" a="1"/>
  <c r="BD215" i="23" s="1"/>
  <c r="AX231" i="23" a="1"/>
  <c r="AX231" i="23" s="1"/>
  <c r="AZ217" i="23" a="1"/>
  <c r="AZ217" i="23" s="1"/>
  <c r="AY189" i="23"/>
  <c r="AZ189" i="23" s="1"/>
  <c r="BA189" i="23" s="1"/>
  <c r="AF335" i="23"/>
  <c r="AW217" i="23" a="1"/>
  <c r="AW217" i="23" s="1"/>
  <c r="BE110" i="23"/>
  <c r="AY185" i="23"/>
  <c r="AZ185" i="23" s="1"/>
  <c r="BA185" i="23" s="1"/>
  <c r="BD216" i="23" a="1"/>
  <c r="BD216" i="23" s="1"/>
  <c r="AW221" i="23" a="1"/>
  <c r="AZ221" i="23" s="1"/>
  <c r="K47" i="10"/>
  <c r="BD229" i="23" a="1"/>
  <c r="BD229" i="23" s="1"/>
  <c r="BD210" i="23" a="1"/>
  <c r="BD210" i="23" s="1"/>
  <c r="BD213" i="23" a="1"/>
  <c r="BD213" i="23" s="1"/>
  <c r="AZ226" i="23" a="1"/>
  <c r="AZ226" i="23" s="1"/>
  <c r="AY187" i="23"/>
  <c r="AZ187" i="23" s="1"/>
  <c r="BA187" i="23" s="1"/>
  <c r="AY186" i="23"/>
  <c r="AZ186" i="23" s="1"/>
  <c r="BE112" i="23"/>
  <c r="BE106" i="23"/>
  <c r="AZ183" i="23"/>
  <c r="BA183" i="23" s="1"/>
  <c r="C89" i="23"/>
  <c r="T102" i="23"/>
  <c r="T101" i="23" s="1"/>
  <c r="T100" i="23" s="1"/>
  <c r="T99" i="23" s="1"/>
  <c r="T98" i="23" s="1"/>
  <c r="T97" i="23" s="1"/>
  <c r="T96" i="23" s="1"/>
  <c r="AZ214" i="23" a="1"/>
  <c r="AZ214" i="23" s="1"/>
  <c r="C177" i="23"/>
  <c r="R102" i="23"/>
  <c r="R101" i="23" s="1"/>
  <c r="R100" i="23" s="1"/>
  <c r="R99" i="23" s="1"/>
  <c r="R98" i="23" s="1"/>
  <c r="R97" i="23" s="1"/>
  <c r="R96" i="23" s="1"/>
  <c r="H223" i="23"/>
  <c r="AY190" i="23"/>
  <c r="AZ190" i="23" s="1"/>
  <c r="BA190" i="23" s="1"/>
  <c r="J127" i="23"/>
  <c r="Q103" i="23"/>
  <c r="C80" i="23"/>
  <c r="C395" i="23"/>
  <c r="BE102" i="23"/>
  <c r="C38" i="23"/>
  <c r="C292" i="23"/>
  <c r="I212" i="23"/>
  <c r="C37" i="23"/>
  <c r="AZ230" i="23" a="1"/>
  <c r="AZ230" i="23" s="1"/>
  <c r="BD225" i="23" a="1"/>
  <c r="BD225" i="23" s="1"/>
  <c r="AY184" i="23"/>
  <c r="AZ184" i="23" s="1"/>
  <c r="BA184" i="23" s="1"/>
  <c r="BD218" i="23" a="1"/>
  <c r="BD218" i="23" s="1"/>
  <c r="J132" i="23"/>
  <c r="BD104" i="23"/>
  <c r="BD211" i="23" a="1"/>
  <c r="BD211" i="23" s="1"/>
  <c r="C5" i="23"/>
  <c r="I204" i="23"/>
  <c r="AZ227" i="23" a="1"/>
  <c r="AZ227" i="23" s="1"/>
  <c r="AY188" i="23"/>
  <c r="AZ188" i="23" s="1"/>
  <c r="AF89" i="23"/>
  <c r="BD214" i="23" a="1"/>
  <c r="BD214" i="23" s="1"/>
  <c r="C175" i="23"/>
  <c r="AW230" i="23" a="1"/>
  <c r="AW230" i="23" s="1"/>
  <c r="C166" i="23"/>
  <c r="AW194" i="23" a="1"/>
  <c r="AW194" i="23" s="1"/>
  <c r="H231" i="23"/>
  <c r="F232" i="23"/>
  <c r="F233" i="23" s="1"/>
  <c r="F234" i="23" s="1"/>
  <c r="F235" i="23" s="1"/>
  <c r="F236" i="23" s="1"/>
  <c r="F237" i="23" s="1"/>
  <c r="W111" i="23"/>
  <c r="W113" i="23" s="1"/>
  <c r="W110" i="23"/>
  <c r="W112" i="23" s="1"/>
  <c r="H215" i="23"/>
  <c r="F216" i="23"/>
  <c r="F217" i="23" s="1"/>
  <c r="F218" i="23" s="1"/>
  <c r="F219" i="23" s="1"/>
  <c r="F220" i="23" s="1"/>
  <c r="F221" i="23" s="1"/>
  <c r="N110" i="23"/>
  <c r="N112" i="23" s="1"/>
  <c r="N111" i="23"/>
  <c r="N113" i="23" s="1"/>
  <c r="T111" i="23"/>
  <c r="T113" i="23" s="1"/>
  <c r="T110" i="23"/>
  <c r="T112" i="23" s="1"/>
  <c r="R111" i="23"/>
  <c r="R113" i="23" s="1"/>
  <c r="R110" i="23"/>
  <c r="R112" i="23" s="1"/>
  <c r="X111" i="23"/>
  <c r="X113" i="23" s="1"/>
  <c r="X110" i="23"/>
  <c r="X112" i="23" s="1"/>
  <c r="V111" i="23"/>
  <c r="V113" i="23" s="1"/>
  <c r="V110" i="23"/>
  <c r="V112" i="23" s="1"/>
  <c r="O111" i="23"/>
  <c r="O113" i="23" s="1"/>
  <c r="O110" i="23"/>
  <c r="O112" i="23" s="1"/>
  <c r="U111" i="23"/>
  <c r="U113" i="23" s="1"/>
  <c r="U110" i="23"/>
  <c r="U112" i="23" s="1"/>
  <c r="S111" i="23"/>
  <c r="S113" i="23" s="1"/>
  <c r="S110" i="23"/>
  <c r="S112" i="23" s="1"/>
  <c r="P111" i="23"/>
  <c r="P113" i="23" s="1"/>
  <c r="P110" i="23"/>
  <c r="P112" i="23" s="1"/>
  <c r="F248" i="23"/>
  <c r="F249" i="23" s="1"/>
  <c r="F250" i="23" s="1"/>
  <c r="F251" i="23" s="1"/>
  <c r="F252" i="23" s="1"/>
  <c r="F253" i="23" s="1"/>
  <c r="H247" i="23"/>
  <c r="H199" i="23"/>
  <c r="F200" i="23"/>
  <c r="F201" i="23" s="1"/>
  <c r="F202" i="23" s="1"/>
  <c r="F203" i="23" s="1"/>
  <c r="F204" i="23" s="1"/>
  <c r="F205" i="23" s="1"/>
  <c r="AD111" i="23"/>
  <c r="AD113" i="23" s="1"/>
  <c r="AD110" i="23"/>
  <c r="AD112" i="23" s="1"/>
  <c r="F256" i="23"/>
  <c r="F257" i="23" s="1"/>
  <c r="F258" i="23" s="1"/>
  <c r="F259" i="23" s="1"/>
  <c r="F260" i="23" s="1"/>
  <c r="F261" i="23" s="1"/>
  <c r="H255" i="23"/>
  <c r="H207" i="23"/>
  <c r="F208" i="23"/>
  <c r="F209" i="23" s="1"/>
  <c r="F210" i="23" s="1"/>
  <c r="F211" i="23" s="1"/>
  <c r="F212" i="23" s="1"/>
  <c r="F213" i="23" s="1"/>
  <c r="C176" i="23"/>
  <c r="BE109" i="23"/>
  <c r="BE103" i="23"/>
  <c r="AZ223" i="23" a="1"/>
  <c r="AZ223" i="23" s="1"/>
  <c r="BE98" i="23"/>
  <c r="AZ212" i="23" a="1"/>
  <c r="AZ212" i="23" s="1"/>
  <c r="BB210" i="23" a="1"/>
  <c r="BB210" i="23" s="1"/>
  <c r="I242" i="23"/>
  <c r="I243" i="23" s="1"/>
  <c r="I244" i="23" s="1"/>
  <c r="BB228" i="23" a="1"/>
  <c r="BB228" i="23" s="1"/>
  <c r="BB224" i="23" a="1"/>
  <c r="BB224" i="23" s="1"/>
  <c r="I220" i="23"/>
  <c r="P102" i="23"/>
  <c r="P101" i="23" s="1"/>
  <c r="P100" i="23" s="1"/>
  <c r="P99" i="23" s="1"/>
  <c r="P98" i="23" s="1"/>
  <c r="P97" i="23" s="1"/>
  <c r="P96" i="23" s="1"/>
  <c r="BE99" i="23"/>
  <c r="C28" i="23"/>
  <c r="BE105" i="23"/>
  <c r="AZ228" i="23" a="1"/>
  <c r="AZ228" i="23" s="1"/>
  <c r="AZ224" i="23" a="1"/>
  <c r="AZ224" i="23" s="1"/>
  <c r="BE100" i="23"/>
  <c r="AZ215" i="23" a="1"/>
  <c r="AZ215" i="23" s="1"/>
  <c r="C302" i="23"/>
  <c r="C301" i="23"/>
  <c r="AZ213" i="23" a="1"/>
  <c r="AZ213" i="23" s="1"/>
  <c r="AY231" i="23" a="1"/>
  <c r="AY231" i="23" s="1"/>
  <c r="BD226" i="23" a="1"/>
  <c r="BD226" i="23" s="1"/>
  <c r="AZ225" i="23" a="1"/>
  <c r="AZ225" i="23" s="1"/>
  <c r="BB211" i="23" a="1"/>
  <c r="BB211" i="23" s="1"/>
  <c r="BE107" i="23"/>
  <c r="C386" i="23"/>
  <c r="O125" i="23"/>
  <c r="K156" i="23" s="1"/>
  <c r="K157" i="23" s="1"/>
  <c r="BE113" i="23"/>
  <c r="AZ218" i="23" a="1"/>
  <c r="AZ218" i="23" s="1"/>
  <c r="AZ231" i="23" a="1"/>
  <c r="AZ231" i="23" s="1"/>
  <c r="AZ211" i="23" a="1"/>
  <c r="AZ211" i="23" s="1"/>
  <c r="AW231" i="23" a="1"/>
  <c r="AW231" i="23" s="1"/>
  <c r="BE108" i="23"/>
  <c r="C338" i="23"/>
  <c r="AZ229" i="23" a="1"/>
  <c r="AZ229" i="23" s="1"/>
  <c r="C396" i="23"/>
  <c r="AZ216" i="23" a="1"/>
  <c r="AZ216" i="23" s="1"/>
  <c r="BD223" i="23" a="1"/>
  <c r="BD223" i="23" s="1"/>
  <c r="BD212" i="23" a="1"/>
  <c r="BD212" i="23" s="1"/>
  <c r="AW208" i="23" a="1"/>
  <c r="C90" i="23"/>
  <c r="BB223" i="23" a="1"/>
  <c r="BB223" i="23" s="1"/>
  <c r="A164" i="21"/>
  <c r="A110" i="21"/>
  <c r="A51" i="21"/>
  <c r="A80" i="21"/>
  <c r="A81" i="21"/>
  <c r="A82" i="21"/>
  <c r="A83" i="21"/>
  <c r="A84" i="21"/>
  <c r="A85" i="21"/>
  <c r="A87" i="21"/>
  <c r="A88" i="21"/>
  <c r="A89" i="21"/>
  <c r="A90" i="21"/>
  <c r="A91" i="21"/>
  <c r="A92" i="21"/>
  <c r="A93" i="21"/>
  <c r="A94" i="21"/>
  <c r="A95" i="21"/>
  <c r="A96" i="21"/>
  <c r="A97" i="21"/>
  <c r="A79" i="21"/>
  <c r="A81" i="16"/>
  <c r="A82" i="16"/>
  <c r="A83" i="16"/>
  <c r="A84" i="16"/>
  <c r="A85" i="16"/>
  <c r="A86" i="16"/>
  <c r="A88" i="16"/>
  <c r="A89" i="16"/>
  <c r="A90" i="16"/>
  <c r="A91" i="16"/>
  <c r="A92" i="16"/>
  <c r="A93" i="16"/>
  <c r="A94" i="16"/>
  <c r="A95" i="16"/>
  <c r="A96" i="16"/>
  <c r="A97" i="16"/>
  <c r="A98" i="16"/>
  <c r="A80" i="16"/>
  <c r="A81" i="18"/>
  <c r="A82" i="18"/>
  <c r="A83" i="18"/>
  <c r="A84" i="18"/>
  <c r="A85" i="18"/>
  <c r="A86" i="18"/>
  <c r="A88" i="18"/>
  <c r="A89" i="18"/>
  <c r="A90" i="18"/>
  <c r="A91" i="18"/>
  <c r="A92" i="18"/>
  <c r="A93" i="18"/>
  <c r="A94" i="18"/>
  <c r="A95" i="18"/>
  <c r="A96" i="18"/>
  <c r="A97" i="18"/>
  <c r="A98" i="18"/>
  <c r="A80" i="18"/>
  <c r="A111" i="18"/>
  <c r="A165" i="18"/>
  <c r="A52" i="18"/>
  <c r="A165" i="16"/>
  <c r="A111" i="16"/>
  <c r="A52" i="16"/>
  <c r="A23" i="4"/>
  <c r="P71" i="20"/>
  <c r="P72" i="20"/>
  <c r="P73" i="20"/>
  <c r="P74" i="20"/>
  <c r="P75" i="20"/>
  <c r="P76" i="20"/>
  <c r="P78" i="20"/>
  <c r="P79" i="20"/>
  <c r="P80" i="20"/>
  <c r="P81" i="20"/>
  <c r="P82" i="20"/>
  <c r="P83" i="20"/>
  <c r="P84" i="20"/>
  <c r="P85" i="20"/>
  <c r="P86" i="20"/>
  <c r="P87" i="20"/>
  <c r="P88" i="20"/>
  <c r="P70" i="20"/>
  <c r="J373" i="22"/>
  <c r="K373" i="22"/>
  <c r="L373" i="22"/>
  <c r="M373" i="22"/>
  <c r="N373" i="22"/>
  <c r="O373" i="22"/>
  <c r="P373" i="22"/>
  <c r="Q373" i="22"/>
  <c r="R373" i="22"/>
  <c r="S373" i="22"/>
  <c r="T373" i="22"/>
  <c r="U373" i="22"/>
  <c r="V373" i="22"/>
  <c r="W373" i="22"/>
  <c r="X373" i="22"/>
  <c r="Y373" i="22"/>
  <c r="Z373" i="22"/>
  <c r="AA373" i="22"/>
  <c r="AB373" i="22"/>
  <c r="AC373" i="22"/>
  <c r="AD373" i="22"/>
  <c r="AE373" i="22"/>
  <c r="AF373" i="22"/>
  <c r="AG373" i="22"/>
  <c r="AH373" i="22"/>
  <c r="AI373" i="22"/>
  <c r="AJ373" i="22"/>
  <c r="J126" i="22"/>
  <c r="G96" i="22"/>
  <c r="G97" i="22"/>
  <c r="G98" i="22"/>
  <c r="G99" i="22"/>
  <c r="G100" i="22"/>
  <c r="G101" i="22"/>
  <c r="G104" i="22"/>
  <c r="G105" i="22"/>
  <c r="G106" i="22"/>
  <c r="G107" i="22"/>
  <c r="G108" i="22"/>
  <c r="G109" i="22"/>
  <c r="G110" i="22"/>
  <c r="G111" i="22"/>
  <c r="G112" i="22"/>
  <c r="G113" i="22"/>
  <c r="G136" i="22"/>
  <c r="G119" i="22"/>
  <c r="G120" i="22"/>
  <c r="G121" i="22"/>
  <c r="G122" i="22"/>
  <c r="G123" i="22"/>
  <c r="G124" i="22"/>
  <c r="G126" i="22"/>
  <c r="G127" i="22"/>
  <c r="G128" i="22"/>
  <c r="G129" i="22"/>
  <c r="G130" i="22"/>
  <c r="G131" i="22"/>
  <c r="G132" i="22"/>
  <c r="G133" i="22"/>
  <c r="G134" i="22"/>
  <c r="G135" i="22"/>
  <c r="G141" i="22"/>
  <c r="G142" i="22"/>
  <c r="G143" i="22"/>
  <c r="G144" i="22"/>
  <c r="G145" i="22"/>
  <c r="G146" i="22"/>
  <c r="G148" i="22"/>
  <c r="G149" i="22"/>
  <c r="G150" i="22"/>
  <c r="G151" i="22"/>
  <c r="G152" i="22"/>
  <c r="G153" i="22"/>
  <c r="G154" i="22"/>
  <c r="G155" i="22"/>
  <c r="G156" i="22"/>
  <c r="G157" i="22"/>
  <c r="G158" i="22"/>
  <c r="G163" i="22"/>
  <c r="G164" i="22"/>
  <c r="G165" i="22"/>
  <c r="G166" i="22"/>
  <c r="G167" i="22"/>
  <c r="G168" i="22"/>
  <c r="G170" i="22"/>
  <c r="G171" i="22"/>
  <c r="G172" i="22"/>
  <c r="G173" i="22"/>
  <c r="G174" i="22"/>
  <c r="G175" i="22"/>
  <c r="G176" i="22"/>
  <c r="G177" i="22"/>
  <c r="G178" i="22"/>
  <c r="G179" i="22"/>
  <c r="G180" i="22"/>
  <c r="I373" i="22"/>
  <c r="I374" i="22"/>
  <c r="I375" i="22"/>
  <c r="I376" i="22"/>
  <c r="I377" i="22"/>
  <c r="I378" i="22"/>
  <c r="I379" i="22"/>
  <c r="I380" i="22"/>
  <c r="I381" i="22"/>
  <c r="I382" i="22"/>
  <c r="I383" i="22"/>
  <c r="I366" i="22"/>
  <c r="I367" i="22"/>
  <c r="I368" i="22"/>
  <c r="I369" i="22"/>
  <c r="I370" i="22"/>
  <c r="I371" i="22"/>
  <c r="I347" i="22"/>
  <c r="I348" i="22"/>
  <c r="I349" i="22"/>
  <c r="I350" i="22"/>
  <c r="I351" i="22"/>
  <c r="I352" i="22"/>
  <c r="I354" i="22"/>
  <c r="I355" i="22"/>
  <c r="I356" i="22"/>
  <c r="I357" i="22"/>
  <c r="I358" i="22"/>
  <c r="I359" i="22"/>
  <c r="I360" i="22"/>
  <c r="I361" i="22"/>
  <c r="I362" i="22"/>
  <c r="I363" i="22"/>
  <c r="I364" i="22"/>
  <c r="I365" i="22"/>
  <c r="I346" i="22"/>
  <c r="I328" i="22"/>
  <c r="I329" i="22"/>
  <c r="I330" i="22"/>
  <c r="I331" i="22"/>
  <c r="I332" i="22"/>
  <c r="I333" i="22"/>
  <c r="I335" i="22"/>
  <c r="I336" i="22"/>
  <c r="I337" i="22"/>
  <c r="I338" i="22"/>
  <c r="I339" i="22"/>
  <c r="I340" i="22"/>
  <c r="I341" i="22"/>
  <c r="I342" i="22"/>
  <c r="I343" i="22"/>
  <c r="I344" i="22"/>
  <c r="I345" i="22"/>
  <c r="I327" i="22"/>
  <c r="G162" i="22"/>
  <c r="G140" i="22"/>
  <c r="G118" i="22"/>
  <c r="G95" i="22"/>
  <c r="H56" i="22"/>
  <c r="H57" i="22"/>
  <c r="H58" i="22"/>
  <c r="H59" i="22"/>
  <c r="H60" i="22"/>
  <c r="H61" i="22"/>
  <c r="H63" i="22"/>
  <c r="H64" i="22"/>
  <c r="H65" i="22"/>
  <c r="H66" i="22"/>
  <c r="H67" i="22"/>
  <c r="H68" i="22"/>
  <c r="H69" i="22"/>
  <c r="H70" i="22"/>
  <c r="H71" i="22"/>
  <c r="H72" i="22"/>
  <c r="H73" i="22"/>
  <c r="H55" i="22"/>
  <c r="I97" i="6"/>
  <c r="M97" i="6"/>
  <c r="A17" i="1"/>
  <c r="F60" i="1"/>
  <c r="A60" i="1"/>
  <c r="L60" i="1" s="1"/>
  <c r="BF111" i="23" l="1"/>
  <c r="BD189" i="23"/>
  <c r="BK189" i="23"/>
  <c r="BJ189" i="23"/>
  <c r="BH189" i="23"/>
  <c r="BI189" i="23"/>
  <c r="BH190" i="23"/>
  <c r="BI190" i="23"/>
  <c r="BJ190" i="23"/>
  <c r="BK190" i="23"/>
  <c r="BJ184" i="23"/>
  <c r="BK184" i="23"/>
  <c r="BH184" i="23"/>
  <c r="BI184" i="23"/>
  <c r="BH183" i="23"/>
  <c r="BJ183" i="23"/>
  <c r="BK183" i="23"/>
  <c r="BI183" i="23"/>
  <c r="BH187" i="23"/>
  <c r="BI187" i="23"/>
  <c r="BJ187" i="23"/>
  <c r="BK187" i="23"/>
  <c r="BH185" i="23"/>
  <c r="BI185" i="23"/>
  <c r="BK185" i="23"/>
  <c r="BJ185" i="23"/>
  <c r="AY201" i="23" a="1"/>
  <c r="AY201" i="23" s="1"/>
  <c r="BA202" i="23" a="1"/>
  <c r="BA202" i="23" s="1"/>
  <c r="AX197" i="23" a="1"/>
  <c r="AX197" i="23" s="1"/>
  <c r="AW196" i="23" a="1"/>
  <c r="AW196" i="23" s="1"/>
  <c r="N156" i="23"/>
  <c r="BB218" i="23" a="1"/>
  <c r="BB218" i="23" s="1"/>
  <c r="AW221" i="23"/>
  <c r="AX221" i="23"/>
  <c r="BC221" i="23"/>
  <c r="BB221" i="23"/>
  <c r="BD221" i="23"/>
  <c r="BC200" i="23" a="1"/>
  <c r="BC200" i="23" s="1"/>
  <c r="BC198" i="23" a="1"/>
  <c r="BC198" i="23" s="1"/>
  <c r="BC202" i="23" a="1"/>
  <c r="BC202" i="23" s="1"/>
  <c r="BC199" i="23" a="1"/>
  <c r="BC199" i="23" s="1"/>
  <c r="BC203" i="23" a="1"/>
  <c r="BC203" i="23" s="1"/>
  <c r="BC197" i="23" a="1"/>
  <c r="BC197" i="23" s="1"/>
  <c r="BC201" i="23" a="1"/>
  <c r="BC201" i="23" s="1"/>
  <c r="BC204" i="23" a="1"/>
  <c r="BC204" i="23" s="1"/>
  <c r="BC196" i="23" a="1"/>
  <c r="BC196" i="23" s="1"/>
  <c r="AV106" i="23"/>
  <c r="BG106" i="23" s="1"/>
  <c r="AY221" i="23"/>
  <c r="AV104" i="23"/>
  <c r="BG104" i="23" s="1"/>
  <c r="BH104" i="23" s="1"/>
  <c r="BB231" i="23" a="1"/>
  <c r="BB231" i="23" s="1"/>
  <c r="BB194" i="23"/>
  <c r="AV99" i="23"/>
  <c r="BG99" i="23" s="1"/>
  <c r="BB230" i="23" a="1"/>
  <c r="BB230" i="23" s="1"/>
  <c r="BA194" i="23"/>
  <c r="AV105" i="23"/>
  <c r="BG105" i="23" s="1"/>
  <c r="AV111" i="23"/>
  <c r="BG111" i="23" s="1"/>
  <c r="BA221" i="23"/>
  <c r="AZ194" i="23"/>
  <c r="AV103" i="23"/>
  <c r="BG103" i="23" s="1"/>
  <c r="AX194" i="23"/>
  <c r="BB214" i="23" a="1"/>
  <c r="BB214" i="23" s="1"/>
  <c r="BB225" i="23" a="1"/>
  <c r="BB225" i="23" s="1"/>
  <c r="BB213" i="23" a="1"/>
  <c r="BB213" i="23" s="1"/>
  <c r="AV97" i="23"/>
  <c r="AV96" i="23" s="1"/>
  <c r="BB226" i="23" a="1"/>
  <c r="BB226" i="23" s="1"/>
  <c r="AV112" i="23"/>
  <c r="AV113" i="23" s="1"/>
  <c r="BG113" i="23" s="1"/>
  <c r="BA203" i="23" a="1"/>
  <c r="BA203" i="23" s="1"/>
  <c r="BA199" i="23" a="1"/>
  <c r="BA199" i="23" s="1"/>
  <c r="BA197" i="23" a="1"/>
  <c r="BA197" i="23" s="1"/>
  <c r="BA204" i="23" a="1"/>
  <c r="BA204" i="23" s="1"/>
  <c r="AW201" i="23" a="1"/>
  <c r="AW201" i="23" s="1"/>
  <c r="BA196" i="23" a="1"/>
  <c r="BA196" i="23" s="1"/>
  <c r="BA186" i="23"/>
  <c r="BD186" i="23"/>
  <c r="AW197" i="23" a="1"/>
  <c r="AW197" i="23" s="1"/>
  <c r="BA201" i="23" a="1"/>
  <c r="BA201" i="23" s="1"/>
  <c r="BA200" i="23" a="1"/>
  <c r="BA200" i="23" s="1"/>
  <c r="BA198" i="23" a="1"/>
  <c r="BA198" i="23" s="1"/>
  <c r="AW203" i="23" a="1"/>
  <c r="AW203" i="23" s="1"/>
  <c r="AW202" i="23" a="1"/>
  <c r="AW202" i="23" s="1"/>
  <c r="AY204" i="23" a="1"/>
  <c r="AY204" i="23" s="1"/>
  <c r="BF105" i="23"/>
  <c r="AW200" i="23" a="1"/>
  <c r="AW200" i="23" s="1"/>
  <c r="AW199" i="23" a="1"/>
  <c r="AW199" i="23" s="1"/>
  <c r="BF99" i="23"/>
  <c r="BF104" i="23"/>
  <c r="BF102" i="23"/>
  <c r="BF110" i="23"/>
  <c r="BF98" i="23"/>
  <c r="AW198" i="23" a="1"/>
  <c r="AW198" i="23" s="1"/>
  <c r="BF107" i="23"/>
  <c r="BF106" i="23"/>
  <c r="BF109" i="23"/>
  <c r="BF101" i="23"/>
  <c r="BF97" i="23"/>
  <c r="AY202" i="23" a="1"/>
  <c r="AY202" i="23" s="1"/>
  <c r="AY196" i="23" a="1"/>
  <c r="AY196" i="23" s="1"/>
  <c r="AY197" i="23" a="1"/>
  <c r="AY197" i="23" s="1"/>
  <c r="AY200" i="23" a="1"/>
  <c r="AY200" i="23" s="1"/>
  <c r="AY198" i="23" a="1"/>
  <c r="AY198" i="23" s="1"/>
  <c r="BF113" i="23"/>
  <c r="BD202" i="23" a="1"/>
  <c r="BD202" i="23" s="1"/>
  <c r="BD203" i="23" a="1"/>
  <c r="BD203" i="23" s="1"/>
  <c r="BD200" i="23" a="1"/>
  <c r="BD200" i="23" s="1"/>
  <c r="BD204" i="23" a="1"/>
  <c r="BD204" i="23" s="1"/>
  <c r="BD201" i="23" a="1"/>
  <c r="BD201" i="23" s="1"/>
  <c r="BD197" i="23" a="1"/>
  <c r="BD197" i="23" s="1"/>
  <c r="AX198" i="23" a="1"/>
  <c r="AX198" i="23" s="1"/>
  <c r="Q104" i="23"/>
  <c r="Q105" i="23" s="1"/>
  <c r="Q106" i="23" s="1"/>
  <c r="Q107" i="23" s="1"/>
  <c r="Q108" i="23" s="1"/>
  <c r="Q109" i="23" s="1"/>
  <c r="Q102" i="23"/>
  <c r="Q101" i="23" s="1"/>
  <c r="Q100" i="23" s="1"/>
  <c r="Q99" i="23" s="1"/>
  <c r="Q98" i="23" s="1"/>
  <c r="Q97" i="23" s="1"/>
  <c r="Q96" i="23" s="1"/>
  <c r="BD194" i="23"/>
  <c r="BC194" i="23"/>
  <c r="AX199" i="23" a="1"/>
  <c r="AX199" i="23" s="1"/>
  <c r="BD198" i="23" a="1"/>
  <c r="BD198" i="23" s="1"/>
  <c r="AY194" i="23"/>
  <c r="AV98" i="23"/>
  <c r="BG98" i="23" s="1"/>
  <c r="AX196" i="23" a="1"/>
  <c r="AX196" i="23" s="1"/>
  <c r="BD199" i="23" a="1"/>
  <c r="BD199" i="23" s="1"/>
  <c r="BD196" i="23" a="1"/>
  <c r="BD196" i="23" s="1"/>
  <c r="AX200" i="23" a="1"/>
  <c r="AX200" i="23" s="1"/>
  <c r="AV101" i="23"/>
  <c r="BG101" i="23" s="1"/>
  <c r="AV102" i="23"/>
  <c r="BG102" i="23" s="1"/>
  <c r="AV107" i="23"/>
  <c r="BG107" i="23" s="1"/>
  <c r="AV100" i="23"/>
  <c r="BG100" i="23" s="1"/>
  <c r="BH100" i="23" s="1"/>
  <c r="AW204" i="23" a="1"/>
  <c r="AW204" i="23" s="1"/>
  <c r="AV108" i="23"/>
  <c r="BG108" i="23" s="1"/>
  <c r="AX202" i="23" a="1"/>
  <c r="AX202" i="23" s="1"/>
  <c r="AY199" i="23" a="1"/>
  <c r="AY199" i="23" s="1"/>
  <c r="AX204" i="23" a="1"/>
  <c r="AX204" i="23" s="1"/>
  <c r="BF112" i="23"/>
  <c r="AX203" i="23" a="1"/>
  <c r="AX203" i="23" s="1"/>
  <c r="AV109" i="23"/>
  <c r="BG109" i="23" s="1"/>
  <c r="AX201" i="23" a="1"/>
  <c r="AX201" i="23" s="1"/>
  <c r="AY203" i="23" a="1"/>
  <c r="AY203" i="23" s="1"/>
  <c r="AV110" i="23"/>
  <c r="BG110" i="23" s="1"/>
  <c r="BB217" i="23" a="1"/>
  <c r="BB217" i="23" s="1"/>
  <c r="AW208" i="23"/>
  <c r="AX208" i="23"/>
  <c r="AY208" i="23"/>
  <c r="AZ208" i="23"/>
  <c r="BA208" i="23"/>
  <c r="BB208" i="23"/>
  <c r="BC208" i="23"/>
  <c r="BD208" i="23"/>
  <c r="BF108" i="23"/>
  <c r="BB216" i="23" a="1"/>
  <c r="BB216" i="23" s="1"/>
  <c r="BF100" i="23"/>
  <c r="BF103" i="23"/>
  <c r="K42" i="10"/>
  <c r="BB229" i="23" a="1"/>
  <c r="BB229" i="23" s="1"/>
  <c r="BB215" i="23" a="1"/>
  <c r="BB215" i="23" s="1"/>
  <c r="BB227" i="23" a="1"/>
  <c r="BB227" i="23" s="1"/>
  <c r="BB212" i="23" a="1"/>
  <c r="BB212" i="23" s="1"/>
  <c r="BA188" i="23"/>
  <c r="BD188" i="23"/>
  <c r="BT111" i="23" l="1"/>
  <c r="BY111" i="23" s="1"/>
  <c r="BS111" i="23"/>
  <c r="BX111" i="23" s="1"/>
  <c r="BR111" i="23"/>
  <c r="BW111" i="23" s="1"/>
  <c r="BQ111" i="23"/>
  <c r="BV111" i="23" s="1"/>
  <c r="BT110" i="23"/>
  <c r="BY110" i="23" s="1"/>
  <c r="BS110" i="23"/>
  <c r="BX110" i="23" s="1"/>
  <c r="BR110" i="23"/>
  <c r="BW110" i="23" s="1"/>
  <c r="BQ110" i="23"/>
  <c r="BV110" i="23" s="1"/>
  <c r="BT107" i="23"/>
  <c r="BY107" i="23" s="1"/>
  <c r="BQ107" i="23"/>
  <c r="BV107" i="23" s="1"/>
  <c r="BS107" i="23"/>
  <c r="BX107" i="23" s="1"/>
  <c r="BR107" i="23"/>
  <c r="BW107" i="23" s="1"/>
  <c r="BT105" i="23"/>
  <c r="BY105" i="23" s="1"/>
  <c r="BR105" i="23"/>
  <c r="BW105" i="23" s="1"/>
  <c r="BQ105" i="23"/>
  <c r="BV105" i="23" s="1"/>
  <c r="BS105" i="23"/>
  <c r="BX105" i="23" s="1"/>
  <c r="BQ103" i="23"/>
  <c r="BV103" i="23" s="1"/>
  <c r="BT103" i="23"/>
  <c r="BY103" i="23" s="1"/>
  <c r="BS103" i="23"/>
  <c r="BX103" i="23" s="1"/>
  <c r="BR103" i="23"/>
  <c r="BW103" i="23" s="1"/>
  <c r="BI188" i="23"/>
  <c r="BK188" i="23"/>
  <c r="BH188" i="23"/>
  <c r="BJ188" i="23"/>
  <c r="BH186" i="23"/>
  <c r="BI186" i="23"/>
  <c r="BJ186" i="23"/>
  <c r="BK186" i="23"/>
  <c r="AZ203" i="23" a="1"/>
  <c r="AZ203" i="23" s="1"/>
  <c r="BG97" i="23"/>
  <c r="BG112" i="23"/>
  <c r="AZ200" i="23" a="1"/>
  <c r="AZ200" i="23" s="1"/>
  <c r="AZ197" i="23" a="1"/>
  <c r="AZ197" i="23" s="1"/>
  <c r="AZ201" i="23" a="1"/>
  <c r="AZ201" i="23" s="1"/>
  <c r="AZ202" i="23" a="1"/>
  <c r="AZ202" i="23" s="1"/>
  <c r="AZ198" i="23" a="1"/>
  <c r="AZ198" i="23" s="1"/>
  <c r="AZ204" i="23" a="1"/>
  <c r="AZ204" i="23" s="1"/>
  <c r="AZ196" i="23" a="1"/>
  <c r="AZ196" i="23" s="1"/>
  <c r="AZ199" i="23" a="1"/>
  <c r="AZ199" i="23" s="1"/>
  <c r="BB203" i="23" a="1"/>
  <c r="BB203" i="23" s="1"/>
  <c r="BB201" i="23" a="1"/>
  <c r="BB201" i="23" s="1"/>
  <c r="BB202" i="23" a="1"/>
  <c r="BB202" i="23" s="1"/>
  <c r="BB198" i="23" a="1"/>
  <c r="BB198" i="23" s="1"/>
  <c r="BB200" i="23" a="1"/>
  <c r="BB200" i="23" s="1"/>
  <c r="Q111" i="23"/>
  <c r="Q113" i="23" s="1"/>
  <c r="Q110" i="23"/>
  <c r="Q112" i="23" s="1"/>
  <c r="BB196" i="23" a="1"/>
  <c r="BB196" i="23" s="1"/>
  <c r="BB199" i="23" a="1"/>
  <c r="BB199" i="23" s="1"/>
  <c r="BB204" i="23" a="1"/>
  <c r="BB204" i="23" s="1"/>
  <c r="BB197" i="23" a="1"/>
  <c r="BB197" i="23" s="1"/>
  <c r="G387" i="22" l="1"/>
  <c r="AJ383" i="22"/>
  <c r="AI383" i="22"/>
  <c r="AH383" i="22"/>
  <c r="AG383" i="22"/>
  <c r="AF383" i="22"/>
  <c r="AE383" i="22"/>
  <c r="AD383" i="22"/>
  <c r="AC383" i="22"/>
  <c r="AB383" i="22"/>
  <c r="AA383" i="22"/>
  <c r="Z383" i="22"/>
  <c r="Y383" i="22"/>
  <c r="X383" i="22"/>
  <c r="W383" i="22"/>
  <c r="V383" i="22"/>
  <c r="U383" i="22"/>
  <c r="T383" i="22"/>
  <c r="S383" i="22"/>
  <c r="R383" i="22"/>
  <c r="Q383" i="22"/>
  <c r="P383" i="22"/>
  <c r="O383" i="22"/>
  <c r="N383" i="22"/>
  <c r="M383" i="22"/>
  <c r="L383" i="22"/>
  <c r="K383" i="22"/>
  <c r="J383" i="22"/>
  <c r="AJ382" i="22"/>
  <c r="AI382" i="22"/>
  <c r="AH382" i="22"/>
  <c r="AG382" i="22"/>
  <c r="AF382" i="22"/>
  <c r="AE382" i="22"/>
  <c r="AD382" i="22"/>
  <c r="AC382" i="22"/>
  <c r="AB382" i="22"/>
  <c r="AA382" i="22"/>
  <c r="Z382" i="22"/>
  <c r="Y382" i="22"/>
  <c r="X382" i="22"/>
  <c r="W382" i="22"/>
  <c r="V382" i="22"/>
  <c r="U382" i="22"/>
  <c r="T382" i="22"/>
  <c r="S382" i="22"/>
  <c r="R382" i="22"/>
  <c r="Q382" i="22"/>
  <c r="P382" i="22"/>
  <c r="O382" i="22"/>
  <c r="N382" i="22"/>
  <c r="M382" i="22"/>
  <c r="L382" i="22"/>
  <c r="K382" i="22"/>
  <c r="J382" i="22"/>
  <c r="AJ381" i="22"/>
  <c r="AI381" i="22"/>
  <c r="AH381" i="22"/>
  <c r="AG381" i="22"/>
  <c r="AF381" i="22"/>
  <c r="AE381" i="22"/>
  <c r="AD381" i="22"/>
  <c r="AC381" i="22"/>
  <c r="AB381" i="22"/>
  <c r="AA381" i="22"/>
  <c r="Z381" i="22"/>
  <c r="Y381" i="22"/>
  <c r="X381" i="22"/>
  <c r="W381" i="22"/>
  <c r="V381" i="22"/>
  <c r="U381" i="22"/>
  <c r="T381" i="22"/>
  <c r="S381" i="22"/>
  <c r="R381" i="22"/>
  <c r="Q381" i="22"/>
  <c r="P381" i="22"/>
  <c r="O381" i="22"/>
  <c r="N381" i="22"/>
  <c r="M381" i="22"/>
  <c r="L381" i="22"/>
  <c r="K381" i="22"/>
  <c r="J381" i="22"/>
  <c r="AJ380" i="22"/>
  <c r="AI380" i="22"/>
  <c r="AH380" i="22"/>
  <c r="AG380" i="22"/>
  <c r="AF380" i="22"/>
  <c r="AE380" i="22"/>
  <c r="AD380" i="22"/>
  <c r="AC380" i="22"/>
  <c r="AB380" i="22"/>
  <c r="AA380" i="22"/>
  <c r="Z380" i="22"/>
  <c r="Y380" i="22"/>
  <c r="X380" i="22"/>
  <c r="W380" i="22"/>
  <c r="V380" i="22"/>
  <c r="U380" i="22"/>
  <c r="T380" i="22"/>
  <c r="S380" i="22"/>
  <c r="R380" i="22"/>
  <c r="Q380" i="22"/>
  <c r="P380" i="22"/>
  <c r="O380" i="22"/>
  <c r="N380" i="22"/>
  <c r="M380" i="22"/>
  <c r="L380" i="22"/>
  <c r="K380" i="22"/>
  <c r="J380" i="22"/>
  <c r="AJ379" i="22"/>
  <c r="AI379" i="22"/>
  <c r="AH379" i="22"/>
  <c r="AG379" i="22"/>
  <c r="AF379" i="22"/>
  <c r="AE379" i="22"/>
  <c r="AD379" i="22"/>
  <c r="AC379" i="22"/>
  <c r="AB379" i="22"/>
  <c r="AA379" i="22"/>
  <c r="Z379" i="22"/>
  <c r="Y379" i="22"/>
  <c r="X379" i="22"/>
  <c r="W379" i="22"/>
  <c r="V379" i="22"/>
  <c r="U379" i="22"/>
  <c r="T379" i="22"/>
  <c r="S379" i="22"/>
  <c r="R379" i="22"/>
  <c r="Q379" i="22"/>
  <c r="P379" i="22"/>
  <c r="O379" i="22"/>
  <c r="N379" i="22"/>
  <c r="M379" i="22"/>
  <c r="L379" i="22"/>
  <c r="K379" i="22"/>
  <c r="J379" i="22"/>
  <c r="AJ378" i="22"/>
  <c r="AI378" i="22"/>
  <c r="AH378" i="22"/>
  <c r="AG378" i="22"/>
  <c r="AF378" i="22"/>
  <c r="AE378" i="22"/>
  <c r="AD378" i="22"/>
  <c r="AC378" i="22"/>
  <c r="AB378" i="22"/>
  <c r="AA378" i="22"/>
  <c r="Z378" i="22"/>
  <c r="Y378" i="22"/>
  <c r="X378" i="22"/>
  <c r="W378" i="22"/>
  <c r="V378" i="22"/>
  <c r="U378" i="22"/>
  <c r="T378" i="22"/>
  <c r="S378" i="22"/>
  <c r="R378" i="22"/>
  <c r="Q378" i="22"/>
  <c r="P378" i="22"/>
  <c r="O378" i="22"/>
  <c r="N378" i="22"/>
  <c r="M378" i="22"/>
  <c r="L378" i="22"/>
  <c r="K378" i="22"/>
  <c r="J378" i="22"/>
  <c r="AJ377" i="22"/>
  <c r="AI377" i="22"/>
  <c r="AH377" i="22"/>
  <c r="AG377" i="22"/>
  <c r="AF377" i="22"/>
  <c r="AE377" i="22"/>
  <c r="AD377" i="22"/>
  <c r="AC377" i="22"/>
  <c r="AB377" i="22"/>
  <c r="AA377" i="22"/>
  <c r="Z377" i="22"/>
  <c r="Y377" i="22"/>
  <c r="X377" i="22"/>
  <c r="W377" i="22"/>
  <c r="V377" i="22"/>
  <c r="U377" i="22"/>
  <c r="T377" i="22"/>
  <c r="S377" i="22"/>
  <c r="R377" i="22"/>
  <c r="Q377" i="22"/>
  <c r="P377" i="22"/>
  <c r="O377" i="22"/>
  <c r="N377" i="22"/>
  <c r="M377" i="22"/>
  <c r="L377" i="22"/>
  <c r="K377" i="22"/>
  <c r="J377" i="22"/>
  <c r="AJ376" i="22"/>
  <c r="AI376" i="22"/>
  <c r="AH376" i="22"/>
  <c r="AG376" i="22"/>
  <c r="AF376" i="22"/>
  <c r="AE376" i="22"/>
  <c r="AD376" i="22"/>
  <c r="AC376" i="22"/>
  <c r="AB376" i="22"/>
  <c r="AA376" i="22"/>
  <c r="Z376" i="22"/>
  <c r="Y376" i="22"/>
  <c r="X376" i="22"/>
  <c r="W376" i="22"/>
  <c r="V376" i="22"/>
  <c r="U376" i="22"/>
  <c r="T376" i="22"/>
  <c r="S376" i="22"/>
  <c r="R376" i="22"/>
  <c r="Q376" i="22"/>
  <c r="P376" i="22"/>
  <c r="O376" i="22"/>
  <c r="N376" i="22"/>
  <c r="M376" i="22"/>
  <c r="L376" i="22"/>
  <c r="K376" i="22"/>
  <c r="J376" i="22"/>
  <c r="AJ375" i="22"/>
  <c r="AI375" i="22"/>
  <c r="AH375" i="22"/>
  <c r="AG375" i="22"/>
  <c r="AF375" i="22"/>
  <c r="AE375" i="22"/>
  <c r="AD375" i="22"/>
  <c r="AC375" i="22"/>
  <c r="AB375" i="22"/>
  <c r="AA375" i="22"/>
  <c r="Z375" i="22"/>
  <c r="Y375" i="22"/>
  <c r="X375" i="22"/>
  <c r="W375" i="22"/>
  <c r="V375" i="22"/>
  <c r="U375" i="22"/>
  <c r="T375" i="22"/>
  <c r="S375" i="22"/>
  <c r="R375" i="22"/>
  <c r="Q375" i="22"/>
  <c r="P375" i="22"/>
  <c r="O375" i="22"/>
  <c r="N375" i="22"/>
  <c r="M375" i="22"/>
  <c r="L375" i="22"/>
  <c r="K375" i="22"/>
  <c r="J375" i="22"/>
  <c r="AJ374" i="22"/>
  <c r="AI374" i="22"/>
  <c r="AH374" i="22"/>
  <c r="AG374" i="22"/>
  <c r="AF374" i="22"/>
  <c r="AE374" i="22"/>
  <c r="AD374" i="22"/>
  <c r="AC374" i="22"/>
  <c r="AB374" i="22"/>
  <c r="AA374" i="22"/>
  <c r="Z374" i="22"/>
  <c r="Y374" i="22"/>
  <c r="X374" i="22"/>
  <c r="W374" i="22"/>
  <c r="V374" i="22"/>
  <c r="U374" i="22"/>
  <c r="T374" i="22"/>
  <c r="S374" i="22"/>
  <c r="R374" i="22"/>
  <c r="Q374" i="22"/>
  <c r="P374" i="22"/>
  <c r="O374" i="22"/>
  <c r="N374" i="22"/>
  <c r="M374" i="22"/>
  <c r="L374" i="22"/>
  <c r="K374" i="22"/>
  <c r="J374" i="22"/>
  <c r="AJ371" i="22"/>
  <c r="AI371" i="22"/>
  <c r="AH371" i="22"/>
  <c r="AG371" i="22"/>
  <c r="AF371" i="22"/>
  <c r="AE371" i="22"/>
  <c r="AD371" i="22"/>
  <c r="AC371" i="22"/>
  <c r="AB371" i="22"/>
  <c r="AA371" i="22"/>
  <c r="Z371" i="22"/>
  <c r="Y371" i="22"/>
  <c r="X371" i="22"/>
  <c r="W371" i="22"/>
  <c r="V371" i="22"/>
  <c r="U371" i="22"/>
  <c r="T371" i="22"/>
  <c r="S371" i="22"/>
  <c r="R371" i="22"/>
  <c r="Q371" i="22"/>
  <c r="P371" i="22"/>
  <c r="O371" i="22"/>
  <c r="N371" i="22"/>
  <c r="M371" i="22"/>
  <c r="L371" i="22"/>
  <c r="K371" i="22"/>
  <c r="J371" i="22"/>
  <c r="AJ370" i="22"/>
  <c r="AI370" i="22"/>
  <c r="AH370" i="22"/>
  <c r="AG370" i="22"/>
  <c r="AF370" i="22"/>
  <c r="AE370" i="22"/>
  <c r="AD370" i="22"/>
  <c r="AC370" i="22"/>
  <c r="AB370" i="22"/>
  <c r="AA370" i="22"/>
  <c r="Z370" i="22"/>
  <c r="Y370" i="22"/>
  <c r="X370" i="22"/>
  <c r="W370" i="22"/>
  <c r="V370" i="22"/>
  <c r="U370" i="22"/>
  <c r="T370" i="22"/>
  <c r="S370" i="22"/>
  <c r="R370" i="22"/>
  <c r="Q370" i="22"/>
  <c r="P370" i="22"/>
  <c r="O370" i="22"/>
  <c r="N370" i="22"/>
  <c r="M370" i="22"/>
  <c r="L370" i="22"/>
  <c r="K370" i="22"/>
  <c r="J370" i="22"/>
  <c r="AJ369" i="22"/>
  <c r="AI369" i="22"/>
  <c r="AH369" i="22"/>
  <c r="AG369" i="22"/>
  <c r="AF369" i="22"/>
  <c r="AE369" i="22"/>
  <c r="AD369" i="22"/>
  <c r="AC369" i="22"/>
  <c r="AB369" i="22"/>
  <c r="AA369" i="22"/>
  <c r="Z369" i="22"/>
  <c r="Y369" i="22"/>
  <c r="X369" i="22"/>
  <c r="W369" i="22"/>
  <c r="V369" i="22"/>
  <c r="U369" i="22"/>
  <c r="T369" i="22"/>
  <c r="S369" i="22"/>
  <c r="R369" i="22"/>
  <c r="Q369" i="22"/>
  <c r="P369" i="22"/>
  <c r="O369" i="22"/>
  <c r="N369" i="22"/>
  <c r="M369" i="22"/>
  <c r="L369" i="22"/>
  <c r="K369" i="22"/>
  <c r="J369" i="22"/>
  <c r="AJ368" i="22"/>
  <c r="AI368" i="22"/>
  <c r="AH368" i="22"/>
  <c r="AG368" i="22"/>
  <c r="AF368" i="22"/>
  <c r="AE368" i="22"/>
  <c r="AD368" i="22"/>
  <c r="AC368" i="22"/>
  <c r="AB368" i="22"/>
  <c r="AA368" i="22"/>
  <c r="Z368" i="22"/>
  <c r="Y368" i="22"/>
  <c r="X368" i="22"/>
  <c r="W368" i="22"/>
  <c r="V368" i="22"/>
  <c r="U368" i="22"/>
  <c r="T368" i="22"/>
  <c r="S368" i="22"/>
  <c r="R368" i="22"/>
  <c r="Q368" i="22"/>
  <c r="P368" i="22"/>
  <c r="O368" i="22"/>
  <c r="N368" i="22"/>
  <c r="M368" i="22"/>
  <c r="L368" i="22"/>
  <c r="K368" i="22"/>
  <c r="J368" i="22"/>
  <c r="AJ367" i="22"/>
  <c r="AI367" i="22"/>
  <c r="AH367" i="22"/>
  <c r="AG367" i="22"/>
  <c r="AF367" i="22"/>
  <c r="AE367" i="22"/>
  <c r="AD367" i="22"/>
  <c r="AC367" i="22"/>
  <c r="AB367" i="22"/>
  <c r="AA367" i="22"/>
  <c r="Z367" i="22"/>
  <c r="Y367" i="22"/>
  <c r="X367" i="22"/>
  <c r="W367" i="22"/>
  <c r="V367" i="22"/>
  <c r="U367" i="22"/>
  <c r="T367" i="22"/>
  <c r="S367" i="22"/>
  <c r="R367" i="22"/>
  <c r="Q367" i="22"/>
  <c r="P367" i="22"/>
  <c r="O367" i="22"/>
  <c r="N367" i="22"/>
  <c r="M367" i="22"/>
  <c r="L367" i="22"/>
  <c r="K367" i="22"/>
  <c r="J367" i="22"/>
  <c r="AJ366" i="22"/>
  <c r="AI366" i="22"/>
  <c r="AH366" i="22"/>
  <c r="AG366" i="22"/>
  <c r="AF366" i="22"/>
  <c r="AE366" i="22"/>
  <c r="AD366" i="22"/>
  <c r="AC366" i="22"/>
  <c r="AB366" i="22"/>
  <c r="AA366" i="22"/>
  <c r="Z366" i="22"/>
  <c r="Y366" i="22"/>
  <c r="X366" i="22"/>
  <c r="W366" i="22"/>
  <c r="V366" i="22"/>
  <c r="U366" i="22"/>
  <c r="T366" i="22"/>
  <c r="S366" i="22"/>
  <c r="R366" i="22"/>
  <c r="Q366" i="22"/>
  <c r="P366" i="22"/>
  <c r="O366" i="22"/>
  <c r="N366" i="22"/>
  <c r="M366" i="22"/>
  <c r="L366" i="22"/>
  <c r="K366" i="22"/>
  <c r="J366" i="22"/>
  <c r="AJ365" i="22"/>
  <c r="AI365" i="22"/>
  <c r="AH365" i="22"/>
  <c r="AG365" i="22"/>
  <c r="AF365" i="22"/>
  <c r="AE365" i="22"/>
  <c r="AD365" i="22"/>
  <c r="AC365" i="22"/>
  <c r="AB365" i="22"/>
  <c r="AA365" i="22"/>
  <c r="Z365" i="22"/>
  <c r="Y365" i="22"/>
  <c r="X365" i="22"/>
  <c r="W365" i="22"/>
  <c r="V365" i="22"/>
  <c r="U365" i="22"/>
  <c r="T365" i="22"/>
  <c r="S365" i="22"/>
  <c r="R365" i="22"/>
  <c r="Q365" i="22"/>
  <c r="P365" i="22"/>
  <c r="O365" i="22"/>
  <c r="N365" i="22"/>
  <c r="M365" i="22"/>
  <c r="L365" i="22"/>
  <c r="K365" i="22"/>
  <c r="J365" i="22"/>
  <c r="AP364" i="22"/>
  <c r="AP363" i="22"/>
  <c r="AP362" i="22"/>
  <c r="AP361" i="22"/>
  <c r="AP360" i="22"/>
  <c r="AP359" i="22"/>
  <c r="AP358" i="22"/>
  <c r="AP357" i="22"/>
  <c r="AP356" i="22"/>
  <c r="AP355" i="22"/>
  <c r="AP352" i="22"/>
  <c r="AP351" i="22"/>
  <c r="AP350" i="22"/>
  <c r="AP349" i="22"/>
  <c r="AP348" i="22"/>
  <c r="AP347" i="22"/>
  <c r="AP346" i="22"/>
  <c r="AP345" i="22"/>
  <c r="AP344" i="22"/>
  <c r="AP343" i="22"/>
  <c r="AP342" i="22"/>
  <c r="AP341" i="22"/>
  <c r="AP340" i="22"/>
  <c r="AP339" i="22"/>
  <c r="AP338" i="22"/>
  <c r="AP337" i="22"/>
  <c r="AP336" i="22"/>
  <c r="AP333" i="22"/>
  <c r="AP332" i="22"/>
  <c r="AP331" i="22"/>
  <c r="AP330" i="22"/>
  <c r="AP329" i="22"/>
  <c r="AP328" i="22"/>
  <c r="AP327" i="22"/>
  <c r="AH316" i="22"/>
  <c r="AH315" i="22"/>
  <c r="AH314" i="22"/>
  <c r="AH313" i="22"/>
  <c r="AH312" i="22"/>
  <c r="AH311" i="22"/>
  <c r="AH310" i="22"/>
  <c r="AI309" i="22"/>
  <c r="AH309" i="22"/>
  <c r="AG309" i="22"/>
  <c r="AH308" i="22"/>
  <c r="AH307" i="22"/>
  <c r="AH306" i="22"/>
  <c r="AH305" i="22"/>
  <c r="AH304" i="22"/>
  <c r="AH303" i="22"/>
  <c r="AI302" i="22"/>
  <c r="AH302" i="22"/>
  <c r="AG302" i="22"/>
  <c r="AH301" i="22"/>
  <c r="AG301" i="22"/>
  <c r="AH300" i="22"/>
  <c r="AH299" i="22"/>
  <c r="AG299" i="22"/>
  <c r="AS298" i="22"/>
  <c r="AS299" i="22" s="1"/>
  <c r="AS300" i="22" s="1"/>
  <c r="AS301" i="22" s="1"/>
  <c r="AS302" i="22" s="1"/>
  <c r="AS303" i="22" s="1"/>
  <c r="AJ266" i="22"/>
  <c r="AI266" i="22"/>
  <c r="AH266" i="22"/>
  <c r="AG266" i="22"/>
  <c r="AF266" i="22"/>
  <c r="AE266" i="22"/>
  <c r="AD266" i="22"/>
  <c r="AC266" i="22"/>
  <c r="AB266" i="22"/>
  <c r="AA266" i="22"/>
  <c r="Z266" i="22"/>
  <c r="Y266" i="22"/>
  <c r="X266" i="22"/>
  <c r="W266" i="22"/>
  <c r="V266" i="22"/>
  <c r="U266" i="22"/>
  <c r="T266" i="22"/>
  <c r="S266" i="22"/>
  <c r="R266" i="22"/>
  <c r="Q266" i="22"/>
  <c r="P266" i="22"/>
  <c r="O266" i="22"/>
  <c r="N266" i="22"/>
  <c r="M266" i="22"/>
  <c r="L266" i="22"/>
  <c r="K266" i="22"/>
  <c r="J266" i="22"/>
  <c r="AJ238" i="22"/>
  <c r="AI238" i="22"/>
  <c r="AH238" i="22"/>
  <c r="AG238" i="22"/>
  <c r="AF238" i="22"/>
  <c r="AE238" i="22"/>
  <c r="AD238" i="22"/>
  <c r="AC238" i="22"/>
  <c r="AB238" i="22"/>
  <c r="AA238" i="22"/>
  <c r="Z238" i="22"/>
  <c r="Y238" i="22"/>
  <c r="X238" i="22"/>
  <c r="W238" i="22"/>
  <c r="V238" i="22"/>
  <c r="U238" i="22"/>
  <c r="T238" i="22"/>
  <c r="S238" i="22"/>
  <c r="R238" i="22"/>
  <c r="Q238" i="22"/>
  <c r="P238" i="22"/>
  <c r="O238" i="22"/>
  <c r="N238" i="22"/>
  <c r="M238" i="22"/>
  <c r="L238" i="22"/>
  <c r="K238" i="22"/>
  <c r="J238" i="22"/>
  <c r="AJ233" i="22"/>
  <c r="AI233" i="22"/>
  <c r="AH233" i="22"/>
  <c r="AG233" i="22"/>
  <c r="AF233" i="22"/>
  <c r="AE233" i="22"/>
  <c r="AD233" i="22"/>
  <c r="AC233" i="22"/>
  <c r="AB233" i="22"/>
  <c r="AA233" i="22"/>
  <c r="Z233" i="22"/>
  <c r="Y233" i="22"/>
  <c r="X233" i="22"/>
  <c r="W233" i="22"/>
  <c r="V233" i="22"/>
  <c r="U233" i="22"/>
  <c r="T233" i="22"/>
  <c r="S233" i="22"/>
  <c r="R233" i="22"/>
  <c r="Q233" i="22"/>
  <c r="P233" i="22"/>
  <c r="O233" i="22"/>
  <c r="N233" i="22"/>
  <c r="M233" i="22"/>
  <c r="L233" i="22"/>
  <c r="K233" i="22"/>
  <c r="J233" i="22"/>
  <c r="AI225" i="22"/>
  <c r="AH225" i="22"/>
  <c r="AG225" i="22"/>
  <c r="AF225" i="22"/>
  <c r="AE225" i="22"/>
  <c r="AD225" i="22"/>
  <c r="W216" i="22"/>
  <c r="V216" i="22"/>
  <c r="Q216" i="22"/>
  <c r="P216" i="22"/>
  <c r="O216" i="22"/>
  <c r="N216" i="22"/>
  <c r="M216" i="22"/>
  <c r="L216" i="22"/>
  <c r="K216" i="22"/>
  <c r="J216" i="22"/>
  <c r="AJ215" i="22"/>
  <c r="AI215" i="22"/>
  <c r="AH215" i="22"/>
  <c r="AG215" i="22"/>
  <c r="AF215" i="22"/>
  <c r="AE215" i="22"/>
  <c r="AD215" i="22"/>
  <c r="AC215" i="22"/>
  <c r="AB215" i="22"/>
  <c r="AA215" i="22"/>
  <c r="Z215" i="22"/>
  <c r="Y215" i="22"/>
  <c r="X215" i="22"/>
  <c r="W215" i="22"/>
  <c r="V215" i="22"/>
  <c r="U215" i="22"/>
  <c r="T215" i="22"/>
  <c r="S215" i="22"/>
  <c r="R215" i="22"/>
  <c r="Q215" i="22"/>
  <c r="P215" i="22"/>
  <c r="O215" i="22"/>
  <c r="N215" i="22"/>
  <c r="M215" i="22"/>
  <c r="L215" i="22"/>
  <c r="K215" i="22"/>
  <c r="J215" i="22"/>
  <c r="G196" i="22"/>
  <c r="I187" i="22"/>
  <c r="J187" i="22" s="1"/>
  <c r="K187" i="22" s="1"/>
  <c r="L187" i="22" s="1"/>
  <c r="M187" i="22" s="1"/>
  <c r="N187" i="22" s="1"/>
  <c r="O187" i="22" s="1"/>
  <c r="P187" i="22" s="1"/>
  <c r="Q187" i="22" s="1"/>
  <c r="R225" i="22"/>
  <c r="I136" i="22"/>
  <c r="I135" i="22"/>
  <c r="I134" i="22"/>
  <c r="I133" i="22"/>
  <c r="I132" i="22"/>
  <c r="I131" i="22"/>
  <c r="I130" i="22"/>
  <c r="I129" i="22"/>
  <c r="I128" i="22"/>
  <c r="I127" i="22"/>
  <c r="I124" i="22"/>
  <c r="I123" i="22"/>
  <c r="I122" i="22"/>
  <c r="I121" i="22"/>
  <c r="I120" i="22"/>
  <c r="I119" i="22"/>
  <c r="I118" i="22"/>
  <c r="J113" i="22"/>
  <c r="J136" i="22" s="1"/>
  <c r="J112" i="22"/>
  <c r="J135" i="22" s="1"/>
  <c r="J111" i="22"/>
  <c r="J134" i="22" s="1"/>
  <c r="J110" i="22"/>
  <c r="J133" i="22" s="1"/>
  <c r="J109" i="22"/>
  <c r="J132" i="22" s="1"/>
  <c r="J108" i="22"/>
  <c r="J131" i="22" s="1"/>
  <c r="J107" i="22"/>
  <c r="J130" i="22" s="1"/>
  <c r="J106" i="22"/>
  <c r="J129" i="22" s="1"/>
  <c r="J105" i="22"/>
  <c r="J128" i="22" s="1"/>
  <c r="J104" i="22"/>
  <c r="J127" i="22" s="1"/>
  <c r="J101" i="22"/>
  <c r="J124" i="22" s="1"/>
  <c r="J100" i="22"/>
  <c r="J123" i="22" s="1"/>
  <c r="J99" i="22"/>
  <c r="J122" i="22" s="1"/>
  <c r="J98" i="22"/>
  <c r="J121" i="22" s="1"/>
  <c r="J97" i="22"/>
  <c r="J120" i="22" s="1"/>
  <c r="J96" i="22"/>
  <c r="J119" i="22" s="1"/>
  <c r="J95" i="22"/>
  <c r="J118" i="22" s="1"/>
  <c r="G77" i="22"/>
  <c r="G39" i="22"/>
  <c r="A174" i="21"/>
  <c r="A173" i="21"/>
  <c r="A172" i="21"/>
  <c r="A171" i="21"/>
  <c r="A170" i="21"/>
  <c r="A169" i="21"/>
  <c r="A168" i="21"/>
  <c r="A167" i="21"/>
  <c r="A166" i="21"/>
  <c r="A165" i="21"/>
  <c r="A162" i="21"/>
  <c r="A161" i="21"/>
  <c r="A160" i="21"/>
  <c r="A159" i="21"/>
  <c r="A158" i="21"/>
  <c r="A157" i="21"/>
  <c r="A156" i="21"/>
  <c r="B137" i="21"/>
  <c r="B136" i="21"/>
  <c r="B135" i="21"/>
  <c r="B134" i="21"/>
  <c r="B133" i="21"/>
  <c r="A120" i="21"/>
  <c r="A119" i="21"/>
  <c r="A118" i="21"/>
  <c r="A117" i="21"/>
  <c r="A116" i="21"/>
  <c r="A115" i="21"/>
  <c r="A114" i="21"/>
  <c r="A113" i="21"/>
  <c r="A112" i="21"/>
  <c r="A111" i="21"/>
  <c r="A108" i="21"/>
  <c r="A107" i="21"/>
  <c r="A106" i="21"/>
  <c r="A105" i="21"/>
  <c r="A104" i="21"/>
  <c r="A103" i="21"/>
  <c r="A102" i="21"/>
  <c r="A69" i="21"/>
  <c r="A68" i="21"/>
  <c r="A67" i="21"/>
  <c r="A66" i="21"/>
  <c r="A65" i="21"/>
  <c r="A64" i="21"/>
  <c r="A63" i="21"/>
  <c r="A62" i="21"/>
  <c r="A61" i="21"/>
  <c r="A60" i="21"/>
  <c r="A59" i="21"/>
  <c r="A58" i="21"/>
  <c r="A57" i="21"/>
  <c r="A56" i="21"/>
  <c r="A55" i="21"/>
  <c r="A54" i="21"/>
  <c r="A53" i="21"/>
  <c r="A52" i="21"/>
  <c r="A50" i="21"/>
  <c r="A48" i="21"/>
  <c r="A47" i="21"/>
  <c r="A46" i="21"/>
  <c r="A45" i="21"/>
  <c r="A44" i="21"/>
  <c r="A43" i="21"/>
  <c r="A42" i="21"/>
  <c r="A41" i="21"/>
  <c r="A40" i="21"/>
  <c r="A39" i="21"/>
  <c r="A38" i="21"/>
  <c r="B27" i="21"/>
  <c r="AS304" i="22" l="1"/>
  <c r="AS317" i="22"/>
  <c r="W225" i="22"/>
  <c r="AJ225" i="22"/>
  <c r="S225" i="22"/>
  <c r="AP369" i="22"/>
  <c r="AP383" i="22"/>
  <c r="AP370" i="22"/>
  <c r="AP381" i="22"/>
  <c r="AP368" i="22"/>
  <c r="AP379" i="22"/>
  <c r="AP378" i="22"/>
  <c r="AP374" i="22"/>
  <c r="AP366" i="22"/>
  <c r="AP380" i="22"/>
  <c r="AP376" i="22"/>
  <c r="AP377" i="22"/>
  <c r="AP371" i="22"/>
  <c r="AP382" i="22"/>
  <c r="AP367" i="22"/>
  <c r="O225" i="22"/>
  <c r="AP365" i="22"/>
  <c r="N225" i="22"/>
  <c r="AP375" i="22"/>
  <c r="Q225" i="22"/>
  <c r="V225" i="22"/>
  <c r="P225" i="22"/>
  <c r="Z225" i="22"/>
  <c r="AA225" i="22"/>
  <c r="AB225" i="22"/>
  <c r="K225" i="22"/>
  <c r="X225" i="22"/>
  <c r="Y225" i="22"/>
  <c r="AC225" i="22"/>
  <c r="J225" i="22"/>
  <c r="L225" i="22"/>
  <c r="M225" i="22"/>
  <c r="T225" i="22"/>
  <c r="U225" i="22"/>
  <c r="G91" i="20"/>
  <c r="G117" i="20"/>
  <c r="AS305" i="22" l="1"/>
  <c r="AS306" i="22" l="1"/>
  <c r="B135" i="18"/>
  <c r="B136" i="18"/>
  <c r="B137" i="18"/>
  <c r="B138" i="18"/>
  <c r="B135" i="16"/>
  <c r="B136" i="16"/>
  <c r="B137" i="16"/>
  <c r="B138" i="16"/>
  <c r="B134" i="18"/>
  <c r="B134" i="16"/>
  <c r="AS307" i="22" l="1"/>
  <c r="B80" i="18"/>
  <c r="B81" i="18"/>
  <c r="B82" i="18"/>
  <c r="B83" i="18"/>
  <c r="B84" i="18"/>
  <c r="B85" i="18"/>
  <c r="B86" i="18"/>
  <c r="B89" i="18"/>
  <c r="B90" i="18"/>
  <c r="B91" i="18"/>
  <c r="B92" i="18"/>
  <c r="B93" i="18"/>
  <c r="B94" i="18"/>
  <c r="B95" i="18"/>
  <c r="B96" i="18"/>
  <c r="B97" i="18"/>
  <c r="B98" i="18"/>
  <c r="G59" i="20"/>
  <c r="K17" i="20"/>
  <c r="K13" i="20"/>
  <c r="K15" i="20"/>
  <c r="G21" i="20"/>
  <c r="AS308" i="22" l="1"/>
  <c r="B88" i="18"/>
  <c r="AS309" i="22" l="1"/>
  <c r="G27" i="6"/>
  <c r="AS310" i="22" l="1"/>
  <c r="A40" i="18"/>
  <c r="A40" i="16"/>
  <c r="AS314" i="22" l="1"/>
  <c r="AS311" i="22"/>
  <c r="G13" i="6"/>
  <c r="AS315" i="22" l="1"/>
  <c r="AS312" i="22"/>
  <c r="A59" i="18"/>
  <c r="A59" i="16"/>
  <c r="AS316" i="22" l="1"/>
  <c r="AS313" i="22"/>
  <c r="B35" i="4"/>
  <c r="B46" i="1"/>
  <c r="B27" i="16" l="1"/>
  <c r="B27" i="18"/>
  <c r="A175" i="18" l="1"/>
  <c r="A174" i="18"/>
  <c r="A173" i="18"/>
  <c r="A172" i="18"/>
  <c r="A171" i="18"/>
  <c r="A170" i="18"/>
  <c r="A169" i="18"/>
  <c r="A168" i="18"/>
  <c r="A167" i="18"/>
  <c r="A166" i="18"/>
  <c r="A163" i="18"/>
  <c r="A162" i="18"/>
  <c r="A161" i="18"/>
  <c r="A160" i="18"/>
  <c r="A159" i="18"/>
  <c r="A158" i="18"/>
  <c r="A157" i="18"/>
  <c r="A121" i="18"/>
  <c r="A120" i="18"/>
  <c r="A119" i="18"/>
  <c r="A118" i="18"/>
  <c r="A117" i="18"/>
  <c r="A116" i="18"/>
  <c r="A115" i="18"/>
  <c r="A114" i="18"/>
  <c r="A113" i="18"/>
  <c r="A112" i="18"/>
  <c r="A109" i="18"/>
  <c r="A108" i="18"/>
  <c r="A107" i="18"/>
  <c r="A106" i="18"/>
  <c r="A105" i="18"/>
  <c r="A104" i="18"/>
  <c r="A103" i="18"/>
  <c r="A70" i="18"/>
  <c r="A69" i="18"/>
  <c r="A68" i="18"/>
  <c r="A67" i="18"/>
  <c r="A66" i="18"/>
  <c r="A65" i="18"/>
  <c r="A64" i="18"/>
  <c r="A63" i="18"/>
  <c r="A62" i="18"/>
  <c r="A61" i="18"/>
  <c r="A60" i="18"/>
  <c r="A58" i="18"/>
  <c r="A57" i="18"/>
  <c r="A56" i="18"/>
  <c r="A55" i="18"/>
  <c r="A54" i="18"/>
  <c r="A53" i="18"/>
  <c r="A51" i="18"/>
  <c r="A49" i="18"/>
  <c r="A48" i="18"/>
  <c r="A47" i="18"/>
  <c r="A46" i="18"/>
  <c r="A45" i="18"/>
  <c r="A44" i="18"/>
  <c r="A43" i="18"/>
  <c r="A42" i="18"/>
  <c r="A41" i="18"/>
  <c r="A39" i="18"/>
  <c r="K73" i="9" l="1"/>
  <c r="T73" i="9" s="1"/>
  <c r="K72" i="9"/>
  <c r="T72" i="9" s="1"/>
  <c r="T77" i="9"/>
  <c r="T76" i="9"/>
  <c r="T75" i="9"/>
  <c r="T74" i="9"/>
  <c r="T71" i="9"/>
  <c r="T70" i="9"/>
  <c r="T69" i="9"/>
  <c r="T68" i="9"/>
  <c r="S58" i="9"/>
  <c r="T61" i="9" s="1"/>
  <c r="S48" i="9"/>
  <c r="T54" i="9" s="1"/>
  <c r="K41" i="9"/>
  <c r="S119" i="9"/>
  <c r="T124" i="9" s="1"/>
  <c r="S99" i="9"/>
  <c r="T108" i="9" s="1"/>
  <c r="T98" i="9"/>
  <c r="T97" i="9"/>
  <c r="T96" i="9"/>
  <c r="T95" i="9"/>
  <c r="T94" i="9"/>
  <c r="T93" i="9"/>
  <c r="T92" i="9"/>
  <c r="T91" i="9"/>
  <c r="T90" i="9"/>
  <c r="T89" i="9"/>
  <c r="T132" i="9"/>
  <c r="T131" i="9"/>
  <c r="T130" i="9"/>
  <c r="T129" i="9"/>
  <c r="T118" i="9"/>
  <c r="T117" i="9"/>
  <c r="T116" i="9"/>
  <c r="T115" i="9"/>
  <c r="T112" i="9"/>
  <c r="T111" i="9"/>
  <c r="T110" i="9"/>
  <c r="T109" i="9"/>
  <c r="T88" i="9"/>
  <c r="T87" i="9"/>
  <c r="T86" i="9"/>
  <c r="T85" i="9"/>
  <c r="T82" i="9"/>
  <c r="T81" i="9"/>
  <c r="T80" i="9"/>
  <c r="T79" i="9"/>
  <c r="T134" i="9"/>
  <c r="T133" i="9"/>
  <c r="T114" i="9"/>
  <c r="T113" i="9"/>
  <c r="T84" i="9"/>
  <c r="T83" i="9"/>
  <c r="T58" i="9" l="1"/>
  <c r="T62" i="9"/>
  <c r="T63" i="9"/>
  <c r="T66" i="9"/>
  <c r="T64" i="9"/>
  <c r="V85" i="9" s="1"/>
  <c r="T65" i="9"/>
  <c r="T59" i="9"/>
  <c r="T67" i="9"/>
  <c r="T60" i="9"/>
  <c r="T56" i="9"/>
  <c r="T55" i="9"/>
  <c r="T57" i="9"/>
  <c r="T48" i="9"/>
  <c r="T49" i="9"/>
  <c r="T51" i="9"/>
  <c r="V82" i="9" s="1"/>
  <c r="T53" i="9"/>
  <c r="V84" i="9" s="1"/>
  <c r="Y84" i="9" s="1"/>
  <c r="T50" i="9"/>
  <c r="T52" i="9"/>
  <c r="V83" i="9" s="1"/>
  <c r="Y83" i="9" s="1"/>
  <c r="T122" i="9"/>
  <c r="T121" i="9"/>
  <c r="T123" i="9"/>
  <c r="T100" i="9"/>
  <c r="T101" i="9"/>
  <c r="T102" i="9"/>
  <c r="T103" i="9"/>
  <c r="T99" i="9"/>
  <c r="T104" i="9"/>
  <c r="U84" i="9" s="1"/>
  <c r="X84" i="9" s="1"/>
  <c r="T105" i="9"/>
  <c r="T106" i="9"/>
  <c r="T107" i="9"/>
  <c r="V81" i="9" l="1"/>
  <c r="V79" i="9"/>
  <c r="V87" i="9"/>
  <c r="V86" i="9"/>
  <c r="V80" i="9"/>
  <c r="V88" i="9"/>
  <c r="S84" i="9"/>
  <c r="U83" i="9"/>
  <c r="X83" i="9" s="1"/>
  <c r="U82" i="9"/>
  <c r="U81" i="9"/>
  <c r="S83" i="9" l="1"/>
  <c r="E4" i="17" l="1"/>
  <c r="C30" i="10"/>
  <c r="Y70" i="1" l="1"/>
  <c r="R70" i="1"/>
  <c r="Y69" i="1"/>
  <c r="Y65" i="1"/>
  <c r="E63" i="1" l="1"/>
  <c r="H63" i="1"/>
  <c r="I63" i="1"/>
  <c r="D63" i="1"/>
  <c r="E53" i="1"/>
  <c r="H53" i="1"/>
  <c r="I53" i="1"/>
  <c r="I62" i="1"/>
  <c r="H62" i="1"/>
  <c r="E62" i="1"/>
  <c r="D62" i="1"/>
  <c r="I68" i="1"/>
  <c r="H68" i="1"/>
  <c r="E68" i="1"/>
  <c r="D68" i="1"/>
  <c r="D53" i="1"/>
  <c r="Y53" i="1"/>
  <c r="Y62" i="1"/>
  <c r="Y63" i="1"/>
  <c r="Y68" i="1"/>
  <c r="M90" i="6"/>
  <c r="M91" i="6"/>
  <c r="M92" i="6"/>
  <c r="M93" i="6"/>
  <c r="M94" i="6"/>
  <c r="M95" i="6"/>
  <c r="M98" i="6"/>
  <c r="M99" i="6"/>
  <c r="M100" i="6"/>
  <c r="M101" i="6"/>
  <c r="M102" i="6"/>
  <c r="M103" i="6"/>
  <c r="M104" i="6"/>
  <c r="M105" i="6"/>
  <c r="M106" i="6"/>
  <c r="M107" i="6"/>
  <c r="M89" i="6"/>
  <c r="I90" i="6"/>
  <c r="I91" i="6"/>
  <c r="I92" i="6"/>
  <c r="I93" i="6"/>
  <c r="I94" i="6"/>
  <c r="I95" i="6"/>
  <c r="I98" i="6"/>
  <c r="I99" i="6"/>
  <c r="I100" i="6"/>
  <c r="I101" i="6"/>
  <c r="I102" i="6"/>
  <c r="I103" i="6"/>
  <c r="I104" i="6"/>
  <c r="I105" i="6"/>
  <c r="I106" i="6"/>
  <c r="I107" i="6"/>
  <c r="I89" i="6"/>
  <c r="G110" i="6"/>
  <c r="W53" i="1" l="1"/>
  <c r="AA68" i="1"/>
  <c r="W68" i="1"/>
  <c r="W70" i="1" l="1"/>
  <c r="W65" i="1"/>
  <c r="W69" i="1"/>
  <c r="AA63" i="1"/>
  <c r="AA62" i="1"/>
  <c r="AA65" i="1"/>
  <c r="AA70" i="1"/>
  <c r="AA69" i="1"/>
  <c r="W62" i="1"/>
  <c r="W63" i="1"/>
  <c r="AA53" i="1"/>
  <c r="A41" i="16"/>
  <c r="A42" i="16"/>
  <c r="A43" i="16"/>
  <c r="A44" i="16"/>
  <c r="A45" i="16"/>
  <c r="A46" i="16"/>
  <c r="A47" i="16"/>
  <c r="A48" i="16"/>
  <c r="A49" i="16"/>
  <c r="A51" i="16"/>
  <c r="A53" i="16"/>
  <c r="A54" i="16"/>
  <c r="A55" i="16"/>
  <c r="A56" i="16"/>
  <c r="A57" i="16"/>
  <c r="A58" i="16"/>
  <c r="A60" i="16"/>
  <c r="A61" i="16"/>
  <c r="A62" i="16"/>
  <c r="A63" i="16"/>
  <c r="A64" i="16"/>
  <c r="A65" i="16"/>
  <c r="A66" i="16"/>
  <c r="A67" i="16"/>
  <c r="A68" i="16"/>
  <c r="A69" i="16"/>
  <c r="A70" i="16"/>
  <c r="A158" i="16" l="1"/>
  <c r="A159" i="16"/>
  <c r="A160" i="16"/>
  <c r="A161" i="16"/>
  <c r="A162" i="16"/>
  <c r="A163" i="16"/>
  <c r="A166" i="16"/>
  <c r="A167" i="16"/>
  <c r="A168" i="16"/>
  <c r="A169" i="16"/>
  <c r="A170" i="16"/>
  <c r="A171" i="16"/>
  <c r="A172" i="16"/>
  <c r="A173" i="16"/>
  <c r="A174" i="16"/>
  <c r="A175" i="16"/>
  <c r="A157" i="16"/>
  <c r="A104" i="16"/>
  <c r="A105" i="16"/>
  <c r="A106" i="16"/>
  <c r="A107" i="16"/>
  <c r="A108" i="16"/>
  <c r="A109" i="16"/>
  <c r="A112" i="16"/>
  <c r="A113" i="16"/>
  <c r="A114" i="16"/>
  <c r="A115" i="16"/>
  <c r="A116" i="16"/>
  <c r="A117" i="16"/>
  <c r="A118" i="16"/>
  <c r="A119" i="16"/>
  <c r="A120" i="16"/>
  <c r="A121" i="16"/>
  <c r="A103" i="16"/>
  <c r="A39" i="16"/>
  <c r="A18" i="4" l="1"/>
  <c r="A19" i="4"/>
  <c r="A20" i="4"/>
  <c r="A21" i="4"/>
  <c r="A24" i="4"/>
  <c r="A25" i="4"/>
  <c r="A26" i="4"/>
  <c r="A27" i="4"/>
  <c r="A28" i="4"/>
  <c r="A29" i="4"/>
  <c r="A30" i="4"/>
  <c r="A31" i="4"/>
  <c r="A32" i="4"/>
  <c r="A33" i="4"/>
  <c r="A16" i="4"/>
  <c r="A17" i="4"/>
  <c r="A15" i="4"/>
  <c r="J70" i="6" a="1"/>
  <c r="J70" i="6" s="1"/>
  <c r="J53" i="6" a="1"/>
  <c r="R38" i="6" s="1"/>
  <c r="A53" i="1"/>
  <c r="A54" i="1"/>
  <c r="A55" i="1"/>
  <c r="A56" i="1"/>
  <c r="A57" i="1"/>
  <c r="A58" i="1"/>
  <c r="A61" i="1"/>
  <c r="A62" i="1"/>
  <c r="A63" i="1"/>
  <c r="A64" i="1"/>
  <c r="A65" i="1"/>
  <c r="A66" i="1"/>
  <c r="A67" i="1"/>
  <c r="A68" i="1"/>
  <c r="A69" i="1"/>
  <c r="A70" i="1"/>
  <c r="A52" i="1"/>
  <c r="A10" i="1"/>
  <c r="A11" i="1"/>
  <c r="A12" i="1"/>
  <c r="A13" i="1"/>
  <c r="A14" i="1"/>
  <c r="A15" i="1"/>
  <c r="A18" i="1"/>
  <c r="A19" i="1"/>
  <c r="A20" i="1"/>
  <c r="A21" i="1"/>
  <c r="A22" i="1"/>
  <c r="A23" i="1"/>
  <c r="A24" i="1"/>
  <c r="A25" i="1"/>
  <c r="A26" i="1"/>
  <c r="A27" i="1"/>
  <c r="A9" i="1"/>
  <c r="Q38" i="6" l="1"/>
  <c r="AB38" i="6"/>
  <c r="J53" i="6"/>
  <c r="J38" i="6" s="1"/>
  <c r="K38" i="6"/>
  <c r="L38" i="6"/>
  <c r="M38" i="6"/>
  <c r="N38" i="6"/>
  <c r="S38" i="6"/>
  <c r="U38" i="6"/>
  <c r="X38" i="6"/>
  <c r="Z38" i="6"/>
  <c r="O38" i="6"/>
  <c r="W38" i="6"/>
  <c r="P38" i="6"/>
  <c r="T38" i="6"/>
  <c r="Y38" i="6"/>
  <c r="V38" i="6"/>
  <c r="AA38" i="6"/>
  <c r="L53" i="1"/>
  <c r="L54" i="1"/>
  <c r="L55" i="1"/>
  <c r="L56" i="1"/>
  <c r="L57" i="1"/>
  <c r="L58" i="1"/>
  <c r="L61" i="1"/>
  <c r="L62" i="1"/>
  <c r="L63" i="1"/>
  <c r="L64" i="1"/>
  <c r="L65" i="1"/>
  <c r="L66" i="1"/>
  <c r="L67" i="1"/>
  <c r="L68" i="1"/>
  <c r="L69" i="1"/>
  <c r="L70" i="1"/>
  <c r="L52" i="1"/>
  <c r="F69" i="1" l="1"/>
  <c r="F65" i="1"/>
  <c r="K127" i="9" l="1"/>
  <c r="K126" i="9"/>
  <c r="C137" i="9"/>
  <c r="C136" i="9"/>
  <c r="C127" i="9"/>
  <c r="C126" i="9"/>
  <c r="C117" i="9"/>
  <c r="C116" i="9"/>
  <c r="C107" i="9"/>
  <c r="C106" i="9"/>
  <c r="C97" i="9"/>
  <c r="C96" i="9"/>
  <c r="C87" i="9"/>
  <c r="C86" i="9"/>
  <c r="C75" i="9"/>
  <c r="C74" i="9"/>
  <c r="C65" i="9"/>
  <c r="C64" i="9"/>
  <c r="C55" i="9"/>
  <c r="C54" i="9"/>
  <c r="K137" i="9" l="1"/>
  <c r="T137" i="9" s="1"/>
  <c r="T127" i="9"/>
  <c r="U87" i="9" s="1"/>
  <c r="K136" i="9"/>
  <c r="T136" i="9" s="1"/>
  <c r="T126" i="9"/>
  <c r="U86" i="9" l="1"/>
  <c r="K128" i="9"/>
  <c r="K125" i="9"/>
  <c r="C128" i="9"/>
  <c r="C125" i="9"/>
  <c r="C118" i="9"/>
  <c r="C115" i="9"/>
  <c r="C108" i="9"/>
  <c r="C105" i="9"/>
  <c r="C98" i="9"/>
  <c r="C95" i="9"/>
  <c r="C134" i="9"/>
  <c r="C133" i="9"/>
  <c r="C88" i="9"/>
  <c r="C85" i="9"/>
  <c r="C73" i="9"/>
  <c r="C72" i="9"/>
  <c r="C67" i="9"/>
  <c r="C66" i="9"/>
  <c r="C57" i="9"/>
  <c r="C56" i="9"/>
  <c r="K138" i="9" l="1"/>
  <c r="T138" i="9" s="1"/>
  <c r="T128" i="9"/>
  <c r="K135" i="9"/>
  <c r="T135" i="9" s="1"/>
  <c r="T125" i="9"/>
  <c r="U88" i="9" l="1"/>
  <c r="U85" i="9"/>
  <c r="C2" i="10" l="1"/>
  <c r="C3" i="10"/>
  <c r="C4" i="10"/>
  <c r="C7" i="10"/>
  <c r="C8" i="10"/>
  <c r="C9" i="10"/>
  <c r="C10" i="10"/>
  <c r="C11" i="10"/>
  <c r="C12" i="10"/>
  <c r="C13" i="10"/>
  <c r="C14" i="10"/>
  <c r="C15" i="10"/>
  <c r="C16" i="10"/>
  <c r="C17" i="10"/>
  <c r="C18" i="10"/>
  <c r="C19" i="10"/>
  <c r="C20" i="10"/>
  <c r="C21" i="10"/>
  <c r="C22" i="10"/>
  <c r="C23" i="10"/>
  <c r="C24" i="10"/>
  <c r="C25" i="10"/>
  <c r="C26" i="10"/>
  <c r="C27" i="10"/>
  <c r="H29" i="10"/>
  <c r="C31" i="10"/>
  <c r="C32" i="10"/>
  <c r="C33" i="10"/>
  <c r="C34" i="10"/>
  <c r="C35" i="10"/>
  <c r="C36" i="10"/>
  <c r="C39" i="10"/>
  <c r="C40" i="10"/>
  <c r="I40" i="10"/>
  <c r="C41" i="10"/>
  <c r="C42" i="10"/>
  <c r="C43" i="10"/>
  <c r="I43" i="10"/>
  <c r="C44" i="10"/>
  <c r="I44" i="10"/>
  <c r="C45" i="10"/>
  <c r="K45" i="10"/>
  <c r="C46" i="10"/>
  <c r="I46" i="10"/>
  <c r="C47" i="10"/>
  <c r="N47" i="10"/>
  <c r="C48" i="10"/>
  <c r="I48" i="10"/>
  <c r="C49" i="10"/>
  <c r="I49" i="10"/>
  <c r="C50" i="10"/>
  <c r="I50" i="10"/>
  <c r="C51" i="10"/>
  <c r="I51" i="10"/>
  <c r="C52" i="10"/>
  <c r="O52" i="10"/>
  <c r="P52" i="10"/>
  <c r="Q52" i="10"/>
  <c r="R52" i="10"/>
  <c r="C53" i="10"/>
  <c r="C54" i="10"/>
  <c r="C55" i="10"/>
  <c r="C56" i="10"/>
  <c r="C57" i="10"/>
  <c r="C58" i="10"/>
  <c r="C59" i="10"/>
  <c r="C60" i="10"/>
  <c r="C61" i="10"/>
  <c r="C62" i="10"/>
  <c r="C63" i="10"/>
  <c r="C38" i="10" l="1"/>
  <c r="C5" i="10"/>
  <c r="C37" i="10"/>
  <c r="C28" i="10"/>
  <c r="C144" i="9"/>
  <c r="C143" i="9"/>
  <c r="C142" i="9"/>
  <c r="C141" i="9"/>
  <c r="C140" i="9"/>
  <c r="C139" i="9"/>
  <c r="C138" i="9"/>
  <c r="C135" i="9"/>
  <c r="C132" i="9"/>
  <c r="C131" i="9"/>
  <c r="C130" i="9"/>
  <c r="C129" i="9"/>
  <c r="C124" i="9"/>
  <c r="C123" i="9"/>
  <c r="C122" i="9"/>
  <c r="C121" i="9"/>
  <c r="K120" i="9"/>
  <c r="T120" i="9" s="1"/>
  <c r="U80" i="9" s="1"/>
  <c r="W84" i="9" s="1"/>
  <c r="C120" i="9"/>
  <c r="K119" i="9"/>
  <c r="T119" i="9" s="1"/>
  <c r="U79" i="9" s="1"/>
  <c r="W83" i="9" s="1"/>
  <c r="C119" i="9"/>
  <c r="C114" i="9"/>
  <c r="C113" i="9"/>
  <c r="C112" i="9"/>
  <c r="C111" i="9"/>
  <c r="C110" i="9"/>
  <c r="C109" i="9"/>
  <c r="C104" i="9"/>
  <c r="C103" i="9"/>
  <c r="C102" i="9"/>
  <c r="C101" i="9"/>
  <c r="C100" i="9"/>
  <c r="C99" i="9"/>
  <c r="C94" i="9"/>
  <c r="C93" i="9"/>
  <c r="C92" i="9"/>
  <c r="C91" i="9"/>
  <c r="C90" i="9"/>
  <c r="C89" i="9"/>
  <c r="C84" i="9"/>
  <c r="C83" i="9"/>
  <c r="C82" i="9"/>
  <c r="C81" i="9"/>
  <c r="C80" i="9"/>
  <c r="C79" i="9"/>
  <c r="C78" i="9"/>
  <c r="C77" i="9"/>
  <c r="C76" i="9"/>
  <c r="C71" i="9"/>
  <c r="C70" i="9"/>
  <c r="C69" i="9"/>
  <c r="C68" i="9"/>
  <c r="C63" i="9"/>
  <c r="C62" i="9"/>
  <c r="C61" i="9"/>
  <c r="C60" i="9"/>
  <c r="C59" i="9"/>
  <c r="C58" i="9"/>
  <c r="C53" i="9"/>
  <c r="C52" i="9"/>
  <c r="C51" i="9"/>
  <c r="C50" i="9"/>
  <c r="C49" i="9"/>
  <c r="C48" i="9"/>
  <c r="C47" i="9"/>
  <c r="C46" i="9"/>
  <c r="C45" i="9"/>
  <c r="C44" i="9"/>
  <c r="C43" i="9"/>
  <c r="C42" i="9"/>
  <c r="C41" i="9"/>
  <c r="C40" i="9"/>
  <c r="C39" i="9"/>
  <c r="C36" i="9"/>
  <c r="C35" i="9"/>
  <c r="C34" i="9"/>
  <c r="C33" i="9"/>
  <c r="C32" i="9"/>
  <c r="C31" i="9"/>
  <c r="C30" i="9"/>
  <c r="H29" i="9"/>
  <c r="C27" i="9"/>
  <c r="C26" i="9"/>
  <c r="C25" i="9"/>
  <c r="C24" i="9"/>
  <c r="C23" i="9"/>
  <c r="C22" i="9"/>
  <c r="C21" i="9"/>
  <c r="C20" i="9"/>
  <c r="C19" i="9"/>
  <c r="C18" i="9"/>
  <c r="C17" i="9"/>
  <c r="C16" i="9"/>
  <c r="C15" i="9"/>
  <c r="C14" i="9"/>
  <c r="C13" i="9"/>
  <c r="C12" i="9"/>
  <c r="C11" i="9"/>
  <c r="C10" i="9"/>
  <c r="C9" i="9"/>
  <c r="C8" i="9"/>
  <c r="C7" i="9"/>
  <c r="C4" i="9"/>
  <c r="C3" i="9"/>
  <c r="C2" i="9"/>
  <c r="C37" i="9" l="1"/>
  <c r="C38" i="9"/>
  <c r="C28" i="9"/>
  <c r="C5" i="9"/>
  <c r="J45" i="10" l="1"/>
  <c r="I45" i="10" s="1"/>
  <c r="J52" i="10"/>
  <c r="M52" i="10" l="1"/>
  <c r="L52" i="10"/>
  <c r="M47" i="10"/>
  <c r="K52" i="10"/>
  <c r="N52" i="10"/>
  <c r="I52" i="10" l="1"/>
  <c r="I42" i="10"/>
  <c r="L47" i="10"/>
  <c r="I47" i="10" s="1"/>
  <c r="I35" i="10" l="1"/>
  <c r="G75" i="6" l="1"/>
  <c r="G61" i="6"/>
  <c r="J53" i="1" l="1"/>
  <c r="J68" i="1"/>
  <c r="J62" i="1" l="1"/>
  <c r="J63" i="1"/>
  <c r="F67" i="1"/>
  <c r="F52" i="1"/>
  <c r="F53" i="1" s="1"/>
  <c r="F61" i="1"/>
  <c r="F55" i="1"/>
  <c r="F70" i="1"/>
  <c r="F64" i="1"/>
  <c r="F58" i="1"/>
  <c r="F54" i="1"/>
  <c r="F56" i="1"/>
  <c r="F57" i="1"/>
  <c r="F66" i="1"/>
  <c r="F68" i="1" l="1"/>
  <c r="O60" i="1"/>
  <c r="N60" i="1"/>
  <c r="M60" i="1"/>
  <c r="Q60" i="1"/>
  <c r="P60" i="1"/>
  <c r="F63" i="1"/>
  <c r="F62" i="1"/>
  <c r="AC668" i="24" l="1"/>
  <c r="AD668" i="24" s="1"/>
  <c r="AE668" i="24" s="1"/>
  <c r="AB941" i="24"/>
  <c r="AC941" i="24" s="1"/>
  <c r="AD941" i="24" s="1"/>
  <c r="AE941" i="24" s="1"/>
  <c r="AB974" i="24"/>
  <c r="AC974" i="24" s="1"/>
  <c r="AD974" i="24" s="1"/>
  <c r="AE974" i="24" s="1"/>
  <c r="AB945" i="24"/>
  <c r="AC945" i="24" s="1"/>
  <c r="AD945" i="24" s="1"/>
  <c r="AE945" i="24" s="1"/>
  <c r="AC1316" i="24"/>
  <c r="AD1316" i="24" s="1"/>
  <c r="AE1316" i="24" s="1"/>
  <c r="AC1873" i="24"/>
  <c r="AD1873" i="24" s="1"/>
  <c r="AE1873" i="24" s="1"/>
  <c r="AB987" i="24"/>
  <c r="AC1309" i="24"/>
  <c r="AD1309" i="24" s="1"/>
  <c r="AE1309" i="24" s="1"/>
  <c r="AC2099" i="24"/>
  <c r="AD2099" i="24" s="1"/>
  <c r="AE2099" i="24" s="1"/>
  <c r="AC927" i="24"/>
  <c r="AD927" i="24" s="1"/>
  <c r="AE927" i="24" s="1"/>
  <c r="AB967" i="24"/>
  <c r="AB947" i="24"/>
  <c r="AC1446" i="24"/>
  <c r="AD1446" i="24" s="1"/>
  <c r="AE1446" i="24" s="1"/>
  <c r="AC1867" i="24"/>
  <c r="AD1867" i="24" s="1"/>
  <c r="AE1867" i="24" s="1"/>
  <c r="AC1305" i="24"/>
  <c r="AD1305" i="24" s="1"/>
  <c r="AE1305" i="24" s="1"/>
  <c r="AC819" i="24"/>
  <c r="AD819" i="24" s="1"/>
  <c r="AE819" i="24" s="1"/>
  <c r="AC1293" i="24"/>
  <c r="AD1293" i="24" s="1"/>
  <c r="AE1293" i="24" s="1"/>
  <c r="AC820" i="24"/>
  <c r="AD820" i="24" s="1"/>
  <c r="AE820" i="24" s="1"/>
  <c r="AB981" i="24"/>
  <c r="AC981" i="24" s="1"/>
  <c r="AD981" i="24" s="1"/>
  <c r="AE981" i="24" s="1"/>
  <c r="AB957" i="24"/>
  <c r="AC957" i="24" s="1"/>
  <c r="AD957" i="24" s="1"/>
  <c r="AE957" i="24" s="1"/>
  <c r="AC935" i="24"/>
  <c r="AD935" i="24" s="1"/>
  <c r="AE935" i="24" s="1"/>
  <c r="AC1314" i="24"/>
  <c r="AD1314" i="24" s="1"/>
  <c r="AE1314" i="24" s="1"/>
  <c r="AB989" i="24"/>
  <c r="AC989" i="24" s="1"/>
  <c r="AD989" i="24" s="1"/>
  <c r="AE989" i="24" s="1"/>
  <c r="AC929" i="24"/>
  <c r="AD929" i="24" s="1"/>
  <c r="AE929" i="24" s="1"/>
  <c r="AC817" i="24"/>
  <c r="AD817" i="24" s="1"/>
  <c r="AE817" i="24" s="1"/>
  <c r="AC2093" i="24"/>
  <c r="AD2093" i="24" s="1"/>
  <c r="AE2093" i="24" s="1"/>
  <c r="AC57" i="24"/>
  <c r="AD57" i="24" s="1"/>
  <c r="AE57" i="24" s="1"/>
  <c r="AC1871" i="24"/>
  <c r="AD1871" i="24" s="1"/>
  <c r="AE1871" i="24" s="1"/>
  <c r="AB983" i="24"/>
  <c r="AC1296" i="24"/>
  <c r="AD1296" i="24" s="1"/>
  <c r="AE1296" i="24" s="1"/>
  <c r="AC1722" i="24"/>
  <c r="AD1722" i="24" s="1"/>
  <c r="AE1722" i="24" s="1"/>
  <c r="AC1450" i="24"/>
  <c r="AD1450" i="24" s="1"/>
  <c r="AE1450" i="24" s="1"/>
  <c r="AB950" i="24"/>
  <c r="AC950" i="24" s="1"/>
  <c r="AD950" i="24" s="1"/>
  <c r="AE950" i="24" s="1"/>
  <c r="AB951" i="24"/>
  <c r="AC933" i="24"/>
  <c r="AD933" i="24" s="1"/>
  <c r="AE933" i="24" s="1"/>
  <c r="AC2092" i="24"/>
  <c r="AD2092" i="24" s="1"/>
  <c r="AE2092" i="24" s="1"/>
  <c r="AB986" i="24"/>
  <c r="AC986" i="24" s="1"/>
  <c r="AD986" i="24" s="1"/>
  <c r="AE986" i="24" s="1"/>
  <c r="AB969" i="24"/>
  <c r="AC969" i="24" s="1"/>
  <c r="AD969" i="24" s="1"/>
  <c r="AE969" i="24" s="1"/>
  <c r="AC1703" i="24"/>
  <c r="AD1703" i="24" s="1"/>
  <c r="AE1703" i="24" s="1"/>
  <c r="AC1691" i="24"/>
  <c r="AD1691" i="24" s="1"/>
  <c r="AE1691" i="24" s="1"/>
  <c r="AB963" i="24"/>
  <c r="AC867" i="24"/>
  <c r="AD867" i="24" s="1"/>
  <c r="AE867" i="24" s="1"/>
  <c r="AC1712" i="24"/>
  <c r="AD1712" i="24" s="1"/>
  <c r="AE1712" i="24" s="1"/>
  <c r="AC1736" i="24"/>
  <c r="AD1736" i="24" s="1"/>
  <c r="AE1736" i="24" s="1"/>
  <c r="AC1718" i="24"/>
  <c r="AD1718" i="24" s="1"/>
  <c r="AE1718" i="24" s="1"/>
  <c r="AC2097" i="24"/>
  <c r="AD2097" i="24" s="1"/>
  <c r="AE2097" i="24" s="1"/>
  <c r="AC2098" i="24"/>
  <c r="AD2098" i="24" s="1"/>
  <c r="AE2098" i="24" s="1"/>
  <c r="AB959" i="24"/>
  <c r="AC2106" i="24"/>
  <c r="AD2106" i="24" s="1"/>
  <c r="AE2106" i="24" s="1"/>
  <c r="AC931" i="24"/>
  <c r="AD931" i="24" s="1"/>
  <c r="AE931" i="24" s="1"/>
  <c r="AC1307" i="24"/>
  <c r="AD1307" i="24" s="1"/>
  <c r="AE1307" i="24" s="1"/>
  <c r="AB977" i="24"/>
  <c r="AC977" i="24" s="1"/>
  <c r="AD977" i="24" s="1"/>
  <c r="AE977" i="24" s="1"/>
  <c r="AB979" i="24"/>
  <c r="AC818" i="24"/>
  <c r="AD818" i="24" s="1"/>
  <c r="AE818" i="24" s="1"/>
  <c r="AC1451" i="24"/>
  <c r="AD1451" i="24" s="1"/>
  <c r="AE1451" i="24" s="1"/>
  <c r="AC2096" i="24"/>
  <c r="AD2096" i="24" s="1"/>
  <c r="AE2096" i="24" s="1"/>
  <c r="AB938" i="24"/>
  <c r="AC938" i="24" s="1"/>
  <c r="AD938" i="24" s="1"/>
  <c r="AE938" i="24" s="1"/>
  <c r="AC1734" i="24"/>
  <c r="AD1734" i="24" s="1"/>
  <c r="AE1734" i="24" s="1"/>
  <c r="AC1688" i="24"/>
  <c r="AD1688" i="24" s="1"/>
  <c r="AE1688" i="24" s="1"/>
  <c r="AB946" i="24"/>
  <c r="AC946" i="24" s="1"/>
  <c r="AD946" i="24" s="1"/>
  <c r="AE946" i="24" s="1"/>
  <c r="AC1713" i="24"/>
  <c r="AD1713" i="24" s="1"/>
  <c r="AE1713" i="24" s="1"/>
  <c r="AB966" i="24"/>
  <c r="AC966" i="24" s="1"/>
  <c r="AD966" i="24" s="1"/>
  <c r="AE966" i="24" s="1"/>
  <c r="AC1303" i="24"/>
  <c r="AC1710" i="24"/>
  <c r="AD1710" i="24" s="1"/>
  <c r="AE1710" i="24" s="1"/>
  <c r="AB978" i="24"/>
  <c r="AC978" i="24" s="1"/>
  <c r="AD978" i="24" s="1"/>
  <c r="AE978" i="24" s="1"/>
  <c r="AC1460" i="24"/>
  <c r="AD1460" i="24" s="1"/>
  <c r="AE1460" i="24" s="1"/>
  <c r="AB975" i="24"/>
  <c r="AC1447" i="24"/>
  <c r="AD1447" i="24" s="1"/>
  <c r="AE1447" i="24" s="1"/>
  <c r="AC1745" i="24"/>
  <c r="AD1745" i="24" s="1"/>
  <c r="AE1745" i="24" s="1"/>
  <c r="AB991" i="24"/>
  <c r="AB961" i="24"/>
  <c r="AC961" i="24" s="1"/>
  <c r="AD961" i="24" s="1"/>
  <c r="AE961" i="24" s="1"/>
  <c r="AC1692" i="24"/>
  <c r="AD1692" i="24" s="1"/>
  <c r="AE1692" i="24" s="1"/>
  <c r="AC1304" i="24"/>
  <c r="AD1304" i="24" s="1"/>
  <c r="AE1304" i="24" s="1"/>
  <c r="AB955" i="24"/>
  <c r="AC955" i="24" s="1"/>
  <c r="AD955" i="24" s="1"/>
  <c r="AE955" i="24" s="1"/>
  <c r="AC1735" i="24"/>
  <c r="AD1735" i="24" s="1"/>
  <c r="AE1735" i="24" s="1"/>
  <c r="AC1312" i="24"/>
  <c r="AD1312" i="24" s="1"/>
  <c r="AE1312" i="24" s="1"/>
  <c r="AB982" i="24"/>
  <c r="AC982" i="24" s="1"/>
  <c r="AD982" i="24" s="1"/>
  <c r="AE982" i="24" s="1"/>
  <c r="AC670" i="24"/>
  <c r="AD670" i="24" s="1"/>
  <c r="AE670" i="24" s="1"/>
  <c r="AB970" i="24"/>
  <c r="AC970" i="24" s="1"/>
  <c r="AD970" i="24" s="1"/>
  <c r="AE970" i="24" s="1"/>
  <c r="AC1874" i="24"/>
  <c r="AD1874" i="24" s="1"/>
  <c r="AE1874" i="24" s="1"/>
  <c r="AB937" i="24"/>
  <c r="AC937" i="24" s="1"/>
  <c r="AD937" i="24" s="1"/>
  <c r="AE937" i="24" s="1"/>
  <c r="AC1868" i="24"/>
  <c r="AD1868" i="24" s="1"/>
  <c r="AE1868" i="24" s="1"/>
  <c r="AC1732" i="24"/>
  <c r="AD1732" i="24" s="1"/>
  <c r="AE1732" i="24" s="1"/>
  <c r="AB763" i="24"/>
  <c r="AB765" i="24"/>
  <c r="AC862" i="24"/>
  <c r="AC762" i="24" s="1"/>
  <c r="AC1686" i="24"/>
  <c r="AD1686" i="24" s="1"/>
  <c r="AE1686" i="24" s="1"/>
  <c r="AC1727" i="24"/>
  <c r="AD1727" i="24" s="1"/>
  <c r="AE1727" i="24" s="1"/>
  <c r="AC669" i="24"/>
  <c r="AD669" i="24" s="1"/>
  <c r="AE669" i="24" s="1"/>
  <c r="AC868" i="24"/>
  <c r="AD868" i="24" s="1"/>
  <c r="AE868" i="24" s="1"/>
  <c r="AC930" i="24"/>
  <c r="AD930" i="24" s="1"/>
  <c r="AE930" i="24" s="1"/>
  <c r="AC1311" i="24"/>
  <c r="AD1311" i="24" s="1"/>
  <c r="AB939" i="24"/>
  <c r="AC863" i="24"/>
  <c r="AC763" i="24" s="1"/>
  <c r="AB953" i="24"/>
  <c r="AC953" i="24" s="1"/>
  <c r="AD953" i="24" s="1"/>
  <c r="AE953" i="24" s="1"/>
  <c r="AC1715" i="24"/>
  <c r="AD1715" i="24" s="1"/>
  <c r="AE1715" i="24" s="1"/>
  <c r="AC1448" i="24"/>
  <c r="AD1448" i="24" s="1"/>
  <c r="AE1448" i="24" s="1"/>
  <c r="AC1687" i="24"/>
  <c r="AD1687" i="24" s="1"/>
  <c r="AE1687" i="24" s="1"/>
  <c r="AC864" i="24"/>
  <c r="AC767" i="24" s="1"/>
  <c r="AC1724" i="24"/>
  <c r="AD1724" i="24" s="1"/>
  <c r="AE1724" i="24" s="1"/>
  <c r="AC1306" i="24"/>
  <c r="AD1306" i="24" s="1"/>
  <c r="AE1306" i="24" s="1"/>
  <c r="AB954" i="24"/>
  <c r="AC954" i="24" s="1"/>
  <c r="AD954" i="24" s="1"/>
  <c r="AE954" i="24" s="1"/>
  <c r="AB962" i="24"/>
  <c r="AC962" i="24" s="1"/>
  <c r="AD962" i="24" s="1"/>
  <c r="AE962" i="24" s="1"/>
  <c r="AC1700" i="24"/>
  <c r="AD1700" i="24" s="1"/>
  <c r="AE1700" i="24" s="1"/>
  <c r="AC1301" i="24"/>
  <c r="AD1301" i="24" s="1"/>
  <c r="AE1301" i="24" s="1"/>
  <c r="AB943" i="24"/>
  <c r="AC1690" i="24"/>
  <c r="AD1690" i="24" s="1"/>
  <c r="AE1690" i="24" s="1"/>
  <c r="AC512" i="24"/>
  <c r="AD512" i="24" s="1"/>
  <c r="AE512" i="24" s="1"/>
  <c r="AC1725" i="24"/>
  <c r="AD1725" i="24" s="1"/>
  <c r="AE1725" i="24" s="1"/>
  <c r="AC934" i="24"/>
  <c r="AD934" i="24" s="1"/>
  <c r="AE934" i="24" s="1"/>
  <c r="AB942" i="24"/>
  <c r="AC942" i="24" s="1"/>
  <c r="AD942" i="24" s="1"/>
  <c r="AE942" i="24" s="1"/>
  <c r="AB949" i="24"/>
  <c r="AC949" i="24" s="1"/>
  <c r="AD949" i="24" s="1"/>
  <c r="AE949" i="24" s="1"/>
  <c r="AC1315" i="24"/>
  <c r="AD1315" i="24" s="1"/>
  <c r="AE1315" i="24" s="1"/>
  <c r="AC59" i="24"/>
  <c r="AD59" i="24" s="1"/>
  <c r="AE59" i="24" s="1"/>
  <c r="AC1701" i="24"/>
  <c r="AD1701" i="24" s="1"/>
  <c r="AE1701" i="24" s="1"/>
  <c r="AC1711" i="24"/>
  <c r="AD1711" i="24" s="1"/>
  <c r="AE1711" i="24" s="1"/>
  <c r="AC1731" i="24"/>
  <c r="AD1731" i="24" s="1"/>
  <c r="AE1731" i="24" s="1"/>
  <c r="AB762" i="24"/>
  <c r="AB958" i="24"/>
  <c r="AC958" i="24" s="1"/>
  <c r="AD958" i="24" s="1"/>
  <c r="AE958" i="24" s="1"/>
  <c r="AC666" i="24"/>
  <c r="AD666" i="24" s="1"/>
  <c r="AE666" i="24" s="1"/>
  <c r="AC1730" i="24"/>
  <c r="AD1730" i="24" s="1"/>
  <c r="AE1730" i="24" s="1"/>
  <c r="AC1308" i="24"/>
  <c r="AD1308" i="24" s="1"/>
  <c r="AE1308" i="24" s="1"/>
  <c r="AB973" i="24"/>
  <c r="AC973" i="24" s="1"/>
  <c r="AD973" i="24" s="1"/>
  <c r="AE973" i="24" s="1"/>
  <c r="AC1881" i="24"/>
  <c r="AD1881" i="24" s="1"/>
  <c r="AE1881" i="24" s="1"/>
  <c r="AC821" i="24"/>
  <c r="AD821" i="24" s="1"/>
  <c r="AE821" i="24" s="1"/>
  <c r="AC665" i="24"/>
  <c r="AC667" i="24" s="1"/>
  <c r="AC60" i="24"/>
  <c r="AD60" i="24" s="1"/>
  <c r="AE60" i="24" s="1"/>
  <c r="AC1300" i="24"/>
  <c r="AD1300" i="24" s="1"/>
  <c r="AE1300" i="24" s="1"/>
  <c r="AC1295" i="24"/>
  <c r="AC1294" i="24" s="1"/>
  <c r="AB965" i="24"/>
  <c r="AC965" i="24" s="1"/>
  <c r="AD965" i="24" s="1"/>
  <c r="AE965" i="24" s="1"/>
  <c r="AC1707" i="24"/>
  <c r="AD1707" i="24" s="1"/>
  <c r="AE1707" i="24" s="1"/>
  <c r="AC1879" i="24"/>
  <c r="AD1879" i="24" s="1"/>
  <c r="AE1879" i="24" s="1"/>
  <c r="AC866" i="24"/>
  <c r="AD866" i="24" s="1"/>
  <c r="AE866" i="24" s="1"/>
  <c r="AB667" i="24"/>
  <c r="AB985" i="24"/>
  <c r="AC985" i="24" s="1"/>
  <c r="AD985" i="24" s="1"/>
  <c r="AE985" i="24" s="1"/>
  <c r="AC1717" i="24"/>
  <c r="AD1717" i="24" s="1"/>
  <c r="AE1717" i="24" s="1"/>
  <c r="AB766" i="24"/>
  <c r="AC1726" i="24"/>
  <c r="AD1726" i="24" s="1"/>
  <c r="AE1726" i="24" s="1"/>
  <c r="AC1733" i="24"/>
  <c r="AD1733" i="24" s="1"/>
  <c r="AE1733" i="24" s="1"/>
  <c r="AC1313" i="24"/>
  <c r="AD1313" i="24" s="1"/>
  <c r="AE1313" i="24" s="1"/>
  <c r="AC61" i="24"/>
  <c r="AD61" i="24" s="1"/>
  <c r="AE61" i="24" s="1"/>
  <c r="AC926" i="24"/>
  <c r="AD926" i="24" s="1"/>
  <c r="AE926" i="24" s="1"/>
  <c r="AB990" i="24"/>
  <c r="AC990" i="24" s="1"/>
  <c r="AD990" i="24" s="1"/>
  <c r="AE990" i="24" s="1"/>
  <c r="AB971" i="24"/>
  <c r="AC1716" i="24"/>
  <c r="AD1716" i="24" s="1"/>
  <c r="AE1716" i="24" s="1"/>
  <c r="AC62" i="24"/>
  <c r="AD62" i="24" s="1"/>
  <c r="AE62" i="24" s="1"/>
  <c r="AC1702" i="24"/>
  <c r="AD1702" i="24" s="1"/>
  <c r="AE1702" i="24" s="1"/>
  <c r="AC983" i="24" l="1"/>
  <c r="AB984" i="24"/>
  <c r="AC947" i="24"/>
  <c r="AB948" i="24"/>
  <c r="AC967" i="24"/>
  <c r="AB968" i="24"/>
  <c r="AC971" i="24"/>
  <c r="AB972" i="24"/>
  <c r="AC963" i="24"/>
  <c r="AB964" i="24"/>
  <c r="AC979" i="24"/>
  <c r="AB980" i="24"/>
  <c r="AC943" i="24"/>
  <c r="AB944" i="24"/>
  <c r="AC987" i="24"/>
  <c r="AB988" i="24"/>
  <c r="AC959" i="24"/>
  <c r="AB960" i="24"/>
  <c r="AC991" i="24"/>
  <c r="AB992" i="24"/>
  <c r="AC939" i="24"/>
  <c r="AB940" i="24"/>
  <c r="AC975" i="24"/>
  <c r="AB976" i="24"/>
  <c r="AC951" i="24"/>
  <c r="AB952" i="24"/>
  <c r="AC765" i="24"/>
  <c r="AD1295" i="24"/>
  <c r="AE1295" i="24" s="1"/>
  <c r="AE1294" i="24" s="1"/>
  <c r="AD1310" i="24"/>
  <c r="AE1311" i="24"/>
  <c r="AE1310" i="24" s="1"/>
  <c r="AC1310" i="24"/>
  <c r="AD864" i="24"/>
  <c r="AD767" i="24" s="1"/>
  <c r="AD1303" i="24"/>
  <c r="AC1302" i="24"/>
  <c r="AD665" i="24"/>
  <c r="AD862" i="24"/>
  <c r="AD863" i="24"/>
  <c r="AE863" i="24" s="1"/>
  <c r="AC764" i="24"/>
  <c r="AC766" i="24"/>
  <c r="AB767" i="24"/>
  <c r="AB764" i="24"/>
  <c r="AD939" i="24" l="1"/>
  <c r="AC940" i="24"/>
  <c r="AD959" i="24"/>
  <c r="AC960" i="24"/>
  <c r="AD943" i="24"/>
  <c r="AC944" i="24"/>
  <c r="AD764" i="24"/>
  <c r="AD951" i="24"/>
  <c r="AC952" i="24"/>
  <c r="AD963" i="24"/>
  <c r="AC964" i="24"/>
  <c r="AD947" i="24"/>
  <c r="AC948" i="24"/>
  <c r="AD975" i="24"/>
  <c r="AC976" i="24"/>
  <c r="AD991" i="24"/>
  <c r="AC992" i="24"/>
  <c r="AD987" i="24"/>
  <c r="AC988" i="24"/>
  <c r="AD979" i="24"/>
  <c r="AC980" i="24"/>
  <c r="AD971" i="24"/>
  <c r="AC972" i="24"/>
  <c r="AD967" i="24"/>
  <c r="AC968" i="24"/>
  <c r="AD983" i="24"/>
  <c r="AC984" i="24"/>
  <c r="AD1294" i="24"/>
  <c r="AD667" i="24"/>
  <c r="AE665" i="24"/>
  <c r="AE667" i="24" s="1"/>
  <c r="AD1302" i="24"/>
  <c r="AE1303" i="24"/>
  <c r="AE1302" i="24" s="1"/>
  <c r="AE765" i="24"/>
  <c r="AE763" i="24"/>
  <c r="AD762" i="24"/>
  <c r="AE862" i="24"/>
  <c r="AE762" i="24" s="1"/>
  <c r="AD766" i="24"/>
  <c r="AE864" i="24"/>
  <c r="AD763" i="24"/>
  <c r="AD765" i="24"/>
  <c r="AC632" i="24"/>
  <c r="W632" i="24"/>
  <c r="V632" i="24"/>
  <c r="AC923" i="24"/>
  <c r="AD923" i="24" s="1"/>
  <c r="AE923" i="24" s="1"/>
  <c r="AC924" i="24"/>
  <c r="AD924" i="24" s="1"/>
  <c r="AE924" i="24" s="1"/>
  <c r="AC922" i="24"/>
  <c r="AD922" i="24" s="1"/>
  <c r="AE922" i="24" s="1"/>
  <c r="W922" i="24"/>
  <c r="Y922" i="24" s="1"/>
  <c r="AA922" i="24" s="1"/>
  <c r="V922" i="24"/>
  <c r="X922" i="24" s="1"/>
  <c r="Z922" i="24" s="1"/>
  <c r="W923" i="24"/>
  <c r="Y923" i="24" s="1"/>
  <c r="AA923" i="24" s="1"/>
  <c r="V923" i="24"/>
  <c r="X923" i="24" s="1"/>
  <c r="Z923" i="24" s="1"/>
  <c r="V924" i="24"/>
  <c r="X924" i="24" s="1"/>
  <c r="Z924" i="24" s="1"/>
  <c r="W924" i="24"/>
  <c r="Y924" i="24" s="1"/>
  <c r="AA924" i="24" s="1"/>
  <c r="AC1673" i="24"/>
  <c r="AD1673" i="24" s="1"/>
  <c r="AE1673" i="24" s="1"/>
  <c r="AC1672" i="24"/>
  <c r="AD1672" i="24" s="1"/>
  <c r="AB1684" i="24"/>
  <c r="AC1671" i="24"/>
  <c r="AD1671" i="24" s="1"/>
  <c r="AE1671" i="24" s="1"/>
  <c r="AE983" i="24" l="1"/>
  <c r="AE984" i="24" s="1"/>
  <c r="AD984" i="24"/>
  <c r="AE971" i="24"/>
  <c r="AE972" i="24" s="1"/>
  <c r="AD972" i="24"/>
  <c r="AE987" i="24"/>
  <c r="AE988" i="24" s="1"/>
  <c r="AD988" i="24"/>
  <c r="AE991" i="24"/>
  <c r="AE992" i="24" s="1"/>
  <c r="AD992" i="24"/>
  <c r="AE947" i="24"/>
  <c r="AE948" i="24" s="1"/>
  <c r="AD948" i="24"/>
  <c r="AE951" i="24"/>
  <c r="AE952" i="24" s="1"/>
  <c r="AD952" i="24"/>
  <c r="AE967" i="24"/>
  <c r="AE968" i="24" s="1"/>
  <c r="AD968" i="24"/>
  <c r="AE979" i="24"/>
  <c r="AE980" i="24" s="1"/>
  <c r="AD980" i="24"/>
  <c r="AE943" i="24"/>
  <c r="AE944" i="24" s="1"/>
  <c r="AD944" i="24"/>
  <c r="AE959" i="24"/>
  <c r="AE960" i="24" s="1"/>
  <c r="AD960" i="24"/>
  <c r="AE975" i="24"/>
  <c r="AE976" i="24" s="1"/>
  <c r="AD976" i="24"/>
  <c r="AE963" i="24"/>
  <c r="AE964" i="24" s="1"/>
  <c r="AD964" i="24"/>
  <c r="AE939" i="24"/>
  <c r="AE940" i="24" s="1"/>
  <c r="AD940" i="24"/>
  <c r="AC1684" i="24"/>
  <c r="AE767" i="24"/>
  <c r="AE766" i="24"/>
  <c r="AE764" i="24"/>
  <c r="AE1672" i="24"/>
  <c r="AE1684" i="24" s="1"/>
  <c r="AD1684" i="24"/>
  <c r="V1671" i="24"/>
  <c r="X1671" i="24" s="1"/>
  <c r="Z1671" i="24" s="1"/>
  <c r="W1671" i="24"/>
  <c r="Y1671" i="24" s="1"/>
  <c r="AA1671" i="24" l="1"/>
  <c r="U1684" i="24"/>
  <c r="W1673" i="24"/>
  <c r="Y1673" i="24" s="1"/>
  <c r="AA1673" i="24" s="1"/>
  <c r="V1673" i="24"/>
  <c r="X1673" i="24" s="1"/>
  <c r="Z1673" i="24" s="1"/>
  <c r="V1672" i="24"/>
  <c r="V1684" i="24" s="1"/>
  <c r="W1672" i="24"/>
  <c r="W1684" i="24" s="1"/>
  <c r="Y1672" i="24" l="1"/>
  <c r="AA1672" i="24" s="1"/>
  <c r="AA1684" i="24" s="1"/>
  <c r="Y1684" i="24"/>
  <c r="X1672" i="24"/>
  <c r="Z1672" i="24" l="1"/>
  <c r="Z1684" i="24" s="1"/>
  <c r="X1684" i="24"/>
  <c r="AC1685" i="24"/>
  <c r="AD1685" i="24" s="1"/>
  <c r="AE1685" i="24" s="1"/>
  <c r="W1685" i="24"/>
  <c r="V1685" i="24"/>
  <c r="X1685" i="24" l="1"/>
  <c r="Z1685" i="24" s="1"/>
  <c r="Y1685" i="24"/>
  <c r="AA1685"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Young (21512438)</author>
    <author>Michael</author>
    <author>Michael Young</author>
    <author>Southern Dirt</author>
  </authors>
  <commentList>
    <comment ref="F16" authorId="0" shapeId="0" xr:uid="{1C59639A-AD7E-4422-9DAE-11A2BF47059B}">
      <text>
        <r>
          <rPr>
            <b/>
            <sz val="9"/>
            <color indexed="81"/>
            <rFont val="Tahoma"/>
            <family val="2"/>
          </rPr>
          <t>Michael Young (21512438):</t>
        </r>
        <r>
          <rPr>
            <sz val="9"/>
            <color indexed="81"/>
            <rFont val="Tahoma"/>
            <family val="2"/>
          </rPr>
          <t xml:space="preserve">
Do you want to include price variation? This only effects the result if risk aversion is included.</t>
        </r>
      </text>
    </comment>
    <comment ref="L23" authorId="0" shapeId="0" xr:uid="{C36F7F2D-B32F-4C7A-BFD3-4B470BB87B34}">
      <text>
        <r>
          <rPr>
            <b/>
            <sz val="9"/>
            <color indexed="81"/>
            <rFont val="Tahoma"/>
            <family val="2"/>
          </rPr>
          <t>Michael Young (21512438):</t>
        </r>
        <r>
          <rPr>
            <sz val="9"/>
            <color indexed="81"/>
            <rFont val="Tahoma"/>
            <family val="2"/>
          </rPr>
          <t xml:space="preserve">
Ross used numbers between 0.000003 and 0.000005. But we adjusted for the increase in profit now.</t>
        </r>
      </text>
    </comment>
    <comment ref="O23" authorId="0" shapeId="0" xr:uid="{1BFE7E24-6556-4E7D-9DDC-3940443FA0C9}">
      <text>
        <r>
          <rPr>
            <b/>
            <sz val="9"/>
            <color indexed="81"/>
            <rFont val="Tahoma"/>
            <family val="2"/>
          </rPr>
          <t>Michael Young (21512438):</t>
        </r>
        <r>
          <rPr>
            <sz val="9"/>
            <color indexed="81"/>
            <rFont val="Tahoma"/>
            <family val="2"/>
          </rPr>
          <t xml:space="preserve">
Ross used numbers between 0.1 and 3. </t>
        </r>
      </text>
    </comment>
    <comment ref="Q23" authorId="1" shapeId="0" xr:uid="{14988F35-496C-40C9-9258-F48A8248E5BC}">
      <text>
        <r>
          <rPr>
            <b/>
            <sz val="9"/>
            <color indexed="81"/>
            <rFont val="Tahoma"/>
            <family val="2"/>
          </rPr>
          <t>Michael:</t>
        </r>
        <r>
          <rPr>
            <sz val="9"/>
            <color indexed="81"/>
            <rFont val="Tahoma"/>
            <family val="2"/>
          </rPr>
          <t xml:space="preserve">
shape parameter controlling how risk aversion changes with the size of profit</t>
        </r>
      </text>
    </comment>
    <comment ref="T23" authorId="1" shapeId="0" xr:uid="{2A93C2E5-56BF-4AFB-8981-CDD5589FE282}">
      <text>
        <r>
          <rPr>
            <b/>
            <sz val="9"/>
            <color indexed="81"/>
            <rFont val="Tahoma"/>
            <family val="2"/>
          </rPr>
          <t>Michael:</t>
        </r>
        <r>
          <rPr>
            <sz val="9"/>
            <color indexed="81"/>
            <rFont val="Tahoma"/>
            <family val="2"/>
          </rPr>
          <t xml:space="preserve">
which fraction of the tail you look at (e.g. 0.95 → worst 5%)</t>
        </r>
      </text>
    </comment>
    <comment ref="Q24" authorId="1" shapeId="0" xr:uid="{DC70D0E1-E439-47D8-9C5C-436B6D408010}">
      <text>
        <r>
          <rPr>
            <b/>
            <sz val="9"/>
            <color indexed="81"/>
            <rFont val="Tahoma"/>
            <family val="2"/>
          </rPr>
          <t>Michael:</t>
        </r>
        <r>
          <rPr>
            <sz val="9"/>
            <color indexed="81"/>
            <rFont val="Tahoma"/>
            <family val="2"/>
          </rPr>
          <t xml:space="preserve">
scale parameter determining the overall level of risk aversion</t>
        </r>
      </text>
    </comment>
    <comment ref="T24" authorId="0" shapeId="0" xr:uid="{9891DF95-3873-4620-9738-8DD78186D32C}">
      <text>
        <r>
          <rPr>
            <b/>
            <sz val="9"/>
            <color indexed="81"/>
            <rFont val="Tahoma"/>
            <family val="2"/>
          </rPr>
          <t>Michael Young (21512438):</t>
        </r>
        <r>
          <rPr>
            <sz val="9"/>
            <color indexed="81"/>
            <rFont val="Tahoma"/>
            <family val="2"/>
          </rPr>
          <t xml:space="preserve">
how heavily you penalise that tail risk in the objective</t>
        </r>
      </text>
    </comment>
    <comment ref="P26" authorId="0" shapeId="0" xr:uid="{FE9A0E1E-4F75-4B5B-8836-E35F2B4D655E}">
      <text>
        <r>
          <rPr>
            <b/>
            <sz val="9"/>
            <color indexed="81"/>
            <rFont val="Tahoma"/>
            <family val="2"/>
          </rPr>
          <t>Michael Young (21512438):</t>
        </r>
        <r>
          <rPr>
            <sz val="9"/>
            <color indexed="81"/>
            <rFont val="Tahoma"/>
            <family val="2"/>
          </rPr>
          <t xml:space="preserve">
For CRRA and expo-power, terminal wealth/profit cant be less than 0 in any state. Initial wealth is used to shift so that x&gt;0. This can aslo be used to represent starting wealth - ie value of assest eg land. The higher this value the less impact risk aversion has.</t>
        </r>
      </text>
    </comment>
    <comment ref="G43" authorId="2" shapeId="0" xr:uid="{15AFD9FF-4324-4943-A9E2-AAF19013863C}">
      <text>
        <r>
          <rPr>
            <b/>
            <sz val="9"/>
            <color indexed="81"/>
            <rFont val="Tahoma"/>
            <family val="2"/>
          </rPr>
          <t>Michael Young:</t>
        </r>
        <r>
          <rPr>
            <sz val="9"/>
            <color indexed="81"/>
            <rFont val="Tahoma"/>
            <family val="2"/>
          </rPr>
          <t xml:space="preserve">
used to calc application cost and cashflow period</t>
        </r>
      </text>
    </comment>
    <comment ref="H43" authorId="1" shapeId="0" xr:uid="{BBFF0D91-31E0-4D1C-A157-F579825897FB}">
      <text>
        <r>
          <rPr>
            <b/>
            <sz val="9"/>
            <color indexed="81"/>
            <rFont val="Tahoma"/>
            <family val="2"/>
          </rPr>
          <t>Michael:</t>
        </r>
        <r>
          <rPr>
            <sz val="9"/>
            <color indexed="81"/>
            <rFont val="Tahoma"/>
            <family val="2"/>
          </rPr>
          <t xml:space="preserve">
this includes delivery at $22/t (same as the rotation fert price)</t>
        </r>
      </text>
    </comment>
    <comment ref="I43" authorId="2" shapeId="0" xr:uid="{69CED908-95AC-461E-ACCD-5C0772F2866E}">
      <text>
        <r>
          <rPr>
            <b/>
            <sz val="9"/>
            <color indexed="81"/>
            <rFont val="Tahoma"/>
            <family val="2"/>
          </rPr>
          <t>Michael Young:</t>
        </r>
        <r>
          <rPr>
            <sz val="9"/>
            <color indexed="81"/>
            <rFont val="Tahoma"/>
            <family val="2"/>
          </rPr>
          <t xml:space="preserve">
fert density t/m3</t>
        </r>
      </text>
    </comment>
    <comment ref="J43" authorId="3" shapeId="0" xr:uid="{56E3A720-7D39-48C7-BFA3-35741354EC03}">
      <text>
        <r>
          <rPr>
            <sz val="9"/>
            <color indexed="81"/>
            <rFont val="Tahoma"/>
            <family val="2"/>
          </rPr>
          <t>Proportion of nitrogen making up the fertiliser. Required for emission calculations.</t>
        </r>
      </text>
    </comment>
    <comment ref="K43" authorId="0" shapeId="0" xr:uid="{78DB029F-CCF0-4BAC-B875-7B9A3751B986}">
      <text>
        <r>
          <rPr>
            <b/>
            <sz val="9"/>
            <color indexed="81"/>
            <rFont val="Tahoma"/>
            <family val="2"/>
          </rPr>
          <t>Michael Young (21512438):</t>
        </r>
        <r>
          <rPr>
            <sz val="9"/>
            <color indexed="81"/>
            <rFont val="Tahoma"/>
            <family val="2"/>
          </rPr>
          <t xml:space="preserve">
day of yr</t>
        </r>
      </text>
    </comment>
    <comment ref="G63" authorId="0" shapeId="0" xr:uid="{9F1774EE-3CE1-4E6B-9666-6C2E4068A149}">
      <text>
        <r>
          <rPr>
            <b/>
            <sz val="9"/>
            <color indexed="81"/>
            <rFont val="Tahoma"/>
            <family val="2"/>
          </rPr>
          <t>Michael Young (21512438):</t>
        </r>
        <r>
          <rPr>
            <sz val="9"/>
            <color indexed="81"/>
            <rFont val="Tahoma"/>
            <family val="2"/>
          </rPr>
          <t xml:space="preserve">
Use forumla to create landuse axis. This ensures that all array indexes are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Young</author>
    <author>Southern Dirt</author>
    <author>Michael Young (21512438)</author>
    <author>Michael</author>
    <author>John</author>
  </authors>
  <commentList>
    <comment ref="A8" authorId="0" shapeId="0" xr:uid="{DF18B245-D438-41C3-B575-081F7DB8D608}">
      <text>
        <r>
          <rPr>
            <b/>
            <sz val="9"/>
            <color indexed="81"/>
            <rFont val="Tahoma"/>
            <family val="2"/>
          </rPr>
          <t>Michael Young:</t>
        </r>
        <r>
          <rPr>
            <sz val="9"/>
            <color indexed="81"/>
            <rFont val="Tahoma"/>
            <family val="2"/>
          </rPr>
          <t xml:space="preserve">
Contract harv rate (t/hr) is specified in mach general sheet.</t>
        </r>
      </text>
    </comment>
    <comment ref="B8" authorId="1" shapeId="0" xr:uid="{D3521308-D8D5-4ACB-A266-EDD5D30431ED}">
      <text>
        <r>
          <rPr>
            <sz val="9"/>
            <color indexed="81"/>
            <rFont val="Tahoma"/>
            <family val="2"/>
          </rPr>
          <t>Update 2023 based on Shannon Bins rate in koji.</t>
        </r>
      </text>
    </comment>
    <comment ref="A32" authorId="0" shapeId="0" xr:uid="{90F91DF0-E73E-4757-88C6-DBE8638B3331}">
      <text>
        <r>
          <rPr>
            <b/>
            <sz val="9"/>
            <color indexed="81"/>
            <rFont val="Tahoma"/>
            <family val="2"/>
          </rPr>
          <t>Michael Young:</t>
        </r>
        <r>
          <rPr>
            <sz val="9"/>
            <color indexed="81"/>
            <rFont val="Tahoma"/>
            <family val="2"/>
          </rPr>
          <t xml:space="preserve">
Calibrated to the approx hay yield in mach general sheet</t>
        </r>
      </text>
    </comment>
    <comment ref="A39" authorId="0" shapeId="0" xr:uid="{CEB61729-00B6-499B-865A-E27FA99795BC}">
      <text>
        <r>
          <rPr>
            <b/>
            <sz val="9"/>
            <color indexed="81"/>
            <rFont val="Tahoma"/>
            <family val="2"/>
          </rPr>
          <t>Michael Young:</t>
        </r>
        <r>
          <rPr>
            <sz val="9"/>
            <color indexed="81"/>
            <rFont val="Tahoma"/>
            <family val="2"/>
          </rPr>
          <t xml:space="preserve">
cartage cost from a neighbour when buying sup feed ($/t)</t>
        </r>
      </text>
    </comment>
    <comment ref="A41" authorId="0" shapeId="0" xr:uid="{FA6C6E15-83F4-4AE8-A8CF-15029B1A298F}">
      <text>
        <r>
          <rPr>
            <b/>
            <sz val="9"/>
            <color indexed="81"/>
            <rFont val="Tahoma"/>
            <family val="2"/>
          </rPr>
          <t>Michael Young:</t>
        </r>
        <r>
          <rPr>
            <sz val="9"/>
            <color indexed="81"/>
            <rFont val="Tahoma"/>
            <family val="2"/>
          </rPr>
          <t xml:space="preserve">
transaction cost $/t incured when purchasing grain from neighbour for sup feeding</t>
        </r>
      </text>
    </comment>
    <comment ref="A44" authorId="0" shapeId="0" xr:uid="{FB43B3C4-3E5F-4538-B4DD-6D67661C2593}">
      <text>
        <r>
          <rPr>
            <b/>
            <sz val="9"/>
            <color indexed="81"/>
            <rFont val="Tahoma"/>
            <family val="2"/>
          </rPr>
          <t>Michael Young:</t>
        </r>
        <r>
          <rPr>
            <sz val="9"/>
            <color indexed="81"/>
            <rFont val="Tahoma"/>
            <family val="2"/>
          </rPr>
          <t xml:space="preserve">
$/t
It's the fixed amount you pay to get in the truck and then the fee per km accrues on top.</t>
        </r>
      </text>
    </comment>
    <comment ref="A46" authorId="0" shapeId="0" xr:uid="{866957A5-947F-4D3A-AA52-98FF53EFB716}">
      <text>
        <r>
          <rPr>
            <b/>
            <sz val="9"/>
            <color indexed="81"/>
            <rFont val="Tahoma"/>
            <family val="2"/>
          </rPr>
          <t>Michael Young:</t>
        </r>
        <r>
          <rPr>
            <sz val="9"/>
            <color indexed="81"/>
            <rFont val="Tahoma"/>
            <family val="2"/>
          </rPr>
          <t xml:space="preserve">
date when crop insurance is paid</t>
        </r>
      </text>
    </comment>
    <comment ref="R49" authorId="2" shapeId="0" xr:uid="{AF4B2E59-8641-463A-AB41-90875D80F96C}">
      <text>
        <r>
          <rPr>
            <b/>
            <sz val="9"/>
            <color indexed="81"/>
            <rFont val="Tahoma"/>
            <family val="2"/>
          </rPr>
          <t>Michael Young:</t>
        </r>
        <r>
          <rPr>
            <sz val="9"/>
            <color indexed="81"/>
            <rFont val="Tahoma"/>
            <family val="2"/>
          </rPr>
          <t xml:space="preserve">
If crop is grazed as fodder then the biomass recieves no income</t>
        </r>
      </text>
    </comment>
    <comment ref="B51" authorId="3" shapeId="0" xr:uid="{13A2271D-50AB-4E02-B534-CEE96A0F204D}">
      <text>
        <r>
          <rPr>
            <b/>
            <sz val="9"/>
            <color indexed="81"/>
            <rFont val="Tahoma"/>
            <family val="2"/>
          </rPr>
          <t>Michael:</t>
        </r>
        <r>
          <rPr>
            <sz val="9"/>
            <color indexed="81"/>
            <rFont val="Tahoma"/>
            <family val="2"/>
          </rPr>
          <t xml:space="preserve">
This allows price to be included for a supplement that is not a crop (ie pellets)</t>
        </r>
      </text>
    </comment>
    <comment ref="C51" authorId="3" shapeId="0" xr:uid="{42BE74C8-FDA4-43E6-8B14-AF5A9DA8766C}">
      <text>
        <r>
          <rPr>
            <b/>
            <sz val="9"/>
            <color indexed="81"/>
            <rFont val="Tahoma"/>
            <family val="2"/>
          </rPr>
          <t>Michael:</t>
        </r>
        <r>
          <rPr>
            <sz val="9"/>
            <color indexed="81"/>
            <rFont val="Tahoma"/>
            <family val="2"/>
          </rPr>
          <t xml:space="preserve">
This allows price to be included for a supplement that is not a crop (ie pellets)</t>
        </r>
      </text>
    </comment>
    <comment ref="D51" authorId="0" shapeId="0" xr:uid="{9D6EEDD7-6AB3-4544-8B80-9F0128913CFF}">
      <text>
        <r>
          <rPr>
            <b/>
            <sz val="9"/>
            <color indexed="81"/>
            <rFont val="Tahoma"/>
            <family val="2"/>
          </rPr>
          <t>Michael Young:</t>
        </r>
        <r>
          <rPr>
            <sz val="9"/>
            <color indexed="81"/>
            <rFont val="Tahoma"/>
            <family val="2"/>
          </rPr>
          <t xml:space="preserve">
discount for seconds.
</t>
        </r>
      </text>
    </comment>
    <comment ref="G51" authorId="3" shapeId="0" xr:uid="{4743B5A9-E2DC-4FA4-8A33-8BB8A21F2B5E}">
      <text>
        <r>
          <rPr>
            <b/>
            <sz val="9"/>
            <color indexed="81"/>
            <rFont val="Tahoma"/>
            <family val="2"/>
          </rPr>
          <t>Michael:</t>
        </r>
        <r>
          <rPr>
            <sz val="9"/>
            <color indexed="81"/>
            <rFont val="Tahoma"/>
            <family val="2"/>
          </rPr>
          <t xml:space="preserve">
Bool to control if grain is transported by rail.</t>
        </r>
      </text>
    </comment>
    <comment ref="H51" authorId="0" shapeId="0" xr:uid="{AADA8BF6-3C74-42A3-89A9-C83C52099507}">
      <text>
        <r>
          <rPr>
            <b/>
            <sz val="9"/>
            <color indexed="81"/>
            <rFont val="Tahoma"/>
            <family val="2"/>
          </rPr>
          <t>Michael Young:</t>
        </r>
        <r>
          <rPr>
            <sz val="9"/>
            <color indexed="81"/>
            <rFont val="Tahoma"/>
            <family val="2"/>
          </rPr>
          <t xml:space="preserve">
cost for road cartage ($/km/t) - driven by desiel price (should note down the desiel price when calibrating)     
According to Josh Mathews this is still pretty accurate in 2024.</t>
        </r>
      </text>
    </comment>
    <comment ref="I51" authorId="0" shapeId="0" xr:uid="{AA76DADF-BBD9-4AA9-8375-76B8BFDBE1E6}">
      <text>
        <r>
          <rPr>
            <b/>
            <sz val="9"/>
            <color indexed="81"/>
            <rFont val="Tahoma"/>
            <family val="2"/>
          </rPr>
          <t>Michael Young:</t>
        </r>
        <r>
          <rPr>
            <sz val="9"/>
            <color indexed="81"/>
            <rFont val="Tahoma"/>
            <family val="2"/>
          </rPr>
          <t xml:space="preserve">
cbh fees &amp; gov levy ($/t) - updated 2025 using cbh data - this number includes; receical fees, BAMA fee and Canola testing fee. Gov levies also included - I have added some info I found online to the calabration section of dropbox</t>
        </r>
      </text>
    </comment>
    <comment ref="J51" authorId="0" shapeId="0" xr:uid="{4FB247CF-E152-434A-876A-FF5F0ADAA4D0}">
      <text>
        <r>
          <rPr>
            <b/>
            <sz val="9"/>
            <color indexed="81"/>
            <rFont val="Tahoma"/>
            <family val="2"/>
          </rPr>
          <t>Michael Young:</t>
        </r>
        <r>
          <rPr>
            <sz val="9"/>
            <color indexed="81"/>
            <rFont val="Tahoma"/>
            <family val="2"/>
          </rPr>
          <t xml:space="preserve">
% of crop value
includes 5% stamp duty and broker fee
Updated 2025 based on rate paided by YFA.</t>
        </r>
      </text>
    </comment>
    <comment ref="G60" authorId="3" shapeId="0" xr:uid="{3ACAA21B-3EEE-4D2B-99D9-C626E713F622}">
      <text>
        <r>
          <rPr>
            <b/>
            <sz val="9"/>
            <color indexed="81"/>
            <rFont val="Tahoma"/>
            <family val="2"/>
          </rPr>
          <t>Michael:</t>
        </r>
        <r>
          <rPr>
            <sz val="9"/>
            <color indexed="81"/>
            <rFont val="Tahoma"/>
            <family val="2"/>
          </rPr>
          <t xml:space="preserve">
Sold into local market</t>
        </r>
      </text>
    </comment>
    <comment ref="O64" authorId="4" shapeId="0" xr:uid="{DE1913B9-6D01-48AB-84B6-770EF8494D66}">
      <text>
        <r>
          <rPr>
            <b/>
            <sz val="9"/>
            <color indexed="81"/>
            <rFont val="Tahoma"/>
            <family val="2"/>
          </rPr>
          <t>John:</t>
        </r>
        <r>
          <rPr>
            <sz val="9"/>
            <color indexed="81"/>
            <rFont val="Tahoma"/>
            <family val="2"/>
          </rPr>
          <t xml:space="preserve">
From Mecardo kwinana canola percentiles 21Dec21</t>
        </r>
      </text>
    </comment>
    <comment ref="O67" authorId="4" shapeId="0" xr:uid="{43514F0C-345E-4F2B-B699-B4A931282120}">
      <text>
        <r>
          <rPr>
            <b/>
            <sz val="9"/>
            <color indexed="81"/>
            <rFont val="Tahoma"/>
            <family val="2"/>
          </rPr>
          <t>John:</t>
        </r>
        <r>
          <rPr>
            <sz val="9"/>
            <color indexed="81"/>
            <rFont val="Tahoma"/>
            <family val="2"/>
          </rPr>
          <t xml:space="preserve">
From Mecardo ASW1 percentiles 21Dec21</t>
        </r>
      </text>
    </comment>
    <comment ref="A74" authorId="0" shapeId="0" xr:uid="{387FDAF3-8781-41B0-A9D1-44EF18159679}">
      <text>
        <r>
          <rPr>
            <b/>
            <sz val="9"/>
            <color indexed="81"/>
            <rFont val="Tahoma"/>
            <family val="2"/>
          </rPr>
          <t>Michael Young:</t>
        </r>
        <r>
          <rPr>
            <sz val="9"/>
            <color indexed="81"/>
            <rFont val="Tahoma"/>
            <family val="2"/>
          </rPr>
          <t xml:space="preserve">
$/yr</t>
        </r>
      </text>
    </comment>
    <comment ref="A76" authorId="0" shapeId="0" xr:uid="{2FAFB650-F4A0-43AA-A1A4-FD1CE25983D6}">
      <text>
        <r>
          <rPr>
            <b/>
            <sz val="9"/>
            <color indexed="81"/>
            <rFont val="Tahoma"/>
            <family val="2"/>
          </rPr>
          <t>Michael Young:</t>
        </r>
        <r>
          <rPr>
            <sz val="9"/>
            <color indexed="81"/>
            <rFont val="Tahoma"/>
            <family val="2"/>
          </rPr>
          <t xml:space="preserve">
$/yr
before super</t>
        </r>
      </text>
    </comment>
    <comment ref="A82" authorId="0" shapeId="0" xr:uid="{04D6553C-E8DC-4A56-AAAA-8F71B24DF403}">
      <text>
        <r>
          <rPr>
            <b/>
            <sz val="9"/>
            <color indexed="81"/>
            <rFont val="Tahoma"/>
            <family val="2"/>
          </rPr>
          <t>Michael Young:</t>
        </r>
        <r>
          <rPr>
            <sz val="9"/>
            <color indexed="81"/>
            <rFont val="Tahoma"/>
            <family val="2"/>
          </rPr>
          <t xml:space="preserve">
LS leave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Young (21512438)</author>
    <author>Michael</author>
  </authors>
  <commentList>
    <comment ref="A9" authorId="0" shapeId="0" xr:uid="{878C88F8-9F2A-477B-8F30-E7769DE42385}">
      <text>
        <r>
          <rPr>
            <b/>
            <sz val="9"/>
            <color indexed="81"/>
            <rFont val="Tahoma"/>
            <family val="2"/>
          </rPr>
          <t>Michael Young (21512438):</t>
        </r>
        <r>
          <rPr>
            <sz val="9"/>
            <color indexed="81"/>
            <rFont val="Tahoma"/>
            <family val="2"/>
          </rPr>
          <t xml:space="preserve">
min return on expenditure</t>
        </r>
      </text>
    </comment>
    <comment ref="A10" authorId="0" shapeId="0" xr:uid="{CC2ED5F1-C524-4082-98D9-DE1A3ED2255D}">
      <text>
        <r>
          <rPr>
            <b/>
            <sz val="9"/>
            <color indexed="81"/>
            <rFont val="Tahoma"/>
            <family val="2"/>
          </rPr>
          <t>Michael Young (21512438):</t>
        </r>
        <r>
          <rPr>
            <sz val="9"/>
            <color indexed="81"/>
            <rFont val="Tahoma"/>
            <family val="2"/>
          </rPr>
          <t xml:space="preserve">
0 is standard for dsp since the aim of minroe is to represent risk.</t>
        </r>
      </text>
    </comment>
    <comment ref="A19" authorId="1" shapeId="0" xr:uid="{E15DFA64-CFC9-4290-A231-DB5CE6415399}">
      <text>
        <r>
          <rPr>
            <b/>
            <sz val="9"/>
            <color indexed="81"/>
            <rFont val="Tahoma"/>
            <family val="2"/>
          </rPr>
          <t>Michael:</t>
        </r>
        <r>
          <rPr>
            <sz val="9"/>
            <color indexed="81"/>
            <rFont val="Tahoma"/>
            <family val="2"/>
          </rPr>
          <t xml:space="preserve">
Turn this on using SAV.</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 Young (21512438)</author>
    <author>Michael</author>
    <author>John</author>
    <author>Michael Young</author>
  </authors>
  <commentList>
    <comment ref="L9" authorId="0" shapeId="0" xr:uid="{60053966-FBDF-4FAA-97CD-AD26C259B6F4}">
      <text>
        <r>
          <rPr>
            <b/>
            <sz val="9"/>
            <color indexed="81"/>
            <rFont val="Tahoma"/>
            <family val="2"/>
          </rPr>
          <t>Michael Young (21512438):</t>
        </r>
        <r>
          <rPr>
            <sz val="9"/>
            <color indexed="81"/>
            <rFont val="Tahoma"/>
            <family val="2"/>
          </rPr>
          <t xml:space="preserve">
The maximum ratio of the volume of supplement consumed to the total volume of feed consumed by stock being trail fed (supplement in the paddock).
This is used to ensure that stock being fed supplement in the paddock also graze pasture.</t>
        </r>
      </text>
    </comment>
    <comment ref="J22" authorId="0" shapeId="0" xr:uid="{64379056-27F1-4E85-802F-5F596DCFEF5E}">
      <text>
        <r>
          <rPr>
            <b/>
            <sz val="9"/>
            <color indexed="81"/>
            <rFont val="Tahoma"/>
            <family val="2"/>
          </rPr>
          <t>Michael Young (21512438):</t>
        </r>
        <r>
          <rPr>
            <sz val="9"/>
            <color indexed="81"/>
            <rFont val="Tahoma"/>
            <family val="2"/>
          </rPr>
          <t xml:space="preserve">
factor that scales the cost of feeding sup to stock in confinement. This only scales feeding cost associated with machinery (not storage or labour).</t>
        </r>
      </text>
    </comment>
    <comment ref="L22" authorId="0" shapeId="0" xr:uid="{8C0D206C-1CF1-419D-AB3B-C5F4C3B1ACD6}">
      <text>
        <r>
          <rPr>
            <b/>
            <sz val="9"/>
            <color indexed="81"/>
            <rFont val="Tahoma"/>
            <family val="2"/>
          </rPr>
          <t>Michael Young (21512438):</t>
        </r>
        <r>
          <rPr>
            <sz val="9"/>
            <color indexed="81"/>
            <rFont val="Tahoma"/>
            <family val="2"/>
          </rPr>
          <t xml:space="preserve">
factor that scales the labour for feeding sup to stock in confinement. </t>
        </r>
      </text>
    </comment>
    <comment ref="R38" authorId="1" shapeId="0" xr:uid="{D6322513-FE35-4D09-B62B-256A3FCD414A}">
      <text>
        <r>
          <rPr>
            <b/>
            <sz val="9"/>
            <color indexed="81"/>
            <rFont val="Tahoma"/>
            <family val="2"/>
          </rPr>
          <t>Michael:</t>
        </r>
        <r>
          <rPr>
            <sz val="9"/>
            <color indexed="81"/>
            <rFont val="Tahoma"/>
            <family val="2"/>
          </rPr>
          <t xml:space="preserve">
combo of cereal and legume.</t>
        </r>
      </text>
    </comment>
    <comment ref="I39" authorId="0" shapeId="0" xr:uid="{571CF9D9-A17D-46C7-8060-7E68076812CE}">
      <text>
        <r>
          <rPr>
            <b/>
            <sz val="9"/>
            <color indexed="81"/>
            <rFont val="Tahoma"/>
            <family val="2"/>
          </rPr>
          <t>Michael Young (21512438):</t>
        </r>
        <r>
          <rPr>
            <sz val="9"/>
            <color indexed="81"/>
            <rFont val="Tahoma"/>
            <family val="2"/>
          </rPr>
          <t xml:space="preserve">
crops which can be used for supplement</t>
        </r>
      </text>
    </comment>
    <comment ref="R53" authorId="1" shapeId="0" xr:uid="{77706F77-6C10-4EF7-AD1E-820003B34ABB}">
      <text>
        <r>
          <rPr>
            <b/>
            <sz val="9"/>
            <color indexed="81"/>
            <rFont val="Tahoma"/>
            <family val="2"/>
          </rPr>
          <t>Michael:</t>
        </r>
        <r>
          <rPr>
            <sz val="9"/>
            <color indexed="81"/>
            <rFont val="Tahoma"/>
            <family val="2"/>
          </rPr>
          <t xml:space="preserve">
combo of cereal and legume.</t>
        </r>
      </text>
    </comment>
    <comment ref="I57" authorId="2" shapeId="0" xr:uid="{3BA3F87F-FD89-472F-87C3-57EB27D9080F}">
      <text>
        <r>
          <rPr>
            <b/>
            <sz val="9"/>
            <color indexed="81"/>
            <rFont val="Tahoma"/>
            <family val="2"/>
          </rPr>
          <t>John:</t>
        </r>
        <r>
          <rPr>
            <sz val="9"/>
            <color indexed="81"/>
            <rFont val="Tahoma"/>
            <family val="2"/>
          </rPr>
          <t xml:space="preserve">
To represent the grain that the animals do not find.
Recalibrated by MRY in 2026 after feeding lupins and barley to wether lambs.</t>
        </r>
      </text>
    </comment>
    <comment ref="I58" authorId="2" shapeId="0" xr:uid="{40E4A487-40A1-4E14-AC15-C25613895007}">
      <text>
        <r>
          <rPr>
            <b/>
            <sz val="9"/>
            <color indexed="81"/>
            <rFont val="Tahoma"/>
            <family val="2"/>
          </rPr>
          <t>John:</t>
        </r>
        <r>
          <rPr>
            <sz val="9"/>
            <color indexed="81"/>
            <rFont val="Tahoma"/>
            <family val="2"/>
          </rPr>
          <t xml:space="preserve">
To represent the grain that the animals do not find</t>
        </r>
      </text>
    </comment>
    <comment ref="I71" authorId="3" shapeId="0" xr:uid="{3DC02098-1628-4880-9C5F-57BC4ABDAA2B}">
      <text>
        <r>
          <rPr>
            <b/>
            <sz val="9"/>
            <color indexed="81"/>
            <rFont val="Tahoma"/>
            <family val="2"/>
          </rPr>
          <t>Michael Young:</t>
        </r>
        <r>
          <rPr>
            <sz val="9"/>
            <color indexed="81"/>
            <rFont val="Tahoma"/>
            <family val="2"/>
          </rPr>
          <t xml:space="preserve">
used to match up values from above</t>
        </r>
      </text>
    </comment>
    <comment ref="I72" authorId="3" shapeId="0" xr:uid="{76302044-C55B-483C-9985-192E6879EAED}">
      <text>
        <r>
          <rPr>
            <b/>
            <sz val="9"/>
            <color indexed="81"/>
            <rFont val="Tahoma"/>
            <family val="2"/>
          </rPr>
          <t>Michael Young:</t>
        </r>
        <r>
          <rPr>
            <sz val="9"/>
            <color indexed="81"/>
            <rFont val="Tahoma"/>
            <family val="2"/>
          </rPr>
          <t xml:space="preserve">
Conversion Factor from m3 to t
source:http://www.leoncooksilos.com.au/Typical%20Grain%20Bulk%20Densities%20and%20Angles%20of%20Repose.pdf</t>
        </r>
      </text>
    </comment>
    <comment ref="M72" authorId="3" shapeId="0" xr:uid="{C3DF5EF6-5F7E-41B0-9113-E06058B6E139}">
      <text>
        <r>
          <rPr>
            <b/>
            <sz val="9"/>
            <color indexed="81"/>
            <rFont val="Tahoma"/>
            <family val="2"/>
          </rPr>
          <t>Michael Young:</t>
        </r>
        <r>
          <rPr>
            <sz val="9"/>
            <color indexed="81"/>
            <rFont val="Tahoma"/>
            <family val="2"/>
          </rPr>
          <t xml:space="preserve">
hay storage capacity (pinp.xl) is inputed in tonnes so no conversion required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Michael Young</author>
    <author>Michael Young (21512438)</author>
    <author>John</author>
    <author>Michael</author>
    <author>Southern Dirt</author>
  </authors>
  <commentList>
    <comment ref="I32" authorId="0" shapeId="0" xr:uid="{0F86BA8C-1A7C-4ADD-86CC-E1A52D64EFF1}">
      <text>
        <r>
          <rPr>
            <b/>
            <sz val="9"/>
            <color indexed="81"/>
            <rFont val="Tahoma"/>
            <family val="2"/>
          </rPr>
          <t>Michael Young:</t>
        </r>
        <r>
          <rPr>
            <sz val="9"/>
            <color indexed="81"/>
            <rFont val="Tahoma"/>
            <family val="2"/>
          </rPr>
          <t xml:space="preserve">
Height ratio: the height of feed relative to 3cm per t/ha.
This input could be expanded for crop type and feed period.</t>
        </r>
      </text>
    </comment>
    <comment ref="I33" authorId="0" shapeId="0" xr:uid="{E0E1E015-4AAE-4573-9F32-4F4A023E67F7}">
      <text>
        <r>
          <rPr>
            <b/>
            <sz val="9"/>
            <color indexed="81"/>
            <rFont val="Tahoma"/>
            <family val="2"/>
          </rPr>
          <t>Michael Young:</t>
        </r>
        <r>
          <rPr>
            <sz val="9"/>
            <color indexed="81"/>
            <rFont val="Tahoma"/>
            <family val="2"/>
          </rPr>
          <t xml:space="preserve">
goes with RIg to influence pi</t>
        </r>
      </text>
    </comment>
    <comment ref="I35" authorId="1" shapeId="0" xr:uid="{3B4A2E60-301F-4CB3-9666-DCC50066A06E}">
      <text>
        <r>
          <rPr>
            <b/>
            <sz val="9"/>
            <color indexed="81"/>
            <rFont val="Tahoma"/>
            <family val="2"/>
          </rPr>
          <t>Michael Young (21512438):</t>
        </r>
        <r>
          <rPr>
            <sz val="9"/>
            <color indexed="81"/>
            <rFont val="Tahoma"/>
            <family val="2"/>
          </rPr>
          <t xml:space="preserve">
Reduction in feed quality when the nutritive value of feed is greater than livestock requirement.
The reduction applys to the additional quality above the livestock requirement.</t>
        </r>
      </text>
    </comment>
    <comment ref="L35" authorId="1" shapeId="0" xr:uid="{B39596E4-29B3-47C4-85EB-75348D25E6AD}">
      <text>
        <r>
          <rPr>
            <b/>
            <sz val="9"/>
            <color indexed="81"/>
            <rFont val="Tahoma"/>
            <family val="2"/>
          </rPr>
          <t>Michael Young (21512438):</t>
        </r>
        <r>
          <rPr>
            <sz val="9"/>
            <color indexed="81"/>
            <rFont val="Tahoma"/>
            <family val="2"/>
          </rPr>
          <t xml:space="preserve">
This input could be expanded for feed period.</t>
        </r>
      </text>
    </comment>
    <comment ref="M35" authorId="1" shapeId="0" xr:uid="{2240C015-5671-41DD-A5B8-85B175BD0EE4}">
      <text>
        <r>
          <rPr>
            <b/>
            <sz val="9"/>
            <color indexed="81"/>
            <rFont val="Tahoma"/>
            <family val="2"/>
          </rPr>
          <t>Michael Young (21512438):</t>
        </r>
        <r>
          <rPr>
            <sz val="9"/>
            <color indexed="81"/>
            <rFont val="Tahoma"/>
            <family val="2"/>
          </rPr>
          <t xml:space="preserve">
std value is 50%</t>
        </r>
      </text>
    </comment>
    <comment ref="G44" authorId="1" shapeId="0" xr:uid="{43FE8D42-8F8F-45A4-84C5-847AE01AA232}">
      <text>
        <r>
          <rPr>
            <b/>
            <sz val="9"/>
            <color indexed="81"/>
            <rFont val="Tahoma"/>
            <family val="2"/>
          </rPr>
          <t>Michael Young (21512438):</t>
        </r>
        <r>
          <rPr>
            <sz val="9"/>
            <color indexed="81"/>
            <rFont val="Tahoma"/>
            <family val="2"/>
          </rPr>
          <t xml:space="preserve">
Not read into AFO</t>
        </r>
      </text>
    </comment>
    <comment ref="I54" authorId="2" shapeId="0" xr:uid="{A2A4AC7A-CB90-46B6-A473-65B87E39F501}">
      <text>
        <r>
          <rPr>
            <sz val="9"/>
            <color indexed="81"/>
            <rFont val="Tahoma"/>
            <family val="2"/>
          </rPr>
          <t>Biomass at baling relative to biomass at harvest (if not baled).
To account for growth from date of baling to harvest.</t>
        </r>
      </text>
    </comment>
    <comment ref="J54" authorId="2" shapeId="0" xr:uid="{B2784C5E-B355-4094-B272-9F0B37687556}">
      <text>
        <r>
          <rPr>
            <sz val="9"/>
            <color indexed="81"/>
            <rFont val="Tahoma"/>
            <family val="2"/>
          </rPr>
          <t>Total biomass production if baled relative to biomass at harvest.
To accounts for growth after baling being different if baled (regrowth) or not baled.</t>
        </r>
      </text>
    </comment>
    <comment ref="K54" authorId="2" shapeId="0" xr:uid="{DE5CA95F-369F-4852-AB03-3CCD102A0186}">
      <text>
        <r>
          <rPr>
            <sz val="9"/>
            <color indexed="81"/>
            <rFont val="Tahoma"/>
            <family val="2"/>
          </rPr>
          <t>Proportion of biomass at baling that is baled (at point of baling - not including respiration losses).</t>
        </r>
      </text>
    </comment>
    <comment ref="L54" authorId="2" shapeId="0" xr:uid="{2640A30C-B3FC-48D4-8B79-C5A07DEAA917}">
      <text>
        <r>
          <rPr>
            <sz val="9"/>
            <color indexed="81"/>
            <rFont val="Tahoma"/>
            <family val="2"/>
          </rPr>
          <t>Proportion of baled biomass available to feed out.
To allow for losses due to respiration during drying.</t>
        </r>
      </text>
    </comment>
    <comment ref="I85" authorId="1" shapeId="0" xr:uid="{4CBD52A4-D3A9-4F35-8523-A1D9FEE903E7}">
      <text>
        <r>
          <rPr>
            <b/>
            <sz val="9"/>
            <color indexed="81"/>
            <rFont val="Tahoma"/>
            <family val="2"/>
          </rPr>
          <t>Michael Young (21512438):</t>
        </r>
        <r>
          <rPr>
            <sz val="9"/>
            <color indexed="81"/>
            <rFont val="Tahoma"/>
            <family val="2"/>
          </rPr>
          <t xml:space="preserve">
The order of the crops and the number of crops must be the same for all inputs because they are read into python as numpy arrays.
Season inputs have not been made due to lack of data and probably the inputs are similar for all years. Thus the assumption is that quality is the same for each season. These inputs could be expanded to include z axis without much code changing (would just need to pass inputs to the season input function and add z axis in some places).</t>
        </r>
      </text>
    </comment>
    <comment ref="G116" authorId="0" shapeId="0" xr:uid="{5DE86AB7-232F-418D-B19D-CB768889C0BC}">
      <text>
        <r>
          <rPr>
            <b/>
            <sz val="9"/>
            <color indexed="81"/>
            <rFont val="Tahoma"/>
            <family val="2"/>
          </rPr>
          <t>Michael Young:</t>
        </r>
        <r>
          <rPr>
            <sz val="9"/>
            <color indexed="81"/>
            <rFont val="Tahoma"/>
            <family val="2"/>
          </rPr>
          <t xml:space="preserve">
harvest index - harvest index (HI) is the ratio of total grain to total above ground biomass (including the harvested grain)</t>
        </r>
      </text>
    </comment>
    <comment ref="H121" authorId="1" shapeId="0" xr:uid="{CBA7F792-B7E7-45FF-85E8-14AE11872439}">
      <text>
        <r>
          <rPr>
            <b/>
            <sz val="9"/>
            <color indexed="81"/>
            <rFont val="Tahoma"/>
            <family val="2"/>
          </rPr>
          <t>Michael Young (21512438):</t>
        </r>
        <r>
          <rPr>
            <sz val="9"/>
            <color indexed="81"/>
            <rFont val="Tahoma"/>
            <family val="2"/>
          </rPr>
          <t xml:space="preserve">
Lower value because hay type varieties produce less grain</t>
        </r>
      </text>
    </comment>
    <comment ref="H126" authorId="3" shapeId="0" xr:uid="{7D0982B8-21B1-4822-AB58-58567CB1363F}">
      <text>
        <r>
          <rPr>
            <b/>
            <sz val="9"/>
            <color indexed="81"/>
            <rFont val="Tahoma"/>
            <family val="2"/>
          </rPr>
          <t>Michael:</t>
        </r>
        <r>
          <rPr>
            <sz val="9"/>
            <color indexed="81"/>
            <rFont val="Tahoma"/>
            <family val="2"/>
          </rPr>
          <t xml:space="preserve">
combo of ceral and pulse</t>
        </r>
      </text>
    </comment>
    <comment ref="G138" authorId="0" shapeId="0" xr:uid="{F47EC17F-3ACC-465E-86C5-63B65D8C41A4}">
      <text>
        <r>
          <rPr>
            <b/>
            <sz val="9"/>
            <color indexed="81"/>
            <rFont val="Tahoma"/>
            <family val="2"/>
          </rPr>
          <t>Michael Young:</t>
        </r>
        <r>
          <rPr>
            <sz val="9"/>
            <color indexed="81"/>
            <rFont val="Tahoma"/>
            <family val="2"/>
          </rPr>
          <t xml:space="preserve">
proportion of the grain harvested. Accounts for split and spilt grain at harvest.
This should reflect the trial used to calibrate stubble.
Hence, if this input changes the definition of the stubble categories should also change since spilt grain is a determinor of stubble quality.</t>
        </r>
      </text>
    </comment>
    <comment ref="H148" authorId="3" shapeId="0" xr:uid="{84FF1796-817B-4F20-BC3C-D9C0DC1A324E}">
      <text>
        <r>
          <rPr>
            <b/>
            <sz val="9"/>
            <color indexed="81"/>
            <rFont val="Tahoma"/>
            <family val="2"/>
          </rPr>
          <t>Michael:</t>
        </r>
        <r>
          <rPr>
            <sz val="9"/>
            <color indexed="81"/>
            <rFont val="Tahoma"/>
            <family val="2"/>
          </rPr>
          <t xml:space="preserve">
combo of ceral and pulse</t>
        </r>
      </text>
    </comment>
    <comment ref="H161" authorId="0" shapeId="0" xr:uid="{895ABA34-2279-4920-8068-797B10E6024B}">
      <text>
        <r>
          <rPr>
            <b/>
            <sz val="9"/>
            <color indexed="81"/>
            <rFont val="Tahoma"/>
            <family val="2"/>
          </rPr>
          <t>Michael Young:</t>
        </r>
        <r>
          <rPr>
            <sz val="9"/>
            <color indexed="81"/>
            <rFont val="Tahoma"/>
            <family val="2"/>
          </rPr>
          <t xml:space="preserve">
quantity deterioration - %/day decline in available stub</t>
        </r>
      </text>
    </comment>
    <comment ref="I161" authorId="0" shapeId="0" xr:uid="{B4E567E0-B749-48E8-A560-9576AEBBE140}">
      <text>
        <r>
          <rPr>
            <b/>
            <sz val="9"/>
            <color indexed="81"/>
            <rFont val="Tahoma"/>
            <family val="2"/>
          </rPr>
          <t>Michael Young:</t>
        </r>
        <r>
          <rPr>
            <sz val="9"/>
            <color indexed="81"/>
            <rFont val="Tahoma"/>
            <family val="2"/>
          </rPr>
          <t xml:space="preserve">
Quality deterioration %/day</t>
        </r>
      </text>
    </comment>
    <comment ref="J161" authorId="0" shapeId="0" xr:uid="{AEB92A00-E2B9-4EC3-83A8-3F880B67BCCE}">
      <text>
        <r>
          <rPr>
            <b/>
            <sz val="9"/>
            <color indexed="81"/>
            <rFont val="Tahoma"/>
            <family val="2"/>
          </rPr>
          <t>Michael Young:</t>
        </r>
        <r>
          <rPr>
            <sz val="9"/>
            <color indexed="81"/>
            <rFont val="Tahoma"/>
            <family val="2"/>
          </rPr>
          <t xml:space="preserve">
% of stubble lost per kg consumed, currently the same for each category.
The code accounts that consumption of category A causes losses of category A, B &amp; C and likewise for B.
Note: grain feeding should increase the trampling effect but this is not represented</t>
        </r>
      </text>
    </comment>
    <comment ref="G184" authorId="0" shapeId="0" xr:uid="{37323DED-BE59-426E-8102-FC85275B8F6E}">
      <text>
        <r>
          <rPr>
            <b/>
            <sz val="9"/>
            <color indexed="81"/>
            <rFont val="Tahoma"/>
            <family val="2"/>
          </rPr>
          <t>Michael Young:</t>
        </r>
        <r>
          <rPr>
            <sz val="9"/>
            <color indexed="81"/>
            <rFont val="Tahoma"/>
            <family val="2"/>
          </rPr>
          <t xml:space="preserve">
quality of each cat at harvest - this is an arbitary input. More levels means more stubble categories.
Total stubble gets allocated into each dmd cat in the sim.</t>
        </r>
      </text>
    </comment>
    <comment ref="G188" authorId="4" shapeId="0" xr:uid="{0B1435A6-0B11-42FF-947D-9DB4C82A40CA}">
      <text>
        <r>
          <rPr>
            <b/>
            <sz val="9"/>
            <color indexed="81"/>
            <rFont val="Tahoma"/>
            <family val="2"/>
          </rPr>
          <t>MRY:</t>
        </r>
        <r>
          <rPr>
            <sz val="9"/>
            <color indexed="81"/>
            <rFont val="Tahoma"/>
            <family val="2"/>
          </rPr>
          <t xml:space="preserve">
Based on the numbers used in GSM MIDAS which were calculated based on proportion of each component.
CP = 0.1306*DMD+1.006</t>
        </r>
      </text>
    </comment>
    <comment ref="AK207" authorId="2" shapeId="0" xr:uid="{A573DC95-731C-49CC-A4BE-BC792143D57D}">
      <text>
        <r>
          <rPr>
            <b/>
            <sz val="9"/>
            <color indexed="81"/>
            <rFont val="Tahoma"/>
            <family val="2"/>
          </rPr>
          <t>John:</t>
        </r>
        <r>
          <rPr>
            <sz val="9"/>
            <color indexed="81"/>
            <rFont val="Tahoma"/>
            <family val="2"/>
          </rPr>
          <t xml:space="preserve">
Based on average management at Scanlon &amp; Watts that are being used for the Lupin calibration</t>
        </r>
      </text>
    </comment>
    <comment ref="H212" authorId="0" shapeId="0" xr:uid="{BDED17D1-15A4-47F7-80B1-C6731FF6AC15}">
      <text>
        <r>
          <rPr>
            <b/>
            <sz val="9"/>
            <color indexed="81"/>
            <rFont val="Tahoma"/>
            <family val="2"/>
          </rPr>
          <t>Michael Young:</t>
        </r>
        <r>
          <rPr>
            <sz val="9"/>
            <color indexed="81"/>
            <rFont val="Tahoma"/>
            <family val="2"/>
          </rPr>
          <t xml:space="preserve">
Control if trial is included.</t>
        </r>
      </text>
    </comment>
    <comment ref="R212" authorId="3" shapeId="0" xr:uid="{1D10F682-A88A-4789-B595-7F69B95FE901}">
      <text>
        <r>
          <rPr>
            <b/>
            <sz val="9"/>
            <color indexed="81"/>
            <rFont val="Tahoma"/>
            <family val="2"/>
          </rPr>
          <t>Michael:</t>
        </r>
        <r>
          <rPr>
            <sz val="9"/>
            <color indexed="81"/>
            <rFont val="Tahoma"/>
            <family val="2"/>
          </rPr>
          <t xml:space="preserve">
cart option not hooked up. Maybe this woild need to be a separate s2 slice?</t>
        </r>
      </text>
    </comment>
    <comment ref="H216" authorId="1" shapeId="0" xr:uid="{52E4F0FE-89E5-451E-8850-55CED058A1B4}">
      <text>
        <r>
          <rPr>
            <b/>
            <sz val="9"/>
            <color indexed="81"/>
            <rFont val="Tahoma"/>
            <family val="2"/>
          </rPr>
          <t>Michael Young (21512438):</t>
        </r>
        <r>
          <rPr>
            <sz val="9"/>
            <color indexed="81"/>
            <rFont val="Tahoma"/>
            <family val="2"/>
          </rPr>
          <t xml:space="preserve">
Days after harvest that the paddock trial started.
This is used to scale the component DMD in the sim so that the category dmd is correct in each fp.</t>
        </r>
      </text>
    </comment>
    <comment ref="H217" authorId="0" shapeId="0" xr:uid="{6B9D7298-5299-47E3-89F1-A6FFBB47F0AD}">
      <text>
        <r>
          <rPr>
            <b/>
            <sz val="9"/>
            <color indexed="81"/>
            <rFont val="Tahoma"/>
            <family val="2"/>
          </rPr>
          <t>Michael Young:</t>
        </r>
        <r>
          <rPr>
            <sz val="9"/>
            <color indexed="81"/>
            <rFont val="Tahoma"/>
            <family val="2"/>
          </rPr>
          <t xml:space="preserve">
Length the sim will run for. This needs to be long enough so that stubble gets eaten. 
Generally this will be similar to the length of the paddock trial.</t>
        </r>
      </text>
    </comment>
    <comment ref="H218" authorId="0" shapeId="0" xr:uid="{8C4E9AB1-DC4E-4BF5-ACBD-F04BF79F060D}">
      <text>
        <r>
          <rPr>
            <b/>
            <sz val="9"/>
            <color indexed="81"/>
            <rFont val="Tahoma"/>
            <family val="2"/>
          </rPr>
          <t>Michael Young:</t>
        </r>
        <r>
          <rPr>
            <sz val="9"/>
            <color indexed="81"/>
            <rFont val="Tahoma"/>
            <family val="2"/>
          </rPr>
          <t xml:space="preserve">
should be a whole number.
Calendar yr of trial start minus year of animal birth
</t>
        </r>
      </text>
    </comment>
    <comment ref="H220" authorId="0" shapeId="0" xr:uid="{5C3323DE-036C-4995-8401-D86B74FFD7E2}">
      <text>
        <r>
          <rPr>
            <b/>
            <sz val="9"/>
            <color indexed="81"/>
            <rFont val="Tahoma"/>
            <family val="2"/>
          </rPr>
          <t>Michael Young:</t>
        </r>
        <r>
          <rPr>
            <sz val="9"/>
            <color indexed="81"/>
            <rFont val="Tahoma"/>
            <family val="2"/>
          </rPr>
          <t xml:space="preserve">
needs to be head/ha since we are simulating the exact sheep.</t>
        </r>
      </text>
    </comment>
    <comment ref="H222" authorId="3" shapeId="0" xr:uid="{6DBE1742-63FB-462F-8999-F2FC0B4D273C}">
      <text>
        <r>
          <rPr>
            <b/>
            <sz val="9"/>
            <color indexed="81"/>
            <rFont val="Tahoma"/>
            <family val="2"/>
          </rPr>
          <t>Michael:</t>
        </r>
        <r>
          <rPr>
            <sz val="9"/>
            <color indexed="81"/>
            <rFont val="Tahoma"/>
            <family val="2"/>
          </rPr>
          <t xml:space="preserve">
Used in the sim to calc biomass available for grazing (because it depends if the crop was harvested or not).</t>
        </r>
      </text>
    </comment>
    <comment ref="H223" authorId="3" shapeId="0" xr:uid="{BA8BFEA2-4AE2-4013-9EB8-65628F6DFF35}">
      <text>
        <r>
          <rPr>
            <b/>
            <sz val="9"/>
            <color indexed="81"/>
            <rFont val="Tahoma"/>
            <family val="2"/>
          </rPr>
          <t>Michael:</t>
        </r>
        <r>
          <rPr>
            <sz val="9"/>
            <color indexed="81"/>
            <rFont val="Tahoma"/>
            <family val="2"/>
          </rPr>
          <t xml:space="preserve">
Used in the sim to slice the quality and quantity decay arrays.</t>
        </r>
      </text>
    </comment>
    <comment ref="J224" authorId="3" shapeId="0" xr:uid="{72621FD3-C0EA-440E-AF10-8EC28CABF10D}">
      <text>
        <r>
          <rPr>
            <b/>
            <sz val="9"/>
            <color indexed="81"/>
            <rFont val="Tahoma"/>
            <family val="2"/>
          </rPr>
          <t>Michael:</t>
        </r>
        <r>
          <rPr>
            <sz val="9"/>
            <color indexed="81"/>
            <rFont val="Tahoma"/>
            <family val="2"/>
          </rPr>
          <t xml:space="preserve">
from planfarm averages for the given yr</t>
        </r>
      </text>
    </comment>
    <comment ref="Z224" authorId="3" shapeId="0" xr:uid="{717403EF-7C6C-43FA-BB7F-5765FCAD560C}">
      <text>
        <r>
          <rPr>
            <b/>
            <sz val="9"/>
            <color indexed="81"/>
            <rFont val="Tahoma"/>
            <family val="2"/>
          </rPr>
          <t>Michael:</t>
        </r>
        <r>
          <rPr>
            <sz val="9"/>
            <color indexed="81"/>
            <rFont val="Tahoma"/>
            <family val="2"/>
          </rPr>
          <t xml:space="preserve">
guess (wasn’t recorded anywhere)</t>
        </r>
      </text>
    </comment>
    <comment ref="AA224" authorId="3" shapeId="0" xr:uid="{6332903A-21F9-4122-BAEE-D9AA1140048E}">
      <text>
        <r>
          <rPr>
            <b/>
            <sz val="9"/>
            <color indexed="81"/>
            <rFont val="Tahoma"/>
            <family val="2"/>
          </rPr>
          <t>Michael:</t>
        </r>
        <r>
          <rPr>
            <sz val="9"/>
            <color indexed="81"/>
            <rFont val="Tahoma"/>
            <family val="2"/>
          </rPr>
          <t xml:space="preserve">
guess (wasn’t recorded anywhere)</t>
        </r>
      </text>
    </comment>
    <comment ref="AB224" authorId="3" shapeId="0" xr:uid="{ACD7E829-462C-487B-AB41-C1C6709FD38B}">
      <text>
        <r>
          <rPr>
            <b/>
            <sz val="9"/>
            <color indexed="81"/>
            <rFont val="Tahoma"/>
            <family val="2"/>
          </rPr>
          <t>Michael:</t>
        </r>
        <r>
          <rPr>
            <sz val="9"/>
            <color indexed="81"/>
            <rFont val="Tahoma"/>
            <family val="2"/>
          </rPr>
          <t xml:space="preserve">
guess (wasn’t recorded anywhere)</t>
        </r>
      </text>
    </comment>
    <comment ref="AC224" authorId="3" shapeId="0" xr:uid="{1077FDD3-B9F8-4DD1-A8CE-2755D9847582}">
      <text>
        <r>
          <rPr>
            <b/>
            <sz val="9"/>
            <color indexed="81"/>
            <rFont val="Tahoma"/>
            <family val="2"/>
          </rPr>
          <t>Michael:</t>
        </r>
        <r>
          <rPr>
            <sz val="9"/>
            <color indexed="81"/>
            <rFont val="Tahoma"/>
            <family val="2"/>
          </rPr>
          <t xml:space="preserve">
guess (wasn’t recorded anywhere)</t>
        </r>
      </text>
    </comment>
    <comment ref="AL224" authorId="3" shapeId="0" xr:uid="{888BE65B-7F57-4EEC-AB09-74B49D781D62}">
      <text>
        <r>
          <rPr>
            <b/>
            <sz val="9"/>
            <color indexed="81"/>
            <rFont val="Tahoma"/>
            <family val="2"/>
          </rPr>
          <t>Michael:</t>
        </r>
        <r>
          <rPr>
            <sz val="9"/>
            <color indexed="81"/>
            <rFont val="Tahoma"/>
            <family val="2"/>
          </rPr>
          <t xml:space="preserve">
guess (wasn’t recorded anywhere)</t>
        </r>
      </text>
    </comment>
    <comment ref="AM224" authorId="3" shapeId="0" xr:uid="{6D7EA5B9-FEDC-4541-A4B6-E1EB2794006C}">
      <text>
        <r>
          <rPr>
            <b/>
            <sz val="9"/>
            <color indexed="81"/>
            <rFont val="Tahoma"/>
            <family val="2"/>
          </rPr>
          <t>Michael:</t>
        </r>
        <r>
          <rPr>
            <sz val="9"/>
            <color indexed="81"/>
            <rFont val="Tahoma"/>
            <family val="2"/>
          </rPr>
          <t xml:space="preserve">
guess (wasn’t recorded anywhere)</t>
        </r>
      </text>
    </comment>
    <comment ref="H225" authorId="1" shapeId="0" xr:uid="{CBADF6A1-FC33-43E3-8DFC-9178AD700C99}">
      <text>
        <r>
          <rPr>
            <b/>
            <sz val="9"/>
            <color indexed="81"/>
            <rFont val="Tahoma"/>
            <family val="2"/>
          </rPr>
          <t>Michael Young (21512438):</t>
        </r>
        <r>
          <rPr>
            <sz val="9"/>
            <color indexed="81"/>
            <rFont val="Tahoma"/>
            <family val="2"/>
          </rPr>
          <t xml:space="preserve">
includes spilt/split grain.
Used to calc total peak biomass which is used to calculate residue </t>
        </r>
      </text>
    </comment>
    <comment ref="AD225" authorId="2" shapeId="0" xr:uid="{5A14AC54-3553-4EE3-BF57-333216E8FE8C}">
      <text>
        <r>
          <rPr>
            <b/>
            <sz val="9"/>
            <color indexed="81"/>
            <rFont val="Tahoma"/>
            <family val="2"/>
          </rPr>
          <t>John:</t>
        </r>
        <r>
          <rPr>
            <sz val="9"/>
            <color indexed="81"/>
            <rFont val="Tahoma"/>
            <family val="2"/>
          </rPr>
          <t xml:space="preserve">
average of estimated or actual harvested yield &amp; Thommo's estimate of intake.
AFO intake estimate didn't work because XB</t>
        </r>
      </text>
    </comment>
    <comment ref="AE225" authorId="2" shapeId="0" xr:uid="{AD1BBCEE-4545-437F-961A-7BCEF5E71564}">
      <text>
        <r>
          <rPr>
            <b/>
            <sz val="9"/>
            <color indexed="81"/>
            <rFont val="Tahoma"/>
            <family val="2"/>
          </rPr>
          <t>John:</t>
        </r>
        <r>
          <rPr>
            <sz val="9"/>
            <color indexed="81"/>
            <rFont val="Tahoma"/>
            <family val="2"/>
          </rPr>
          <t xml:space="preserve">
average of estimated or actual harvested yield &amp; AFO estimate of intake.
 AFO based on lupin grain 85% &amp; leaf 60%</t>
        </r>
      </text>
    </comment>
    <comment ref="AF225" authorId="2" shapeId="0" xr:uid="{1804336B-B356-4BB8-8423-7EBA99698830}">
      <text>
        <r>
          <rPr>
            <b/>
            <sz val="9"/>
            <color indexed="81"/>
            <rFont val="Tahoma"/>
            <family val="2"/>
          </rPr>
          <t>John:</t>
        </r>
        <r>
          <rPr>
            <sz val="9"/>
            <color indexed="81"/>
            <rFont val="Tahoma"/>
            <family val="2"/>
          </rPr>
          <t xml:space="preserve">
average of estimated or actual harvested yield &amp; AFO estimate of intake.
 AFO based on lupin grain 85% &amp; leaf 60%</t>
        </r>
      </text>
    </comment>
    <comment ref="AG225" authorId="2" shapeId="0" xr:uid="{6D3BA907-A4A1-4A1D-91A3-FE5D1F5AB8A4}">
      <text>
        <r>
          <rPr>
            <b/>
            <sz val="9"/>
            <color indexed="81"/>
            <rFont val="Tahoma"/>
            <family val="2"/>
          </rPr>
          <t>John:</t>
        </r>
        <r>
          <rPr>
            <sz val="9"/>
            <color indexed="81"/>
            <rFont val="Tahoma"/>
            <family val="2"/>
          </rPr>
          <t xml:space="preserve">
average of estimated or actual harvested yield &amp; AFO estimate of intake.
 AFO based on lupin grain 85% &amp; leaf 60%</t>
        </r>
      </text>
    </comment>
    <comment ref="AI225" authorId="2" shapeId="0" xr:uid="{9434F944-B3C7-4ABA-BCB4-45956EA96AF2}">
      <text>
        <r>
          <rPr>
            <b/>
            <sz val="9"/>
            <color indexed="81"/>
            <rFont val="Tahoma"/>
            <family val="2"/>
          </rPr>
          <t>John:</t>
        </r>
        <r>
          <rPr>
            <sz val="9"/>
            <color indexed="81"/>
            <rFont val="Tahoma"/>
            <family val="2"/>
          </rPr>
          <t xml:space="preserve">
average of estimated or actual harvested yield &amp; Thommo's estimate of intake.
AFO intake estimate didn't work because XB</t>
        </r>
      </text>
    </comment>
    <comment ref="H227" authorId="3" shapeId="0" xr:uid="{8F3F1241-7EBC-4D66-9E57-13B8DABF8573}">
      <text>
        <r>
          <rPr>
            <b/>
            <sz val="9"/>
            <color indexed="81"/>
            <rFont val="Tahoma"/>
            <family val="2"/>
          </rPr>
          <t>Michael:</t>
        </r>
        <r>
          <rPr>
            <sz val="9"/>
            <color indexed="81"/>
            <rFont val="Tahoma"/>
            <family val="2"/>
          </rPr>
          <t xml:space="preserve">
Easiest way to get this is prbably by using CS and the raw trial weights.</t>
        </r>
      </text>
    </comment>
    <comment ref="H230" authorId="0" shapeId="0" xr:uid="{8344BB7E-E3E5-46EC-8EF9-BC0F63930456}">
      <text>
        <r>
          <rPr>
            <b/>
            <sz val="9"/>
            <color indexed="81"/>
            <rFont val="Tahoma"/>
            <family val="2"/>
          </rPr>
          <t>Michael Young:</t>
        </r>
        <r>
          <rPr>
            <sz val="9"/>
            <color indexed="81"/>
            <rFont val="Tahoma"/>
            <family val="2"/>
          </rPr>
          <t xml:space="preserve">
The input could be between 0.5cm if just shorn, up to 10cm if about to be shorn</t>
        </r>
      </text>
    </comment>
    <comment ref="H231" authorId="1" shapeId="0" xr:uid="{F9F1E00B-8DC4-402A-A187-A5D02E265192}">
      <text>
        <r>
          <rPr>
            <b/>
            <sz val="9"/>
            <color indexed="81"/>
            <rFont val="Tahoma"/>
            <family val="2"/>
          </rPr>
          <t>Young:</t>
        </r>
        <r>
          <rPr>
            <sz val="9"/>
            <color indexed="81"/>
            <rFont val="Tahoma"/>
            <family val="2"/>
          </rPr>
          <t xml:space="preserve">
Proportion of ebw that is fat</t>
        </r>
      </text>
    </comment>
    <comment ref="H232" authorId="1" shapeId="0" xr:uid="{823C2AB5-4F1B-4A3A-B7BC-813BC8690900}">
      <text>
        <r>
          <rPr>
            <b/>
            <sz val="9"/>
            <color indexed="81"/>
            <rFont val="Tahoma"/>
            <family val="2"/>
          </rPr>
          <t>Young:</t>
        </r>
        <r>
          <rPr>
            <sz val="9"/>
            <color indexed="81"/>
            <rFont val="Tahoma"/>
            <family val="2"/>
          </rPr>
          <t xml:space="preserve">
Proportion of ebw that is viscera</t>
        </r>
      </text>
    </comment>
    <comment ref="H233" authorId="1" shapeId="0" xr:uid="{8B5D6713-2CA9-4FF7-8679-5316DEECB0B2}">
      <text>
        <r>
          <rPr>
            <b/>
            <sz val="9"/>
            <color indexed="81"/>
            <rFont val="Tahoma"/>
            <family val="2"/>
          </rPr>
          <t>Young:</t>
        </r>
        <r>
          <rPr>
            <sz val="9"/>
            <color indexed="81"/>
            <rFont val="Tahoma"/>
            <family val="2"/>
          </rPr>
          <t xml:space="preserve">
Proportiebf ffcfw that is muscle</t>
        </r>
      </text>
    </comment>
    <comment ref="H234" authorId="0" shapeId="0" xr:uid="{93F0D1B9-3F24-4438-A75C-0CD39865061F}">
      <text>
        <r>
          <rPr>
            <b/>
            <sz val="9"/>
            <color indexed="81"/>
            <rFont val="Tahoma"/>
            <family val="2"/>
          </rPr>
          <t>Michael Young:</t>
        </r>
        <r>
          <rPr>
            <sz val="9"/>
            <color indexed="81"/>
            <rFont val="Tahoma"/>
            <family val="2"/>
          </rPr>
          <t xml:space="preserve">
Weight at start of trial. Default is 0 if not pregnant</t>
        </r>
      </text>
    </comment>
    <comment ref="H235" authorId="2" shapeId="0" xr:uid="{A1C8C030-B59A-460D-B30F-83E3CFBE7488}">
      <text>
        <r>
          <rPr>
            <b/>
            <sz val="9"/>
            <color indexed="81"/>
            <rFont val="Tahoma"/>
            <family val="2"/>
          </rPr>
          <t>John:</t>
        </r>
        <r>
          <rPr>
            <sz val="9"/>
            <color indexed="81"/>
            <rFont val="Tahoma"/>
            <family val="2"/>
          </rPr>
          <t xml:space="preserve">
M/D of the feed prior to entering the trial site.
Only used with the new feeding standards</t>
        </r>
      </text>
    </comment>
    <comment ref="H237" authorId="0" shapeId="0" xr:uid="{3E8CDAA3-32DF-4385-939F-02505874F724}">
      <text>
        <r>
          <rPr>
            <b/>
            <sz val="9"/>
            <color indexed="81"/>
            <rFont val="Tahoma"/>
            <family val="2"/>
          </rPr>
          <t>Michael Young:</t>
        </r>
        <r>
          <rPr>
            <sz val="9"/>
            <color indexed="81"/>
            <rFont val="Tahoma"/>
            <family val="2"/>
          </rPr>
          <t xml:space="preserve">
is the animal in the trial a dam? </t>
        </r>
      </text>
    </comment>
    <comment ref="H238" authorId="0" shapeId="0" xr:uid="{AB99439B-7493-40F3-9437-FF53D84874FD}">
      <text>
        <r>
          <rPr>
            <b/>
            <sz val="9"/>
            <color indexed="81"/>
            <rFont val="Tahoma"/>
            <family val="2"/>
          </rPr>
          <t>Michael Young:</t>
        </r>
        <r>
          <rPr>
            <sz val="9"/>
            <color indexed="81"/>
            <rFont val="Tahoma"/>
            <family val="2"/>
          </rPr>
          <t xml:space="preserve">
if the animal in the trial an offspring?</t>
        </r>
      </text>
    </comment>
    <comment ref="H240" authorId="0" shapeId="0" xr:uid="{96AA85C8-85E2-4824-89B9-09839158C1CD}">
      <text>
        <r>
          <rPr>
            <b/>
            <sz val="9"/>
            <color indexed="81"/>
            <rFont val="Tahoma"/>
            <family val="2"/>
          </rPr>
          <t>Michael Young:</t>
        </r>
        <r>
          <rPr>
            <sz val="9"/>
            <color indexed="81"/>
            <rFont val="Tahoma"/>
            <family val="2"/>
          </rPr>
          <t xml:space="preserve">
What proportion of the dams in each lambing category?
This allows you to controll if only twins in the trial.
The lambed and lost slices (21, 20, 32, 31, 30) are only required if yatf were included in the trial.</t>
        </r>
      </text>
    </comment>
    <comment ref="H252" authorId="0" shapeId="0" xr:uid="{B92FC588-8646-48F1-B978-AA6DD91CF0B3}">
      <text>
        <r>
          <rPr>
            <b/>
            <sz val="9"/>
            <color indexed="81"/>
            <rFont val="Tahoma"/>
            <family val="2"/>
          </rPr>
          <t>Michael Young:</t>
        </r>
        <r>
          <rPr>
            <sz val="9"/>
            <color indexed="81"/>
            <rFont val="Tahoma"/>
            <family val="2"/>
          </rPr>
          <t xml:space="preserve">
What proportion of the offs in each lambing category?
</t>
        </r>
      </text>
    </comment>
    <comment ref="G259" authorId="1" shapeId="0" xr:uid="{308A296D-95AD-4239-AB23-AE8A8C44B866}">
      <text>
        <r>
          <rPr>
            <b/>
            <sz val="9"/>
            <color indexed="81"/>
            <rFont val="Tahoma"/>
            <family val="2"/>
          </rPr>
          <t>Michael Young (21512438):</t>
        </r>
        <r>
          <rPr>
            <sz val="9"/>
            <color indexed="81"/>
            <rFont val="Tahoma"/>
            <family val="2"/>
          </rPr>
          <t xml:space="preserve">
Only required if yatf are included in trial. If no yatf then set values to 0.</t>
        </r>
      </text>
    </comment>
    <comment ref="H263" authorId="0" shapeId="0" xr:uid="{61A2AABA-966F-49DA-A49A-42AC42C7AFB0}">
      <text>
        <r>
          <rPr>
            <b/>
            <sz val="9"/>
            <color indexed="81"/>
            <rFont val="Tahoma"/>
            <family val="2"/>
          </rPr>
          <t>Michael Young:</t>
        </r>
        <r>
          <rPr>
            <sz val="9"/>
            <color indexed="81"/>
            <rFont val="Tahoma"/>
            <family val="2"/>
          </rPr>
          <t xml:space="preserve">
The input could be between 0.5cm if just shorn, up to 10cm if about to be shorn</t>
        </r>
      </text>
    </comment>
    <comment ref="H264" authorId="1" shapeId="0" xr:uid="{8389528A-0509-47BB-BC7F-F4BAAA353686}">
      <text>
        <r>
          <rPr>
            <b/>
            <sz val="9"/>
            <color indexed="81"/>
            <rFont val="Tahoma"/>
            <family val="2"/>
          </rPr>
          <t>Young:</t>
        </r>
        <r>
          <rPr>
            <sz val="9"/>
            <color indexed="81"/>
            <rFont val="Tahoma"/>
            <family val="2"/>
          </rPr>
          <t xml:space="preserve">
Proportion of ebw that is fat</t>
        </r>
      </text>
    </comment>
    <comment ref="H265" authorId="1" shapeId="0" xr:uid="{FE556CD0-46AF-4A9A-9F4B-98A65CA757F8}">
      <text>
        <r>
          <rPr>
            <b/>
            <sz val="9"/>
            <color indexed="81"/>
            <rFont val="Tahoma"/>
            <family val="2"/>
          </rPr>
          <t>Young:</t>
        </r>
        <r>
          <rPr>
            <sz val="9"/>
            <color indexed="81"/>
            <rFont val="Tahoma"/>
            <family val="2"/>
          </rPr>
          <t xml:space="preserve">
Proportion of ebw that is viscera</t>
        </r>
      </text>
    </comment>
    <comment ref="H266" authorId="1" shapeId="0" xr:uid="{631EEFCC-B398-46B3-8953-91FBB45AFFBD}">
      <text>
        <r>
          <rPr>
            <b/>
            <sz val="9"/>
            <color indexed="81"/>
            <rFont val="Tahoma"/>
            <family val="2"/>
          </rPr>
          <t>Young:</t>
        </r>
        <r>
          <rPr>
            <sz val="9"/>
            <color indexed="81"/>
            <rFont val="Tahoma"/>
            <family val="2"/>
          </rPr>
          <t xml:space="preserve">
Proportiebf ffcfw that is muscle</t>
        </r>
      </text>
    </comment>
    <comment ref="H275" authorId="0" shapeId="0" xr:uid="{FDDF4474-C52D-43EB-8C87-BDC86F5A106F}">
      <text>
        <r>
          <rPr>
            <b/>
            <sz val="9"/>
            <color indexed="81"/>
            <rFont val="Tahoma"/>
            <family val="2"/>
          </rPr>
          <t>Michael Young:</t>
        </r>
        <r>
          <rPr>
            <sz val="9"/>
            <color indexed="81"/>
            <rFont val="Tahoma"/>
            <family val="2"/>
          </rPr>
          <t xml:space="preserve">
select one</t>
        </r>
      </text>
    </comment>
    <comment ref="H282" authorId="3" shapeId="0" xr:uid="{E3B06221-3C9A-44C4-9EAB-4B6E894D4EB3}">
      <text>
        <r>
          <rPr>
            <b/>
            <sz val="9"/>
            <color indexed="81"/>
            <rFont val="Tahoma"/>
            <family val="2"/>
          </rPr>
          <t>Michael:</t>
        </r>
        <r>
          <rPr>
            <sz val="9"/>
            <color indexed="81"/>
            <rFont val="Tahoma"/>
            <family val="2"/>
          </rPr>
          <t xml:space="preserve">
This controls lambing date of dams, prog &amp; offs</t>
        </r>
      </text>
    </comment>
    <comment ref="I283" authorId="2" shapeId="0" xr:uid="{B60CECD4-B6CF-4DE8-9E99-E86B22E1B6E1}">
      <text>
        <r>
          <rPr>
            <b/>
            <sz val="9"/>
            <color indexed="81"/>
            <rFont val="Tahoma"/>
            <family val="2"/>
          </rPr>
          <t>John:</t>
        </r>
        <r>
          <rPr>
            <sz val="9"/>
            <color indexed="81"/>
            <rFont val="Tahoma"/>
            <family val="2"/>
          </rPr>
          <t xml:space="preserve">
Start year in Property. Replaced with a value to remove live link.
='C:\Models\AFO\ExcelInputs\[Property_GSW.xlsx]Sheep'!i_startyear</t>
        </r>
      </text>
    </comment>
    <comment ref="H290" authorId="0" shapeId="0" xr:uid="{5DC9948D-F16F-41F8-837B-DA7AC2E7A370}">
      <text>
        <r>
          <rPr>
            <b/>
            <sz val="9"/>
            <color indexed="81"/>
            <rFont val="Tahoma"/>
            <family val="2"/>
          </rPr>
          <t>Michael Young:</t>
        </r>
        <r>
          <rPr>
            <sz val="9"/>
            <color indexed="81"/>
            <rFont val="Tahoma"/>
            <family val="2"/>
          </rPr>
          <t xml:space="preserve">
Monthly rainfall during trial. this gets distributed weekly using the distribution in the stock inputs.</t>
        </r>
      </text>
    </comment>
    <comment ref="H297" authorId="3" shapeId="0" xr:uid="{0610FFBB-2E6D-4893-97BE-802F6E155205}">
      <text>
        <r>
          <rPr>
            <b/>
            <sz val="9"/>
            <color indexed="81"/>
            <rFont val="Tahoma"/>
            <family val="2"/>
          </rPr>
          <t>Michael:</t>
        </r>
        <r>
          <rPr>
            <sz val="9"/>
            <color indexed="81"/>
            <rFont val="Tahoma"/>
            <family val="2"/>
          </rPr>
          <t xml:space="preserve">
I think just use a high number since stubble RA is set to 1 in the stubble module calcs.</t>
        </r>
      </text>
    </comment>
    <comment ref="AS297" authorId="2" shapeId="0" xr:uid="{EE744D2D-144D-4FE3-A720-8446FAE8933E}">
      <text>
        <r>
          <rPr>
            <b/>
            <sz val="9"/>
            <color indexed="81"/>
            <rFont val="Tahoma"/>
            <family val="2"/>
          </rPr>
          <t>John:</t>
        </r>
        <r>
          <rPr>
            <sz val="9"/>
            <color indexed="81"/>
            <rFont val="Tahoma"/>
            <family val="2"/>
          </rPr>
          <t xml:space="preserve">
Used to allocate supplementary feeding</t>
        </r>
      </text>
    </comment>
    <comment ref="R298" authorId="3" shapeId="0" xr:uid="{F1292F70-D645-4F7E-97C0-2758F1C7C7AD}">
      <text>
        <r>
          <rPr>
            <b/>
            <sz val="9"/>
            <color indexed="81"/>
            <rFont val="Tahoma"/>
            <family val="2"/>
          </rPr>
          <t>Michael:</t>
        </r>
        <r>
          <rPr>
            <sz val="9"/>
            <color indexed="81"/>
            <rFont val="Tahoma"/>
            <family val="2"/>
          </rPr>
          <t xml:space="preserve">
This was not documented in the data. So we have just used the average of the two known trials. </t>
        </r>
      </text>
    </comment>
    <comment ref="S298" authorId="3" shapeId="0" xr:uid="{A9476BBF-C07E-4F3A-A2BA-C7A0CEB218F2}">
      <text>
        <r>
          <rPr>
            <b/>
            <sz val="9"/>
            <color indexed="81"/>
            <rFont val="Tahoma"/>
            <family val="2"/>
          </rPr>
          <t>Michael:</t>
        </r>
        <r>
          <rPr>
            <sz val="9"/>
            <color indexed="81"/>
            <rFont val="Tahoma"/>
            <family val="2"/>
          </rPr>
          <t xml:space="preserve">
This was not documented in the data. So we have just used the average of the two known trials. </t>
        </r>
      </text>
    </comment>
    <comment ref="T298" authorId="3" shapeId="0" xr:uid="{D3D51AF6-6BD9-467C-B456-F0F8EC7A5030}">
      <text>
        <r>
          <rPr>
            <b/>
            <sz val="9"/>
            <color indexed="81"/>
            <rFont val="Tahoma"/>
            <family val="2"/>
          </rPr>
          <t>Michael:</t>
        </r>
        <r>
          <rPr>
            <sz val="9"/>
            <color indexed="81"/>
            <rFont val="Tahoma"/>
            <family val="2"/>
          </rPr>
          <t xml:space="preserve">
This was not documented in the data. So we have just used the average of the two known trials. </t>
        </r>
      </text>
    </comment>
    <comment ref="U298" authorId="3" shapeId="0" xr:uid="{D1487685-2B09-426E-A6C3-857D41591BB0}">
      <text>
        <r>
          <rPr>
            <b/>
            <sz val="9"/>
            <color indexed="81"/>
            <rFont val="Tahoma"/>
            <family val="2"/>
          </rPr>
          <t>Michael:</t>
        </r>
        <r>
          <rPr>
            <sz val="9"/>
            <color indexed="81"/>
            <rFont val="Tahoma"/>
            <family val="2"/>
          </rPr>
          <t xml:space="preserve">
This was not documented in the data. So we have just used the average of the two known trials. </t>
        </r>
      </text>
    </comment>
    <comment ref="V298" authorId="3" shapeId="0" xr:uid="{AA55696C-0AA6-4B3C-9B40-B72DFDA29DBE}">
      <text>
        <r>
          <rPr>
            <b/>
            <sz val="9"/>
            <color indexed="81"/>
            <rFont val="Tahoma"/>
            <family val="2"/>
          </rPr>
          <t>Michael:</t>
        </r>
        <r>
          <rPr>
            <sz val="9"/>
            <color indexed="81"/>
            <rFont val="Tahoma"/>
            <family val="2"/>
          </rPr>
          <t xml:space="preserve">
This was not documented in the data. So we have just used the average of the two known trials. </t>
        </r>
      </text>
    </comment>
    <comment ref="W298" authorId="3" shapeId="0" xr:uid="{CF44B74D-3EE7-4A85-B34D-B30ED29ED9C1}">
      <text>
        <r>
          <rPr>
            <b/>
            <sz val="9"/>
            <color indexed="81"/>
            <rFont val="Tahoma"/>
            <family val="2"/>
          </rPr>
          <t>Michael:</t>
        </r>
        <r>
          <rPr>
            <sz val="9"/>
            <color indexed="81"/>
            <rFont val="Tahoma"/>
            <family val="2"/>
          </rPr>
          <t xml:space="preserve">
This was not documented in the data. So we have just used the average of the two known trials. </t>
        </r>
      </text>
    </comment>
    <comment ref="Z298" authorId="3" shapeId="0" xr:uid="{157954A8-CDBE-4DFA-82CF-CB88A0081076}">
      <text>
        <r>
          <rPr>
            <b/>
            <sz val="9"/>
            <color indexed="81"/>
            <rFont val="Tahoma"/>
            <family val="2"/>
          </rPr>
          <t>Michael:</t>
        </r>
        <r>
          <rPr>
            <sz val="9"/>
            <color indexed="81"/>
            <rFont val="Tahoma"/>
            <family val="2"/>
          </rPr>
          <t xml:space="preserve">
This was not documented in the data. So we have just used the average of the two known trials. </t>
        </r>
      </text>
    </comment>
    <comment ref="AA298" authorId="3" shapeId="0" xr:uid="{286E9637-9279-42AC-B4D8-C5675E583804}">
      <text>
        <r>
          <rPr>
            <b/>
            <sz val="9"/>
            <color indexed="81"/>
            <rFont val="Tahoma"/>
            <family val="2"/>
          </rPr>
          <t>Michael:</t>
        </r>
        <r>
          <rPr>
            <sz val="9"/>
            <color indexed="81"/>
            <rFont val="Tahoma"/>
            <family val="2"/>
          </rPr>
          <t xml:space="preserve">
This was not documented in the data. So we have just used the average of the two known trials. </t>
        </r>
      </text>
    </comment>
    <comment ref="AG299" authorId="3" shapeId="0" xr:uid="{4AC85EC0-CFDD-46B4-9298-0387FE76FABF}">
      <text>
        <r>
          <rPr>
            <b/>
            <sz val="9"/>
            <color indexed="81"/>
            <rFont val="Tahoma"/>
            <family val="2"/>
          </rPr>
          <t>Michael:</t>
        </r>
        <r>
          <rPr>
            <sz val="9"/>
            <color indexed="81"/>
            <rFont val="Tahoma"/>
            <family val="2"/>
          </rPr>
          <t xml:space="preserve">
Correct that this sup is a bit all over the placed</t>
        </r>
      </text>
    </comment>
    <comment ref="AH312" authorId="2" shapeId="0" xr:uid="{11FA6B55-A76A-494D-BA55-F9A969EF53E7}">
      <text>
        <r>
          <rPr>
            <b/>
            <sz val="9"/>
            <color indexed="81"/>
            <rFont val="Tahoma"/>
            <family val="2"/>
          </rPr>
          <t>John:</t>
        </r>
        <r>
          <rPr>
            <sz val="9"/>
            <color indexed="81"/>
            <rFont val="Tahoma"/>
            <family val="2"/>
          </rPr>
          <t xml:space="preserve">
Continued past end of the experimental period because that is consistent with the fitted LW profile</t>
        </r>
      </text>
    </comment>
    <comment ref="G321" authorId="0" shapeId="0" xr:uid="{1257020F-BBF3-41D3-8884-D1ED1E75F2AE}">
      <text>
        <r>
          <rPr>
            <b/>
            <sz val="9"/>
            <color indexed="81"/>
            <rFont val="Tahoma"/>
            <family val="2"/>
          </rPr>
          <t>Michael Young:</t>
        </r>
        <r>
          <rPr>
            <sz val="9"/>
            <color indexed="81"/>
            <rFont val="Tahoma"/>
            <family val="2"/>
          </rPr>
          <t xml:space="preserve">
fit a quadratic to liveweight determined in paddock trials. This is used to determine lw in each generator period.
The coefficients are for an equation (where GD is 100 GDs)
LW = a GD + b GD^2 + c
i.e. this is a non-standard format for the equation</t>
        </r>
      </text>
    </comment>
    <comment ref="G326" authorId="3" shapeId="0" xr:uid="{52A5AA14-C9D4-4C1D-ACBE-7B429902EBE9}">
      <text>
        <r>
          <rPr>
            <b/>
            <sz val="9"/>
            <color indexed="81"/>
            <rFont val="Tahoma"/>
            <family val="2"/>
          </rPr>
          <t>Michael:</t>
        </r>
        <r>
          <rPr>
            <sz val="9"/>
            <color indexed="81"/>
            <rFont val="Tahoma"/>
            <family val="2"/>
          </rPr>
          <t xml:space="preserve">
Which of the trials is used for each crop.
Mulitple trials can be selected for a single crop. The final stubble results from the sim are averaged betwwen the tirals. 
If a trial is not used just leave this blank and it will be skipped in the sim.</t>
        </r>
      </text>
    </comment>
    <comment ref="K336" authorId="3" shapeId="0" xr:uid="{8D173250-D1C2-4EEC-9D76-6B8FC59C5725}">
      <text>
        <r>
          <rPr>
            <b/>
            <sz val="9"/>
            <color indexed="81"/>
            <rFont val="Tahoma"/>
            <family val="2"/>
          </rPr>
          <t>Michael:</t>
        </r>
        <r>
          <rPr>
            <sz val="9"/>
            <color indexed="81"/>
            <rFont val="Tahoma"/>
            <family val="2"/>
          </rPr>
          <t xml:space="preserve">
no oat trial so gets average of wheat and barley</t>
        </r>
      </text>
    </comment>
    <comment ref="S336" authorId="3" shapeId="0" xr:uid="{03E5FF1E-1CCD-4C9D-AA49-42FC31940BDA}">
      <text>
        <r>
          <rPr>
            <b/>
            <sz val="9"/>
            <color indexed="81"/>
            <rFont val="Tahoma"/>
            <family val="2"/>
          </rPr>
          <t>Michael:</t>
        </r>
        <r>
          <rPr>
            <sz val="9"/>
            <color indexed="81"/>
            <rFont val="Tahoma"/>
            <family val="2"/>
          </rPr>
          <t xml:space="preserve">
no oat trial so gets average of wheat and barley</t>
        </r>
      </text>
    </comment>
    <comment ref="W336" authorId="3" shapeId="0" xr:uid="{18CDD049-9A61-4B83-AD0E-B41E951B5BE9}">
      <text>
        <r>
          <rPr>
            <b/>
            <sz val="9"/>
            <color indexed="81"/>
            <rFont val="Tahoma"/>
            <family val="2"/>
          </rPr>
          <t>Michael:</t>
        </r>
        <r>
          <rPr>
            <sz val="9"/>
            <color indexed="81"/>
            <rFont val="Tahoma"/>
            <family val="2"/>
          </rPr>
          <t xml:space="preserve">
no oat trial so gets average of wheat and barley</t>
        </r>
      </text>
    </comment>
    <comment ref="AA336" authorId="3" shapeId="0" xr:uid="{82783C4B-A2CD-495D-9952-A91A2C4C1798}">
      <text>
        <r>
          <rPr>
            <b/>
            <sz val="9"/>
            <color indexed="81"/>
            <rFont val="Tahoma"/>
            <family val="2"/>
          </rPr>
          <t>Michael:</t>
        </r>
        <r>
          <rPr>
            <sz val="9"/>
            <color indexed="81"/>
            <rFont val="Tahoma"/>
            <family val="2"/>
          </rPr>
          <t xml:space="preserve">
no oat trial so gets average of wheat and barley</t>
        </r>
      </text>
    </comment>
    <comment ref="AC336" authorId="3" shapeId="0" xr:uid="{4249BBED-9E36-4FED-A1A5-CF7FC125796C}">
      <text>
        <r>
          <rPr>
            <b/>
            <sz val="9"/>
            <color indexed="81"/>
            <rFont val="Tahoma"/>
            <family val="2"/>
          </rPr>
          <t>Michael:</t>
        </r>
        <r>
          <rPr>
            <sz val="9"/>
            <color indexed="81"/>
            <rFont val="Tahoma"/>
            <family val="2"/>
          </rPr>
          <t xml:space="preserve">
no oat trial so gets average of wheat and barley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John</author>
    <author>Michael Young (21512438)</author>
    <author>Michael</author>
    <author>Southern Dirt</author>
  </authors>
  <commentList>
    <comment ref="J47" authorId="0" shapeId="0" xr:uid="{BFCDCD5B-A2A3-4D0C-B70C-DB0A568C7702}">
      <text>
        <r>
          <rPr>
            <b/>
            <sz val="9"/>
            <color indexed="81"/>
            <rFont val="Tahoma"/>
            <family val="2"/>
          </rPr>
          <t>John:</t>
        </r>
        <r>
          <rPr>
            <sz val="9"/>
            <color indexed="81"/>
            <rFont val="Tahoma"/>
            <family val="2"/>
          </rPr>
          <t xml:space="preserve">
From the Triplets project
A combined analysis with Cashmore would be better because these equations are not sensible predictions below50% scanning but better above 180%</t>
        </r>
      </text>
    </comment>
    <comment ref="P47" authorId="0" shapeId="0" xr:uid="{48C11048-6E50-4CE6-B1D2-0FFFD1BA2724}">
      <text>
        <r>
          <rPr>
            <b/>
            <sz val="9"/>
            <color indexed="81"/>
            <rFont val="Tahoma"/>
            <family val="2"/>
          </rPr>
          <t>John:</t>
        </r>
        <r>
          <rPr>
            <sz val="9"/>
            <color indexed="81"/>
            <rFont val="Tahoma"/>
            <family val="2"/>
          </rPr>
          <t xml:space="preserve">
Scale dam mob size during the lactation period. 
Alters progeny survival at birth</t>
        </r>
      </text>
    </comment>
    <comment ref="H48" authorId="0" shapeId="0" xr:uid="{AFB1712D-7DC5-46A6-9E3A-E58B5F7AB775}">
      <text>
        <r>
          <rPr>
            <b/>
            <sz val="9"/>
            <color indexed="81"/>
            <rFont val="Tahoma"/>
            <family val="2"/>
          </rPr>
          <t>John:</t>
        </r>
        <r>
          <rPr>
            <sz val="9"/>
            <color indexed="81"/>
            <rFont val="Tahoma"/>
            <family val="2"/>
          </rPr>
          <t xml:space="preserve">
Different coefficients are required because the measured scanning % is different with different levels of scanning.</t>
        </r>
      </text>
    </comment>
    <comment ref="I62" authorId="0" shapeId="0" xr:uid="{776379D9-EC6B-4B28-A20E-9232BBED5BC5}">
      <text>
        <r>
          <rPr>
            <b/>
            <sz val="9"/>
            <color indexed="81"/>
            <rFont val="Tahoma"/>
            <family val="2"/>
          </rPr>
          <t>John:</t>
        </r>
        <r>
          <rPr>
            <sz val="9"/>
            <color indexed="81"/>
            <rFont val="Tahoma"/>
            <family val="2"/>
          </rPr>
          <t xml:space="preserve">
These coefficients predicted transformed hauteur and therefore need back transforming</t>
        </r>
      </text>
    </comment>
    <comment ref="AF89" authorId="0" shapeId="0" xr:uid="{868F4DC1-4700-40E5-BD27-948F218FCFFC}">
      <text>
        <r>
          <rPr>
            <b/>
            <sz val="9"/>
            <color indexed="81"/>
            <rFont val="Tahoma"/>
            <family val="2"/>
          </rPr>
          <t>John:</t>
        </r>
        <r>
          <rPr>
            <sz val="9"/>
            <color indexed="81"/>
            <rFont val="Tahoma"/>
            <family val="2"/>
          </rPr>
          <t xml:space="preserve">
Which FD premium to use for the price adjustemtn for the components (pieces, bellies, etc).</t>
        </r>
      </text>
    </comment>
    <comment ref="Q93" authorId="0" shapeId="0" xr:uid="{399223C5-5103-4923-8046-905997E187FF}">
      <text>
        <r>
          <rPr>
            <b/>
            <sz val="9"/>
            <color indexed="81"/>
            <rFont val="Tahoma"/>
            <family val="2"/>
          </rPr>
          <t>John:</t>
        </r>
        <r>
          <rPr>
            <sz val="9"/>
            <color indexed="81"/>
            <rFont val="Tahoma"/>
            <family val="2"/>
          </rPr>
          <t xml:space="preserve">
Hauteur infromation has been replaced by SS &amp; SL valuation.
Not deleted in case it is reinstated in future.</t>
        </r>
      </text>
    </comment>
    <comment ref="Y94" authorId="0" shapeId="0" xr:uid="{E073596C-558F-4913-B034-F0804EBE30BD}">
      <text>
        <r>
          <rPr>
            <b/>
            <sz val="9"/>
            <color indexed="81"/>
            <rFont val="Tahoma"/>
            <family val="2"/>
          </rPr>
          <t>John:</t>
        </r>
        <r>
          <rPr>
            <sz val="9"/>
            <color indexed="81"/>
            <rFont val="Tahoma"/>
            <family val="2"/>
          </rPr>
          <t xml:space="preserve">
Based on the MPG of the  component i.e.
Price = MPG(Fleece + adj) * scalar</t>
        </r>
      </text>
    </comment>
    <comment ref="AV94" authorId="0" shapeId="0" xr:uid="{F2411393-070A-4432-9CED-F6ED64E53863}">
      <text>
        <r>
          <rPr>
            <b/>
            <sz val="9"/>
            <color indexed="81"/>
            <rFont val="Tahoma"/>
            <family val="2"/>
          </rPr>
          <t xml:space="preserve">John:
</t>
        </r>
        <r>
          <rPr>
            <sz val="9"/>
            <color indexed="81"/>
            <rFont val="Tahoma"/>
            <family val="2"/>
          </rPr>
          <t>Calculated in the code but also done here so that the STB price can be viewed while changing assumptions
Sweep the board price as a % of the MPG for the FD of the fleece
Note: The FD premium has a small impact on the value and this is not included in the calculation. The effect of altering the FD premium is up to about 0.3% (3c/kg)
To include this would require expanding the STB scalar to have a w5 axis.</t>
        </r>
      </text>
    </comment>
    <comment ref="BE95" authorId="0" shapeId="0" xr:uid="{34190AE4-B818-4A4C-AB75-C303A9D6D162}">
      <text>
        <r>
          <rPr>
            <b/>
            <sz val="9"/>
            <color indexed="81"/>
            <rFont val="Tahoma"/>
            <family val="2"/>
          </rPr>
          <t>John:</t>
        </r>
        <r>
          <rPr>
            <sz val="9"/>
            <color indexed="81"/>
            <rFont val="Tahoma"/>
            <family val="2"/>
          </rPr>
          <t xml:space="preserve">
If it is an error assuming it is because value is too low so forecast using first 2 points.
If value is high forecast using the upper 2 points.</t>
        </r>
      </text>
    </comment>
    <comment ref="BH95" authorId="0" shapeId="0" xr:uid="{276216EC-853B-4738-B8B3-60C6FFBF4150}">
      <text>
        <r>
          <rPr>
            <b/>
            <sz val="9"/>
            <color indexed="81"/>
            <rFont val="Tahoma"/>
            <family val="2"/>
          </rPr>
          <t>John:</t>
        </r>
        <r>
          <rPr>
            <sz val="9"/>
            <color indexed="81"/>
            <rFont val="Tahoma"/>
            <family val="2"/>
          </rPr>
          <t xml:space="preserve">
If it is an error assuming it is because value is too low so forecast using first 2 points.
If value is high forecast using the upper 2 points.</t>
        </r>
      </text>
    </comment>
    <comment ref="H96" authorId="0" shapeId="0" xr:uid="{6F1237AB-04C4-4F04-A9C3-C68778B1805E}">
      <text>
        <r>
          <rPr>
            <b/>
            <sz val="9"/>
            <color indexed="81"/>
            <rFont val="Tahoma"/>
            <family val="2"/>
          </rPr>
          <t>John:</t>
        </r>
        <r>
          <rPr>
            <sz val="9"/>
            <color indexed="81"/>
            <rFont val="Tahoma"/>
            <family val="2"/>
          </rPr>
          <t xml:space="preserve">
A low FD that provides a lower range for the FD range.
Compnent prices are extrapolated from the lowest set of inputs</t>
        </r>
      </text>
    </comment>
    <comment ref="I103" authorId="0" shapeId="0" xr:uid="{CB34ABD1-3747-4103-AF4A-BB7FAED68B32}">
      <text>
        <r>
          <rPr>
            <b/>
            <sz val="9"/>
            <color indexed="81"/>
            <rFont val="Tahoma"/>
            <family val="2"/>
          </rPr>
          <t>John:</t>
        </r>
        <r>
          <rPr>
            <sz val="9"/>
            <color indexed="81"/>
            <rFont val="Tahoma"/>
            <family val="2"/>
          </rPr>
          <t xml:space="preserve">
These greyed out values are the percentile values for each FD.
These are not used but the percentile values of the FD. The % premiums percentiles are used instead with a base FD (currently 21u)</t>
        </r>
      </text>
    </comment>
    <comment ref="Y103" authorId="0" shapeId="0" xr:uid="{4D141326-3A98-4823-B393-245CC4C58B02}">
      <text>
        <r>
          <rPr>
            <b/>
            <sz val="9"/>
            <color indexed="81"/>
            <rFont val="Tahoma"/>
            <family val="2"/>
          </rPr>
          <t>John:</t>
        </r>
        <r>
          <rPr>
            <sz val="9"/>
            <color indexed="81"/>
            <rFont val="Tahoma"/>
            <family val="2"/>
          </rPr>
          <t xml:space="preserve">
WA Average percentage of MPG</t>
        </r>
      </text>
    </comment>
    <comment ref="Y109" authorId="0" shapeId="0" xr:uid="{5F4B2F6B-EC7E-412A-A2FA-4185A8787604}">
      <text>
        <r>
          <rPr>
            <b/>
            <sz val="9"/>
            <color indexed="81"/>
            <rFont val="Tahoma"/>
            <family val="2"/>
          </rPr>
          <t>John:</t>
        </r>
        <r>
          <rPr>
            <sz val="9"/>
            <color indexed="81"/>
            <rFont val="Tahoma"/>
            <family val="2"/>
          </rPr>
          <t xml:space="preserve">
Crossbred average percentage of the MPG</t>
        </r>
      </text>
    </comment>
    <comment ref="BG109" authorId="0" shapeId="0" xr:uid="{AB3B10F8-3C6A-4A10-8715-E06DC98AD5F7}">
      <text>
        <r>
          <rPr>
            <b/>
            <sz val="9"/>
            <color indexed="81"/>
            <rFont val="Tahoma"/>
            <family val="2"/>
          </rPr>
          <t>John:</t>
        </r>
        <r>
          <rPr>
            <sz val="9"/>
            <color indexed="81"/>
            <rFont val="Tahoma"/>
            <family val="2"/>
          </rPr>
          <t xml:space="preserve">
Crossbred yield</t>
        </r>
      </text>
    </comment>
    <comment ref="AK111" authorId="0" shapeId="0" xr:uid="{1EC3F1C1-3714-4B4E-8E81-7EDF96BF3ECA}">
      <text>
        <r>
          <rPr>
            <b/>
            <sz val="9"/>
            <color indexed="81"/>
            <rFont val="Tahoma"/>
            <family val="2"/>
          </rPr>
          <t>John:</t>
        </r>
        <r>
          <rPr>
            <sz val="9"/>
            <color indexed="81"/>
            <rFont val="Tahoma"/>
            <family val="2"/>
          </rPr>
          <t xml:space="preserve">
Based on the micron premiums from Mecardo Nov 2020</t>
        </r>
      </text>
    </comment>
    <comment ref="AK112" authorId="0" shapeId="0" xr:uid="{F29FABAF-BC58-4B67-B7FC-DBAAABC2E330}">
      <text>
        <r>
          <rPr>
            <b/>
            <sz val="9"/>
            <color indexed="81"/>
            <rFont val="Tahoma"/>
            <family val="2"/>
          </rPr>
          <t>John:</t>
        </r>
        <r>
          <rPr>
            <sz val="9"/>
            <color indexed="81"/>
            <rFont val="Tahoma"/>
            <family val="2"/>
          </rPr>
          <t xml:space="preserve">
Based on a Mecardo article 12 Nov 2020 that reported a price series from Jul08 to 2020 for 34u vs 28u</t>
        </r>
      </text>
    </comment>
    <comment ref="I115" authorId="0" shapeId="0" xr:uid="{0EE7256D-8C62-4053-8A1B-E25DF2326157}">
      <text>
        <r>
          <rPr>
            <b/>
            <sz val="9"/>
            <color indexed="81"/>
            <rFont val="Tahoma"/>
            <family val="2"/>
          </rPr>
          <t>John:</t>
        </r>
        <r>
          <rPr>
            <sz val="9"/>
            <color indexed="81"/>
            <rFont val="Tahoma"/>
            <family val="2"/>
          </rPr>
          <t xml:space="preserve">
Must be one of the FDs in the above table.
If this input changes then the default price in the web app must be updated</t>
        </r>
      </text>
    </comment>
    <comment ref="P123" authorId="0" shapeId="0" xr:uid="{04DE276C-6C66-46BD-BCA6-BB681652A38A}">
      <text>
        <r>
          <rPr>
            <b/>
            <sz val="9"/>
            <color indexed="81"/>
            <rFont val="Tahoma"/>
            <family val="2"/>
          </rPr>
          <t>John:</t>
        </r>
        <r>
          <rPr>
            <sz val="9"/>
            <color indexed="81"/>
            <rFont val="Tahoma"/>
            <family val="2"/>
          </rPr>
          <t xml:space="preserve">
Not included in STB price calculation but included in the Mecardo components
Stain is counted as a contributor to crutchings
In AFO the quantity of wool removed at crutchng should be income at crutching at the price specified. And CFW of the animal should be reduced. When this is altered then the proportion of crutching will be entered here and the stains input will be a small component of the crutching.</t>
        </r>
      </text>
    </comment>
    <comment ref="N124" authorId="0" shapeId="0" xr:uid="{234CD559-D857-4FBB-BF0D-760C2EECC74A}">
      <text>
        <r>
          <rPr>
            <b/>
            <sz val="9"/>
            <color indexed="81"/>
            <rFont val="Tahoma"/>
            <family val="2"/>
          </rPr>
          <t>John:</t>
        </r>
        <r>
          <rPr>
            <sz val="9"/>
            <color indexed="81"/>
            <rFont val="Tahoma"/>
            <family val="2"/>
          </rPr>
          <t xml:space="preserve">
This is currently the crutchings so that the average wool price is reduced to account for some of the CFW being sold as crutchings. To be represented correctly the wool removed at crutching should be subtracted from CFW and the income added tot he cashflow at crutching.
When AFO is updated this Stains value will be an estimate of stains removed at shearing. And will be considered to be part of the component that Mecardo label crutchings. The current formulas will handle that transition when the values are altered.</t>
        </r>
      </text>
    </comment>
    <comment ref="J125" authorId="0" shapeId="0" xr:uid="{4740BA8D-4D0E-4916-8CCA-FF480F3304AA}">
      <text>
        <r>
          <rPr>
            <b/>
            <sz val="9"/>
            <color indexed="81"/>
            <rFont val="Tahoma"/>
            <family val="2"/>
          </rPr>
          <t>John:</t>
        </r>
        <r>
          <rPr>
            <sz val="9"/>
            <color indexed="81"/>
            <rFont val="Tahoma"/>
            <family val="2"/>
          </rPr>
          <t xml:space="preserve">
Estimated proportions greasy based on expected yields and clean proportions.
Could be altered so these are inputs</t>
        </r>
      </text>
    </comment>
    <comment ref="N126" authorId="0" shapeId="0" xr:uid="{58F535FE-98A0-476B-B6A2-1CB8BDD43F24}">
      <text>
        <r>
          <rPr>
            <b/>
            <sz val="9"/>
            <color indexed="81"/>
            <rFont val="Tahoma"/>
            <family val="2"/>
          </rPr>
          <t>John:</t>
        </r>
        <r>
          <rPr>
            <sz val="9"/>
            <color indexed="81"/>
            <rFont val="Tahoma"/>
            <family val="2"/>
          </rPr>
          <t xml:space="preserve">
This is currently the crutchings so that the average wool price is reduced to account for some of the CFW being sold as crutchings. To be represented correctly the wool removed at crutching should be subtracted from CFW and the income added tot he cashflow at crutching.
When AFO is updated this Stains value will be an estimate of stains removed at shearing. And will be considered to be part of the component that Mecardo label crutchings. The current formulas will handle that transition when the values are altered.</t>
        </r>
      </text>
    </comment>
    <comment ref="J130" authorId="0" shapeId="0" xr:uid="{5AA686B1-1729-42B8-96DF-1B5EE3FC7781}">
      <text>
        <r>
          <rPr>
            <b/>
            <sz val="9"/>
            <color indexed="81"/>
            <rFont val="Tahoma"/>
            <family val="2"/>
          </rPr>
          <t>John:</t>
        </r>
        <r>
          <rPr>
            <sz val="9"/>
            <color indexed="81"/>
            <rFont val="Tahoma"/>
            <family val="2"/>
          </rPr>
          <t xml:space="preserve">
Estimated proportions greasy based on expected yields and clean proportions.
Could be altered so these are inputs</t>
        </r>
      </text>
    </comment>
    <comment ref="N131" authorId="0" shapeId="0" xr:uid="{BE2FB67A-3F3A-4503-9D2F-24CF608C6D5C}">
      <text>
        <r>
          <rPr>
            <b/>
            <sz val="9"/>
            <color indexed="81"/>
            <rFont val="Tahoma"/>
            <family val="2"/>
          </rPr>
          <t>John:</t>
        </r>
        <r>
          <rPr>
            <sz val="9"/>
            <color indexed="81"/>
            <rFont val="Tahoma"/>
            <family val="2"/>
          </rPr>
          <t xml:space="preserve">
This is currently the crutchings so that the average wool price is reduced to account for some of the CFW being sold as crutchings. To be represented correctly the wool removed at crutching should be subtracted from CFW and the income added tot he cashflow at crutching.
When AFO is updated this Stains value will be an estimate of stains removed at shearing. And will be considered to be part of the component that Mecardo label crutchings. The current formulas will handle that transition when the values are altered.</t>
        </r>
      </text>
    </comment>
    <comment ref="L152" authorId="0" shapeId="0" xr:uid="{407732DA-34E4-43E4-A01D-58C8F1BC1E0A}">
      <text>
        <r>
          <rPr>
            <b/>
            <sz val="9"/>
            <color indexed="81"/>
            <rFont val="Tahoma"/>
            <family val="2"/>
          </rPr>
          <t>John:</t>
        </r>
        <r>
          <rPr>
            <sz val="9"/>
            <color indexed="81"/>
            <rFont val="Tahoma"/>
            <family val="2"/>
          </rPr>
          <t xml:space="preserve">
Insurance</t>
        </r>
      </text>
    </comment>
    <comment ref="K156" authorId="0" shapeId="0" xr:uid="{BF3FBCEF-8E27-46F9-8599-4C015D0E0A89}">
      <text>
        <r>
          <rPr>
            <b/>
            <sz val="9"/>
            <color indexed="81"/>
            <rFont val="Tahoma"/>
            <family val="2"/>
          </rPr>
          <t>John:</t>
        </r>
        <r>
          <rPr>
            <sz val="9"/>
            <color indexed="81"/>
            <rFont val="Tahoma"/>
            <family val="2"/>
          </rPr>
          <t xml:space="preserve">
Merino</t>
        </r>
      </text>
    </comment>
    <comment ref="AH181" authorId="0" shapeId="0" xr:uid="{15EB19AE-AAFE-4DF3-8430-BAFA3F2B94C3}">
      <text>
        <r>
          <rPr>
            <b/>
            <sz val="9"/>
            <color indexed="81"/>
            <rFont val="Tahoma"/>
            <family val="2"/>
          </rPr>
          <t>John:</t>
        </r>
        <r>
          <rPr>
            <sz val="9"/>
            <color indexed="81"/>
            <rFont val="Tahoma"/>
            <family val="2"/>
          </rPr>
          <t xml:space="preserve">
Yard fees (if applicable) + IFS</t>
        </r>
      </text>
    </comment>
    <comment ref="L182" authorId="0" shapeId="0" xr:uid="{1F7A2840-2A24-43B2-A688-F861AA42CDBF}">
      <text>
        <r>
          <rPr>
            <b/>
            <sz val="9"/>
            <color indexed="81"/>
            <rFont val="Tahoma"/>
            <family val="2"/>
          </rPr>
          <t>John:</t>
        </r>
        <r>
          <rPr>
            <sz val="9"/>
            <color indexed="81"/>
            <rFont val="Tahoma"/>
            <family val="2"/>
          </rPr>
          <t xml:space="preserve">
0 - Fat score
1 - Condition score</t>
        </r>
      </text>
    </comment>
    <comment ref="M182" authorId="0" shapeId="0" xr:uid="{4BEBC38C-ED49-4C3A-B834-EC1770D63B7E}">
      <text>
        <r>
          <rPr>
            <b/>
            <sz val="9"/>
            <color indexed="81"/>
            <rFont val="Tahoma"/>
            <family val="2"/>
          </rPr>
          <t>John:</t>
        </r>
        <r>
          <rPr>
            <sz val="9"/>
            <color indexed="81"/>
            <rFont val="Tahoma"/>
            <family val="2"/>
          </rPr>
          <t xml:space="preserve">
0 - $/kg DW
1 - $/kg LW
2 - $/hd</t>
        </r>
      </text>
    </comment>
    <comment ref="N182" authorId="0" shapeId="0" xr:uid="{0D4AE7F1-5581-42DA-8AEC-FC157E888C42}">
      <text>
        <r>
          <rPr>
            <b/>
            <sz val="9"/>
            <color indexed="81"/>
            <rFont val="Tahoma"/>
            <family val="2"/>
          </rPr>
          <t>John:</t>
        </r>
        <r>
          <rPr>
            <sz val="9"/>
            <color indexed="81"/>
            <rFont val="Tahoma"/>
            <family val="2"/>
          </rPr>
          <t xml:space="preserve">
Age above which the extra discount is incurred each month.
To allow representation of old season lamb decline when new season come on the market.
Or representation of a premium price for young breeders
Note: Maximum and minimum age for the grid is set in Parameters! because it can vary with genotype</t>
        </r>
      </text>
    </comment>
    <comment ref="W182" authorId="0" shapeId="0" xr:uid="{A0E75261-A0D5-4F07-B7E9-570946C608D6}">
      <text>
        <r>
          <rPr>
            <b/>
            <sz val="9"/>
            <color indexed="81"/>
            <rFont val="Tahoma"/>
            <family val="2"/>
          </rPr>
          <t>John:</t>
        </r>
        <r>
          <rPr>
            <sz val="9"/>
            <color indexed="81"/>
            <rFont val="Tahoma"/>
            <family val="2"/>
          </rPr>
          <t xml:space="preserve">
Adjustment based on wethers. Further adjustment by gender in x axis cx[23,…].</t>
        </r>
      </text>
    </comment>
    <comment ref="X182" authorId="0" shapeId="0" xr:uid="{60FDACBD-94C2-4C3A-97D5-69688681E0CE}">
      <text>
        <r>
          <rPr>
            <b/>
            <sz val="9"/>
            <color indexed="81"/>
            <rFont val="Tahoma"/>
            <family val="2"/>
          </rPr>
          <t>John:</t>
        </r>
        <r>
          <rPr>
            <sz val="9"/>
            <color indexed="81"/>
            <rFont val="Tahoma"/>
            <family val="2"/>
          </rPr>
          <t xml:space="preserve">
Average price for the year</t>
        </r>
      </text>
    </comment>
    <comment ref="Y182" authorId="0" shapeId="0" xr:uid="{8CD8B071-CF22-4993-9FEC-BBC3B95A8B56}">
      <text>
        <r>
          <rPr>
            <b/>
            <sz val="9"/>
            <color indexed="81"/>
            <rFont val="Tahoma"/>
            <family val="2"/>
          </rPr>
          <t>John:</t>
        </r>
        <r>
          <rPr>
            <sz val="9"/>
            <color indexed="81"/>
            <rFont val="Tahoma"/>
            <family val="2"/>
          </rPr>
          <t xml:space="preserve">
Price prior to adding the month adjustment
This value is transferred to AFO.
</t>
        </r>
      </text>
    </comment>
    <comment ref="AZ182" authorId="0" shapeId="0" xr:uid="{A48B4C6E-D493-4BCB-8F62-C6194CEBC4B5}">
      <text>
        <r>
          <rPr>
            <b/>
            <sz val="9"/>
            <color indexed="81"/>
            <rFont val="Tahoma"/>
            <family val="2"/>
          </rPr>
          <t>John:</t>
        </r>
        <r>
          <rPr>
            <sz val="9"/>
            <color indexed="81"/>
            <rFont val="Tahoma"/>
            <family val="2"/>
          </rPr>
          <t xml:space="preserve">
At lowest price time of the year</t>
        </r>
      </text>
    </comment>
    <comment ref="AX183" authorId="0" shapeId="0" xr:uid="{42B7CC6C-E1E1-41AF-A8AD-9B6F9153D1BF}">
      <text>
        <r>
          <rPr>
            <b/>
            <sz val="9"/>
            <color indexed="81"/>
            <rFont val="Tahoma"/>
            <family val="2"/>
          </rPr>
          <t>John:</t>
        </r>
        <r>
          <rPr>
            <sz val="9"/>
            <color indexed="81"/>
            <rFont val="Tahoma"/>
            <family val="2"/>
          </rPr>
          <t xml:space="preserve">
If it is an error assuming it is because value is too low so forecast using first 2 points.
If value is high forecast using the upper 2 points.</t>
        </r>
      </text>
    </comment>
    <comment ref="H184" authorId="0" shapeId="0" xr:uid="{334D6568-42C5-4750-A44A-0AE7A5B04BB4}">
      <text>
        <r>
          <rPr>
            <b/>
            <sz val="9"/>
            <color indexed="81"/>
            <rFont val="Tahoma"/>
            <family val="2"/>
          </rPr>
          <t>John:</t>
        </r>
        <r>
          <rPr>
            <sz val="9"/>
            <color indexed="81"/>
            <rFont val="Tahoma"/>
            <family val="2"/>
          </rPr>
          <t xml:space="preserve">
Combined the lamb grids which requires selecting the best price from the individual grids for each set of specifications.</t>
        </r>
      </text>
    </comment>
    <comment ref="X186" authorId="0" shapeId="0" xr:uid="{97B611F0-9904-4186-A066-FBB3FF49C6D1}">
      <text>
        <r>
          <rPr>
            <b/>
            <sz val="9"/>
            <color indexed="81"/>
            <rFont val="Tahoma"/>
            <family val="2"/>
          </rPr>
          <t>John:</t>
        </r>
        <r>
          <rPr>
            <sz val="9"/>
            <color indexed="81"/>
            <rFont val="Tahoma"/>
            <family val="2"/>
          </rPr>
          <t xml:space="preserve">
Same price as mutton</t>
        </r>
      </text>
    </comment>
    <comment ref="H187" authorId="0" shapeId="0" xr:uid="{0EDEB88B-85D7-4912-A5E4-05EE7F1E549C}">
      <text>
        <r>
          <rPr>
            <b/>
            <sz val="9"/>
            <color indexed="81"/>
            <rFont val="Tahoma"/>
            <family val="2"/>
          </rPr>
          <t>John:</t>
        </r>
        <r>
          <rPr>
            <sz val="9"/>
            <color indexed="81"/>
            <rFont val="Tahoma"/>
            <family val="2"/>
          </rPr>
          <t xml:space="preserve">
The $/hd grids have a minimum age so that very young animals can't receive a price per head</t>
        </r>
      </text>
    </comment>
    <comment ref="H188" authorId="0" shapeId="0" xr:uid="{6DD4BD88-C6CB-4EB0-9FE3-E718B99F1DB6}">
      <text>
        <r>
          <rPr>
            <b/>
            <sz val="9"/>
            <color indexed="81"/>
            <rFont val="Tahoma"/>
            <family val="2"/>
          </rPr>
          <t>John:</t>
        </r>
        <r>
          <rPr>
            <sz val="9"/>
            <color indexed="81"/>
            <rFont val="Tahoma"/>
            <family val="2"/>
          </rPr>
          <t xml:space="preserve">
The $/hd grids have a minimum age so that very young animals can't receive a price per head</t>
        </r>
      </text>
    </comment>
    <comment ref="N188" authorId="0" shapeId="0" xr:uid="{E5455877-5EEB-4D19-ABD9-77ED8F9DCAFA}">
      <text>
        <r>
          <rPr>
            <b/>
            <sz val="9"/>
            <color indexed="81"/>
            <rFont val="Tahoma"/>
            <family val="2"/>
          </rPr>
          <t>John:</t>
        </r>
        <r>
          <rPr>
            <sz val="9"/>
            <color indexed="81"/>
            <rFont val="Tahoma"/>
            <family val="2"/>
          </rPr>
          <t xml:space="preserve">
Price reduction if sold after their 2yo joining</t>
        </r>
      </text>
    </comment>
    <comment ref="Y188" authorId="0" shapeId="0" xr:uid="{B7C70337-DF4F-41D5-9612-CAFCBD627F4D}">
      <text>
        <r>
          <rPr>
            <b/>
            <sz val="9"/>
            <color indexed="81"/>
            <rFont val="Tahoma"/>
            <family val="2"/>
          </rPr>
          <t>John:</t>
        </r>
        <r>
          <rPr>
            <sz val="9"/>
            <color indexed="81"/>
            <rFont val="Tahoma"/>
            <family val="2"/>
          </rPr>
          <t xml:space="preserve">
Base the breeder price relative to the mutton price at the equivalent time of the year</t>
        </r>
      </text>
    </comment>
    <comment ref="Z188" authorId="0" shapeId="0" xr:uid="{09B129D5-E82A-4CCF-8972-E3E97A26C537}">
      <text>
        <r>
          <rPr>
            <b/>
            <sz val="9"/>
            <color indexed="81"/>
            <rFont val="Tahoma"/>
            <family val="2"/>
          </rPr>
          <t>John:</t>
        </r>
        <r>
          <rPr>
            <sz val="9"/>
            <color indexed="81"/>
            <rFont val="Tahoma"/>
            <family val="2"/>
          </rPr>
          <t xml:space="preserve">
Based on an average of the trade lamb &amp; mutton grids because no percentiles available from Mecardo </t>
        </r>
      </text>
    </comment>
    <comment ref="Z190" authorId="0" shapeId="0" xr:uid="{C86F5D9B-666A-4844-94C1-07F35DDC8A7B}">
      <text>
        <r>
          <rPr>
            <b/>
            <sz val="9"/>
            <color indexed="81"/>
            <rFont val="Tahoma"/>
            <family val="2"/>
          </rPr>
          <t>John:</t>
        </r>
        <r>
          <rPr>
            <sz val="9"/>
            <color indexed="81"/>
            <rFont val="Tahoma"/>
            <family val="2"/>
          </rPr>
          <t xml:space="preserve">
Based on an average of the trade lamb &amp; mutton grids because no percentiles available from Mecardo </t>
        </r>
      </text>
    </comment>
    <comment ref="O194" authorId="0" shapeId="0" xr:uid="{34B0935E-B033-4A59-B2A6-89C5B41A02BA}">
      <text>
        <r>
          <rPr>
            <b/>
            <sz val="9"/>
            <color indexed="81"/>
            <rFont val="Tahoma"/>
            <family val="2"/>
          </rPr>
          <t>John:</t>
        </r>
        <r>
          <rPr>
            <sz val="9"/>
            <color indexed="81"/>
            <rFont val="Tahoma"/>
            <family val="2"/>
          </rPr>
          <t xml:space="preserve">
A maximum score above which price is 0</t>
        </r>
      </text>
    </comment>
    <comment ref="AT194" authorId="1" shapeId="0" xr:uid="{D96EC6F2-65D6-4085-ABE4-328FBBAA9C38}">
      <text>
        <r>
          <rPr>
            <b/>
            <sz val="9"/>
            <color indexed="81"/>
            <rFont val="Tahoma"/>
            <family val="2"/>
          </rPr>
          <t>Michael Young (21512438):</t>
        </r>
        <r>
          <rPr>
            <sz val="9"/>
            <color indexed="81"/>
            <rFont val="Tahoma"/>
            <family val="2"/>
          </rPr>
          <t xml:space="preserve">
As in the real market, AFO assumption is that the lw/score scalar is the same for all animal that fall in the bracket. Score 2 and 2.3 get same scalars. There is no interpolation. However the score gets a normally distributed to reflect spread within the mob.</t>
        </r>
      </text>
    </comment>
    <comment ref="O195" authorId="0" shapeId="0" xr:uid="{4274C2B1-ADB0-4AF8-83C9-ED25B4C44791}">
      <text>
        <r>
          <rPr>
            <b/>
            <sz val="9"/>
            <color indexed="81"/>
            <rFont val="Tahoma"/>
            <family val="2"/>
          </rPr>
          <t>John:</t>
        </r>
        <r>
          <rPr>
            <sz val="9"/>
            <color indexed="81"/>
            <rFont val="Tahoma"/>
            <family val="2"/>
          </rPr>
          <t xml:space="preserve">
A maximum score above which price is 0</t>
        </r>
      </text>
    </comment>
    <comment ref="AW195" authorId="1" shapeId="0" xr:uid="{58EF96BF-54B8-4550-BFFE-7133332F77F1}">
      <text>
        <r>
          <rPr>
            <b/>
            <sz val="9"/>
            <color indexed="81"/>
            <rFont val="Tahoma"/>
            <family val="2"/>
          </rPr>
          <t>Michael Young (21512438):</t>
        </r>
        <r>
          <rPr>
            <sz val="9"/>
            <color indexed="81"/>
            <rFont val="Tahoma"/>
            <family val="2"/>
          </rPr>
          <t xml:space="preserve">
dressed % (estimate)</t>
        </r>
      </text>
    </comment>
    <comment ref="I196" authorId="0" shapeId="0" xr:uid="{9A867FE2-760D-4B44-97BF-3239B5A926D7}">
      <text>
        <r>
          <rPr>
            <b/>
            <sz val="9"/>
            <color indexed="81"/>
            <rFont val="Tahoma"/>
            <family val="2"/>
          </rPr>
          <t>John:</t>
        </r>
        <r>
          <rPr>
            <sz val="9"/>
            <color indexed="81"/>
            <rFont val="Tahoma"/>
            <family val="2"/>
          </rPr>
          <t xml:space="preserve">
Source: MLA Sheep Assessment Manual Jan 2017.</t>
        </r>
      </text>
    </comment>
    <comment ref="Z197" authorId="2" shapeId="0" xr:uid="{BEDF5A74-CF52-4709-89A3-7F0F5B75B702}">
      <text>
        <r>
          <rPr>
            <b/>
            <sz val="9"/>
            <color indexed="81"/>
            <rFont val="Tahoma"/>
            <family val="2"/>
          </rPr>
          <t>Michael:</t>
        </r>
        <r>
          <rPr>
            <sz val="9"/>
            <color indexed="81"/>
            <rFont val="Tahoma"/>
            <family val="2"/>
          </rPr>
          <t xml:space="preserve">
This has temporarily been turned off because FS didn’t seem to be calculating realistically in AFO (seemed too sensitive for lambs).</t>
        </r>
      </text>
    </comment>
    <comment ref="I198" authorId="1" shapeId="0" xr:uid="{BFC2F018-3799-4CA2-8DC1-316D711DC82F}">
      <text>
        <r>
          <rPr>
            <b/>
            <sz val="9"/>
            <color indexed="81"/>
            <rFont val="Tahoma"/>
            <family val="2"/>
          </rPr>
          <t>Michael Young (21512438):</t>
        </r>
        <r>
          <rPr>
            <sz val="9"/>
            <color indexed="81"/>
            <rFont val="Tahoma"/>
            <family val="2"/>
          </rPr>
          <t xml:space="preserve">
below 16kg is store</t>
        </r>
      </text>
    </comment>
    <comment ref="I199" authorId="1" shapeId="0" xr:uid="{167C1C53-264E-4026-9221-3BBFBA0D0B14}">
      <text>
        <r>
          <rPr>
            <b/>
            <sz val="9"/>
            <color indexed="81"/>
            <rFont val="Tahoma"/>
            <family val="2"/>
          </rPr>
          <t>Michael Young (21512438):</t>
        </r>
        <r>
          <rPr>
            <sz val="9"/>
            <color indexed="81"/>
            <rFont val="Tahoma"/>
            <family val="2"/>
          </rPr>
          <t xml:space="preserve">
16-18 is air freight. 10% discount compared to prime lamb</t>
        </r>
      </text>
    </comment>
    <comment ref="I200" authorId="1" shapeId="0" xr:uid="{714DB3E8-21BD-4186-8026-7638D5FA84C4}">
      <text>
        <r>
          <rPr>
            <b/>
            <sz val="9"/>
            <color indexed="81"/>
            <rFont val="Tahoma"/>
            <family val="2"/>
          </rPr>
          <t>Michael Young (21512438):</t>
        </r>
        <r>
          <rPr>
            <sz val="9"/>
            <color indexed="81"/>
            <rFont val="Tahoma"/>
            <family val="2"/>
          </rPr>
          <t xml:space="preserve">
above 18 is prime lamb market</t>
        </r>
      </text>
    </comment>
    <comment ref="I205" authorId="0" shapeId="0" xr:uid="{8EB604D0-7902-40EC-AC30-892EA7FD6E4A}">
      <text>
        <r>
          <rPr>
            <b/>
            <sz val="9"/>
            <color indexed="81"/>
            <rFont val="Tahoma"/>
            <family val="2"/>
          </rPr>
          <t>John:</t>
        </r>
        <r>
          <rPr>
            <sz val="9"/>
            <color indexed="81"/>
            <rFont val="Tahoma"/>
            <family val="2"/>
          </rPr>
          <t xml:space="preserve">
A maximum LW above which price is 0</t>
        </r>
      </text>
    </comment>
    <comment ref="H208" authorId="0" shapeId="0" xr:uid="{42C2B047-B3EA-4C19-8729-9A02BE631319}">
      <text>
        <r>
          <rPr>
            <b/>
            <sz val="9"/>
            <color indexed="81"/>
            <rFont val="Tahoma"/>
            <family val="2"/>
          </rPr>
          <t>John:</t>
        </r>
        <r>
          <rPr>
            <sz val="9"/>
            <color indexed="81"/>
            <rFont val="Tahoma"/>
            <family val="2"/>
          </rPr>
          <t xml:space="preserve">
BRM Lamb has very little discount for light animals relative to WAMMCO, so this might be reflecting air frieght.</t>
        </r>
      </text>
    </comment>
    <comment ref="AT208" authorId="1" shapeId="0" xr:uid="{7D203FFE-7EB3-4F3E-829D-360B1E24ACD6}">
      <text>
        <r>
          <rPr>
            <b/>
            <sz val="9"/>
            <color indexed="81"/>
            <rFont val="Tahoma"/>
            <family val="2"/>
          </rPr>
          <t>Michael Young (21512438):</t>
        </r>
        <r>
          <rPr>
            <sz val="9"/>
            <color indexed="81"/>
            <rFont val="Tahoma"/>
            <family val="2"/>
          </rPr>
          <t xml:space="preserve">
As in the real market, AFO assumption is that the lw/score scalar is the same for all animal that fall in the bracket. Score 2 and 2.3 get same scalars. There is no interpolation. However the score gets a normally distributed to reflect spread within the mob.</t>
        </r>
      </text>
    </comment>
    <comment ref="AW209" authorId="1" shapeId="0" xr:uid="{AF824599-22E2-4E9B-93EF-27DC9C676FA4}">
      <text>
        <r>
          <rPr>
            <b/>
            <sz val="9"/>
            <color indexed="81"/>
            <rFont val="Tahoma"/>
            <family val="2"/>
          </rPr>
          <t>Michael Young (21512438):</t>
        </r>
        <r>
          <rPr>
            <sz val="9"/>
            <color indexed="81"/>
            <rFont val="Tahoma"/>
            <family val="2"/>
          </rPr>
          <t xml:space="preserve">
dressed % (estimate)</t>
        </r>
      </text>
    </comment>
    <comment ref="AT221" authorId="1" shapeId="0" xr:uid="{2724F8AA-B880-4906-B776-07FA79DDD5EA}">
      <text>
        <r>
          <rPr>
            <b/>
            <sz val="9"/>
            <color indexed="81"/>
            <rFont val="Tahoma"/>
            <family val="2"/>
          </rPr>
          <t>Michael Young (21512438):</t>
        </r>
        <r>
          <rPr>
            <sz val="9"/>
            <color indexed="81"/>
            <rFont val="Tahoma"/>
            <family val="2"/>
          </rPr>
          <t xml:space="preserve">
As in the real market, AFO assumption is that the lw/score scalar is the same for all animal that fall in the bracket. Score 2 and 2.3 get same scalars. There is no interpolation. However the score gets a normally distributed to reflect spread within the mob.</t>
        </r>
      </text>
    </comment>
    <comment ref="AW222" authorId="1" shapeId="0" xr:uid="{D8BD5DC1-BA7C-422A-A54A-9F20BC68F56D}">
      <text>
        <r>
          <rPr>
            <b/>
            <sz val="9"/>
            <color indexed="81"/>
            <rFont val="Tahoma"/>
            <family val="2"/>
          </rPr>
          <t>Michael Young (21512438):</t>
        </r>
        <r>
          <rPr>
            <sz val="9"/>
            <color indexed="81"/>
            <rFont val="Tahoma"/>
            <family val="2"/>
          </rPr>
          <t xml:space="preserve">
dressed % (estimate)</t>
        </r>
      </text>
    </comment>
    <comment ref="J230" authorId="0" shapeId="0" xr:uid="{31A7D191-3F8B-482B-A315-54D3F131B83A}">
      <text>
        <r>
          <rPr>
            <b/>
            <sz val="9"/>
            <color indexed="81"/>
            <rFont val="Tahoma"/>
            <family val="2"/>
          </rPr>
          <t>John:</t>
        </r>
        <r>
          <rPr>
            <sz val="9"/>
            <color indexed="81"/>
            <rFont val="Tahoma"/>
            <family val="2"/>
          </rPr>
          <t xml:space="preserve">
Value of the animal sold for mutton using the price from the mutton grid. 
Scaled for the input percentiles for the different grids.
Change in formula is to line up the weight from this grid with the DW for mutton
</t>
        </r>
      </text>
    </comment>
    <comment ref="M230" authorId="0" shapeId="0" xr:uid="{4B1932D9-EE8E-44D9-8632-03B8FF6BD10A}">
      <text>
        <r>
          <rPr>
            <b/>
            <sz val="9"/>
            <color indexed="81"/>
            <rFont val="Tahoma"/>
            <family val="2"/>
          </rPr>
          <t>John:</t>
        </r>
        <r>
          <rPr>
            <sz val="9"/>
            <color indexed="81"/>
            <rFont val="Tahoma"/>
            <family val="2"/>
          </rPr>
          <t xml:space="preserve">
Price per kg is higher for the lighter shippers.</t>
        </r>
      </text>
    </comment>
    <comment ref="M231" authorId="0" shapeId="0" xr:uid="{32F55296-92A8-42FA-8369-E5030ADF1BD3}">
      <text>
        <r>
          <rPr>
            <b/>
            <sz val="9"/>
            <color indexed="81"/>
            <rFont val="Tahoma"/>
            <family val="2"/>
          </rPr>
          <t>John:</t>
        </r>
        <r>
          <rPr>
            <sz val="9"/>
            <color indexed="81"/>
            <rFont val="Tahoma"/>
            <family val="2"/>
          </rPr>
          <t xml:space="preserve">
Price per kg is higher for the lighter shippers.</t>
        </r>
      </text>
    </comment>
    <comment ref="H238" authorId="0" shapeId="0" xr:uid="{7453A9FD-527E-4AFA-A25B-78AA5F63F009}">
      <text>
        <r>
          <rPr>
            <b/>
            <sz val="9"/>
            <color indexed="81"/>
            <rFont val="Tahoma"/>
            <family val="2"/>
          </rPr>
          <t>John:</t>
        </r>
        <r>
          <rPr>
            <sz val="9"/>
            <color indexed="81"/>
            <rFont val="Tahoma"/>
            <family val="2"/>
          </rPr>
          <t xml:space="preserve">
Price is for a hogget age breeder. A discount is applied for older breeders.
These prices selected (15Jun21) so that 5.5yo &amp; 6.5yo have similar profit)</t>
        </r>
      </text>
    </comment>
    <comment ref="J238" authorId="0" shapeId="0" xr:uid="{04E4521C-0E28-4805-A999-989B2769A0C8}">
      <text>
        <r>
          <rPr>
            <b/>
            <sz val="9"/>
            <color indexed="81"/>
            <rFont val="Tahoma"/>
            <family val="2"/>
          </rPr>
          <t>John:</t>
        </r>
        <r>
          <rPr>
            <sz val="9"/>
            <color indexed="81"/>
            <rFont val="Tahoma"/>
            <family val="2"/>
          </rPr>
          <t xml:space="preserve">
Value of the animal sold for mutton using the price from the mutton grid. 
Scaled for the input percentiles for the different grids.
Change in formula is to line up the weight from this grid with the DW for mutton
</t>
        </r>
      </text>
    </comment>
    <comment ref="I268" authorId="0" shapeId="0" xr:uid="{9F3C6301-05E4-4992-AA16-8DEF7BB65287}">
      <text>
        <r>
          <rPr>
            <b/>
            <sz val="9"/>
            <color indexed="81"/>
            <rFont val="Tahoma"/>
            <family val="2"/>
          </rPr>
          <t>John:</t>
        </r>
        <r>
          <rPr>
            <sz val="9"/>
            <color indexed="81"/>
            <rFont val="Tahoma"/>
            <family val="2"/>
          </rPr>
          <t xml:space="preserve">
Price adjustment from the standard due to month of sale</t>
        </r>
      </text>
    </comment>
    <comment ref="I269" authorId="0" shapeId="0" xr:uid="{1EB6D130-780C-4ED6-9816-0C352A066437}">
      <text>
        <r>
          <rPr>
            <b/>
            <sz val="9"/>
            <color indexed="81"/>
            <rFont val="Tahoma"/>
            <family val="2"/>
          </rPr>
          <t>John:</t>
        </r>
        <r>
          <rPr>
            <sz val="9"/>
            <color indexed="81"/>
            <rFont val="Tahoma"/>
            <family val="2"/>
          </rPr>
          <t xml:space="preserve">
Price impact if above threshold age for that grid in the specificed month
(Usually a negative number)</t>
        </r>
      </text>
    </comment>
    <comment ref="I276" authorId="1" shapeId="0" xr:uid="{F0FA5778-F489-4BAA-A414-9C4276426A2B}">
      <text>
        <r>
          <rPr>
            <b/>
            <sz val="9"/>
            <color indexed="81"/>
            <rFont val="Tahoma"/>
            <family val="2"/>
          </rPr>
          <t>Michael Young (21512438):</t>
        </r>
        <r>
          <rPr>
            <sz val="9"/>
            <color indexed="81"/>
            <rFont val="Tahoma"/>
            <family val="2"/>
          </rPr>
          <t xml:space="preserve">
Same as mutton. Logic is that shippers always receive a ~25% premium compared to mutton so that farmers sell to the boat.</t>
        </r>
      </text>
    </comment>
    <comment ref="I278" authorId="0" shapeId="0" xr:uid="{AE25B853-707F-4698-ADDE-EB94850C498A}">
      <text>
        <r>
          <rPr>
            <b/>
            <sz val="9"/>
            <color indexed="81"/>
            <rFont val="Tahoma"/>
            <family val="2"/>
          </rPr>
          <t>John:</t>
        </r>
        <r>
          <rPr>
            <sz val="9"/>
            <color indexed="81"/>
            <rFont val="Tahoma"/>
            <family val="2"/>
          </rPr>
          <t xml:space="preserve">
A premium equivalent to the mutton market up until the end of the mating season.</t>
        </r>
      </text>
    </comment>
    <comment ref="K317" authorId="0" shapeId="0" xr:uid="{22730FD4-C5A8-4AC6-9467-3BBE3988AC2F}">
      <text>
        <r>
          <rPr>
            <b/>
            <sz val="9"/>
            <color indexed="81"/>
            <rFont val="Tahoma"/>
            <family val="2"/>
          </rPr>
          <t>John:</t>
        </r>
        <r>
          <rPr>
            <sz val="9"/>
            <color indexed="81"/>
            <rFont val="Tahoma"/>
            <family val="2"/>
          </rPr>
          <t xml:space="preserve">
Repairs &amp; maintenance and capital replacement if infrastructure is not used</t>
        </r>
      </text>
    </comment>
    <comment ref="L317" authorId="0" shapeId="0" xr:uid="{36BFBB7F-8E3D-476A-A568-82206359E1EF}">
      <text>
        <r>
          <rPr>
            <b/>
            <sz val="9"/>
            <color indexed="81"/>
            <rFont val="Tahoma"/>
            <family val="2"/>
          </rPr>
          <t>John:</t>
        </r>
        <r>
          <rPr>
            <sz val="9"/>
            <color indexed="81"/>
            <rFont val="Tahoma"/>
            <family val="2"/>
          </rPr>
          <t xml:space="preserve">
Extra Repairs &amp; maintenance and capital replacement per operation carried out
Expectation is that on a livestock dominant farm that 25% of the expenditure is fixed and 75% is due to use of infrastructure.
</t>
        </r>
      </text>
    </comment>
    <comment ref="M319" authorId="0" shapeId="0" xr:uid="{7BB4FCA1-CA6E-4EF7-AFF5-780E1E863E7E}">
      <text>
        <r>
          <rPr>
            <b/>
            <sz val="9"/>
            <color indexed="81"/>
            <rFont val="Tahoma"/>
            <family val="2"/>
          </rPr>
          <t>John:</t>
        </r>
        <r>
          <rPr>
            <sz val="9"/>
            <color indexed="81"/>
            <rFont val="Tahoma"/>
            <family val="2"/>
          </rPr>
          <t xml:space="preserve">
Currently assumed to be the same value as the R&amp;M cost spent in casual wages
Casual labour $40/hr + 11% super &amp; 4% WC with 15% supervision required.</t>
        </r>
      </text>
    </comment>
    <comment ref="L326" authorId="2" shapeId="0" xr:uid="{ED6E7724-8DC1-4586-A178-882056E343D0}">
      <text>
        <r>
          <rPr>
            <b/>
            <sz val="9"/>
            <color indexed="81"/>
            <rFont val="Tahoma"/>
            <family val="2"/>
          </rPr>
          <t>Michael:</t>
        </r>
        <r>
          <rPr>
            <sz val="9"/>
            <color indexed="81"/>
            <rFont val="Tahoma"/>
            <family val="2"/>
          </rPr>
          <t xml:space="preserve">
used to identify the fuel cost for emissions calc.</t>
        </r>
      </text>
    </comment>
    <comment ref="AG331" authorId="0" shapeId="0" xr:uid="{9E6E8A96-DEFC-4C28-B8FD-F96E592D4BBB}">
      <text>
        <r>
          <rPr>
            <b/>
            <sz val="9"/>
            <color indexed="81"/>
            <rFont val="Tahoma"/>
            <family val="2"/>
          </rPr>
          <t>John:</t>
        </r>
        <r>
          <rPr>
            <sz val="9"/>
            <color indexed="81"/>
            <rFont val="Tahoma"/>
            <family val="2"/>
          </rPr>
          <t xml:space="preserve">
40km of driving per hour doing 4 km/L for slow driving</t>
        </r>
      </text>
    </comment>
    <comment ref="T334" authorId="0" shapeId="0" xr:uid="{F28D7052-D3B6-4070-B76E-D39D9DF23E39}">
      <text>
        <r>
          <rPr>
            <b/>
            <sz val="9"/>
            <color indexed="81"/>
            <rFont val="Tahoma"/>
            <family val="2"/>
          </rPr>
          <t>John:</t>
        </r>
        <r>
          <rPr>
            <sz val="9"/>
            <color indexed="81"/>
            <rFont val="Tahoma"/>
            <family val="2"/>
          </rPr>
          <t xml:space="preserve">
1 ml per 5kg for LV</t>
        </r>
      </text>
    </comment>
    <comment ref="U334" authorId="0" shapeId="0" xr:uid="{420BF2CF-1CCA-4FA7-95D5-8D8CA8A83087}">
      <text>
        <r>
          <rPr>
            <b/>
            <sz val="9"/>
            <color indexed="81"/>
            <rFont val="Tahoma"/>
            <family val="2"/>
          </rPr>
          <t>John:</t>
        </r>
        <r>
          <rPr>
            <sz val="9"/>
            <color indexed="81"/>
            <rFont val="Tahoma"/>
            <family val="2"/>
          </rPr>
          <t xml:space="preserve">
1 ml per 5kg for LV</t>
        </r>
      </text>
    </comment>
    <comment ref="AA334" authorId="0" shapeId="0" xr:uid="{3AABBA51-7C9C-4C5B-920C-322A9589F9D3}">
      <text>
        <r>
          <rPr>
            <b/>
            <sz val="9"/>
            <color indexed="81"/>
            <rFont val="Tahoma"/>
            <family val="2"/>
          </rPr>
          <t>John:</t>
        </r>
        <r>
          <rPr>
            <sz val="9"/>
            <color indexed="81"/>
            <rFont val="Tahoma"/>
            <family val="2"/>
          </rPr>
          <t xml:space="preserve">
1 ring for tail &amp; 1 ring for wethers</t>
        </r>
      </text>
    </comment>
    <comment ref="AF334" authorId="0" shapeId="0" xr:uid="{2E415DD4-835A-40FB-89CD-1EFE4888A58C}">
      <text>
        <r>
          <rPr>
            <b/>
            <sz val="9"/>
            <color indexed="81"/>
            <rFont val="Tahoma"/>
            <family val="2"/>
          </rPr>
          <t>John:</t>
        </r>
        <r>
          <rPr>
            <sz val="9"/>
            <color indexed="81"/>
            <rFont val="Tahoma"/>
            <family val="2"/>
          </rPr>
          <t xml:space="preserve">
Cost / Weight of wool per pack</t>
        </r>
      </text>
    </comment>
    <comment ref="P341" authorId="0" shapeId="0" xr:uid="{3F053E6D-E403-44CB-A024-8F2C77724ACC}">
      <text>
        <r>
          <rPr>
            <b/>
            <sz val="9"/>
            <color indexed="81"/>
            <rFont val="Tahoma"/>
            <family val="2"/>
          </rPr>
          <t>John:</t>
        </r>
        <r>
          <rPr>
            <sz val="9"/>
            <color indexed="81"/>
            <rFont val="Tahoma"/>
            <family val="2"/>
          </rPr>
          <t xml:space="preserve">
Some operations can be combined and therefore done with a single mustering. This is achieved by entering fractional requirements for mustering and summing the proportions for each operation carried out in a period and rounding up to the next integer
 = np.ceil(np.sum(mustering proportion))
</t>
        </r>
      </text>
    </comment>
    <comment ref="Q341" authorId="0" shapeId="0" xr:uid="{43091314-1F6D-4337-9BF6-8B8481761029}">
      <text>
        <r>
          <rPr>
            <b/>
            <sz val="9"/>
            <color indexed="81"/>
            <rFont val="Tahoma"/>
            <family val="2"/>
          </rPr>
          <t>John:</t>
        </r>
        <r>
          <rPr>
            <sz val="9"/>
            <color indexed="81"/>
            <rFont val="Tahoma"/>
            <family val="2"/>
          </rPr>
          <t xml:space="preserve">
Use of infrastructure per operation.
The treatment unit for infrastructure is per head and therefore does not require scaling.</t>
        </r>
      </text>
    </comment>
    <comment ref="I342" authorId="0" shapeId="0" xr:uid="{96E8A85B-B24A-4332-8AA7-32B98A583F86}">
      <text>
        <r>
          <rPr>
            <b/>
            <sz val="9"/>
            <color indexed="81"/>
            <rFont val="Tahoma"/>
            <family val="2"/>
          </rPr>
          <t>John:</t>
        </r>
        <r>
          <rPr>
            <sz val="9"/>
            <color indexed="81"/>
            <rFont val="Tahoma"/>
            <family val="2"/>
          </rPr>
          <t xml:space="preserve">
Treatment unit for Contract &amp; labour for the operations</t>
        </r>
      </text>
    </comment>
    <comment ref="L342" authorId="0" shapeId="0" xr:uid="{894D969A-5FE1-4787-9A88-991AD6CFBF0A}">
      <text>
        <r>
          <rPr>
            <b/>
            <sz val="9"/>
            <color indexed="81"/>
            <rFont val="Tahoma"/>
            <family val="2"/>
          </rPr>
          <t>John:</t>
        </r>
        <r>
          <rPr>
            <sz val="9"/>
            <color indexed="81"/>
            <rFont val="Tahoma"/>
            <family val="2"/>
          </rPr>
          <t xml:space="preserve">
Throughput when the animals are in the yard area i.e. not including mustering.</t>
        </r>
      </text>
    </comment>
    <comment ref="Q343" authorId="0" shapeId="0" xr:uid="{FA3CD80F-8D97-4D06-856C-89FB0682A844}">
      <text>
        <r>
          <rPr>
            <b/>
            <sz val="9"/>
            <color indexed="81"/>
            <rFont val="Tahoma"/>
            <family val="2"/>
          </rPr>
          <t>John:</t>
        </r>
        <r>
          <rPr>
            <sz val="9"/>
            <color indexed="81"/>
            <rFont val="Tahoma"/>
            <family val="2"/>
          </rPr>
          <t xml:space="preserve">
Use of yards and laneways determined by number of times mustered. Although can be complemented with a number per job if the job is particularly damaging to infrastructure</t>
        </r>
      </text>
    </comment>
    <comment ref="N350" authorId="0" shapeId="0" xr:uid="{9CD042B7-8B85-439F-A018-4D118DE86048}">
      <text>
        <r>
          <rPr>
            <b/>
            <sz val="9"/>
            <color indexed="81"/>
            <rFont val="Tahoma"/>
            <family val="2"/>
          </rPr>
          <t>John:</t>
        </r>
        <r>
          <rPr>
            <sz val="9"/>
            <color indexed="81"/>
            <rFont val="Tahoma"/>
            <family val="2"/>
          </rPr>
          <t xml:space="preserve">
Extra time on top of drenching</t>
        </r>
      </text>
    </comment>
    <comment ref="N351" authorId="0" shapeId="0" xr:uid="{379B7C16-0633-48AD-AAD9-1FE3B26629B8}">
      <text>
        <r>
          <rPr>
            <b/>
            <sz val="9"/>
            <color indexed="81"/>
            <rFont val="Tahoma"/>
            <family val="2"/>
          </rPr>
          <t>John:</t>
        </r>
        <r>
          <rPr>
            <sz val="9"/>
            <color indexed="81"/>
            <rFont val="Tahoma"/>
            <family val="2"/>
          </rPr>
          <t xml:space="preserve">
Extra time on top of drenching</t>
        </r>
      </text>
    </comment>
    <comment ref="P352" authorId="0" shapeId="0" xr:uid="{CCB54608-2F59-48E2-8F0B-90E5FB049E7C}">
      <text>
        <r>
          <rPr>
            <b/>
            <sz val="9"/>
            <color indexed="81"/>
            <rFont val="Tahoma"/>
            <family val="2"/>
          </rPr>
          <t>John:</t>
        </r>
        <r>
          <rPr>
            <sz val="9"/>
            <color indexed="81"/>
            <rFont val="Tahoma"/>
            <family val="2"/>
          </rPr>
          <t xml:space="preserve">
So ewes don't get stressed</t>
        </r>
      </text>
    </comment>
    <comment ref="K353" authorId="0" shapeId="0" xr:uid="{6B744750-35C7-4F42-9DA4-7A2445C23650}">
      <text>
        <r>
          <rPr>
            <b/>
            <sz val="9"/>
            <color indexed="81"/>
            <rFont val="Tahoma"/>
            <family val="2"/>
          </rPr>
          <t>John:</t>
        </r>
        <r>
          <rPr>
            <sz val="9"/>
            <color indexed="81"/>
            <rFont val="Tahoma"/>
            <family val="2"/>
          </rPr>
          <t xml:space="preserve">
Scanning cost from a straw poll of scanners in the Triplets project.
Previous values: 52c for W/D from Michelle Cousins 2021 (&gt;2000ewes, add 10c/hd for less than 2000 ewes)
Add an estimated cost of travel, 50km @ $1.30/km spread over 3000 ewes.</t>
        </r>
      </text>
    </comment>
    <comment ref="N353" authorId="0" shapeId="0" xr:uid="{665B9FFF-1015-4A2D-AA3C-2DF4AF974BC4}">
      <text>
        <r>
          <rPr>
            <b/>
            <sz val="9"/>
            <color indexed="81"/>
            <rFont val="Tahoma"/>
            <family val="2"/>
          </rPr>
          <t>John:</t>
        </r>
        <r>
          <rPr>
            <sz val="9"/>
            <color indexed="81"/>
            <rFont val="Tahoma"/>
            <family val="2"/>
          </rPr>
          <t xml:space="preserve">
3000 per 8 hr day with 2 people</t>
        </r>
      </text>
    </comment>
    <comment ref="P353" authorId="0" shapeId="0" xr:uid="{0FCDC693-FBA0-4F58-9EA4-7EFE38B405B5}">
      <text>
        <r>
          <rPr>
            <b/>
            <sz val="9"/>
            <color indexed="81"/>
            <rFont val="Tahoma"/>
            <family val="2"/>
          </rPr>
          <t>John:</t>
        </r>
        <r>
          <rPr>
            <sz val="9"/>
            <color indexed="81"/>
            <rFont val="Tahoma"/>
            <family val="2"/>
          </rPr>
          <t xml:space="preserve">
High throughput contract job, so no spare capacity</t>
        </r>
      </text>
    </comment>
    <comment ref="N354" authorId="0" shapeId="0" xr:uid="{695F9CD0-3DF4-439C-98D3-4A01BE9ED070}">
      <text>
        <r>
          <rPr>
            <b/>
            <sz val="9"/>
            <color indexed="81"/>
            <rFont val="Tahoma"/>
            <family val="2"/>
          </rPr>
          <t>John:</t>
        </r>
        <r>
          <rPr>
            <sz val="9"/>
            <color indexed="81"/>
            <rFont val="Tahoma"/>
            <family val="2"/>
          </rPr>
          <t xml:space="preserve">
2000 per 8 hr day with 2.5 people</t>
        </r>
      </text>
    </comment>
    <comment ref="P354" authorId="0" shapeId="0" xr:uid="{FB29928A-DF7F-4FDE-A57B-9E3B26D3763D}">
      <text>
        <r>
          <rPr>
            <b/>
            <sz val="9"/>
            <color indexed="81"/>
            <rFont val="Tahoma"/>
            <family val="2"/>
          </rPr>
          <t>John:</t>
        </r>
        <r>
          <rPr>
            <sz val="9"/>
            <color indexed="81"/>
            <rFont val="Tahoma"/>
            <family val="2"/>
          </rPr>
          <t xml:space="preserve">
High throughput contract job, so no spare capacity</t>
        </r>
      </text>
    </comment>
    <comment ref="N355" authorId="0" shapeId="0" xr:uid="{BE85C21A-8CF0-4A1C-898E-E22C4D2CB97D}">
      <text>
        <r>
          <rPr>
            <b/>
            <sz val="9"/>
            <color indexed="81"/>
            <rFont val="Tahoma"/>
            <family val="2"/>
          </rPr>
          <t>John:</t>
        </r>
        <r>
          <rPr>
            <sz val="9"/>
            <color indexed="81"/>
            <rFont val="Tahoma"/>
            <family val="2"/>
          </rPr>
          <t xml:space="preserve">
1500 per 8 hr day with 2.5 people</t>
        </r>
      </text>
    </comment>
    <comment ref="P355" authorId="0" shapeId="0" xr:uid="{3E29A77C-319D-4AC2-ADB3-94F43A69D704}">
      <text>
        <r>
          <rPr>
            <b/>
            <sz val="9"/>
            <color indexed="81"/>
            <rFont val="Tahoma"/>
            <family val="2"/>
          </rPr>
          <t>John:</t>
        </r>
        <r>
          <rPr>
            <sz val="9"/>
            <color indexed="81"/>
            <rFont val="Tahoma"/>
            <family val="2"/>
          </rPr>
          <t xml:space="preserve">
High throughput contract job, so no spare capacity</t>
        </r>
      </text>
    </comment>
    <comment ref="N356" authorId="0" shapeId="0" xr:uid="{E8BB3EAA-D7FF-4CD5-88FC-500BFDDB1A21}">
      <text>
        <r>
          <rPr>
            <b/>
            <sz val="9"/>
            <color indexed="81"/>
            <rFont val="Tahoma"/>
            <family val="2"/>
          </rPr>
          <t>John:</t>
        </r>
        <r>
          <rPr>
            <sz val="9"/>
            <color indexed="81"/>
            <rFont val="Tahoma"/>
            <family val="2"/>
          </rPr>
          <t xml:space="preserve">
Similar throughput to scanning litter size</t>
        </r>
      </text>
    </comment>
    <comment ref="P356" authorId="0" shapeId="0" xr:uid="{663712B8-3640-4287-959D-88AA142E2873}">
      <text>
        <r>
          <rPr>
            <b/>
            <sz val="9"/>
            <color indexed="81"/>
            <rFont val="Tahoma"/>
            <family val="2"/>
          </rPr>
          <t>John:</t>
        </r>
        <r>
          <rPr>
            <sz val="9"/>
            <color indexed="81"/>
            <rFont val="Tahoma"/>
            <family val="2"/>
          </rPr>
          <t xml:space="preserve">
High throughput contract job, so no spare capacity</t>
        </r>
      </text>
    </comment>
    <comment ref="P357" authorId="0" shapeId="0" xr:uid="{45E24D7A-733F-49EC-8CB3-E02D2721C102}">
      <text>
        <r>
          <rPr>
            <b/>
            <sz val="9"/>
            <color indexed="81"/>
            <rFont val="Tahoma"/>
            <family val="2"/>
          </rPr>
          <t>John:</t>
        </r>
        <r>
          <rPr>
            <sz val="9"/>
            <color indexed="81"/>
            <rFont val="Tahoma"/>
            <family val="2"/>
          </rPr>
          <t xml:space="preserve">
Can GBAL &amp; mark lambs together</t>
        </r>
      </text>
    </comment>
    <comment ref="P358" authorId="0" shapeId="0" xr:uid="{0847DDCA-A551-4578-9A74-3C35C67A8B28}">
      <text>
        <r>
          <rPr>
            <b/>
            <sz val="9"/>
            <color indexed="81"/>
            <rFont val="Tahoma"/>
            <family val="2"/>
          </rPr>
          <t>John:</t>
        </r>
        <r>
          <rPr>
            <sz val="9"/>
            <color indexed="81"/>
            <rFont val="Tahoma"/>
            <family val="2"/>
          </rPr>
          <t xml:space="preserve">
Can't do other jobs with marking, only crutching of the ewes
Greater than 1 because mustering dams with progeny at foot is much slower</t>
        </r>
      </text>
    </comment>
    <comment ref="AB358" authorId="0" shapeId="0" xr:uid="{AE4C7258-613F-4DC9-84C6-F98D9A6B69C3}">
      <text>
        <r>
          <rPr>
            <b/>
            <sz val="9"/>
            <color indexed="81"/>
            <rFont val="Tahoma"/>
            <family val="2"/>
          </rPr>
          <t>John:</t>
        </r>
        <r>
          <rPr>
            <sz val="9"/>
            <color indexed="81"/>
            <rFont val="Tahoma"/>
            <family val="2"/>
          </rPr>
          <t xml:space="preserve">
Males only</t>
        </r>
      </text>
    </comment>
    <comment ref="K359" authorId="0" shapeId="0" xr:uid="{72758158-F7D6-486F-8116-67C3F5585DFB}">
      <text>
        <r>
          <rPr>
            <b/>
            <sz val="9"/>
            <color indexed="81"/>
            <rFont val="Tahoma"/>
            <family val="2"/>
          </rPr>
          <t>John:</t>
        </r>
        <r>
          <rPr>
            <sz val="9"/>
            <color indexed="81"/>
            <rFont val="Tahoma"/>
            <family val="2"/>
          </rPr>
          <t xml:space="preserve">
Extra cost for flocks that are mulesing (on top of marking)
Source: Shephard et al 2022</t>
        </r>
      </text>
    </comment>
    <comment ref="N359" authorId="0" shapeId="0" xr:uid="{2C2263C5-37DC-409D-8505-0DC3391E6178}">
      <text>
        <r>
          <rPr>
            <b/>
            <sz val="9"/>
            <color indexed="81"/>
            <rFont val="Tahoma"/>
            <family val="2"/>
          </rPr>
          <t>John:</t>
        </r>
        <r>
          <rPr>
            <sz val="9"/>
            <color indexed="81"/>
            <rFont val="Tahoma"/>
            <family val="2"/>
          </rPr>
          <t xml:space="preserve">
Extra time on top of marking
</t>
        </r>
      </text>
    </comment>
    <comment ref="AB359" authorId="0" shapeId="0" xr:uid="{BF524B05-5D44-41DC-AAC8-FC7D81791038}">
      <text>
        <r>
          <rPr>
            <b/>
            <sz val="9"/>
            <color indexed="81"/>
            <rFont val="Tahoma"/>
            <family val="2"/>
          </rPr>
          <t>John:</t>
        </r>
        <r>
          <rPr>
            <sz val="9"/>
            <color indexed="81"/>
            <rFont val="Tahoma"/>
            <family val="2"/>
          </rPr>
          <t xml:space="preserve">
Include for females</t>
        </r>
      </text>
    </comment>
    <comment ref="P361" authorId="0" shapeId="0" xr:uid="{8177B4C2-C7E4-4D0A-98B3-65C8AE4130FD}">
      <text>
        <r>
          <rPr>
            <b/>
            <sz val="9"/>
            <color indexed="81"/>
            <rFont val="Tahoma"/>
            <family val="2"/>
          </rPr>
          <t>John:</t>
        </r>
        <r>
          <rPr>
            <sz val="9"/>
            <color indexed="81"/>
            <rFont val="Tahoma"/>
            <family val="2"/>
          </rPr>
          <t xml:space="preserve">
Mustering dams with progeny at foot is more time consuming. So the sum of the 2 is greater than 1</t>
        </r>
      </text>
    </comment>
    <comment ref="P362" authorId="0" shapeId="0" xr:uid="{5A92ACC6-056C-436F-A91D-6B9DD70A397C}">
      <text>
        <r>
          <rPr>
            <b/>
            <sz val="9"/>
            <color indexed="81"/>
            <rFont val="Tahoma"/>
            <family val="2"/>
          </rPr>
          <t>John:</t>
        </r>
        <r>
          <rPr>
            <sz val="9"/>
            <color indexed="81"/>
            <rFont val="Tahoma"/>
            <family val="2"/>
          </rPr>
          <t xml:space="preserve">
Can't shear &amp; class together</t>
        </r>
      </text>
    </comment>
    <comment ref="N363" authorId="0" shapeId="0" xr:uid="{2977C803-6518-4628-9B31-2F5251FB3E41}">
      <text>
        <r>
          <rPr>
            <b/>
            <sz val="9"/>
            <color indexed="81"/>
            <rFont val="Tahoma"/>
            <family val="2"/>
          </rPr>
          <t>John:</t>
        </r>
        <r>
          <rPr>
            <sz val="9"/>
            <color indexed="81"/>
            <rFont val="Tahoma"/>
            <family val="2"/>
          </rPr>
          <t xml:space="preserve">
To move sheep and handle the wool</t>
        </r>
      </text>
    </comment>
    <comment ref="R363" authorId="0" shapeId="0" xr:uid="{501CEF34-B752-4B47-AB10-E99818C3DC88}">
      <text>
        <r>
          <rPr>
            <b/>
            <sz val="9"/>
            <color indexed="81"/>
            <rFont val="Tahoma"/>
            <family val="2"/>
          </rPr>
          <t>John:</t>
        </r>
        <r>
          <rPr>
            <sz val="9"/>
            <color indexed="81"/>
            <rFont val="Tahoma"/>
            <family val="2"/>
          </rPr>
          <t xml:space="preserve">
0 is cradle crutch
1 is board crutch
Also likely to change labour requirement</t>
        </r>
      </text>
    </comment>
    <comment ref="N364" authorId="0" shapeId="0" xr:uid="{2D8F05E2-B8AF-4A7A-AB0D-9D8B5B4E56F2}">
      <text>
        <r>
          <rPr>
            <b/>
            <sz val="9"/>
            <color indexed="81"/>
            <rFont val="Tahoma"/>
            <family val="2"/>
          </rPr>
          <t>John:</t>
        </r>
        <r>
          <rPr>
            <sz val="9"/>
            <color indexed="81"/>
            <rFont val="Tahoma"/>
            <family val="2"/>
          </rPr>
          <t xml:space="preserve">
To move sheep and handle the wool</t>
        </r>
      </text>
    </comment>
    <comment ref="P364" authorId="0" shapeId="0" xr:uid="{86842DE2-F55F-4AA1-A147-977D2DA1D870}">
      <text>
        <r>
          <rPr>
            <b/>
            <sz val="9"/>
            <color indexed="81"/>
            <rFont val="Tahoma"/>
            <family val="2"/>
          </rPr>
          <t>John:</t>
        </r>
        <r>
          <rPr>
            <sz val="9"/>
            <color indexed="81"/>
            <rFont val="Tahoma"/>
            <family val="2"/>
          </rPr>
          <t xml:space="preserve">
Can crutch &amp; mark lambs together</t>
        </r>
      </text>
    </comment>
    <comment ref="P366" authorId="0" shapeId="0" xr:uid="{7E89EA83-2AB3-47EA-99FA-DB1513F532C1}">
      <text>
        <r>
          <rPr>
            <b/>
            <sz val="9"/>
            <color indexed="81"/>
            <rFont val="Tahoma"/>
            <family val="2"/>
          </rPr>
          <t>John:</t>
        </r>
        <r>
          <rPr>
            <sz val="9"/>
            <color indexed="81"/>
            <rFont val="Tahoma"/>
            <family val="2"/>
          </rPr>
          <t xml:space="preserve">
Can't shear &amp; class together</t>
        </r>
      </text>
    </comment>
    <comment ref="AD367" authorId="0" shapeId="0" xr:uid="{0B16A8C6-5D90-4D91-AFD8-1B830767F3B4}">
      <text>
        <r>
          <rPr>
            <b/>
            <sz val="9"/>
            <color indexed="81"/>
            <rFont val="Tahoma"/>
            <family val="2"/>
          </rPr>
          <t>John:</t>
        </r>
        <r>
          <rPr>
            <sz val="9"/>
            <color indexed="81"/>
            <rFont val="Tahoma"/>
            <family val="2"/>
          </rPr>
          <t xml:space="preserve">
Lice control required every second year</t>
        </r>
      </text>
    </comment>
    <comment ref="M368" authorId="0" shapeId="0" xr:uid="{3046D3BD-A4C6-480B-A82E-6E109EFB1F93}">
      <text>
        <r>
          <rPr>
            <b/>
            <sz val="9"/>
            <color indexed="81"/>
            <rFont val="Tahoma"/>
            <family val="2"/>
          </rPr>
          <t>John:</t>
        </r>
        <r>
          <rPr>
            <sz val="9"/>
            <color indexed="81"/>
            <rFont val="Tahoma"/>
            <family val="2"/>
          </rPr>
          <t xml:space="preserve">
Quarter hour per mob.
Includes both driving to the paddocks &amp; checking the animals</t>
        </r>
      </text>
    </comment>
    <comment ref="AG368" authorId="0" shapeId="0" xr:uid="{77235415-F50A-4A21-9389-81446A45060F}">
      <text>
        <r>
          <rPr>
            <b/>
            <sz val="9"/>
            <color indexed="81"/>
            <rFont val="Tahoma"/>
            <family val="2"/>
          </rPr>
          <t>John:</t>
        </r>
        <r>
          <rPr>
            <sz val="9"/>
            <color indexed="81"/>
            <rFont val="Tahoma"/>
            <family val="2"/>
          </rPr>
          <t xml:space="preserve">
Inverse of mobs per hour gives hours per mob</t>
        </r>
      </text>
    </comment>
    <comment ref="N369" authorId="0" shapeId="0" xr:uid="{4F0617D9-EC5D-475D-8AEB-916434EABA81}">
      <text>
        <r>
          <rPr>
            <b/>
            <sz val="9"/>
            <color indexed="81"/>
            <rFont val="Tahoma"/>
            <family val="2"/>
          </rPr>
          <t>John:</t>
        </r>
        <r>
          <rPr>
            <sz val="9"/>
            <color indexed="81"/>
            <rFont val="Tahoma"/>
            <family val="2"/>
          </rPr>
          <t xml:space="preserve">
Lambing check 3 times per week taking 1/8 hour per mob (7.5mins). Can be done by hired labour.
Includes both driving to the paddocks &amp; checking the animals. 
Note: paddock size is usually small at lambing so lots of mobs to check.</t>
        </r>
      </text>
    </comment>
    <comment ref="M370" authorId="0" shapeId="0" xr:uid="{94AE42E2-9862-450B-A3F0-A7C6C6E73D9E}">
      <text>
        <r>
          <rPr>
            <b/>
            <sz val="9"/>
            <color indexed="81"/>
            <rFont val="Tahoma"/>
            <family val="2"/>
          </rPr>
          <t>John:</t>
        </r>
        <r>
          <rPr>
            <sz val="9"/>
            <color indexed="81"/>
            <rFont val="Tahoma"/>
            <family val="2"/>
          </rPr>
          <t xml:space="preserve">
A second monitoring during the period (if losing weight).
A quick look around, 1/8 hour per mob (7.5mins).
Includes both driving to the paddocks &amp; checking the animals</t>
        </r>
      </text>
    </comment>
    <comment ref="H373" authorId="0" shapeId="0" xr:uid="{5149C0F0-99B7-4E2B-A695-E83BF714DDAA}">
      <text>
        <r>
          <rPr>
            <b/>
            <sz val="9"/>
            <color indexed="81"/>
            <rFont val="Tahoma"/>
            <family val="2"/>
          </rPr>
          <t>John:</t>
        </r>
        <r>
          <rPr>
            <sz val="9"/>
            <color indexed="81"/>
            <rFont val="Tahoma"/>
            <family val="2"/>
          </rPr>
          <t xml:space="preserve">
Mustering is separate because the number of operations is calcuated based on the other jobs carried out.
Therefore mustering does not appear in the rules for the operations.</t>
        </r>
      </text>
    </comment>
    <comment ref="I373" authorId="0" shapeId="0" xr:uid="{6058A1E7-DD38-4D27-804D-4727036206B4}">
      <text>
        <r>
          <rPr>
            <b/>
            <sz val="9"/>
            <color indexed="81"/>
            <rFont val="Tahoma"/>
            <family val="2"/>
          </rPr>
          <t>John:</t>
        </r>
        <r>
          <rPr>
            <sz val="9"/>
            <color indexed="81"/>
            <rFont val="Tahoma"/>
            <family val="2"/>
          </rPr>
          <t xml:space="preserve">
The treatment unit for Mustering is the mob so the cost is incurred per mob for the operations carried out. 
</t>
        </r>
      </text>
    </comment>
    <comment ref="N373" authorId="0" shapeId="0" xr:uid="{2CB3AED4-852B-449D-BA82-DEAC344D9DC6}">
      <text>
        <r>
          <rPr>
            <b/>
            <sz val="9"/>
            <color indexed="81"/>
            <rFont val="Tahoma"/>
            <family val="2"/>
          </rPr>
          <t>John:</t>
        </r>
        <r>
          <rPr>
            <sz val="9"/>
            <color indexed="81"/>
            <rFont val="Tahoma"/>
            <family val="2"/>
          </rPr>
          <t xml:space="preserve">
1.33 mob mustered per hour. 3/4 hr per mob</t>
        </r>
      </text>
    </comment>
    <comment ref="H375" authorId="0" shapeId="0" xr:uid="{C9B26135-BAED-42E4-BCD4-9A1168C4BD14}">
      <text>
        <r>
          <rPr>
            <b/>
            <sz val="9"/>
            <color indexed="81"/>
            <rFont val="Tahoma"/>
            <family val="2"/>
          </rPr>
          <t>John:</t>
        </r>
        <r>
          <rPr>
            <sz val="9"/>
            <color indexed="81"/>
            <rFont val="Tahoma"/>
            <family val="2"/>
          </rPr>
          <t xml:space="preserve">
Extra time spent above monitoring for the livestock.
The number of monitorings is dependent on the level of pasture utilisation</t>
        </r>
      </text>
    </comment>
    <comment ref="J375" authorId="0" shapeId="0" xr:uid="{FED7B01E-F992-497E-AC1D-7CAD09A2F873}">
      <text>
        <r>
          <rPr>
            <b/>
            <sz val="9"/>
            <color indexed="81"/>
            <rFont val="Tahoma"/>
            <family val="2"/>
          </rPr>
          <t>John:</t>
        </r>
        <r>
          <rPr>
            <sz val="9"/>
            <color indexed="81"/>
            <rFont val="Tahoma"/>
            <family val="2"/>
          </rPr>
          <t xml:space="preserve">
Time per paddock.
Includes both driving to the paddocks &amp; checking the feed</t>
        </r>
      </text>
    </comment>
    <comment ref="L375" authorId="0" shapeId="0" xr:uid="{565534D3-671E-4D2C-AE4C-F93C9FE297A0}">
      <text>
        <r>
          <rPr>
            <b/>
            <sz val="9"/>
            <color indexed="81"/>
            <rFont val="Tahoma"/>
            <family val="2"/>
          </rPr>
          <t>John:</t>
        </r>
        <r>
          <rPr>
            <sz val="9"/>
            <color indexed="81"/>
            <rFont val="Tahoma"/>
            <family val="2"/>
          </rPr>
          <t xml:space="preserve">
Half an hour per paddock.
Includes both driving to the paddocks &amp; checking the feed</t>
        </r>
      </text>
    </comment>
    <comment ref="J376" authorId="0" shapeId="0" xr:uid="{CCE86F6A-7FC9-4F34-9DD3-6A098C9B4052}">
      <text>
        <r>
          <rPr>
            <b/>
            <sz val="9"/>
            <color indexed="81"/>
            <rFont val="Tahoma"/>
            <family val="2"/>
          </rPr>
          <t>John:</t>
        </r>
        <r>
          <rPr>
            <sz val="9"/>
            <color indexed="81"/>
            <rFont val="Tahoma"/>
            <family val="2"/>
          </rPr>
          <t xml:space="preserve">
Time per paddock for planning.</t>
        </r>
      </text>
    </comment>
    <comment ref="L376" authorId="0" shapeId="0" xr:uid="{B52D8BC5-B303-49DB-A006-E87E74940F27}">
      <text>
        <r>
          <rPr>
            <b/>
            <sz val="9"/>
            <color indexed="81"/>
            <rFont val="Tahoma"/>
            <family val="2"/>
          </rPr>
          <t>John:</t>
        </r>
        <r>
          <rPr>
            <sz val="9"/>
            <color indexed="81"/>
            <rFont val="Tahoma"/>
            <family val="2"/>
          </rPr>
          <t xml:space="preserve">
1/4 hour per paddock.
For planning</t>
        </r>
      </text>
    </comment>
    <comment ref="J377" authorId="0" shapeId="0" xr:uid="{F292FE02-4929-400E-BC18-691C2AC45541}">
      <text>
        <r>
          <rPr>
            <b/>
            <sz val="9"/>
            <color indexed="81"/>
            <rFont val="Tahoma"/>
            <family val="2"/>
          </rPr>
          <t>John:</t>
        </r>
        <r>
          <rPr>
            <sz val="9"/>
            <color indexed="81"/>
            <rFont val="Tahoma"/>
            <family val="2"/>
          </rPr>
          <t xml:space="preserve">
Time per mob to implement the plan</t>
        </r>
      </text>
    </comment>
    <comment ref="N377" authorId="0" shapeId="0" xr:uid="{7D3BAE2E-DA8B-45BD-BD1F-92AE732F508C}">
      <text>
        <r>
          <rPr>
            <b/>
            <sz val="9"/>
            <color indexed="81"/>
            <rFont val="Tahoma"/>
            <family val="2"/>
          </rPr>
          <t>John:</t>
        </r>
        <r>
          <rPr>
            <sz val="9"/>
            <color indexed="81"/>
            <rFont val="Tahoma"/>
            <family val="2"/>
          </rPr>
          <t xml:space="preserve">
To implement the plan - moving livestock
Mustering time to move the mob, 
0.5 - half the time moves to be made 
0.33 - a third of the mobs are moved when a move is made</t>
        </r>
      </text>
    </comment>
    <comment ref="M391" authorId="0" shapeId="0" xr:uid="{FE7F6F75-5EEB-4358-BE28-AC130146D725}">
      <text>
        <r>
          <rPr>
            <b/>
            <sz val="9"/>
            <color indexed="81"/>
            <rFont val="Tahoma"/>
            <family val="2"/>
          </rPr>
          <t>John:</t>
        </r>
        <r>
          <rPr>
            <sz val="9"/>
            <color indexed="81"/>
            <rFont val="Tahoma"/>
            <family val="2"/>
          </rPr>
          <t xml:space="preserve">
To initialise the array based on maximum possible size</t>
        </r>
      </text>
    </comment>
    <comment ref="O400" authorId="0" shapeId="0" xr:uid="{5E5C1C85-F8AC-4CC6-AB1B-14225CC793E3}">
      <text>
        <r>
          <rPr>
            <b/>
            <sz val="9"/>
            <color indexed="81"/>
            <rFont val="Tahoma"/>
            <family val="2"/>
          </rPr>
          <t>John:</t>
        </r>
        <r>
          <rPr>
            <sz val="9"/>
            <color indexed="81"/>
            <rFont val="Tahoma"/>
            <family val="2"/>
          </rPr>
          <t xml:space="preserve">
See the input (i_eqn_date_g1_p7) in  [Property.xlsx]Sheep! for the dates when the equation system is changed.</t>
        </r>
      </text>
    </comment>
    <comment ref="K401" authorId="0" shapeId="0" xr:uid="{F9B4F0B1-D8C1-4703-863A-47FEC44D731E}">
      <text>
        <r>
          <rPr>
            <b/>
            <sz val="9"/>
            <color indexed="81"/>
            <rFont val="Tahoma"/>
            <family val="2"/>
          </rPr>
          <t>John:</t>
        </r>
        <r>
          <rPr>
            <sz val="9"/>
            <color indexed="81"/>
            <rFont val="Tahoma"/>
            <family val="2"/>
          </rPr>
          <t xml:space="preserve">
LTW linear equation with LW</t>
        </r>
      </text>
    </comment>
    <comment ref="L401" authorId="0" shapeId="0" xr:uid="{C1D73E4E-2771-4E01-8C2B-A2E5479450DE}">
      <text>
        <r>
          <rPr>
            <b/>
            <sz val="9"/>
            <color indexed="81"/>
            <rFont val="Tahoma"/>
            <family val="2"/>
          </rPr>
          <t>John:</t>
        </r>
        <r>
          <rPr>
            <sz val="9"/>
            <color indexed="81"/>
            <rFont val="Tahoma"/>
            <family val="2"/>
          </rPr>
          <t xml:space="preserve">
LMAT back transformed equation with LWj, Age, LWCj</t>
        </r>
      </text>
    </comment>
    <comment ref="L402" authorId="0" shapeId="0" xr:uid="{E2F5F744-7E6E-44FF-9C5F-BA845FC23444}">
      <text>
        <r>
          <rPr>
            <b/>
            <sz val="9"/>
            <color indexed="81"/>
            <rFont val="Tahoma"/>
            <family val="2"/>
          </rPr>
          <t>John:</t>
        </r>
        <r>
          <rPr>
            <sz val="9"/>
            <color indexed="81"/>
            <rFont val="Tahoma"/>
            <family val="2"/>
          </rPr>
          <t xml:space="preserve">
Ewe Lamb (JT Agri)</t>
        </r>
      </text>
    </comment>
    <comment ref="H408" authorId="0" shapeId="0" xr:uid="{01F97263-5B06-4738-875C-B6346D24A98A}">
      <text>
        <r>
          <rPr>
            <b/>
            <sz val="9"/>
            <color indexed="81"/>
            <rFont val="Tahoma"/>
            <family val="2"/>
          </rPr>
          <t>John:</t>
        </r>
        <r>
          <rPr>
            <sz val="9"/>
            <color indexed="81"/>
            <rFont val="Tahoma"/>
            <family val="2"/>
          </rPr>
          <t xml:space="preserve">
Heat production for maintenance (FHP)
Foetal growth
Milk production
Wool production</t>
        </r>
      </text>
    </comment>
    <comment ref="J408" authorId="0" shapeId="0" xr:uid="{A393B6EC-2FD3-4540-87AF-489109DE6F03}">
      <text>
        <r>
          <rPr>
            <b/>
            <sz val="9"/>
            <color indexed="81"/>
            <rFont val="Tahoma"/>
            <family val="2"/>
          </rPr>
          <t>John:</t>
        </r>
        <r>
          <rPr>
            <sz val="9"/>
            <color indexed="81"/>
            <rFont val="Tahoma"/>
            <family val="2"/>
          </rPr>
          <t xml:space="preserve">
CSIRO feeding standards SCA 1990 &amp; Freer etal 2012.</t>
        </r>
      </text>
    </comment>
    <comment ref="K408" authorId="0" shapeId="0" xr:uid="{F55B808C-1890-4E46-9D99-71E73DBE6B67}">
      <text>
        <r>
          <rPr>
            <b/>
            <sz val="9"/>
            <color indexed="81"/>
            <rFont val="Tahoma"/>
            <family val="2"/>
          </rPr>
          <t>John:</t>
        </r>
        <r>
          <rPr>
            <sz val="9"/>
            <color indexed="81"/>
            <rFont val="Tahoma"/>
            <family val="2"/>
          </rPr>
          <t xml:space="preserve">
Graham etal (1974) lean mass for maintenance requirement.</t>
        </r>
      </text>
    </comment>
    <comment ref="L408" authorId="0" shapeId="0" xr:uid="{E0D0533E-97DA-4940-95BA-BADB7ED11596}">
      <text>
        <r>
          <rPr>
            <b/>
            <sz val="9"/>
            <color indexed="81"/>
            <rFont val="Tahoma"/>
            <family val="2"/>
          </rPr>
          <t>John:</t>
        </r>
        <r>
          <rPr>
            <sz val="9"/>
            <color indexed="81"/>
            <rFont val="Tahoma"/>
            <family val="2"/>
          </rPr>
          <t xml:space="preserve">
Revised feeding standards Oddy etal 2024</t>
        </r>
      </text>
    </comment>
    <comment ref="J411" authorId="0" shapeId="0" xr:uid="{87689709-0C9D-42AA-9652-E47ACD6E9467}">
      <text>
        <r>
          <rPr>
            <b/>
            <sz val="9"/>
            <color indexed="81"/>
            <rFont val="Tahoma"/>
            <family val="2"/>
          </rPr>
          <t>John:</t>
        </r>
        <r>
          <rPr>
            <sz val="9"/>
            <color indexed="81"/>
            <rFont val="Tahoma"/>
            <family val="2"/>
          </rPr>
          <t xml:space="preserve">
From CSIRO. Foetal energy requirements and BW will match</t>
        </r>
      </text>
    </comment>
    <comment ref="K411" authorId="0" shapeId="0" xr:uid="{C1AF8D7D-19B3-445D-8D06-F383BBC2924A}">
      <text>
        <r>
          <rPr>
            <b/>
            <sz val="9"/>
            <color indexed="81"/>
            <rFont val="Tahoma"/>
            <family val="2"/>
          </rPr>
          <t>John:</t>
        </r>
        <r>
          <rPr>
            <sz val="9"/>
            <color indexed="81"/>
            <rFont val="Tahoma"/>
            <family val="2"/>
          </rPr>
          <t xml:space="preserve">
From LTW. Note: BW and foetal energy requirement may not match</t>
        </r>
      </text>
    </comment>
    <comment ref="J413" authorId="3" shapeId="0" xr:uid="{1BBEF4BA-9213-423D-A08D-C0381830565D}">
      <text>
        <r>
          <rPr>
            <b/>
            <sz val="9"/>
            <color indexed="81"/>
            <rFont val="Tahoma"/>
            <family val="2"/>
          </rPr>
          <t>MRY:</t>
        </r>
        <r>
          <rPr>
            <sz val="9"/>
            <color indexed="81"/>
            <rFont val="Tahoma"/>
            <family val="2"/>
          </rPr>
          <t xml:space="preserve">
National Invertory Report</t>
        </r>
      </text>
    </comment>
    <comment ref="K413" authorId="3" shapeId="0" xr:uid="{4001D55B-257F-4FA8-92DE-96187AE119C4}">
      <text>
        <r>
          <rPr>
            <b/>
            <sz val="9"/>
            <color indexed="81"/>
            <rFont val="Tahoma"/>
            <family val="2"/>
          </rPr>
          <t>MRY:</t>
        </r>
        <r>
          <rPr>
            <sz val="9"/>
            <color indexed="81"/>
            <rFont val="Tahoma"/>
            <family val="2"/>
          </rPr>
          <t xml:space="preserve">
Baxter and Clapperton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Southern Dirt</author>
    <author>Michael</author>
  </authors>
  <commentList>
    <comment ref="K10" authorId="0" shapeId="0" xr:uid="{2B7AA151-40D6-44D5-AF12-C25FD3F1B4D7}">
      <text>
        <r>
          <rPr>
            <b/>
            <sz val="9"/>
            <color indexed="81"/>
            <rFont val="Tahoma"/>
            <family val="2"/>
          </rPr>
          <t>MRY:</t>
        </r>
        <r>
          <rPr>
            <sz val="9"/>
            <color indexed="81"/>
            <rFont val="Tahoma"/>
            <family val="2"/>
          </rPr>
          <t xml:space="preserve">
Conversion of weight of main element (e.g C) to moleculare weight of gas (e.g. CO2).</t>
        </r>
      </text>
    </comment>
    <comment ref="K33" authorId="0" shapeId="0" xr:uid="{44422B25-AE8F-49D8-A6B3-19DBB258A28E}">
      <text>
        <r>
          <rPr>
            <b/>
            <sz val="9"/>
            <color indexed="81"/>
            <rFont val="Tahoma"/>
            <family val="2"/>
          </rPr>
          <t>Southern Dirt:</t>
        </r>
        <r>
          <rPr>
            <sz val="9"/>
            <color indexed="81"/>
            <rFont val="Tahoma"/>
            <family val="2"/>
          </rPr>
          <t xml:space="preserve">
used to calculate methane emissions from manure based on feed intake</t>
        </r>
      </text>
    </comment>
    <comment ref="L37" authorId="0" shapeId="0" xr:uid="{D4A3E678-75D3-4E55-924B-CB45DB3949FB}">
      <text>
        <r>
          <rPr>
            <b/>
            <sz val="9"/>
            <color indexed="81"/>
            <rFont val="Tahoma"/>
            <family val="2"/>
          </rPr>
          <t>Southern Dirt:</t>
        </r>
        <r>
          <rPr>
            <sz val="9"/>
            <color indexed="81"/>
            <rFont val="Tahoma"/>
            <family val="2"/>
          </rPr>
          <t xml:space="preserve">
non-irigated pastures - same as inorganic fert ef</t>
        </r>
      </text>
    </comment>
    <comment ref="H44" authorId="1" shapeId="0" xr:uid="{41158E9A-C846-455B-A53C-C51A12B7E698}">
      <text>
        <r>
          <rPr>
            <b/>
            <sz val="9"/>
            <color indexed="81"/>
            <rFont val="Tahoma"/>
            <family val="2"/>
          </rPr>
          <t>Michael:</t>
        </r>
        <r>
          <rPr>
            <sz val="9"/>
            <color indexed="81"/>
            <rFont val="Tahoma"/>
            <family val="2"/>
          </rPr>
          <t xml:space="preserve">
For some reason these emission factors also convert to co2e</t>
        </r>
      </text>
    </comment>
    <comment ref="H51" authorId="1" shapeId="0" xr:uid="{B73B6B66-2EB0-45D2-88BD-DAEDF1D78F45}">
      <text>
        <r>
          <rPr>
            <b/>
            <sz val="9"/>
            <color indexed="81"/>
            <rFont val="Tahoma"/>
            <family val="2"/>
          </rPr>
          <t>Michael:</t>
        </r>
        <r>
          <rPr>
            <sz val="9"/>
            <color indexed="81"/>
            <rFont val="Tahoma"/>
            <family val="2"/>
          </rPr>
          <t xml:space="preserve">
Not really sure why the emission factors for fert on crop and pasture are different or why crop varies by rainfall but pasture doesn’t...</t>
        </r>
      </text>
    </comment>
    <comment ref="H52" authorId="1" shapeId="0" xr:uid="{CAC03B1E-C0F6-45AE-9639-516D40EEB8D6}">
      <text>
        <r>
          <rPr>
            <b/>
            <sz val="9"/>
            <color indexed="81"/>
            <rFont val="Tahoma"/>
            <family val="2"/>
          </rPr>
          <t>Michael:</t>
        </r>
        <r>
          <rPr>
            <sz val="9"/>
            <color indexed="81"/>
            <rFont val="Tahoma"/>
            <family val="2"/>
          </rPr>
          <t xml:space="preserve">
Same as inorganic fertiliser EF</t>
        </r>
      </text>
    </comment>
    <comment ref="H53" authorId="1" shapeId="0" xr:uid="{17510BE7-DE35-4D0C-AC16-776684C5B85C}">
      <text>
        <r>
          <rPr>
            <b/>
            <sz val="9"/>
            <color indexed="81"/>
            <rFont val="Tahoma"/>
            <family val="2"/>
          </rPr>
          <t>Michael:</t>
        </r>
        <r>
          <rPr>
            <sz val="9"/>
            <color indexed="81"/>
            <rFont val="Tahoma"/>
            <family val="2"/>
          </rPr>
          <t xml:space="preserve">
same as inorganic fertiliser EF</t>
        </r>
      </text>
    </comment>
    <comment ref="G69" authorId="0" shapeId="0" xr:uid="{14C86B77-C55C-42A8-AA3B-3595C5213193}">
      <text>
        <r>
          <rPr>
            <b/>
            <sz val="9"/>
            <color indexed="81"/>
            <rFont val="Tahoma"/>
            <family val="2"/>
          </rPr>
          <t>Southern Dirt:</t>
        </r>
        <r>
          <rPr>
            <sz val="9"/>
            <color indexed="81"/>
            <rFont val="Tahoma"/>
            <family val="2"/>
          </rPr>
          <t xml:space="preserve">
nitrogen content of below-ground crop residue</t>
        </r>
      </text>
    </comment>
    <comment ref="I69" authorId="0" shapeId="0" xr:uid="{5FB34F81-6E1A-48D4-B05B-CC6A5ACECEED}">
      <text>
        <r>
          <rPr>
            <b/>
            <sz val="9"/>
            <color indexed="81"/>
            <rFont val="Tahoma"/>
            <family val="2"/>
          </rPr>
          <t>Southern Dirt:</t>
        </r>
        <r>
          <rPr>
            <sz val="9"/>
            <color indexed="81"/>
            <rFont val="Tahoma"/>
            <family val="2"/>
          </rPr>
          <t xml:space="preserve">
nitrogen content of above-ground crop residue</t>
        </r>
      </text>
    </comment>
    <comment ref="L69" authorId="0" shapeId="0" xr:uid="{25A7255B-2526-4235-9C4C-0E9B93E5D677}">
      <text>
        <r>
          <rPr>
            <b/>
            <sz val="9"/>
            <color indexed="81"/>
            <rFont val="Tahoma"/>
            <family val="2"/>
          </rPr>
          <t>Southern Dirt:</t>
        </r>
        <r>
          <rPr>
            <sz val="9"/>
            <color indexed="81"/>
            <rFont val="Tahoma"/>
            <family val="2"/>
          </rPr>
          <t xml:space="preserve">
carbon mass fraction in crop residue</t>
        </r>
      </text>
    </comment>
    <comment ref="N69" authorId="0" shapeId="0" xr:uid="{2AFD37EA-7A48-4940-9F94-1F4346EBC6F3}">
      <text>
        <r>
          <rPr>
            <b/>
            <sz val="9"/>
            <color indexed="81"/>
            <rFont val="Tahoma"/>
            <family val="2"/>
          </rPr>
          <t>Southern Dirt:</t>
        </r>
        <r>
          <rPr>
            <sz val="9"/>
            <color indexed="81"/>
            <rFont val="Tahoma"/>
            <family val="2"/>
          </rPr>
          <t xml:space="preserve">
 burning efficiency for residue from crop</t>
        </r>
      </text>
    </comment>
    <comment ref="P69" authorId="0" shapeId="0" xr:uid="{FD0EBBE2-6BD0-4FB8-A909-CDF0B08BC8A7}">
      <text>
        <r>
          <rPr>
            <b/>
            <sz val="9"/>
            <color indexed="81"/>
            <rFont val="Tahoma"/>
            <family val="2"/>
          </rPr>
          <t>Southern Dirt:</t>
        </r>
        <r>
          <rPr>
            <sz val="9"/>
            <color indexed="81"/>
            <rFont val="Tahoma"/>
            <family val="2"/>
          </rPr>
          <t xml:space="preserve">
below ground-residue to above ground residue ratio</t>
        </r>
      </text>
    </comment>
    <comment ref="AA69" authorId="1" shapeId="0" xr:uid="{5CFC45F2-7370-45B8-B2D4-478949364D3E}">
      <text>
        <r>
          <rPr>
            <b/>
            <sz val="9"/>
            <color indexed="81"/>
            <rFont val="Tahoma"/>
            <family val="2"/>
          </rPr>
          <t>Michael:</t>
        </r>
        <r>
          <rPr>
            <sz val="9"/>
            <color indexed="81"/>
            <rFont val="Tahoma"/>
            <family val="2"/>
          </rPr>
          <t xml:space="preserve">
fraction of pasture renewed = 1/ X where X is the average renewal period in years: 10 years for intensive systems and 30 years for other systems</t>
        </r>
      </text>
    </comment>
    <comment ref="Q78" authorId="1" shapeId="0" xr:uid="{24ACAB97-59CF-4554-ABC3-57EE1368C527}">
      <text>
        <r>
          <rPr>
            <b/>
            <sz val="9"/>
            <color indexed="81"/>
            <rFont val="Tahoma"/>
            <family val="2"/>
          </rPr>
          <t>Michael:</t>
        </r>
        <r>
          <rPr>
            <sz val="9"/>
            <color indexed="81"/>
            <rFont val="Tahoma"/>
            <family val="2"/>
          </rPr>
          <t xml:space="preserve">
combo of ceral and pulse</t>
        </r>
      </text>
    </comment>
    <comment ref="I103" authorId="0" shapeId="0" xr:uid="{4A36D1EE-D9CF-4FC6-ADED-0CE101093EFA}">
      <text>
        <r>
          <rPr>
            <b/>
            <sz val="9"/>
            <color indexed="81"/>
            <rFont val="Tahoma"/>
            <family val="2"/>
          </rPr>
          <t xml:space="preserve">Southern Dirt:
</t>
        </r>
        <r>
          <rPr>
            <sz val="9"/>
            <color indexed="81"/>
            <rFont val="Tahoma"/>
            <family val="2"/>
          </rPr>
          <t>the fraction of N volatilised</t>
        </r>
      </text>
    </comment>
    <comment ref="I106" authorId="0" shapeId="0" xr:uid="{F2BE529D-1316-4AE7-A078-5EACE704C7E2}">
      <text>
        <r>
          <rPr>
            <b/>
            <sz val="9"/>
            <color indexed="81"/>
            <rFont val="Tahoma"/>
            <family val="2"/>
          </rPr>
          <t>Southern Dirt:</t>
        </r>
        <r>
          <rPr>
            <sz val="9"/>
            <color indexed="81"/>
            <rFont val="Tahoma"/>
            <family val="2"/>
          </rPr>
          <t xml:space="preserve">
fraction of N available for leaching and runoff</t>
        </r>
      </text>
    </comment>
    <comment ref="I107" authorId="0" shapeId="0" xr:uid="{A5A8425D-2C59-4778-9FFB-355041828A0F}">
      <text>
        <r>
          <rPr>
            <b/>
            <sz val="9"/>
            <color indexed="81"/>
            <rFont val="Tahoma"/>
            <family val="2"/>
          </rPr>
          <t>Southern Dirt:</t>
        </r>
        <r>
          <rPr>
            <sz val="9"/>
            <color indexed="81"/>
            <rFont val="Tahoma"/>
            <family val="2"/>
          </rPr>
          <t xml:space="preserve">
 fraction of N lost through leaching
and runoff</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John</author>
    <author>Michael Young</author>
    <author>Michael Young (21512438)</author>
  </authors>
  <commentList>
    <comment ref="K35" authorId="0" shapeId="0" xr:uid="{EF3C35ED-4910-4C73-8235-42392E0F93D4}">
      <text>
        <r>
          <rPr>
            <b/>
            <sz val="9"/>
            <color indexed="81"/>
            <rFont val="Tahoma"/>
            <family val="2"/>
          </rPr>
          <t>Sheep Explorer:</t>
        </r>
        <r>
          <rPr>
            <sz val="9"/>
            <color indexed="81"/>
            <rFont val="Tahoma"/>
            <family val="2"/>
          </rPr>
          <t xml:space="preserve">
Wool sheep include Merino, Polwarth, Corriedale, Romney</t>
        </r>
      </text>
    </comment>
    <comment ref="L35" authorId="0" shapeId="0" xr:uid="{B373141D-DBD2-4A46-ADC3-C28B81B60E23}">
      <text>
        <r>
          <rPr>
            <b/>
            <sz val="9"/>
            <color indexed="81"/>
            <rFont val="Tahoma"/>
            <family val="2"/>
          </rPr>
          <t>Sheep Explorer:</t>
        </r>
        <r>
          <rPr>
            <sz val="9"/>
            <color indexed="81"/>
            <rFont val="Tahoma"/>
            <family val="2"/>
          </rPr>
          <t xml:space="preserve">
Meat sheep include Southdown, Border Leicester, Dorset, Suffolk, Texel</t>
        </r>
      </text>
    </comment>
    <comment ref="M35" authorId="0" shapeId="0" xr:uid="{BF4331BD-40A9-4937-8C84-BB535E31D1D1}">
      <text>
        <r>
          <rPr>
            <b/>
            <sz val="9"/>
            <color indexed="81"/>
            <rFont val="Tahoma"/>
            <family val="2"/>
          </rPr>
          <t>Cattle Explorer:</t>
        </r>
        <r>
          <rPr>
            <sz val="9"/>
            <color indexed="81"/>
            <rFont val="Tahoma"/>
            <family val="2"/>
          </rPr>
          <t xml:space="preserve">
British beef breeds:  Hereford, Angus, Shorthorn, South Devon etc</t>
        </r>
      </text>
    </comment>
    <comment ref="N35" authorId="0" shapeId="0" xr:uid="{30B5CD8A-EBB3-48CB-9E30-73699A83A864}">
      <text>
        <r>
          <rPr>
            <b/>
            <sz val="9"/>
            <color indexed="81"/>
            <rFont val="Tahoma"/>
            <family val="2"/>
          </rPr>
          <t>Cattle Explorer:</t>
        </r>
        <r>
          <rPr>
            <sz val="9"/>
            <color indexed="81"/>
            <rFont val="Tahoma"/>
            <family val="2"/>
          </rPr>
          <t xml:space="preserve">
Bos indicus beef breeds: Brahman etc. (these differ in maintenance requirements, nitrogen recycling, composition of gain and tolerance of heat)</t>
        </r>
      </text>
    </comment>
    <comment ref="O35" authorId="0" shapeId="0" xr:uid="{464C1E80-3CEF-4E2E-AC8C-F0EC724C5B14}">
      <text>
        <r>
          <rPr>
            <b/>
            <sz val="9"/>
            <color indexed="81"/>
            <rFont val="Tahoma"/>
            <family val="2"/>
          </rPr>
          <t>Cattle Explorer:</t>
        </r>
        <r>
          <rPr>
            <sz val="9"/>
            <color indexed="81"/>
            <rFont val="Tahoma"/>
            <family val="2"/>
          </rPr>
          <t xml:space="preserve">
Lean beef types: Charolais, Simmental, Limousin, Chianina etc. (these differ in the composition of weight gain)</t>
        </r>
      </text>
    </comment>
    <comment ref="P35" authorId="0" shapeId="0" xr:uid="{E1B0D49B-726D-438D-ACD2-313723B7BE34}">
      <text>
        <r>
          <rPr>
            <b/>
            <sz val="9"/>
            <color indexed="81"/>
            <rFont val="Tahoma"/>
            <family val="2"/>
          </rPr>
          <t>Cattle Explorer:</t>
        </r>
        <r>
          <rPr>
            <sz val="9"/>
            <color indexed="81"/>
            <rFont val="Tahoma"/>
            <family val="2"/>
          </rPr>
          <t xml:space="preserve">
Dairy breeds: Friesian, Jersy, Ayrshire, Dairy Shorthorn etc. (these differ in their potential for milk production)</t>
        </r>
      </text>
    </comment>
    <comment ref="V35" authorId="0" shapeId="0" xr:uid="{DD434D04-0700-4FAB-BE6F-4839537128E5}">
      <text>
        <r>
          <rPr>
            <b/>
            <sz val="9"/>
            <color indexed="81"/>
            <rFont val="Tahoma"/>
            <family val="2"/>
          </rPr>
          <t>John:</t>
        </r>
        <r>
          <rPr>
            <sz val="9"/>
            <color indexed="81"/>
            <rFont val="Tahoma"/>
            <family val="2"/>
          </rPr>
          <t xml:space="preserve">
Based on the average GEPEP ewe</t>
        </r>
      </text>
    </comment>
    <comment ref="W35" authorId="0" shapeId="0" xr:uid="{8BD1ACA8-2455-4226-B1E8-D4CA769969D7}">
      <text>
        <r>
          <rPr>
            <b/>
            <sz val="9"/>
            <color indexed="81"/>
            <rFont val="Tahoma"/>
            <family val="2"/>
          </rPr>
          <t>John:</t>
        </r>
        <r>
          <rPr>
            <sz val="9"/>
            <color indexed="81"/>
            <rFont val="Tahoma"/>
            <family val="2"/>
          </rPr>
          <t xml:space="preserve">
A fine wool MLP genotype calibrated with Pingelly feed supply and the GFS equation system.</t>
        </r>
      </text>
    </comment>
    <comment ref="X35" authorId="0" shapeId="0" xr:uid="{DF01F541-CF35-4BC0-9611-384A24FC4AE3}">
      <text>
        <r>
          <rPr>
            <b/>
            <sz val="9"/>
            <color indexed="81"/>
            <rFont val="Tahoma"/>
            <family val="2"/>
          </rPr>
          <t>John:</t>
        </r>
        <r>
          <rPr>
            <sz val="9"/>
            <color indexed="81"/>
            <rFont val="Tahoma"/>
            <family val="2"/>
          </rPr>
          <t xml:space="preserve">
A balanced MLP genotype calibrated with Pingelly feed supply and the CFS equation system.</t>
        </r>
      </text>
    </comment>
    <comment ref="Y35" authorId="0" shapeId="0" xr:uid="{36B2117A-93DA-4CDC-BA11-A074FD72FAE9}">
      <text>
        <r>
          <rPr>
            <b/>
            <sz val="9"/>
            <color indexed="81"/>
            <rFont val="Tahoma"/>
            <family val="2"/>
          </rPr>
          <t>John:</t>
        </r>
        <r>
          <rPr>
            <sz val="9"/>
            <color indexed="81"/>
            <rFont val="Tahoma"/>
            <family val="2"/>
          </rPr>
          <t xml:space="preserve">
A balanced MLP genotype calibrated with Pingelly feed supply and the GFS equation system.</t>
        </r>
      </text>
    </comment>
    <comment ref="Z35" authorId="0" shapeId="0" xr:uid="{6C7A7A56-A18F-4974-9B4F-0D2DCC41E553}">
      <text>
        <r>
          <rPr>
            <b/>
            <sz val="9"/>
            <color indexed="81"/>
            <rFont val="Tahoma"/>
            <family val="2"/>
          </rPr>
          <t>John:</t>
        </r>
        <r>
          <rPr>
            <sz val="9"/>
            <color indexed="81"/>
            <rFont val="Tahoma"/>
            <family val="2"/>
          </rPr>
          <t xml:space="preserve">
A meat type MLP genotype calibrated with Pingelly feed supply and the GFS equation system.</t>
        </r>
      </text>
    </comment>
    <comment ref="AA35" authorId="0" shapeId="0" xr:uid="{5456AD5D-3857-4C8E-B62A-94F0EAB22376}">
      <text>
        <r>
          <rPr>
            <b/>
            <sz val="9"/>
            <color indexed="81"/>
            <rFont val="Tahoma"/>
            <family val="2"/>
          </rPr>
          <t>John:</t>
        </r>
        <r>
          <rPr>
            <sz val="9"/>
            <color indexed="81"/>
            <rFont val="Tahoma"/>
            <family val="2"/>
          </rPr>
          <t xml:space="preserve">
A wool type MLP genotype calibrated with Pingelly feed supply and the GFS equation system.</t>
        </r>
      </text>
    </comment>
    <comment ref="AI35" authorId="0" shapeId="0" xr:uid="{D6DB4B5C-BF1B-4E67-8DCD-9817EF23910C}">
      <text>
        <r>
          <rPr>
            <b/>
            <sz val="9"/>
            <color indexed="81"/>
            <rFont val="Tahoma"/>
            <family val="2"/>
          </rPr>
          <t>John:</t>
        </r>
        <r>
          <rPr>
            <sz val="9"/>
            <color indexed="81"/>
            <rFont val="Tahoma"/>
            <family val="2"/>
          </rPr>
          <t xml:space="preserve">
Sensitivity multiplier for the input values
Range name needs to be expanded to use the capacity. Code will need modifying to include i_mask_y
</t>
        </r>
      </text>
    </comment>
    <comment ref="AI36" authorId="1" shapeId="0" xr:uid="{9ABDB209-4A75-463B-AC05-84D5166B909F}">
      <text>
        <r>
          <rPr>
            <b/>
            <sz val="9"/>
            <color indexed="81"/>
            <rFont val="Tahoma"/>
            <family val="2"/>
          </rPr>
          <t>Michael Young:</t>
        </r>
        <r>
          <rPr>
            <sz val="9"/>
            <color indexed="81"/>
            <rFont val="Tahoma"/>
            <family val="2"/>
          </rPr>
          <t xml:space="preserve">
this named range will also need to be expanded if other merits are added.</t>
        </r>
      </text>
    </comment>
    <comment ref="H48" authorId="0" shapeId="0" xr:uid="{1A748A64-541B-41F3-A7BF-5A8AE49609E2}">
      <text>
        <r>
          <rPr>
            <b/>
            <sz val="9"/>
            <color indexed="81"/>
            <rFont val="Tahoma"/>
            <family val="2"/>
          </rPr>
          <t>John:</t>
        </r>
        <r>
          <rPr>
            <sz val="9"/>
            <color indexed="81"/>
            <rFont val="Tahoma"/>
            <family val="2"/>
          </rPr>
          <t xml:space="preserve">
Husbandry affected is shearing, crtutching, jetting, mulesing
1 is full management
0 is maximum reduction in inputs
Triggers can be altered in different regions.</t>
        </r>
      </text>
    </comment>
    <comment ref="AD48" authorId="0" shapeId="0" xr:uid="{37B04CE7-6641-47E6-B6FC-01ED16F40AD7}">
      <text>
        <r>
          <rPr>
            <b/>
            <sz val="9"/>
            <color indexed="81"/>
            <rFont val="Tahoma"/>
            <family val="2"/>
          </rPr>
          <t>John:</t>
        </r>
        <r>
          <rPr>
            <sz val="9"/>
            <color indexed="81"/>
            <rFont val="Tahoma"/>
            <family val="2"/>
          </rPr>
          <t xml:space="preserve">
a BBT is the same as the maternal breeds (0.75)</t>
        </r>
      </text>
    </comment>
    <comment ref="H49" authorId="0" shapeId="0" xr:uid="{80C331A7-9DDF-4703-990F-916959566B57}">
      <text>
        <r>
          <rPr>
            <b/>
            <sz val="9"/>
            <color indexed="81"/>
            <rFont val="Tahoma"/>
            <family val="2"/>
          </rPr>
          <t>John:</t>
        </r>
        <r>
          <rPr>
            <sz val="9"/>
            <color indexed="81"/>
            <rFont val="Tahoma"/>
            <family val="2"/>
          </rPr>
          <t xml:space="preserve">
Note: This fibre length not staple length.
FL = SL * 1.17 (cw15)</t>
        </r>
      </text>
    </comment>
    <comment ref="H50" authorId="0" shapeId="0" xr:uid="{078415B9-2DF6-472C-8EEB-82384F23714F}">
      <text>
        <r>
          <rPr>
            <b/>
            <sz val="9"/>
            <color indexed="81"/>
            <rFont val="Tahoma"/>
            <family val="2"/>
          </rPr>
          <t>John:</t>
        </r>
        <r>
          <rPr>
            <sz val="9"/>
            <color indexed="81"/>
            <rFont val="Tahoma"/>
            <family val="2"/>
          </rPr>
          <t xml:space="preserve">
Note: This fibre length not staple length.
FL = SL * 1.17 (cw15)</t>
        </r>
      </text>
    </comment>
    <comment ref="I51" authorId="0" shapeId="0" xr:uid="{27474FFC-8FDB-423B-8E3D-A444BF0D0BBA}">
      <text>
        <r>
          <rPr>
            <b/>
            <sz val="9"/>
            <color indexed="81"/>
            <rFont val="Tahoma"/>
            <family val="2"/>
          </rPr>
          <t>John:</t>
        </r>
        <r>
          <rPr>
            <sz val="9"/>
            <color indexed="81"/>
            <rFont val="Tahoma"/>
            <family val="2"/>
          </rPr>
          <t xml:space="preserve">
Note: CSIRO talk SFW as kg greasy. In AFO it is clean kg as sold (i.e. not DM).</t>
        </r>
      </text>
    </comment>
    <comment ref="H57" authorId="0" shapeId="0" xr:uid="{44E1AD31-5420-47CE-8C76-8B65C18292AB}">
      <text>
        <r>
          <rPr>
            <b/>
            <sz val="9"/>
            <color indexed="81"/>
            <rFont val="Tahoma"/>
            <family val="2"/>
          </rPr>
          <t>John:</t>
        </r>
        <r>
          <rPr>
            <sz val="9"/>
            <color indexed="81"/>
            <rFont val="Tahoma"/>
            <family val="2"/>
          </rPr>
          <t xml:space="preserve">
Scanning % is the true scanning % (i.e. as if scanning for litter size including triplets and quads). If data is used from farms that only scan for multiples then the value will need to be adjusted to 'true' scanning % prior to entering in AFO.
Used for both Murdoch repro function and the initial proportion of each BTRT (calculated with survival below)</t>
        </r>
      </text>
    </comment>
    <comment ref="U57" authorId="0" shapeId="0" xr:uid="{050B23D6-B7BA-41CA-80CC-BDA91862B289}">
      <text>
        <r>
          <rPr>
            <b/>
            <sz val="9"/>
            <color indexed="81"/>
            <rFont val="Tahoma"/>
            <family val="2"/>
          </rPr>
          <t>John:</t>
        </r>
        <r>
          <rPr>
            <sz val="9"/>
            <color indexed="81"/>
            <rFont val="Tahoma"/>
            <family val="2"/>
          </rPr>
          <t xml:space="preserve">
This value needs to be consistent with the value for doy. A higher value for autumn joining and lower for late spring joning.</t>
        </r>
      </text>
    </comment>
    <comment ref="H59" authorId="0" shapeId="0" xr:uid="{BB167040-FF26-4EE0-9419-311C706E4323}">
      <text>
        <r>
          <rPr>
            <b/>
            <sz val="9"/>
            <color indexed="81"/>
            <rFont val="Tahoma"/>
            <family val="2"/>
          </rPr>
          <t>John:</t>
        </r>
        <r>
          <rPr>
            <sz val="9"/>
            <color indexed="81"/>
            <rFont val="Tahoma"/>
            <family val="2"/>
          </rPr>
          <t xml:space="preserve">
Day of mating that generated the standard scanning percentage is used to adjust the RR expected if mating in CS3.
The value entered should align with when the standard scanning percentage was calibrated to. This day is also used to correct the LMAT equations so the value should align with the LMAT equations if they are being used.
Note: the slope also varies with DOY in the LTW equation.</t>
        </r>
      </text>
    </comment>
    <comment ref="AB59" authorId="0" shapeId="0" xr:uid="{DC227909-8A3A-4822-B94A-3BFCEC2095EB}">
      <text>
        <r>
          <rPr>
            <b/>
            <sz val="9"/>
            <color indexed="81"/>
            <rFont val="Tahoma"/>
            <family val="2"/>
          </rPr>
          <t>John:</t>
        </r>
        <r>
          <rPr>
            <sz val="9"/>
            <color indexed="81"/>
            <rFont val="Tahoma"/>
            <family val="2"/>
          </rPr>
          <t xml:space="preserve">
This date estimated for the Cashmore data set used to calibrate the cu2 &amp; cb1 coefficient.
Previous version was day 330, but actual value was day 40.</t>
        </r>
      </text>
    </comment>
    <comment ref="H63" authorId="0" shapeId="0" xr:uid="{6A4A4CD1-8968-45A2-B067-20E91131E231}">
      <text>
        <r>
          <rPr>
            <b/>
            <sz val="9"/>
            <color indexed="81"/>
            <rFont val="Tahoma"/>
            <family val="2"/>
          </rPr>
          <t>John:</t>
        </r>
        <r>
          <rPr>
            <sz val="9"/>
            <color indexed="81"/>
            <rFont val="Tahoma"/>
            <family val="2"/>
          </rPr>
          <t xml:space="preserve">
Note: Used in the distribution for mortality calcuations.
There is also an input of CV LW in the sale price calcuations, but they have been separated so that changes associated with feed lotting or preparation for sale can be represented</t>
        </r>
      </text>
    </comment>
    <comment ref="H66" authorId="0" shapeId="0" xr:uid="{251C5365-00CC-46A1-9EC8-BC6B27F390AC}">
      <text>
        <r>
          <rPr>
            <b/>
            <sz val="9"/>
            <color indexed="81"/>
            <rFont val="Tahoma"/>
            <family val="2"/>
          </rPr>
          <t>John:</t>
        </r>
        <r>
          <rPr>
            <sz val="9"/>
            <color indexed="81"/>
            <rFont val="Tahoma"/>
            <family val="2"/>
          </rPr>
          <t xml:space="preserve">
Note: Used in the distribution for mortality calcuations.
Enter a standard deviation rather than CV because if entering a CV and the ebg was 0 then there would be no distribution.</t>
        </r>
      </text>
    </comment>
    <comment ref="I67" authorId="0" shapeId="0" xr:uid="{E97B92C6-39E7-4B5F-9679-D53F882DDCD3}">
      <text>
        <r>
          <rPr>
            <b/>
            <sz val="9"/>
            <color indexed="81"/>
            <rFont val="Tahoma"/>
            <family val="2"/>
          </rPr>
          <t>John:</t>
        </r>
        <r>
          <rPr>
            <sz val="9"/>
            <color indexed="81"/>
            <rFont val="Tahoma"/>
            <family val="2"/>
          </rPr>
          <t xml:space="preserve">
Number of adult joinings</t>
        </r>
      </text>
    </comment>
    <comment ref="H68" authorId="0" shapeId="0" xr:uid="{CA5515AE-7BBC-4620-9E88-CC13BF6869CA}">
      <text>
        <r>
          <rPr>
            <b/>
            <sz val="9"/>
            <color indexed="81"/>
            <rFont val="Tahoma"/>
            <family val="2"/>
          </rPr>
          <t>John:</t>
        </r>
        <r>
          <rPr>
            <sz val="9"/>
            <color indexed="81"/>
            <rFont val="Tahoma"/>
            <family val="2"/>
          </rPr>
          <t xml:space="preserve">
This table is only used if the replacement constraint (con_prog2dams) is not summed across the k2 axis</t>
        </r>
      </text>
    </comment>
    <comment ref="U68" authorId="0" shapeId="0" xr:uid="{AD93F2F8-D9C1-4EFC-AA34-9EBCA94A0A3F}">
      <text>
        <r>
          <rPr>
            <b/>
            <sz val="9"/>
            <color indexed="81"/>
            <rFont val="Tahoma"/>
            <family val="2"/>
          </rPr>
          <t>John:</t>
        </r>
        <r>
          <rPr>
            <sz val="9"/>
            <color indexed="81"/>
            <rFont val="Tahoma"/>
            <family val="2"/>
          </rPr>
          <t xml:space="preserve">
0 if yearling progeny are all sold and not used as replacements</t>
        </r>
      </text>
    </comment>
    <comment ref="U77" authorId="2" shapeId="0" xr:uid="{AE3A277C-A87E-4C1A-A3E9-D303FE3861B3}">
      <text>
        <r>
          <rPr>
            <b/>
            <sz val="9"/>
            <color indexed="81"/>
            <rFont val="Tahoma"/>
            <family val="2"/>
          </rPr>
          <t>Michael Young (21512438):</t>
        </r>
        <r>
          <rPr>
            <sz val="9"/>
            <color indexed="81"/>
            <rFont val="Tahoma"/>
            <family val="2"/>
          </rPr>
          <t xml:space="preserve">
Set to 13mo to reflect that farmers don’t hold onto lambs until the last minute from a risk POV (don’t want to over do it and miss the lamb grid)</t>
        </r>
      </text>
    </comment>
    <comment ref="H82" authorId="0" shapeId="0" xr:uid="{EFBA1203-331F-42B5-9195-971D493E8ECF}">
      <text>
        <r>
          <rPr>
            <b/>
            <sz val="9"/>
            <color indexed="81"/>
            <rFont val="Tahoma"/>
            <family val="2"/>
          </rPr>
          <t>John:</t>
        </r>
        <r>
          <rPr>
            <sz val="9"/>
            <color indexed="81"/>
            <rFont val="Tahoma"/>
            <family val="2"/>
          </rPr>
          <t xml:space="preserve">
Sold prior to the 6yo mating</t>
        </r>
      </text>
    </comment>
    <comment ref="H89" authorId="0" shapeId="0" xr:uid="{A77ADAC6-631D-4B05-9962-92A43C33EF65}">
      <text>
        <r>
          <rPr>
            <b/>
            <sz val="9"/>
            <color indexed="81"/>
            <rFont val="Tahoma"/>
            <family val="2"/>
          </rPr>
          <t>John:</t>
        </r>
        <r>
          <rPr>
            <sz val="9"/>
            <color indexed="81"/>
            <rFont val="Tahoma"/>
            <family val="2"/>
          </rPr>
          <t xml:space="preserve">
The export wether grid has a minimum age so that young animals can't be sold at high prices</t>
        </r>
      </text>
    </comment>
    <comment ref="H90" authorId="0" shapeId="0" xr:uid="{68B9AEA1-3BD7-4F16-87F0-3AF612D8C448}">
      <text>
        <r>
          <rPr>
            <b/>
            <sz val="9"/>
            <color indexed="81"/>
            <rFont val="Tahoma"/>
            <family val="2"/>
          </rPr>
          <t>John:</t>
        </r>
        <r>
          <rPr>
            <sz val="9"/>
            <color indexed="81"/>
            <rFont val="Tahoma"/>
            <family val="2"/>
          </rPr>
          <t xml:space="preserve">
The breeder grid has a minimum age so that young animals can't be sold at high prices</t>
        </r>
      </text>
    </comment>
    <comment ref="AG93" authorId="0" shapeId="0" xr:uid="{75956DA6-5056-4EB7-B80C-479F67CA01BA}">
      <text>
        <r>
          <rPr>
            <b/>
            <sz val="9"/>
            <color indexed="81"/>
            <rFont val="Tahoma"/>
            <family val="2"/>
          </rPr>
          <t xml:space="preserve">John:
</t>
        </r>
        <r>
          <rPr>
            <sz val="9"/>
            <color indexed="81"/>
            <rFont val="Tahoma"/>
            <family val="2"/>
          </rPr>
          <t>"Merino &amp; BLM -1.5 to -3.5% of 2x lamb".
Worked on MM - 2.5%, BLM - 1.5%
Gives BL = -0.5%
Terminal = +1.5%
Assumed composite and Dorper = 2X</t>
        </r>
      </text>
    </comment>
    <comment ref="H99" authorId="0" shapeId="0" xr:uid="{DDAA5645-E934-46F8-8D18-867C95E02C6F}">
      <text>
        <r>
          <rPr>
            <b/>
            <sz val="9"/>
            <color indexed="81"/>
            <rFont val="Tahoma"/>
            <family val="2"/>
          </rPr>
          <t>John:</t>
        </r>
        <r>
          <rPr>
            <sz val="9"/>
            <color indexed="81"/>
            <rFont val="Tahoma"/>
            <family val="2"/>
          </rPr>
          <t xml:space="preserve">
Note: This is fibre length not staple length.
FL = SL * 1.17 (cw15)</t>
        </r>
      </text>
    </comment>
    <comment ref="L131" authorId="0" shapeId="0" xr:uid="{20EB066F-D44E-468C-B4DC-022A1C0FBB84}">
      <text>
        <r>
          <rPr>
            <b/>
            <sz val="9"/>
            <color indexed="81"/>
            <rFont val="Tahoma"/>
            <family val="2"/>
          </rPr>
          <t>John:</t>
        </r>
        <r>
          <rPr>
            <sz val="9"/>
            <color indexed="81"/>
            <rFont val="Tahoma"/>
            <family val="2"/>
          </rPr>
          <t xml:space="preserve">
Value from LMAT trial</t>
        </r>
      </text>
    </comment>
    <comment ref="L150" authorId="0" shapeId="0" xr:uid="{F08B5AB1-EB06-4449-8064-D4B94048AB8B}">
      <text>
        <r>
          <rPr>
            <b/>
            <sz val="9"/>
            <color indexed="81"/>
            <rFont val="Tahoma"/>
            <family val="2"/>
          </rPr>
          <t>John:</t>
        </r>
        <r>
          <rPr>
            <sz val="9"/>
            <color indexed="81"/>
            <rFont val="Tahoma"/>
            <family val="2"/>
          </rPr>
          <t xml:space="preserve">
Value from LMAT trial</t>
        </r>
      </text>
    </comment>
    <comment ref="H154" authorId="0" shapeId="0" xr:uid="{8C2D5C6A-CBD0-4F78-82CC-74A58E93BE53}">
      <text>
        <r>
          <rPr>
            <b/>
            <sz val="9"/>
            <color indexed="81"/>
            <rFont val="Tahoma"/>
            <family val="2"/>
          </rPr>
          <t>John:</t>
        </r>
        <r>
          <rPr>
            <sz val="9"/>
            <color indexed="81"/>
            <rFont val="Tahoma"/>
            <family val="2"/>
          </rPr>
          <t xml:space="preserve">
Including some of these parameters in PastParameters would allow intake to vary based on pasture type.
The parameters that vary by pasture type would then need a standard pastue type for the analysis.</t>
        </r>
      </text>
    </comment>
    <comment ref="R197" authorId="0" shapeId="0" xr:uid="{EC3BF7B0-7639-4498-B28F-F04AB65780C3}">
      <text>
        <r>
          <rPr>
            <b/>
            <sz val="9"/>
            <color indexed="81"/>
            <rFont val="Tahoma"/>
            <family val="2"/>
          </rPr>
          <t>John:</t>
        </r>
        <r>
          <rPr>
            <sz val="9"/>
            <color indexed="81"/>
            <rFont val="Tahoma"/>
            <family val="2"/>
          </rPr>
          <t xml:space="preserve">
See email 8May24 12:08pm
</t>
        </r>
      </text>
    </comment>
    <comment ref="R198" authorId="0" shapeId="0" xr:uid="{664066E9-5E76-44D3-8CEE-65DD41CCD66C}">
      <text>
        <r>
          <rPr>
            <b/>
            <sz val="9"/>
            <color indexed="81"/>
            <rFont val="Tahoma"/>
            <family val="2"/>
          </rPr>
          <t>John:</t>
        </r>
        <r>
          <rPr>
            <sz val="9"/>
            <color indexed="81"/>
            <rFont val="Tahoma"/>
            <family val="2"/>
          </rPr>
          <t xml:space="preserve">
See email 8May24 12:08pm
</t>
        </r>
      </text>
    </comment>
    <comment ref="H202" authorId="0" shapeId="0" xr:uid="{83841CCB-3466-4F60-9A64-F40BD8364E66}">
      <text>
        <r>
          <rPr>
            <b/>
            <sz val="9"/>
            <color indexed="81"/>
            <rFont val="Tahoma"/>
            <family val="2"/>
          </rPr>
          <t>John:</t>
        </r>
        <r>
          <rPr>
            <sz val="9"/>
            <color indexed="81"/>
            <rFont val="Tahoma"/>
            <family val="2"/>
          </rPr>
          <t xml:space="preserve">
Implies that kw is 0.4</t>
        </r>
      </text>
    </comment>
    <comment ref="R203" authorId="0" shapeId="0" xr:uid="{0B0A8DFB-936C-4C2E-B70C-C43C9D8C875E}">
      <text>
        <r>
          <rPr>
            <b/>
            <sz val="9"/>
            <color indexed="81"/>
            <rFont val="Tahoma"/>
            <family val="2"/>
          </rPr>
          <t>John:</t>
        </r>
        <r>
          <rPr>
            <sz val="9"/>
            <color indexed="81"/>
            <rFont val="Tahoma"/>
            <family val="2"/>
          </rPr>
          <t xml:space="preserve">
See email 8May24 12:08pm
</t>
        </r>
      </text>
    </comment>
    <comment ref="K208" authorId="0" shapeId="0" xr:uid="{A44048DC-38D6-4E97-B338-19218D1BBC30}">
      <text>
        <r>
          <rPr>
            <b/>
            <sz val="9"/>
            <color indexed="81"/>
            <rFont val="Tahoma"/>
            <family val="2"/>
          </rPr>
          <t>John:</t>
        </r>
        <r>
          <rPr>
            <sz val="9"/>
            <color indexed="81"/>
            <rFont val="Tahoma"/>
            <family val="2"/>
          </rPr>
          <t xml:space="preserve">
Calculate from the CSIRO parameters allowing for km = 0.7</t>
        </r>
      </text>
    </comment>
    <comment ref="K209" authorId="0" shapeId="0" xr:uid="{7BDA7F16-09D6-410F-A5C7-5DE0EA783228}">
      <text>
        <r>
          <rPr>
            <b/>
            <sz val="9"/>
            <color indexed="81"/>
            <rFont val="Tahoma"/>
            <family val="2"/>
          </rPr>
          <t>John:</t>
        </r>
        <r>
          <rPr>
            <sz val="9"/>
            <color indexed="81"/>
            <rFont val="Tahoma"/>
            <family val="2"/>
          </rPr>
          <t xml:space="preserve">
Calculate from the CSIRO parameters allowing for km = 0.7</t>
        </r>
      </text>
    </comment>
    <comment ref="K210" authorId="0" shapeId="0" xr:uid="{5FB2E21F-DD2D-4158-BEC7-044788351A60}">
      <text>
        <r>
          <rPr>
            <b/>
            <sz val="9"/>
            <color indexed="81"/>
            <rFont val="Tahoma"/>
            <family val="2"/>
          </rPr>
          <t>John:</t>
        </r>
        <r>
          <rPr>
            <sz val="9"/>
            <color indexed="81"/>
            <rFont val="Tahoma"/>
            <family val="2"/>
          </rPr>
          <t xml:space="preserve">
Calculate from the CSIRO parameters allowing for km = 0.7</t>
        </r>
      </text>
    </comment>
    <comment ref="K211" authorId="0" shapeId="0" xr:uid="{B9B1288E-95F2-41F3-B9A6-5CCA63F88047}">
      <text>
        <r>
          <rPr>
            <b/>
            <sz val="9"/>
            <color indexed="81"/>
            <rFont val="Tahoma"/>
            <family val="2"/>
          </rPr>
          <t>John:</t>
        </r>
        <r>
          <rPr>
            <sz val="9"/>
            <color indexed="81"/>
            <rFont val="Tahoma"/>
            <family val="2"/>
          </rPr>
          <t xml:space="preserve">
Calculate from the NFS parameters by converting to efficiency</t>
        </r>
      </text>
    </comment>
    <comment ref="K213" authorId="0" shapeId="0" xr:uid="{C9B16F4E-0C67-4760-83B1-872069D0954E}">
      <text>
        <r>
          <rPr>
            <b/>
            <sz val="9"/>
            <color indexed="81"/>
            <rFont val="Tahoma"/>
            <family val="2"/>
          </rPr>
          <t>John:</t>
        </r>
        <r>
          <rPr>
            <sz val="9"/>
            <color indexed="81"/>
            <rFont val="Tahoma"/>
            <family val="2"/>
          </rPr>
          <t xml:space="preserve">
Calculate from the CSIRO parameters allowing for km = 0.7</t>
        </r>
      </text>
    </comment>
    <comment ref="K228" authorId="0" shapeId="0" xr:uid="{3280C0AE-CDFF-4FD8-8FCA-6C61CF766A33}">
      <text>
        <r>
          <rPr>
            <sz val="9"/>
            <color indexed="81"/>
            <rFont val="Tahoma"/>
            <family val="2"/>
          </rPr>
          <t>Changed to reflect TechPaper 2012</t>
        </r>
      </text>
    </comment>
    <comment ref="R243" authorId="0" shapeId="0" xr:uid="{D6AF505D-7AE2-4AB9-9205-C31E493CA634}">
      <text>
        <r>
          <rPr>
            <b/>
            <sz val="9"/>
            <color indexed="81"/>
            <rFont val="Tahoma"/>
            <family val="2"/>
          </rPr>
          <t>John:</t>
        </r>
        <r>
          <rPr>
            <sz val="9"/>
            <color indexed="81"/>
            <rFont val="Tahoma"/>
            <family val="2"/>
          </rPr>
          <t xml:space="preserve">
With adjustment for fasting metabolism (urinary loss) and convert G to MEI as per SCA 1990.</t>
        </r>
      </text>
    </comment>
    <comment ref="W291" authorId="0" shapeId="0" xr:uid="{C0E7FB65-339F-4002-A77A-8587CDBBC6B8}">
      <text>
        <r>
          <rPr>
            <b/>
            <sz val="9"/>
            <color indexed="81"/>
            <rFont val="Tahoma"/>
            <family val="2"/>
          </rPr>
          <t>John:</t>
        </r>
        <r>
          <rPr>
            <sz val="9"/>
            <color indexed="81"/>
            <rFont val="Tahoma"/>
            <family val="2"/>
          </rPr>
          <t xml:space="preserve">
Calibrated to increase Wwt</t>
        </r>
      </text>
    </comment>
    <comment ref="X291" authorId="0" shapeId="0" xr:uid="{A346BA1E-2862-4380-90B6-F3A0678378A1}">
      <text>
        <r>
          <rPr>
            <b/>
            <sz val="9"/>
            <color indexed="81"/>
            <rFont val="Tahoma"/>
            <family val="2"/>
          </rPr>
          <t>John:</t>
        </r>
        <r>
          <rPr>
            <sz val="9"/>
            <color indexed="81"/>
            <rFont val="Tahoma"/>
            <family val="2"/>
          </rPr>
          <t xml:space="preserve">
Calibrated to increase Wwt</t>
        </r>
      </text>
    </comment>
    <comment ref="Y291" authorId="0" shapeId="0" xr:uid="{D4194FC3-185B-416D-9611-57D416BA3D53}">
      <text>
        <r>
          <rPr>
            <b/>
            <sz val="9"/>
            <color indexed="81"/>
            <rFont val="Tahoma"/>
            <family val="2"/>
          </rPr>
          <t>John:</t>
        </r>
        <r>
          <rPr>
            <sz val="9"/>
            <color indexed="81"/>
            <rFont val="Tahoma"/>
            <family val="2"/>
          </rPr>
          <t xml:space="preserve">
Calibrated to increase Wwt</t>
        </r>
      </text>
    </comment>
    <comment ref="Z291" authorId="0" shapeId="0" xr:uid="{15B9F7CC-B0F1-4088-9E5E-4292D96731EA}">
      <text>
        <r>
          <rPr>
            <b/>
            <sz val="9"/>
            <color indexed="81"/>
            <rFont val="Tahoma"/>
            <family val="2"/>
          </rPr>
          <t>John:</t>
        </r>
        <r>
          <rPr>
            <sz val="9"/>
            <color indexed="81"/>
            <rFont val="Tahoma"/>
            <family val="2"/>
          </rPr>
          <t xml:space="preserve">
Calibrated to increase Wwt</t>
        </r>
      </text>
    </comment>
    <comment ref="AA291" authorId="0" shapeId="0" xr:uid="{733F765A-8498-49F9-A668-EE2ECC252D39}">
      <text>
        <r>
          <rPr>
            <b/>
            <sz val="9"/>
            <color indexed="81"/>
            <rFont val="Tahoma"/>
            <family val="2"/>
          </rPr>
          <t>John:</t>
        </r>
        <r>
          <rPr>
            <sz val="9"/>
            <color indexed="81"/>
            <rFont val="Tahoma"/>
            <family val="2"/>
          </rPr>
          <t xml:space="preserve">
Calibrated to increase Wwt</t>
        </r>
      </text>
    </comment>
    <comment ref="AE291" authorId="0" shapeId="0" xr:uid="{E40E515F-6531-4F78-94F1-E1410FDEDDD5}">
      <text>
        <r>
          <rPr>
            <b/>
            <sz val="9"/>
            <color indexed="81"/>
            <rFont val="Tahoma"/>
            <family val="2"/>
          </rPr>
          <t>John:</t>
        </r>
        <r>
          <rPr>
            <sz val="9"/>
            <color indexed="81"/>
            <rFont val="Tahoma"/>
            <family val="2"/>
          </rPr>
          <t xml:space="preserve">
Scalar for milk yield of maternals. Used in calculation of MP1 &amp; MP2.
Value selected to align with the increase in PI as quantified by LMAT phase 2.</t>
        </r>
      </text>
    </comment>
    <comment ref="H297" authorId="0" shapeId="0" xr:uid="{8D42AA39-4A1C-4A51-A588-412E1E412E0F}">
      <text>
        <r>
          <rPr>
            <b/>
            <sz val="9"/>
            <color indexed="81"/>
            <rFont val="Tahoma"/>
            <family val="2"/>
          </rPr>
          <t>John:</t>
        </r>
        <r>
          <rPr>
            <sz val="9"/>
            <color indexed="81"/>
            <rFont val="Tahoma"/>
            <family val="2"/>
          </rPr>
          <t xml:space="preserve">
Energy content of milk could be better estimated using Eqn 1.41 from Freer et al 2007. However, the intake realtionship used in the MP2 calculation might have been calibrated using a fixed ME for milk, so don't change this.</t>
        </r>
      </text>
    </comment>
    <comment ref="K297" authorId="0" shapeId="0" xr:uid="{57EA48AA-B9EA-4551-ABBE-5C2B22E71F51}">
      <text>
        <r>
          <rPr>
            <sz val="9"/>
            <color indexed="81"/>
            <rFont val="Tahoma"/>
            <family val="2"/>
          </rPr>
          <t>Changed to reflect TechPaper 2012</t>
        </r>
      </text>
    </comment>
    <comment ref="K306" authorId="0" shapeId="0" xr:uid="{A2D23543-7AC1-4EEB-8F8C-19DA9E400D61}">
      <text>
        <r>
          <rPr>
            <sz val="9"/>
            <color indexed="81"/>
            <rFont val="Tahoma"/>
            <family val="2"/>
          </rPr>
          <t>Changed to reflect TechPaper 2012</t>
        </r>
      </text>
    </comment>
    <comment ref="H318" authorId="0" shapeId="0" xr:uid="{C56FB7C1-8190-4F83-AB32-1C560A01F9DF}">
      <text>
        <r>
          <rPr>
            <b/>
            <sz val="9"/>
            <color indexed="81"/>
            <rFont val="Tahoma"/>
            <family val="2"/>
          </rPr>
          <t xml:space="preserve">John:
</t>
        </r>
      </text>
    </comment>
    <comment ref="H319" authorId="0" shapeId="0" xr:uid="{CC421E57-9CDB-47E2-9EBA-6D1EBE14A841}">
      <text>
        <r>
          <rPr>
            <b/>
            <sz val="9"/>
            <color indexed="81"/>
            <rFont val="Tahoma"/>
            <family val="2"/>
          </rPr>
          <t>John:</t>
        </r>
        <r>
          <rPr>
            <sz val="9"/>
            <color indexed="81"/>
            <rFont val="Tahoma"/>
            <family val="2"/>
          </rPr>
          <t xml:space="preserve">
The Tech paper calls this energy of clean wool. But uses it as energy of greasy wool.
Furthermore, the tech paper doesn't allow for the DM content of the wool. The fleece weight is as shorn but the derivation of these values is DM.
Therefore, these inputs include 85% DM of wool to be consistent with SCA 1990.</t>
        </r>
      </text>
    </comment>
    <comment ref="H320" authorId="0" shapeId="0" xr:uid="{4DD047ED-3631-4B46-96E4-C56DEDA25373}">
      <text>
        <r>
          <rPr>
            <b/>
            <sz val="9"/>
            <color indexed="81"/>
            <rFont val="Tahoma"/>
            <family val="2"/>
          </rPr>
          <t>John:</t>
        </r>
        <r>
          <rPr>
            <sz val="9"/>
            <color indexed="81"/>
            <rFont val="Tahoma"/>
            <family val="2"/>
          </rPr>
          <t xml:space="preserve">
Wool growth rate that is included in the maintenance energy requirement</t>
        </r>
      </text>
    </comment>
    <comment ref="H321" authorId="0" shapeId="0" xr:uid="{BD73E554-2194-4AE4-823E-35B17742BFC8}">
      <text>
        <r>
          <rPr>
            <b/>
            <sz val="9"/>
            <color indexed="81"/>
            <rFont val="Tahoma"/>
            <family val="2"/>
          </rPr>
          <t>John:</t>
        </r>
        <r>
          <rPr>
            <sz val="9"/>
            <color indexed="81"/>
            <rFont val="Tahoma"/>
            <family val="2"/>
          </rPr>
          <t xml:space="preserve">
Note: Clean wool in the model is wool as sold (not protein DM).
This yield is greasy weight as shorn as a proportion of clean weight as sold</t>
        </r>
      </text>
    </comment>
    <comment ref="AG321" authorId="0" shapeId="0" xr:uid="{7A0FC09E-D42D-4D25-9DE2-01FC24D0AFAC}">
      <text>
        <r>
          <rPr>
            <b/>
            <sz val="9"/>
            <color indexed="81"/>
            <rFont val="Tahoma"/>
            <family val="2"/>
          </rPr>
          <t>John:</t>
        </r>
        <r>
          <rPr>
            <sz val="9"/>
            <color indexed="81"/>
            <rFont val="Tahoma"/>
            <family val="2"/>
          </rPr>
          <t xml:space="preserve">
SCA 1990, quoting AWTA used 0.6 </t>
        </r>
      </text>
    </comment>
    <comment ref="K324" authorId="0" shapeId="0" xr:uid="{14BDC626-70DE-4BA0-9191-52C34C5A0EA1}">
      <text>
        <r>
          <rPr>
            <sz val="9"/>
            <color indexed="81"/>
            <rFont val="Tahoma"/>
            <family val="2"/>
          </rPr>
          <t>This value was 0.05 but changed to 0.1 for SA adjustment</t>
        </r>
      </text>
    </comment>
    <comment ref="U326" authorId="0" shapeId="0" xr:uid="{CA59E874-6829-4F1D-862D-743DB4E38B3E}">
      <text>
        <r>
          <rPr>
            <b/>
            <sz val="9"/>
            <color indexed="81"/>
            <rFont val="Tahoma"/>
            <family val="2"/>
          </rPr>
          <t>John:</t>
        </r>
        <r>
          <rPr>
            <sz val="9"/>
            <color indexed="81"/>
            <rFont val="Tahoma"/>
            <family val="2"/>
          </rPr>
          <t xml:space="preserve">
This was scaled by yield  because AFO input standard fleece weight in kg clean whereas CSIRO use kg greasy. However, no longer scaled because the scaling was returning CFW that was more like GFW.</t>
        </r>
      </text>
    </comment>
    <comment ref="U330" authorId="0" shapeId="0" xr:uid="{C8C1DA42-6D71-4779-8FBD-A34D8A9987F3}">
      <text>
        <r>
          <rPr>
            <b/>
            <sz val="9"/>
            <color indexed="81"/>
            <rFont val="Tahoma"/>
            <family val="2"/>
          </rPr>
          <t>John:</t>
        </r>
        <r>
          <rPr>
            <sz val="9"/>
            <color indexed="81"/>
            <rFont val="Tahoma"/>
            <family val="2"/>
          </rPr>
          <t xml:space="preserve">
GrazPlan value is 0.025 which reached 90% of asymptote by 80 days.
0.0025 is 2.5 yo for 90% of asymptote (which matches on-farm wool production better - but on-farm CFW could also be due to nutrition by age)</t>
        </r>
      </text>
    </comment>
    <comment ref="AI330" authorId="0" shapeId="0" xr:uid="{A2F1BE87-A57E-4F65-87E8-49CDA01AFD42}">
      <text>
        <r>
          <rPr>
            <b/>
            <sz val="9"/>
            <color indexed="81"/>
            <rFont val="Tahoma"/>
            <family val="2"/>
          </rPr>
          <t>John:</t>
        </r>
        <r>
          <rPr>
            <sz val="9"/>
            <color indexed="81"/>
            <rFont val="Tahoma"/>
            <family val="2"/>
          </rPr>
          <t xml:space="preserve">
Original was 0.025 which reached 90% of asymptote by 80 days.
0.0025 is 2.5 yo</t>
        </r>
      </text>
    </comment>
    <comment ref="AJ330" authorId="0" shapeId="0" xr:uid="{945B03DB-CD4E-4FE0-AAE6-340DB8E8A113}">
      <text>
        <r>
          <rPr>
            <b/>
            <sz val="9"/>
            <color indexed="81"/>
            <rFont val="Tahoma"/>
            <family val="2"/>
          </rPr>
          <t>John:</t>
        </r>
        <r>
          <rPr>
            <sz val="9"/>
            <color indexed="81"/>
            <rFont val="Tahoma"/>
            <family val="2"/>
          </rPr>
          <t xml:space="preserve">
Original was 0.025 which reached 90% of asymptote by 80 days.
0.0025 is 2.5 yo</t>
        </r>
      </text>
    </comment>
    <comment ref="U339" authorId="0" shapeId="0" xr:uid="{36FE1F07-A634-4597-A296-C05CAF3012EF}">
      <text>
        <r>
          <rPr>
            <b/>
            <sz val="9"/>
            <color indexed="81"/>
            <rFont val="Tahoma"/>
            <family val="2"/>
          </rPr>
          <t>John:</t>
        </r>
        <r>
          <rPr>
            <sz val="9"/>
            <color indexed="81"/>
            <rFont val="Tahoma"/>
            <family val="2"/>
          </rPr>
          <t xml:space="preserve">
GrazPlan value is 0.025 which reached 90% of asymptote by 80 days.
0.0025 is 2.5 yo for 90% of asymptote (which matches on-farm wool production better - but on-farm CFW could also be due to nutrition by age)</t>
        </r>
      </text>
    </comment>
    <comment ref="AI339" authorId="0" shapeId="0" xr:uid="{24A1DC64-07DD-4CAE-9A89-D8485E66708A}">
      <text>
        <r>
          <rPr>
            <b/>
            <sz val="9"/>
            <color indexed="81"/>
            <rFont val="Tahoma"/>
            <family val="2"/>
          </rPr>
          <t>John:</t>
        </r>
        <r>
          <rPr>
            <sz val="9"/>
            <color indexed="81"/>
            <rFont val="Tahoma"/>
            <family val="2"/>
          </rPr>
          <t xml:space="preserve">
Original was 0.025 which reached 90% of asymptote by 80 days.
0.0025 is 2.5 yo</t>
        </r>
      </text>
    </comment>
    <comment ref="AJ339" authorId="0" shapeId="0" xr:uid="{7FE03A5E-DEA0-441D-8605-78E882009532}">
      <text>
        <r>
          <rPr>
            <b/>
            <sz val="9"/>
            <color indexed="81"/>
            <rFont val="Tahoma"/>
            <family val="2"/>
          </rPr>
          <t>John:</t>
        </r>
        <r>
          <rPr>
            <sz val="9"/>
            <color indexed="81"/>
            <rFont val="Tahoma"/>
            <family val="2"/>
          </rPr>
          <t xml:space="preserve">
Original was 0.025 which reached 90% of asymptote by 80 days.
0.0025 is 2.5 yo</t>
        </r>
      </text>
    </comment>
    <comment ref="H344" authorId="0" shapeId="0" xr:uid="{E8027090-6BD3-4BD3-BFD5-457E51EC56A3}">
      <text>
        <r>
          <rPr>
            <b/>
            <sz val="9"/>
            <color indexed="81"/>
            <rFont val="Tahoma"/>
            <family val="2"/>
          </rPr>
          <t>John:</t>
        </r>
        <r>
          <rPr>
            <sz val="9"/>
            <color indexed="81"/>
            <rFont val="Tahoma"/>
            <family val="2"/>
          </rPr>
          <t xml:space="preserve">
A higher value means finer wool for the hoggets</t>
        </r>
      </text>
    </comment>
    <comment ref="L372" authorId="0" shapeId="0" xr:uid="{E0D2ABEC-D3CC-4A0F-B142-1DB8A5D1678F}">
      <text>
        <r>
          <rPr>
            <b/>
            <sz val="9"/>
            <color indexed="81"/>
            <rFont val="Tahoma"/>
            <family val="2"/>
          </rPr>
          <t>John:</t>
        </r>
        <r>
          <rPr>
            <sz val="9"/>
            <color indexed="81"/>
            <rFont val="Tahoma"/>
            <family val="2"/>
          </rPr>
          <t xml:space="preserve">
Individual genotype values have been reediced to align with the terminal type maternal in the LMAT trials (Greeline)</t>
        </r>
      </text>
    </comment>
    <comment ref="L373" authorId="0" shapeId="0" xr:uid="{DCD4473C-436E-4934-B4B2-053132799B39}">
      <text>
        <r>
          <rPr>
            <b/>
            <sz val="9"/>
            <color indexed="81"/>
            <rFont val="Tahoma"/>
            <family val="2"/>
          </rPr>
          <t>John:</t>
        </r>
        <r>
          <rPr>
            <sz val="9"/>
            <color indexed="81"/>
            <rFont val="Tahoma"/>
            <family val="2"/>
          </rPr>
          <t xml:space="preserve">
Individual genotype values have been reediced to align with the terminal type maternal in the LMAT trials (Greeline)</t>
        </r>
      </text>
    </comment>
    <comment ref="R390" authorId="0" shapeId="0" xr:uid="{D6209200-B1E1-4521-B143-BF45922F22D4}">
      <text>
        <r>
          <rPr>
            <b/>
            <sz val="9"/>
            <color indexed="81"/>
            <rFont val="Tahoma"/>
            <family val="2"/>
          </rPr>
          <t>John:</t>
        </r>
        <r>
          <rPr>
            <sz val="9"/>
            <color indexed="81"/>
            <rFont val="Tahoma"/>
            <family val="2"/>
          </rPr>
          <t xml:space="preserve">
Also, most assessments of fat are done with chemical fat which reports DM weight</t>
        </r>
      </text>
    </comment>
    <comment ref="K403" authorId="0" shapeId="0" xr:uid="{A9392714-C0B7-40ED-AE61-9DE6E064410A}">
      <text>
        <r>
          <rPr>
            <b/>
            <sz val="9"/>
            <color indexed="81"/>
            <rFont val="Tahoma"/>
            <family val="2"/>
          </rPr>
          <t>John:</t>
        </r>
        <r>
          <rPr>
            <sz val="9"/>
            <color indexed="81"/>
            <rFont val="Tahoma"/>
            <family val="2"/>
          </rPr>
          <t xml:space="preserve">
Calculated from the rule of thumb that 10% of protein energy is viscera</t>
        </r>
      </text>
    </comment>
    <comment ref="H406" authorId="0" shapeId="0" xr:uid="{314DF899-F77C-4C06-AA39-D1E5EFC63C64}">
      <text>
        <r>
          <rPr>
            <b/>
            <sz val="9"/>
            <color indexed="81"/>
            <rFont val="Tahoma"/>
            <family val="2"/>
          </rPr>
          <t>John:</t>
        </r>
        <r>
          <rPr>
            <sz val="9"/>
            <color indexed="81"/>
            <rFont val="Tahoma"/>
            <family val="2"/>
          </rPr>
          <t xml:space="preserve">
Blaxter &amp; Clapperton equation was (after fixing the sign)
CH4 (propn of gross energy) = (1.3+0.112D + (2.37-0.05D)L)/100
Tech Paper 2012 converted this to work on M/D rather than D and then scaled the GE to kJ and multiplied the coefficients by 1000.
They appear to have calculated M/D as 0.149 * D - not sure why this conversion</t>
        </r>
      </text>
    </comment>
    <comment ref="K406" authorId="0" shapeId="0" xr:uid="{AD65C5BC-A4BC-43EE-B7F8-B6101D7ADBD2}">
      <text>
        <r>
          <rPr>
            <b/>
            <sz val="9"/>
            <color indexed="81"/>
            <rFont val="Tahoma"/>
            <family val="2"/>
          </rPr>
          <t>John:</t>
        </r>
        <r>
          <rPr>
            <sz val="9"/>
            <color indexed="81"/>
            <rFont val="Tahoma"/>
            <family val="2"/>
          </rPr>
          <t xml:space="preserve">
Calculated on the basis of gross energy. 18.4MJ of GE per kg</t>
        </r>
      </text>
    </comment>
    <comment ref="R406" authorId="0" shapeId="0" xr:uid="{345BA698-B286-429F-BCEB-CE4E6664D3FF}">
      <text>
        <r>
          <rPr>
            <b/>
            <sz val="9"/>
            <color indexed="81"/>
            <rFont val="Tahoma"/>
            <family val="2"/>
          </rPr>
          <t>John:</t>
        </r>
        <r>
          <rPr>
            <sz val="9"/>
            <color indexed="81"/>
            <rFont val="Tahoma"/>
            <family val="2"/>
          </rPr>
          <t xml:space="preserve">
Note: The Originally published paper of B&amp;C had an error in the sign. The published equation didn't reproduce the graphs. Chnaging the sign did and the sign change could be derived from Table 4 &amp; 5 - so the sign was definitely wrong</t>
        </r>
      </text>
    </comment>
    <comment ref="K413" authorId="0" shapeId="0" xr:uid="{B4830EF4-C85E-4ADA-84BB-FDA9384CDD2B}">
      <text>
        <r>
          <rPr>
            <b/>
            <sz val="9"/>
            <color indexed="81"/>
            <rFont val="Tahoma"/>
            <family val="2"/>
          </rPr>
          <t>John:</t>
        </r>
        <r>
          <rPr>
            <sz val="9"/>
            <color indexed="81"/>
            <rFont val="Tahoma"/>
            <family val="2"/>
          </rPr>
          <t xml:space="preserve">
These values should change if the values in the cl0[1] are changed
Values are fitted using ShpExplorer (see cell R3C17)</t>
        </r>
      </text>
    </comment>
    <comment ref="H418" authorId="0" shapeId="0" xr:uid="{23B88005-1BEA-4672-9BAB-D8C6AC848AD0}">
      <text>
        <r>
          <rPr>
            <b/>
            <sz val="9"/>
            <color indexed="81"/>
            <rFont val="Tahoma"/>
            <family val="2"/>
          </rPr>
          <t>John:</t>
        </r>
        <r>
          <rPr>
            <sz val="9"/>
            <color indexed="81"/>
            <rFont val="Tahoma"/>
            <family val="2"/>
          </rPr>
          <t xml:space="preserve">
Currently (Feb2026) this parameter is not used. 
It could be linked up just to reduce number of lambs born alive, but there is lso the effect on energy requirements during pregnancy and LW outcome.</t>
        </r>
      </text>
    </comment>
    <comment ref="H421" authorId="0" shapeId="0" xr:uid="{86898B3D-B165-48F6-9752-9C422065200F}">
      <text>
        <r>
          <rPr>
            <b/>
            <sz val="9"/>
            <color indexed="81"/>
            <rFont val="Tahoma"/>
            <family val="2"/>
          </rPr>
          <t>John:</t>
        </r>
        <r>
          <rPr>
            <sz val="9"/>
            <color indexed="81"/>
            <rFont val="Tahoma"/>
            <family val="2"/>
          </rPr>
          <t xml:space="preserve">
Basal mortality of yatf is mortality above the deaths caused by mortality of the dams during the lactation period.</t>
        </r>
      </text>
    </comment>
    <comment ref="H422" authorId="0" shapeId="0" xr:uid="{899C92D3-23BC-4BA7-9BE6-51C3AAC0B615}">
      <text>
        <r>
          <rPr>
            <b/>
            <sz val="9"/>
            <color indexed="81"/>
            <rFont val="Tahoma"/>
            <family val="2"/>
          </rPr>
          <t>John:</t>
        </r>
        <r>
          <rPr>
            <sz val="9"/>
            <color indexed="81"/>
            <rFont val="Tahoma"/>
            <family val="2"/>
          </rPr>
          <t xml:space="preserve">
RC 0.6 is about CS1 for Merinos, so the standard CSIRO coefficinets only increase mortality if CS &lt; 1. The increase in mortality is 30%/d per RC or 0.6% for 0.1 CS. With mortality only occurring if the LWG is &lt; 0.2 normal weight gain.
JMY changes when this was the standard function:
RC = 0.9 is approx CS2.5 and the extra mortality only occurs below this threshold.
The increase in mortality is 1%*0.1 per day if RC is 0.1 below the threshold. RC = 0.1 is approx 0.5 CS.
So mortality increases by 3% per month that CS is at CS2</t>
        </r>
      </text>
    </comment>
    <comment ref="K437" authorId="0" shapeId="0" xr:uid="{4C4374B7-0982-4CD6-A1F7-E990AADC5E19}">
      <text>
        <r>
          <rPr>
            <b/>
            <sz val="9"/>
            <color indexed="81"/>
            <rFont val="Tahoma"/>
            <family val="2"/>
          </rPr>
          <t>John:</t>
        </r>
        <r>
          <rPr>
            <sz val="9"/>
            <color indexed="81"/>
            <rFont val="Tahoma"/>
            <family val="2"/>
          </rPr>
          <t xml:space="preserve">
below 50% of normal growth and mortality increases</t>
        </r>
      </text>
    </comment>
    <comment ref="H442" authorId="0" shapeId="0" xr:uid="{4536E11F-3E98-41EF-812C-E9DF23C98ED3}">
      <text>
        <r>
          <rPr>
            <b/>
            <sz val="9"/>
            <color indexed="81"/>
            <rFont val="Tahoma"/>
            <family val="2"/>
          </rPr>
          <t>John:</t>
        </r>
        <r>
          <rPr>
            <sz val="9"/>
            <color indexed="81"/>
            <rFont val="Tahoma"/>
            <family val="2"/>
          </rPr>
          <t xml:space="preserve">
The increase in basal mortality if the animals are managed with "poor" nutrition. Where poor nutrtion is defined with a RC and EBG relative to change in normal weight.
Between that level and the threshold there is a quadratic relationship</t>
        </r>
      </text>
    </comment>
    <comment ref="H443" authorId="0" shapeId="0" xr:uid="{93678710-8C08-4427-A39B-6F5D5897BA0A}">
      <text>
        <r>
          <rPr>
            <b/>
            <sz val="9"/>
            <color indexed="81"/>
            <rFont val="Tahoma"/>
            <family val="2"/>
          </rPr>
          <t>John:</t>
        </r>
        <r>
          <rPr>
            <sz val="9"/>
            <color indexed="81"/>
            <rFont val="Tahoma"/>
            <family val="2"/>
          </rPr>
          <t xml:space="preserve">
The RC at which the above mortality occurs if the the EBG is also at the "poor nutrition" level.</t>
        </r>
      </text>
    </comment>
    <comment ref="AG443" authorId="0" shapeId="0" xr:uid="{56287E4A-9D00-4BBE-AE57-AE536D790780}">
      <text>
        <r>
          <rPr>
            <b/>
            <sz val="9"/>
            <color indexed="81"/>
            <rFont val="Tahoma"/>
            <family val="2"/>
          </rPr>
          <t>John:</t>
        </r>
        <r>
          <rPr>
            <sz val="9"/>
            <color indexed="81"/>
            <rFont val="Tahoma"/>
            <family val="2"/>
          </rPr>
          <t xml:space="preserve">
During late pregnancy losing 100g/h/d (half a CS) with a CS of 2.5 results in a mortality of 1.5% over late pregnancy
150g/d mortality is 3.6%, whole CS is 6%
CS2 losing 100g/d is 6% loss</t>
        </r>
      </text>
    </comment>
    <comment ref="H445" authorId="0" shapeId="0" xr:uid="{8917C4F5-FF0E-42D2-9B6B-706E56477544}">
      <text>
        <r>
          <rPr>
            <b/>
            <sz val="9"/>
            <color indexed="81"/>
            <rFont val="Tahoma"/>
            <family val="2"/>
          </rPr>
          <t>John:</t>
        </r>
        <r>
          <rPr>
            <sz val="9"/>
            <color indexed="81"/>
            <rFont val="Tahoma"/>
            <family val="2"/>
          </rPr>
          <t xml:space="preserve">
The RC at which the above mortality occurs if the the EBG is also at the "poor nutrition" level.</t>
        </r>
      </text>
    </comment>
    <comment ref="H449" authorId="0" shapeId="0" xr:uid="{DD60160E-53F7-4BFE-99E6-2A1B20B10021}">
      <text>
        <r>
          <rPr>
            <b/>
            <sz val="9"/>
            <color indexed="81"/>
            <rFont val="Tahoma"/>
            <family val="2"/>
          </rPr>
          <t>John:</t>
        </r>
        <r>
          <rPr>
            <sz val="9"/>
            <color indexed="81"/>
            <rFont val="Tahoma"/>
            <family val="2"/>
          </rPr>
          <t xml:space="preserve">
If yearlings are mated</t>
        </r>
      </text>
    </comment>
    <comment ref="AG449" authorId="0" shapeId="0" xr:uid="{B985E575-CBBB-4BCB-8ABE-AA0EA6836E8F}">
      <text>
        <r>
          <rPr>
            <b/>
            <sz val="9"/>
            <color indexed="81"/>
            <rFont val="Tahoma"/>
            <family val="2"/>
          </rPr>
          <t>John:</t>
        </r>
        <r>
          <rPr>
            <sz val="9"/>
            <color indexed="81"/>
            <rFont val="Tahoma"/>
            <family val="2"/>
          </rPr>
          <t xml:space="preserve">
See spreadsheet "Culling effects.xlsx"</t>
        </r>
      </text>
    </comment>
    <comment ref="H464" authorId="0" shapeId="0" xr:uid="{1387DC2C-11DB-4217-B31E-85334F5D65C7}">
      <text>
        <r>
          <rPr>
            <b/>
            <sz val="9"/>
            <color indexed="81"/>
            <rFont val="Tahoma"/>
            <family val="2"/>
          </rPr>
          <t>John:</t>
        </r>
        <r>
          <rPr>
            <sz val="9"/>
            <color indexed="81"/>
            <rFont val="Tahoma"/>
            <family val="2"/>
          </rPr>
          <t xml:space="preserve">
Scanning % is the true scanning % (i.e. as if scanning for litter size including triplets and quads). If data is used from farms that only scan for multiples then the value will need to be adjusted to 'true' scanning % prior to entering in AFO.
Used for both Murdoch repro function and the initial proportion of each BTRT (calculated with survival below)</t>
        </r>
      </text>
    </comment>
    <comment ref="T543" authorId="0" shapeId="0" xr:uid="{528D9053-FA27-4DF4-BE1C-510BF6AB0A8C}">
      <text>
        <r>
          <rPr>
            <b/>
            <sz val="9"/>
            <color indexed="81"/>
            <rFont val="Tahoma"/>
            <family val="2"/>
          </rPr>
          <t>John:</t>
        </r>
        <r>
          <rPr>
            <sz val="9"/>
            <color indexed="81"/>
            <rFont val="Tahoma"/>
            <family val="2"/>
          </rPr>
          <t xml:space="preserve">
These were the initial inputs with no source attributed.
</t>
        </r>
      </text>
    </comment>
    <comment ref="H568" authorId="0" shapeId="0" xr:uid="{E0BDD947-1B60-4407-B6DC-402E72838513}">
      <text>
        <r>
          <rPr>
            <b/>
            <sz val="9"/>
            <color indexed="81"/>
            <rFont val="Tahoma"/>
            <family val="2"/>
          </rPr>
          <t>John:</t>
        </r>
        <r>
          <rPr>
            <sz val="9"/>
            <color indexed="81"/>
            <rFont val="Tahoma"/>
            <family val="2"/>
          </rPr>
          <t xml:space="preserve">
Value relative to an average BW.
Relative to average so that calculations that ignore gender produce the average BW</t>
        </r>
      </text>
    </comment>
    <comment ref="AG568" authorId="0" shapeId="0" xr:uid="{2B646396-0E17-4E8F-A097-FF17423DEC9A}">
      <text>
        <r>
          <rPr>
            <b/>
            <sz val="9"/>
            <color indexed="81"/>
            <rFont val="Tahoma"/>
            <family val="2"/>
          </rPr>
          <t>John:</t>
        </r>
        <r>
          <rPr>
            <sz val="9"/>
            <color indexed="81"/>
            <rFont val="Tahoma"/>
            <family val="2"/>
          </rPr>
          <t xml:space="preserve">
Calculated in the code using formula 60 from the GrazPlan documentation and parameter cp[4] and relative size of the dam</t>
        </r>
      </text>
    </comment>
    <comment ref="AB576" authorId="0" shapeId="0" xr:uid="{406973E5-BCC6-406D-863A-6790D20756FE}">
      <text>
        <r>
          <rPr>
            <b/>
            <sz val="9"/>
            <color indexed="81"/>
            <rFont val="Tahoma"/>
            <family val="2"/>
          </rPr>
          <t>John:</t>
        </r>
        <r>
          <rPr>
            <sz val="9"/>
            <color indexed="81"/>
            <rFont val="Tahoma"/>
            <family val="2"/>
          </rPr>
          <t xml:space="preserve">
The diffference in BWt predicted from the Cashmore ewe lamb equation and the Adult equation if no change in LW during pregnancy.
Average of female and male single born progeny.
Note: There would be less adjustment for twins</t>
        </r>
      </text>
    </comment>
    <comment ref="AB577" authorId="0" shapeId="0" xr:uid="{CC1BC4AE-5C1A-4B40-AD73-6185DC025378}">
      <text>
        <r>
          <rPr>
            <b/>
            <sz val="9"/>
            <color indexed="81"/>
            <rFont val="Tahoma"/>
            <family val="2"/>
          </rPr>
          <t>John:</t>
        </r>
        <r>
          <rPr>
            <sz val="9"/>
            <color indexed="81"/>
            <rFont val="Tahoma"/>
            <family val="2"/>
          </rPr>
          <t xml:space="preserve">
Paganoni et al 2014 comparison of 2yo vesus older ewes. Which were statistically different
</t>
        </r>
      </text>
    </comment>
    <comment ref="AB583" authorId="0" shapeId="0" xr:uid="{55837F99-4855-4E4F-ABFB-CBB0D0322B62}">
      <text>
        <r>
          <rPr>
            <b/>
            <sz val="9"/>
            <color indexed="81"/>
            <rFont val="Tahoma"/>
            <family val="2"/>
          </rPr>
          <t>John:</t>
        </r>
        <r>
          <rPr>
            <sz val="9"/>
            <color indexed="81"/>
            <rFont val="Tahoma"/>
            <family val="2"/>
          </rPr>
          <t xml:space="preserve">
Paganoni et al 2014 2yo &amp; 8yo were not statiscally different</t>
        </r>
      </text>
    </comment>
    <comment ref="AB666" authorId="0" shapeId="0" xr:uid="{9D67EB5E-23E6-45A5-87A2-74B0BD6485AB}">
      <text>
        <r>
          <rPr>
            <b/>
            <sz val="9"/>
            <color indexed="81"/>
            <rFont val="Tahoma"/>
            <family val="2"/>
          </rPr>
          <t>John:</t>
        </r>
        <r>
          <rPr>
            <sz val="9"/>
            <color indexed="81"/>
            <rFont val="Tahoma"/>
            <family val="2"/>
          </rPr>
          <t xml:space="preserve">
No interaction in LMAT between chill and gender</t>
        </r>
      </text>
    </comment>
    <comment ref="AB669" authorId="0" shapeId="0" xr:uid="{3108E904-1BC6-4AD1-8431-3F3C70C9C017}">
      <text>
        <r>
          <rPr>
            <b/>
            <sz val="9"/>
            <color indexed="81"/>
            <rFont val="Tahoma"/>
            <family val="2"/>
          </rPr>
          <t>John:</t>
        </r>
        <r>
          <rPr>
            <sz val="9"/>
            <color indexed="81"/>
            <rFont val="Tahoma"/>
            <family val="2"/>
          </rPr>
          <t xml:space="preserve">
No interaction in LMAT between chill and gender</t>
        </r>
      </text>
    </comment>
    <comment ref="H686" authorId="0" shapeId="0" xr:uid="{26C29E3C-A7A9-4124-9C93-FD6467C8E4B8}">
      <text>
        <r>
          <rPr>
            <b/>
            <sz val="9"/>
            <color indexed="81"/>
            <rFont val="Tahoma"/>
            <family val="2"/>
          </rPr>
          <t>John:</t>
        </r>
        <r>
          <rPr>
            <sz val="9"/>
            <color indexed="81"/>
            <rFont val="Tahoma"/>
            <family val="2"/>
          </rPr>
          <t xml:space="preserve">
Value relative to an average BW.
Relative to average so that calculations that ignore gender produce the average BW</t>
        </r>
      </text>
    </comment>
    <comment ref="AG780" authorId="0" shapeId="0" xr:uid="{AB3E1EB5-3A3C-4132-A4AA-1C1EEEF827F6}">
      <text>
        <r>
          <rPr>
            <b/>
            <sz val="9"/>
            <color indexed="81"/>
            <rFont val="Tahoma"/>
            <family val="2"/>
          </rPr>
          <t>John:</t>
        </r>
        <r>
          <rPr>
            <sz val="9"/>
            <color indexed="81"/>
            <rFont val="Tahoma"/>
            <family val="2"/>
          </rPr>
          <t xml:space="preserve">
Developed in the Triplets project Apr2023</t>
        </r>
      </text>
    </comment>
    <comment ref="H833" authorId="0" shapeId="0" xr:uid="{EB804A84-BB19-4721-928B-A412896661A6}">
      <text>
        <r>
          <rPr>
            <b/>
            <sz val="9"/>
            <color indexed="81"/>
            <rFont val="Tahoma"/>
            <family val="2"/>
          </rPr>
          <t>John:</t>
        </r>
        <r>
          <rPr>
            <sz val="9"/>
            <color indexed="81"/>
            <rFont val="Tahoma"/>
            <family val="2"/>
          </rPr>
          <t xml:space="preserve">
If these values are changed then the AgeJ coefficients should be re-calibrated to keep the effect of ASgeJ on EL RR as measured in the trials.
Also need to recalibrate cf[1] which is seasonality for the f_conception_ltw</t>
        </r>
      </text>
    </comment>
    <comment ref="U838" authorId="0" shapeId="0" xr:uid="{CEFD5CE4-1CF0-4749-8430-6B1CED02AECA}">
      <text>
        <r>
          <rPr>
            <b/>
            <sz val="9"/>
            <color indexed="81"/>
            <rFont val="Tahoma"/>
            <family val="2"/>
          </rPr>
          <t>John:</t>
        </r>
        <r>
          <rPr>
            <sz val="9"/>
            <color indexed="81"/>
            <rFont val="Tahoma"/>
            <family val="2"/>
          </rPr>
          <t xml:space="preserve">
Adjusted for the SheepExplorer version of the SIG equation</t>
        </r>
      </text>
    </comment>
    <comment ref="I847" authorId="0" shapeId="0" xr:uid="{DA8DC4A8-222B-4A22-B196-899FC707D9E3}">
      <text>
        <r>
          <rPr>
            <b/>
            <sz val="9"/>
            <color indexed="81"/>
            <rFont val="Tahoma"/>
            <family val="2"/>
          </rPr>
          <t>John:</t>
        </r>
        <r>
          <rPr>
            <sz val="9"/>
            <color indexed="81"/>
            <rFont val="Tahoma"/>
            <family val="2"/>
          </rPr>
          <t xml:space="preserve">
Liveweight change over the 42 days prior to birth divided by normal weight.</t>
        </r>
      </text>
    </comment>
    <comment ref="U847" authorId="0" shapeId="0" xr:uid="{73C73DBB-772D-4ABD-8B7E-94A8D278592A}">
      <text>
        <r>
          <rPr>
            <b/>
            <sz val="9"/>
            <color indexed="81"/>
            <rFont val="Tahoma"/>
            <family val="2"/>
          </rPr>
          <t>John:</t>
        </r>
        <r>
          <rPr>
            <sz val="9"/>
            <color indexed="81"/>
            <rFont val="Tahoma"/>
            <family val="2"/>
          </rPr>
          <t xml:space="preserve">
These have been adjusted for the Sheep Explorer format SIG equation, which are used in AFO and use the actual value for 5% and 95% mortality. The parameter is the LWL as a proportion of normal weight over the 42 day period. COnvert to g/hd/d by param * SRW / 42
The LWC parameter (g/hd/d) passed into the function must be scaled to the 6week LWL equivalent</t>
        </r>
      </text>
    </comment>
    <comment ref="W863" authorId="0" shapeId="0" xr:uid="{AB463C5B-1AB0-41C4-B529-37DE1DFF82B2}">
      <text>
        <r>
          <rPr>
            <b/>
            <sz val="9"/>
            <color indexed="81"/>
            <rFont val="Tahoma"/>
            <family val="2"/>
          </rPr>
          <t>John:</t>
        </r>
        <r>
          <rPr>
            <sz val="9"/>
            <color indexed="81"/>
            <rFont val="Tahoma"/>
            <family val="2"/>
          </rPr>
          <t xml:space="preserve">
Calibrate to reduce TwS to about 70%</t>
        </r>
      </text>
    </comment>
    <comment ref="X863" authorId="0" shapeId="0" xr:uid="{2BC3D271-7E2E-410B-B0BF-7337BBA04335}">
      <text>
        <r>
          <rPr>
            <b/>
            <sz val="9"/>
            <color indexed="81"/>
            <rFont val="Tahoma"/>
            <family val="2"/>
          </rPr>
          <t>John:</t>
        </r>
        <r>
          <rPr>
            <sz val="9"/>
            <color indexed="81"/>
            <rFont val="Tahoma"/>
            <family val="2"/>
          </rPr>
          <t xml:space="preserve">
Calibrate to reduce TwS to about 70%</t>
        </r>
      </text>
    </comment>
    <comment ref="Y863" authorId="0" shapeId="0" xr:uid="{51F939B3-B047-4DC5-AA71-397B45C7E944}">
      <text>
        <r>
          <rPr>
            <b/>
            <sz val="9"/>
            <color indexed="81"/>
            <rFont val="Tahoma"/>
            <family val="2"/>
          </rPr>
          <t>John:</t>
        </r>
        <r>
          <rPr>
            <sz val="9"/>
            <color indexed="81"/>
            <rFont val="Tahoma"/>
            <family val="2"/>
          </rPr>
          <t xml:space="preserve">
Calibrate to reduce TwS to about 70%</t>
        </r>
      </text>
    </comment>
    <comment ref="Z863" authorId="0" shapeId="0" xr:uid="{41D7CB12-C3F6-44A5-9200-AE46A4C08522}">
      <text>
        <r>
          <rPr>
            <b/>
            <sz val="9"/>
            <color indexed="81"/>
            <rFont val="Tahoma"/>
            <family val="2"/>
          </rPr>
          <t>John:</t>
        </r>
        <r>
          <rPr>
            <sz val="9"/>
            <color indexed="81"/>
            <rFont val="Tahoma"/>
            <family val="2"/>
          </rPr>
          <t xml:space="preserve">
Calibrate to reduce TwS to about 70%</t>
        </r>
      </text>
    </comment>
    <comment ref="AA863" authorId="0" shapeId="0" xr:uid="{E7F535FF-F4F0-4CC0-9A67-DC81B02C904F}">
      <text>
        <r>
          <rPr>
            <b/>
            <sz val="9"/>
            <color indexed="81"/>
            <rFont val="Tahoma"/>
            <family val="2"/>
          </rPr>
          <t>John:</t>
        </r>
        <r>
          <rPr>
            <sz val="9"/>
            <color indexed="81"/>
            <rFont val="Tahoma"/>
            <family val="2"/>
          </rPr>
          <t xml:space="preserve">
Calibrate to reduce TwS to about 70%</t>
        </r>
      </text>
    </comment>
    <comment ref="H865" authorId="0" shapeId="0" xr:uid="{C1933F0C-05BB-48FC-950A-AB8075BBAFEE}">
      <text>
        <r>
          <rPr>
            <b/>
            <sz val="9"/>
            <color indexed="81"/>
            <rFont val="Tahoma"/>
            <family val="2"/>
          </rPr>
          <t>John:</t>
        </r>
        <r>
          <rPr>
            <sz val="9"/>
            <color indexed="81"/>
            <rFont val="Tahoma"/>
            <family val="2"/>
          </rPr>
          <t xml:space="preserve">
Paddock scale scalar:
Actual = Std (CS3) + (Std - Calculated) * scalar</t>
        </r>
      </text>
    </comment>
    <comment ref="U896" authorId="0" shapeId="0" xr:uid="{F5DEF2AD-FB96-48C1-9278-3DF9D666E41E}">
      <text>
        <r>
          <rPr>
            <b/>
            <sz val="9"/>
            <color indexed="81"/>
            <rFont val="Tahoma"/>
            <family val="2"/>
          </rPr>
          <t>John:</t>
        </r>
        <r>
          <rPr>
            <sz val="9"/>
            <color indexed="81"/>
            <rFont val="Tahoma"/>
            <family val="2"/>
          </rPr>
          <t xml:space="preserve">
estimated value based on LMAT BT2 vs BT3</t>
        </r>
      </text>
    </comment>
    <comment ref="U927" authorId="0" shapeId="0" xr:uid="{DBE366DA-FEB6-4AA9-AC49-CEDEB1EBDF15}">
      <text>
        <r>
          <rPr>
            <b/>
            <sz val="9"/>
            <color indexed="81"/>
            <rFont val="Tahoma"/>
            <family val="2"/>
          </rPr>
          <t>John:</t>
        </r>
        <r>
          <rPr>
            <sz val="9"/>
            <color indexed="81"/>
            <rFont val="Tahoma"/>
            <family val="2"/>
          </rPr>
          <t xml:space="preserve">
Very few triplets for Merino ewe lambs but can't be none.
</t>
        </r>
      </text>
    </comment>
    <comment ref="W933" authorId="0" shapeId="0" xr:uid="{EC60DA1B-FCB2-4FA8-8FDB-BE1AA9E5A580}">
      <text>
        <r>
          <rPr>
            <b/>
            <sz val="9"/>
            <color indexed="81"/>
            <rFont val="Tahoma"/>
            <family val="2"/>
          </rPr>
          <t>John:</t>
        </r>
        <r>
          <rPr>
            <sz val="9"/>
            <color indexed="81"/>
            <rFont val="Tahoma"/>
            <family val="2"/>
          </rPr>
          <t xml:space="preserve">
Calibrated for 8% dry</t>
        </r>
      </text>
    </comment>
    <comment ref="X933" authorId="0" shapeId="0" xr:uid="{04088015-AC35-4ADF-9EB5-DCD38B76ACB4}">
      <text>
        <r>
          <rPr>
            <b/>
            <sz val="9"/>
            <color indexed="81"/>
            <rFont val="Tahoma"/>
            <family val="2"/>
          </rPr>
          <t>John:</t>
        </r>
        <r>
          <rPr>
            <sz val="9"/>
            <color indexed="81"/>
            <rFont val="Tahoma"/>
            <family val="2"/>
          </rPr>
          <t xml:space="preserve">
Calibrated for 8% dry</t>
        </r>
      </text>
    </comment>
    <comment ref="Y933" authorId="0" shapeId="0" xr:uid="{F725702C-5395-4B5A-A310-0378206F5831}">
      <text>
        <r>
          <rPr>
            <b/>
            <sz val="9"/>
            <color indexed="81"/>
            <rFont val="Tahoma"/>
            <family val="2"/>
          </rPr>
          <t>John:</t>
        </r>
        <r>
          <rPr>
            <sz val="9"/>
            <color indexed="81"/>
            <rFont val="Tahoma"/>
            <family val="2"/>
          </rPr>
          <t xml:space="preserve">
Calibrated for 8% dry</t>
        </r>
      </text>
    </comment>
    <comment ref="Z933" authorId="0" shapeId="0" xr:uid="{4A967491-88A9-4C0C-BD80-EC4586F38D6A}">
      <text>
        <r>
          <rPr>
            <b/>
            <sz val="9"/>
            <color indexed="81"/>
            <rFont val="Tahoma"/>
            <family val="2"/>
          </rPr>
          <t>John:</t>
        </r>
        <r>
          <rPr>
            <sz val="9"/>
            <color indexed="81"/>
            <rFont val="Tahoma"/>
            <family val="2"/>
          </rPr>
          <t xml:space="preserve">
Calibrated for 8% dry</t>
        </r>
      </text>
    </comment>
    <comment ref="AA933" authorId="0" shapeId="0" xr:uid="{99EE3ACA-8967-4637-A6CE-76A6A2F68BB1}">
      <text>
        <r>
          <rPr>
            <b/>
            <sz val="9"/>
            <color indexed="81"/>
            <rFont val="Tahoma"/>
            <family val="2"/>
          </rPr>
          <t>John:</t>
        </r>
        <r>
          <rPr>
            <sz val="9"/>
            <color indexed="81"/>
            <rFont val="Tahoma"/>
            <family val="2"/>
          </rPr>
          <t xml:space="preserve">
Calibrated for 8% dry</t>
        </r>
      </text>
    </comment>
    <comment ref="W934" authorId="0" shapeId="0" xr:uid="{C7271E47-43BF-4017-9581-9077245D1138}">
      <text>
        <r>
          <rPr>
            <b/>
            <sz val="9"/>
            <color indexed="81"/>
            <rFont val="Tahoma"/>
            <family val="2"/>
          </rPr>
          <t>John:</t>
        </r>
        <r>
          <rPr>
            <sz val="9"/>
            <color indexed="81"/>
            <rFont val="Tahoma"/>
            <family val="2"/>
          </rPr>
          <t xml:space="preserve">
Adjusted to keep scanning % similar when % drys increased</t>
        </r>
      </text>
    </comment>
    <comment ref="X934" authorId="0" shapeId="0" xr:uid="{7C30F7AA-2368-46E7-B82A-A1D325B7B92D}">
      <text>
        <r>
          <rPr>
            <b/>
            <sz val="9"/>
            <color indexed="81"/>
            <rFont val="Tahoma"/>
            <family val="2"/>
          </rPr>
          <t>John:</t>
        </r>
        <r>
          <rPr>
            <sz val="9"/>
            <color indexed="81"/>
            <rFont val="Tahoma"/>
            <family val="2"/>
          </rPr>
          <t xml:space="preserve">
Adjusted to keep scanning % similar when % drys increased</t>
        </r>
      </text>
    </comment>
    <comment ref="Y934" authorId="0" shapeId="0" xr:uid="{FB09C17D-7F38-493E-A0C4-1B0BDCD1390F}">
      <text>
        <r>
          <rPr>
            <b/>
            <sz val="9"/>
            <color indexed="81"/>
            <rFont val="Tahoma"/>
            <family val="2"/>
          </rPr>
          <t>John:</t>
        </r>
        <r>
          <rPr>
            <sz val="9"/>
            <color indexed="81"/>
            <rFont val="Tahoma"/>
            <family val="2"/>
          </rPr>
          <t xml:space="preserve">
Adjusted to keep scanning % similar when % drys increased</t>
        </r>
      </text>
    </comment>
    <comment ref="Z934" authorId="0" shapeId="0" xr:uid="{6A96E340-45FF-4ED4-B2C2-BB3EE25B36E5}">
      <text>
        <r>
          <rPr>
            <b/>
            <sz val="9"/>
            <color indexed="81"/>
            <rFont val="Tahoma"/>
            <family val="2"/>
          </rPr>
          <t>John:</t>
        </r>
        <r>
          <rPr>
            <sz val="9"/>
            <color indexed="81"/>
            <rFont val="Tahoma"/>
            <family val="2"/>
          </rPr>
          <t xml:space="preserve">
Adjusted to keep scanning % similar when % drys increased</t>
        </r>
      </text>
    </comment>
    <comment ref="AA934" authorId="0" shapeId="0" xr:uid="{33F68FA5-2103-403E-8BF9-5C2C1A1CE427}">
      <text>
        <r>
          <rPr>
            <b/>
            <sz val="9"/>
            <color indexed="81"/>
            <rFont val="Tahoma"/>
            <family val="2"/>
          </rPr>
          <t>John:</t>
        </r>
        <r>
          <rPr>
            <sz val="9"/>
            <color indexed="81"/>
            <rFont val="Tahoma"/>
            <family val="2"/>
          </rPr>
          <t xml:space="preserve">
Adjusted to keep scanning % similar when % drys increased</t>
        </r>
      </text>
    </comment>
    <comment ref="M993" authorId="0" shapeId="0" xr:uid="{2FF4F93C-F0C6-4C8A-A0E2-8C45C5B57D92}">
      <text>
        <r>
          <rPr>
            <b/>
            <sz val="9"/>
            <color indexed="81"/>
            <rFont val="Tahoma"/>
            <family val="2"/>
          </rPr>
          <t>John:</t>
        </r>
        <r>
          <rPr>
            <sz val="9"/>
            <color indexed="81"/>
            <rFont val="Tahoma"/>
            <family val="2"/>
          </rPr>
          <t xml:space="preserve">
Defined by the position of the b1 axis and this variable used in the code to create position for b1 axis.</t>
        </r>
      </text>
    </comment>
    <comment ref="K995" authorId="0" shapeId="0" xr:uid="{E7BA672E-557D-44EA-B2BA-3367D5FB861C}">
      <text>
        <r>
          <rPr>
            <b/>
            <sz val="9"/>
            <color indexed="81"/>
            <rFont val="Tahoma"/>
            <family val="2"/>
          </rPr>
          <t>John:</t>
        </r>
        <r>
          <rPr>
            <sz val="9"/>
            <color indexed="81"/>
            <rFont val="Tahoma"/>
            <family val="2"/>
          </rPr>
          <t xml:space="preserve">
The values in cf[0] should change if these values are changed</t>
        </r>
      </text>
    </comment>
    <comment ref="H1261" authorId="0" shapeId="0" xr:uid="{450A9C42-14FA-4496-B21A-8199F3C02A06}">
      <text>
        <r>
          <rPr>
            <b/>
            <sz val="9"/>
            <color indexed="81"/>
            <rFont val="Tahoma"/>
            <family val="2"/>
          </rPr>
          <t>John:</t>
        </r>
        <r>
          <rPr>
            <sz val="9"/>
            <color indexed="81"/>
            <rFont val="Tahoma"/>
            <family val="2"/>
          </rPr>
          <t xml:space="preserve">
The coefficients have been adjusted to calculate from LW at lambing and LW change during pregnancy, rather than LW at joining and LW change during pregnancy.
The result is the same, the coefficients are different.</t>
        </r>
      </text>
    </comment>
    <comment ref="U1263" authorId="0" shapeId="0" xr:uid="{573B9C76-94D3-47B5-BF82-B8923F4C60D5}">
      <text>
        <r>
          <rPr>
            <b/>
            <sz val="9"/>
            <color indexed="81"/>
            <rFont val="Tahoma"/>
            <family val="2"/>
          </rPr>
          <t>John:</t>
        </r>
        <r>
          <rPr>
            <sz val="9"/>
            <color indexed="81"/>
            <rFont val="Tahoma"/>
            <family val="2"/>
          </rPr>
          <t xml:space="preserve">
LTW coefficient for early pregnancy
subtract the coefficient for LW at joining (which is now the coeffcient at birth)</t>
        </r>
      </text>
    </comment>
    <comment ref="AG1268" authorId="0" shapeId="0" xr:uid="{174B9798-BC57-49B6-AB2B-CC6BCD47AF0F}">
      <text>
        <r>
          <rPr>
            <b/>
            <sz val="9"/>
            <color indexed="81"/>
            <rFont val="Tahoma"/>
            <family val="2"/>
          </rPr>
          <t>John:</t>
        </r>
        <r>
          <rPr>
            <sz val="9"/>
            <color indexed="81"/>
            <rFont val="Tahoma"/>
            <family val="2"/>
          </rPr>
          <t xml:space="preserve">
0 because calculation is of difference between calculated pattern and pattern that is CS 3 at joining and then maintenance to lambing.</t>
        </r>
      </text>
    </comment>
    <comment ref="H1269" authorId="0" shapeId="0" xr:uid="{B19953F5-58B3-4122-BF39-4CE03D46FFE9}">
      <text>
        <r>
          <rPr>
            <b/>
            <sz val="9"/>
            <color indexed="81"/>
            <rFont val="Tahoma"/>
            <family val="2"/>
          </rPr>
          <t>John:</t>
        </r>
        <r>
          <rPr>
            <sz val="9"/>
            <color indexed="81"/>
            <rFont val="Tahoma"/>
            <family val="2"/>
          </rPr>
          <t xml:space="preserve">
The coefficients have been adjusted to calculate from LW at lambing and LW change during pregnancy, rather than LW at joining and LW change during pregnancy.
The result is the same, the coefficients are different.</t>
        </r>
      </text>
    </comment>
    <comment ref="AG1276" authorId="0" shapeId="0" xr:uid="{065B45E7-AE9B-4187-AC12-81833206D8D2}">
      <text>
        <r>
          <rPr>
            <b/>
            <sz val="9"/>
            <color indexed="81"/>
            <rFont val="Tahoma"/>
            <family val="2"/>
          </rPr>
          <t>John:</t>
        </r>
        <r>
          <rPr>
            <sz val="9"/>
            <color indexed="81"/>
            <rFont val="Tahoma"/>
            <family val="2"/>
          </rPr>
          <t xml:space="preserve">
0 because calculation is of difference between calculated pattern and pattern that is CS 3 at joining and then maintenance to lambing.</t>
        </r>
      </text>
    </comment>
    <comment ref="H1293" authorId="0" shapeId="0" xr:uid="{85BB0E5F-B6E5-4AF1-AA5F-32A820B450A2}">
      <text>
        <r>
          <rPr>
            <b/>
            <sz val="9"/>
            <color indexed="81"/>
            <rFont val="Tahoma"/>
            <family val="2"/>
          </rPr>
          <t>John:</t>
        </r>
        <r>
          <rPr>
            <sz val="9"/>
            <color indexed="81"/>
            <rFont val="Tahoma"/>
            <family val="2"/>
          </rPr>
          <t xml:space="preserve">
The coefficients have been adjusted to calculate from LW at lambing and LW change during pregnancy, rather than LW at joining and LW change during pregnancy.
The result is the same, the coefficients are different.</t>
        </r>
      </text>
    </comment>
    <comment ref="AB1300" authorId="0" shapeId="0" xr:uid="{3768C8AF-3EED-4530-94B2-175CCD03ED42}">
      <text>
        <r>
          <rPr>
            <b/>
            <sz val="9"/>
            <color indexed="81"/>
            <rFont val="Tahoma"/>
            <family val="2"/>
          </rPr>
          <t>John:</t>
        </r>
        <r>
          <rPr>
            <sz val="9"/>
            <color indexed="81"/>
            <rFont val="Tahoma"/>
            <family val="2"/>
          </rPr>
          <t xml:space="preserve">
Assuming LWlambing is at lambing (rather than prior to lambing as in the trial)</t>
        </r>
      </text>
    </comment>
    <comment ref="H1301" authorId="0" shapeId="0" xr:uid="{73143605-12E4-49D5-9132-F14154F4E206}">
      <text>
        <r>
          <rPr>
            <b/>
            <sz val="9"/>
            <color indexed="81"/>
            <rFont val="Tahoma"/>
            <family val="2"/>
          </rPr>
          <t>John:</t>
        </r>
        <r>
          <rPr>
            <sz val="9"/>
            <color indexed="81"/>
            <rFont val="Tahoma"/>
            <family val="2"/>
          </rPr>
          <t xml:space="preserve">
The coefficients have been adjusted to calculate from LW at lambing and LW change during pregnancy, rather than LW at joining and LW change during pregnancy.
The result is the same, the coefficients are different.</t>
        </r>
      </text>
    </comment>
    <comment ref="AB1308" authorId="0" shapeId="0" xr:uid="{44B0D2A2-EAA7-492D-B973-9FC2715AA73C}">
      <text>
        <r>
          <rPr>
            <b/>
            <sz val="9"/>
            <color indexed="81"/>
            <rFont val="Tahoma"/>
            <family val="2"/>
          </rPr>
          <t>John:</t>
        </r>
        <r>
          <rPr>
            <sz val="9"/>
            <color indexed="81"/>
            <rFont val="Tahoma"/>
            <family val="2"/>
          </rPr>
          <t xml:space="preserve">
Assuming 10 days on plots from Day 140 to lambing</t>
        </r>
      </text>
    </comment>
    <comment ref="H1309" authorId="0" shapeId="0" xr:uid="{9B3CB308-CAA4-4D26-A67D-E4D82D2D2056}">
      <text>
        <r>
          <rPr>
            <b/>
            <sz val="9"/>
            <color indexed="81"/>
            <rFont val="Tahoma"/>
            <family val="2"/>
          </rPr>
          <t>John:</t>
        </r>
        <r>
          <rPr>
            <sz val="9"/>
            <color indexed="81"/>
            <rFont val="Tahoma"/>
            <family val="2"/>
          </rPr>
          <t xml:space="preserve">
The coefficients have been adjusted to calculate from LW at lambing and LW change during pregnancy, rather than LW at joining and LW change during pregnancy.
The result is the same, the coefficients are different.</t>
        </r>
      </text>
    </comment>
    <comment ref="M1325" authorId="0" shapeId="0" xr:uid="{0CC32AEE-E19F-4824-BB9F-9C9166BEED80}">
      <text>
        <r>
          <rPr>
            <b/>
            <sz val="9"/>
            <color indexed="81"/>
            <rFont val="Tahoma"/>
            <family val="2"/>
          </rPr>
          <t>John:</t>
        </r>
        <r>
          <rPr>
            <sz val="9"/>
            <color indexed="81"/>
            <rFont val="Tahoma"/>
            <family val="2"/>
          </rPr>
          <t xml:space="preserve">
Position the u2 axis as per the other single parameters because the 2nd axis of cu2 doesn't align with an existing axis</t>
        </r>
      </text>
    </comment>
    <comment ref="AB1448" authorId="0" shapeId="0" xr:uid="{7962B82B-F91F-4F1A-908D-A50E3CC5EB97}">
      <text>
        <r>
          <rPr>
            <b/>
            <sz val="9"/>
            <color indexed="81"/>
            <rFont val="Tahoma"/>
            <family val="2"/>
          </rPr>
          <t>John:</t>
        </r>
        <r>
          <rPr>
            <sz val="9"/>
            <color indexed="81"/>
            <rFont val="Tahoma"/>
            <family val="2"/>
          </rPr>
          <t xml:space="preserve">
From LMAT</t>
        </r>
      </text>
    </comment>
    <comment ref="U1450" authorId="0" shapeId="0" xr:uid="{E7983B21-0AEA-4810-A6F9-E0B705C52F79}">
      <text>
        <r>
          <rPr>
            <b/>
            <sz val="9"/>
            <color indexed="81"/>
            <rFont val="Tahoma"/>
            <family val="2"/>
          </rPr>
          <t>John:</t>
        </r>
        <r>
          <rPr>
            <sz val="9"/>
            <color indexed="81"/>
            <rFont val="Tahoma"/>
            <family val="2"/>
          </rPr>
          <t xml:space="preserve">
FOO is included in the LTEM equations but was removed due to calculation of FOO that includes a correction for region (24Dec22)
Might need to add back for the AWI adult repro analysis</t>
        </r>
      </text>
    </comment>
    <comment ref="AB1450" authorId="0" shapeId="0" xr:uid="{991E1070-2A3A-4987-ACBA-0E8C49600125}">
      <text>
        <r>
          <rPr>
            <b/>
            <sz val="9"/>
            <color indexed="81"/>
            <rFont val="Tahoma"/>
            <family val="2"/>
          </rPr>
          <t>John:</t>
        </r>
        <r>
          <rPr>
            <sz val="9"/>
            <color indexed="81"/>
            <rFont val="Tahoma"/>
            <family val="2"/>
          </rPr>
          <t xml:space="preserve">
FOO is ns in LMAT</t>
        </r>
      </text>
    </comment>
    <comment ref="AB1460" authorId="0" shapeId="0" xr:uid="{355D06B6-2F9A-48CB-81EC-7B91927F27FD}">
      <text>
        <r>
          <rPr>
            <b/>
            <sz val="9"/>
            <color indexed="81"/>
            <rFont val="Tahoma"/>
            <family val="2"/>
          </rPr>
          <t>John:</t>
        </r>
        <r>
          <rPr>
            <sz val="9"/>
            <color indexed="81"/>
            <rFont val="Tahoma"/>
            <family val="2"/>
          </rPr>
          <t xml:space="preserve">
Assuming that:
1. the animals are born on day 150 (10 days after day 140)
2. The std FOO is 1200kg/ha and the std chilli is 1000kJ/m2/hr
Note: R547C is the effect of chill for females (hence only 50%)
</t>
        </r>
      </text>
    </comment>
    <comment ref="U1684" authorId="0" shapeId="0" xr:uid="{A8B15BB3-04BC-4AC0-9459-80176CFE4C87}">
      <text>
        <r>
          <rPr>
            <b/>
            <sz val="9"/>
            <color indexed="81"/>
            <rFont val="Tahoma"/>
            <family val="2"/>
          </rPr>
          <t>John:</t>
        </r>
        <r>
          <rPr>
            <sz val="9"/>
            <color indexed="81"/>
            <rFont val="Tahoma"/>
            <family val="2"/>
          </rPr>
          <t xml:space="preserve">
Cap at the CS that generates the minimum mortality</t>
        </r>
      </text>
    </comment>
    <comment ref="AB1685" authorId="0" shapeId="0" xr:uid="{51378516-FB05-4E7B-9721-70AC10A18CF6}">
      <text>
        <r>
          <rPr>
            <b/>
            <sz val="9"/>
            <color indexed="81"/>
            <rFont val="Tahoma"/>
            <family val="2"/>
          </rPr>
          <t>John:</t>
        </r>
        <r>
          <rPr>
            <sz val="9"/>
            <color indexed="81"/>
            <rFont val="Tahoma"/>
            <family val="2"/>
          </rPr>
          <t xml:space="preserve">
Coefficients in Calibration workbook are ewe survival - so the negative of those values are entered</t>
        </r>
      </text>
    </comment>
    <comment ref="U1690" authorId="0" shapeId="0" xr:uid="{130C1F6E-61FD-42BF-9972-38987B9ACD22}">
      <text>
        <r>
          <rPr>
            <b/>
            <sz val="9"/>
            <color indexed="81"/>
            <rFont val="Tahoma"/>
            <family val="2"/>
          </rPr>
          <t>John:</t>
        </r>
        <r>
          <rPr>
            <sz val="9"/>
            <color indexed="81"/>
            <rFont val="Tahoma"/>
            <family val="2"/>
          </rPr>
          <t xml:space="preserve">
This coefficient is calibrated to half the CSIRO standard for seaasonality</t>
        </r>
      </text>
    </comment>
    <comment ref="AB1690" authorId="0" shapeId="0" xr:uid="{EBAB909B-4FF2-49FC-936D-CD9F23437D56}">
      <text>
        <r>
          <rPr>
            <b/>
            <sz val="9"/>
            <color indexed="81"/>
            <rFont val="Tahoma"/>
            <family val="2"/>
          </rPr>
          <t>John:</t>
        </r>
        <r>
          <rPr>
            <sz val="9"/>
            <color indexed="81"/>
            <rFont val="Tahoma"/>
            <family val="2"/>
          </rPr>
          <t xml:space="preserve">
This coefficient is calibrated to half the CSIRO standard for seaasonality</t>
        </r>
      </text>
    </comment>
    <comment ref="H1692" authorId="0" shapeId="0" xr:uid="{8E04D5B2-646E-4293-BAA6-30ABE1A7C5A7}">
      <text>
        <r>
          <rPr>
            <b/>
            <sz val="9"/>
            <color indexed="81"/>
            <rFont val="Tahoma"/>
            <family val="2"/>
          </rPr>
          <t>John:</t>
        </r>
        <r>
          <rPr>
            <sz val="9"/>
            <color indexed="81"/>
            <rFont val="Tahoma"/>
            <family val="2"/>
          </rPr>
          <t xml:space="preserve">
This coefficient is not used. The coefficient could be used for a different triat if required.
Use saa[rr] to reflect a change in NLB ASBV</t>
        </r>
      </text>
    </comment>
    <comment ref="U1696" authorId="0" shapeId="0" xr:uid="{3726E754-FA86-4B7A-B1C0-C4F5BDC53A95}">
      <text>
        <r>
          <rPr>
            <b/>
            <sz val="9"/>
            <color indexed="81"/>
            <rFont val="Tahoma"/>
            <family val="2"/>
          </rPr>
          <t>John:</t>
        </r>
        <r>
          <rPr>
            <sz val="9"/>
            <color indexed="81"/>
            <rFont val="Tahoma"/>
            <family val="2"/>
          </rPr>
          <t xml:space="preserve">
No DOJ coefficient for EL because it is confounded with age in the experiments</t>
        </r>
      </text>
    </comment>
    <comment ref="H1707" authorId="0" shapeId="0" xr:uid="{EA7CEDC6-60A0-408B-BB73-14F4761DDAEC}">
      <text>
        <r>
          <rPr>
            <b/>
            <sz val="9"/>
            <color indexed="81"/>
            <rFont val="Tahoma"/>
            <family val="2"/>
          </rPr>
          <t>John:</t>
        </r>
        <r>
          <rPr>
            <sz val="9"/>
            <color indexed="81"/>
            <rFont val="Tahoma"/>
            <family val="2"/>
          </rPr>
          <t xml:space="preserve">
This coefficient is not used. The coefficient could be used for a different triat if required.
Use saa[rr] to reflect a change in NLB ASBV</t>
        </r>
      </text>
    </comment>
    <comment ref="H1722" authorId="0" shapeId="0" xr:uid="{40311DBB-3589-4481-9BDA-ED677F21B03D}">
      <text>
        <r>
          <rPr>
            <b/>
            <sz val="9"/>
            <color indexed="81"/>
            <rFont val="Tahoma"/>
            <family val="2"/>
          </rPr>
          <t>John:</t>
        </r>
        <r>
          <rPr>
            <sz val="9"/>
            <color indexed="81"/>
            <rFont val="Tahoma"/>
            <family val="2"/>
          </rPr>
          <t xml:space="preserve">
This coefficient is not used. The coefficient could be used for a different triat if required.
Use saa[rr] to reflect a change in NLB ASBV</t>
        </r>
      </text>
    </comment>
    <comment ref="AB1745" authorId="0" shapeId="0" xr:uid="{FB8AC06B-EFAB-46CA-9FD5-60DFB4DC3276}">
      <text>
        <r>
          <rPr>
            <b/>
            <sz val="9"/>
            <color indexed="81"/>
            <rFont val="Tahoma"/>
            <family val="2"/>
          </rPr>
          <t>John:</t>
        </r>
        <r>
          <rPr>
            <sz val="9"/>
            <color indexed="81"/>
            <rFont val="Tahoma"/>
            <family val="2"/>
          </rPr>
          <t xml:space="preserve">
Coefficients in Calibration workbook are ewe survival - so the negative of those values are entered</t>
        </r>
      </text>
    </comment>
    <comment ref="M1746" authorId="0" shapeId="0" xr:uid="{229508FB-E622-49A0-A68C-30F8952A0CF0}">
      <text>
        <r>
          <rPr>
            <b/>
            <sz val="9"/>
            <color indexed="81"/>
            <rFont val="Tahoma"/>
            <family val="2"/>
          </rPr>
          <t>John:</t>
        </r>
        <r>
          <rPr>
            <sz val="9"/>
            <color indexed="81"/>
            <rFont val="Tahoma"/>
            <family val="2"/>
          </rPr>
          <t xml:space="preserve">
Position the u6 axis as per the other single parameters because the 2nd axis of cu2 doesn't align with an existing axis</t>
        </r>
      </text>
    </comment>
    <comment ref="AB2106" authorId="0" shapeId="0" xr:uid="{CFDA1D13-D32D-4137-9874-F99F00089045}">
      <text>
        <r>
          <rPr>
            <b/>
            <sz val="9"/>
            <color indexed="81"/>
            <rFont val="Tahoma"/>
            <family val="2"/>
          </rPr>
          <t>John:</t>
        </r>
        <r>
          <rPr>
            <sz val="9"/>
            <color indexed="81"/>
            <rFont val="Tahoma"/>
            <family val="2"/>
          </rPr>
          <t xml:space="preserve">
Coefficients in Calibration workbook are ewe survival - so the negative of those values are entered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John</author>
  </authors>
  <commentList>
    <comment ref="K41" authorId="0" shapeId="0" xr:uid="{DA33A077-A92B-4812-8489-045170AA75F1}">
      <text>
        <r>
          <rPr>
            <b/>
            <sz val="9"/>
            <color indexed="81"/>
            <rFont val="Tahoma"/>
            <family val="2"/>
          </rPr>
          <t>John:</t>
        </r>
        <r>
          <rPr>
            <sz val="9"/>
            <color indexed="81"/>
            <rFont val="Tahoma"/>
            <family val="2"/>
          </rPr>
          <t xml:space="preserve">
3cm per t/ha</t>
        </r>
      </text>
    </comment>
    <comment ref="R41" authorId="0" shapeId="0" xr:uid="{8AD5989A-C7DF-4334-9055-1B10D8A91B28}">
      <text>
        <r>
          <rPr>
            <b/>
            <sz val="9"/>
            <color indexed="81"/>
            <rFont val="Tahoma"/>
            <family val="2"/>
          </rPr>
          <t>John:</t>
        </r>
        <r>
          <rPr>
            <sz val="9"/>
            <color indexed="81"/>
            <rFont val="Tahoma"/>
            <family val="2"/>
          </rPr>
          <t xml:space="preserve">
Problem is that is Universal.xl so it affects all regions</t>
        </r>
      </text>
    </comment>
    <comment ref="K42" authorId="0" shapeId="0" xr:uid="{F3482EC9-87EB-497B-B53D-23106C8305DA}">
      <text>
        <r>
          <rPr>
            <b/>
            <sz val="9"/>
            <color indexed="81"/>
            <rFont val="Tahoma"/>
            <family val="2"/>
          </rPr>
          <t>John:</t>
        </r>
        <r>
          <rPr>
            <sz val="9"/>
            <color indexed="81"/>
            <rFont val="Tahoma"/>
            <family val="2"/>
          </rPr>
          <t xml:space="preserve">
This is the minimum level below which animals can't graze.
It is in units of FOO as defined in the intake equations (GrazPlan).</t>
        </r>
      </text>
    </comment>
    <comment ref="K47" authorId="0" shapeId="0" xr:uid="{A4A6429D-C112-4CFD-9806-017DA02B880F}">
      <text>
        <r>
          <rPr>
            <b/>
            <sz val="9"/>
            <color indexed="81"/>
            <rFont val="Tahoma"/>
            <family val="2"/>
          </rPr>
          <t>John:</t>
        </r>
        <r>
          <rPr>
            <sz val="9"/>
            <color indexed="81"/>
            <rFont val="Tahoma"/>
            <family val="2"/>
          </rPr>
          <t xml:space="preserve">
Number of parameters in cu3</t>
        </r>
      </text>
    </comment>
    <comment ref="L47" authorId="0" shapeId="0" xr:uid="{67EAA301-1CC7-4143-BBE6-33E49800F8EC}">
      <text>
        <r>
          <rPr>
            <b/>
            <sz val="9"/>
            <color indexed="81"/>
            <rFont val="Tahoma"/>
            <family val="2"/>
          </rPr>
          <t>John:</t>
        </r>
        <r>
          <rPr>
            <sz val="9"/>
            <color indexed="81"/>
            <rFont val="Tahoma"/>
            <family val="2"/>
          </rPr>
          <t xml:space="preserve">
Number of conversion scenarios included</t>
        </r>
      </text>
    </comment>
    <comment ref="K72" authorId="0" shapeId="0" xr:uid="{DB09FDCE-9D65-49C4-AE79-0666F1DF8410}">
      <text>
        <r>
          <rPr>
            <b/>
            <sz val="9"/>
            <color indexed="81"/>
            <rFont val="Tahoma"/>
            <family val="2"/>
          </rPr>
          <t>John:</t>
        </r>
        <r>
          <rPr>
            <sz val="9"/>
            <color indexed="81"/>
            <rFont val="Tahoma"/>
            <family val="2"/>
          </rPr>
          <t xml:space="preserve">
300kg/ha adjustment to account for the change made in GrazPlan from FOO with handshears to above ground biomass.
The GrazPlan ungrazed limit has changed from 100kg/ha up to 400kg/ha.</t>
        </r>
      </text>
    </comment>
    <comment ref="K73" authorId="0" shapeId="0" xr:uid="{C16B23F5-6131-474E-831C-80368C81712A}">
      <text>
        <r>
          <rPr>
            <b/>
            <sz val="9"/>
            <color indexed="81"/>
            <rFont val="Tahoma"/>
            <family val="2"/>
          </rPr>
          <t>John:</t>
        </r>
        <r>
          <rPr>
            <sz val="9"/>
            <color indexed="81"/>
            <rFont val="Tahoma"/>
            <family val="2"/>
          </rPr>
          <t xml:space="preserve">
300kg/ha adjustment to account for the change made in GrazPlan from FOO with handshears to above ground biomass.
The GrazPlan ungrazed limit has changed from 100kg/ha up to 400kg/ha.</t>
        </r>
      </text>
    </comment>
    <comment ref="H78" authorId="0" shapeId="0" xr:uid="{01798DD4-AE2E-4074-8505-1DECE8934A6B}">
      <text>
        <r>
          <rPr>
            <b/>
            <sz val="9"/>
            <color indexed="81"/>
            <rFont val="Tahoma"/>
            <family val="2"/>
          </rPr>
          <t>John:</t>
        </r>
        <r>
          <rPr>
            <sz val="9"/>
            <color indexed="81"/>
            <rFont val="Tahoma"/>
            <family val="2"/>
          </rPr>
          <t xml:space="preserve">
There are 2 different functional forms for this equation. The 2 results are added together, therefore the one not required needs to compute to 0.</t>
        </r>
      </text>
    </comment>
    <comment ref="X82" authorId="0" shapeId="0" xr:uid="{14969C7B-D0A8-4954-9AD6-F59D4D9E0BAB}">
      <text>
        <r>
          <rPr>
            <b/>
            <sz val="9"/>
            <color indexed="81"/>
            <rFont val="Tahoma"/>
            <family val="2"/>
          </rPr>
          <t>John:</t>
        </r>
        <r>
          <rPr>
            <sz val="9"/>
            <color indexed="81"/>
            <rFont val="Tahoma"/>
            <family val="2"/>
          </rPr>
          <t xml:space="preserve">
with an HR scalar of 1.25
</t>
        </r>
      </text>
    </comment>
    <comment ref="Y82" authorId="0" shapeId="0" xr:uid="{72057EEF-F315-4160-A3BB-A4D747370AD8}">
      <text>
        <r>
          <rPr>
            <b/>
            <sz val="9"/>
            <color indexed="81"/>
            <rFont val="Tahoma"/>
            <family val="2"/>
          </rPr>
          <t>John:</t>
        </r>
        <r>
          <rPr>
            <sz val="9"/>
            <color indexed="81"/>
            <rFont val="Tahoma"/>
            <family val="2"/>
          </rPr>
          <t xml:space="preserve">
Change made by the adjustment</t>
        </r>
      </text>
    </comment>
    <comment ref="W83" authorId="0" shapeId="0" xr:uid="{F84A738B-5DC0-41BC-97C9-D56823677CE7}">
      <text>
        <r>
          <rPr>
            <b/>
            <sz val="9"/>
            <color indexed="81"/>
            <rFont val="Tahoma"/>
            <family val="2"/>
          </rPr>
          <t>John:</t>
        </r>
        <r>
          <rPr>
            <sz val="9"/>
            <color indexed="81"/>
            <rFont val="Tahoma"/>
            <family val="2"/>
          </rPr>
          <t xml:space="preserve">
HR scalar, if that system was used instead of the height adjustment equation</t>
        </r>
      </text>
    </comment>
    <comment ref="K109" authorId="0" shapeId="0" xr:uid="{91EE06C9-72BF-47CB-8B45-09FEE1D57519}">
      <text>
        <r>
          <rPr>
            <b/>
            <sz val="9"/>
            <color indexed="81"/>
            <rFont val="Tahoma"/>
            <family val="2"/>
          </rPr>
          <t>John:</t>
        </r>
        <r>
          <rPr>
            <sz val="9"/>
            <color indexed="81"/>
            <rFont val="Tahoma"/>
            <family val="2"/>
          </rPr>
          <t xml:space="preserve">
A large negative number to make the prediction = 0</t>
        </r>
      </text>
    </comment>
    <comment ref="K119" authorId="0" shapeId="0" xr:uid="{8336307A-DE22-4244-BD07-5DB575EA4B0B}">
      <text>
        <r>
          <rPr>
            <b/>
            <sz val="9"/>
            <color indexed="81"/>
            <rFont val="Tahoma"/>
            <family val="2"/>
          </rPr>
          <t>John:</t>
        </r>
        <r>
          <rPr>
            <sz val="9"/>
            <color indexed="81"/>
            <rFont val="Tahoma"/>
            <family val="2"/>
          </rPr>
          <t xml:space="preserve">
3 cm per tonne</t>
        </r>
      </text>
    </comment>
    <comment ref="K135" authorId="0" shapeId="0" xr:uid="{EBBBA689-55D4-4708-9A44-35FB39749084}">
      <text>
        <r>
          <rPr>
            <b/>
            <sz val="9"/>
            <color indexed="81"/>
            <rFont val="Tahoma"/>
            <family val="2"/>
          </rPr>
          <t>John:</t>
        </r>
        <r>
          <rPr>
            <sz val="9"/>
            <color indexed="81"/>
            <rFont val="Tahoma"/>
            <family val="2"/>
          </rPr>
          <t xml:space="preserve">
Multiplying the slope by the custom FOO change generates a height equivalent to using foo_shears in the height calcuation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Michael Young</author>
    <author>Michael Young (21512438)</author>
    <author>Michael</author>
  </authors>
  <commentList>
    <comment ref="A3" authorId="0" shapeId="0" xr:uid="{07D6727B-ECB0-4CFD-A7D8-FB7CB99A89B9}">
      <text>
        <r>
          <rPr>
            <b/>
            <sz val="9"/>
            <color indexed="81"/>
            <rFont val="Tahoma"/>
            <family val="2"/>
          </rPr>
          <t>Michael Young:</t>
        </r>
        <r>
          <rPr>
            <sz val="9"/>
            <color indexed="81"/>
            <rFont val="Tahoma"/>
            <family val="2"/>
          </rPr>
          <t xml:space="preserve">
This is the precent decrease in harvest gear sale value per rotor hours.
See MachSalvageValue.xlsx document in calibration folder for data source.</t>
        </r>
      </text>
    </comment>
    <comment ref="A9" authorId="0" shapeId="0" xr:uid="{CAED6C43-0444-4DB1-96AB-80B613C18A0E}">
      <text>
        <r>
          <rPr>
            <b/>
            <sz val="9"/>
            <color indexed="81"/>
            <rFont val="Tahoma"/>
            <family val="2"/>
          </rPr>
          <t>Michael Young:</t>
        </r>
        <r>
          <rPr>
            <sz val="9"/>
            <color indexed="81"/>
            <rFont val="Tahoma"/>
            <family val="2"/>
          </rPr>
          <t xml:space="preserve">
used to calibrate contract hay mowing price </t>
        </r>
      </text>
    </comment>
    <comment ref="A12" authorId="0" shapeId="0" xr:uid="{94CD2613-4C0E-4578-A436-C34E827BBAB0}">
      <text>
        <r>
          <rPr>
            <b/>
            <sz val="9"/>
            <color indexed="81"/>
            <rFont val="Tahoma"/>
            <family val="2"/>
          </rPr>
          <t>Michael Young:</t>
        </r>
        <r>
          <rPr>
            <sz val="9"/>
            <color indexed="81"/>
            <rFont val="Tahoma"/>
            <family val="2"/>
          </rPr>
          <t xml:space="preserve">
yes these inputs may vary slightly between property but I suspect they wouldn't get changed because they are low priority so that’s why they are here</t>
        </r>
      </text>
    </comment>
    <comment ref="A14" authorId="0" shapeId="0" xr:uid="{C51DFCDD-EF48-4902-B241-BDB5F9168B11}">
      <text>
        <r>
          <rPr>
            <b/>
            <sz val="9"/>
            <color indexed="81"/>
            <rFont val="Tahoma"/>
            <family val="2"/>
          </rPr>
          <t>Michael Young:</t>
        </r>
        <r>
          <rPr>
            <sz val="9"/>
            <color indexed="81"/>
            <rFont val="Tahoma"/>
            <family val="2"/>
          </rPr>
          <t xml:space="preserve">
harvester rate t/rotor hr. This accounts for paddock overlap and turning around.
There is a factor in pinp that accounts for time spent moving paddocks, filling up, etc.</t>
        </r>
      </text>
    </comment>
    <comment ref="B18" authorId="1" shapeId="0" xr:uid="{7F1CD391-FDC1-402D-8BC7-5FB4328DCEC0}">
      <text>
        <r>
          <rPr>
            <b/>
            <sz val="9"/>
            <color indexed="81"/>
            <rFont val="Tahoma"/>
            <family val="2"/>
          </rPr>
          <t>Michael Young (21512438):</t>
        </r>
        <r>
          <rPr>
            <sz val="9"/>
            <color indexed="81"/>
            <rFont val="Tahoma"/>
            <family val="2"/>
          </rPr>
          <t xml:space="preserve">
can be tactically harvested</t>
        </r>
      </text>
    </comment>
    <comment ref="B23" authorId="2" shapeId="0" xr:uid="{ACC2C5B1-D989-4055-A1C1-CC9AC3CD9C77}">
      <text>
        <r>
          <rPr>
            <b/>
            <sz val="9"/>
            <color indexed="81"/>
            <rFont val="Tahoma"/>
            <family val="2"/>
          </rPr>
          <t>Michael:</t>
        </r>
        <r>
          <rPr>
            <sz val="9"/>
            <color indexed="81"/>
            <rFont val="Tahoma"/>
            <family val="2"/>
          </rPr>
          <t xml:space="preserve">
combo of ceral and pulse</t>
        </r>
      </text>
    </comment>
    <comment ref="B26" authorId="1" shapeId="0" xr:uid="{B1FEEE67-7891-46E1-A73C-A7EC30A7A2C0}">
      <text>
        <r>
          <rPr>
            <b/>
            <sz val="9"/>
            <color indexed="81"/>
            <rFont val="Tahoma"/>
            <family val="2"/>
          </rPr>
          <t xml:space="preserve">Michael Young (21512438):
</t>
        </r>
        <r>
          <rPr>
            <sz val="9"/>
            <color indexed="81"/>
            <rFont val="Tahoma"/>
            <family val="2"/>
          </rPr>
          <t>can be tactically harvested</t>
        </r>
      </text>
    </comment>
    <comment ref="A35" authorId="0" shapeId="0" xr:uid="{05C603B3-DB35-4092-8F2F-DCC28789626E}">
      <text>
        <r>
          <rPr>
            <b/>
            <sz val="9"/>
            <color indexed="81"/>
            <rFont val="Tahoma"/>
            <family val="2"/>
          </rPr>
          <t>Michael Young:</t>
        </r>
        <r>
          <rPr>
            <sz val="9"/>
            <color indexed="81"/>
            <rFont val="Tahoma"/>
            <family val="2"/>
          </rPr>
          <t xml:space="preserve">
date when mach insurance is paid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Michael Young</author>
    <author>Michael Young (21512438)</author>
    <author>Michael</author>
  </authors>
  <commentList>
    <comment ref="A10" authorId="0" shapeId="0" xr:uid="{A5C43CB2-01AC-485F-A89B-615455B6CF47}">
      <text>
        <r>
          <rPr>
            <b/>
            <sz val="9"/>
            <color indexed="81"/>
            <rFont val="Tahoma"/>
            <family val="2"/>
          </rPr>
          <t>Michael Young:</t>
        </r>
        <r>
          <rPr>
            <sz val="9"/>
            <color indexed="81"/>
            <rFont val="Tahoma"/>
            <family val="2"/>
          </rPr>
          <t xml:space="preserve">
sale value - used to calc depreciation</t>
        </r>
      </text>
    </comment>
    <comment ref="C11" authorId="1" shapeId="0" xr:uid="{A9C3765A-A830-46CE-AB82-A69E1135CBA6}">
      <text>
        <r>
          <rPr>
            <b/>
            <sz val="9"/>
            <color indexed="81"/>
            <rFont val="Tahoma"/>
            <family val="2"/>
          </rPr>
          <t>Michael Young (21512438):</t>
        </r>
        <r>
          <rPr>
            <sz val="9"/>
            <color indexed="81"/>
            <rFont val="Tahoma"/>
            <family val="2"/>
          </rPr>
          <t xml:space="preserve">
Proportion of use from each machine compared to seeder (seeder hours is the variable used to determine the hours of use). I.e. if the truck does half the hours the seeder does it should have 50% entered.</t>
        </r>
      </text>
    </comment>
    <comment ref="D11" authorId="1" shapeId="0" xr:uid="{A1FF8EC8-1835-4B4F-A5B7-78E96E80A8DD}">
      <text>
        <r>
          <rPr>
            <b/>
            <sz val="9"/>
            <color indexed="81"/>
            <rFont val="Tahoma"/>
            <family val="2"/>
          </rPr>
          <t>Michael Young (21512438):</t>
        </r>
        <r>
          <rPr>
            <sz val="9"/>
            <color indexed="81"/>
            <rFont val="Tahoma"/>
            <family val="2"/>
          </rPr>
          <t xml:space="preserve">
Proportion of use from each machine compared to harvester harv hours is the variable used to determine the hours of use). I.e. if the truck does half the hours the harvester does it should have 50% entered.</t>
        </r>
      </text>
    </comment>
    <comment ref="A12" authorId="0" shapeId="0" xr:uid="{1C3191BB-05BC-4AB2-B43C-7AAF0E4A07DE}">
      <text>
        <r>
          <rPr>
            <b/>
            <sz val="9"/>
            <color indexed="81"/>
            <rFont val="Tahoma"/>
            <family val="2"/>
          </rPr>
          <t>Michael Young:</t>
        </r>
        <r>
          <rPr>
            <sz val="9"/>
            <color indexed="81"/>
            <rFont val="Tahoma"/>
            <family val="2"/>
          </rPr>
          <t xml:space="preserve">
big seeding tractor</t>
        </r>
      </text>
    </comment>
    <comment ref="A16" authorId="0" shapeId="0" xr:uid="{DF3C6D64-1E0D-437B-A822-292029FB94D2}">
      <text>
        <r>
          <rPr>
            <b/>
            <sz val="9"/>
            <color indexed="81"/>
            <rFont val="Tahoma"/>
            <family val="2"/>
          </rPr>
          <t>Michael Young:</t>
        </r>
        <r>
          <rPr>
            <sz val="9"/>
            <color indexed="81"/>
            <rFont val="Tahoma"/>
            <family val="2"/>
          </rPr>
          <t xml:space="preserve">
tractors for spreading, spraying, chasing, etc.</t>
        </r>
      </text>
    </comment>
    <comment ref="A23" authorId="0" shapeId="0" xr:uid="{C8CFC0B4-E4EC-4FCC-B2FA-52574D5722F6}">
      <text>
        <r>
          <rPr>
            <b/>
            <sz val="9"/>
            <color indexed="81"/>
            <rFont val="Tahoma"/>
            <family val="2"/>
          </rPr>
          <t>Michael Young:</t>
        </r>
        <r>
          <rPr>
            <sz val="9"/>
            <color indexed="81"/>
            <rFont val="Tahoma"/>
            <family val="2"/>
          </rPr>
          <t xml:space="preserve">
clearing value of silo and feild bins (doesn't include  sheep feed storage - cost calculated elsewhere)</t>
        </r>
      </text>
    </comment>
    <comment ref="A26" authorId="0" shapeId="0" xr:uid="{BE7D393A-96F3-41C2-8AF7-0A9F769A5E1D}">
      <text>
        <r>
          <rPr>
            <b/>
            <sz val="9"/>
            <color indexed="81"/>
            <rFont val="Tahoma"/>
            <family val="2"/>
          </rPr>
          <t>Michael Young:</t>
        </r>
        <r>
          <rPr>
            <sz val="9"/>
            <color indexed="81"/>
            <rFont val="Tahoma"/>
            <family val="2"/>
          </rPr>
          <t xml:space="preserve">
clearing value of all other miscellaneous stuff on farm</t>
        </r>
      </text>
    </comment>
    <comment ref="A30" authorId="0" shapeId="0" xr:uid="{9B428757-49C8-4D8E-A28D-98005751DC58}">
      <text>
        <r>
          <rPr>
            <b/>
            <sz val="9"/>
            <color indexed="81"/>
            <rFont val="Tahoma"/>
            <family val="2"/>
          </rPr>
          <t>Michael Young:</t>
        </r>
        <r>
          <rPr>
            <sz val="9"/>
            <color indexed="81"/>
            <rFont val="Tahoma"/>
            <family val="2"/>
          </rPr>
          <t xml:space="preserve">
select the number of seeders (default is 1). Note if this changes remember to update machinery clearing value.</t>
        </r>
      </text>
    </comment>
    <comment ref="A32" authorId="0" shapeId="0" xr:uid="{006C4321-357D-429D-B098-85D366E0F1D8}">
      <text>
        <r>
          <rPr>
            <b/>
            <sz val="9"/>
            <color indexed="81"/>
            <rFont val="Tahoma"/>
            <family val="2"/>
          </rPr>
          <t>Michael Young:</t>
        </r>
        <r>
          <rPr>
            <sz val="9"/>
            <color indexed="81"/>
            <rFont val="Tahoma"/>
            <family val="2"/>
          </rPr>
          <t xml:space="preserve">
Speed of seeding wheat on loamy sand, with granite outcropping. Whitegum is a common tree (this is lmu 5 for gsm)
different lmus are adjusted for in the property.xlsx
different crops are adjusted for below</t>
        </r>
      </text>
    </comment>
    <comment ref="A34" authorId="0" shapeId="0" xr:uid="{F2D15DD5-F7FF-4C55-BC54-FE07E4D13F94}">
      <text>
        <r>
          <rPr>
            <b/>
            <sz val="9"/>
            <color indexed="81"/>
            <rFont val="Tahoma"/>
            <family val="2"/>
          </rPr>
          <t>Michael Young:</t>
        </r>
        <r>
          <rPr>
            <sz val="9"/>
            <color indexed="81"/>
            <rFont val="Tahoma"/>
            <family val="2"/>
          </rPr>
          <t xml:space="preserve">
Rule of thumb: Diesel use ≈ 0.22–0.30 L per hp per hour
</t>
        </r>
      </text>
    </comment>
    <comment ref="A36" authorId="0" shapeId="0" xr:uid="{F642D085-821F-46D6-B452-DEBC487F62ED}">
      <text>
        <r>
          <rPr>
            <b/>
            <sz val="9"/>
            <color indexed="81"/>
            <rFont val="Tahoma"/>
            <family val="2"/>
          </rPr>
          <t>Michael Young:</t>
        </r>
        <r>
          <rPr>
            <sz val="9"/>
            <color indexed="81"/>
            <rFont val="Tahoma"/>
            <family val="2"/>
          </rPr>
          <t xml:space="preserve">
tractor and tillage gear r&amp;m on base lmu ($/hr)
calibrated to the base soil loamy sand, with granite outcropping. Whitegum is a common tree 
Lmu adjustment factors in property.xlsx</t>
        </r>
      </text>
    </comment>
    <comment ref="A38" authorId="0" shapeId="0" xr:uid="{F1DB57C4-B2B1-41EC-8EC7-B40069224122}">
      <text>
        <r>
          <rPr>
            <b/>
            <sz val="9"/>
            <color indexed="81"/>
            <rFont val="Tahoma"/>
            <family val="2"/>
          </rPr>
          <t>Michael Young:</t>
        </r>
        <r>
          <rPr>
            <sz val="9"/>
            <color indexed="81"/>
            <rFont val="Tahoma"/>
            <family val="2"/>
          </rPr>
          <t xml:space="preserve">
seeding speed of other crops relative to wheat (wheat should be 1)
Note - cont pasture needs to be included here if resown</t>
        </r>
      </text>
    </comment>
    <comment ref="A73" authorId="0" shapeId="0" xr:uid="{F6FCCA1B-6E45-4F9D-AA90-13BE6B23B5B7}">
      <text>
        <r>
          <rPr>
            <b/>
            <sz val="9"/>
            <color indexed="81"/>
            <rFont val="Tahoma"/>
            <family val="2"/>
          </rPr>
          <t>Michael Young:</t>
        </r>
        <r>
          <rPr>
            <sz val="9"/>
            <color indexed="81"/>
            <rFont val="Tahoma"/>
            <family val="2"/>
          </rPr>
          <t xml:space="preserve">
select the number of harvesters (default is 1). Note if this is changed remember to update machinery clearing value above.</t>
        </r>
      </text>
    </comment>
    <comment ref="A75" authorId="0" shapeId="0" xr:uid="{45CFE2DF-AFC8-4DC7-815A-6937FE1B6E8B}">
      <text>
        <r>
          <rPr>
            <b/>
            <sz val="9"/>
            <color indexed="81"/>
            <rFont val="Tahoma"/>
            <family val="2"/>
          </rPr>
          <t>Michael Young:</t>
        </r>
        <r>
          <rPr>
            <sz val="9"/>
            <color indexed="81"/>
            <rFont val="Tahoma"/>
            <family val="2"/>
          </rPr>
          <t xml:space="preserve">
harvester fuel used per hour</t>
        </r>
      </text>
    </comment>
    <comment ref="B75" authorId="0" shapeId="0" xr:uid="{2C670939-C848-47B0-B056-5DFC1BCEAE27}">
      <text>
        <r>
          <rPr>
            <b/>
            <sz val="9"/>
            <color indexed="81"/>
            <rFont val="Tahoma"/>
            <family val="2"/>
          </rPr>
          <t>Michael Young:</t>
        </r>
        <r>
          <rPr>
            <sz val="9"/>
            <color indexed="81"/>
            <rFont val="Tahoma"/>
            <family val="2"/>
          </rPr>
          <t xml:space="preserve">
calibrated 19/1/20 based on a paper I found online (saved in dropbox)
The paper had results for L/ha so I converted to L/hr using the harvest rate in midas</t>
        </r>
      </text>
    </comment>
    <comment ref="A77" authorId="0" shapeId="0" xr:uid="{A7E450F0-9C79-45A5-84E6-71A77C549D5E}">
      <text>
        <r>
          <rPr>
            <b/>
            <sz val="9"/>
            <color indexed="81"/>
            <rFont val="Tahoma"/>
            <family val="2"/>
          </rPr>
          <t>Michael Young:</t>
        </r>
        <r>
          <rPr>
            <sz val="9"/>
            <color indexed="81"/>
            <rFont val="Tahoma"/>
            <family val="2"/>
          </rPr>
          <t xml:space="preserve">
oil &amp; grease factor, means for every litre of fuel used $0.3 of oil and grease are use</t>
        </r>
      </text>
    </comment>
    <comment ref="A79" authorId="0" shapeId="0" xr:uid="{86AD1219-28FE-493F-A11F-2E0D7756C330}">
      <text>
        <r>
          <rPr>
            <b/>
            <sz val="9"/>
            <color indexed="81"/>
            <rFont val="Tahoma"/>
            <family val="2"/>
          </rPr>
          <t>Michael Young:</t>
        </r>
        <r>
          <rPr>
            <sz val="9"/>
            <color indexed="81"/>
            <rFont val="Tahoma"/>
            <family val="2"/>
          </rPr>
          <t xml:space="preserve">
harvester rate t/rotor hr. This accounts for paddock overlap and turning around.
There is a factor in pinp that accounts for time spent moving paddocks, filling up, etc.</t>
        </r>
      </text>
    </comment>
    <comment ref="B83" authorId="1" shapeId="0" xr:uid="{B0B4EB0C-F780-495A-AF25-6F8F45E4C249}">
      <text>
        <r>
          <rPr>
            <b/>
            <sz val="9"/>
            <color indexed="81"/>
            <rFont val="Tahoma"/>
            <family val="2"/>
          </rPr>
          <t>Michael Young (21512438):</t>
        </r>
        <r>
          <rPr>
            <sz val="9"/>
            <color indexed="81"/>
            <rFont val="Tahoma"/>
            <family val="2"/>
          </rPr>
          <t xml:space="preserve">
can be tactically harvested</t>
        </r>
      </text>
    </comment>
    <comment ref="B88" authorId="2" shapeId="0" xr:uid="{A17396D2-21AD-4982-A81E-6BA2DDAFE067}">
      <text>
        <r>
          <rPr>
            <b/>
            <sz val="9"/>
            <color indexed="81"/>
            <rFont val="Tahoma"/>
            <family val="2"/>
          </rPr>
          <t>Michael:</t>
        </r>
        <r>
          <rPr>
            <sz val="9"/>
            <color indexed="81"/>
            <rFont val="Tahoma"/>
            <family val="2"/>
          </rPr>
          <t xml:space="preserve">
combo of ceral and pulse</t>
        </r>
      </text>
    </comment>
    <comment ref="B91" authorId="1" shapeId="0" xr:uid="{6C18AC7A-3B4F-43E7-8411-49547BF9F5EA}">
      <text>
        <r>
          <rPr>
            <b/>
            <sz val="9"/>
            <color indexed="81"/>
            <rFont val="Tahoma"/>
            <family val="2"/>
          </rPr>
          <t xml:space="preserve">Michael Young (21512438):
</t>
        </r>
        <r>
          <rPr>
            <sz val="9"/>
            <color indexed="81"/>
            <rFont val="Tahoma"/>
            <family val="2"/>
          </rPr>
          <t>can be tactically harvested</t>
        </r>
      </text>
    </comment>
    <comment ref="A100" authorId="2" shapeId="0" xr:uid="{65A24561-6BDA-49E9-BE4C-D8A56B5C2A42}">
      <text>
        <r>
          <rPr>
            <b/>
            <sz val="9"/>
            <color indexed="81"/>
            <rFont val="Tahoma"/>
            <family val="2"/>
          </rPr>
          <t>Michael:</t>
        </r>
        <r>
          <rPr>
            <sz val="9"/>
            <color indexed="81"/>
            <rFont val="Tahoma"/>
            <family val="2"/>
          </rPr>
          <t xml:space="preserve">
maint cost for cereals</t>
        </r>
      </text>
    </comment>
    <comment ref="B111" authorId="2" shapeId="0" xr:uid="{CD3307A8-99A7-4991-A0EF-58E516E5EF1B}">
      <text>
        <r>
          <rPr>
            <b/>
            <sz val="9"/>
            <color indexed="81"/>
            <rFont val="Tahoma"/>
            <family val="2"/>
          </rPr>
          <t>Michael:</t>
        </r>
        <r>
          <rPr>
            <sz val="9"/>
            <color indexed="81"/>
            <rFont val="Tahoma"/>
            <family val="2"/>
          </rPr>
          <t xml:space="preserve">
combo of ceral and pulse</t>
        </r>
      </text>
    </comment>
    <comment ref="A124" authorId="0" shapeId="0" xr:uid="{346DA0F9-8E9D-47FA-82BB-5D5570193A2C}">
      <text>
        <r>
          <rPr>
            <b/>
            <sz val="9"/>
            <color indexed="81"/>
            <rFont val="Tahoma"/>
            <family val="2"/>
          </rPr>
          <t>Michael Young:</t>
        </r>
        <r>
          <rPr>
            <sz val="9"/>
            <color indexed="81"/>
            <rFont val="Tahoma"/>
            <family val="2"/>
          </rPr>
          <t xml:space="preserve">
Rate of sprying per machine hour.
Input in pinp accounts for time spent filling up.</t>
        </r>
      </text>
    </comment>
    <comment ref="A126" authorId="0" shapeId="0" xr:uid="{69CC96C8-AF07-48C4-938F-0ADA4D288060}">
      <text>
        <r>
          <rPr>
            <b/>
            <sz val="9"/>
            <color indexed="81"/>
            <rFont val="Tahoma"/>
            <family val="2"/>
          </rPr>
          <t>Michael Young:</t>
        </r>
        <r>
          <rPr>
            <sz val="9"/>
            <color indexed="81"/>
            <rFont val="Tahoma"/>
            <family val="2"/>
          </rPr>
          <t xml:space="preserve">
litres per hr (either tractor or sprayer itself if self propelled)</t>
        </r>
      </text>
    </comment>
    <comment ref="A128" authorId="0" shapeId="0" xr:uid="{28FB618A-A405-4A1E-83CB-7053EFE6F91C}">
      <text>
        <r>
          <rPr>
            <b/>
            <sz val="9"/>
            <color indexed="81"/>
            <rFont val="Tahoma"/>
            <family val="2"/>
          </rPr>
          <t>Michael Young:</t>
        </r>
        <r>
          <rPr>
            <sz val="9"/>
            <color indexed="81"/>
            <rFont val="Tahoma"/>
            <family val="2"/>
          </rPr>
          <t xml:space="preserve">
sprayer repairs and maint $/hr</t>
        </r>
      </text>
    </comment>
    <comment ref="A131" authorId="0" shapeId="0" xr:uid="{68CF1D99-D562-4707-8E3D-B1880793A9FB}">
      <text>
        <r>
          <rPr>
            <b/>
            <sz val="9"/>
            <color indexed="81"/>
            <rFont val="Tahoma"/>
            <family val="2"/>
          </rPr>
          <t>Michael Young:</t>
        </r>
        <r>
          <rPr>
            <sz val="9"/>
            <color indexed="81"/>
            <rFont val="Tahoma"/>
            <family val="2"/>
          </rPr>
          <t xml:space="preserve">
fuel use per hr (L/hr)</t>
        </r>
      </text>
    </comment>
    <comment ref="B133" authorId="0" shapeId="0" xr:uid="{24D50648-5753-4973-B910-86BB9DC6D97E}">
      <text>
        <r>
          <rPr>
            <b/>
            <sz val="9"/>
            <color indexed="81"/>
            <rFont val="Tahoma"/>
            <family val="2"/>
          </rPr>
          <t>Michael Young:</t>
        </r>
        <r>
          <rPr>
            <sz val="9"/>
            <color indexed="81"/>
            <rFont val="Tahoma"/>
            <family val="2"/>
          </rPr>
          <t xml:space="preserve">
width of spreader for different ferts (m) - needs to be calibrated 
ferts applied at seeding only ie agflow not included</t>
        </r>
      </text>
    </comment>
    <comment ref="C138" authorId="1" shapeId="0" xr:uid="{42F682D9-C8C6-493F-8002-3CA376596E07}">
      <text>
        <r>
          <rPr>
            <b/>
            <sz val="9"/>
            <color indexed="81"/>
            <rFont val="Tahoma"/>
            <family val="2"/>
          </rPr>
          <t>Michael Young (21512438):</t>
        </r>
        <r>
          <rPr>
            <sz val="9"/>
            <color indexed="81"/>
            <rFont val="Tahoma"/>
            <family val="2"/>
          </rPr>
          <t xml:space="preserve">
technically this is applied with sprayer so set to the width of sprayer
</t>
        </r>
      </text>
    </comment>
    <comment ref="A140" authorId="0" shapeId="0" xr:uid="{1956460A-F1C6-4EF8-AB39-0FBCEE750684}">
      <text>
        <r>
          <rPr>
            <b/>
            <sz val="9"/>
            <color indexed="81"/>
            <rFont val="Tahoma"/>
            <family val="2"/>
          </rPr>
          <t>Michael Young:</t>
        </r>
        <r>
          <rPr>
            <sz val="9"/>
            <color indexed="81"/>
            <rFont val="Tahoma"/>
            <family val="2"/>
          </rPr>
          <t xml:space="preserve">
spreading capacity (m3)</t>
        </r>
      </text>
    </comment>
    <comment ref="A142" authorId="0" shapeId="0" xr:uid="{FB3460B2-EEC8-4877-B8B1-D9C11C671136}">
      <text>
        <r>
          <rPr>
            <b/>
            <sz val="9"/>
            <color indexed="81"/>
            <rFont val="Tahoma"/>
            <family val="2"/>
          </rPr>
          <t>Michael Young:</t>
        </r>
        <r>
          <rPr>
            <sz val="9"/>
            <color indexed="81"/>
            <rFont val="Tahoma"/>
            <family val="2"/>
          </rPr>
          <t xml:space="preserve">
time taken to fill (hr)</t>
        </r>
      </text>
    </comment>
    <comment ref="A144" authorId="0" shapeId="0" xr:uid="{90B38C8F-F860-49FC-A904-C7295321764B}">
      <text>
        <r>
          <rPr>
            <b/>
            <sz val="9"/>
            <color indexed="81"/>
            <rFont val="Tahoma"/>
            <family val="2"/>
          </rPr>
          <t>Michael Young:</t>
        </r>
        <r>
          <rPr>
            <sz val="9"/>
            <color indexed="81"/>
            <rFont val="Tahoma"/>
            <family val="2"/>
          </rPr>
          <t xml:space="preserve">
spreading speed km/hr</t>
        </r>
      </text>
    </comment>
    <comment ref="A146" authorId="0" shapeId="0" xr:uid="{85822C6F-9E5A-47F2-9D44-866E301FD454}">
      <text>
        <r>
          <rPr>
            <b/>
            <sz val="9"/>
            <color indexed="81"/>
            <rFont val="Tahoma"/>
            <family val="2"/>
          </rPr>
          <t>Michael Young:</t>
        </r>
        <r>
          <rPr>
            <sz val="9"/>
            <color indexed="81"/>
            <rFont val="Tahoma"/>
            <family val="2"/>
          </rPr>
          <t xml:space="preserve">
spreading paddock efficiency. 100% means no overlap</t>
        </r>
      </text>
    </comment>
    <comment ref="A148" authorId="0" shapeId="0" xr:uid="{222648DA-7862-4716-8D52-B1C326C080CA}">
      <text>
        <r>
          <rPr>
            <b/>
            <sz val="9"/>
            <color indexed="81"/>
            <rFont val="Tahoma"/>
            <family val="2"/>
          </rPr>
          <t>Michael Young:</t>
        </r>
        <r>
          <rPr>
            <sz val="9"/>
            <color indexed="81"/>
            <rFont val="Tahoma"/>
            <family val="2"/>
          </rPr>
          <t xml:space="preserve">
fert spreader and tractor repairs and maint $/hr</t>
        </r>
      </text>
    </comment>
    <comment ref="A151" authorId="0" shapeId="0" xr:uid="{767EE9FF-3904-4C78-9EA4-E3A0E3F97E61}">
      <text>
        <r>
          <rPr>
            <b/>
            <sz val="9"/>
            <color indexed="81"/>
            <rFont val="Tahoma"/>
            <family val="2"/>
          </rPr>
          <t>Michael Young:</t>
        </r>
        <r>
          <rPr>
            <sz val="9"/>
            <color indexed="81"/>
            <rFont val="Tahoma"/>
            <family val="2"/>
          </rPr>
          <t xml:space="preserve">
litres per ha (tractor)</t>
        </r>
      </text>
    </comment>
    <comment ref="A153" authorId="0" shapeId="0" xr:uid="{A83AD7E4-10C1-4646-9C5D-3F90978C7AA5}">
      <text>
        <r>
          <rPr>
            <b/>
            <sz val="9"/>
            <color indexed="81"/>
            <rFont val="Tahoma"/>
            <family val="2"/>
          </rPr>
          <t>Michael Young:</t>
        </r>
        <r>
          <rPr>
            <sz val="9"/>
            <color indexed="81"/>
            <rFont val="Tahoma"/>
            <family val="2"/>
          </rPr>
          <t xml:space="preserve">
stubble handler and tractor repairs and maint $/ha </t>
        </r>
      </text>
    </comment>
    <comment ref="B156" authorId="0" shapeId="0" xr:uid="{874AF153-C10B-4691-B9B2-EFB648EC2C37}">
      <text>
        <r>
          <rPr>
            <b/>
            <sz val="9"/>
            <color indexed="81"/>
            <rFont val="Tahoma"/>
            <family val="2"/>
          </rPr>
          <t>Michael Young:</t>
        </r>
        <r>
          <rPr>
            <sz val="9"/>
            <color indexed="81"/>
            <rFont val="Tahoma"/>
            <family val="2"/>
          </rPr>
          <t xml:space="preserve">
r&amp;m</t>
        </r>
      </text>
    </comment>
    <comment ref="C156" authorId="0" shapeId="0" xr:uid="{DBE80A91-8111-4EB3-B1B2-0970582D7387}">
      <text>
        <r>
          <rPr>
            <b/>
            <sz val="9"/>
            <color indexed="81"/>
            <rFont val="Tahoma"/>
            <family val="2"/>
          </rPr>
          <t>Michael Young:</t>
        </r>
        <r>
          <rPr>
            <sz val="9"/>
            <color indexed="81"/>
            <rFont val="Tahoma"/>
            <family val="2"/>
          </rPr>
          <t xml:space="preserve">
L/t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Michael Young</author>
    <author>Michael Young (21512438)</author>
    <author>Michael</author>
  </authors>
  <commentList>
    <comment ref="A10" authorId="0" shapeId="0" xr:uid="{0D91AD56-7147-409E-8D60-0B5357C4CDF0}">
      <text>
        <r>
          <rPr>
            <b/>
            <sz val="9"/>
            <color indexed="81"/>
            <rFont val="Tahoma"/>
            <family val="2"/>
          </rPr>
          <t>Michael Young:</t>
        </r>
        <r>
          <rPr>
            <sz val="9"/>
            <color indexed="81"/>
            <rFont val="Tahoma"/>
            <family val="2"/>
          </rPr>
          <t xml:space="preserve">
sale value - used to calc depreciation</t>
        </r>
      </text>
    </comment>
    <comment ref="C11" authorId="1" shapeId="0" xr:uid="{9CAB09E2-A96F-47EC-AEE3-60E36144E136}">
      <text>
        <r>
          <rPr>
            <b/>
            <sz val="9"/>
            <color indexed="81"/>
            <rFont val="Tahoma"/>
            <family val="2"/>
          </rPr>
          <t>Michael Young (21512438):</t>
        </r>
        <r>
          <rPr>
            <sz val="9"/>
            <color indexed="81"/>
            <rFont val="Tahoma"/>
            <family val="2"/>
          </rPr>
          <t xml:space="preserve">
Proportion of use from each machine compared to seeder (seeder hours is the variable used to determine the hours of use). I.e. if the truck does half the hours the seeder does it should have 50% entered.</t>
        </r>
      </text>
    </comment>
    <comment ref="D11" authorId="1" shapeId="0" xr:uid="{4A7F6FFF-8BB2-4EA2-A365-BEB3E833BF91}">
      <text>
        <r>
          <rPr>
            <b/>
            <sz val="9"/>
            <color indexed="81"/>
            <rFont val="Tahoma"/>
            <family val="2"/>
          </rPr>
          <t>Michael Young (21512438):</t>
        </r>
        <r>
          <rPr>
            <sz val="9"/>
            <color indexed="81"/>
            <rFont val="Tahoma"/>
            <family val="2"/>
          </rPr>
          <t xml:space="preserve">
Proportion of use from each machine compared to harvester harv hours is the variable used to determine the hours of use). I.e. if the truck does half the hours the harvester does it should have 50% entered.</t>
        </r>
      </text>
    </comment>
    <comment ref="A12" authorId="0" shapeId="0" xr:uid="{386515EB-A8AA-4907-8A5E-7F6716274EFA}">
      <text>
        <r>
          <rPr>
            <b/>
            <sz val="9"/>
            <color indexed="81"/>
            <rFont val="Tahoma"/>
            <family val="2"/>
          </rPr>
          <t>Michael Young:</t>
        </r>
        <r>
          <rPr>
            <sz val="9"/>
            <color indexed="81"/>
            <rFont val="Tahoma"/>
            <family val="2"/>
          </rPr>
          <t xml:space="preserve">
big seeding tractor</t>
        </r>
      </text>
    </comment>
    <comment ref="A16" authorId="0" shapeId="0" xr:uid="{E9547F10-61C9-4946-B14E-27FB5C65D55F}">
      <text>
        <r>
          <rPr>
            <b/>
            <sz val="9"/>
            <color indexed="81"/>
            <rFont val="Tahoma"/>
            <family val="2"/>
          </rPr>
          <t>Michael Young:</t>
        </r>
        <r>
          <rPr>
            <sz val="9"/>
            <color indexed="81"/>
            <rFont val="Tahoma"/>
            <family val="2"/>
          </rPr>
          <t xml:space="preserve">
main tractor for spreading, spraying and chasing.</t>
        </r>
      </text>
    </comment>
    <comment ref="A23" authorId="0" shapeId="0" xr:uid="{0DCBE4E2-7AAD-42AE-9B19-8D1B19B8F9E7}">
      <text>
        <r>
          <rPr>
            <b/>
            <sz val="9"/>
            <color indexed="81"/>
            <rFont val="Tahoma"/>
            <family val="2"/>
          </rPr>
          <t>Michael Young:</t>
        </r>
        <r>
          <rPr>
            <sz val="9"/>
            <color indexed="81"/>
            <rFont val="Tahoma"/>
            <family val="2"/>
          </rPr>
          <t xml:space="preserve">
clearing value of silo and feild bins (doesn't include  sheep feed storage - cost calculated elsewhere)</t>
        </r>
      </text>
    </comment>
    <comment ref="A25" authorId="0" shapeId="0" xr:uid="{CE1EDEC0-5F03-47E1-90C8-26E31616C7B7}">
      <text>
        <r>
          <rPr>
            <b/>
            <sz val="9"/>
            <color indexed="81"/>
            <rFont val="Tahoma"/>
            <family val="2"/>
          </rPr>
          <t>Michael Young:</t>
        </r>
        <r>
          <rPr>
            <sz val="9"/>
            <color indexed="81"/>
            <rFont val="Tahoma"/>
            <family val="2"/>
          </rPr>
          <t xml:space="preserve">
clearing value of all other tractors on farm</t>
        </r>
      </text>
    </comment>
    <comment ref="A26" authorId="0" shapeId="0" xr:uid="{C35A4775-98F9-4156-A0D6-92D87CC5DB4E}">
      <text>
        <r>
          <rPr>
            <b/>
            <sz val="9"/>
            <color indexed="81"/>
            <rFont val="Tahoma"/>
            <family val="2"/>
          </rPr>
          <t>Michael Young:</t>
        </r>
        <r>
          <rPr>
            <sz val="9"/>
            <color indexed="81"/>
            <rFont val="Tahoma"/>
            <family val="2"/>
          </rPr>
          <t xml:space="preserve">
clearing value of all other miscellaneous stuff on farm</t>
        </r>
      </text>
    </comment>
    <comment ref="A29" authorId="0" shapeId="0" xr:uid="{C384EEFC-D4BF-4FF0-9D9A-F53CD0C1CB31}">
      <text>
        <r>
          <rPr>
            <b/>
            <sz val="9"/>
            <color indexed="81"/>
            <rFont val="Tahoma"/>
            <family val="2"/>
          </rPr>
          <t>Michael Young:</t>
        </r>
        <r>
          <rPr>
            <sz val="9"/>
            <color indexed="81"/>
            <rFont val="Tahoma"/>
            <family val="2"/>
          </rPr>
          <t xml:space="preserve">
select the number of seeders (default is 1). Note if this changes remember to update machinery clearing value.</t>
        </r>
      </text>
    </comment>
    <comment ref="A32" authorId="0" shapeId="0" xr:uid="{B32D2CD7-4A69-4B58-9E10-C8D21BD9964F}">
      <text>
        <r>
          <rPr>
            <b/>
            <sz val="9"/>
            <color indexed="81"/>
            <rFont val="Tahoma"/>
            <family val="2"/>
          </rPr>
          <t>Michael Young:</t>
        </r>
        <r>
          <rPr>
            <sz val="9"/>
            <color indexed="81"/>
            <rFont val="Tahoma"/>
            <family val="2"/>
          </rPr>
          <t xml:space="preserve">
Speed of seeding wheat on loamy sand, with granite outcropping. Whitegum is a common tree (this is lmu 5 for gsm)
different lmus are adjusted for in the property.xlsx
different crops are adjusted for below</t>
        </r>
      </text>
    </comment>
    <comment ref="A34" authorId="0" shapeId="0" xr:uid="{1AAC0B95-BD3C-4A1D-A65D-F4599C46B6B7}">
      <text>
        <r>
          <rPr>
            <b/>
            <sz val="9"/>
            <color indexed="81"/>
            <rFont val="Tahoma"/>
            <family val="2"/>
          </rPr>
          <t>Michael Young:</t>
        </r>
        <r>
          <rPr>
            <sz val="9"/>
            <color indexed="81"/>
            <rFont val="Tahoma"/>
            <family val="2"/>
          </rPr>
          <t xml:space="preserve">
Rule of thumb: Diesel use ≈ 0.22–0.30 L per hp per hour
</t>
        </r>
      </text>
    </comment>
    <comment ref="A36" authorId="0" shapeId="0" xr:uid="{CF4FA1FC-679E-481B-A62D-00FCCDB879C6}">
      <text>
        <r>
          <rPr>
            <b/>
            <sz val="9"/>
            <color indexed="81"/>
            <rFont val="Tahoma"/>
            <family val="2"/>
          </rPr>
          <t>Michael Young:</t>
        </r>
        <r>
          <rPr>
            <sz val="9"/>
            <color indexed="81"/>
            <rFont val="Tahoma"/>
            <family val="2"/>
          </rPr>
          <t xml:space="preserve">
tractor and tillage gear r&amp;m on base lmu ($/hr)
calibrated to the base soil loamy sand, with granite outcropping. Whitegum is a common tree 
Lmu adjustment factors in property.xlsx</t>
        </r>
      </text>
    </comment>
    <comment ref="A38" authorId="0" shapeId="0" xr:uid="{0AB3757F-BA34-4F9B-94EC-7D06E227207E}">
      <text>
        <r>
          <rPr>
            <b/>
            <sz val="9"/>
            <color indexed="81"/>
            <rFont val="Tahoma"/>
            <family val="2"/>
          </rPr>
          <t>Michael Young:</t>
        </r>
        <r>
          <rPr>
            <sz val="9"/>
            <color indexed="81"/>
            <rFont val="Tahoma"/>
            <family val="2"/>
          </rPr>
          <t xml:space="preserve">
seeding speed of other crops relative to wheat (wheat should be 1)
Note - cont pasture needs to be included here if resown</t>
        </r>
      </text>
    </comment>
    <comment ref="A73" authorId="0" shapeId="0" xr:uid="{04CD1B4A-CCF5-4C1E-9B10-D3AAE35E6639}">
      <text>
        <r>
          <rPr>
            <b/>
            <sz val="9"/>
            <color indexed="81"/>
            <rFont val="Tahoma"/>
            <family val="2"/>
          </rPr>
          <t>Michael Young:</t>
        </r>
        <r>
          <rPr>
            <sz val="9"/>
            <color indexed="81"/>
            <rFont val="Tahoma"/>
            <family val="2"/>
          </rPr>
          <t xml:space="preserve">
select the number of harvesters (default is 1). Note if this is changed remember to update machinery clearing value above.</t>
        </r>
      </text>
    </comment>
    <comment ref="A75" authorId="0" shapeId="0" xr:uid="{9E027972-FE01-46FD-BEE9-5AEEA09263C6}">
      <text>
        <r>
          <rPr>
            <b/>
            <sz val="9"/>
            <color indexed="81"/>
            <rFont val="Tahoma"/>
            <family val="2"/>
          </rPr>
          <t>Michael Young:</t>
        </r>
        <r>
          <rPr>
            <sz val="9"/>
            <color indexed="81"/>
            <rFont val="Tahoma"/>
            <family val="2"/>
          </rPr>
          <t xml:space="preserve">
harvester fuel used per hour</t>
        </r>
      </text>
    </comment>
    <comment ref="A77" authorId="0" shapeId="0" xr:uid="{0AA05AEA-AD38-4914-812F-4DF7D4356189}">
      <text>
        <r>
          <rPr>
            <b/>
            <sz val="9"/>
            <color indexed="81"/>
            <rFont val="Tahoma"/>
            <family val="2"/>
          </rPr>
          <t>Michael Young:</t>
        </r>
        <r>
          <rPr>
            <sz val="9"/>
            <color indexed="81"/>
            <rFont val="Tahoma"/>
            <family val="2"/>
          </rPr>
          <t xml:space="preserve">
oil &amp; grease factor, means for every litre of fuel used $0.3 of oil and grease are use</t>
        </r>
      </text>
    </comment>
    <comment ref="A79" authorId="0" shapeId="0" xr:uid="{F9669CFD-9CD0-4840-BE93-1EAC1F9F6561}">
      <text>
        <r>
          <rPr>
            <b/>
            <sz val="9"/>
            <color indexed="81"/>
            <rFont val="Tahoma"/>
            <family val="2"/>
          </rPr>
          <t>Michael Young:</t>
        </r>
        <r>
          <rPr>
            <sz val="9"/>
            <color indexed="81"/>
            <rFont val="Tahoma"/>
            <family val="2"/>
          </rPr>
          <t xml:space="preserve">
harvester rate t/rotor hr. This accounts for paddock overlap and turning around.
There is a factor in pinp that accounts for time spent moving paddocks, filling up, etc.</t>
        </r>
      </text>
    </comment>
    <comment ref="B83" authorId="1" shapeId="0" xr:uid="{81B247C0-4A60-4252-9BCF-0F9440561115}">
      <text>
        <r>
          <rPr>
            <b/>
            <sz val="9"/>
            <color indexed="81"/>
            <rFont val="Tahoma"/>
            <family val="2"/>
          </rPr>
          <t>Michael Young (21512438):</t>
        </r>
        <r>
          <rPr>
            <sz val="9"/>
            <color indexed="81"/>
            <rFont val="Tahoma"/>
            <family val="2"/>
          </rPr>
          <t xml:space="preserve">
can be tactically harvested</t>
        </r>
      </text>
    </comment>
    <comment ref="B88" authorId="2" shapeId="0" xr:uid="{55F1179D-E29B-42CA-B140-0FE7B9C34D36}">
      <text>
        <r>
          <rPr>
            <b/>
            <sz val="9"/>
            <color indexed="81"/>
            <rFont val="Tahoma"/>
            <family val="2"/>
          </rPr>
          <t>Michael:</t>
        </r>
        <r>
          <rPr>
            <sz val="9"/>
            <color indexed="81"/>
            <rFont val="Tahoma"/>
            <family val="2"/>
          </rPr>
          <t xml:space="preserve">
combo of ceral and pulse</t>
        </r>
      </text>
    </comment>
    <comment ref="B91" authorId="1" shapeId="0" xr:uid="{E8735873-09DE-4772-9AC5-DA2310108EA8}">
      <text>
        <r>
          <rPr>
            <b/>
            <sz val="9"/>
            <color indexed="81"/>
            <rFont val="Tahoma"/>
            <family val="2"/>
          </rPr>
          <t xml:space="preserve">Michael Young (21512438):
</t>
        </r>
        <r>
          <rPr>
            <sz val="9"/>
            <color indexed="81"/>
            <rFont val="Tahoma"/>
            <family val="2"/>
          </rPr>
          <t>can be tactically harvested</t>
        </r>
      </text>
    </comment>
    <comment ref="A100" authorId="2" shapeId="0" xr:uid="{CA158445-AA4F-490B-AF9B-2284907B621D}">
      <text>
        <r>
          <rPr>
            <b/>
            <sz val="9"/>
            <color indexed="81"/>
            <rFont val="Tahoma"/>
            <family val="2"/>
          </rPr>
          <t>Michael:</t>
        </r>
        <r>
          <rPr>
            <sz val="9"/>
            <color indexed="81"/>
            <rFont val="Tahoma"/>
            <family val="2"/>
          </rPr>
          <t xml:space="preserve">
maint cost for cereals</t>
        </r>
      </text>
    </comment>
    <comment ref="A102" authorId="0" shapeId="0" xr:uid="{29072D61-7B2A-446E-AF6F-281900C58633}">
      <text>
        <r>
          <rPr>
            <b/>
            <sz val="9"/>
            <color indexed="81"/>
            <rFont val="Tahoma"/>
            <family val="2"/>
          </rPr>
          <t>Michael Young:</t>
        </r>
        <r>
          <rPr>
            <sz val="9"/>
            <color indexed="81"/>
            <rFont val="Tahoma"/>
            <family val="2"/>
          </rPr>
          <t xml:space="preserve">
harvester maint - calibrated to the aprox harv yields (mach general sheet)
$/hr</t>
        </r>
      </text>
    </comment>
    <comment ref="B111" authorId="2" shapeId="0" xr:uid="{836636A1-373A-4C19-BAA6-B109B0EA9666}">
      <text>
        <r>
          <rPr>
            <b/>
            <sz val="9"/>
            <color indexed="81"/>
            <rFont val="Tahoma"/>
            <family val="2"/>
          </rPr>
          <t>Michael:</t>
        </r>
        <r>
          <rPr>
            <sz val="9"/>
            <color indexed="81"/>
            <rFont val="Tahoma"/>
            <family val="2"/>
          </rPr>
          <t xml:space="preserve">
combo of ceral and pulse</t>
        </r>
      </text>
    </comment>
    <comment ref="A124" authorId="0" shapeId="0" xr:uid="{CF6A5931-AA0F-403B-98DA-6494AB0D2835}">
      <text>
        <r>
          <rPr>
            <b/>
            <sz val="9"/>
            <color indexed="81"/>
            <rFont val="Tahoma"/>
            <family val="2"/>
          </rPr>
          <t>Michael Young:</t>
        </r>
        <r>
          <rPr>
            <sz val="9"/>
            <color indexed="81"/>
            <rFont val="Tahoma"/>
            <family val="2"/>
          </rPr>
          <t xml:space="preserve">
Rate of sprying per machine hour.
Input in pinp accounts for time spent filling up.</t>
        </r>
      </text>
    </comment>
    <comment ref="A126" authorId="0" shapeId="0" xr:uid="{44407308-94DE-446C-A54B-890AE0DD4F21}">
      <text>
        <r>
          <rPr>
            <b/>
            <sz val="9"/>
            <color indexed="81"/>
            <rFont val="Tahoma"/>
            <family val="2"/>
          </rPr>
          <t>Michael Young:</t>
        </r>
        <r>
          <rPr>
            <sz val="9"/>
            <color indexed="81"/>
            <rFont val="Tahoma"/>
            <family val="2"/>
          </rPr>
          <t xml:space="preserve">
litres per hr (either tractor or sprayer itself if self propelled)</t>
        </r>
      </text>
    </comment>
    <comment ref="A128" authorId="0" shapeId="0" xr:uid="{73E469AB-2DE8-4265-A410-86C862050A2A}">
      <text>
        <r>
          <rPr>
            <b/>
            <sz val="9"/>
            <color indexed="81"/>
            <rFont val="Tahoma"/>
            <family val="2"/>
          </rPr>
          <t>Michael Young:</t>
        </r>
        <r>
          <rPr>
            <sz val="9"/>
            <color indexed="81"/>
            <rFont val="Tahoma"/>
            <family val="2"/>
          </rPr>
          <t xml:space="preserve">
sprayer repairs and maint $/hr</t>
        </r>
      </text>
    </comment>
    <comment ref="A131" authorId="0" shapeId="0" xr:uid="{8D0382D1-9AB3-4A4D-A932-6716FD637D93}">
      <text>
        <r>
          <rPr>
            <b/>
            <sz val="9"/>
            <color indexed="81"/>
            <rFont val="Tahoma"/>
            <family val="2"/>
          </rPr>
          <t>Michael Young:</t>
        </r>
        <r>
          <rPr>
            <sz val="9"/>
            <color indexed="81"/>
            <rFont val="Tahoma"/>
            <family val="2"/>
          </rPr>
          <t xml:space="preserve">
fuel use per hr (L/hr)</t>
        </r>
      </text>
    </comment>
    <comment ref="B133" authorId="0" shapeId="0" xr:uid="{7367A18D-0B82-4FED-8876-BDFB2AA5E8F6}">
      <text>
        <r>
          <rPr>
            <b/>
            <sz val="9"/>
            <color indexed="81"/>
            <rFont val="Tahoma"/>
            <family val="2"/>
          </rPr>
          <t>Michael Young:</t>
        </r>
        <r>
          <rPr>
            <sz val="9"/>
            <color indexed="81"/>
            <rFont val="Tahoma"/>
            <family val="2"/>
          </rPr>
          <t xml:space="preserve">
width of spreader for different ferts (m) - needs to be calibrated 
ferts applied at seeding only ie agflow not included</t>
        </r>
      </text>
    </comment>
    <comment ref="C138" authorId="1" shapeId="0" xr:uid="{D58A4A24-3ECB-43C4-88AC-06522C3A9333}">
      <text>
        <r>
          <rPr>
            <b/>
            <sz val="9"/>
            <color indexed="81"/>
            <rFont val="Tahoma"/>
            <family val="2"/>
          </rPr>
          <t>Michael Young (21512438):</t>
        </r>
        <r>
          <rPr>
            <sz val="9"/>
            <color indexed="81"/>
            <rFont val="Tahoma"/>
            <family val="2"/>
          </rPr>
          <t xml:space="preserve">
technically this is applied with sprayer so set to the width of sprayer
</t>
        </r>
      </text>
    </comment>
    <comment ref="A140" authorId="0" shapeId="0" xr:uid="{BBFEFE96-2091-4EFB-A106-C5978E358199}">
      <text>
        <r>
          <rPr>
            <b/>
            <sz val="9"/>
            <color indexed="81"/>
            <rFont val="Tahoma"/>
            <family val="2"/>
          </rPr>
          <t>Michael Young:</t>
        </r>
        <r>
          <rPr>
            <sz val="9"/>
            <color indexed="81"/>
            <rFont val="Tahoma"/>
            <family val="2"/>
          </rPr>
          <t xml:space="preserve">
spreading capacity (m3)</t>
        </r>
      </text>
    </comment>
    <comment ref="A142" authorId="0" shapeId="0" xr:uid="{7EE22CD7-34DF-466A-85AF-6DCE2D68E2A4}">
      <text>
        <r>
          <rPr>
            <b/>
            <sz val="9"/>
            <color indexed="81"/>
            <rFont val="Tahoma"/>
            <family val="2"/>
          </rPr>
          <t>Michael Young:</t>
        </r>
        <r>
          <rPr>
            <sz val="9"/>
            <color indexed="81"/>
            <rFont val="Tahoma"/>
            <family val="2"/>
          </rPr>
          <t xml:space="preserve">
time taken to fill (hr)</t>
        </r>
      </text>
    </comment>
    <comment ref="A144" authorId="0" shapeId="0" xr:uid="{F24C2A79-48BF-4134-9CFD-42C84BEE2A33}">
      <text>
        <r>
          <rPr>
            <b/>
            <sz val="9"/>
            <color indexed="81"/>
            <rFont val="Tahoma"/>
            <family val="2"/>
          </rPr>
          <t>Michael Young:</t>
        </r>
        <r>
          <rPr>
            <sz val="9"/>
            <color indexed="81"/>
            <rFont val="Tahoma"/>
            <family val="2"/>
          </rPr>
          <t xml:space="preserve">
spreading speed km/hr</t>
        </r>
      </text>
    </comment>
    <comment ref="A146" authorId="0" shapeId="0" xr:uid="{FBA3C59D-396E-4515-9765-FFA028DFA40A}">
      <text>
        <r>
          <rPr>
            <b/>
            <sz val="9"/>
            <color indexed="81"/>
            <rFont val="Tahoma"/>
            <family val="2"/>
          </rPr>
          <t>Michael Young:</t>
        </r>
        <r>
          <rPr>
            <sz val="9"/>
            <color indexed="81"/>
            <rFont val="Tahoma"/>
            <family val="2"/>
          </rPr>
          <t xml:space="preserve">
spreading paddock efficiency. 100% means no overlap</t>
        </r>
      </text>
    </comment>
    <comment ref="A148" authorId="0" shapeId="0" xr:uid="{F6EFC425-27FF-4DA1-B1B4-4DE2554C0BE3}">
      <text>
        <r>
          <rPr>
            <b/>
            <sz val="9"/>
            <color indexed="81"/>
            <rFont val="Tahoma"/>
            <family val="2"/>
          </rPr>
          <t>Michael Young:</t>
        </r>
        <r>
          <rPr>
            <sz val="9"/>
            <color indexed="81"/>
            <rFont val="Tahoma"/>
            <family val="2"/>
          </rPr>
          <t xml:space="preserve">
fert spreader and tractor repairs and maint $/hr</t>
        </r>
      </text>
    </comment>
    <comment ref="A151" authorId="0" shapeId="0" xr:uid="{EA915D38-2F0C-40E1-AB95-7222FD20AEB7}">
      <text>
        <r>
          <rPr>
            <b/>
            <sz val="9"/>
            <color indexed="81"/>
            <rFont val="Tahoma"/>
            <family val="2"/>
          </rPr>
          <t>Michael Young:</t>
        </r>
        <r>
          <rPr>
            <sz val="9"/>
            <color indexed="81"/>
            <rFont val="Tahoma"/>
            <family val="2"/>
          </rPr>
          <t xml:space="preserve">
litres per ha (tractor)</t>
        </r>
      </text>
    </comment>
    <comment ref="A153" authorId="0" shapeId="0" xr:uid="{66E55671-203F-4CB2-B6FF-925CAD7089DE}">
      <text>
        <r>
          <rPr>
            <b/>
            <sz val="9"/>
            <color indexed="81"/>
            <rFont val="Tahoma"/>
            <family val="2"/>
          </rPr>
          <t>Michael Young:</t>
        </r>
        <r>
          <rPr>
            <sz val="9"/>
            <color indexed="81"/>
            <rFont val="Tahoma"/>
            <family val="2"/>
          </rPr>
          <t xml:space="preserve">
stubble handler and tractor repairs and maint $/ha </t>
        </r>
      </text>
    </comment>
    <comment ref="B156" authorId="0" shapeId="0" xr:uid="{77C3A107-8DA0-4F11-AD02-431BFDF7CF02}">
      <text>
        <r>
          <rPr>
            <b/>
            <sz val="9"/>
            <color indexed="81"/>
            <rFont val="Tahoma"/>
            <family val="2"/>
          </rPr>
          <t>Michael Young:</t>
        </r>
        <r>
          <rPr>
            <sz val="9"/>
            <color indexed="81"/>
            <rFont val="Tahoma"/>
            <family val="2"/>
          </rPr>
          <t xml:space="preserve">
r&amp;m</t>
        </r>
      </text>
    </comment>
    <comment ref="C156" authorId="0" shapeId="0" xr:uid="{8A047502-2A11-4073-A723-BE021A75A971}">
      <text>
        <r>
          <rPr>
            <b/>
            <sz val="9"/>
            <color indexed="81"/>
            <rFont val="Tahoma"/>
            <family val="2"/>
          </rPr>
          <t>Michael Young:</t>
        </r>
        <r>
          <rPr>
            <sz val="9"/>
            <color indexed="81"/>
            <rFont val="Tahoma"/>
            <family val="2"/>
          </rPr>
          <t xml:space="preserve">
L/t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Michael Young</author>
    <author>Michael Young (21512438)</author>
    <author>Michael</author>
  </authors>
  <commentList>
    <comment ref="A10" authorId="0" shapeId="0" xr:uid="{518CA8E3-87AD-4093-9850-217C6AFC0128}">
      <text>
        <r>
          <rPr>
            <b/>
            <sz val="9"/>
            <color indexed="81"/>
            <rFont val="Tahoma"/>
            <family val="2"/>
          </rPr>
          <t>Michael Young:</t>
        </r>
        <r>
          <rPr>
            <sz val="9"/>
            <color indexed="81"/>
            <rFont val="Tahoma"/>
            <family val="2"/>
          </rPr>
          <t xml:space="preserve">
sale value - used to calc depreciation</t>
        </r>
      </text>
    </comment>
    <comment ref="C11" authorId="1" shapeId="0" xr:uid="{D3F1CDFD-8807-4EB9-8D4C-6632A6E25EF4}">
      <text>
        <r>
          <rPr>
            <b/>
            <sz val="9"/>
            <color indexed="81"/>
            <rFont val="Tahoma"/>
            <family val="2"/>
          </rPr>
          <t>Michael Young (21512438):</t>
        </r>
        <r>
          <rPr>
            <sz val="9"/>
            <color indexed="81"/>
            <rFont val="Tahoma"/>
            <family val="2"/>
          </rPr>
          <t xml:space="preserve">
Proportion of use from each machine compared to seeder (seeder hours is the variable used to determine the hours of use). I.e. if the truck does half the hours the seeder does it should have 50% entered.</t>
        </r>
      </text>
    </comment>
    <comment ref="D11" authorId="1" shapeId="0" xr:uid="{3C8A308B-4D67-44A4-A531-142BD9292908}">
      <text>
        <r>
          <rPr>
            <b/>
            <sz val="9"/>
            <color indexed="81"/>
            <rFont val="Tahoma"/>
            <family val="2"/>
          </rPr>
          <t>Michael Young (21512438):</t>
        </r>
        <r>
          <rPr>
            <sz val="9"/>
            <color indexed="81"/>
            <rFont val="Tahoma"/>
            <family val="2"/>
          </rPr>
          <t xml:space="preserve">
Proportion of use from each machine compared to harvester harv hours is the variable used to determine the hours of use). I.e. if the truck does half the hours the harvester does it should have 50% entered.</t>
        </r>
      </text>
    </comment>
    <comment ref="A12" authorId="0" shapeId="0" xr:uid="{D804DBD2-DA1A-4A4D-8B80-B0E59B4A277A}">
      <text>
        <r>
          <rPr>
            <b/>
            <sz val="9"/>
            <color indexed="81"/>
            <rFont val="Tahoma"/>
            <family val="2"/>
          </rPr>
          <t>Michael Young:</t>
        </r>
        <r>
          <rPr>
            <sz val="9"/>
            <color indexed="81"/>
            <rFont val="Tahoma"/>
            <family val="2"/>
          </rPr>
          <t xml:space="preserve">
big seeding tractor</t>
        </r>
      </text>
    </comment>
    <comment ref="A16" authorId="0" shapeId="0" xr:uid="{63B33D59-364E-444D-BD51-E3285A46DACA}">
      <text>
        <r>
          <rPr>
            <b/>
            <sz val="9"/>
            <color indexed="81"/>
            <rFont val="Tahoma"/>
            <family val="2"/>
          </rPr>
          <t>Michael Young:</t>
        </r>
        <r>
          <rPr>
            <sz val="9"/>
            <color indexed="81"/>
            <rFont val="Tahoma"/>
            <family val="2"/>
          </rPr>
          <t xml:space="preserve">
tractors for spreading, spraying, chasing, etc.</t>
        </r>
      </text>
    </comment>
    <comment ref="A23" authorId="0" shapeId="0" xr:uid="{FD9F6985-74F3-48A8-88B4-7AFA29E7783F}">
      <text>
        <r>
          <rPr>
            <b/>
            <sz val="9"/>
            <color indexed="81"/>
            <rFont val="Tahoma"/>
            <family val="2"/>
          </rPr>
          <t>Michael Young:</t>
        </r>
        <r>
          <rPr>
            <sz val="9"/>
            <color indexed="81"/>
            <rFont val="Tahoma"/>
            <family val="2"/>
          </rPr>
          <t xml:space="preserve">
clearing value of silo and feild bins (doesn't include  sheep feed storage - cost calculated elsewhere)</t>
        </r>
      </text>
    </comment>
    <comment ref="A26" authorId="0" shapeId="0" xr:uid="{86010D23-0196-42BB-A532-373A0C69C51D}">
      <text>
        <r>
          <rPr>
            <b/>
            <sz val="9"/>
            <color indexed="81"/>
            <rFont val="Tahoma"/>
            <family val="2"/>
          </rPr>
          <t>Michael Young:</t>
        </r>
        <r>
          <rPr>
            <sz val="9"/>
            <color indexed="81"/>
            <rFont val="Tahoma"/>
            <family val="2"/>
          </rPr>
          <t xml:space="preserve">
clearing value of all other miscellaneous stuff on farm</t>
        </r>
      </text>
    </comment>
    <comment ref="A29" authorId="0" shapeId="0" xr:uid="{8AAF5B2B-E8B2-4DB8-AF32-4186D753919D}">
      <text>
        <r>
          <rPr>
            <b/>
            <sz val="9"/>
            <color indexed="81"/>
            <rFont val="Tahoma"/>
            <family val="2"/>
          </rPr>
          <t>Michael Young:</t>
        </r>
        <r>
          <rPr>
            <sz val="9"/>
            <color indexed="81"/>
            <rFont val="Tahoma"/>
            <family val="2"/>
          </rPr>
          <t xml:space="preserve">
select the number of seeders (default is 1). Note if this changes remember to update machinery clearing value.</t>
        </r>
      </text>
    </comment>
    <comment ref="A31" authorId="0" shapeId="0" xr:uid="{64117E0F-A19D-456E-A25B-B63EF609D3FA}">
      <text>
        <r>
          <rPr>
            <b/>
            <sz val="9"/>
            <color indexed="81"/>
            <rFont val="Tahoma"/>
            <family val="2"/>
          </rPr>
          <t>Michael Young:</t>
        </r>
        <r>
          <rPr>
            <sz val="9"/>
            <color indexed="81"/>
            <rFont val="Tahoma"/>
            <family val="2"/>
          </rPr>
          <t xml:space="preserve">
Speed of seeding wheat on loamy sand, with granite outcropping. Whitegum is a common tree (this is lmu 5 for gsm)
different lmus are adjusted for in the property.xlsx
different crops are adjusted for below</t>
        </r>
      </text>
    </comment>
    <comment ref="A33" authorId="0" shapeId="0" xr:uid="{5C00E354-FC8F-488C-ABFF-7B332CFC61AA}">
      <text>
        <r>
          <rPr>
            <b/>
            <sz val="9"/>
            <color indexed="81"/>
            <rFont val="Tahoma"/>
            <family val="2"/>
          </rPr>
          <t>Michael Young:</t>
        </r>
        <r>
          <rPr>
            <sz val="9"/>
            <color indexed="81"/>
            <rFont val="Tahoma"/>
            <family val="2"/>
          </rPr>
          <t xml:space="preserve">
Rule of thumb: Diesel use ≈ 0.22–0.30 L per hp per hour
</t>
        </r>
      </text>
    </comment>
    <comment ref="A35" authorId="0" shapeId="0" xr:uid="{5242100B-62DA-464F-8021-C7EAD733E645}">
      <text>
        <r>
          <rPr>
            <b/>
            <sz val="9"/>
            <color indexed="81"/>
            <rFont val="Tahoma"/>
            <family val="2"/>
          </rPr>
          <t>Michael Young:</t>
        </r>
        <r>
          <rPr>
            <sz val="9"/>
            <color indexed="81"/>
            <rFont val="Tahoma"/>
            <family val="2"/>
          </rPr>
          <t xml:space="preserve">
tractor and tillage gear r&amp;m on base lmu ($/hr)
calibrated to the base soil loamy sand, with granite outcropping. Whitegum is a common tree 
Lmu adjustment factors in property.xlsx</t>
        </r>
      </text>
    </comment>
    <comment ref="A37" authorId="0" shapeId="0" xr:uid="{73A2CB0F-1A95-4B13-9626-7163CBFF99AC}">
      <text>
        <r>
          <rPr>
            <b/>
            <sz val="9"/>
            <color indexed="81"/>
            <rFont val="Tahoma"/>
            <family val="2"/>
          </rPr>
          <t>Michael Young:</t>
        </r>
        <r>
          <rPr>
            <sz val="9"/>
            <color indexed="81"/>
            <rFont val="Tahoma"/>
            <family val="2"/>
          </rPr>
          <t xml:space="preserve">
seeding speed of other crops relative to wheat (wheat should be 1)
Note - cont pasture needs to be included here if resown</t>
        </r>
      </text>
    </comment>
    <comment ref="A72" authorId="0" shapeId="0" xr:uid="{FC8CBFEC-3346-40F7-9074-F763BD1DCF65}">
      <text>
        <r>
          <rPr>
            <b/>
            <sz val="9"/>
            <color indexed="81"/>
            <rFont val="Tahoma"/>
            <family val="2"/>
          </rPr>
          <t>Michael Young:</t>
        </r>
        <r>
          <rPr>
            <sz val="9"/>
            <color indexed="81"/>
            <rFont val="Tahoma"/>
            <family val="2"/>
          </rPr>
          <t xml:space="preserve">
select the number of harvesters (default is 1). Note if this is changed remember to update machinery clearing value above.</t>
        </r>
      </text>
    </comment>
    <comment ref="A74" authorId="0" shapeId="0" xr:uid="{4ED76674-1169-4612-8A13-5DF47F5CB02E}">
      <text>
        <r>
          <rPr>
            <b/>
            <sz val="9"/>
            <color indexed="81"/>
            <rFont val="Tahoma"/>
            <family val="2"/>
          </rPr>
          <t>Michael Young:</t>
        </r>
        <r>
          <rPr>
            <sz val="9"/>
            <color indexed="81"/>
            <rFont val="Tahoma"/>
            <family val="2"/>
          </rPr>
          <t xml:space="preserve">
harvester fuel used per hour</t>
        </r>
      </text>
    </comment>
    <comment ref="B74" authorId="0" shapeId="0" xr:uid="{8B755901-D00D-45AA-B7BF-2F979BC86737}">
      <text>
        <r>
          <rPr>
            <b/>
            <sz val="9"/>
            <color indexed="81"/>
            <rFont val="Tahoma"/>
            <family val="2"/>
          </rPr>
          <t>Michael Young:</t>
        </r>
        <r>
          <rPr>
            <sz val="9"/>
            <color indexed="81"/>
            <rFont val="Tahoma"/>
            <family val="2"/>
          </rPr>
          <t xml:space="preserve">
calibrated 19/1/20 based on a paper I found online (saved in dropbox)
The paper had results for L/ha so I converted to L/hr using the harvest rate in midas</t>
        </r>
      </text>
    </comment>
    <comment ref="A76" authorId="0" shapeId="0" xr:uid="{95BB1BBA-1CDD-4DE4-AECA-2C26A73F5A0A}">
      <text>
        <r>
          <rPr>
            <b/>
            <sz val="9"/>
            <color indexed="81"/>
            <rFont val="Tahoma"/>
            <family val="2"/>
          </rPr>
          <t>Michael Young:</t>
        </r>
        <r>
          <rPr>
            <sz val="9"/>
            <color indexed="81"/>
            <rFont val="Tahoma"/>
            <family val="2"/>
          </rPr>
          <t xml:space="preserve">
oil &amp; grease factor, means for every litre of fuel used $0.3 of oil and grease are use</t>
        </r>
      </text>
    </comment>
    <comment ref="A78" authorId="0" shapeId="0" xr:uid="{29953D7B-60E2-4EA4-B02B-150C8DC11937}">
      <text>
        <r>
          <rPr>
            <b/>
            <sz val="9"/>
            <color indexed="81"/>
            <rFont val="Tahoma"/>
            <family val="2"/>
          </rPr>
          <t>Michael Young:</t>
        </r>
        <r>
          <rPr>
            <sz val="9"/>
            <color indexed="81"/>
            <rFont val="Tahoma"/>
            <family val="2"/>
          </rPr>
          <t xml:space="preserve">
harvester rate t/rotor hr. This accounts for paddock overlap and turning around.
There is a factor in pinp that accounts for time spent moving paddocks, filling up, etc.</t>
        </r>
      </text>
    </comment>
    <comment ref="B82" authorId="1" shapeId="0" xr:uid="{7FFFCE12-ACFC-4DE6-9C7F-71FA1B342051}">
      <text>
        <r>
          <rPr>
            <b/>
            <sz val="9"/>
            <color indexed="81"/>
            <rFont val="Tahoma"/>
            <family val="2"/>
          </rPr>
          <t>Michael Young (21512438):</t>
        </r>
        <r>
          <rPr>
            <sz val="9"/>
            <color indexed="81"/>
            <rFont val="Tahoma"/>
            <family val="2"/>
          </rPr>
          <t xml:space="preserve">
can be tactically harvested</t>
        </r>
      </text>
    </comment>
    <comment ref="B87" authorId="2" shapeId="0" xr:uid="{C98AC2B4-9355-4D21-A083-C2370681FB1A}">
      <text>
        <r>
          <rPr>
            <b/>
            <sz val="9"/>
            <color indexed="81"/>
            <rFont val="Tahoma"/>
            <family val="2"/>
          </rPr>
          <t>Michael:</t>
        </r>
        <r>
          <rPr>
            <sz val="9"/>
            <color indexed="81"/>
            <rFont val="Tahoma"/>
            <family val="2"/>
          </rPr>
          <t xml:space="preserve">
combo of ceral and pulse</t>
        </r>
      </text>
    </comment>
    <comment ref="B90" authorId="1" shapeId="0" xr:uid="{542BD6A0-7CC0-4238-BD04-9275A6B19A5E}">
      <text>
        <r>
          <rPr>
            <b/>
            <sz val="9"/>
            <color indexed="81"/>
            <rFont val="Tahoma"/>
            <family val="2"/>
          </rPr>
          <t xml:space="preserve">Michael Young (21512438):
</t>
        </r>
        <r>
          <rPr>
            <sz val="9"/>
            <color indexed="81"/>
            <rFont val="Tahoma"/>
            <family val="2"/>
          </rPr>
          <t>can be tactically harvested</t>
        </r>
      </text>
    </comment>
    <comment ref="A99" authorId="2" shapeId="0" xr:uid="{A55ECCED-DF0E-4814-92FD-9F3CA45776CB}">
      <text>
        <r>
          <rPr>
            <b/>
            <sz val="9"/>
            <color indexed="81"/>
            <rFont val="Tahoma"/>
            <family val="2"/>
          </rPr>
          <t>Michael:</t>
        </r>
        <r>
          <rPr>
            <sz val="9"/>
            <color indexed="81"/>
            <rFont val="Tahoma"/>
            <family val="2"/>
          </rPr>
          <t xml:space="preserve">
maint cost for cereals</t>
        </r>
      </text>
    </comment>
    <comment ref="B110" authorId="2" shapeId="0" xr:uid="{53EF6292-A9B1-4493-B59A-7681176000E2}">
      <text>
        <r>
          <rPr>
            <b/>
            <sz val="9"/>
            <color indexed="81"/>
            <rFont val="Tahoma"/>
            <family val="2"/>
          </rPr>
          <t>Michael:</t>
        </r>
        <r>
          <rPr>
            <sz val="9"/>
            <color indexed="81"/>
            <rFont val="Tahoma"/>
            <family val="2"/>
          </rPr>
          <t xml:space="preserve">
combo of ceral and pulse</t>
        </r>
      </text>
    </comment>
    <comment ref="A123" authorId="0" shapeId="0" xr:uid="{E46DDACA-F64A-4709-AA34-7CBB85553119}">
      <text>
        <r>
          <rPr>
            <b/>
            <sz val="9"/>
            <color indexed="81"/>
            <rFont val="Tahoma"/>
            <family val="2"/>
          </rPr>
          <t>Michael Young:</t>
        </r>
        <r>
          <rPr>
            <sz val="9"/>
            <color indexed="81"/>
            <rFont val="Tahoma"/>
            <family val="2"/>
          </rPr>
          <t xml:space="preserve">
Rate of sprying per machine hour.
Input in pinp accounts for time spent filling up.</t>
        </r>
      </text>
    </comment>
    <comment ref="B123" authorId="2" shapeId="0" xr:uid="{5B512AEC-9E0B-405E-9B46-9BD371E84E20}">
      <text>
        <r>
          <rPr>
            <b/>
            <sz val="9"/>
            <color indexed="81"/>
            <rFont val="Tahoma"/>
            <family val="2"/>
          </rPr>
          <t>Michael:</t>
        </r>
        <r>
          <rPr>
            <sz val="9"/>
            <color indexed="81"/>
            <rFont val="Tahoma"/>
            <family val="2"/>
          </rPr>
          <t xml:space="preserve">
36m, 18km/hr and 80% eff</t>
        </r>
      </text>
    </comment>
    <comment ref="A125" authorId="0" shapeId="0" xr:uid="{BDDC9F3E-12ED-4BA7-866C-53436F4A3E72}">
      <text>
        <r>
          <rPr>
            <b/>
            <sz val="9"/>
            <color indexed="81"/>
            <rFont val="Tahoma"/>
            <family val="2"/>
          </rPr>
          <t>Michael Young:</t>
        </r>
        <r>
          <rPr>
            <sz val="9"/>
            <color indexed="81"/>
            <rFont val="Tahoma"/>
            <family val="2"/>
          </rPr>
          <t xml:space="preserve">
litres per hr (either tractor or sprayer itself if self propelled)</t>
        </r>
      </text>
    </comment>
    <comment ref="A127" authorId="0" shapeId="0" xr:uid="{D4779D96-2807-4A06-B8B0-83EEF4FD58A2}">
      <text>
        <r>
          <rPr>
            <b/>
            <sz val="9"/>
            <color indexed="81"/>
            <rFont val="Tahoma"/>
            <family val="2"/>
          </rPr>
          <t>Michael Young:</t>
        </r>
        <r>
          <rPr>
            <sz val="9"/>
            <color indexed="81"/>
            <rFont val="Tahoma"/>
            <family val="2"/>
          </rPr>
          <t xml:space="preserve">
sprayer repairs and maint $/hr</t>
        </r>
      </text>
    </comment>
    <comment ref="A130" authorId="0" shapeId="0" xr:uid="{E388BACB-228A-48F2-97FF-52A6DD3AB03E}">
      <text>
        <r>
          <rPr>
            <b/>
            <sz val="9"/>
            <color indexed="81"/>
            <rFont val="Tahoma"/>
            <family val="2"/>
          </rPr>
          <t>Michael Young:</t>
        </r>
        <r>
          <rPr>
            <sz val="9"/>
            <color indexed="81"/>
            <rFont val="Tahoma"/>
            <family val="2"/>
          </rPr>
          <t xml:space="preserve">
fuel use per hr (L/hr)</t>
        </r>
      </text>
    </comment>
    <comment ref="B132" authorId="0" shapeId="0" xr:uid="{CFFFDD51-0F56-49FA-BA2A-896F6EDBB461}">
      <text>
        <r>
          <rPr>
            <b/>
            <sz val="9"/>
            <color indexed="81"/>
            <rFont val="Tahoma"/>
            <family val="2"/>
          </rPr>
          <t>Michael Young:</t>
        </r>
        <r>
          <rPr>
            <sz val="9"/>
            <color indexed="81"/>
            <rFont val="Tahoma"/>
            <family val="2"/>
          </rPr>
          <t xml:space="preserve">
width of spreader for different ferts (m) - needs to be calibrated 
ferts applied at seeding only ie agflow not included</t>
        </r>
      </text>
    </comment>
    <comment ref="C137" authorId="1" shapeId="0" xr:uid="{D498C89C-0C53-4AE1-85F4-A13A4D99933B}">
      <text>
        <r>
          <rPr>
            <b/>
            <sz val="9"/>
            <color indexed="81"/>
            <rFont val="Tahoma"/>
            <family val="2"/>
          </rPr>
          <t>Michael Young (21512438):</t>
        </r>
        <r>
          <rPr>
            <sz val="9"/>
            <color indexed="81"/>
            <rFont val="Tahoma"/>
            <family val="2"/>
          </rPr>
          <t xml:space="preserve">
technically this is applied with sprayer so set to the width of sprayer
</t>
        </r>
      </text>
    </comment>
    <comment ref="A139" authorId="0" shapeId="0" xr:uid="{303AABE7-E852-4C63-B010-14C07A57E559}">
      <text>
        <r>
          <rPr>
            <b/>
            <sz val="9"/>
            <color indexed="81"/>
            <rFont val="Tahoma"/>
            <family val="2"/>
          </rPr>
          <t>Michael Young:</t>
        </r>
        <r>
          <rPr>
            <sz val="9"/>
            <color indexed="81"/>
            <rFont val="Tahoma"/>
            <family val="2"/>
          </rPr>
          <t xml:space="preserve">
spreading capacity (m3)</t>
        </r>
      </text>
    </comment>
    <comment ref="A141" authorId="0" shapeId="0" xr:uid="{7D068996-66E7-45D9-8B33-77E715FB17A2}">
      <text>
        <r>
          <rPr>
            <b/>
            <sz val="9"/>
            <color indexed="81"/>
            <rFont val="Tahoma"/>
            <family val="2"/>
          </rPr>
          <t>Michael Young:</t>
        </r>
        <r>
          <rPr>
            <sz val="9"/>
            <color indexed="81"/>
            <rFont val="Tahoma"/>
            <family val="2"/>
          </rPr>
          <t xml:space="preserve">
time taken to fill (hr)</t>
        </r>
      </text>
    </comment>
    <comment ref="A143" authorId="0" shapeId="0" xr:uid="{2F9EBDB4-67C9-41DD-82CC-7A2CDE119815}">
      <text>
        <r>
          <rPr>
            <b/>
            <sz val="9"/>
            <color indexed="81"/>
            <rFont val="Tahoma"/>
            <family val="2"/>
          </rPr>
          <t>Michael Young:</t>
        </r>
        <r>
          <rPr>
            <sz val="9"/>
            <color indexed="81"/>
            <rFont val="Tahoma"/>
            <family val="2"/>
          </rPr>
          <t xml:space="preserve">
spreading speed km/hr</t>
        </r>
      </text>
    </comment>
    <comment ref="A145" authorId="0" shapeId="0" xr:uid="{A9E0846C-A77C-44C0-A1E6-4A6560BCE302}">
      <text>
        <r>
          <rPr>
            <b/>
            <sz val="9"/>
            <color indexed="81"/>
            <rFont val="Tahoma"/>
            <family val="2"/>
          </rPr>
          <t>Michael Young:</t>
        </r>
        <r>
          <rPr>
            <sz val="9"/>
            <color indexed="81"/>
            <rFont val="Tahoma"/>
            <family val="2"/>
          </rPr>
          <t xml:space="preserve">
spreading paddock efficiency. 100% means no overlap</t>
        </r>
      </text>
    </comment>
    <comment ref="A147" authorId="0" shapeId="0" xr:uid="{ABD8A044-614C-46F6-B89A-39EB783B18BE}">
      <text>
        <r>
          <rPr>
            <b/>
            <sz val="9"/>
            <color indexed="81"/>
            <rFont val="Tahoma"/>
            <family val="2"/>
          </rPr>
          <t>Michael Young:</t>
        </r>
        <r>
          <rPr>
            <sz val="9"/>
            <color indexed="81"/>
            <rFont val="Tahoma"/>
            <family val="2"/>
          </rPr>
          <t xml:space="preserve">
fert spreader and tractor repairs and maint $/hr</t>
        </r>
      </text>
    </comment>
    <comment ref="A150" authorId="0" shapeId="0" xr:uid="{6A3A6CFB-5B3D-41C1-AD84-1DEB2A1795B3}">
      <text>
        <r>
          <rPr>
            <b/>
            <sz val="9"/>
            <color indexed="81"/>
            <rFont val="Tahoma"/>
            <family val="2"/>
          </rPr>
          <t>Michael Young:</t>
        </r>
        <r>
          <rPr>
            <sz val="9"/>
            <color indexed="81"/>
            <rFont val="Tahoma"/>
            <family val="2"/>
          </rPr>
          <t xml:space="preserve">
litres per ha (tractor)</t>
        </r>
      </text>
    </comment>
    <comment ref="A152" authorId="0" shapeId="0" xr:uid="{38C0AC11-88BA-4EC6-9305-3BF9916D36C9}">
      <text>
        <r>
          <rPr>
            <b/>
            <sz val="9"/>
            <color indexed="81"/>
            <rFont val="Tahoma"/>
            <family val="2"/>
          </rPr>
          <t>Michael Young:</t>
        </r>
        <r>
          <rPr>
            <sz val="9"/>
            <color indexed="81"/>
            <rFont val="Tahoma"/>
            <family val="2"/>
          </rPr>
          <t xml:space="preserve">
stubble handler and tractor repairs and maint $/ha </t>
        </r>
      </text>
    </comment>
    <comment ref="B155" authorId="0" shapeId="0" xr:uid="{B98A507B-6E7F-4E27-AA38-D01C15B050B9}">
      <text>
        <r>
          <rPr>
            <b/>
            <sz val="9"/>
            <color indexed="81"/>
            <rFont val="Tahoma"/>
            <family val="2"/>
          </rPr>
          <t>Michael Young:</t>
        </r>
        <r>
          <rPr>
            <sz val="9"/>
            <color indexed="81"/>
            <rFont val="Tahoma"/>
            <family val="2"/>
          </rPr>
          <t xml:space="preserve">
r&amp;m</t>
        </r>
      </text>
    </comment>
    <comment ref="C155" authorId="0" shapeId="0" xr:uid="{4070BAF3-EC01-4E92-B093-A2151A1A857A}">
      <text>
        <r>
          <rPr>
            <b/>
            <sz val="9"/>
            <color indexed="81"/>
            <rFont val="Tahoma"/>
            <family val="2"/>
          </rPr>
          <t>Michael Young:</t>
        </r>
        <r>
          <rPr>
            <sz val="9"/>
            <color indexed="81"/>
            <rFont val="Tahoma"/>
            <family val="2"/>
          </rPr>
          <t xml:space="preserve">
L/t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<sst xmlns="http://schemas.openxmlformats.org/spreadsheetml/2006/main" count="6715" uniqueCount="3860">
  <si>
    <t>Machinery</t>
  </si>
  <si>
    <t>diesel</t>
  </si>
  <si>
    <t>$/l</t>
  </si>
  <si>
    <t>diesel_rebate</t>
  </si>
  <si>
    <t>b</t>
  </si>
  <si>
    <t>w</t>
  </si>
  <si>
    <t>o</t>
  </si>
  <si>
    <t>l</t>
  </si>
  <si>
    <t>z</t>
  </si>
  <si>
    <t>r</t>
  </si>
  <si>
    <t>f</t>
  </si>
  <si>
    <t>Contract harvest cost</t>
  </si>
  <si>
    <t>Contract seed cost</t>
  </si>
  <si>
    <t>$/ha</t>
  </si>
  <si>
    <t>contract mow hay</t>
  </si>
  <si>
    <t>contract bail</t>
  </si>
  <si>
    <t>cart hay</t>
  </si>
  <si>
    <t>$/t</t>
  </si>
  <si>
    <t>Hay making - mow/condition/rake, bail and cart</t>
  </si>
  <si>
    <t>Interest rates</t>
  </si>
  <si>
    <t>fixed dep</t>
  </si>
  <si>
    <t>seeder</t>
  </si>
  <si>
    <t>harvester</t>
  </si>
  <si>
    <t>sprayer</t>
  </si>
  <si>
    <t>spreader</t>
  </si>
  <si>
    <t>stubble handler</t>
  </si>
  <si>
    <t>loader</t>
  </si>
  <si>
    <t>fert shed</t>
  </si>
  <si>
    <t>truck</t>
  </si>
  <si>
    <t>silo</t>
  </si>
  <si>
    <t>auger</t>
  </si>
  <si>
    <t>other tractors</t>
  </si>
  <si>
    <t>other</t>
  </si>
  <si>
    <t>Seeder</t>
  </si>
  <si>
    <t>Variable dep</t>
  </si>
  <si>
    <t>Harverster</t>
  </si>
  <si>
    <t>harv_fuel_consumption</t>
  </si>
  <si>
    <t>harvest_maint</t>
  </si>
  <si>
    <t>Sprayer</t>
  </si>
  <si>
    <t>sprayer_fuel_consumption</t>
  </si>
  <si>
    <t>sprayer_maint</t>
  </si>
  <si>
    <t>Spreader</t>
  </si>
  <si>
    <t>spreader_fuel</t>
  </si>
  <si>
    <t>spreader_width</t>
  </si>
  <si>
    <t>mop</t>
  </si>
  <si>
    <t>lime</t>
  </si>
  <si>
    <t>spreader_cap</t>
  </si>
  <si>
    <t>time_fill_spreader</t>
  </si>
  <si>
    <t>spreader_speed</t>
  </si>
  <si>
    <t>spreader_eff</t>
  </si>
  <si>
    <t>spreader_maint</t>
  </si>
  <si>
    <t>Stubble handler</t>
  </si>
  <si>
    <t>stubble_fuel_consumption</t>
  </si>
  <si>
    <t>stubble_maint</t>
  </si>
  <si>
    <t>seeder_speed_crop_adj</t>
  </si>
  <si>
    <t>Contract Harvesting</t>
  </si>
  <si>
    <t>Hay</t>
  </si>
  <si>
    <t>approx_hay_yield</t>
  </si>
  <si>
    <t>Crop</t>
  </si>
  <si>
    <t>grain price</t>
  </si>
  <si>
    <t>h</t>
  </si>
  <si>
    <t>i</t>
  </si>
  <si>
    <t>k</t>
  </si>
  <si>
    <t>v</t>
  </si>
  <si>
    <t>prop_firsts</t>
  </si>
  <si>
    <t>prop_seconds</t>
  </si>
  <si>
    <t>cartage_km_cost</t>
  </si>
  <si>
    <t>grain_tolls</t>
  </si>
  <si>
    <t>Flagfall</t>
  </si>
  <si>
    <t>agflow</t>
  </si>
  <si>
    <t>item</t>
  </si>
  <si>
    <t>value</t>
  </si>
  <si>
    <t>of</t>
  </si>
  <si>
    <t>insurance</t>
  </si>
  <si>
    <t>Labour</t>
  </si>
  <si>
    <t>permanent_super</t>
  </si>
  <si>
    <t>permanent_workers_comp</t>
  </si>
  <si>
    <t>permanent_ls_leave</t>
  </si>
  <si>
    <t>casual_super</t>
  </si>
  <si>
    <t>casual_workers_comp</t>
  </si>
  <si>
    <t>insurance date</t>
  </si>
  <si>
    <t>Sheep Feeding</t>
  </si>
  <si>
    <t>Transaction cost from neighbour</t>
  </si>
  <si>
    <t>Cartage from neighbour</t>
  </si>
  <si>
    <t>Sup</t>
  </si>
  <si>
    <t>Insurance</t>
  </si>
  <si>
    <t>«</t>
  </si>
  <si>
    <t>Däta</t>
  </si>
  <si>
    <t>LIVESTOCK FEED - ENERGY, VOLUMES, EATEN</t>
  </si>
  <si>
    <t>Energy, Dry Matter  x  Feed Type</t>
  </si>
  <si>
    <t>%</t>
  </si>
  <si>
    <t>»</t>
  </si>
  <si>
    <t>maint</t>
  </si>
  <si>
    <t>litres</t>
  </si>
  <si>
    <t>t / m3</t>
  </si>
  <si>
    <t>grain</t>
  </si>
  <si>
    <t>silo type</t>
  </si>
  <si>
    <t>crop</t>
  </si>
  <si>
    <t>Cost item  x  Feed Type</t>
  </si>
  <si>
    <t>LIVESTOCK FEEDS - STORAGE COSTS</t>
  </si>
  <si>
    <t>density</t>
  </si>
  <si>
    <t>ROE</t>
  </si>
  <si>
    <t>opportunity cost capital</t>
  </si>
  <si>
    <t xml:space="preserve">opportunity cost </t>
  </si>
  <si>
    <t>Depreciation rates</t>
  </si>
  <si>
    <t>Equipment insurance rate</t>
  </si>
  <si>
    <t>tc</t>
  </si>
  <si>
    <t>jc</t>
  </si>
  <si>
    <t>uc</t>
  </si>
  <si>
    <t>xc</t>
  </si>
  <si>
    <t>manager_cost ($/yr)</t>
  </si>
  <si>
    <t>permanent_cost ($/yr)</t>
  </si>
  <si>
    <t>casual_cost ($/hr)</t>
  </si>
  <si>
    <t>m</t>
  </si>
  <si>
    <t>km/hr</t>
  </si>
  <si>
    <t>L/ha</t>
  </si>
  <si>
    <t>L/hr</t>
  </si>
  <si>
    <t>hr</t>
  </si>
  <si>
    <t>$/hr</t>
  </si>
  <si>
    <t>chaser bin</t>
  </si>
  <si>
    <t>seeding allocation</t>
  </si>
  <si>
    <t>harvest allocation</t>
  </si>
  <si>
    <t>tractor 1</t>
  </si>
  <si>
    <t>tractor 2</t>
  </si>
  <si>
    <t>#Inputs</t>
  </si>
  <si>
    <t>Version Control for the worksheet &amp; Sheet controls</t>
  </si>
  <si>
    <t>Table Zoom:</t>
  </si>
  <si>
    <t>Controls for this worksheet</t>
  </si>
  <si>
    <t>Number</t>
  </si>
  <si>
    <t>Ғilter</t>
  </si>
  <si>
    <t>07Ғreeze</t>
  </si>
  <si>
    <t xml:space="preserve"> </t>
  </si>
  <si>
    <t>›</t>
  </si>
  <si>
    <t>Worksheet Version:</t>
  </si>
  <si>
    <t>Structure:</t>
  </si>
  <si>
    <t>Data:</t>
  </si>
  <si>
    <t>‹›</t>
  </si>
  <si>
    <t>Standards:</t>
  </si>
  <si>
    <t>Row H:</t>
  </si>
  <si>
    <t>Col W:</t>
  </si>
  <si>
    <t>Sheet Zoom:</t>
  </si>
  <si>
    <t>User can unprotect sheet using macros</t>
  </si>
  <si>
    <t>User can access protected cells</t>
  </si>
  <si>
    <t>View gridlines on this sheet</t>
  </si>
  <si>
    <t>View row &amp; column headers on this sheet</t>
  </si>
  <si>
    <t>«»</t>
  </si>
  <si>
    <t>Scanning parameters:</t>
  </si>
  <si>
    <t>Scan type</t>
  </si>
  <si>
    <t>Component</t>
  </si>
  <si>
    <t>Litter size (Triplets)</t>
  </si>
  <si>
    <t>Dry</t>
  </si>
  <si>
    <t>Single</t>
  </si>
  <si>
    <t>Twin</t>
  </si>
  <si>
    <t>Triplet</t>
  </si>
  <si>
    <t>Additional measurement parameters:</t>
  </si>
  <si>
    <t>Equation to use for Additional measurement prediction</t>
  </si>
  <si>
    <t>PH</t>
  </si>
  <si>
    <t>CV H</t>
  </si>
  <si>
    <t>Romaine</t>
  </si>
  <si>
    <t>Equation:</t>
  </si>
  <si>
    <t>Predicted Hauteur</t>
  </si>
  <si>
    <t>CSIRO 1</t>
  </si>
  <si>
    <t>Team</t>
  </si>
  <si>
    <t>Team2</t>
  </si>
  <si>
    <t>Team3</t>
  </si>
  <si>
    <t>Staple Length</t>
  </si>
  <si>
    <t>Staple Strength</t>
  </si>
  <si>
    <t>Fibre Diameter</t>
  </si>
  <si>
    <t>Propn Mid Breaks</t>
  </si>
  <si>
    <t>Min PMB</t>
  </si>
  <si>
    <t>Veg Matter</t>
  </si>
  <si>
    <t>CV of FD</t>
  </si>
  <si>
    <t>CV of SL</t>
  </si>
  <si>
    <t>Intercept</t>
  </si>
  <si>
    <t>Wool prices:</t>
  </si>
  <si>
    <t>VM adjustment (%)</t>
  </si>
  <si>
    <t>Hauteur price adjustment (%/mm)</t>
  </si>
  <si>
    <t>CV H adjust</t>
  </si>
  <si>
    <t>Romaine adjust</t>
  </si>
  <si>
    <t>VM level</t>
  </si>
  <si>
    <t>v low</t>
  </si>
  <si>
    <t>low</t>
  </si>
  <si>
    <t>std</t>
  </si>
  <si>
    <t>high</t>
  </si>
  <si>
    <t>v high</t>
  </si>
  <si>
    <t>Price of component relative to the MPG (%)</t>
  </si>
  <si>
    <t>STB scalar</t>
  </si>
  <si>
    <t>FD Prem</t>
  </si>
  <si>
    <t>Fleece</t>
  </si>
  <si>
    <t>Pieces</t>
  </si>
  <si>
    <t>Bellies</t>
  </si>
  <si>
    <t>Locks</t>
  </si>
  <si>
    <t>Stains</t>
  </si>
  <si>
    <t>Off types</t>
  </si>
  <si>
    <t>Extrapolate to 32u</t>
  </si>
  <si>
    <t>Report on 33 &amp; 35u</t>
  </si>
  <si>
    <t>Data source</t>
  </si>
  <si>
    <t>WACF Market report</t>
  </si>
  <si>
    <t>Standard FD</t>
  </si>
  <si>
    <t>MPG - std FD (Southern)</t>
  </si>
  <si>
    <t>Note: Could enter a single value and scalars for the percentile levels - to be consistent with the sales sheep method.</t>
  </si>
  <si>
    <t>Percentile for average price</t>
  </si>
  <si>
    <t>Percentile for FD premium</t>
  </si>
  <si>
    <t>Wool price parameters:</t>
  </si>
  <si>
    <t>Fleece component</t>
  </si>
  <si>
    <t>Wool selling costs:</t>
  </si>
  <si>
    <t>$/bale</t>
  </si>
  <si>
    <t>Bale wt</t>
  </si>
  <si>
    <t>$/kg</t>
  </si>
  <si>
    <t>Freight</t>
  </si>
  <si>
    <t>Levies</t>
  </si>
  <si>
    <t>2 data areas</t>
  </si>
  <si>
    <t>Fat score</t>
  </si>
  <si>
    <t xml:space="preserve">$/kg DW, DW - </t>
  </si>
  <si>
    <t>Condition score</t>
  </si>
  <si>
    <t xml:space="preserve">$/kg LW, LW - </t>
  </si>
  <si>
    <t xml:space="preserve">$/hd, LW - </t>
  </si>
  <si>
    <t>Livestock sale price parameters:</t>
  </si>
  <si>
    <t>Std percentile for analysis</t>
  </si>
  <si>
    <t>Gender mask (x)</t>
  </si>
  <si>
    <t>Discount</t>
  </si>
  <si>
    <t>CV</t>
  </si>
  <si>
    <t>Price scalar relative to 50th percentile</t>
  </si>
  <si>
    <t>Destination</t>
  </si>
  <si>
    <t>Commission</t>
  </si>
  <si>
    <t>Fees</t>
  </si>
  <si>
    <t>Male</t>
  </si>
  <si>
    <t>Female</t>
  </si>
  <si>
    <t>Castrate</t>
  </si>
  <si>
    <t>Quality score (s8)</t>
  </si>
  <si>
    <t>Price type (s9)</t>
  </si>
  <si>
    <t>Threshold age (mo)</t>
  </si>
  <si>
    <t>LW</t>
  </si>
  <si>
    <t>Score</t>
  </si>
  <si>
    <t>Dress % adjustment</t>
  </si>
  <si>
    <t>50th percentile</t>
  </si>
  <si>
    <t>($/hd)</t>
  </si>
  <si>
    <t>(%)</t>
  </si>
  <si>
    <t>abattoir</t>
  </si>
  <si>
    <t>++</t>
  </si>
  <si>
    <t>Yearling grid (3)</t>
  </si>
  <si>
    <t>Export wether grid (4)</t>
  </si>
  <si>
    <t>feedlot</t>
  </si>
  <si>
    <t>Breeder grid (5)</t>
  </si>
  <si>
    <t>saleyards</t>
  </si>
  <si>
    <t>Mutton grid (6)</t>
  </si>
  <si>
    <t>Ram grid (7)</t>
  </si>
  <si>
    <t>Livestock sale prices:</t>
  </si>
  <si>
    <t>Fat score (s6)</t>
  </si>
  <si>
    <t>Condition score (s6)</t>
  </si>
  <si>
    <t>Impact on Dressing Percentage:</t>
  </si>
  <si>
    <t>Grid</t>
  </si>
  <si>
    <t>Weight (s5)</t>
  </si>
  <si>
    <t>Weight scalar</t>
  </si>
  <si>
    <t>Score scalar</t>
  </si>
  <si>
    <t>no discount for merino lamb</t>
  </si>
  <si>
    <t>=mutton. BRM 2 Dec2020</t>
  </si>
  <si>
    <t>JMY est (only saleable if &gt;CS 3)</t>
  </si>
  <si>
    <t>JMY est (only saleable &gt;CS2.5)</t>
  </si>
  <si>
    <t>V&amp;V Walsh 2Dec20</t>
  </si>
  <si>
    <t>BRM</t>
  </si>
  <si>
    <t>Price scalar &amp; discount by month:</t>
  </si>
  <si>
    <t>Price proportion scalars by month for average price and if animal is above the threshold age</t>
  </si>
  <si>
    <t>Jan</t>
  </si>
  <si>
    <t>Feb</t>
  </si>
  <si>
    <t>Mar</t>
  </si>
  <si>
    <t>Apr</t>
  </si>
  <si>
    <t>May</t>
  </si>
  <si>
    <t>Jun</t>
  </si>
  <si>
    <t>Jul</t>
  </si>
  <si>
    <t>Aug</t>
  </si>
  <si>
    <t>Sep</t>
  </si>
  <si>
    <t>Oct</t>
  </si>
  <si>
    <t>Nov</t>
  </si>
  <si>
    <t>Dec</t>
  </si>
  <si>
    <t xml:space="preserve">Prime Lamb </t>
  </si>
  <si>
    <t>Within year</t>
  </si>
  <si>
    <t>Above threshold age</t>
  </si>
  <si>
    <t>Based on 40c discount of 680 in Dec20 at BRM</t>
  </si>
  <si>
    <t xml:space="preserve">Air freight lamb </t>
  </si>
  <si>
    <t xml:space="preserve">Store lamb </t>
  </si>
  <si>
    <t xml:space="preserve">Yearling </t>
  </si>
  <si>
    <t xml:space="preserve">Export wether </t>
  </si>
  <si>
    <t xml:space="preserve">Breeder </t>
  </si>
  <si>
    <t xml:space="preserve">Mutton </t>
  </si>
  <si>
    <t>Rams</t>
  </si>
  <si>
    <t>General inputs</t>
  </si>
  <si>
    <t>Animal units that determines the husbandry cost (h8)</t>
  </si>
  <si>
    <t>head</t>
  </si>
  <si>
    <t>hd</t>
  </si>
  <si>
    <t>Sires</t>
  </si>
  <si>
    <t>Dams</t>
  </si>
  <si>
    <t>Offspring</t>
  </si>
  <si>
    <t>adj head</t>
  </si>
  <si>
    <t>hd.factor</t>
  </si>
  <si>
    <t>mob</t>
  </si>
  <si>
    <t>hd.LW</t>
  </si>
  <si>
    <t>CFW</t>
  </si>
  <si>
    <t>hd.CFW</t>
  </si>
  <si>
    <t>nyatf</t>
  </si>
  <si>
    <t>hd.nyatf</t>
  </si>
  <si>
    <t>Requisites (h6)</t>
  </si>
  <si>
    <t>Drench1</t>
  </si>
  <si>
    <t>Drench2</t>
  </si>
  <si>
    <t>Se bullet</t>
  </si>
  <si>
    <t>Co bullet</t>
  </si>
  <si>
    <t>General vaccine</t>
  </si>
  <si>
    <t>Johnes vaccine</t>
  </si>
  <si>
    <t>Tags</t>
  </si>
  <si>
    <t>Rings</t>
  </si>
  <si>
    <t>Pain relief</t>
  </si>
  <si>
    <t>Fly jet</t>
  </si>
  <si>
    <t>Lice control</t>
  </si>
  <si>
    <t>Footrot treatment</t>
  </si>
  <si>
    <t>Wool packs</t>
  </si>
  <si>
    <t>Fuel</t>
  </si>
  <si>
    <t>Q Drench</t>
  </si>
  <si>
    <t>Glanvac 6S</t>
  </si>
  <si>
    <t>Gudair</t>
  </si>
  <si>
    <t>Sidney SP</t>
  </si>
  <si>
    <t>Meloxicam</t>
  </si>
  <si>
    <t>Click</t>
  </si>
  <si>
    <t>Vetrazin</t>
  </si>
  <si>
    <t>Diesel</t>
  </si>
  <si>
    <t>Purchase description</t>
  </si>
  <si>
    <t>100 bullets</t>
  </si>
  <si>
    <t>B12 500ml</t>
  </si>
  <si>
    <t>250ml</t>
  </si>
  <si>
    <t>100 tags</t>
  </si>
  <si>
    <t>500 rings</t>
  </si>
  <si>
    <t>100ml</t>
  </si>
  <si>
    <t>20L</t>
  </si>
  <si>
    <t>50 packs</t>
  </si>
  <si>
    <t>1L</t>
  </si>
  <si>
    <t>Unit of application</t>
  </si>
  <si>
    <t>1ml</t>
  </si>
  <si>
    <t>1 bullet</t>
  </si>
  <si>
    <t>1 tag</t>
  </si>
  <si>
    <t>1 ring</t>
  </si>
  <si>
    <t>1 pack</t>
  </si>
  <si>
    <t>1hr driving</t>
  </si>
  <si>
    <t>Cost per application unit</t>
  </si>
  <si>
    <t>Treatment unit for requisites (h8)</t>
  </si>
  <si>
    <t>Amount applied per treatment unit</t>
  </si>
  <si>
    <t>Cost per treatment unit (if applied)</t>
  </si>
  <si>
    <t>Source:</t>
  </si>
  <si>
    <t>KAS: Jan20</t>
  </si>
  <si>
    <t>Tag Warehouse Oct20</t>
  </si>
  <si>
    <t>Husbandry operations (h2)</t>
  </si>
  <si>
    <t>Contract</t>
  </si>
  <si>
    <t>Labour requirement</t>
  </si>
  <si>
    <t>Mustering</t>
  </si>
  <si>
    <t>Infrastructure req</t>
  </si>
  <si>
    <t>Requisites h6 (Scalar for application - probability)</t>
  </si>
  <si>
    <t>Treatment unit (h8)</t>
  </si>
  <si>
    <t>Cost</t>
  </si>
  <si>
    <t>(units per worker.hour)</t>
  </si>
  <si>
    <t>propn</t>
  </si>
  <si>
    <t>Yards/Lanes</t>
  </si>
  <si>
    <t>Shear Shed</t>
  </si>
  <si>
    <t>Operation (h2)</t>
  </si>
  <si>
    <t>(for labour &amp; contract)</t>
  </si>
  <si>
    <t>$/unit</t>
  </si>
  <si>
    <t>Manager</t>
  </si>
  <si>
    <t>Permanent</t>
  </si>
  <si>
    <t>Casual</t>
  </si>
  <si>
    <t>Treatment unit:</t>
  </si>
  <si>
    <t>per op'n</t>
  </si>
  <si>
    <t>shed</t>
  </si>
  <si>
    <t>Drench - 1st annual</t>
  </si>
  <si>
    <t xml:space="preserve">              2nd annual</t>
  </si>
  <si>
    <t xml:space="preserve">              Young animal followup</t>
  </si>
  <si>
    <t>Vaccinate - annual booster</t>
  </si>
  <si>
    <t>Johnes annual booster</t>
  </si>
  <si>
    <t>Footrot full protocol</t>
  </si>
  <si>
    <t>Bullet - Se</t>
  </si>
  <si>
    <t xml:space="preserve">            Co</t>
  </si>
  <si>
    <t>Remove rams (ewe job)</t>
  </si>
  <si>
    <t>Scanning Wet/Dry</t>
  </si>
  <si>
    <t>Scanning Multiples</t>
  </si>
  <si>
    <t>Scanning Litter size</t>
  </si>
  <si>
    <t>Scanning Foetal age</t>
  </si>
  <si>
    <t>GBAL assessment</t>
  </si>
  <si>
    <t>Marking, tailing, tag, vacc, Johnes, pain relief</t>
  </si>
  <si>
    <t>Mulesing</t>
  </si>
  <si>
    <t>Weaning - Dams (draft)</t>
  </si>
  <si>
    <t xml:space="preserve">                Progeny (drench, vacc)</t>
  </si>
  <si>
    <t>Annual classing</t>
  </si>
  <si>
    <t>Crutch - Autumn</t>
  </si>
  <si>
    <t xml:space="preserve">             Spring</t>
  </si>
  <si>
    <t>Jetting - pre shear</t>
  </si>
  <si>
    <t>Shearing</t>
  </si>
  <si>
    <t>Lice control at shearing</t>
  </si>
  <si>
    <t>Monitoring - Weekly</t>
  </si>
  <si>
    <t>Feed budgeting - paddock</t>
  </si>
  <si>
    <t xml:space="preserve">                         office</t>
  </si>
  <si>
    <t xml:space="preserve">                         implementation</t>
  </si>
  <si>
    <t>Control of the equation systems and the dates that the equation system changes (if changing during lifetime)</t>
  </si>
  <si>
    <t>Maximum</t>
  </si>
  <si>
    <t>CSIRO</t>
  </si>
  <si>
    <t>Murdoch</t>
  </si>
  <si>
    <t>Alternative</t>
  </si>
  <si>
    <t>report</t>
  </si>
  <si>
    <t>Young at foot</t>
  </si>
  <si>
    <t>vars</t>
  </si>
  <si>
    <t>Equation groups and systems:</t>
  </si>
  <si>
    <t>Compare equations</t>
  </si>
  <si>
    <t>System exists</t>
  </si>
  <si>
    <t>Start</t>
  </si>
  <si>
    <t>after change</t>
  </si>
  <si>
    <t>Conception</t>
  </si>
  <si>
    <t>Progeny survival</t>
  </si>
  <si>
    <t>Weaner mortality</t>
  </si>
  <si>
    <t>Potential intake</t>
  </si>
  <si>
    <t>Relative availability</t>
  </si>
  <si>
    <t>Relative ingestibility</t>
  </si>
  <si>
    <t>Birth weight</t>
  </si>
  <si>
    <t>Weaning weight</t>
  </si>
  <si>
    <t>Methane emissions</t>
  </si>
  <si>
    <t>END</t>
  </si>
  <si>
    <t>Parameters: Version Control for the worksheet &amp; Sheet controls</t>
  </si>
  <si>
    <t>Standard Values (c1 axis)</t>
  </si>
  <si>
    <t>Genotype Inputs (c2 axis)</t>
  </si>
  <si>
    <t>Phenotypic</t>
  </si>
  <si>
    <t>Sheep Explorer</t>
  </si>
  <si>
    <t>Cattle Explorer</t>
  </si>
  <si>
    <t>Composite</t>
  </si>
  <si>
    <t>Maternal</t>
  </si>
  <si>
    <t>Terminal</t>
  </si>
  <si>
    <t>Merit (y axis)</t>
  </si>
  <si>
    <t>CSIRO name</t>
  </si>
  <si>
    <t>Parameter description</t>
  </si>
  <si>
    <t>Units</t>
  </si>
  <si>
    <t>Wool</t>
  </si>
  <si>
    <t>Meat</t>
  </si>
  <si>
    <t>Br. Beef</t>
  </si>
  <si>
    <t>B. indicus</t>
  </si>
  <si>
    <t>Lean beef</t>
  </si>
  <si>
    <t>Dairy</t>
  </si>
  <si>
    <t>Sheep source</t>
  </si>
  <si>
    <t>Cattle source</t>
  </si>
  <si>
    <t>Fine wool</t>
  </si>
  <si>
    <t>Med1</t>
  </si>
  <si>
    <t>Dorper</t>
  </si>
  <si>
    <t>Mixed</t>
  </si>
  <si>
    <t>Border</t>
  </si>
  <si>
    <t>Suffolk</t>
  </si>
  <si>
    <t>Source</t>
  </si>
  <si>
    <t>(sam)</t>
  </si>
  <si>
    <t>yStd</t>
  </si>
  <si>
    <t>yImp</t>
  </si>
  <si>
    <t>Mask</t>
  </si>
  <si>
    <t>Pos</t>
  </si>
  <si>
    <t>Genotype parameters</t>
  </si>
  <si>
    <t>Propn</t>
  </si>
  <si>
    <t>Sim parameters (animal type)</t>
  </si>
  <si>
    <t>Propn wool harvested</t>
  </si>
  <si>
    <t>Level of  'wool genetics' (impacts on the husbandry operations)</t>
  </si>
  <si>
    <t>JMY estimate</t>
  </si>
  <si>
    <t>Fibre length at birth</t>
  </si>
  <si>
    <t>cm</t>
  </si>
  <si>
    <t>Fibre length after shearing</t>
  </si>
  <si>
    <t>kg clean</t>
  </si>
  <si>
    <t>Expected FD (µ, 3yo 12 mths growth)</t>
  </si>
  <si>
    <t>Standard Progeny survival - singles</t>
  </si>
  <si>
    <t xml:space="preserve">                                       - twins</t>
  </si>
  <si>
    <t xml:space="preserve">                                       - triplets</t>
  </si>
  <si>
    <t xml:space="preserve">                                                                      - 3yo dams</t>
  </si>
  <si>
    <t xml:space="preserve">                                                                      - 4yo dams</t>
  </si>
  <si>
    <t xml:space="preserve">                                                                      - 5yo dams</t>
  </si>
  <si>
    <t xml:space="preserve">                                                                      - 6yo dams</t>
  </si>
  <si>
    <t xml:space="preserve">                                                                      - 7yo dams</t>
  </si>
  <si>
    <t xml:space="preserve">                                                                      - 8yo dams</t>
  </si>
  <si>
    <t>Maximum age for each sale price grid - prime lamb</t>
  </si>
  <si>
    <t>months</t>
  </si>
  <si>
    <t xml:space="preserve">                                                         - air freight lamb</t>
  </si>
  <si>
    <t xml:space="preserve">                                                         - store lamb</t>
  </si>
  <si>
    <t xml:space="preserve">                                                         - Yearling</t>
  </si>
  <si>
    <t xml:space="preserve">                                                         - Export wether</t>
  </si>
  <si>
    <t xml:space="preserve">                                                         - breeder</t>
  </si>
  <si>
    <t xml:space="preserve">                                                         - mutton</t>
  </si>
  <si>
    <t>Dressing percentage adjustment (due to genotype)</t>
  </si>
  <si>
    <t>MLA Sheep Assessment Handbook</t>
  </si>
  <si>
    <t>Initial LW (at weaning - std weaning age (a0) &amp; LW pattern (n0w0))</t>
  </si>
  <si>
    <t>Initial CFW (at weaning - std weaning age (a0) &amp; LW pattern (n0w0))</t>
  </si>
  <si>
    <t>Fibre Diameter at weaning (std weaning age (a0) &amp; LW pattern (n0w0))</t>
  </si>
  <si>
    <t>Fibre Length at weaning (std weaning age (a0) &amp; LW pattern (n0w0))</t>
  </si>
  <si>
    <t>NW</t>
  </si>
  <si>
    <t>Normal weight (n)</t>
  </si>
  <si>
    <t>P.CN_.g</t>
  </si>
  <si>
    <t>C(N,0)</t>
  </si>
  <si>
    <t>Filler</t>
  </si>
  <si>
    <t>C(N,1)</t>
  </si>
  <si>
    <t>kg0.27 d-1</t>
  </si>
  <si>
    <t>Brody (1945)</t>
  </si>
  <si>
    <t>C(N,2)</t>
  </si>
  <si>
    <t>Allometric scalar for growth rate</t>
  </si>
  <si>
    <t>-</t>
  </si>
  <si>
    <t>Taylor (1968)</t>
  </si>
  <si>
    <t>C(N,3)</t>
  </si>
  <si>
    <r>
      <rPr>
        <sz val="11"/>
        <rFont val="Times New Roman"/>
        <family val="1"/>
      </rPr>
      <t>Weighting factor for slow growth</t>
    </r>
    <r>
      <rPr>
        <sz val="11"/>
        <color rgb="FF0000FF"/>
        <rFont val="Times New Roman"/>
        <family val="1"/>
      </rPr>
      <t xml:space="preserve"> (LW &lt; NW)</t>
    </r>
  </si>
  <si>
    <t>Tech Paper Dec2012</t>
  </si>
  <si>
    <t>C(N,4)</t>
  </si>
  <si>
    <t>Weighting factor for slow growth (LW &gt; NW)</t>
  </si>
  <si>
    <t>JY estimate</t>
  </si>
  <si>
    <t>SCA (1990)-implied</t>
  </si>
  <si>
    <t>C(N,5)</t>
  </si>
  <si>
    <t>SCA (1990)</t>
  </si>
  <si>
    <t>#6 filler</t>
  </si>
  <si>
    <t>SRW scalar for gender, see C_V[1,v]</t>
  </si>
  <si>
    <t>C(N,7)</t>
  </si>
  <si>
    <t>Expected progeny growth rate during lactation</t>
  </si>
  <si>
    <t>PI</t>
  </si>
  <si>
    <t>Potential intake (i)</t>
  </si>
  <si>
    <t>No 3rd axis</t>
  </si>
  <si>
    <t>P.CI_.g</t>
  </si>
  <si>
    <t>C(I,0)</t>
  </si>
  <si>
    <t>C(I,1)</t>
  </si>
  <si>
    <t>Effect of relative size on PI - scalar</t>
  </si>
  <si>
    <t>kg kg-1</t>
  </si>
  <si>
    <t>C(I,2)</t>
  </si>
  <si>
    <t>Effect of relative size on PI - quadratic parameter</t>
  </si>
  <si>
    <t>C(I,3)</t>
  </si>
  <si>
    <t>Effect of rumen development on PI</t>
  </si>
  <si>
    <t>d-1</t>
  </si>
  <si>
    <t>C(I,4)</t>
  </si>
  <si>
    <t>d</t>
  </si>
  <si>
    <t>C(I,5)</t>
  </si>
  <si>
    <t>Effect of high temperature on PI - scalar</t>
  </si>
  <si>
    <t>Fox (1987) -modified</t>
  </si>
  <si>
    <t>C(I,6)</t>
  </si>
  <si>
    <t>Effect of high temperature on PI - threshold mean temp</t>
  </si>
  <si>
    <t>°C</t>
  </si>
  <si>
    <t>C(I,7)</t>
  </si>
  <si>
    <t>Effect of high temperature on PI - threshold min temp</t>
  </si>
  <si>
    <t>C(I,8)</t>
  </si>
  <si>
    <t>Effect of lactation - peak intake time</t>
  </si>
  <si>
    <t>C(I,9)</t>
  </si>
  <si>
    <t>Effect of lactation - intake curvature</t>
  </si>
  <si>
    <t>C(I,10)</t>
  </si>
  <si>
    <t xml:space="preserve">Effect of lactation - scalar for peak yield in cattle without calves </t>
  </si>
  <si>
    <t>kg-1</t>
  </si>
  <si>
    <t>C(I,11)</t>
  </si>
  <si>
    <t>C(I,12)</t>
  </si>
  <si>
    <t>Effect of lactation - adjustment for body condition loss</t>
  </si>
  <si>
    <t>Freer et al. (1997)</t>
  </si>
  <si>
    <t>C(I,13)</t>
  </si>
  <si>
    <t>C(I,14)</t>
  </si>
  <si>
    <t>C(I,15)</t>
  </si>
  <si>
    <t>Effect of lactation - adjustment for body condition at parturition</t>
  </si>
  <si>
    <t>Filler(I,16)</t>
  </si>
  <si>
    <t>not used</t>
  </si>
  <si>
    <t>C(I,17)</t>
  </si>
  <si>
    <t>Effect of temperature below LCT</t>
  </si>
  <si>
    <t>NRC (1996)</t>
  </si>
  <si>
    <t>C(I,18)</t>
  </si>
  <si>
    <t>Effect of temperature below LCT - scalar for rainfall</t>
  </si>
  <si>
    <t>#19 filler</t>
  </si>
  <si>
    <t>Effect of lactation - peak intake level, see C_L1[19,y]</t>
  </si>
  <si>
    <t>C(I,20)</t>
  </si>
  <si>
    <t>Effect of body condition on potential intake</t>
  </si>
  <si>
    <t>C(I,21)</t>
  </si>
  <si>
    <t>Rate of reduction in potential intake post weaning</t>
  </si>
  <si>
    <t>RelInt</t>
  </si>
  <si>
    <t>Relative intake (r) - Some of these would be better in PastParameters</t>
  </si>
  <si>
    <t>P.CR_.g</t>
  </si>
  <si>
    <t>C(R,0)</t>
  </si>
  <si>
    <t>C(R,1)</t>
  </si>
  <si>
    <t>Effect of diet digestibility - upper digestibility</t>
  </si>
  <si>
    <t>0-1</t>
  </si>
  <si>
    <t>C(R,2)</t>
  </si>
  <si>
    <t>Effect of diet digestibility - maximum increnment for legume</t>
  </si>
  <si>
    <t>C(R,3)</t>
  </si>
  <si>
    <t>Effect of diet digestibility - slope of relationship</t>
  </si>
  <si>
    <t>C(R,4)</t>
  </si>
  <si>
    <t>Effect of herbage availability - exponent for grazing rate</t>
  </si>
  <si>
    <t>C(R,5)</t>
  </si>
  <si>
    <t>Effect of herbage availability - scalar for grazing time</t>
  </si>
  <si>
    <t>C(R,6)</t>
  </si>
  <si>
    <t>Effect of herbage availability - exponent for grazing time</t>
  </si>
  <si>
    <t>C(R,7)</t>
  </si>
  <si>
    <t>Effect of relative size of animal</t>
  </si>
  <si>
    <t>Freer et al (1997)</t>
  </si>
  <si>
    <t>C(R,8)</t>
  </si>
  <si>
    <t>Effect of substitution - time scalar</t>
  </si>
  <si>
    <t>C(R,9)</t>
  </si>
  <si>
    <t>Effect of substitution - adjustment for protein content of supplement</t>
  </si>
  <si>
    <t>C(R,10)</t>
  </si>
  <si>
    <t>C(R,11)</t>
  </si>
  <si>
    <t>Effect of substitution - adjustment for M/D of supplement</t>
  </si>
  <si>
    <t>MJ kg-1</t>
  </si>
  <si>
    <t>Freer et al (2006)</t>
  </si>
  <si>
    <t>C(R,12)</t>
  </si>
  <si>
    <t>Effect of pasture height</t>
  </si>
  <si>
    <t>C(R,13)</t>
  </si>
  <si>
    <t>Effect of proportion in digestibility class</t>
  </si>
  <si>
    <t>C(R,14)</t>
  </si>
  <si>
    <t>Upper limit on RQ for supplements</t>
  </si>
  <si>
    <t>Filler(R,15)</t>
  </si>
  <si>
    <t>Not used</t>
  </si>
  <si>
    <t>Filler(R,16)</t>
  </si>
  <si>
    <t>Filler(R,17)</t>
  </si>
  <si>
    <t>Filler(R,18)</t>
  </si>
  <si>
    <t>Filler(R,19)</t>
  </si>
  <si>
    <t>C(R,20)</t>
  </si>
  <si>
    <t>Substitution factor for lactating animals</t>
  </si>
  <si>
    <t>TechPaper 2012</t>
  </si>
  <si>
    <t>C(R,21)</t>
  </si>
  <si>
    <t>Minimum FOO level (i.e. where RI=0 for Feed supply)</t>
  </si>
  <si>
    <t>Estimate of FOO when RI=0</t>
  </si>
  <si>
    <t>C(R,22)</t>
  </si>
  <si>
    <t>Minimum digestibility level (i.e. where RI=0 for Feed supply)</t>
  </si>
  <si>
    <t>Estimate of DMD when RI=0</t>
  </si>
  <si>
    <t>En Efficy</t>
  </si>
  <si>
    <t>Efficiency of energy use (k)</t>
  </si>
  <si>
    <t>P.CK_.g</t>
  </si>
  <si>
    <t>C(K,0)</t>
  </si>
  <si>
    <t>C(K,1)</t>
  </si>
  <si>
    <t>km: intercept for solid diet</t>
  </si>
  <si>
    <t>C(K,2)</t>
  </si>
  <si>
    <t>km: slope for M/D</t>
  </si>
  <si>
    <t>kg MJ-1</t>
  </si>
  <si>
    <t>ARC (1980)</t>
  </si>
  <si>
    <t>C(K,3)</t>
  </si>
  <si>
    <t>C(K,4)</t>
  </si>
  <si>
    <t>km: value for zero intake</t>
  </si>
  <si>
    <t>C(K,5)</t>
  </si>
  <si>
    <t>kl: intercept</t>
  </si>
  <si>
    <t>C(K,6)</t>
  </si>
  <si>
    <t>kl: slope for M/D</t>
  </si>
  <si>
    <t>C(K,7)</t>
  </si>
  <si>
    <t>value for zero intake</t>
  </si>
  <si>
    <t>C(K,8)</t>
  </si>
  <si>
    <t>kc: use for maintenance and growth of conceptus</t>
  </si>
  <si>
    <t>C(K,9)</t>
  </si>
  <si>
    <t>kg: lactating animals losing weight</t>
  </si>
  <si>
    <t>C(K,10)</t>
  </si>
  <si>
    <t>kg: lactating animals gaining weight</t>
  </si>
  <si>
    <t>C(K,11)</t>
  </si>
  <si>
    <t>kg: non-lactating animals losing weight</t>
  </si>
  <si>
    <t>C(K,12)</t>
  </si>
  <si>
    <t>C(K,13)</t>
  </si>
  <si>
    <t>kg: herbage, zero legume, mid-winter</t>
  </si>
  <si>
    <t>C(K,14)</t>
  </si>
  <si>
    <t>C(K,15)</t>
  </si>
  <si>
    <t>kg: time of year effect at 40° latitude</t>
  </si>
  <si>
    <t>C(K,16)</t>
  </si>
  <si>
    <t>kg:  M/D of supplements</t>
  </si>
  <si>
    <t>C(K,17)</t>
  </si>
  <si>
    <t>Maint</t>
  </si>
  <si>
    <t>Energy and protein use for maintenance (m)</t>
  </si>
  <si>
    <t>P.CM_.g</t>
  </si>
  <si>
    <t>C(M,0)</t>
  </si>
  <si>
    <t>Period to average impact of MEI on MEm</t>
  </si>
  <si>
    <t>days</t>
  </si>
  <si>
    <t>Idea from Hutton. Estimate</t>
  </si>
  <si>
    <t>C(M,1)</t>
  </si>
  <si>
    <t>Effect of MEI on MEm</t>
  </si>
  <si>
    <t>C(M,2)</t>
  </si>
  <si>
    <t>Basal metabolism: scalar for metabolic weight</t>
  </si>
  <si>
    <t>MJ kg-0.75</t>
  </si>
  <si>
    <t>C(M,3)</t>
  </si>
  <si>
    <t>BM: exponent for age</t>
  </si>
  <si>
    <t>C(M,4)</t>
  </si>
  <si>
    <t>BM: minimum value for age effect</t>
  </si>
  <si>
    <t>C(M,5)</t>
  </si>
  <si>
    <t xml:space="preserve">BM: scalar for effect of milk diet </t>
  </si>
  <si>
    <t>Freer et al. (2006)</t>
  </si>
  <si>
    <t>C(M,6)</t>
  </si>
  <si>
    <t>Egraze: scalar for chewing effect</t>
  </si>
  <si>
    <t>MJ kg-2</t>
  </si>
  <si>
    <t>SCA (1990) - modified</t>
  </si>
  <si>
    <t>C(M,7)</t>
  </si>
  <si>
    <t>Egraze: ceiling value for effect of digestibility</t>
  </si>
  <si>
    <t>C(M,8)</t>
  </si>
  <si>
    <t>Emove: slope of relationship with herbage weight</t>
  </si>
  <si>
    <t>C(M,9)</t>
  </si>
  <si>
    <t>Emove: intercept of relationship with herbage weight</t>
  </si>
  <si>
    <t>C(M,10)</t>
  </si>
  <si>
    <t>Endogenous faecal protein from solid diet</t>
  </si>
  <si>
    <t>C(M,11)</t>
  </si>
  <si>
    <t>EFP from milk diet</t>
  </si>
  <si>
    <t>Russell et al. (1992)</t>
  </si>
  <si>
    <t>C(M,12)</t>
  </si>
  <si>
    <t>Endogenous urinary protein: slope of relationship with weight</t>
  </si>
  <si>
    <t>C(M,13)</t>
  </si>
  <si>
    <t>EUP: intercept of this relationship</t>
  </si>
  <si>
    <t>kg</t>
  </si>
  <si>
    <t>C(M,14)</t>
  </si>
  <si>
    <t>Dermal loss</t>
  </si>
  <si>
    <t>kg-0.75</t>
  </si>
  <si>
    <t>#15 filler</t>
  </si>
  <si>
    <t>Factor for males, see C_V[2,v]</t>
  </si>
  <si>
    <t>C(M,16)</t>
  </si>
  <si>
    <t>Energy cost of horizontal walking</t>
  </si>
  <si>
    <t>C(M,17)</t>
  </si>
  <si>
    <t>Threshold stocking rate for reduced walking</t>
  </si>
  <si>
    <t>kg -0.75</t>
  </si>
  <si>
    <t>C(M,18)</t>
  </si>
  <si>
    <t>Green FOO min limit for trying to consume</t>
  </si>
  <si>
    <t>kg ha-1</t>
  </si>
  <si>
    <t>C(M,19)</t>
  </si>
  <si>
    <t>Dead FOO min limit for trying to consume</t>
  </si>
  <si>
    <t>RDP</t>
  </si>
  <si>
    <t>Prediction of rumen degradable protein  (rd)</t>
  </si>
  <si>
    <t>P.CRD_.g</t>
  </si>
  <si>
    <t>C(RD,0)</t>
  </si>
  <si>
    <t>C(RD,1)</t>
  </si>
  <si>
    <t>Degradability: intercept in interaction between DMD and feeding level</t>
  </si>
  <si>
    <t>Freer et al. (1990)</t>
  </si>
  <si>
    <t>C(RD,2)</t>
  </si>
  <si>
    <t xml:space="preserve">                 slope of the above interaction for herbage diet</t>
  </si>
  <si>
    <t>C(RD,3)</t>
  </si>
  <si>
    <t xml:space="preserve">                 slope of the relationship with feeding level for supplements</t>
  </si>
  <si>
    <t>C(RD,4)</t>
  </si>
  <si>
    <t>RDPR: intercept</t>
  </si>
  <si>
    <t>C(RD,5)</t>
  </si>
  <si>
    <t xml:space="preserve">           slope</t>
  </si>
  <si>
    <t>C(RD,6)</t>
  </si>
  <si>
    <t xml:space="preserve">           exponent of relationship with feeding level</t>
  </si>
  <si>
    <t>C(RD,7)</t>
  </si>
  <si>
    <t>RDPR: slope of relationship with time of year function for herbage</t>
  </si>
  <si>
    <t>DPLS</t>
  </si>
  <si>
    <t>Prediction of digestible protein - not rumen degradable (a)</t>
  </si>
  <si>
    <t>P.CA_.g</t>
  </si>
  <si>
    <t>C(A,0)</t>
  </si>
  <si>
    <t>C(A,1)</t>
  </si>
  <si>
    <t>UDP digestibility: minimum value for herbage</t>
  </si>
  <si>
    <t>Webster et al. (1982) - modified</t>
  </si>
  <si>
    <t>C(A,2)</t>
  </si>
  <si>
    <t xml:space="preserve">                           maximum value for herbage</t>
  </si>
  <si>
    <t>C(A,3)</t>
  </si>
  <si>
    <t xml:space="preserve">                          slope of relationship with CP for herbage</t>
  </si>
  <si>
    <t>C(A,4)</t>
  </si>
  <si>
    <t xml:space="preserve">                          intercept of relationship with CP for herbage</t>
  </si>
  <si>
    <t>C(A,5)</t>
  </si>
  <si>
    <t>Milk protein digestibility</t>
  </si>
  <si>
    <t>C(A,6)</t>
  </si>
  <si>
    <t>Efficiency of use of RDPR for MCP</t>
  </si>
  <si>
    <t>C(A,7)</t>
  </si>
  <si>
    <t>DPLS in MCP</t>
  </si>
  <si>
    <t>C(A,8)</t>
  </si>
  <si>
    <t>Indigestibility of MCP</t>
  </si>
  <si>
    <t>C(A,9)</t>
  </si>
  <si>
    <t>UDP digestibility in concentrates as a proportion of non-ADIP  protein</t>
  </si>
  <si>
    <t>Waters et al. (1992)</t>
  </si>
  <si>
    <t>Preg</t>
  </si>
  <si>
    <t>Pregnancy requirements  (p)</t>
  </si>
  <si>
    <t>P.CP_.g</t>
  </si>
  <si>
    <t>C(P,0)</t>
  </si>
  <si>
    <t>Age for mid-pregnancy</t>
  </si>
  <si>
    <t>LTW definition for coefficients</t>
  </si>
  <si>
    <t>C(P,1)</t>
  </si>
  <si>
    <t>Standard gestation length (can't change with genetic merit)</t>
  </si>
  <si>
    <t>ARC (1980) - modified</t>
  </si>
  <si>
    <t>C(P,2)</t>
  </si>
  <si>
    <t>Foetal normal weight</t>
  </si>
  <si>
    <t>C(P,3)</t>
  </si>
  <si>
    <t>C(P,4)</t>
  </si>
  <si>
    <t>Effect of relative size on birth weight</t>
  </si>
  <si>
    <t>C(P,5)</t>
  </si>
  <si>
    <t>Final conceptus weight:foetus weight</t>
  </si>
  <si>
    <t>kg/kg</t>
  </si>
  <si>
    <t>C(P,6)</t>
  </si>
  <si>
    <t>Conceptus weight</t>
  </si>
  <si>
    <t>C(P,7)</t>
  </si>
  <si>
    <t xml:space="preserve">                                     " </t>
  </si>
  <si>
    <t>C(P,8)</t>
  </si>
  <si>
    <t>Final conceptus energy content</t>
  </si>
  <si>
    <t>MJ/kg</t>
  </si>
  <si>
    <t>C(P,9)</t>
  </si>
  <si>
    <t>Conceptus energy</t>
  </si>
  <si>
    <t>C(P,10)</t>
  </si>
  <si>
    <t xml:space="preserve">                                     "</t>
  </si>
  <si>
    <t>C(P,11)</t>
  </si>
  <si>
    <t>Final conceptus protein content</t>
  </si>
  <si>
    <t>C(P,12)</t>
  </si>
  <si>
    <t>Conceptus protein</t>
  </si>
  <si>
    <t>C(P,13)</t>
  </si>
  <si>
    <t>P.CP14_.g</t>
  </si>
  <si>
    <t>#14 filler</t>
  </si>
  <si>
    <t>Correction of foetal growth for poor dam condition, see C_L0[14,x]</t>
  </si>
  <si>
    <t>P.CP15_.g</t>
  </si>
  <si>
    <t>Lact</t>
  </si>
  <si>
    <t>Lactation requirements (l)</t>
  </si>
  <si>
    <t>P.CL0_.g</t>
  </si>
  <si>
    <t>Peak yield scalar if suckling, see C_L1[0,y]</t>
  </si>
  <si>
    <t>C(L,1)</t>
  </si>
  <si>
    <t>Lactation curve:  offset</t>
  </si>
  <si>
    <t>Freer etal. (1997)</t>
  </si>
  <si>
    <t>C(L,2)</t>
  </si>
  <si>
    <t xml:space="preserve">                            time of peak</t>
  </si>
  <si>
    <t>C(L,3)</t>
  </si>
  <si>
    <t xml:space="preserve">                           shape, with young</t>
  </si>
  <si>
    <t>C(L,4)</t>
  </si>
  <si>
    <t xml:space="preserve">                           shape if not suckling</t>
  </si>
  <si>
    <t>C(L,5)</t>
  </si>
  <si>
    <t>Milk: metabolizability</t>
  </si>
  <si>
    <t>C(L,6)</t>
  </si>
  <si>
    <t xml:space="preserve">        energy content    </t>
  </si>
  <si>
    <t>Tech Paper (2012)</t>
  </si>
  <si>
    <t>C(L,7)</t>
  </si>
  <si>
    <t>Energy deficit: reciprocal of upper limit of propn of potential yield</t>
  </si>
  <si>
    <t>C(L,8)</t>
  </si>
  <si>
    <t>C(L,9)</t>
  </si>
  <si>
    <t>C(L,10)</t>
  </si>
  <si>
    <t>C(L,11)</t>
  </si>
  <si>
    <t>C(L,12)</t>
  </si>
  <si>
    <t>Milk consumption limit: intercept</t>
  </si>
  <si>
    <t>kg kg-0.75</t>
  </si>
  <si>
    <t>C(L,13)</t>
  </si>
  <si>
    <t xml:space="preserve">                                   scalar</t>
  </si>
  <si>
    <t>Dove (1988)</t>
  </si>
  <si>
    <t>C(L,14)</t>
  </si>
  <si>
    <t xml:space="preserve">                                   exponent</t>
  </si>
  <si>
    <t>C(L,15)</t>
  </si>
  <si>
    <t>Protein content of milk</t>
  </si>
  <si>
    <t>C(L,16)</t>
  </si>
  <si>
    <t>Reduction of potential yield for failure to reach potential</t>
  </si>
  <si>
    <t>C(L,17)</t>
  </si>
  <si>
    <t xml:space="preserve">                                          "</t>
  </si>
  <si>
    <t>C(L,18)</t>
  </si>
  <si>
    <t>C(L,19)</t>
  </si>
  <si>
    <t>Parameters in SIG function to predict proportion of potential yield</t>
  </si>
  <si>
    <t>C(L,20)</t>
  </si>
  <si>
    <t xml:space="preserve">                           :  effect of ME intake</t>
  </si>
  <si>
    <t>C(L,21)</t>
  </si>
  <si>
    <t xml:space="preserve">                           : effect of stage of lactation</t>
  </si>
  <si>
    <t>C(L,22)</t>
  </si>
  <si>
    <t>C(L,23)</t>
  </si>
  <si>
    <t xml:space="preserve">                           : effect of body condition</t>
  </si>
  <si>
    <t>C(L,24)</t>
  </si>
  <si>
    <t>Freer et al. (2006))</t>
  </si>
  <si>
    <t>C(L,25)</t>
  </si>
  <si>
    <t>Dry matter content of milk</t>
  </si>
  <si>
    <t>Ospanov &amp; Toxanbayeva 2020, Zeola et al 2015 &amp; http://web.archive.org/web/20070929071651/http://www.northwalesbuffalo.co.uk/milk_analysis.htm</t>
  </si>
  <si>
    <t>Wool growth (w)</t>
  </si>
  <si>
    <t>P.CW_.g</t>
  </si>
  <si>
    <t>C(W,0)</t>
  </si>
  <si>
    <t>C(W,1)</t>
  </si>
  <si>
    <t>MJ kg-1 as shorn</t>
  </si>
  <si>
    <t>C(W,2)</t>
  </si>
  <si>
    <t>Basal clean wool growth</t>
  </si>
  <si>
    <t>kg/d</t>
  </si>
  <si>
    <t>C(W,3)</t>
  </si>
  <si>
    <t>C(W,4)</t>
  </si>
  <si>
    <t>Lag factor (not used, replaced by the history function)</t>
  </si>
  <si>
    <t>Nagorcka (1977)</t>
  </si>
  <si>
    <t>C(W,5)</t>
  </si>
  <si>
    <t>Wool growth: proportion at birth</t>
  </si>
  <si>
    <t>Lyne (1961)</t>
  </si>
  <si>
    <t>C(W,6)</t>
  </si>
  <si>
    <t xml:space="preserve">                      photoperiod effect - altered by genotype</t>
  </si>
  <si>
    <t>h-1</t>
  </si>
  <si>
    <t>Nagorcka (1979)</t>
  </si>
  <si>
    <t>C(W,7)</t>
  </si>
  <si>
    <t>Wool growth: DPLS limitation</t>
  </si>
  <si>
    <t>after Hogan et al (1979)</t>
  </si>
  <si>
    <t>C(W,8)</t>
  </si>
  <si>
    <t xml:space="preserve">                      MEI limitation</t>
  </si>
  <si>
    <t>Kempton (1979)</t>
  </si>
  <si>
    <t>C(W,9)</t>
  </si>
  <si>
    <t>Pregnancy and lactation adjustment</t>
  </si>
  <si>
    <t>C(W,10)</t>
  </si>
  <si>
    <t>Wool density</t>
  </si>
  <si>
    <t>kg m-3</t>
  </si>
  <si>
    <t>C(W,11)</t>
  </si>
  <si>
    <t>Follicle density</t>
  </si>
  <si>
    <t>m-2</t>
  </si>
  <si>
    <t>C(W,12)</t>
  </si>
  <si>
    <t>C(W,13)</t>
  </si>
  <si>
    <t>Length/Diameter exponent</t>
  </si>
  <si>
    <t>C(W,14)</t>
  </si>
  <si>
    <t>Wool growth with MEI = 0</t>
  </si>
  <si>
    <t>propn of SFW/d</t>
  </si>
  <si>
    <t>C(W,15)</t>
  </si>
  <si>
    <t>Staple length as a proportion of fibre length</t>
  </si>
  <si>
    <t>propn of FL</t>
  </si>
  <si>
    <t>Peterson &amp; Oldham (2000)</t>
  </si>
  <si>
    <t>C(W,16)</t>
  </si>
  <si>
    <t>Intrinsic staple strength</t>
  </si>
  <si>
    <t>N/kTex</t>
  </si>
  <si>
    <t>Curtis (pers. comm.)</t>
  </si>
  <si>
    <t>Chilling</t>
  </si>
  <si>
    <t>Chilling (c)</t>
  </si>
  <si>
    <t>P.CC_.g</t>
  </si>
  <si>
    <t>C(C,0)</t>
  </si>
  <si>
    <t>C(C,1)</t>
  </si>
  <si>
    <t>Surface area</t>
  </si>
  <si>
    <t>m2 kg-2/3</t>
  </si>
  <si>
    <t>C(C,2)</t>
  </si>
  <si>
    <t>Body radius</t>
  </si>
  <si>
    <t>cm kg-1/3</t>
  </si>
  <si>
    <t>C(C,3)</t>
  </si>
  <si>
    <t>Tissue insulation</t>
  </si>
  <si>
    <t>°Cm2dMJ-1cm-1</t>
  </si>
  <si>
    <t>C(C,4)</t>
  </si>
  <si>
    <t xml:space="preserve">                           :effect of body condition                        </t>
  </si>
  <si>
    <t>C(C,5)</t>
  </si>
  <si>
    <t>External insulation: effect of wetting</t>
  </si>
  <si>
    <t>C(C,6)</t>
  </si>
  <si>
    <t xml:space="preserve">                                            "</t>
  </si>
  <si>
    <t>cm mm-1</t>
  </si>
  <si>
    <t>C(C,7)</t>
  </si>
  <si>
    <t xml:space="preserve">                               air component</t>
  </si>
  <si>
    <t>C(C,8)</t>
  </si>
  <si>
    <t>C(C,9)</t>
  </si>
  <si>
    <t xml:space="preserve">                               coat component</t>
  </si>
  <si>
    <t>C(C,10)</t>
  </si>
  <si>
    <t>SCA (1990) Parameter was updated in Sheep Explorer April 2019 &amp; was 10 times SCA. Joyce 1966 is the source reference</t>
  </si>
  <si>
    <t>C(C,11)</t>
  </si>
  <si>
    <t>Body temperature</t>
  </si>
  <si>
    <t>C(C,12)</t>
  </si>
  <si>
    <t>MJ m-2 d-1</t>
  </si>
  <si>
    <t>C(C,13)</t>
  </si>
  <si>
    <t>Radiative effect on LCT</t>
  </si>
  <si>
    <t>C(C,14)</t>
  </si>
  <si>
    <t xml:space="preserve">                  "</t>
  </si>
  <si>
    <t>°C-2</t>
  </si>
  <si>
    <t>C(C,15)</t>
  </si>
  <si>
    <t>C(C,16)</t>
  </si>
  <si>
    <t>Metabolic heat from conceptus</t>
  </si>
  <si>
    <t>MJ kg-1 d-1</t>
  </si>
  <si>
    <t>Gain</t>
  </si>
  <si>
    <t>Weight change (g)</t>
  </si>
  <si>
    <t>P.CG_.g</t>
  </si>
  <si>
    <t>C(G,0)</t>
  </si>
  <si>
    <t>C(G,1)</t>
  </si>
  <si>
    <t>DPLS use efficiency: for wool growth</t>
  </si>
  <si>
    <t>C(G,2)</t>
  </si>
  <si>
    <t xml:space="preserve">                                   for other purposes, from solid diet</t>
  </si>
  <si>
    <t>C(G,3)</t>
  </si>
  <si>
    <t xml:space="preserve">                                                                   from milk diet</t>
  </si>
  <si>
    <t>C(G,4)</t>
  </si>
  <si>
    <t>EVG &amp; PCG: effect of relative size on ZF1</t>
  </si>
  <si>
    <t>C(G,5)</t>
  </si>
  <si>
    <t>EVG &amp; PCG: relative size below which ZF1=0.5</t>
  </si>
  <si>
    <t>C(G,6)</t>
  </si>
  <si>
    <t>EVG &amp; PCG: relative size below which ZF2=0</t>
  </si>
  <si>
    <t>C(G,7)</t>
  </si>
  <si>
    <t>EVG &amp; PCG: relative size below which ZF2=1</t>
  </si>
  <si>
    <t>C(G,8)</t>
  </si>
  <si>
    <t>EVG: reference value</t>
  </si>
  <si>
    <t>C(G,9)</t>
  </si>
  <si>
    <t>EVG: range with maturity at L=1 and BC = 1</t>
  </si>
  <si>
    <t>C(G,10)</t>
  </si>
  <si>
    <t>EVG: effect of feeding level</t>
  </si>
  <si>
    <t>C(G,11)</t>
  </si>
  <si>
    <t>C(G,12)</t>
  </si>
  <si>
    <t>PCG: reference value</t>
  </si>
  <si>
    <t>C(G,13)</t>
  </si>
  <si>
    <t>PCG: range with maturity at L=1 and BC = 1</t>
  </si>
  <si>
    <t>C(G,14)</t>
  </si>
  <si>
    <t>PCG: effect of feeding level</t>
  </si>
  <si>
    <t>C(G,15)</t>
  </si>
  <si>
    <t>PCG: effect of BC in near mature animals</t>
  </si>
  <si>
    <t>C(G,16)</t>
  </si>
  <si>
    <t>C(G,17)</t>
  </si>
  <si>
    <t>C(G,18)</t>
  </si>
  <si>
    <t>Base weight: empty body weight</t>
  </si>
  <si>
    <t>C(G,19)</t>
  </si>
  <si>
    <t>DM content of muscle</t>
  </si>
  <si>
    <t>Hutton's group</t>
  </si>
  <si>
    <t>SCA (1990) pg48</t>
  </si>
  <si>
    <t>C(G,20)</t>
  </si>
  <si>
    <t>DM content of adipose tissue</t>
  </si>
  <si>
    <t>C(G,21)</t>
  </si>
  <si>
    <t>C(G,22)</t>
  </si>
  <si>
    <t>Energy content of fat</t>
  </si>
  <si>
    <t>CH4</t>
  </si>
  <si>
    <t>Emissions (h)</t>
  </si>
  <si>
    <t>P.CH_.g</t>
  </si>
  <si>
    <t>C(H,0)</t>
  </si>
  <si>
    <t>C(H,1)</t>
  </si>
  <si>
    <t>C(H,2)</t>
  </si>
  <si>
    <t>C(H,3)</t>
  </si>
  <si>
    <t>C(H,4)</t>
  </si>
  <si>
    <t>C(H,5)</t>
  </si>
  <si>
    <t>Conception (f)</t>
  </si>
  <si>
    <t>P.CF1_.g</t>
  </si>
  <si>
    <t>Filler(F,0)</t>
  </si>
  <si>
    <t>Filler(F,2)</t>
  </si>
  <si>
    <t>SIG params: 5% conception, see C_L0[2,x]</t>
  </si>
  <si>
    <t>Filler(F,3)</t>
  </si>
  <si>
    <t xml:space="preserve">                  95% conception, see C_L0[3,x]</t>
  </si>
  <si>
    <t>C(F,4)</t>
  </si>
  <si>
    <t>Length of oestrus cycle</t>
  </si>
  <si>
    <t>C(F,5)</t>
  </si>
  <si>
    <t>Mortality</t>
  </si>
  <si>
    <t>Mortality (d)</t>
  </si>
  <si>
    <t>P.CD_0g</t>
  </si>
  <si>
    <t>C(D,0)</t>
  </si>
  <si>
    <t>C(D,1)</t>
  </si>
  <si>
    <t>Mortality: basal rate (Weaners at normal WWt)</t>
  </si>
  <si>
    <t>C(D,2)</t>
  </si>
  <si>
    <t xml:space="preserve">               effect of body condition (daily mortality increase per unit RC)</t>
  </si>
  <si>
    <t>C(D,3)</t>
  </si>
  <si>
    <t xml:space="preserve">                              "                   (threshold RC)</t>
  </si>
  <si>
    <t>Filler(D,4)</t>
  </si>
  <si>
    <t>Pregnancy toxaemia SIG params: 5% loss, see C_L0[4,ls]</t>
  </si>
  <si>
    <t>Filler(D,5)</t>
  </si>
  <si>
    <t xml:space="preserve">                                                 95% loss, see C_L0[5,ls]</t>
  </si>
  <si>
    <t>Filler(D,6)</t>
  </si>
  <si>
    <t>Dystocia SIG prams: 5% loss, see C_L0[6,ls]</t>
  </si>
  <si>
    <t>Filler(D,7)</t>
  </si>
  <si>
    <t xml:space="preserve">                              95% loss, see C_L0[7,ls]</t>
  </si>
  <si>
    <t>C(D,8)</t>
  </si>
  <si>
    <t>Exposure: basal effect</t>
  </si>
  <si>
    <t>Donnelly (1984)</t>
  </si>
  <si>
    <t>C(D,9)</t>
  </si>
  <si>
    <t xml:space="preserve">                  effect of body condition</t>
  </si>
  <si>
    <t>C(D,10)</t>
  </si>
  <si>
    <t xml:space="preserve">                 effect of chilling</t>
  </si>
  <si>
    <t>Filler(D,11)</t>
  </si>
  <si>
    <t>Mortality  effect of progeny number, see C_L0[11,x]</t>
  </si>
  <si>
    <t>C(D,12)</t>
  </si>
  <si>
    <t>Relative difference in weight of dying animals</t>
  </si>
  <si>
    <t>Tech Paper 2012</t>
  </si>
  <si>
    <t>C(D,13)</t>
  </si>
  <si>
    <t>JMY estimate (10% annually)</t>
  </si>
  <si>
    <t>C(D,14)</t>
  </si>
  <si>
    <t>Lower age for reduction in mortality for weaners</t>
  </si>
  <si>
    <t>C(D,15)</t>
  </si>
  <si>
    <t>Upper age for reduction in mortality for weaners</t>
  </si>
  <si>
    <t>C(D,16)</t>
  </si>
  <si>
    <t>Proportion of LWC at which BC starts to impact survival</t>
  </si>
  <si>
    <t>C(D,17)</t>
  </si>
  <si>
    <t>Increase Weaner mortality below LWG cutoff</t>
  </si>
  <si>
    <t>C(D,18)</t>
  </si>
  <si>
    <t>Change in WM with WWt: Lower WWt (% of N MMwt)</t>
  </si>
  <si>
    <t>C(D,19)</t>
  </si>
  <si>
    <t>Change in WM if CD(17,1) WWt</t>
  </si>
  <si>
    <t>C(D,20)</t>
  </si>
  <si>
    <t>Max reduction in mortality due to increased WWt</t>
  </si>
  <si>
    <t>C(D,21)</t>
  </si>
  <si>
    <t>Proportion of dystocia deaths that also result in ewe mortality</t>
  </si>
  <si>
    <t>Age Dam(3D)</t>
  </si>
  <si>
    <t>Dam age effects (e)</t>
  </si>
  <si>
    <t>Len &amp; pos of 3rd axis</t>
  </si>
  <si>
    <t>C(E,0,0)</t>
  </si>
  <si>
    <t>C(E,0,1)</t>
  </si>
  <si>
    <t>C(E,0,2)</t>
  </si>
  <si>
    <t>C(E,0,3)</t>
  </si>
  <si>
    <t>C(E,0,4)</t>
  </si>
  <si>
    <t>C(E,0,5)</t>
  </si>
  <si>
    <t>C(E,0,6)</t>
  </si>
  <si>
    <t>C(E,0,7)</t>
  </si>
  <si>
    <t>C(E,1,0)</t>
  </si>
  <si>
    <t>C(E,1,1)</t>
  </si>
  <si>
    <t>C(E,1,2)</t>
  </si>
  <si>
    <t>C(E,1,3)</t>
  </si>
  <si>
    <t>C(E,1,4)</t>
  </si>
  <si>
    <t>C(E,1,5)</t>
  </si>
  <si>
    <t>C(E,1,6)</t>
  </si>
  <si>
    <t>C(E,1,7)</t>
  </si>
  <si>
    <t>C(E,2,0)</t>
  </si>
  <si>
    <t>C(E,2,1)</t>
  </si>
  <si>
    <t>C(E,2,2)</t>
  </si>
  <si>
    <t>C(E,2,3)</t>
  </si>
  <si>
    <t>C(E,2,4)</t>
  </si>
  <si>
    <t>C(E,2,5)</t>
  </si>
  <si>
    <t>C(E,2,6)</t>
  </si>
  <si>
    <t>C(E,2,7)</t>
  </si>
  <si>
    <t>C(E,3,0)</t>
  </si>
  <si>
    <t>C(E,3,1)</t>
  </si>
  <si>
    <t>C(E,3,2)</t>
  </si>
  <si>
    <t>C(E,3,3)</t>
  </si>
  <si>
    <t>C(E,3,4)</t>
  </si>
  <si>
    <t>C(E,3,5)</t>
  </si>
  <si>
    <t>C(E,3,6)</t>
  </si>
  <si>
    <t>C(E,3,7)</t>
  </si>
  <si>
    <t>C(E,4,0)</t>
  </si>
  <si>
    <t>C(E,4,1)</t>
  </si>
  <si>
    <t>C(E,4,2)</t>
  </si>
  <si>
    <t>C(E,4,3)</t>
  </si>
  <si>
    <t>C(E,4,4)</t>
  </si>
  <si>
    <t>C(E,4,5)</t>
  </si>
  <si>
    <t>C(E,4,6)</t>
  </si>
  <si>
    <t>C(E,4,7)</t>
  </si>
  <si>
    <t>C(E,5,0)</t>
  </si>
  <si>
    <t>C(E,5,1)</t>
  </si>
  <si>
    <t>C(E,5,2)</t>
  </si>
  <si>
    <t>C(E,5,3)</t>
  </si>
  <si>
    <t>C(E,5,4)</t>
  </si>
  <si>
    <t>C(E,5,5)</t>
  </si>
  <si>
    <t>C(E,5,6)</t>
  </si>
  <si>
    <t>C(E,5,7)</t>
  </si>
  <si>
    <t>C(E,6,0)</t>
  </si>
  <si>
    <t>C(E,6,1)</t>
  </si>
  <si>
    <t>C(E,6,2)</t>
  </si>
  <si>
    <t>C(E,6,3)</t>
  </si>
  <si>
    <t>C(E,6,4)</t>
  </si>
  <si>
    <t>C(E,6,5)</t>
  </si>
  <si>
    <t>C(E,6,6)</t>
  </si>
  <si>
    <t>C(E,6,7)</t>
  </si>
  <si>
    <t>C(E,7,0)</t>
  </si>
  <si>
    <t>C(E,7,1)</t>
  </si>
  <si>
    <t>C(E,7,2)</t>
  </si>
  <si>
    <t>C(E,7,3)</t>
  </si>
  <si>
    <t>C(E,7,4)</t>
  </si>
  <si>
    <t>C(E,7,5)</t>
  </si>
  <si>
    <t>C(E,7,6)</t>
  </si>
  <si>
    <t>C(E,7,7)</t>
  </si>
  <si>
    <t>C(E,8,0)</t>
  </si>
  <si>
    <t>C(E,8,1)</t>
  </si>
  <si>
    <t>C(E,8,2)</t>
  </si>
  <si>
    <t>C(E,8,3)</t>
  </si>
  <si>
    <t>C(E,8,4)</t>
  </si>
  <si>
    <t>C(E,8,5)</t>
  </si>
  <si>
    <t>C(E,8,6)</t>
  </si>
  <si>
    <t>C(E,8,7)</t>
  </si>
  <si>
    <t>C(E,9,0)</t>
  </si>
  <si>
    <t>C(E,9,1)</t>
  </si>
  <si>
    <t>C(E,9,2)</t>
  </si>
  <si>
    <t>C(E,9,3)</t>
  </si>
  <si>
    <t>C(E,9,4)</t>
  </si>
  <si>
    <t>C(E,9,5)</t>
  </si>
  <si>
    <t>C(E,9,6)</t>
  </si>
  <si>
    <t>C(E,9,7)</t>
  </si>
  <si>
    <t>C(E,10,0)</t>
  </si>
  <si>
    <t>C(E,10,1)</t>
  </si>
  <si>
    <t>C(E,10,2)</t>
  </si>
  <si>
    <t>C(E,10,3)</t>
  </si>
  <si>
    <t>C(E,10,4)</t>
  </si>
  <si>
    <t>C(E,10,5)</t>
  </si>
  <si>
    <t>C(E,10,6)</t>
  </si>
  <si>
    <t>C(E,10,7)</t>
  </si>
  <si>
    <t>C(E,11,0)</t>
  </si>
  <si>
    <t>C(E,11,1)</t>
  </si>
  <si>
    <t>C(E,11,2)</t>
  </si>
  <si>
    <t>C(E,11,3)</t>
  </si>
  <si>
    <t>C(E,11,4)</t>
  </si>
  <si>
    <t>C(E,11,5)</t>
  </si>
  <si>
    <t>C(E,11,6)</t>
  </si>
  <si>
    <t>C(E,11,7)</t>
  </si>
  <si>
    <t>Values with unknown source</t>
  </si>
  <si>
    <t>C(E,12,0)</t>
  </si>
  <si>
    <t>CFW Yearling dam</t>
  </si>
  <si>
    <t>Addition</t>
  </si>
  <si>
    <t>Estimate for ewe lambs</t>
  </si>
  <si>
    <t>C(E,12,1)</t>
  </si>
  <si>
    <t>C(E,12,2)</t>
  </si>
  <si>
    <t>C(E,12,3)</t>
  </si>
  <si>
    <t>C(E,12,4)</t>
  </si>
  <si>
    <t>C(E,12,5)</t>
  </si>
  <si>
    <t>C(E,12,6)</t>
  </si>
  <si>
    <t>C(E,12,7)</t>
  </si>
  <si>
    <t>C(E,13,0)</t>
  </si>
  <si>
    <t>FD Yearling dam</t>
  </si>
  <si>
    <t>C(E,13,1)</t>
  </si>
  <si>
    <t>C(E,13,2)</t>
  </si>
  <si>
    <t>C(E,13,3)</t>
  </si>
  <si>
    <t>C(E,13,4)</t>
  </si>
  <si>
    <t>C(E,13,5)</t>
  </si>
  <si>
    <t>C(E,13,6)</t>
  </si>
  <si>
    <t>C(E,13,7)</t>
  </si>
  <si>
    <t>C(E,14,0)</t>
  </si>
  <si>
    <t>C(E,14,1)</t>
  </si>
  <si>
    <t>C(E,14,2)</t>
  </si>
  <si>
    <t>C(E,14,3)</t>
  </si>
  <si>
    <t>C(E,14,4)</t>
  </si>
  <si>
    <t>C(E,14,5)</t>
  </si>
  <si>
    <t>C(E,14,6)</t>
  </si>
  <si>
    <t>C(E,14,7)</t>
  </si>
  <si>
    <t>C(E,15,0)</t>
  </si>
  <si>
    <t>Normal BW Yearling dam (multiplier)</t>
  </si>
  <si>
    <t>Scalar</t>
  </si>
  <si>
    <t>See Eqn 60</t>
  </si>
  <si>
    <t>C(E,15,1)</t>
  </si>
  <si>
    <t>C(E,15,2)</t>
  </si>
  <si>
    <t>C(E,15,3)</t>
  </si>
  <si>
    <t>C(E,15,4)</t>
  </si>
  <si>
    <t>C(E,15,5)</t>
  </si>
  <si>
    <t>C(E,15,6)</t>
  </si>
  <si>
    <t>C(E,15,7)</t>
  </si>
  <si>
    <t>C(E,16,0)</t>
  </si>
  <si>
    <t>C(E,16,1)</t>
  </si>
  <si>
    <t>C(E,16,2)</t>
  </si>
  <si>
    <t>C(E,16,3)</t>
  </si>
  <si>
    <t>C(E,16,4)</t>
  </si>
  <si>
    <t>C(E,16,5)</t>
  </si>
  <si>
    <t>C(E,16,6)</t>
  </si>
  <si>
    <t>C(E,16,7)</t>
  </si>
  <si>
    <t>C(E,17,0)</t>
  </si>
  <si>
    <t>WWt adjustment Yearling dam</t>
  </si>
  <si>
    <t>C(E,17,1)</t>
  </si>
  <si>
    <t>C(E,17,2)</t>
  </si>
  <si>
    <t>C(E,17,3)</t>
  </si>
  <si>
    <t>C(E,17,4)</t>
  </si>
  <si>
    <t>C(E,17,5)</t>
  </si>
  <si>
    <t>C(E,17,6)</t>
  </si>
  <si>
    <t>C(E,17,7)</t>
  </si>
  <si>
    <t>C(E,18,0)</t>
  </si>
  <si>
    <t>Progeny growth rate adjustment Yearling dam</t>
  </si>
  <si>
    <t>C(E,18,1)</t>
  </si>
  <si>
    <t>C(E,18,2)</t>
  </si>
  <si>
    <t>C(E,18,3)</t>
  </si>
  <si>
    <t>C(E,18,4)</t>
  </si>
  <si>
    <t>C(E,18,5)</t>
  </si>
  <si>
    <t>C(E,18,6)</t>
  </si>
  <si>
    <t>C(E,18,7)</t>
  </si>
  <si>
    <t>Gender(3D)</t>
  </si>
  <si>
    <t>Gender affected parameters (x)</t>
  </si>
  <si>
    <t>C(X,0,0)</t>
  </si>
  <si>
    <t>C(X,0,1)</t>
  </si>
  <si>
    <t>C(X,0,2)</t>
  </si>
  <si>
    <t>C(X,1,0)</t>
  </si>
  <si>
    <t>C(X,1,1)</t>
  </si>
  <si>
    <t>C(X,1,2)</t>
  </si>
  <si>
    <t>C(X,2,0)</t>
  </si>
  <si>
    <t>C(X,2,1)</t>
  </si>
  <si>
    <t>C(X,2,2)</t>
  </si>
  <si>
    <t>C(X,3,0)</t>
  </si>
  <si>
    <t>C(X,3,1)</t>
  </si>
  <si>
    <t>C(X,3,2)</t>
  </si>
  <si>
    <t>C(X,4,0)</t>
  </si>
  <si>
    <t>C(X,4,1)</t>
  </si>
  <si>
    <t>C(X,4,2)</t>
  </si>
  <si>
    <t>C(X,5,0)</t>
  </si>
  <si>
    <t>C(X,5,1)</t>
  </si>
  <si>
    <t>C(X,5,2)</t>
  </si>
  <si>
    <t>C(X,6,0)</t>
  </si>
  <si>
    <t>C(X,6,1)</t>
  </si>
  <si>
    <t>C(X,6,2)</t>
  </si>
  <si>
    <t>C(X,7,0)</t>
  </si>
  <si>
    <t>C(X,7,1)</t>
  </si>
  <si>
    <t>C(X,7,2)</t>
  </si>
  <si>
    <t>C(X,8,0)</t>
  </si>
  <si>
    <t>Progeny survival adjustment for entire males</t>
  </si>
  <si>
    <t>LTEM review 4.5</t>
  </si>
  <si>
    <t>C(X,8,1)</t>
  </si>
  <si>
    <t>C(X,8,2)</t>
  </si>
  <si>
    <t>C(X,9,0)</t>
  </si>
  <si>
    <t>Progeny survival Chill adjustment for entire males</t>
  </si>
  <si>
    <t>C(X,9,1)</t>
  </si>
  <si>
    <t>C(X,9,2)</t>
  </si>
  <si>
    <t>C(X,10,0)</t>
  </si>
  <si>
    <t>Maintenance factor for entire males</t>
  </si>
  <si>
    <t>C(X,10,1)</t>
  </si>
  <si>
    <t>C(X,10,2)</t>
  </si>
  <si>
    <t>C(X,11,0)</t>
  </si>
  <si>
    <t>C(X,11,1)</t>
  </si>
  <si>
    <t>C(X,11,2)</t>
  </si>
  <si>
    <t>C(X,12,0)</t>
  </si>
  <si>
    <t>CFW adjustment for entire males</t>
  </si>
  <si>
    <t>C(X,12,1)</t>
  </si>
  <si>
    <t>C(X,12,2)</t>
  </si>
  <si>
    <t>C(X,13,0)</t>
  </si>
  <si>
    <t>Progeny FD adjustment for entire males</t>
  </si>
  <si>
    <t>C(X,13,1)</t>
  </si>
  <si>
    <t>LTW Vic combined years</t>
  </si>
  <si>
    <t>C(X,13,2)</t>
  </si>
  <si>
    <t>C(X,14,0)</t>
  </si>
  <si>
    <t>C(X,14,1)</t>
  </si>
  <si>
    <t>C(X,14,2)</t>
  </si>
  <si>
    <t>C(X,15,0)</t>
  </si>
  <si>
    <t>Birth weight scalar for entire males (relative to female SRW)</t>
  </si>
  <si>
    <t>LTW combined (Female = Male - 0.2kg)</t>
  </si>
  <si>
    <t>C(X,15,1)</t>
  </si>
  <si>
    <t>Birth weight scalar for females (relative to female SRW)</t>
  </si>
  <si>
    <t>LTW combined</t>
  </si>
  <si>
    <t>C(X,15,2)</t>
  </si>
  <si>
    <t>C(X,16,0)</t>
  </si>
  <si>
    <t>BW adjustment for entire males</t>
  </si>
  <si>
    <t>C(X,16,1)</t>
  </si>
  <si>
    <t>C(X,16,2)</t>
  </si>
  <si>
    <t>C(X,17,0)</t>
  </si>
  <si>
    <t>WWt adjustment for entire males</t>
  </si>
  <si>
    <t>C(X,17,1)</t>
  </si>
  <si>
    <t>LTW 5.2 with 2003</t>
  </si>
  <si>
    <t>C(X,17,2)</t>
  </si>
  <si>
    <t>C(X,18,0)</t>
  </si>
  <si>
    <t>Progeny growth rate adjustment for entire males</t>
  </si>
  <si>
    <t>C(X,18,1)</t>
  </si>
  <si>
    <t>LTW 5.1 with 2003</t>
  </si>
  <si>
    <t>C(X,18,2)</t>
  </si>
  <si>
    <t>C(X,19,0)</t>
  </si>
  <si>
    <t>C(X,19,1)</t>
  </si>
  <si>
    <t>C(X,19,2)</t>
  </si>
  <si>
    <t>C(X,20,0)</t>
  </si>
  <si>
    <t>Weaner survival adjustment for entire males</t>
  </si>
  <si>
    <t>LTEM review 5.3</t>
  </si>
  <si>
    <t>C(X,20,1)</t>
  </si>
  <si>
    <t>Vic data with 2003</t>
  </si>
  <si>
    <t>C(X,20,2)</t>
  </si>
  <si>
    <t>C(X,21,0)</t>
  </si>
  <si>
    <t>Weaner survival Chill adjustment for entire males</t>
  </si>
  <si>
    <t>C(X,21,1)</t>
  </si>
  <si>
    <t>C(X,21,2)</t>
  </si>
  <si>
    <t>C(X,22,0)</t>
  </si>
  <si>
    <t>C(X,22,1)</t>
  </si>
  <si>
    <t>C(X,22,2)</t>
  </si>
  <si>
    <t>C(X,23,0)</t>
  </si>
  <si>
    <t>Dressing percentage adjustment for entire males</t>
  </si>
  <si>
    <t>C(X,23,1)</t>
  </si>
  <si>
    <t>MLA Sheep Assessment manual</t>
  </si>
  <si>
    <t>C(X,23,2)</t>
  </si>
  <si>
    <t>BTRT(3D)</t>
  </si>
  <si>
    <t>BTRT effect on CFW, FD, WWt * nBW (b0)</t>
  </si>
  <si>
    <t>C(B0,0,0)</t>
  </si>
  <si>
    <t>C(B0,0,1)</t>
  </si>
  <si>
    <t>C(B0,0,2)</t>
  </si>
  <si>
    <t>C(B0,0,3)</t>
  </si>
  <si>
    <t>C(B0,0,4)</t>
  </si>
  <si>
    <t>C(B0,0,5)</t>
  </si>
  <si>
    <t>C(B0,1,0)</t>
  </si>
  <si>
    <t>C(B0,1,1)</t>
  </si>
  <si>
    <t>C(B0,1,2)</t>
  </si>
  <si>
    <t>C(B0,1,3)</t>
  </si>
  <si>
    <t>C(B0,1,4)</t>
  </si>
  <si>
    <t>C(B0,1,5)</t>
  </si>
  <si>
    <t>C(B0,2,0)</t>
  </si>
  <si>
    <t>C(B0,2,1)</t>
  </si>
  <si>
    <t>C(B0,2,2)</t>
  </si>
  <si>
    <t>C(B0,2,3)</t>
  </si>
  <si>
    <t>C(B0,2,4)</t>
  </si>
  <si>
    <t>C(B0,2,5)</t>
  </si>
  <si>
    <t>C(B0,3,0)</t>
  </si>
  <si>
    <t>C(B0,3,1)</t>
  </si>
  <si>
    <t>C(B0,3,2)</t>
  </si>
  <si>
    <t>C(B0,3,3)</t>
  </si>
  <si>
    <t>C(B0,3,4)</t>
  </si>
  <si>
    <t>C(B0,3,5)</t>
  </si>
  <si>
    <t>C(B0,4,0)</t>
  </si>
  <si>
    <t>C(B0,4,1)</t>
  </si>
  <si>
    <t>C(B0,4,2)</t>
  </si>
  <si>
    <t>C(B0,4,3)</t>
  </si>
  <si>
    <t>C(B0,4,4)</t>
  </si>
  <si>
    <t>C(B0,4,5)</t>
  </si>
  <si>
    <t>C(B0,5,0)</t>
  </si>
  <si>
    <t>C(B0,5,1)</t>
  </si>
  <si>
    <t>C(B0,5,2)</t>
  </si>
  <si>
    <t>C(B0,5,3)</t>
  </si>
  <si>
    <t>C(B0,5,4)</t>
  </si>
  <si>
    <t>C(B0,5,5)</t>
  </si>
  <si>
    <t>C(B0,6,0)</t>
  </si>
  <si>
    <t>C(B0,6,1)</t>
  </si>
  <si>
    <t>C(B0,6,2)</t>
  </si>
  <si>
    <t>C(B0,6,3)</t>
  </si>
  <si>
    <t>C(B0,6,4)</t>
  </si>
  <si>
    <t>C(B0,6,5)</t>
  </si>
  <si>
    <t>C(B0,7,0)</t>
  </si>
  <si>
    <t>C(B0,7,1)</t>
  </si>
  <si>
    <t>C(B0,7,2)</t>
  </si>
  <si>
    <t>C(B0,7,3)</t>
  </si>
  <si>
    <t>C(B0,7,4)</t>
  </si>
  <si>
    <t>C(B0,7,5)</t>
  </si>
  <si>
    <t>C(B0,8,0)</t>
  </si>
  <si>
    <t>Progeny survival at birth: BTRT adjustment 11</t>
  </si>
  <si>
    <t>From Litter size parameters</t>
  </si>
  <si>
    <t>C(B0,8,1)</t>
  </si>
  <si>
    <t xml:space="preserve">                               BTRT adjustment 22</t>
  </si>
  <si>
    <t>C(B0,8,2)</t>
  </si>
  <si>
    <t xml:space="preserve">                               BTRT adjustment 33</t>
  </si>
  <si>
    <t>C(B0,8,3)</t>
  </si>
  <si>
    <t xml:space="preserve">                               BTRT adjustment 21</t>
  </si>
  <si>
    <t>C(B0,8,4)</t>
  </si>
  <si>
    <t xml:space="preserve">                               BTRT adjustment 32</t>
  </si>
  <si>
    <t>C(B0,8,5)</t>
  </si>
  <si>
    <t xml:space="preserve">                               BTRT adjustment 31</t>
  </si>
  <si>
    <t>C(B0,9,0)</t>
  </si>
  <si>
    <t>C(B0,9,1)</t>
  </si>
  <si>
    <t>C(B0,9,2)</t>
  </si>
  <si>
    <t>C(B0,9,3)</t>
  </si>
  <si>
    <t>C(B0,9,4)</t>
  </si>
  <si>
    <t>C(B0,9,5)</t>
  </si>
  <si>
    <t>C(B0,10,0)</t>
  </si>
  <si>
    <t>C(B0,10,1)</t>
  </si>
  <si>
    <t>C(B0,10,2)</t>
  </si>
  <si>
    <t>C(B0,10,3)</t>
  </si>
  <si>
    <t>C(B0,10,4)</t>
  </si>
  <si>
    <t>C(B0,10,5)</t>
  </si>
  <si>
    <t>C(B0,11,0)</t>
  </si>
  <si>
    <t>C(B0,11,1)</t>
  </si>
  <si>
    <t>C(B0,11,2)</t>
  </si>
  <si>
    <t>C(B0,11,3)</t>
  </si>
  <si>
    <t>C(B0,11,4)</t>
  </si>
  <si>
    <t>C(B0,11,5)</t>
  </si>
  <si>
    <t>C(B0,12,0)</t>
  </si>
  <si>
    <t>CFW BTRT adjustment 11</t>
  </si>
  <si>
    <t>LTW Vic Combined with 2003</t>
  </si>
  <si>
    <t>C(B0,12,1)</t>
  </si>
  <si>
    <t xml:space="preserve">         BTRT adjustment 22</t>
  </si>
  <si>
    <t>Different to the AWI review spreadsheet</t>
  </si>
  <si>
    <t>C(B0,12,2)</t>
  </si>
  <si>
    <t xml:space="preserve">          BTRT adjustment 33</t>
  </si>
  <si>
    <t>Need triplet data</t>
  </si>
  <si>
    <t>C(B0,12,3)</t>
  </si>
  <si>
    <t xml:space="preserve">          BTRT adjustment 21</t>
  </si>
  <si>
    <t xml:space="preserve">   see 4.10</t>
  </si>
  <si>
    <t>C(B0,12,4)</t>
  </si>
  <si>
    <t xml:space="preserve">          BTRT adjustment 32</t>
  </si>
  <si>
    <t>C(B0,12,5)</t>
  </si>
  <si>
    <t xml:space="preserve">          BTRT adjustment 31</t>
  </si>
  <si>
    <t>C(B0,13,0)</t>
  </si>
  <si>
    <t>FD BTRT adjustment 11</t>
  </si>
  <si>
    <t>µ</t>
  </si>
  <si>
    <t>C(B0,13,1)</t>
  </si>
  <si>
    <t xml:space="preserve">       BTRT adjustment 22</t>
  </si>
  <si>
    <t>C(B0,13,2)</t>
  </si>
  <si>
    <t xml:space="preserve">       BTRT adjustment 33</t>
  </si>
  <si>
    <t>C(B0,13,3)</t>
  </si>
  <si>
    <t xml:space="preserve">       BTRT adjustment 21</t>
  </si>
  <si>
    <t xml:space="preserve">   see 4.11</t>
  </si>
  <si>
    <t>C(B0,13,4)</t>
  </si>
  <si>
    <t xml:space="preserve">       BTRT adjustment 32</t>
  </si>
  <si>
    <t>C(B0,13,5)</t>
  </si>
  <si>
    <t xml:space="preserve">       BTRT adjustment 31</t>
  </si>
  <si>
    <t>C(B0,14,0)</t>
  </si>
  <si>
    <t>C(B0,14,1)</t>
  </si>
  <si>
    <t>C(B0,14,2)</t>
  </si>
  <si>
    <t>C(B0,14,3)</t>
  </si>
  <si>
    <t>C(B0,14,4)</t>
  </si>
  <si>
    <t>C(B0,14,5)</t>
  </si>
  <si>
    <t>C(B0,15,0)</t>
  </si>
  <si>
    <t>Normal birth weight:SRW for young no.:  BTRT 11</t>
  </si>
  <si>
    <t>C(B0,15,1)</t>
  </si>
  <si>
    <t xml:space="preserve">                                                              BTRT 22</t>
  </si>
  <si>
    <t>C(B0,15,2)</t>
  </si>
  <si>
    <t xml:space="preserve">                                                              BTRT 33</t>
  </si>
  <si>
    <t>C(B0,15,3)</t>
  </si>
  <si>
    <t xml:space="preserve">                                                              BTRT 21</t>
  </si>
  <si>
    <t>C(B0,15,4)</t>
  </si>
  <si>
    <t xml:space="preserve">                                                              BTRT 32</t>
  </si>
  <si>
    <t>C(B0,15,5)</t>
  </si>
  <si>
    <t xml:space="preserve">                                                              BTRT 31</t>
  </si>
  <si>
    <t>C(B0,16,0)</t>
  </si>
  <si>
    <t>Birth weight BTRT adjustment 11</t>
  </si>
  <si>
    <t>C(B0,16,1)</t>
  </si>
  <si>
    <t xml:space="preserve">                             adjustment 22</t>
  </si>
  <si>
    <t>C(B0,16,2)</t>
  </si>
  <si>
    <t xml:space="preserve">                             adjustment 33</t>
  </si>
  <si>
    <t>C(B0,16,3)</t>
  </si>
  <si>
    <t xml:space="preserve">                             adjustment 21</t>
  </si>
  <si>
    <t>C(B0,16,4)</t>
  </si>
  <si>
    <t xml:space="preserve">                             adjustment 32</t>
  </si>
  <si>
    <t>C(B0,16,5)</t>
  </si>
  <si>
    <t xml:space="preserve">                             adjustment 31</t>
  </si>
  <si>
    <t>C(B0,17,0)</t>
  </si>
  <si>
    <t>Weaning weight BTRT adjustment 11</t>
  </si>
  <si>
    <t>C(B0,17,1)</t>
  </si>
  <si>
    <t xml:space="preserve">                         BTRT adjustment 22</t>
  </si>
  <si>
    <t>C(B0,17,2)</t>
  </si>
  <si>
    <t xml:space="preserve">                         BTRT adjustment 33</t>
  </si>
  <si>
    <t>Triplet values would be useful</t>
  </si>
  <si>
    <t>C(B0,17,3)</t>
  </si>
  <si>
    <t xml:space="preserve">                         BTRT adjustment 21</t>
  </si>
  <si>
    <t>C(B0,17,4)</t>
  </si>
  <si>
    <t xml:space="preserve">                         BTRT adjustment 32</t>
  </si>
  <si>
    <t>C(B0,17,5)</t>
  </si>
  <si>
    <t xml:space="preserve">                         BTRT adjustment 31</t>
  </si>
  <si>
    <t>C(B0,18,0)</t>
  </si>
  <si>
    <t>Progeny growth rate to weaning BTRT adjustment 11</t>
  </si>
  <si>
    <t>C(B0,18,1)</t>
  </si>
  <si>
    <t xml:space="preserve">                                                BTRT adjustment 22</t>
  </si>
  <si>
    <t>C(B0,18,2)</t>
  </si>
  <si>
    <t xml:space="preserve">                                                BTRT adjustment 33</t>
  </si>
  <si>
    <t>C(B0,18,3)</t>
  </si>
  <si>
    <t xml:space="preserve">                                                BTRT adjustment 21</t>
  </si>
  <si>
    <t>C(B0,18,4)</t>
  </si>
  <si>
    <t xml:space="preserve">                                                BTRT adjustment 32</t>
  </si>
  <si>
    <t>C(B0,18,5)</t>
  </si>
  <si>
    <t xml:space="preserve">                                                BTRT adjustment 31</t>
  </si>
  <si>
    <t>Litter size(3D)</t>
  </si>
  <si>
    <t>Litter size affected parameters (l0 → b1)</t>
  </si>
  <si>
    <t>C(L0,0,0)</t>
  </si>
  <si>
    <t>Not used                                                  :  0 young</t>
  </si>
  <si>
    <t>C(L0,0,1)</t>
  </si>
  <si>
    <t xml:space="preserve">                                                                  1 young</t>
  </si>
  <si>
    <t>C(L0,0,2)</t>
  </si>
  <si>
    <t xml:space="preserve">                                                                  2 young</t>
  </si>
  <si>
    <t>C(L0,0,3)</t>
  </si>
  <si>
    <t xml:space="preserve">                                                                  3 young</t>
  </si>
  <si>
    <t>C(L0,1,0)</t>
  </si>
  <si>
    <t>Conception, effect of time of year: 0 young</t>
  </si>
  <si>
    <t>A value to ensure conception = 1</t>
  </si>
  <si>
    <t>C(L0,1,1)</t>
  </si>
  <si>
    <t xml:space="preserve">                                                    1 young</t>
  </si>
  <si>
    <t>Freer et al. 1997</t>
  </si>
  <si>
    <t>C(L0,1,2)</t>
  </si>
  <si>
    <t xml:space="preserve">                                                    2 young</t>
  </si>
  <si>
    <t>C(L0,1,3)</t>
  </si>
  <si>
    <t xml:space="preserve">                                                    3 young</t>
  </si>
  <si>
    <t>P.CF2_0g</t>
  </si>
  <si>
    <t>C(L0,2,0)</t>
  </si>
  <si>
    <t>SIG params for effect of size and condition: 5% conception: 0 young</t>
  </si>
  <si>
    <t>C(L0,2,1)</t>
  </si>
  <si>
    <t xml:space="preserve">                                                                                        1 young</t>
  </si>
  <si>
    <t>Freer et al. 1997 (Cattle explorer)</t>
  </si>
  <si>
    <t>C(L0,2,2)</t>
  </si>
  <si>
    <t xml:space="preserve">                                                                                        2 young</t>
  </si>
  <si>
    <t>C(L0,2,3)</t>
  </si>
  <si>
    <t xml:space="preserve">                                                                                        3 young</t>
  </si>
  <si>
    <t>converted from the Tech paper 2012</t>
  </si>
  <si>
    <t>P.CF3_0g</t>
  </si>
  <si>
    <t>C(L0,3,0)</t>
  </si>
  <si>
    <t xml:space="preserve">                                                              95% conception: 0 young</t>
  </si>
  <si>
    <t>C(L0,3,1)</t>
  </si>
  <si>
    <t>C(L0,3,2)</t>
  </si>
  <si>
    <t>C(L0,3,3)</t>
  </si>
  <si>
    <t>P.CD4_0g</t>
  </si>
  <si>
    <t>C(L0,4,0)</t>
  </si>
  <si>
    <t>SIG params for Preg Tox: 5% mortality: 0 young</t>
  </si>
  <si>
    <t>A value to ensure 0 deaths</t>
  </si>
  <si>
    <t>C(L0,4,1)</t>
  </si>
  <si>
    <t xml:space="preserve">                                                               1 young</t>
  </si>
  <si>
    <t>C(L0,4,2)</t>
  </si>
  <si>
    <t xml:space="preserve">                                                               2 young</t>
  </si>
  <si>
    <t>LWC over 42d/nw</t>
  </si>
  <si>
    <t>Converted from Tech 2012</t>
  </si>
  <si>
    <t>C(L0,4,3)</t>
  </si>
  <si>
    <t xml:space="preserve">                                                               3 young</t>
  </si>
  <si>
    <t>to Sheep Exp sig &amp; daily LWL</t>
  </si>
  <si>
    <t>P.CD5_0g</t>
  </si>
  <si>
    <t>C(L0,5,0)</t>
  </si>
  <si>
    <t xml:space="preserve">                                      95% mortality: 0 young</t>
  </si>
  <si>
    <t>C(L0,5,1)</t>
  </si>
  <si>
    <t>C(L0,5,2)</t>
  </si>
  <si>
    <t>C(L0,5,3)</t>
  </si>
  <si>
    <t>P.CD6_0g</t>
  </si>
  <si>
    <t>C(L0,6,0)</t>
  </si>
  <si>
    <t>SIG params for Dystocia:  5% mortality: 0 young</t>
  </si>
  <si>
    <t>C(L0,6,1)</t>
  </si>
  <si>
    <t>C(L0,6,2)</t>
  </si>
  <si>
    <t>C(L0,6,3)</t>
  </si>
  <si>
    <t>P.CD7_0g</t>
  </si>
  <si>
    <t>C(L0,7,0)</t>
  </si>
  <si>
    <t>C(L0,7,1)</t>
  </si>
  <si>
    <t>C(L0,7,2)</t>
  </si>
  <si>
    <t>C(L0,7,3)</t>
  </si>
  <si>
    <t>C(L0,8,0)</t>
  </si>
  <si>
    <t>Progeny survival at birth: 0 young</t>
  </si>
  <si>
    <t>C(L0,8,1)</t>
  </si>
  <si>
    <t xml:space="preserve">                                      1 young</t>
  </si>
  <si>
    <t>C(L0,8,2)</t>
  </si>
  <si>
    <t xml:space="preserve">                                      2 young</t>
  </si>
  <si>
    <t>C(L0,8,3)</t>
  </si>
  <si>
    <t xml:space="preserve">                                      3 young</t>
  </si>
  <si>
    <t>C(L0,9,0)</t>
  </si>
  <si>
    <t>C(L0,9,1)</t>
  </si>
  <si>
    <t>C(L0,9,2)</t>
  </si>
  <si>
    <t>C(L0,9,3)</t>
  </si>
  <si>
    <t>C(L0,10,0)</t>
  </si>
  <si>
    <t>C(L0,10,1)</t>
  </si>
  <si>
    <t>C(L0,10,2)</t>
  </si>
  <si>
    <t>C(L0,10,3)</t>
  </si>
  <si>
    <t>P.CD11_0g</t>
  </si>
  <si>
    <t>C(L0,11,0)</t>
  </si>
  <si>
    <t>Exposure at birth, effect of progeny number:  0 young</t>
  </si>
  <si>
    <t>C(L0,11,1)</t>
  </si>
  <si>
    <t>C(L0,11,2)</t>
  </si>
  <si>
    <t>C(L0,11,3)</t>
  </si>
  <si>
    <t>C(L0,12,0)</t>
  </si>
  <si>
    <t>Created from b0:  Progeny CFW (BTRT)     0 young</t>
  </si>
  <si>
    <t>C(L0,12,1)</t>
  </si>
  <si>
    <t>C(L0,12,2)</t>
  </si>
  <si>
    <t>C(L0,12,3)</t>
  </si>
  <si>
    <t>C(L0,13,0)</t>
  </si>
  <si>
    <t>Created from b0:  Progeny FD (BTRT)     0 young</t>
  </si>
  <si>
    <t>C(L0,13,1)</t>
  </si>
  <si>
    <t>C(L0,13,2)</t>
  </si>
  <si>
    <t>C(L0,13,3)</t>
  </si>
  <si>
    <t>C(L0,14,0)</t>
  </si>
  <si>
    <t>Correction of foetal growth for poor dam condition: 0 young</t>
  </si>
  <si>
    <t>C(L0,14,1)</t>
  </si>
  <si>
    <t xml:space="preserve">                                                                            1 young</t>
  </si>
  <si>
    <t>C(L0,14,2)</t>
  </si>
  <si>
    <t xml:space="preserve">                                                                            2 young</t>
  </si>
  <si>
    <t>C(L0,14,3)</t>
  </si>
  <si>
    <t xml:space="preserve">                                                                            3 young</t>
  </si>
  <si>
    <t>C(L0,15,0)</t>
  </si>
  <si>
    <t>Normal birth weight:SRW for young no.:     0 young</t>
  </si>
  <si>
    <t>C(L0,15,1)</t>
  </si>
  <si>
    <t xml:space="preserve">                                                                1 young</t>
  </si>
  <si>
    <t>C(L0,15,2)</t>
  </si>
  <si>
    <t xml:space="preserve">                                                                2 young</t>
  </si>
  <si>
    <t>C(L0,15,3)</t>
  </si>
  <si>
    <t xml:space="preserve">                                                                3 young</t>
  </si>
  <si>
    <t>C(L0,16,0)</t>
  </si>
  <si>
    <t>Birth weight BTRT adjustment: 0 young</t>
  </si>
  <si>
    <t>C(L0,16,1)</t>
  </si>
  <si>
    <t xml:space="preserve">                                               1 young</t>
  </si>
  <si>
    <t>C(L0,16,2)</t>
  </si>
  <si>
    <t xml:space="preserve">                                               2 young</t>
  </si>
  <si>
    <t>C(L0,16,3)</t>
  </si>
  <si>
    <t xml:space="preserve">                                               3 young</t>
  </si>
  <si>
    <t>C(L0,17,0)</t>
  </si>
  <si>
    <t>Created from b0: Progeny WWt                   0 young</t>
  </si>
  <si>
    <t>C(L0,17,1)</t>
  </si>
  <si>
    <t>C(L0,17,2)</t>
  </si>
  <si>
    <t>C(L0,17,3)</t>
  </si>
  <si>
    <t>C(L0,18,0)</t>
  </si>
  <si>
    <t>Created from b0: Progeny growth rate to weaning  0 young</t>
  </si>
  <si>
    <t>C(L0,18,1)</t>
  </si>
  <si>
    <t xml:space="preserve">                                                                           1 young</t>
  </si>
  <si>
    <t>C(L0,18,2)</t>
  </si>
  <si>
    <t xml:space="preserve">                                                                           2 young</t>
  </si>
  <si>
    <t>C(L0,18,3)</t>
  </si>
  <si>
    <t xml:space="preserve">                                                                           3 young</t>
  </si>
  <si>
    <t>C(L0,19,0)</t>
  </si>
  <si>
    <t>C(L0,19,1)</t>
  </si>
  <si>
    <t>C(L0,19,2)</t>
  </si>
  <si>
    <t>C(L0,19,3)</t>
  </si>
  <si>
    <t>Lactation number</t>
  </si>
  <si>
    <t>Lactation number affected parameters (l1 → b1)</t>
  </si>
  <si>
    <t>C(L1,0,0)</t>
  </si>
  <si>
    <t>Peak yield scalar if suckling: for 0 young</t>
  </si>
  <si>
    <t>A value to ensure no milk poroduced</t>
  </si>
  <si>
    <t>C(L1,0,1)</t>
  </si>
  <si>
    <t>Peak yield scalar if suckling: for 1 young</t>
  </si>
  <si>
    <t xml:space="preserve">                                           for 2 young</t>
  </si>
  <si>
    <t>C(L1,0,3)</t>
  </si>
  <si>
    <t xml:space="preserve">                                           for 3 young</t>
  </si>
  <si>
    <t>C(L1,1,0)</t>
  </si>
  <si>
    <t>C(L1,1,1)</t>
  </si>
  <si>
    <t>C(L1,1,2)</t>
  </si>
  <si>
    <t>C(L1,1,3)</t>
  </si>
  <si>
    <t>C(L1,2,0)</t>
  </si>
  <si>
    <t>C(L1,2,1)</t>
  </si>
  <si>
    <t>C(L1,2,2)</t>
  </si>
  <si>
    <t>C(L1,2,3)</t>
  </si>
  <si>
    <t>C(L1,3,0)</t>
  </si>
  <si>
    <t>C(L1,3,1)</t>
  </si>
  <si>
    <t>C(L1,3,2)</t>
  </si>
  <si>
    <t>C(L1,3,3)</t>
  </si>
  <si>
    <t>C(L1,4,0)</t>
  </si>
  <si>
    <t>C(L1,4,1)</t>
  </si>
  <si>
    <t>C(L1,4,2)</t>
  </si>
  <si>
    <t>C(L1,4,3)</t>
  </si>
  <si>
    <t>C(L1,5,0)</t>
  </si>
  <si>
    <t>C(L1,5,1)</t>
  </si>
  <si>
    <t>C(L1,5,2)</t>
  </si>
  <si>
    <t>C(L1,5,3)</t>
  </si>
  <si>
    <t>C(L1,6,0)</t>
  </si>
  <si>
    <t>C(L1,6,1)</t>
  </si>
  <si>
    <t>C(L1,6,2)</t>
  </si>
  <si>
    <t>C(L1,6,3)</t>
  </si>
  <si>
    <t>C(L1,7,0)</t>
  </si>
  <si>
    <t>C(L1,7,1)</t>
  </si>
  <si>
    <t>C(L1,7,2)</t>
  </si>
  <si>
    <t>C(L1,7,3)</t>
  </si>
  <si>
    <t>C(L1,8,0)</t>
  </si>
  <si>
    <t>C(L1,8,1)</t>
  </si>
  <si>
    <t>C(L1,8,2)</t>
  </si>
  <si>
    <t>C(L1,8,3)</t>
  </si>
  <si>
    <t>C(L1,9,0)</t>
  </si>
  <si>
    <t>C(L1,9,1)</t>
  </si>
  <si>
    <t>C(L1,9,2)</t>
  </si>
  <si>
    <t>C(L1,9,3)</t>
  </si>
  <si>
    <t>C(L1,10,0)</t>
  </si>
  <si>
    <t>C(L1,10,1)</t>
  </si>
  <si>
    <t>C(L1,10,2)</t>
  </si>
  <si>
    <t>C(L1,10,3)</t>
  </si>
  <si>
    <t>C(L1,11,0)</t>
  </si>
  <si>
    <t>C(L1,11,1)</t>
  </si>
  <si>
    <t>C(L1,11,2)</t>
  </si>
  <si>
    <t>C(L1,11,3)</t>
  </si>
  <si>
    <t>C(L1,12,0)</t>
  </si>
  <si>
    <t>C(L1,12,1)</t>
  </si>
  <si>
    <t>C(L1,12,2)</t>
  </si>
  <si>
    <t>C(L1,12,3)</t>
  </si>
  <si>
    <t>C(L1,13,0)</t>
  </si>
  <si>
    <t>C(L1,13,1)</t>
  </si>
  <si>
    <t>C(L1,13,2)</t>
  </si>
  <si>
    <t>C(L1,13,3)</t>
  </si>
  <si>
    <t>C(L1,14,0)</t>
  </si>
  <si>
    <t>C(L1,14,1)</t>
  </si>
  <si>
    <t>C(L1,14,2)</t>
  </si>
  <si>
    <t>C(L1,14,3)</t>
  </si>
  <si>
    <t>C(L1,15,0)</t>
  </si>
  <si>
    <t>C(L1,15,1)</t>
  </si>
  <si>
    <t>C(L1,15,2)</t>
  </si>
  <si>
    <t>C(L1,15,3)</t>
  </si>
  <si>
    <t>C(L1,16,0)</t>
  </si>
  <si>
    <t>C(L1,16,1)</t>
  </si>
  <si>
    <t>C(L1,16,2)</t>
  </si>
  <si>
    <t>C(L1,16,3)</t>
  </si>
  <si>
    <t>C(L1,17,0)</t>
  </si>
  <si>
    <t>C(L1,17,1)</t>
  </si>
  <si>
    <t>C(L1,17,2)</t>
  </si>
  <si>
    <t>C(L1,17,3)</t>
  </si>
  <si>
    <t>C(L1,18,0)</t>
  </si>
  <si>
    <t>C(L1,18,1)</t>
  </si>
  <si>
    <t>C(L1,18,2)</t>
  </si>
  <si>
    <t>C(L1,18,3)</t>
  </si>
  <si>
    <t>P.CI19_.g</t>
  </si>
  <si>
    <t>C(L1,19,0)</t>
  </si>
  <si>
    <t>Effect of lactation - peak intake level - 0 young</t>
  </si>
  <si>
    <t>A value to ensure no increase in PI</t>
  </si>
  <si>
    <t>C(L1,19,1)</t>
  </si>
  <si>
    <t>Effect of lactation - peak intake level - 1 young</t>
  </si>
  <si>
    <t>C(L1,19,2)</t>
  </si>
  <si>
    <t xml:space="preserve">                                                       - 2 young</t>
  </si>
  <si>
    <t>C(L1,19,3)</t>
  </si>
  <si>
    <t xml:space="preserve">                                                       - 3 young</t>
  </si>
  <si>
    <t>LTW</t>
  </si>
  <si>
    <t>Murdoch University parameters (u0)</t>
  </si>
  <si>
    <t>P.CU0_.g</t>
  </si>
  <si>
    <t>C(U0,0)</t>
  </si>
  <si>
    <t>Relative availablility: FOO (kg/ha)</t>
  </si>
  <si>
    <t>C(U0,1)</t>
  </si>
  <si>
    <t>% of normal weight</t>
  </si>
  <si>
    <t>LTW &amp; LMAT</t>
  </si>
  <si>
    <t>C(U0,2)</t>
  </si>
  <si>
    <t>LTW linear reproduction: Slope on DOY = 0</t>
  </si>
  <si>
    <t>C(U0,3)</t>
  </si>
  <si>
    <t xml:space="preserve">                                      Increase to peak</t>
  </si>
  <si>
    <t>C(U0,4)</t>
  </si>
  <si>
    <t xml:space="preserve">                                      Minimum slope</t>
  </si>
  <si>
    <t>Murdoch University parameters (u1) - progeny production (increment, not transformed)</t>
  </si>
  <si>
    <t>C(U1,0,0)</t>
  </si>
  <si>
    <t>C(U1,0,2)</t>
  </si>
  <si>
    <t xml:space="preserve">                                             during early preg</t>
  </si>
  <si>
    <t xml:space="preserve">                                             during late preg</t>
  </si>
  <si>
    <t>C(U1,0,4)</t>
  </si>
  <si>
    <t xml:space="preserve">                                             during lactation</t>
  </si>
  <si>
    <t xml:space="preserve">                     Linear 2</t>
  </si>
  <si>
    <t>C(U1,0,6)</t>
  </si>
  <si>
    <t xml:space="preserve">                     Quadratic 2</t>
  </si>
  <si>
    <t>C(U1,0,-1)</t>
  </si>
  <si>
    <t xml:space="preserve">                     intercept</t>
  </si>
  <si>
    <t>C(U1,1,0)</t>
  </si>
  <si>
    <t>C(U1,1,1)</t>
  </si>
  <si>
    <t>C(U1,1,2)</t>
  </si>
  <si>
    <t>C(U1,1,3)</t>
  </si>
  <si>
    <t>C(U1,1,4)</t>
  </si>
  <si>
    <t>C(U1,1,5)</t>
  </si>
  <si>
    <t>C(U1,1,6)</t>
  </si>
  <si>
    <t>C(U1,1,-1)</t>
  </si>
  <si>
    <t>C(U1,2,0)</t>
  </si>
  <si>
    <t>C(U1,2,1)</t>
  </si>
  <si>
    <t>C(U1,2,2)</t>
  </si>
  <si>
    <t>C(U1,2,3)</t>
  </si>
  <si>
    <t>C(U1,2,4)</t>
  </si>
  <si>
    <t>C(U1,2,5)</t>
  </si>
  <si>
    <t>C(U1,2,6)</t>
  </si>
  <si>
    <t>C(U1,2,-1)</t>
  </si>
  <si>
    <t>C(U1,3,0)</t>
  </si>
  <si>
    <t>C(U1,3,1)</t>
  </si>
  <si>
    <t>C(U1,3,2)</t>
  </si>
  <si>
    <t>C(U1,3,3)</t>
  </si>
  <si>
    <t>C(U1,3,4)</t>
  </si>
  <si>
    <t>C(U1,3,5)</t>
  </si>
  <si>
    <t>C(U1,3,6)</t>
  </si>
  <si>
    <t>C(U1,3,-1)</t>
  </si>
  <si>
    <t>C(U1,4,0)</t>
  </si>
  <si>
    <t>C(U1,4,1)</t>
  </si>
  <si>
    <t>C(U1,4,2)</t>
  </si>
  <si>
    <t>C(U1,4,3)</t>
  </si>
  <si>
    <t>C(U1,4,4)</t>
  </si>
  <si>
    <t>C(U1,4,5)</t>
  </si>
  <si>
    <t>C(U1,4,6)</t>
  </si>
  <si>
    <t>C(U1,4,-1)</t>
  </si>
  <si>
    <t>C(U1,5,0)</t>
  </si>
  <si>
    <t>C(U1,5,1)</t>
  </si>
  <si>
    <t>C(U1,5,2)</t>
  </si>
  <si>
    <t>C(U1,5,3)</t>
  </si>
  <si>
    <t>C(U1,5,4)</t>
  </si>
  <si>
    <t>C(U1,5,5)</t>
  </si>
  <si>
    <t>C(U1,5,6)</t>
  </si>
  <si>
    <t>C(U1,5,-1)</t>
  </si>
  <si>
    <t>C(U1,6,0)</t>
  </si>
  <si>
    <t>C(U1,6,1)</t>
  </si>
  <si>
    <t>C(U1,6,2)</t>
  </si>
  <si>
    <t>C(U1,6,3)</t>
  </si>
  <si>
    <t>C(U1,6,4)</t>
  </si>
  <si>
    <t>C(U1,6,5)</t>
  </si>
  <si>
    <t>C(U1,6,6)</t>
  </si>
  <si>
    <t>C(U1,6,-1)</t>
  </si>
  <si>
    <t>C(U1,7,0)</t>
  </si>
  <si>
    <t>C(U1,7,1)</t>
  </si>
  <si>
    <t>C(U1,7,2)</t>
  </si>
  <si>
    <t>C(U1,7,3)</t>
  </si>
  <si>
    <t>C(U1,7,4)</t>
  </si>
  <si>
    <t>C(U1,7,5)</t>
  </si>
  <si>
    <t>C(U1,7,6)</t>
  </si>
  <si>
    <t>C(U1,7,-1)</t>
  </si>
  <si>
    <t>C(U1,8,0)</t>
  </si>
  <si>
    <t>C(U1,8,1)</t>
  </si>
  <si>
    <t>C(U1,8,2)</t>
  </si>
  <si>
    <t>C(U1,8,3)</t>
  </si>
  <si>
    <t>C(U1,8,4)</t>
  </si>
  <si>
    <t>C(U1,8,5)</t>
  </si>
  <si>
    <t>C(U1,8,6)</t>
  </si>
  <si>
    <t>C(U1,8,-1)</t>
  </si>
  <si>
    <t>C(U1,9,0)</t>
  </si>
  <si>
    <t>C(U1,9,1)</t>
  </si>
  <si>
    <t>C(U1,9,2)</t>
  </si>
  <si>
    <t>C(U1,9,3)</t>
  </si>
  <si>
    <t>C(U1,9,4)</t>
  </si>
  <si>
    <t>C(U1,9,5)</t>
  </si>
  <si>
    <t>C(U1,9,6)</t>
  </si>
  <si>
    <t>C(U1,9,-1)</t>
  </si>
  <si>
    <t>C(U1,10,0)</t>
  </si>
  <si>
    <t>C(U1,10,1)</t>
  </si>
  <si>
    <t>C(U1,10,2)</t>
  </si>
  <si>
    <t>C(U1,10,3)</t>
  </si>
  <si>
    <t>C(U1,10,4)</t>
  </si>
  <si>
    <t>C(U1,10,5)</t>
  </si>
  <si>
    <t>C(U1,10,6)</t>
  </si>
  <si>
    <t>C(U1,10,-1)</t>
  </si>
  <si>
    <t>C(U1,11,0)</t>
  </si>
  <si>
    <t>C(U1,11,1)</t>
  </si>
  <si>
    <t>C(U1,11,2)</t>
  </si>
  <si>
    <t>C(U1,11,3)</t>
  </si>
  <si>
    <t>C(U1,11,4)</t>
  </si>
  <si>
    <t>C(U1,11,5)</t>
  </si>
  <si>
    <t>C(U1,11,6)</t>
  </si>
  <si>
    <t>C(U1,11,-1)</t>
  </si>
  <si>
    <t>C(U1,12,0)</t>
  </si>
  <si>
    <t>Progeny CFW: Dam LW at birth</t>
  </si>
  <si>
    <t>LTW 4.10</t>
  </si>
  <si>
    <t>C(U1,12,1)</t>
  </si>
  <si>
    <t xml:space="preserve">                         Dam LWC during joining</t>
  </si>
  <si>
    <t>C(U1,12,2)</t>
  </si>
  <si>
    <t xml:space="preserve">                                          during early preg</t>
  </si>
  <si>
    <t>C(U1,12,3)</t>
  </si>
  <si>
    <t xml:space="preserve">                                          during late preg</t>
  </si>
  <si>
    <t>C(U1,12,4)</t>
  </si>
  <si>
    <t xml:space="preserve">                                          during lactation</t>
  </si>
  <si>
    <t>C(U1,12,5)</t>
  </si>
  <si>
    <t xml:space="preserve">                         FOO during lactation</t>
  </si>
  <si>
    <t>C(U1,12,6)</t>
  </si>
  <si>
    <t xml:space="preserve">                         FOO during lactation ^ 2</t>
  </si>
  <si>
    <t>C(U1,12,-1)</t>
  </si>
  <si>
    <t xml:space="preserve">                         intercept</t>
  </si>
  <si>
    <t>C(U1,13,0)</t>
  </si>
  <si>
    <t>Progeny FD: Dam LW at birth</t>
  </si>
  <si>
    <t>LTW 4.11</t>
  </si>
  <si>
    <t>C(U1,13,1)</t>
  </si>
  <si>
    <t xml:space="preserve">                     Dam LWC during joining</t>
  </si>
  <si>
    <t>C(U1,13,2)</t>
  </si>
  <si>
    <t xml:space="preserve">                                      during early preg</t>
  </si>
  <si>
    <t>C(U1,13,3)</t>
  </si>
  <si>
    <t xml:space="preserve">                                      during late preg</t>
  </si>
  <si>
    <t>C(U1,13,4)</t>
  </si>
  <si>
    <t xml:space="preserve">                                      during lactation</t>
  </si>
  <si>
    <t>C(U1,13,5)</t>
  </si>
  <si>
    <t xml:space="preserve">                     FOO during lactation</t>
  </si>
  <si>
    <t>C(U1,13,6)</t>
  </si>
  <si>
    <t xml:space="preserve">                     FOO during lactation ^ 2</t>
  </si>
  <si>
    <t>C(U1,13,-1)</t>
  </si>
  <si>
    <t>C(U1,14,0)</t>
  </si>
  <si>
    <t>C(U1,14,1)</t>
  </si>
  <si>
    <t>C(U1,14,2)</t>
  </si>
  <si>
    <t>C(U1,14,3)</t>
  </si>
  <si>
    <t>C(U1,14,4)</t>
  </si>
  <si>
    <t>C(U1,14,5)</t>
  </si>
  <si>
    <t>C(U1,14,6)</t>
  </si>
  <si>
    <t>C(U1,14,-1)</t>
  </si>
  <si>
    <t>C(U1,15,0)</t>
  </si>
  <si>
    <t>C(U1,15,1)</t>
  </si>
  <si>
    <t>C(U1,15,2)</t>
  </si>
  <si>
    <t>C(U1,15,3)</t>
  </si>
  <si>
    <t>C(U1,15,4)</t>
  </si>
  <si>
    <t>C(U1,15,5)</t>
  </si>
  <si>
    <t>C(U1,15,6)</t>
  </si>
  <si>
    <t>C(U1,15,-1)</t>
  </si>
  <si>
    <t>C(U1,16,0)</t>
  </si>
  <si>
    <t>Birth weight: Dam LW at birth</t>
  </si>
  <si>
    <t>LTW 3.7 Combined 01, 02 &amp; 03</t>
  </si>
  <si>
    <t>C(U1,16,1)</t>
  </si>
  <si>
    <t xml:space="preserve">                      Dam LWC during joining</t>
  </si>
  <si>
    <t>C(U1,16,2)</t>
  </si>
  <si>
    <t xml:space="preserve">                                       during early preg</t>
  </si>
  <si>
    <t>C(U1,16,3)</t>
  </si>
  <si>
    <t xml:space="preserve">                                       during late preg</t>
  </si>
  <si>
    <t>C(U1,16,4)</t>
  </si>
  <si>
    <t xml:space="preserve">                                       during lactation</t>
  </si>
  <si>
    <t>C(U1,16,5)</t>
  </si>
  <si>
    <t xml:space="preserve">                            FOO during lactation</t>
  </si>
  <si>
    <t>C(U1,16,6)</t>
  </si>
  <si>
    <t xml:space="preserve">                            FOO during lactation ^ 2</t>
  </si>
  <si>
    <t>C(U1,16,-1)</t>
  </si>
  <si>
    <t xml:space="preserve">                      intercept</t>
  </si>
  <si>
    <t>C(U1,17,0)</t>
  </si>
  <si>
    <t>Weaning weight: Dam LW at weaning</t>
  </si>
  <si>
    <t>C(U1,17,1)</t>
  </si>
  <si>
    <t xml:space="preserve">                            Dam LWC during joining</t>
  </si>
  <si>
    <t>C(U1,17,2)</t>
  </si>
  <si>
    <t>C(U1,17,3)</t>
  </si>
  <si>
    <t>C(U1,17,4)</t>
  </si>
  <si>
    <t>C(U1,17,5)</t>
  </si>
  <si>
    <t>C(U1,17,6)</t>
  </si>
  <si>
    <t>C(U1,17,-1)</t>
  </si>
  <si>
    <t xml:space="preserve">                            intercept</t>
  </si>
  <si>
    <t>C(U1,18,0)</t>
  </si>
  <si>
    <t>Progeny growth rate: Dam LW at weaning</t>
  </si>
  <si>
    <t>C(U1,18,1)</t>
  </si>
  <si>
    <t xml:space="preserve">                               Dam LWC during joining</t>
  </si>
  <si>
    <t>C(U1,18,2)</t>
  </si>
  <si>
    <t xml:space="preserve">                                                during early preg</t>
  </si>
  <si>
    <t>C(U1,18,3)</t>
  </si>
  <si>
    <t xml:space="preserve">                                                 during late preg</t>
  </si>
  <si>
    <t>C(U1,18,4)</t>
  </si>
  <si>
    <t xml:space="preserve">                                                 during lactation</t>
  </si>
  <si>
    <t>C(U1,18,5)</t>
  </si>
  <si>
    <t xml:space="preserve">                                FOO during lactation</t>
  </si>
  <si>
    <t>C(U1,18,6)</t>
  </si>
  <si>
    <t xml:space="preserve">                                FOO during lactation ^ 2</t>
  </si>
  <si>
    <t>C(U1,18,-1)</t>
  </si>
  <si>
    <t xml:space="preserve">                                intercept</t>
  </si>
  <si>
    <t>C(U2,0,0)</t>
  </si>
  <si>
    <t>C(U2,0,1)</t>
  </si>
  <si>
    <t xml:space="preserve">                    Quad 1</t>
  </si>
  <si>
    <t>C(U2,0,2)</t>
  </si>
  <si>
    <t xml:space="preserve">                    Linear 2</t>
  </si>
  <si>
    <t>C(U2,0,3)</t>
  </si>
  <si>
    <t xml:space="preserve">                    Linear 3</t>
  </si>
  <si>
    <t>C(U2,0,4)</t>
  </si>
  <si>
    <t xml:space="preserve">                    Quad 3</t>
  </si>
  <si>
    <t>C(U2,0,-1)</t>
  </si>
  <si>
    <t xml:space="preserve">                    intercept</t>
  </si>
  <si>
    <t>C(U2,1,0)</t>
  </si>
  <si>
    <t>C(U2,1,1)</t>
  </si>
  <si>
    <t>C(U2,1,2)</t>
  </si>
  <si>
    <t>C(U2,1,3)</t>
  </si>
  <si>
    <t>C(U2,1,4)</t>
  </si>
  <si>
    <t>C(U2,1,-1)</t>
  </si>
  <si>
    <t>C(U2,2,0)</t>
  </si>
  <si>
    <t>C(U2,2,1)</t>
  </si>
  <si>
    <t>C(U2,2,2)</t>
  </si>
  <si>
    <t>C(U2,2,3)</t>
  </si>
  <si>
    <t>C(U2,2,4)</t>
  </si>
  <si>
    <t>C(U2,2,-1)</t>
  </si>
  <si>
    <t>C(U2,3,0)</t>
  </si>
  <si>
    <t>C(U2,3,1)</t>
  </si>
  <si>
    <t>C(U2,3,2)</t>
  </si>
  <si>
    <t>C(U2,3,3)</t>
  </si>
  <si>
    <t>C(U2,3,4)</t>
  </si>
  <si>
    <t>C(U2,3,-1)</t>
  </si>
  <si>
    <t>C(U2,4,0)</t>
  </si>
  <si>
    <t>C(U2,4,1)</t>
  </si>
  <si>
    <t>C(U2,4,2)</t>
  </si>
  <si>
    <t>C(U2,4,3)</t>
  </si>
  <si>
    <t>C(U2,4,4)</t>
  </si>
  <si>
    <t>C(U2,4,-1)</t>
  </si>
  <si>
    <t>C(U2,5,0)</t>
  </si>
  <si>
    <t>C(U2,5,1)</t>
  </si>
  <si>
    <t>C(U2,5,2)</t>
  </si>
  <si>
    <t>C(U2,5,3)</t>
  </si>
  <si>
    <t>C(U2,5,4)</t>
  </si>
  <si>
    <t>C(U2,5,-1)</t>
  </si>
  <si>
    <t>C(U2,6,0)</t>
  </si>
  <si>
    <t>C(U2,6,1)</t>
  </si>
  <si>
    <t>C(U2,6,2)</t>
  </si>
  <si>
    <t>C(U2,6,3)</t>
  </si>
  <si>
    <t>C(U2,6,4)</t>
  </si>
  <si>
    <t>C(U2,6,-1)</t>
  </si>
  <si>
    <t>C(U2,7,0)</t>
  </si>
  <si>
    <t>C(U2,7,1)</t>
  </si>
  <si>
    <t>C(U2,7,2)</t>
  </si>
  <si>
    <t>C(U2,7,3)</t>
  </si>
  <si>
    <t>C(U2,7,4)</t>
  </si>
  <si>
    <t>C(U2,7,-1)</t>
  </si>
  <si>
    <t>C(U2,8,0)</t>
  </si>
  <si>
    <t>Progeny survival at birth: Progeny BW (requires back transforming)</t>
  </si>
  <si>
    <t>C(U2,8,1)</t>
  </si>
  <si>
    <t xml:space="preserve">                                         Progeny BW ^ 2</t>
  </si>
  <si>
    <t>C(U2,8,2)</t>
  </si>
  <si>
    <t xml:space="preserve">                                         Chill</t>
  </si>
  <si>
    <t>C(U2,8,3)</t>
  </si>
  <si>
    <t xml:space="preserve">                                         FOO (kg/ha)</t>
  </si>
  <si>
    <t>C(U2,8,4)</t>
  </si>
  <si>
    <t xml:space="preserve">                                         FOO ^ 2</t>
  </si>
  <si>
    <t>C(U2,8,-1)</t>
  </si>
  <si>
    <t>C(U2,9,0)</t>
  </si>
  <si>
    <t>C(U2,9,1)</t>
  </si>
  <si>
    <t>C(U2,9,2)</t>
  </si>
  <si>
    <t>C(U2,9,3)</t>
  </si>
  <si>
    <t>C(U2,9,4)</t>
  </si>
  <si>
    <t>C(U2,9,-1)</t>
  </si>
  <si>
    <t>C(U2,10,0)</t>
  </si>
  <si>
    <t>C(U2,10,1)</t>
  </si>
  <si>
    <t>C(U2,10,2)</t>
  </si>
  <si>
    <t>C(U2,10,3)</t>
  </si>
  <si>
    <t>C(U2,10,4)</t>
  </si>
  <si>
    <t>C(U2,10,-1)</t>
  </si>
  <si>
    <t>C(U2,11,0)</t>
  </si>
  <si>
    <t>C(U2,11,1)</t>
  </si>
  <si>
    <t>C(U2,11,2)</t>
  </si>
  <si>
    <t>C(U2,11,3)</t>
  </si>
  <si>
    <t>C(U2,11,4)</t>
  </si>
  <si>
    <t>C(U2,11,-1)</t>
  </si>
  <si>
    <t>C(U2,12,0)</t>
  </si>
  <si>
    <t>C(U2,12,1)</t>
  </si>
  <si>
    <t>C(U2,12,2)</t>
  </si>
  <si>
    <t>C(U2,12,3)</t>
  </si>
  <si>
    <t>C(U2,12,4)</t>
  </si>
  <si>
    <t>C(U2,12,-1)</t>
  </si>
  <si>
    <t>C(U2,13,0)</t>
  </si>
  <si>
    <t>C(U2,13,1)</t>
  </si>
  <si>
    <t>C(U2,13,2)</t>
  </si>
  <si>
    <t>C(U2,13,3)</t>
  </si>
  <si>
    <t>C(U2,13,4)</t>
  </si>
  <si>
    <t>C(U2,13,-1)</t>
  </si>
  <si>
    <t>C(U2,14,0)</t>
  </si>
  <si>
    <t>C(U2,14,1)</t>
  </si>
  <si>
    <t>C(U2,14,2)</t>
  </si>
  <si>
    <t>C(U2,14,3)</t>
  </si>
  <si>
    <t>C(U2,14,4)</t>
  </si>
  <si>
    <t>C(U2,14,-1)</t>
  </si>
  <si>
    <t>C(U2,15,0)</t>
  </si>
  <si>
    <t>C(U2,15,1)</t>
  </si>
  <si>
    <t>C(U2,15,2)</t>
  </si>
  <si>
    <t>C(U2,15,3)</t>
  </si>
  <si>
    <t>C(U2,15,4)</t>
  </si>
  <si>
    <t>C(U2,15,-1)</t>
  </si>
  <si>
    <t>C(U2,16,0)</t>
  </si>
  <si>
    <t>C(U2,16,1)</t>
  </si>
  <si>
    <t>C(U2,16,2)</t>
  </si>
  <si>
    <t>C(U2,16,3)</t>
  </si>
  <si>
    <t>C(U2,16,4)</t>
  </si>
  <si>
    <t>C(U2,16,-1)</t>
  </si>
  <si>
    <t>C(U2,17,0)</t>
  </si>
  <si>
    <t>C(U2,17,1)</t>
  </si>
  <si>
    <t>C(U2,17,2)</t>
  </si>
  <si>
    <t>C(U2,17,3)</t>
  </si>
  <si>
    <t>C(U2,17,4)</t>
  </si>
  <si>
    <t>C(U2,17,-1)</t>
  </si>
  <si>
    <t>C(U2,18,0)</t>
  </si>
  <si>
    <t>C(U2,18,1)</t>
  </si>
  <si>
    <t>C(U2,18,2)</t>
  </si>
  <si>
    <t>C(U2,18,3)</t>
  </si>
  <si>
    <t>C(U2,18,4)</t>
  </si>
  <si>
    <t>C(U2,18,-1)</t>
  </si>
  <si>
    <t>C(U2,19,0)</t>
  </si>
  <si>
    <t>C(U2,19,1)</t>
  </si>
  <si>
    <t>C(U2,19,2)</t>
  </si>
  <si>
    <t>C(U2,19,3)</t>
  </si>
  <si>
    <t>C(U2,19,4)</t>
  </si>
  <si>
    <t>C(U2,19,-1)</t>
  </si>
  <si>
    <t>C(U2,20,0)</t>
  </si>
  <si>
    <t>Weaner survival: Weaning wt (requires back transforming)</t>
  </si>
  <si>
    <t>LTW 5.3 Also requires Angus' matrix PWGR &amp; WWt</t>
  </si>
  <si>
    <t>C(U2,20,1)</t>
  </si>
  <si>
    <t xml:space="preserve">                             Weaning wt ^ 2</t>
  </si>
  <si>
    <t>C(U2,20,2)</t>
  </si>
  <si>
    <t xml:space="preserve">                             Chill</t>
  </si>
  <si>
    <t>C(U2,20,3)</t>
  </si>
  <si>
    <t xml:space="preserve">                             FOO (kg/ha)</t>
  </si>
  <si>
    <t>C(U2,20,4)</t>
  </si>
  <si>
    <t xml:space="preserve">                             FOO ^ 2</t>
  </si>
  <si>
    <t>C(U2,20,-1)</t>
  </si>
  <si>
    <t xml:space="preserve">                             intercept</t>
  </si>
  <si>
    <t>C(U2,21,0)</t>
  </si>
  <si>
    <t>C(U2,21,1)</t>
  </si>
  <si>
    <t>C(U2,21,2)</t>
  </si>
  <si>
    <t>C(U2,21,3)</t>
  </si>
  <si>
    <t>C(U2,21,4)</t>
  </si>
  <si>
    <t>C(U2,21,-1)</t>
  </si>
  <si>
    <t>C(U2,22,0)</t>
  </si>
  <si>
    <t>C(U2,22,1)</t>
  </si>
  <si>
    <t>C(U2,22,2)</t>
  </si>
  <si>
    <t>C(U2,22,3)</t>
  </si>
  <si>
    <t>C(U2,22,4)</t>
  </si>
  <si>
    <t>C(U2,22,-1)</t>
  </si>
  <si>
    <t>Pasture type (align with the Pasture module type if possible)</t>
  </si>
  <si>
    <t>Sources</t>
  </si>
  <si>
    <t>GrazPlan feedbase parameters</t>
  </si>
  <si>
    <t>Standard height density (height per unit of FOO)</t>
  </si>
  <si>
    <t>mm / (kg/ha)</t>
  </si>
  <si>
    <t>Could add parameters for M/D calculation from DMD here for each pasture type when green (herbage) and dry (forage)</t>
  </si>
  <si>
    <t>LifetimeWool parameters (u3) - FOO conversion</t>
  </si>
  <si>
    <t>Mike Hyder</t>
  </si>
  <si>
    <t>P.CU3_.g</t>
  </si>
  <si>
    <t>C(U3,0,0)</t>
  </si>
  <si>
    <t>C(U3,0,1)</t>
  </si>
  <si>
    <t>C(U3,0,2)</t>
  </si>
  <si>
    <t xml:space="preserve">                     Vic to ground Establishing pasture</t>
  </si>
  <si>
    <t>C(U3,0,3)</t>
  </si>
  <si>
    <t>C(U3,0,4)</t>
  </si>
  <si>
    <t xml:space="preserve">                     WA (scalpel) Establishing pasture</t>
  </si>
  <si>
    <t>C(U3,0,5)</t>
  </si>
  <si>
    <t>C(U3,1,0)</t>
  </si>
  <si>
    <t>C(U3,1,1)</t>
  </si>
  <si>
    <t>C(U3,1,2)</t>
  </si>
  <si>
    <t>C(U3,1,3)</t>
  </si>
  <si>
    <t>C(U3,1,4)</t>
  </si>
  <si>
    <t>C(U3,1,5)</t>
  </si>
  <si>
    <t>C(U3,2,0)</t>
  </si>
  <si>
    <t>C(U3,2,1)</t>
  </si>
  <si>
    <t>C(U3,2,2)</t>
  </si>
  <si>
    <t>C(U3,2,3)</t>
  </si>
  <si>
    <t>C(U3,2,4)</t>
  </si>
  <si>
    <t>C(U3,2,5)</t>
  </si>
  <si>
    <t>Lifetime Wool parameters (u4) - height (mm) conversion</t>
  </si>
  <si>
    <t>P.CU4_.g</t>
  </si>
  <si>
    <t>C(U4,0,0)</t>
  </si>
  <si>
    <t>C(U4,0,1)</t>
  </si>
  <si>
    <t>C(U4,0,2)</t>
  </si>
  <si>
    <t>C(U4,0,3)</t>
  </si>
  <si>
    <t>C(U4,0,4)</t>
  </si>
  <si>
    <t>C(U4,0,-1)</t>
  </si>
  <si>
    <t>C(U4,1,0)</t>
  </si>
  <si>
    <t>C(U4,1,1)</t>
  </si>
  <si>
    <t>C(U4,1,2)</t>
  </si>
  <si>
    <t>C(U4,1,3)</t>
  </si>
  <si>
    <t>C(U4,1,4)</t>
  </si>
  <si>
    <t>C(U4,1,-1)</t>
  </si>
  <si>
    <t>C(U4,2,0)</t>
  </si>
  <si>
    <t>C(U4,2,1)</t>
  </si>
  <si>
    <t>C(U4,2,2)</t>
  </si>
  <si>
    <t>C(U4,2,3)</t>
  </si>
  <si>
    <t>C(U4,2,4)</t>
  </si>
  <si>
    <t>C(U4,2,-1)</t>
  </si>
  <si>
    <t>C(U4,3,0)</t>
  </si>
  <si>
    <t>C(U4,3,1)</t>
  </si>
  <si>
    <t>C(U4,3,2)</t>
  </si>
  <si>
    <t>C(U4,3,3)</t>
  </si>
  <si>
    <t>C(U4,3,4)</t>
  </si>
  <si>
    <t>C(U4,3,-1)</t>
  </si>
  <si>
    <t>C(U4,4,0)</t>
  </si>
  <si>
    <t>mm/(kg/ha)</t>
  </si>
  <si>
    <t>C(U4,4,1)</t>
  </si>
  <si>
    <t>C(U4,4,2)</t>
  </si>
  <si>
    <t>C(U4,4,3)</t>
  </si>
  <si>
    <t>C(U4,4,4)</t>
  </si>
  <si>
    <t>C(U4,4,-1)</t>
  </si>
  <si>
    <t>C(U4,5,0)</t>
  </si>
  <si>
    <t>mm</t>
  </si>
  <si>
    <t>C(U4,5,1)</t>
  </si>
  <si>
    <t>C(U4,5,2)</t>
  </si>
  <si>
    <t>C(U4,5,3)</t>
  </si>
  <si>
    <t>C(U4,5,4)</t>
  </si>
  <si>
    <t>C(U4,5,-1)</t>
  </si>
  <si>
    <t>Shearing shed</t>
  </si>
  <si>
    <t>Infrastructure (h1)</t>
  </si>
  <si>
    <t>Fixed annual cost</t>
  </si>
  <si>
    <t>Cost per animal</t>
  </si>
  <si>
    <t>$/yr</t>
  </si>
  <si>
    <t>$/hd</t>
  </si>
  <si>
    <t>Asset value</t>
  </si>
  <si>
    <t>$</t>
  </si>
  <si>
    <t>Yards, Laneways &amp; Fencing</t>
  </si>
  <si>
    <t>Clearing sale value</t>
  </si>
  <si>
    <t>The assumption is that the sheep infrastructure does not depreciate but that the fixed costs and the variable costs for R&amp;M &amp; capital improvement maintain the infrasturucture in the same condition</t>
  </si>
  <si>
    <t>Equation group (q1)</t>
  </si>
  <si>
    <t>Equation system (q0)</t>
  </si>
  <si>
    <t>Want pattern diff</t>
  </si>
  <si>
    <t>LTW progeny fleece</t>
  </si>
  <si>
    <t>kg CFW/kg EBG</t>
  </si>
  <si>
    <t>kg CFW/kg LW</t>
  </si>
  <si>
    <t>u/kg EBG</t>
  </si>
  <si>
    <t>u/kg LW</t>
  </si>
  <si>
    <t>Number of cycles in the calibration data</t>
  </si>
  <si>
    <t>Progeny survival Yearling dam</t>
  </si>
  <si>
    <t xml:space="preserve">                                                   1 young</t>
  </si>
  <si>
    <t xml:space="preserve">                                                   2 young</t>
  </si>
  <si>
    <t xml:space="preserve">                                                   3 young</t>
  </si>
  <si>
    <t>BW adjustment Yearling dam (note: ffcfw_birth impacts on BW)</t>
  </si>
  <si>
    <t>LTW 4.4 &amp; LMAT 22May19</t>
  </si>
  <si>
    <t>LMAT 22May19</t>
  </si>
  <si>
    <t>Created from b0 (BTRT): Progeny WWt    0 young</t>
  </si>
  <si>
    <t>COUNTIFS(i_husb_operations_triggerlevels_h5h7h2,"")</t>
  </si>
  <si>
    <t>No blanks in inputs</t>
  </si>
  <si>
    <t>Husbandry (h9): # SR levels</t>
  </si>
  <si>
    <t>Husbandry (h8): # animal units</t>
  </si>
  <si>
    <t>Husbandry (h7): # trigger variables</t>
  </si>
  <si>
    <t>Husbandry (h6): # of requisties</t>
  </si>
  <si>
    <t>Husbandry (h5): # of trigger conditions</t>
  </si>
  <si>
    <t>Husbandry (h4): # mustering compnents</t>
  </si>
  <si>
    <t>Husbandry (h3): # feed budget components</t>
  </si>
  <si>
    <t>i_h2_len</t>
  </si>
  <si>
    <t>Husbandry (h2): # of husb operations</t>
  </si>
  <si>
    <t>Number of selling grids</t>
  </si>
  <si>
    <t>COUNTIFS(i_mask_b0_b1,TRUE)</t>
  </si>
  <si>
    <t>BTRT b0</t>
  </si>
  <si>
    <t>Test</t>
  </si>
  <si>
    <t>1 data area</t>
  </si>
  <si>
    <t>1: 15Aug20-Blank worksheet</t>
  </si>
  <si>
    <t>1: 15Aug20-Created the version control table</t>
  </si>
  <si>
    <t>i_cb0_len2</t>
  </si>
  <si>
    <t>Premium per micron (moving away from the base)</t>
  </si>
  <si>
    <t>Fibre diameter (w4)</t>
  </si>
  <si>
    <t>Mecardo 11Feb21</t>
  </si>
  <si>
    <t>STB parameters Merino</t>
  </si>
  <si>
    <t>Crutchings</t>
  </si>
  <si>
    <t>Expected yield of component</t>
  </si>
  <si>
    <t>JMY estimates</t>
  </si>
  <si>
    <t>Propn of clip (% of total annual growth-greasy)</t>
  </si>
  <si>
    <t>Propn of clip (clean)</t>
  </si>
  <si>
    <t>Source: Mecardo 11Feb21 for SW WA, with all crutchings as stains. Off types accounted for in price of the Fleece relative to the MPG</t>
  </si>
  <si>
    <t>Propn of clip (% of wool at shearing)</t>
  </si>
  <si>
    <t>Percentage with crutchings excluded from the total weight (i.e. based on wool at shearing)</t>
  </si>
  <si>
    <t>FD relative to Flc</t>
  </si>
  <si>
    <t>STB parameters Crossbred (&gt;25 micron)</t>
  </si>
  <si>
    <t>Source: Mecardo 8Feb21 for Crossbred, with all crutchings as stains. Off types accounted for in price of the Fleece relative to the MPG</t>
  </si>
  <si>
    <t>Broker costs ($/kg greasy)</t>
  </si>
  <si>
    <t>Testing costs ($/kg greasy)</t>
  </si>
  <si>
    <t>Total ($/kg greasy)</t>
  </si>
  <si>
    <t>Average yield</t>
  </si>
  <si>
    <t>Total ($/kg clean)</t>
  </si>
  <si>
    <t>min roe steady-state</t>
  </si>
  <si>
    <t>min roe stochastic</t>
  </si>
  <si>
    <t>yard</t>
  </si>
  <si>
    <t>This is the default value used in the code (can be altered with a SAV in an experiment)</t>
  </si>
  <si>
    <t>MPG (Southern) - c/kg clean</t>
  </si>
  <si>
    <t>Tech paper 2012</t>
  </si>
  <si>
    <t>Proportion of flock replaced by progeny of - yearling dams</t>
  </si>
  <si>
    <t>Note: the sensitivity (sat, 1, 0) scales these values towards or away from 1 i.e. if the value is 1 it doesn't change.</t>
  </si>
  <si>
    <t>C(D,22)</t>
  </si>
  <si>
    <t>C(D,23)</t>
  </si>
  <si>
    <t>C(D,24)</t>
  </si>
  <si>
    <t>C(D,25)</t>
  </si>
  <si>
    <t>C(D,26)</t>
  </si>
  <si>
    <t>Basal mortality MU: Increase if poor nutrtion</t>
  </si>
  <si>
    <t xml:space="preserve">                                   Threshold RC to increase from minimum</t>
  </si>
  <si>
    <t xml:space="preserve">                                   Threshold EBG (relative to dNWmax)</t>
  </si>
  <si>
    <t>%/d</t>
  </si>
  <si>
    <t xml:space="preserve">                                   Poor nutrition RC</t>
  </si>
  <si>
    <t xml:space="preserve">                                   Poor nutrition EBG (relative to dNWmax)</t>
  </si>
  <si>
    <t>kg/hd/d</t>
  </si>
  <si>
    <t>Basal mortality</t>
  </si>
  <si>
    <t>Hutton's group (2020)</t>
  </si>
  <si>
    <t>% of srw</t>
  </si>
  <si>
    <t>% of sfw</t>
  </si>
  <si>
    <t xml:space="preserve">                                        Vegetative pasture</t>
  </si>
  <si>
    <t xml:space="preserve">                                          Vegetative pasture</t>
  </si>
  <si>
    <t xml:space="preserve">                                         Vegetative pasture</t>
  </si>
  <si>
    <t xml:space="preserve">                                           Vegetative pasture</t>
  </si>
  <si>
    <t>Generic</t>
  </si>
  <si>
    <t>Energy content of greasy wool as shorn (without dust &amp; VM)</t>
  </si>
  <si>
    <r>
      <t xml:space="preserve">Clean:greasy ratio </t>
    </r>
    <r>
      <rPr>
        <sz val="8"/>
        <color theme="1"/>
        <rFont val="Times New Roman"/>
        <family val="1"/>
      </rPr>
      <t>(note: not yield because not including dust &amp; VM in GFW)</t>
    </r>
  </si>
  <si>
    <t>kg km-1</t>
  </si>
  <si>
    <t>Price generator - to test percentile levels for MPG &amp; FD premium</t>
  </si>
  <si>
    <t>Useful to report wool prices used in an analysis</t>
  </si>
  <si>
    <t>MPG</t>
  </si>
  <si>
    <t>FD Premium</t>
  </si>
  <si>
    <t>FD</t>
  </si>
  <si>
    <t>Std price</t>
  </si>
  <si>
    <t>Price generator - to generate maximum price in the grid for a percentile level</t>
  </si>
  <si>
    <t>Percentile</t>
  </si>
  <si>
    <t>Offset</t>
  </si>
  <si>
    <t>Flc Price (c/kg clean)</t>
  </si>
  <si>
    <t>Proportion of dry ewes that are twice dry - Yearling</t>
  </si>
  <si>
    <t xml:space="preserve">                                                                       3yo dam</t>
  </si>
  <si>
    <t xml:space="preserve">                                                                       4yo dam</t>
  </si>
  <si>
    <t xml:space="preserve">                                                                       5yo dam</t>
  </si>
  <si>
    <t xml:space="preserve">                                                                       6yo dam</t>
  </si>
  <si>
    <t xml:space="preserve">                                                                       7yo dam</t>
  </si>
  <si>
    <t xml:space="preserve">                                                                       8yo dam</t>
  </si>
  <si>
    <t>PvP. Average of CSIRO, NSW &amp; SA</t>
  </si>
  <si>
    <t>percentile</t>
  </si>
  <si>
    <t>Grain price percentile</t>
  </si>
  <si>
    <t>Price for firsts</t>
  </si>
  <si>
    <t>seconds_discount</t>
  </si>
  <si>
    <t>Coefficient of variation for weight &amp; relative condition</t>
  </si>
  <si>
    <t>Standard deviation for empty body change</t>
  </si>
  <si>
    <t xml:space="preserve">                                            condition score</t>
  </si>
  <si>
    <t>LTEM &amp; LMAT</t>
  </si>
  <si>
    <t>Perinatal Dam mortality</t>
  </si>
  <si>
    <t>Dam mortality Preg Tox</t>
  </si>
  <si>
    <t>TechPaper had an error</t>
  </si>
  <si>
    <t>Used 1% of value</t>
  </si>
  <si>
    <t>Could be moved to ce[]</t>
  </si>
  <si>
    <t>Could be moved to cl0[] or cl1[]</t>
  </si>
  <si>
    <t xml:space="preserve">                     Custom value 1 Establishing pasture</t>
  </si>
  <si>
    <t>MIDAS (JMY) WA</t>
  </si>
  <si>
    <t>MIDAS (JMY) Vic</t>
  </si>
  <si>
    <t xml:space="preserve">                     Custom value 2 Establishing pasture</t>
  </si>
  <si>
    <t>C(W,17)</t>
  </si>
  <si>
    <t>C(W,18)</t>
  </si>
  <si>
    <t>Age for peak wool growth</t>
  </si>
  <si>
    <t>Richards &amp; Atkins CRC 2010</t>
  </si>
  <si>
    <t>Reduction with age (k)</t>
  </si>
  <si>
    <t>C(W,19)</t>
  </si>
  <si>
    <t>Exponent for age</t>
  </si>
  <si>
    <t xml:space="preserve">                                                         - sire</t>
  </si>
  <si>
    <r>
      <t>Source:</t>
    </r>
    <r>
      <rPr>
        <sz val="10"/>
        <color theme="1"/>
        <rFont val="Times New Roman"/>
        <family val="1"/>
      </rPr>
      <t xml:space="preserve"> Triplet project. Data range 100% up to 220%</t>
    </r>
  </si>
  <si>
    <t>Proportion of dry, singles, twins &amp; triplets from scanning % and hauteur from raw wool characteristics</t>
  </si>
  <si>
    <t>LMAT JY summary v7 Aug15</t>
  </si>
  <si>
    <t>MM 33 based on 22</t>
  </si>
  <si>
    <t xml:space="preserve">  &amp; LMAT proportions</t>
  </si>
  <si>
    <t>Merino scanning based on DPIRD website. Maternal higher but no data</t>
  </si>
  <si>
    <t>SCA (1990) &amp; LMAT - Hocking Edwards (unpub)</t>
  </si>
  <si>
    <t>Tech Paper Dec2012 &amp; LMAT - Hocking Edwards (unpub)</t>
  </si>
  <si>
    <t>CFA Ewe</t>
  </si>
  <si>
    <t>50kg animal</t>
  </si>
  <si>
    <t>CS3</t>
  </si>
  <si>
    <t>Minimum age for each sale price grid - prime lamb</t>
  </si>
  <si>
    <t>bd</t>
  </si>
  <si>
    <t>zd</t>
  </si>
  <si>
    <t>wd</t>
  </si>
  <si>
    <t>rd</t>
  </si>
  <si>
    <t>od</t>
  </si>
  <si>
    <t>interest</t>
  </si>
  <si>
    <t xml:space="preserve">Crop Landuses </t>
  </si>
  <si>
    <t>All landuses</t>
  </si>
  <si>
    <t>a</t>
  </si>
  <si>
    <t>j</t>
  </si>
  <si>
    <t>s</t>
  </si>
  <si>
    <t>t</t>
  </si>
  <si>
    <t>u</t>
  </si>
  <si>
    <t>x</t>
  </si>
  <si>
    <t>Harvested</t>
  </si>
  <si>
    <t>Harv</t>
  </si>
  <si>
    <t>Bale</t>
  </si>
  <si>
    <t>Graz</t>
  </si>
  <si>
    <t>Grazed</t>
  </si>
  <si>
    <t>Baled</t>
  </si>
  <si>
    <t>s2</t>
  </si>
  <si>
    <t>hay</t>
  </si>
  <si>
    <t>S2 set that provide each supplement</t>
  </si>
  <si>
    <t>Which s2 slice provides each supplement?</t>
  </si>
  <si>
    <t>Date</t>
  </si>
  <si>
    <t>Record of Southern prices equivalent</t>
  </si>
  <si>
    <t>Age factor exponent (for maturation of secondary follicles)</t>
  </si>
  <si>
    <t>Lyne (1961) Fig4</t>
  </si>
  <si>
    <t>C1 variation included</t>
  </si>
  <si>
    <t>Method</t>
  </si>
  <si>
    <t>CARA</t>
  </si>
  <si>
    <t>CRRA</t>
  </si>
  <si>
    <t>Pratt-Arrow absolute risk aversion coefficient</t>
  </si>
  <si>
    <t>Relative risk aversion coefficient</t>
  </si>
  <si>
    <t>Initial wealth</t>
  </si>
  <si>
    <t>Risk aversion - select the desired method from the list below.</t>
  </si>
  <si>
    <t>Methods</t>
  </si>
  <si>
    <t>Birth weight scalar for castrates (relative to female SRW)</t>
  </si>
  <si>
    <t xml:space="preserve">                        Alternate day</t>
  </si>
  <si>
    <t xml:space="preserve">                        Extra, if low EBG</t>
  </si>
  <si>
    <t>Linear 1</t>
  </si>
  <si>
    <t>Quad 1</t>
  </si>
  <si>
    <t>Linear 2</t>
  </si>
  <si>
    <t>Linear 3</t>
  </si>
  <si>
    <t>Quad 3</t>
  </si>
  <si>
    <t>intercept</t>
  </si>
  <si>
    <t>0.03 TechPaper 2012, 0.015 to represent dense clover pasture</t>
  </si>
  <si>
    <t>Minimum FOO that animals can graze</t>
  </si>
  <si>
    <t>kg/ha</t>
  </si>
  <si>
    <t>FOO (kg/ha): GrazPlan Establishing pasture</t>
  </si>
  <si>
    <t>Legume:        GrazPlan Establishing pasture</t>
  </si>
  <si>
    <t>Intercept:       GrazPlan Establishing pasture</t>
  </si>
  <si>
    <t>FOO (exp): GrazPlan Establishing pasture</t>
  </si>
  <si>
    <t>Legume (exp): GrazPlan Establishing pasture</t>
  </si>
  <si>
    <t>FOO * Legume (exp): GrazPlan Establishing pasture</t>
  </si>
  <si>
    <t>Intercept (exp): GrazPlan Establishing pasture</t>
  </si>
  <si>
    <t>FOO (linear): GrazPlan Establishing pasture</t>
  </si>
  <si>
    <t>Intercept (linear): GrazPlan Establishing pasture</t>
  </si>
  <si>
    <t>Test values</t>
  </si>
  <si>
    <t>Height</t>
  </si>
  <si>
    <t>FOO</t>
  </si>
  <si>
    <t>2Apr22: Add i_min_grazing_limit input to be used in the RI calculation. Set value to 400 (Neville Hermann pers. comm. March 2022)
26May21: Added a second custom value for cu3 &amp; cu4 for use with SWVic (100kg/ha to the ground)
27Apr21: Added custom pasture type for FOO conversion
2: 9Sep20-Moved the LTW pasture parameters into the sheet
1: 1Apr19-Created the version control table</t>
  </si>
  <si>
    <t>CWM height</t>
  </si>
  <si>
    <t>Test the WA FOO &amp; height scalars</t>
  </si>
  <si>
    <t>WA FOO</t>
  </si>
  <si>
    <t>Methane production Blaxter &amp; Clapperton - Gross energy</t>
  </si>
  <si>
    <t xml:space="preserve">                "                                                    - Effect of M/D</t>
  </si>
  <si>
    <t xml:space="preserve">                "                                                    - Effect of Level</t>
  </si>
  <si>
    <t xml:space="preserve">                "                                                    - interaction level &amp; M/D</t>
  </si>
  <si>
    <t xml:space="preserve">                "                                                    - Intercept for losses</t>
  </si>
  <si>
    <t>200 based on conversation with Andrew Thompson &amp; Andrew Kennedy re: intake measured on low FOO in trials.</t>
  </si>
  <si>
    <t>13Apr22: Improved commenting
12Apr22: Change Grazing Limit to 200kg/ha. Add a milk yield scalar of 25% for Composites to align with the increase in potential intake (from LMAT)
2Apr22: Fixed error in the exp() coefficients for the height conversion for pasture. Were 0 should have been -100
               Rename Option 0 to GrazPlan rather than hand shears (because GrazPlan now appears to be above ground biomass)
1Jun21: Fix an error in the Custom parameters1 for pasture height
29Apr21: Fix error in the Custom height parameters
27Apr21:Set custom pasture parameters to old MIDAS
1: 1Apr19-Blank worksheet</t>
  </si>
  <si>
    <t>Effect of time of year on RR for LTW (see C_L0[1,x] for GrazPlan)</t>
  </si>
  <si>
    <t>day</t>
  </si>
  <si>
    <t xml:space="preserve">                    Quad 2</t>
  </si>
  <si>
    <t>Quad 2</t>
  </si>
  <si>
    <t xml:space="preserve">                    Linear 4</t>
  </si>
  <si>
    <t>Linear 4</t>
  </si>
  <si>
    <t xml:space="preserve">                    Quad 4</t>
  </si>
  <si>
    <t>Quad 4</t>
  </si>
  <si>
    <t>C(U2,0,5)</t>
  </si>
  <si>
    <t>C(U2,0,6)</t>
  </si>
  <si>
    <t>C(U2,0,7)</t>
  </si>
  <si>
    <t>C(U2,1,5)</t>
  </si>
  <si>
    <t>C(U2,1,6)</t>
  </si>
  <si>
    <t>C(U2,1,7)</t>
  </si>
  <si>
    <t>C(U2,2,5)</t>
  </si>
  <si>
    <t>C(U2,2,6)</t>
  </si>
  <si>
    <t>C(U2,2,7)</t>
  </si>
  <si>
    <t>C(U2,3,5)</t>
  </si>
  <si>
    <t>C(U2,3,6)</t>
  </si>
  <si>
    <t>C(U2,3,7)</t>
  </si>
  <si>
    <t>C(U2,22,5)</t>
  </si>
  <si>
    <t>C(U2,22,6)</t>
  </si>
  <si>
    <t>C(U2,22,7)</t>
  </si>
  <si>
    <t>C(U2,23,0)</t>
  </si>
  <si>
    <t>C(U2,23,1)</t>
  </si>
  <si>
    <t>C(U2,23,2)</t>
  </si>
  <si>
    <t>C(U2,23,3)</t>
  </si>
  <si>
    <t>C(U2,23,4)</t>
  </si>
  <si>
    <t>C(U2,23,5)</t>
  </si>
  <si>
    <t>C(U2,23,6)</t>
  </si>
  <si>
    <t>C(U2,23,7)</t>
  </si>
  <si>
    <t>C(U2,23,-1)</t>
  </si>
  <si>
    <t>C(U2,24,0)</t>
  </si>
  <si>
    <t>C(U2,24,1)</t>
  </si>
  <si>
    <t>C(U2,24,2)</t>
  </si>
  <si>
    <t>C(U2,24,3)</t>
  </si>
  <si>
    <t>C(U2,24,4)</t>
  </si>
  <si>
    <t>C(U2,24,5)</t>
  </si>
  <si>
    <t>C(U2,24,6)</t>
  </si>
  <si>
    <t>C(U2,24,7)</t>
  </si>
  <si>
    <t>C(U2,24,-1)</t>
  </si>
  <si>
    <t>C(U2,4,5)</t>
  </si>
  <si>
    <t>C(U2,4,6)</t>
  </si>
  <si>
    <t>C(U2,4,7)</t>
  </si>
  <si>
    <t>C(U2,5,5)</t>
  </si>
  <si>
    <t>C(U2,5,6)</t>
  </si>
  <si>
    <t>C(U2,5,7)</t>
  </si>
  <si>
    <t>C(U2,6,5)</t>
  </si>
  <si>
    <t>C(U2,6,6)</t>
  </si>
  <si>
    <t>C(U2,6,7)</t>
  </si>
  <si>
    <t>C(U2,7,5)</t>
  </si>
  <si>
    <t>C(U2,7,6)</t>
  </si>
  <si>
    <t>C(U2,7,7)</t>
  </si>
  <si>
    <t>C(U2,9,5)</t>
  </si>
  <si>
    <t>C(U2,9,6)</t>
  </si>
  <si>
    <t>C(U2,9,7)</t>
  </si>
  <si>
    <t>C(U2,10,5)</t>
  </si>
  <si>
    <t>C(U2,10,6)</t>
  </si>
  <si>
    <t>C(U2,10,7)</t>
  </si>
  <si>
    <t>C(U2,11,5)</t>
  </si>
  <si>
    <t>C(U2,11,6)</t>
  </si>
  <si>
    <t>C(U2,11,7)</t>
  </si>
  <si>
    <t>C(U2,12,5)</t>
  </si>
  <si>
    <t>C(U2,12,6)</t>
  </si>
  <si>
    <t>C(U2,12,7)</t>
  </si>
  <si>
    <t>C(U2,13,5)</t>
  </si>
  <si>
    <t>C(U2,13,6)</t>
  </si>
  <si>
    <t>C(U2,13,7)</t>
  </si>
  <si>
    <t>C(U2,14,5)</t>
  </si>
  <si>
    <t>C(U2,14,6)</t>
  </si>
  <si>
    <t>C(U2,14,7)</t>
  </si>
  <si>
    <t>C(U2,15,5)</t>
  </si>
  <si>
    <t>C(U2,15,6)</t>
  </si>
  <si>
    <t>C(U2,15,7)</t>
  </si>
  <si>
    <t>C(U2,16,5)</t>
  </si>
  <si>
    <t>C(U2,16,6)</t>
  </si>
  <si>
    <t>C(U2,16,7)</t>
  </si>
  <si>
    <t>C(U2,17,5)</t>
  </si>
  <si>
    <t>C(U2,17,6)</t>
  </si>
  <si>
    <t>C(U2,17,7)</t>
  </si>
  <si>
    <t>C(U2,18,5)</t>
  </si>
  <si>
    <t>C(U2,18,6)</t>
  </si>
  <si>
    <t>C(U2,18,7)</t>
  </si>
  <si>
    <t>C(U2,19,5)</t>
  </si>
  <si>
    <t>C(U2,19,6)</t>
  </si>
  <si>
    <t>C(U2,19,7)</t>
  </si>
  <si>
    <t>C(U2,21,5)</t>
  </si>
  <si>
    <t>C(U2,21,6)</t>
  </si>
  <si>
    <t>C(U2,21,7)</t>
  </si>
  <si>
    <t>C(U2,25,0)</t>
  </si>
  <si>
    <t>C(U2,25,1)</t>
  </si>
  <si>
    <t>C(U2,25,2)</t>
  </si>
  <si>
    <t>C(U2,25,3)</t>
  </si>
  <si>
    <t>C(U2,25,4)</t>
  </si>
  <si>
    <t>C(U2,25,5)</t>
  </si>
  <si>
    <t>C(U2,25,6)</t>
  </si>
  <si>
    <t>C(U2,25,7)</t>
  </si>
  <si>
    <t>C(U2,25,-1)</t>
  </si>
  <si>
    <t>Reproduction rate Ewe Lambs: Dam LW at Joining (Quadratic, requires back transforming)</t>
  </si>
  <si>
    <t xml:space="preserve">                             Quad 2</t>
  </si>
  <si>
    <t xml:space="preserve">                             Linear 4</t>
  </si>
  <si>
    <t xml:space="preserve">                             Quad 4</t>
  </si>
  <si>
    <t>C(U2,20,6)</t>
  </si>
  <si>
    <t>C(U2,20,7)</t>
  </si>
  <si>
    <t>C(U2,20,5)</t>
  </si>
  <si>
    <t xml:space="preserve">                                         Quad 2</t>
  </si>
  <si>
    <t xml:space="preserve">                                         Linear 4</t>
  </si>
  <si>
    <t xml:space="preserve">                                         Quad 4</t>
  </si>
  <si>
    <t>C(U2,8,5)</t>
  </si>
  <si>
    <t>C(U2,8,6)</t>
  </si>
  <si>
    <t>C(U2,8,7)</t>
  </si>
  <si>
    <t xml:space="preserve">                          Dam CS ^ 2</t>
  </si>
  <si>
    <t xml:space="preserve">                                                   Dam LWJ ^ 2</t>
  </si>
  <si>
    <t xml:space="preserve">                                                        Dam LWJ ^ 2</t>
  </si>
  <si>
    <t xml:space="preserve">                                                        AgeJ</t>
  </si>
  <si>
    <t xml:space="preserve">                                                        LW change during joining</t>
  </si>
  <si>
    <t xml:space="preserve">                                                        NLB</t>
  </si>
  <si>
    <t xml:space="preserve">                                                        intercept</t>
  </si>
  <si>
    <t xml:space="preserve">                          Linear 2</t>
  </si>
  <si>
    <t xml:space="preserve">                          Quad 2</t>
  </si>
  <si>
    <t xml:space="preserve">                          Linear 3</t>
  </si>
  <si>
    <t xml:space="preserve">                          Quad 3</t>
  </si>
  <si>
    <t xml:space="preserve">                          Linear 4</t>
  </si>
  <si>
    <t xml:space="preserve">                          Quad 4</t>
  </si>
  <si>
    <t>C(L0,20,0)</t>
  </si>
  <si>
    <t>C(L0,20,1)</t>
  </si>
  <si>
    <t>C(L0,20,2)</t>
  </si>
  <si>
    <t>C(L0,20,3)</t>
  </si>
  <si>
    <t>C(L0,21,0)</t>
  </si>
  <si>
    <t>C(L0,21,1)</t>
  </si>
  <si>
    <t>C(L0,21,2)</t>
  </si>
  <si>
    <t>C(L0,21,3)</t>
  </si>
  <si>
    <t>C(L0,22,0)</t>
  </si>
  <si>
    <t>C(L0,22,1)</t>
  </si>
  <si>
    <t>C(L0,22,2)</t>
  </si>
  <si>
    <t>C(L0,22,3)</t>
  </si>
  <si>
    <t>C(L0,23,0)</t>
  </si>
  <si>
    <t>C(L0,23,1)</t>
  </si>
  <si>
    <t>C(L0,23,2)</t>
  </si>
  <si>
    <t>C(L0,23,3)</t>
  </si>
  <si>
    <t>C(L0,24,0)</t>
  </si>
  <si>
    <t>C(L0,24,1)</t>
  </si>
  <si>
    <t>C(L0,24,2)</t>
  </si>
  <si>
    <t>C(L0,24,3)</t>
  </si>
  <si>
    <t>C(L0,25,0)</t>
  </si>
  <si>
    <t>C(L0,25,1)</t>
  </si>
  <si>
    <t>C(L0,25,2)</t>
  </si>
  <si>
    <t>C(L0,25,3)</t>
  </si>
  <si>
    <t>Reproduction rate Ewe Lambs:  0 young</t>
  </si>
  <si>
    <t xml:space="preserve">                                                         1 young</t>
  </si>
  <si>
    <t xml:space="preserve">                                                         2 young</t>
  </si>
  <si>
    <t xml:space="preserve">                                                         3 young</t>
  </si>
  <si>
    <t>Ewe Lambs tool 7 Oct 21</t>
  </si>
  <si>
    <t>Maternal are higher but also tend to be reported from an earlier date</t>
  </si>
  <si>
    <t>A value to ensure all animals allocated</t>
  </si>
  <si>
    <t>Proportion of drys controlled by the intercept</t>
  </si>
  <si>
    <t>Scanning percentage at CS=3 (RC = 1, NLB=0)</t>
  </si>
  <si>
    <t>C(L1,20,0)</t>
  </si>
  <si>
    <t>C(L1,20,1)</t>
  </si>
  <si>
    <t>C(L1,20,2)</t>
  </si>
  <si>
    <t>C(L1,20,3)</t>
  </si>
  <si>
    <t>C(L1,21,0)</t>
  </si>
  <si>
    <t>C(L1,21,1)</t>
  </si>
  <si>
    <t>C(L1,21,2)</t>
  </si>
  <si>
    <t>C(L1,21,3)</t>
  </si>
  <si>
    <t>C(L1,22,0)</t>
  </si>
  <si>
    <t>C(L1,22,1)</t>
  </si>
  <si>
    <t>C(L1,22,2)</t>
  </si>
  <si>
    <t>C(L1,22,3)</t>
  </si>
  <si>
    <t>C(L1,23,0)</t>
  </si>
  <si>
    <t>C(L1,23,1)</t>
  </si>
  <si>
    <t>C(L1,23,2)</t>
  </si>
  <si>
    <t>C(L1,23,3)</t>
  </si>
  <si>
    <t>C(L1,24,0)</t>
  </si>
  <si>
    <t>C(L1,24,1)</t>
  </si>
  <si>
    <t>C(L1,24,2)</t>
  </si>
  <si>
    <t>C(L1,24,3)</t>
  </si>
  <si>
    <t>C(L1,25,0)</t>
  </si>
  <si>
    <t>C(L1,25,1)</t>
  </si>
  <si>
    <t>C(L1,25,2)</t>
  </si>
  <si>
    <t>C(L1,25,3)</t>
  </si>
  <si>
    <t>flexi-n</t>
  </si>
  <si>
    <t>Number of lambs born ASBV</t>
  </si>
  <si>
    <t>SG percentiles</t>
  </si>
  <si>
    <t>sp</t>
  </si>
  <si>
    <t>Total costs</t>
  </si>
  <si>
    <t>Note: the price grid is no longer used. The relative prices for the weight &amp; score ranges are entered instead. See spreadsheet in 'AFO Calibration' for calculations</t>
  </si>
  <si>
    <t>BRM 9sep20, 1Dec20, 9Jun22</t>
  </si>
  <si>
    <t>Based on BRM Lamb</t>
  </si>
  <si>
    <t>Less affected by high CS than mutton</t>
  </si>
  <si>
    <t>Scaled so prices represent mutton below CS2.5</t>
  </si>
  <si>
    <t>LIVESTOCK FEEDS - SELECTIVITY</t>
  </si>
  <si>
    <t>Trail feeding information</t>
  </si>
  <si>
    <t>Diet selection</t>
  </si>
  <si>
    <t>Included</t>
  </si>
  <si>
    <t>Ratio sup vol / Total vol</t>
  </si>
  <si>
    <t>Approximate offset of prejoining from birth. Includes gestation length and the prejoin period prior to rams in.</t>
  </si>
  <si>
    <t>a2</t>
  </si>
  <si>
    <t>LMAT combined year</t>
  </si>
  <si>
    <t>LTW 4.5 &amp; LMAT 22May19</t>
  </si>
  <si>
    <t>LTW 4.6 LMAT 22May19</t>
  </si>
  <si>
    <t>JMY estimate to reduce yearling progeny survival to levels from Thompson et al 2021</t>
  </si>
  <si>
    <t>JMY. Value fitted to mimic effect of GrazPlan coefficients on NLB. Currently set for 50% of seasonality</t>
  </si>
  <si>
    <t>JMY halved the coefficients to reduce seasonality, it was having an extreme effect.</t>
  </si>
  <si>
    <t xml:space="preserve">                                                                      - 2yo (2-tooth) dams</t>
  </si>
  <si>
    <t xml:space="preserve">                                                                       2yo 2-tooth dam</t>
  </si>
  <si>
    <t>SG correction for 2-tooths</t>
  </si>
  <si>
    <t>C(F,1)</t>
  </si>
  <si>
    <t>JMY estimate to align with the increase in intake calibrated by LMAT</t>
  </si>
  <si>
    <t>C(L,0)</t>
  </si>
  <si>
    <t xml:space="preserve">                             2yo 2-tooth dam</t>
  </si>
  <si>
    <t xml:space="preserve">                             3yo dam</t>
  </si>
  <si>
    <t xml:space="preserve">                             4yo dam</t>
  </si>
  <si>
    <t xml:space="preserve">                             5yo dam</t>
  </si>
  <si>
    <t xml:space="preserve">                             6yo dam</t>
  </si>
  <si>
    <t xml:space="preserve">                             7yo dam</t>
  </si>
  <si>
    <t xml:space="preserve">                             8yo dam</t>
  </si>
  <si>
    <t xml:space="preserve">         2yo 2-tooth dam</t>
  </si>
  <si>
    <t xml:space="preserve">         3yo dam</t>
  </si>
  <si>
    <t xml:space="preserve">         4yo dam</t>
  </si>
  <si>
    <t xml:space="preserve">         5yo dam</t>
  </si>
  <si>
    <t xml:space="preserve">         6yo dam</t>
  </si>
  <si>
    <t xml:space="preserve">         7yo dam</t>
  </si>
  <si>
    <t xml:space="preserve">         8yo dam</t>
  </si>
  <si>
    <t xml:space="preserve">      2yo 2-tooth dam</t>
  </si>
  <si>
    <t xml:space="preserve">      3yo dam</t>
  </si>
  <si>
    <t xml:space="preserve">      4yo dam</t>
  </si>
  <si>
    <t xml:space="preserve">      5yo dam</t>
  </si>
  <si>
    <t xml:space="preserve">      6yo dam</t>
  </si>
  <si>
    <t xml:space="preserve">      7yo dam</t>
  </si>
  <si>
    <t xml:space="preserve">      8yo dam</t>
  </si>
  <si>
    <t xml:space="preserve">                     2yo 2-tooth dam (multiplier)</t>
  </si>
  <si>
    <t xml:space="preserve">                     3yo dam (multiplier)</t>
  </si>
  <si>
    <t xml:space="preserve">                     4yo dam (multiplier)</t>
  </si>
  <si>
    <t xml:space="preserve">                     5yo dam (multiplier)</t>
  </si>
  <si>
    <t xml:space="preserve">                     6yo dam (multiplier)</t>
  </si>
  <si>
    <t xml:space="preserve">                     7yo dam (multiplier)</t>
  </si>
  <si>
    <t xml:space="preserve">                     8yo dam (multiplier)</t>
  </si>
  <si>
    <t xml:space="preserve">                            2yo 2-tooth dam</t>
  </si>
  <si>
    <t xml:space="preserve">                            3yo dam</t>
  </si>
  <si>
    <t xml:space="preserve">                            4yo dam</t>
  </si>
  <si>
    <t xml:space="preserve">                            5yo dam</t>
  </si>
  <si>
    <t xml:space="preserve">                            6yo dam</t>
  </si>
  <si>
    <t xml:space="preserve">                            7yo dam</t>
  </si>
  <si>
    <t xml:space="preserve">                            8yo dam</t>
  </si>
  <si>
    <t xml:space="preserve">                              2yo 2-tooth dam</t>
  </si>
  <si>
    <t xml:space="preserve">                              3yo dam</t>
  </si>
  <si>
    <t xml:space="preserve">                              4yo dam</t>
  </si>
  <si>
    <t xml:space="preserve">                              5yo dam</t>
  </si>
  <si>
    <t xml:space="preserve">                              6yo dam</t>
  </si>
  <si>
    <t xml:space="preserve">                              7yo dam</t>
  </si>
  <si>
    <t xml:space="preserve">                              8yo dam</t>
  </si>
  <si>
    <t xml:space="preserve">                                                      2yo 2-tooth dam</t>
  </si>
  <si>
    <t xml:space="preserve">                                                      3yo dam</t>
  </si>
  <si>
    <t xml:space="preserve">                                                      4yo dam</t>
  </si>
  <si>
    <t xml:space="preserve">                                                      5yo dam</t>
  </si>
  <si>
    <t xml:space="preserve">                                                      6yo dam</t>
  </si>
  <si>
    <t xml:space="preserve">                                                      7yo dam</t>
  </si>
  <si>
    <t xml:space="preserve">                                                      8yo dam</t>
  </si>
  <si>
    <t xml:space="preserve">                                                     females</t>
  </si>
  <si>
    <t xml:space="preserve">                                                     castrates</t>
  </si>
  <si>
    <t xml:space="preserve">                                                         for females</t>
  </si>
  <si>
    <t xml:space="preserve">                                                         for castrates</t>
  </si>
  <si>
    <t xml:space="preserve">                                     females</t>
  </si>
  <si>
    <t xml:space="preserve">                                     castrates</t>
  </si>
  <si>
    <t>Murdoch University parameters (u2) - with back transformation</t>
  </si>
  <si>
    <t xml:space="preserve">                                         intercept (includes an adjustment for age of dams)</t>
  </si>
  <si>
    <t xml:space="preserve">                          intercept (includes an adjustment for age of dams)</t>
  </si>
  <si>
    <t>C(E,19,0)</t>
  </si>
  <si>
    <t>C(E,19,1)</t>
  </si>
  <si>
    <t>C(E,19,2)</t>
  </si>
  <si>
    <t>C(E,19,3)</t>
  </si>
  <si>
    <t>C(E,19,4)</t>
  </si>
  <si>
    <t>C(E,19,5)</t>
  </si>
  <si>
    <t>C(E,19,6)</t>
  </si>
  <si>
    <t>C(E,19,7)</t>
  </si>
  <si>
    <t>C(E,20,0)</t>
  </si>
  <si>
    <t>C(E,20,1)</t>
  </si>
  <si>
    <t>C(E,20,2)</t>
  </si>
  <si>
    <t>C(E,20,3)</t>
  </si>
  <si>
    <t>C(E,20,4)</t>
  </si>
  <si>
    <t>C(E,20,5)</t>
  </si>
  <si>
    <t>C(E,20,6)</t>
  </si>
  <si>
    <t>C(E,20,7)</t>
  </si>
  <si>
    <t>C(E,21,0)</t>
  </si>
  <si>
    <t>C(E,21,1)</t>
  </si>
  <si>
    <t>C(E,21,2)</t>
  </si>
  <si>
    <t>C(E,21,3)</t>
  </si>
  <si>
    <t>C(E,21,4)</t>
  </si>
  <si>
    <t>C(E,21,5)</t>
  </si>
  <si>
    <t>C(E,21,6)</t>
  </si>
  <si>
    <t>C(E,21,7)</t>
  </si>
  <si>
    <t>C(E,22,0)</t>
  </si>
  <si>
    <t>C(E,22,1)</t>
  </si>
  <si>
    <t>C(E,22,2)</t>
  </si>
  <si>
    <t>C(E,22,3)</t>
  </si>
  <si>
    <t>C(E,22,4)</t>
  </si>
  <si>
    <t>C(E,22,5)</t>
  </si>
  <si>
    <t>C(E,22,6)</t>
  </si>
  <si>
    <t>C(E,22,7)</t>
  </si>
  <si>
    <t>Weaner survival adjustment: Yearling dam</t>
  </si>
  <si>
    <t xml:space="preserve">                                               2yo 2-tooth dam</t>
  </si>
  <si>
    <t xml:space="preserve">                                               3yo dam</t>
  </si>
  <si>
    <t xml:space="preserve">                                               4yo dam</t>
  </si>
  <si>
    <t xml:space="preserve">                                               5yo dam</t>
  </si>
  <si>
    <t xml:space="preserve">                                               6yo dam</t>
  </si>
  <si>
    <t xml:space="preserve">                                               7yo dam</t>
  </si>
  <si>
    <t xml:space="preserve">                                               8yo dam</t>
  </si>
  <si>
    <t>Equation system used in each equation period (a different use of p7-not node periods)</t>
  </si>
  <si>
    <t>Comparison of LMAT adult &amp; Cashmore yearling (scaled by SRW for merino)</t>
  </si>
  <si>
    <t>STB NIB greasy</t>
  </si>
  <si>
    <t>Crossbred</t>
  </si>
  <si>
    <t>Average</t>
  </si>
  <si>
    <t>w/o month adj</t>
  </si>
  <si>
    <t>Saleyard price</t>
  </si>
  <si>
    <t>Useful to report meat prices used in an analysis. Month adjust included with the input of the month of sale</t>
  </si>
  <si>
    <t>This is the standard value for the analysis and controls the STB scalar (which doesn't vary with the FD percentile selected in the expt)</t>
  </si>
  <si>
    <t>LIVESTOCK FEEDS - CONFINEMENT</t>
  </si>
  <si>
    <t>Confinement factors</t>
  </si>
  <si>
    <t>cost factor</t>
  </si>
  <si>
    <t>Confinement</t>
  </si>
  <si>
    <t>machinery</t>
  </si>
  <si>
    <t>labour</t>
  </si>
  <si>
    <t>factor</t>
  </si>
  <si>
    <t>MPG relative to std FD</t>
  </si>
  <si>
    <t>for Sweep the Board calculations</t>
  </si>
  <si>
    <t>STB scalar calculated in f1_woolprice()</t>
  </si>
  <si>
    <t>Needs to be a bit more than this because there are compnents for mer &amp; xb. The selection of one or the other is based on the FD. If fd &gt;= 26 then use XB.</t>
  </si>
  <si>
    <t>np.sum(i_woolp_component_mer_propn_w3 * i_woolp_component_price_w4w3 * (1 + np.interp(i_woolp_fd_range_w4 + i_woolp_component_mer_fd_w3, i_woolp_fd_range_w4 , fdprem_w4)) / (1 + fdprem_w4), axis=w3)</t>
  </si>
  <si>
    <t>at_seeding</t>
  </si>
  <si>
    <t>mid</t>
  </si>
  <si>
    <t>Perinatal Ewe mortality LTEM : 0 young</t>
  </si>
  <si>
    <t xml:space="preserve">                                                     2 young</t>
  </si>
  <si>
    <t xml:space="preserve">                                                     1 young</t>
  </si>
  <si>
    <t xml:space="preserve">                                                     3 young</t>
  </si>
  <si>
    <t>Twins with LMAT triplet adjustment</t>
  </si>
  <si>
    <t>Paganoni etal 2014</t>
  </si>
  <si>
    <t>Fert</t>
  </si>
  <si>
    <t>Chem</t>
  </si>
  <si>
    <t>knock</t>
  </si>
  <si>
    <t>pre-em</t>
  </si>
  <si>
    <t>selective_and_spraytop</t>
  </si>
  <si>
    <t>fungicide</t>
  </si>
  <si>
    <t>SRW scalar for own BTRT 11</t>
  </si>
  <si>
    <t xml:space="preserve">                                 BTRT 22</t>
  </si>
  <si>
    <t xml:space="preserve">                                 BTRT 33</t>
  </si>
  <si>
    <t xml:space="preserve">                                 BTRT 21</t>
  </si>
  <si>
    <t xml:space="preserve">                                 BTRT 32</t>
  </si>
  <si>
    <t xml:space="preserve">                                 BTRT 31</t>
  </si>
  <si>
    <t>GrowthPath02 v4-g.xlsx</t>
  </si>
  <si>
    <t>Coeff LambSurv v5-d</t>
  </si>
  <si>
    <t>Coefficients to predict proportions from scanning %</t>
  </si>
  <si>
    <t>Mob size scalar</t>
  </si>
  <si>
    <t>Progeny survival (MU), mob size :  0 young</t>
  </si>
  <si>
    <t xml:space="preserve">                                            birth weight</t>
  </si>
  <si>
    <t>LTW &amp; LMAT average</t>
  </si>
  <si>
    <t>Day of joining for the standard scanning percentage</t>
  </si>
  <si>
    <t xml:space="preserve">                    Linear 5</t>
  </si>
  <si>
    <t xml:space="preserve">                    Quad 5</t>
  </si>
  <si>
    <t xml:space="preserve">                    Linear 6</t>
  </si>
  <si>
    <t xml:space="preserve">                    Quad 6</t>
  </si>
  <si>
    <t>Linear 5</t>
  </si>
  <si>
    <t>Quad 5</t>
  </si>
  <si>
    <t>Linear 6</t>
  </si>
  <si>
    <t>Quad 6</t>
  </si>
  <si>
    <t xml:space="preserve">                                                        SRW</t>
  </si>
  <si>
    <t>LTEM &amp; LMAT in Triplets project</t>
  </si>
  <si>
    <t>Triplets project. See RR v5c.xlsx</t>
  </si>
  <si>
    <t xml:space="preserve">                                                        LWC ^ 2</t>
  </si>
  <si>
    <t xml:space="preserve">                                                        AgeJ ^ 2</t>
  </si>
  <si>
    <t xml:space="preserve">                                                        NLB ^ 2</t>
  </si>
  <si>
    <t xml:space="preserve">                                                        DOJ ^ 2</t>
  </si>
  <si>
    <t>JMY estimate (2% seemed too low for sheep)</t>
  </si>
  <si>
    <t>Increase in mortality of weaners if below threshold LWG</t>
  </si>
  <si>
    <t>JMY estimate based on 150g/hd/d and CV of LW</t>
  </si>
  <si>
    <t>Dam mortality MU1: Dam CS at Lambing (Quadratic, requires back transforming)</t>
  </si>
  <si>
    <t>Thompson &amp; Rose unpub</t>
  </si>
  <si>
    <t>Dam mortality MU2: Dam CS at birth</t>
  </si>
  <si>
    <t xml:space="preserve">                          CS change late preg (to pre-birth)</t>
  </si>
  <si>
    <t xml:space="preserve">                          CS change ^ 2</t>
  </si>
  <si>
    <t xml:space="preserve">                          intercept (includes an adjustment for genotype)</t>
  </si>
  <si>
    <t xml:space="preserve">                          Linear 5</t>
  </si>
  <si>
    <t xml:space="preserve">                          Quad 5</t>
  </si>
  <si>
    <t xml:space="preserve">                          Linear 6</t>
  </si>
  <si>
    <t>Perinatal Ewe mortality MU2  : 0 young</t>
  </si>
  <si>
    <t>Dam mortality adjustment MU1: Yearling dam</t>
  </si>
  <si>
    <t>Dam mortality adjustment MU2: Yearling dam</t>
  </si>
  <si>
    <t>C(E,23,0)</t>
  </si>
  <si>
    <t>C(E,23,1)</t>
  </si>
  <si>
    <t>C(E,23,2)</t>
  </si>
  <si>
    <t>C(E,23,3)</t>
  </si>
  <si>
    <t>C(E,23,4)</t>
  </si>
  <si>
    <t>C(E,23,5)</t>
  </si>
  <si>
    <t>C(E,23,6)</t>
  </si>
  <si>
    <t>C(E,23,7)</t>
  </si>
  <si>
    <t>A value to ensure that empty ewes have 0 peri-natal mortality</t>
  </si>
  <si>
    <t>Change in LW for 1 unit change in CS (% of normal weight)</t>
  </si>
  <si>
    <t>Was LW/CS (see cn[5])</t>
  </si>
  <si>
    <t>Triplet cut-off was retro fitted based on propn triplets in Triplets project (higher values from Jason Trompf)</t>
  </si>
  <si>
    <t>number of seeders</t>
  </si>
  <si>
    <t>number of harvesters</t>
  </si>
  <si>
    <t>seeder/s</t>
  </si>
  <si>
    <t>harvester/s</t>
  </si>
  <si>
    <t>seeding tractor</t>
  </si>
  <si>
    <t>general tractor/s</t>
  </si>
  <si>
    <t>utilities</t>
  </si>
  <si>
    <t>field bins</t>
  </si>
  <si>
    <t>kg animal</t>
  </si>
  <si>
    <t>LW scalar</t>
  </si>
  <si>
    <t>Lamb grid (0)</t>
  </si>
  <si>
    <t>empty grid (1)</t>
  </si>
  <si>
    <t>empty grid (2)</t>
  </si>
  <si>
    <t>note</t>
  </si>
  <si>
    <t>FFCFW threshold</t>
  </si>
  <si>
    <t>min</t>
  </si>
  <si>
    <t>max</t>
  </si>
  <si>
    <t>BBB</t>
  </si>
  <si>
    <t>BBM</t>
  </si>
  <si>
    <t>BBT</t>
  </si>
  <si>
    <t>BMT</t>
  </si>
  <si>
    <t xml:space="preserve">                                                        Day of joining</t>
  </si>
  <si>
    <t xml:space="preserve">                                                        Latitude</t>
  </si>
  <si>
    <t xml:space="preserve">                                                   Latitude</t>
  </si>
  <si>
    <t xml:space="preserve">                                                   Day of joining</t>
  </si>
  <si>
    <t xml:space="preserve">                                                   DOJ ^ 2</t>
  </si>
  <si>
    <t xml:space="preserve">                                                   SRW</t>
  </si>
  <si>
    <t xml:space="preserve">                                                   AgeJ</t>
  </si>
  <si>
    <t xml:space="preserve">                                                   AgeJ ^ 2</t>
  </si>
  <si>
    <t xml:space="preserve">                                                   LW change during joining</t>
  </si>
  <si>
    <t xml:space="preserve">                                                   LWC ^ 2</t>
  </si>
  <si>
    <t xml:space="preserve">                                                   YNLB</t>
  </si>
  <si>
    <t xml:space="preserve">                                                   YNLB ^ 2</t>
  </si>
  <si>
    <t xml:space="preserve">                                                   intercept</t>
  </si>
  <si>
    <t xml:space="preserve">                          Cap on CS (because of the added quadratic effect on CS)</t>
  </si>
  <si>
    <t>Ewe mortality v5d.xlsx #21 with quadratic on CS and Merino single and twin tweak</t>
  </si>
  <si>
    <t>C(G,23)</t>
  </si>
  <si>
    <t>C(G,24)</t>
  </si>
  <si>
    <t>C(G,25)</t>
  </si>
  <si>
    <t>C(G,26)</t>
  </si>
  <si>
    <t>C(G,27)</t>
  </si>
  <si>
    <t>C(G,28)</t>
  </si>
  <si>
    <t>Energy content of muscle protein</t>
  </si>
  <si>
    <t>Energy content of viscera protein</t>
  </si>
  <si>
    <t>Energy content of wool protein</t>
  </si>
  <si>
    <t>DM content of wool</t>
  </si>
  <si>
    <t>DM content of viscera</t>
  </si>
  <si>
    <t>Hutton's group (R code)</t>
  </si>
  <si>
    <t># vars</t>
  </si>
  <si>
    <t>Not sure of source for this, AWTA?</t>
  </si>
  <si>
    <t>C(G,29)</t>
  </si>
  <si>
    <t>not used (conceptus)</t>
  </si>
  <si>
    <t>not used (milk)</t>
  </si>
  <si>
    <t>C(K,18)</t>
  </si>
  <si>
    <t>C(K,19)</t>
  </si>
  <si>
    <t>C(K,22)</t>
  </si>
  <si>
    <t>C(K,23)</t>
  </si>
  <si>
    <t>C(K,24)</t>
  </si>
  <si>
    <t>C(K,20)</t>
  </si>
  <si>
    <t>C(K,21)</t>
  </si>
  <si>
    <t>C(K,25)</t>
  </si>
  <si>
    <t>C(K,26)</t>
  </si>
  <si>
    <t>C(K,27)</t>
  </si>
  <si>
    <t>C(K,28)</t>
  </si>
  <si>
    <t>Oddy etal 2023</t>
  </si>
  <si>
    <t>unitless</t>
  </si>
  <si>
    <t>km: intercept for milk diet</t>
  </si>
  <si>
    <t>Freer etal 2012</t>
  </si>
  <si>
    <t>kg: for milk diet (milk consumtpion)</t>
  </si>
  <si>
    <t>Sheep Explorer (no reference)</t>
  </si>
  <si>
    <t>Sheep Explorer (ARC (1980))</t>
  </si>
  <si>
    <t>C(M,20)</t>
  </si>
  <si>
    <t>C(M,21)</t>
  </si>
  <si>
    <t>C(M,22)</t>
  </si>
  <si>
    <t>MJ MJ-1 d-1</t>
  </si>
  <si>
    <t>bm: HP from muscle protein</t>
  </si>
  <si>
    <t>bv: HP from vsicera protein</t>
  </si>
  <si>
    <t>C(G,30)</t>
  </si>
  <si>
    <t>C(G,31)</t>
  </si>
  <si>
    <t>C(G,32)</t>
  </si>
  <si>
    <t>C(G,33)</t>
  </si>
  <si>
    <t>C(G,34)</t>
  </si>
  <si>
    <t>C(G,35)</t>
  </si>
  <si>
    <t>C(G,36)</t>
  </si>
  <si>
    <t>C(G,37)</t>
  </si>
  <si>
    <t>pv: rate constant viscera</t>
  </si>
  <si>
    <t>e0: muscle gain at maintenance</t>
  </si>
  <si>
    <t>pm: rate constant muscle</t>
  </si>
  <si>
    <t>cmei: viscera protein target - MEI</t>
  </si>
  <si>
    <t>cm: viscera protein target - muscle mass</t>
  </si>
  <si>
    <t>cmd: viscera protein target - M/D</t>
  </si>
  <si>
    <t>C(W,20)</t>
  </si>
  <si>
    <t>C(P,16)</t>
  </si>
  <si>
    <t>C(P,17)</t>
  </si>
  <si>
    <t>C(P,18)</t>
  </si>
  <si>
    <t>Conceptus energy - A</t>
  </si>
  <si>
    <t>Conceptus energy - B</t>
  </si>
  <si>
    <t>Conceptus energy - C</t>
  </si>
  <si>
    <t>Sheep Calc.xlsx 2023</t>
  </si>
  <si>
    <t>C(P,19)</t>
  </si>
  <si>
    <t>Scalar of conceptus growth based on dm/dt</t>
  </si>
  <si>
    <t>C(W,21)</t>
  </si>
  <si>
    <t>age in days</t>
  </si>
  <si>
    <t>Sheep Calc.xlsx</t>
  </si>
  <si>
    <t>Evaporative loss (implied that this is from the body, not respiration)</t>
  </si>
  <si>
    <t>bgf: HP associated with gain in fat</t>
  </si>
  <si>
    <t>bgm: HP associated with gain in muscle</t>
  </si>
  <si>
    <t>bgv: HP associated with gain in viscera</t>
  </si>
  <si>
    <t>bgw: HP associated with gain in wool</t>
  </si>
  <si>
    <t>blf: HP associated with loss in fat</t>
  </si>
  <si>
    <t>blm: HP associated with loss in muscle</t>
  </si>
  <si>
    <t>blv: HP associated with loss in viscera</t>
  </si>
  <si>
    <t>Nitrous oxide emissions</t>
  </si>
  <si>
    <t>Scalars</t>
  </si>
  <si>
    <t>N2O</t>
  </si>
  <si>
    <t>CO2</t>
  </si>
  <si>
    <t>Global Warming Potential and Conversion Factors</t>
  </si>
  <si>
    <t>GWP Factors</t>
  </si>
  <si>
    <t>Conversion Factors</t>
  </si>
  <si>
    <t>Gas</t>
  </si>
  <si>
    <t>Temperate emission factor (EFT)</t>
  </si>
  <si>
    <t>Faeces Emission Factor (N2O-N/N)</t>
  </si>
  <si>
    <t>Urine Emission Factor (N2O-N/N)</t>
  </si>
  <si>
    <t>$/seperator hr</t>
  </si>
  <si>
    <t>$/rotor hr</t>
  </si>
  <si>
    <t>harv_fuel_consumption ($/rotor hr)</t>
  </si>
  <si>
    <t>variable_dep_hr_harv</t>
  </si>
  <si>
    <t>variable_dep_hr_seeding</t>
  </si>
  <si>
    <t>variable_dep_hr_spraying</t>
  </si>
  <si>
    <t>variable_dep_hr_spreading</t>
  </si>
  <si>
    <t>%/ rotor hr</t>
  </si>
  <si>
    <t>%/ tractor hr</t>
  </si>
  <si>
    <t>%/ sprayer hr</t>
  </si>
  <si>
    <t>spraying allocation</t>
  </si>
  <si>
    <t>spreading allocation</t>
  </si>
  <si>
    <t>harvest_rate</t>
  </si>
  <si>
    <t>t/ machine hr</t>
  </si>
  <si>
    <t>*need to calibrate lupins harvest rate. And I think the rates might be too low for current times. E.g. Johno said 11t/hr canola and 28t/hr cereals.</t>
  </si>
  <si>
    <t>contract_harvest_rate</t>
  </si>
  <si>
    <t>ha/hr</t>
  </si>
  <si>
    <t>seeding_rate_base</t>
  </si>
  <si>
    <t>spraying_rate</t>
  </si>
  <si>
    <t>L/mach hr</t>
  </si>
  <si>
    <t>ha/mach hr</t>
  </si>
  <si>
    <t>urea</t>
  </si>
  <si>
    <t>early</t>
  </si>
  <si>
    <t>late</t>
  </si>
  <si>
    <t>C(N,8)</t>
  </si>
  <si>
    <t>Convert GR fat depth to CS - intercept</t>
  </si>
  <si>
    <t>van Burgel etal 2011</t>
  </si>
  <si>
    <t>C(N,9)</t>
  </si>
  <si>
    <t xml:space="preserve">                                              - slope</t>
  </si>
  <si>
    <t>C(N,10)</t>
  </si>
  <si>
    <t>EBW maturity effect - z slope</t>
  </si>
  <si>
    <t>Sheep calc-Oddy 2023</t>
  </si>
  <si>
    <t>C(N,11)</t>
  </si>
  <si>
    <t xml:space="preserve">                                  - z^2 slope</t>
  </si>
  <si>
    <t>C(N,12)</t>
  </si>
  <si>
    <t xml:space="preserve">                                  - intercept</t>
  </si>
  <si>
    <t>C(N,13)</t>
  </si>
  <si>
    <t xml:space="preserve">                                  - SRW scalar</t>
  </si>
  <si>
    <t>C(N,14)</t>
  </si>
  <si>
    <t>EBW diet effect - M/D slope</t>
  </si>
  <si>
    <t>C(N,15)</t>
  </si>
  <si>
    <t xml:space="preserve">                           - M/D^2 slope</t>
  </si>
  <si>
    <t>C(N,16)</t>
  </si>
  <si>
    <t xml:space="preserve">                           - intercept</t>
  </si>
  <si>
    <t>C(N,17)</t>
  </si>
  <si>
    <t>Fat mass - z slope</t>
  </si>
  <si>
    <t>C(N,18)</t>
  </si>
  <si>
    <t xml:space="preserve">               - z^2 slope</t>
  </si>
  <si>
    <t>C(N,19)</t>
  </si>
  <si>
    <t xml:space="preserve">               - intercept</t>
  </si>
  <si>
    <t>C(N,20)</t>
  </si>
  <si>
    <t>Viscera mass - z slope</t>
  </si>
  <si>
    <t>C(N,21)</t>
  </si>
  <si>
    <t xml:space="preserve">                      - z^2 slope</t>
  </si>
  <si>
    <t>C(N,22)</t>
  </si>
  <si>
    <t xml:space="preserve">                      - intercept</t>
  </si>
  <si>
    <t>Viscera mass - coefficient for entire males</t>
  </si>
  <si>
    <t>Sheep Calc.xlsx Oddy pers comm. 2023</t>
  </si>
  <si>
    <t>From Sheep Explorer &amp; Cattle Explorer December 2012 (downloaded Apr19) - CSIRO Plant Industries</t>
  </si>
  <si>
    <t>Impact of genotype on sale parameters</t>
  </si>
  <si>
    <t>Target muscle mass</t>
  </si>
  <si>
    <t>hr/yr</t>
  </si>
  <si>
    <t>hr/hd</t>
  </si>
  <si>
    <t>Extra labour per animal</t>
  </si>
  <si>
    <t>Fixed annual labour req</t>
  </si>
  <si>
    <t>SRW (&amp; m*) scalar for entire males relative to females</t>
  </si>
  <si>
    <t>SRW (&amp; m*) scalar for females</t>
  </si>
  <si>
    <t>SRW (&amp; m*) scalar for castrates relative to females</t>
  </si>
  <si>
    <t>Fat weight at birth (proportion of EBW)</t>
  </si>
  <si>
    <t>Viscera weight at birth (proportion of EBW)</t>
  </si>
  <si>
    <t>Muscle weight at birth (proportion of EBW)</t>
  </si>
  <si>
    <t>Oddy etal 2023 differs from Owens et al 1995</t>
  </si>
  <si>
    <t>Oddy etal 2023 differs from SCA (1990) implied pg43</t>
  </si>
  <si>
    <t>DM content of clean wool as shorn</t>
  </si>
  <si>
    <t>Dougherty etal 2020</t>
  </si>
  <si>
    <t>SRW of a single born dam of this genotype</t>
  </si>
  <si>
    <t>MJ / kgDM</t>
  </si>
  <si>
    <t>Cost of purchase unit (GST exc)</t>
  </si>
  <si>
    <t>10L</t>
  </si>
  <si>
    <t>Triguard</t>
  </si>
  <si>
    <t>LV 20L</t>
  </si>
  <si>
    <t>Elders: Feb23</t>
  </si>
  <si>
    <t>Vet Nov22</t>
  </si>
  <si>
    <t>DCoop: Sep22</t>
  </si>
  <si>
    <t>Elders: Feb21</t>
  </si>
  <si>
    <t>Tech Paper 2012 derived from Blaxter &amp; Clapperton (1965)</t>
  </si>
  <si>
    <t>kJ kg-1</t>
  </si>
  <si>
    <t>Urine/Faeces atmospheric deposition Emission Factor (N2O-N/N)</t>
  </si>
  <si>
    <t>Leach and Runoff Emission Factor (N2O-N/N)</t>
  </si>
  <si>
    <t>Other Factors</t>
  </si>
  <si>
    <t>Leaching and Runoff</t>
  </si>
  <si>
    <t>Atmospheric Deposition</t>
  </si>
  <si>
    <t>GracGASM</t>
  </si>
  <si>
    <t>FracWET</t>
  </si>
  <si>
    <t>FracLeach</t>
  </si>
  <si>
    <t>Fertiliser</t>
  </si>
  <si>
    <t>Urine/Dung</t>
  </si>
  <si>
    <t>Crop Residue</t>
  </si>
  <si>
    <t>Emission Factors - National Inventory Report (NIR)</t>
  </si>
  <si>
    <t>Stock</t>
  </si>
  <si>
    <t>Crop Residues</t>
  </si>
  <si>
    <t>Residue Emission Factor (N2O-N/N)</t>
  </si>
  <si>
    <t>Residue Burning Emission Factor (CH4)</t>
  </si>
  <si>
    <t>Residue Burning Emission Factor (N2O)</t>
  </si>
  <si>
    <t>Z</t>
  </si>
  <si>
    <t>Rbg</t>
  </si>
  <si>
    <t>NCb</t>
  </si>
  <si>
    <t>CCa</t>
  </si>
  <si>
    <t>NCa</t>
  </si>
  <si>
    <t>Crop &amp; Pasture Residues &amp; Burning</t>
  </si>
  <si>
    <t>FracRENEWAL</t>
  </si>
  <si>
    <t>Below-ground: above-ground residue ratio</t>
  </si>
  <si>
    <t>Above-ground</t>
  </si>
  <si>
    <t>Below-ground</t>
  </si>
  <si>
    <t>N content</t>
  </si>
  <si>
    <t>annual</t>
  </si>
  <si>
    <t>lucerne</t>
  </si>
  <si>
    <t>tedera</t>
  </si>
  <si>
    <t>understory</t>
  </si>
  <si>
    <t>Emission Factor CO2 (t CO2-e / kL)</t>
  </si>
  <si>
    <t>Emission Factor CH4 (t CO2-e / kL)</t>
  </si>
  <si>
    <t>Emission Factor N2O (t CO2-e / kL)</t>
  </si>
  <si>
    <t>h6 fuel slice</t>
  </si>
  <si>
    <t>price</t>
  </si>
  <si>
    <t>Urea Emission Factor (CO2-C/C)</t>
  </si>
  <si>
    <t>Limestone Emission Factor (CO2-C/C)</t>
  </si>
  <si>
    <t>Dolomite Emission Factor (CO2-C/C)</t>
  </si>
  <si>
    <t>Liming</t>
  </si>
  <si>
    <t>Fraction of Limestone</t>
  </si>
  <si>
    <t>Fraction Purity of limestone</t>
  </si>
  <si>
    <t>Fractional Purity of Dolomite</t>
  </si>
  <si>
    <t>Working Capital constraint included</t>
  </si>
  <si>
    <t>Working Capital Constraint</t>
  </si>
  <si>
    <t>18m, 8.5km/hr, 8% eff</t>
  </si>
  <si>
    <t>STUBBLE As Feed</t>
  </si>
  <si>
    <t>Crop Type</t>
  </si>
  <si>
    <t>HR</t>
  </si>
  <si>
    <t>Clover propn in stubble sward</t>
  </si>
  <si>
    <t>Feed efficiency</t>
  </si>
  <si>
    <t>Efficiency if LWG then LWL</t>
  </si>
  <si>
    <t>Note: The reduction in efficiency is oly required if animals will be rationed to achieve the simulated LW pattern. Which is the case with high quality green feed fed to ewes at maintenance in summer, or rotating to defer pasture in winter.</t>
  </si>
  <si>
    <t>Excel pre-calc inputs</t>
  </si>
  <si>
    <t>Inputs if a landuse is baled (with k axis)</t>
  </si>
  <si>
    <t>Growth scalar</t>
  </si>
  <si>
    <t>Regrowth scalar</t>
  </si>
  <si>
    <t>Propn baled</t>
  </si>
  <si>
    <t>Propn conserved</t>
  </si>
  <si>
    <t>STUBBLE PRECALCS</t>
  </si>
  <si>
    <t>Biomass scalar - total biomass production from the area baled net of respiration losses relative to biomass at harvest if not baled</t>
  </si>
  <si>
    <t>Harvest Index - amount of the target product (grain or hay to be baled) per unit of biomass at harvest (which is the unit of the biomass DV)</t>
  </si>
  <si>
    <t>Proportion harvested</t>
  </si>
  <si>
    <t>Losses</t>
  </si>
  <si>
    <t>Quantity decay (%/d)</t>
  </si>
  <si>
    <t>Quality deterioration (%/d)</t>
  </si>
  <si>
    <t>Trampling losses</t>
  </si>
  <si>
    <t>Stubble category quality</t>
  </si>
  <si>
    <t>c</t>
  </si>
  <si>
    <t>e</t>
  </si>
  <si>
    <t>g</t>
  </si>
  <si>
    <t>DMD</t>
  </si>
  <si>
    <t>Crude Protein</t>
  </si>
  <si>
    <t>Paddock Trial Info</t>
  </si>
  <si>
    <t>Data source - Ed Riggall 2018</t>
  </si>
  <si>
    <t>Trial 0</t>
  </si>
  <si>
    <t>Trial 1</t>
  </si>
  <si>
    <t>Trial 2</t>
  </si>
  <si>
    <t>Trial 3</t>
  </si>
  <si>
    <t>Trial 4</t>
  </si>
  <si>
    <t>Trial 5</t>
  </si>
  <si>
    <t>Trial 6</t>
  </si>
  <si>
    <t>Trial 7</t>
  </si>
  <si>
    <t>Trial 8</t>
  </si>
  <si>
    <t>Trial 9</t>
  </si>
  <si>
    <t>Trial 10</t>
  </si>
  <si>
    <t>Trial 11</t>
  </si>
  <si>
    <t>Trial 12</t>
  </si>
  <si>
    <t>Trial 13</t>
  </si>
  <si>
    <t>Trial 16</t>
  </si>
  <si>
    <t>Trial 17</t>
  </si>
  <si>
    <t>Trial 18</t>
  </si>
  <si>
    <t>Trial 19</t>
  </si>
  <si>
    <t>Trial 20</t>
  </si>
  <si>
    <t>Trial 21</t>
  </si>
  <si>
    <t>Trial 22</t>
  </si>
  <si>
    <t>Trial 23</t>
  </si>
  <si>
    <t>Trial 24</t>
  </si>
  <si>
    <t>Trial 25</t>
  </si>
  <si>
    <t>Trial 26</t>
  </si>
  <si>
    <t>Trial 27</t>
  </si>
  <si>
    <t>Trial 30</t>
  </si>
  <si>
    <t>Trial 31</t>
  </si>
  <si>
    <t>AgPro</t>
  </si>
  <si>
    <t>Desktop</t>
  </si>
  <si>
    <t>Dandaragan</t>
  </si>
  <si>
    <t>Merredin</t>
  </si>
  <si>
    <t>Tammin</t>
  </si>
  <si>
    <t>Warradarge</t>
  </si>
  <si>
    <t>tenterden</t>
  </si>
  <si>
    <t>Koji</t>
  </si>
  <si>
    <t>Cranbrook</t>
  </si>
  <si>
    <t>White</t>
  </si>
  <si>
    <t>Bignell</t>
  </si>
  <si>
    <t>Letter</t>
  </si>
  <si>
    <t>White - XB</t>
  </si>
  <si>
    <t>Scanlon - Mer</t>
  </si>
  <si>
    <t>Watts - Mer</t>
  </si>
  <si>
    <t>Gooding - Mer</t>
  </si>
  <si>
    <t>Gooding - XB</t>
  </si>
  <si>
    <t>John</t>
  </si>
  <si>
    <t>Wheat_Harv</t>
  </si>
  <si>
    <t>barley_Cart</t>
  </si>
  <si>
    <t>barley_Harv</t>
  </si>
  <si>
    <t>canola_Cart</t>
  </si>
  <si>
    <t>canola_Harv</t>
  </si>
  <si>
    <t>wheat_cart</t>
  </si>
  <si>
    <t>wheat_Harv</t>
  </si>
  <si>
    <t>Canola_Cart</t>
  </si>
  <si>
    <t>Canola_Harv</t>
  </si>
  <si>
    <t>Wheat_Cart</t>
  </si>
  <si>
    <t>Lupin_Graz</t>
  </si>
  <si>
    <t>Oat_Graz</t>
  </si>
  <si>
    <t>Lupin_Harv</t>
  </si>
  <si>
    <t>General</t>
  </si>
  <si>
    <t>Include</t>
  </si>
  <si>
    <t>Trial  comencement</t>
  </si>
  <si>
    <t>Days after harvest</t>
  </si>
  <si>
    <t>Sim length (weeks)</t>
  </si>
  <si>
    <t>Trial SR (hd/ha)</t>
  </si>
  <si>
    <t>Biomass use</t>
  </si>
  <si>
    <t>Cart</t>
  </si>
  <si>
    <t>Crop key</t>
  </si>
  <si>
    <t>Trial crop yield harvested (kg/ha)</t>
  </si>
  <si>
    <t>Total yield (kg/ha)</t>
  </si>
  <si>
    <t>Animal</t>
  </si>
  <si>
    <t>GFW (kg)</t>
  </si>
  <si>
    <t>Fibre diameter (u)</t>
  </si>
  <si>
    <t>Fleece length (cm)</t>
  </si>
  <si>
    <t>fat propn</t>
  </si>
  <si>
    <t>Note: These values not connected. Using f_body_composition</t>
  </si>
  <si>
    <t>viscera propn</t>
  </si>
  <si>
    <t>muscle propn</t>
  </si>
  <si>
    <t>Foetus weight</t>
  </si>
  <si>
    <t>Prior M/D</t>
  </si>
  <si>
    <t>dams</t>
  </si>
  <si>
    <t>offs</t>
  </si>
  <si>
    <t>dam b1 propn</t>
  </si>
  <si>
    <t>NM</t>
  </si>
  <si>
    <t>00</t>
  </si>
  <si>
    <t>11</t>
  </si>
  <si>
    <t>22</t>
  </si>
  <si>
    <t>33</t>
  </si>
  <si>
    <t>21</t>
  </si>
  <si>
    <t>32</t>
  </si>
  <si>
    <t>31</t>
  </si>
  <si>
    <t>10</t>
  </si>
  <si>
    <t>20</t>
  </si>
  <si>
    <t>30</t>
  </si>
  <si>
    <t>offs b0 propn</t>
  </si>
  <si>
    <t xml:space="preserve">Yatf </t>
  </si>
  <si>
    <t>lw (kg)</t>
  </si>
  <si>
    <t>Fleece length</t>
  </si>
  <si>
    <t>Genotype</t>
  </si>
  <si>
    <t>Genotype of each group</t>
  </si>
  <si>
    <t>B</t>
  </si>
  <si>
    <t>M</t>
  </si>
  <si>
    <t>T</t>
  </si>
  <si>
    <t>Genotype group</t>
  </si>
  <si>
    <t>Management</t>
  </si>
  <si>
    <t>Lambing date</t>
  </si>
  <si>
    <t>Shear date</t>
  </si>
  <si>
    <t>Weather</t>
  </si>
  <si>
    <t>Average windspeed (ms-1)</t>
  </si>
  <si>
    <t>Average rainfall</t>
  </si>
  <si>
    <t>Average temp max</t>
  </si>
  <si>
    <t>Average temp min</t>
  </si>
  <si>
    <t>Average temp</t>
  </si>
  <si>
    <t>Feed</t>
  </si>
  <si>
    <t>Gooding dates</t>
  </si>
  <si>
    <t>supplement intake (kg/hd/d)</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</si>
  <si>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</si>
  <si>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</si>
  <si>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</si>
  <si>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</si>
  <si>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</si>
  <si>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</si>
  <si>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</si>
  <si>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</si>
  <si>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</si>
  <si>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</si>
  <si>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</si>
  <si>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</si>
  <si>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</si>
  <si>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</si>
  <si>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</si>
  <si>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</si>
  <si>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</si>
  <si>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</si>
  <si>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</si>
  <si>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</si>
  <si>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Liveweight - fitted quadratic</t>
  </si>
  <si>
    <t>Quadratic params (LW = a GD^2 + b GD + c)  GD is 100 grazing days</t>
  </si>
  <si>
    <t>Trial Used</t>
  </si>
  <si>
    <t>Oddy pers comm. 2024</t>
  </si>
  <si>
    <t>bgc: HP associated with gain in conceptus</t>
  </si>
  <si>
    <t>bgl: HP associated with gain in milk</t>
  </si>
  <si>
    <t>bgc exponent: HP associated with gain in conceptus</t>
  </si>
  <si>
    <t>bgc intercept: HP associated with gain in conceptus</t>
  </si>
  <si>
    <t>bf: HP from body fat</t>
  </si>
  <si>
    <t>C(M,23)</t>
  </si>
  <si>
    <t>C(M,24)</t>
  </si>
  <si>
    <t>C(M,26)</t>
  </si>
  <si>
    <t>C(M,25)</t>
  </si>
  <si>
    <t>Graham et al. 1974</t>
  </si>
  <si>
    <t>Oddy et al. 2024</t>
  </si>
  <si>
    <t>ms</t>
  </si>
  <si>
    <t>energy</t>
  </si>
  <si>
    <t xml:space="preserve"> (MJ / t DM)</t>
  </si>
  <si>
    <t>cp</t>
  </si>
  <si>
    <t>dry matter content</t>
  </si>
  <si>
    <t>prop consumed</t>
  </si>
  <si>
    <t>prop consumed confinement</t>
  </si>
  <si>
    <t>Ag Commodity Prices (2024). See AFO calibration 'AFO Summary of Wool &amp; Meat Percentiles and Timeframes inc SS &amp; SL.xlsx'</t>
  </si>
  <si>
    <t>Mecardo Sep 2021d SL in 17micron (see AFO Summary of Wool &amp; Meat Percentiles and Timeframes inc SS &amp; SL.xlsx for derivation)</t>
  </si>
  <si>
    <t>Mecardo March 2024, 5 &amp; 10 year median prices (see AFO Summary of Wool &amp; Meat Percentiles and Timeframes inc SS &amp; SL.xlsx for derivation)</t>
  </si>
  <si>
    <t>Optimum range</t>
  </si>
  <si>
    <t>Threshold SL</t>
  </si>
  <si>
    <t>SS for 0 P&amp;D</t>
  </si>
  <si>
    <t>Exponential b</t>
  </si>
  <si>
    <t>Exponential a</t>
  </si>
  <si>
    <t>17u value</t>
  </si>
  <si>
    <t>Upper limit</t>
  </si>
  <si>
    <t>Lower limit</t>
  </si>
  <si>
    <t>Drop</t>
  </si>
  <si>
    <t>Above</t>
  </si>
  <si>
    <t>Below</t>
  </si>
  <si>
    <t>Top</t>
  </si>
  <si>
    <t>SL parameters</t>
  </si>
  <si>
    <t>slope</t>
  </si>
  <si>
    <t>SS parameters</t>
  </si>
  <si>
    <t>Staple Strength &amp; Staple length price information:</t>
  </si>
  <si>
    <t>Percentiles Finewool Andrew Woods, broad extrapolated from the 20 yr premium (Mecardo Nov 2022 a&amp;b for Merino &amp; XB (XB was quoted relative to 22u Merino))</t>
  </si>
  <si>
    <t>Wool desk (Lindy Coss) 2011 (FD x H by sellyr origin.xls)</t>
  </si>
  <si>
    <t>Fine: Andrew Woods pers comm. Medium: Ag Commodity Prices 2024. https://agprice.sfs.org.au/. Accessed 20 May 2024. Broad: Mecardo Nov 2022. See AFO calibration folder (AFO Summary of Wool &amp; Meat Percentiles and Timeframes inc SS &amp; SL.xlsx) for source calculations</t>
  </si>
  <si>
    <t>Percentile level (10yr to Dec23)</t>
  </si>
  <si>
    <t>Energy associated with wool base (1kg clean, dry fibre)</t>
  </si>
  <si>
    <t>Young 2024 from Palladines et al 1964 &amp; Thornberry Atkins 1984.</t>
  </si>
  <si>
    <t>MJ / kg WB</t>
  </si>
  <si>
    <t>C(W,22)</t>
  </si>
  <si>
    <t>Weight of 'clean' wool relative to wool base (Schlumberger dry yield)</t>
  </si>
  <si>
    <t>Barry 2008</t>
  </si>
  <si>
    <t>Ag Commodity Prices Nominal Dec2013-Dec2023.</t>
  </si>
  <si>
    <t>26Jul24: Add this version control table
1Apr19-Created the version control table</t>
  </si>
  <si>
    <t>incur_rail_cost</t>
  </si>
  <si>
    <t>C(G,38)</t>
  </si>
  <si>
    <t>Oddy rule of thumb</t>
  </si>
  <si>
    <t>Energy calculations</t>
  </si>
  <si>
    <t>C(K,29)</t>
  </si>
  <si>
    <t>C(K,30)</t>
  </si>
  <si>
    <t>C(K,31)</t>
  </si>
  <si>
    <t>C(K,32)</t>
  </si>
  <si>
    <t>C(K,34)</t>
  </si>
  <si>
    <t>C(K,33)</t>
  </si>
  <si>
    <t>C(K,35)</t>
  </si>
  <si>
    <t>C(K,36)</t>
  </si>
  <si>
    <t>kl: lactation intercept (for MU function)</t>
  </si>
  <si>
    <t>kl: lctation slope (for MU function)</t>
  </si>
  <si>
    <t>kc: foetal growth (for MU function)</t>
  </si>
  <si>
    <t>kf: fat, gaining energy (for MU function)</t>
  </si>
  <si>
    <t>kf: fat, mobilising energy (for MU function)</t>
  </si>
  <si>
    <t>kp: protein, gaining energy (for MU function)</t>
  </si>
  <si>
    <t>kp: protein, mobilising energy (for MU function)</t>
  </si>
  <si>
    <t>Oddy et al. 2024</t>
  </si>
  <si>
    <t>C(K,37)</t>
  </si>
  <si>
    <t>kg: for milk diet (milk consumtpion MU function)</t>
  </si>
  <si>
    <t>Proportion of the lean weight that is viscera (for CS &amp; MU)</t>
  </si>
  <si>
    <t>Proportion of the protein energy that is viscera (for CS &amp; MU)</t>
  </si>
  <si>
    <t>Conversion</t>
  </si>
  <si>
    <t>C(G,39)</t>
  </si>
  <si>
    <t>is_supp</t>
  </si>
  <si>
    <t>supp_inc</t>
  </si>
  <si>
    <t>is_crop</t>
  </si>
  <si>
    <t>idx_k3</t>
  </si>
  <si>
    <t>LIVESTOCK FEED - Grain is a Supplementary feed</t>
  </si>
  <si>
    <t>Percentile level (10yrs to Dec 23)</t>
  </si>
  <si>
    <t>C(P,15)</t>
  </si>
  <si>
    <t>Normal birth weight scalar: see also C_L0[15,x]</t>
  </si>
  <si>
    <t>Scalar for use with SA</t>
  </si>
  <si>
    <t>lf</t>
  </si>
  <si>
    <t>C(K,38)</t>
  </si>
  <si>
    <t>kw: wool intercept (for MU function)</t>
  </si>
  <si>
    <t>kw: wool slope (for MU function)</t>
  </si>
  <si>
    <t>Young 2025 from Oddy etal 2024 (with /km in code)</t>
  </si>
  <si>
    <t>Fuel use</t>
  </si>
  <si>
    <t>seeder_maint</t>
  </si>
  <si>
    <t>crop_scalar</t>
  </si>
  <si>
    <t>$/mach hr</t>
  </si>
  <si>
    <t>truck and chaser R&amp;M</t>
  </si>
  <si>
    <t>$/hr of harvest activity</t>
  </si>
  <si>
    <t>calibration</t>
  </si>
  <si>
    <t>SFD</t>
  </si>
  <si>
    <t>SFW</t>
  </si>
  <si>
    <t>SRW</t>
  </si>
  <si>
    <t>C(W,23)</t>
  </si>
  <si>
    <t>MLP site data</t>
  </si>
  <si>
    <t>C(W,24)</t>
  </si>
  <si>
    <t>Lower age limit when the SFW scalar begins increasing</t>
  </si>
  <si>
    <t>C(W,25)</t>
  </si>
  <si>
    <t>Upper age limit when SFW scalar equal 1</t>
  </si>
  <si>
    <t>n i r k m rd a p l w c g h f d e x b0 lo l1 u0 u1 u2</t>
  </si>
  <si>
    <t>C(W,26)</t>
  </si>
  <si>
    <t>Scalar of SFW for young animals (hoggets relative to adults)</t>
  </si>
  <si>
    <t>Scalar of 'cfw_ave' to alter FD of young animals (hoggets relative to adults)</t>
  </si>
  <si>
    <t>C(U2,26,0)</t>
  </si>
  <si>
    <t>C(U2,26,2)</t>
  </si>
  <si>
    <t>C(U2,26,1)</t>
  </si>
  <si>
    <t>C(U2,26,3)</t>
  </si>
  <si>
    <t>C(U2,26,4)</t>
  </si>
  <si>
    <t>C(U2,26,5)</t>
  </si>
  <si>
    <t>C(U2,26,6)</t>
  </si>
  <si>
    <t>C(U2,26,7)</t>
  </si>
  <si>
    <t>C(U2,26,8)</t>
  </si>
  <si>
    <t>C(U2,26,9)</t>
  </si>
  <si>
    <t>C(U2,26,10)</t>
  </si>
  <si>
    <t>C(U2,26,11)</t>
  </si>
  <si>
    <t>C(U2,26,-1)</t>
  </si>
  <si>
    <t>C(L1,26,0)</t>
  </si>
  <si>
    <t>C(L1,26,1)</t>
  </si>
  <si>
    <t>C(L1,26,2)</t>
  </si>
  <si>
    <t>C(L1,26,3)</t>
  </si>
  <si>
    <t>C(L0,26,0)</t>
  </si>
  <si>
    <t>C(L0,26,1)</t>
  </si>
  <si>
    <t>C(L0,26,2)</t>
  </si>
  <si>
    <t>C(L0,26,3)</t>
  </si>
  <si>
    <t>C(U2,26,12)</t>
  </si>
  <si>
    <t>C(U2,26,13)</t>
  </si>
  <si>
    <t xml:space="preserve">                                                        CS ^ 2</t>
  </si>
  <si>
    <t xml:space="preserve">                                                        CS</t>
  </si>
  <si>
    <t>C(U2,24,12)</t>
  </si>
  <si>
    <t>C(U2,24,13)</t>
  </si>
  <si>
    <t>C(U2,25,12)</t>
  </si>
  <si>
    <t>C(U2,25,13)</t>
  </si>
  <si>
    <t xml:space="preserve">                    Linear 7</t>
  </si>
  <si>
    <t xml:space="preserve">                    Quad 7</t>
  </si>
  <si>
    <t>Ewe Mortality v5e.xlsx #22</t>
  </si>
  <si>
    <t xml:space="preserve">                          Quad 6</t>
  </si>
  <si>
    <t xml:space="preserve">                          Linear 7</t>
  </si>
  <si>
    <t xml:space="preserve">                          Quad 7</t>
  </si>
  <si>
    <t>C(U1,19,0)</t>
  </si>
  <si>
    <t>C(U1,19,1)</t>
  </si>
  <si>
    <t>C(U1,19,2)</t>
  </si>
  <si>
    <t>C(U1,19,3)</t>
  </si>
  <si>
    <t>C(U1,19,4)</t>
  </si>
  <si>
    <t>C(U1,19,5)</t>
  </si>
  <si>
    <t>C(U1,19,6)</t>
  </si>
  <si>
    <t>C(U1,19,-1)</t>
  </si>
  <si>
    <t>C(U2,27,0)</t>
  </si>
  <si>
    <t>C(U2,27,1)</t>
  </si>
  <si>
    <t>C(U2,27,2)</t>
  </si>
  <si>
    <t>C(U2,27,3)</t>
  </si>
  <si>
    <t>C(U2,27,4)</t>
  </si>
  <si>
    <t>C(U2,27,5)</t>
  </si>
  <si>
    <t>C(U2,27,6)</t>
  </si>
  <si>
    <t>C(U2,27,7)</t>
  </si>
  <si>
    <t>C(U2,27,-1)</t>
  </si>
  <si>
    <t>EweLamb Dam mortality MU2: Dam LW at joining</t>
  </si>
  <si>
    <t xml:space="preserve">                                                     Dam LWj^2</t>
  </si>
  <si>
    <t>Ewe Mortality v5e.xlsx #18</t>
  </si>
  <si>
    <t>Note: Doesn't differentiate Mer &amp; Composites</t>
  </si>
  <si>
    <t xml:space="preserve">                                                     Linear 4</t>
  </si>
  <si>
    <t xml:space="preserve">                                                     Quad 4</t>
  </si>
  <si>
    <t xml:space="preserve">                                                     Linear 5</t>
  </si>
  <si>
    <t xml:space="preserve">                                                     Quad 5</t>
  </si>
  <si>
    <t xml:space="preserve">                                                     Linear 6</t>
  </si>
  <si>
    <t xml:space="preserve">                                                     Quad 6</t>
  </si>
  <si>
    <t xml:space="preserve">                                                     Linear 7</t>
  </si>
  <si>
    <t xml:space="preserve">                                                     Quad 7</t>
  </si>
  <si>
    <t xml:space="preserve">                                                     intercept (includes an adjustment for genotype)</t>
  </si>
  <si>
    <t>Copy of Twin values</t>
  </si>
  <si>
    <t>Jason EL project</t>
  </si>
  <si>
    <t>C(L0,27,0)</t>
  </si>
  <si>
    <t>C(L0,27,1)</t>
  </si>
  <si>
    <t>C(L0,27,2)</t>
  </si>
  <si>
    <t>C(L0,27,3)</t>
  </si>
  <si>
    <t>C(L0,28,0)</t>
  </si>
  <si>
    <t>C(L0,28,1)</t>
  </si>
  <si>
    <t>C(L0,28,2)</t>
  </si>
  <si>
    <t>C(L0,28,3)</t>
  </si>
  <si>
    <t>C(L0,29,0)</t>
  </si>
  <si>
    <t>C(L0,29,1)</t>
  </si>
  <si>
    <t>C(L0,29,2)</t>
  </si>
  <si>
    <t>C(L0,29,3)</t>
  </si>
  <si>
    <t>C(L0,30,0)</t>
  </si>
  <si>
    <t>C(L0,30,1)</t>
  </si>
  <si>
    <t>C(L0,30,2)</t>
  </si>
  <si>
    <t>C(L0,30,3)</t>
  </si>
  <si>
    <t>See LambSurv v5i.xlsx #20&amp;21</t>
  </si>
  <si>
    <t>C(L0,31,0)</t>
  </si>
  <si>
    <t>C(L0,31,1)</t>
  </si>
  <si>
    <t>C(L0,31,2)</t>
  </si>
  <si>
    <t>C(L0,31,3)</t>
  </si>
  <si>
    <t>C(L0,32,0)</t>
  </si>
  <si>
    <t>C(L0,32,1)</t>
  </si>
  <si>
    <t>C(L0,32,2)</t>
  </si>
  <si>
    <t>C(L0,32,3)</t>
  </si>
  <si>
    <t>C(L0,33,0)</t>
  </si>
  <si>
    <t>C(L0,33,1)</t>
  </si>
  <si>
    <t>C(L0,33,2)</t>
  </si>
  <si>
    <t>C(L0,33,3)</t>
  </si>
  <si>
    <t>C(L0,34,0)</t>
  </si>
  <si>
    <t>C(L0,34,1)</t>
  </si>
  <si>
    <t>C(L0,34,2)</t>
  </si>
  <si>
    <t>C(L0,34,3)</t>
  </si>
  <si>
    <t>C(L0,35,0)</t>
  </si>
  <si>
    <t>C(L0,35,1)</t>
  </si>
  <si>
    <t>C(L0,35,2)</t>
  </si>
  <si>
    <t>C(L0,35,3)</t>
  </si>
  <si>
    <t>C(L0,36,0)</t>
  </si>
  <si>
    <t>C(L0,36,1)</t>
  </si>
  <si>
    <t>C(L0,36,2)</t>
  </si>
  <si>
    <t>C(L0,36,3)</t>
  </si>
  <si>
    <t>C(L0,37,0)</t>
  </si>
  <si>
    <t>C(L0,37,1)</t>
  </si>
  <si>
    <t>C(L0,37,2)</t>
  </si>
  <si>
    <t>C(L0,37,3)</t>
  </si>
  <si>
    <t>C(L1,27,0)</t>
  </si>
  <si>
    <t>C(L1,27,1)</t>
  </si>
  <si>
    <t>C(L1,27,2)</t>
  </si>
  <si>
    <t>C(L1,27,3)</t>
  </si>
  <si>
    <t>C(L1,28,0)</t>
  </si>
  <si>
    <t>C(L1,28,1)</t>
  </si>
  <si>
    <t>C(L1,28,2)</t>
  </si>
  <si>
    <t>C(L1,28,3)</t>
  </si>
  <si>
    <t>C(L1,29,0)</t>
  </si>
  <si>
    <t>C(L1,29,1)</t>
  </si>
  <si>
    <t>C(L1,29,2)</t>
  </si>
  <si>
    <t>C(L1,29,3)</t>
  </si>
  <si>
    <t>C(L1,30,0)</t>
  </si>
  <si>
    <t>C(L1,30,1)</t>
  </si>
  <si>
    <t>C(L1,30,2)</t>
  </si>
  <si>
    <t>C(L1,30,3)</t>
  </si>
  <si>
    <t>C(L1,31,0)</t>
  </si>
  <si>
    <t>C(L1,31,1)</t>
  </si>
  <si>
    <t>C(L1,31,2)</t>
  </si>
  <si>
    <t>C(L1,31,3)</t>
  </si>
  <si>
    <t>C(L1,32,0)</t>
  </si>
  <si>
    <t>C(L1,32,1)</t>
  </si>
  <si>
    <t>C(L1,32,2)</t>
  </si>
  <si>
    <t>C(L1,32,3)</t>
  </si>
  <si>
    <t>C(L1,33,0)</t>
  </si>
  <si>
    <t>C(L1,33,1)</t>
  </si>
  <si>
    <t>C(L1,33,2)</t>
  </si>
  <si>
    <t>C(L1,33,3)</t>
  </si>
  <si>
    <t>C(L1,34,0)</t>
  </si>
  <si>
    <t>C(L1,34,1)</t>
  </si>
  <si>
    <t>C(L1,34,2)</t>
  </si>
  <si>
    <t>C(L1,34,3)</t>
  </si>
  <si>
    <t>C(L1,35,0)</t>
  </si>
  <si>
    <t>C(L1,35,1)</t>
  </si>
  <si>
    <t>C(L1,35,2)</t>
  </si>
  <si>
    <t>C(L1,35,3)</t>
  </si>
  <si>
    <t>C(L1,36,0)</t>
  </si>
  <si>
    <t>C(L1,36,1)</t>
  </si>
  <si>
    <t>C(L1,36,2)</t>
  </si>
  <si>
    <t>C(L1,36,3)</t>
  </si>
  <si>
    <t>C(L1,37,0)</t>
  </si>
  <si>
    <t>C(L1,37,1)</t>
  </si>
  <si>
    <t>C(L1,37,2)</t>
  </si>
  <si>
    <t>C(L1,37,3)</t>
  </si>
  <si>
    <t>Fert info</t>
  </si>
  <si>
    <t>Enter parameters for the expected fertiliser being applied in each cetegory. This info is used to calculate application time.</t>
  </si>
  <si>
    <t>*info source from csbp</t>
  </si>
  <si>
    <t>fertiliser category</t>
  </si>
  <si>
    <t>price ($/t)</t>
  </si>
  <si>
    <t>fert_density</t>
  </si>
  <si>
    <t>N proportion</t>
  </si>
  <si>
    <t>propn of N that is urea</t>
  </si>
  <si>
    <t>Crop - Inorganic Fert Emission Factor (N2O-N/N)</t>
  </si>
  <si>
    <t>Pasture - Inorganic Fert Emission Factor (N2O-N/N)</t>
  </si>
  <si>
    <t>Crop - Inorganic Fert  atmospheric deposition Emission Factor (N2O-N/N)</t>
  </si>
  <si>
    <t>Pasture - Inorganic Fert  atmospheric deposition Emission Factor (N2O-N/N)</t>
  </si>
  <si>
    <t>super</t>
  </si>
  <si>
    <t>60map40mop</t>
  </si>
  <si>
    <t>map</t>
  </si>
  <si>
    <t>ns31</t>
  </si>
  <si>
    <t>soa</t>
  </si>
  <si>
    <t>Ewe Lambs</t>
  </si>
  <si>
    <t>Adults</t>
  </si>
  <si>
    <t>Not used. Set aside for standard day of joining  - Yearling</t>
  </si>
  <si>
    <t>Not used. Set aside for standard single survival  - Yearling</t>
  </si>
  <si>
    <t>Not used. Set aside for standard twin survival  - Yearling</t>
  </si>
  <si>
    <t>Not used. Set aside for standard triplet survival  - Yearling</t>
  </si>
  <si>
    <t>Not used. Scan standard. CS=3 (RC=1, NLB=0) - Yearling</t>
  </si>
  <si>
    <t>2 tooths</t>
  </si>
  <si>
    <t>Not used: Prediction of: Linear 1 measure at the end</t>
  </si>
  <si>
    <t>Not used: Prediction of: Linear 1</t>
  </si>
  <si>
    <t xml:space="preserve">                          Sundry</t>
  </si>
  <si>
    <t>C(U2,23,-2)</t>
  </si>
  <si>
    <t>Triplets project for adults</t>
  </si>
  <si>
    <t>Ewe Mortality v5-c.xlsx #21</t>
  </si>
  <si>
    <t xml:space="preserve">                      Linear 1 change during joining</t>
  </si>
  <si>
    <t xml:space="preserve">                      Linear 1 change during early preg</t>
  </si>
  <si>
    <t xml:space="preserve">                      Linear 1 change during late preg</t>
  </si>
  <si>
    <t xml:space="preserve">                      Linear 1 change during lactation</t>
  </si>
  <si>
    <t>C(U1,0,1)</t>
  </si>
  <si>
    <t>C(U1,0,3)</t>
  </si>
  <si>
    <t>C(U1,0,5)</t>
  </si>
  <si>
    <t xml:space="preserve">                                               Quad 1</t>
  </si>
  <si>
    <t xml:space="preserve">                                                       - Quad 2</t>
  </si>
  <si>
    <t xml:space="preserve">                                                       - Quad 3</t>
  </si>
  <si>
    <t xml:space="preserve">                                                       - Quad 4</t>
  </si>
  <si>
    <t xml:space="preserve">                                                       - Quad 5</t>
  </si>
  <si>
    <t xml:space="preserve">                                                       - Quad 6</t>
  </si>
  <si>
    <t xml:space="preserve">                                                       - Quad 7</t>
  </si>
  <si>
    <t xml:space="preserve">                       LWC during joining - Linear 2</t>
  </si>
  <si>
    <t xml:space="preserve">                       LWC early preg - Linear 3</t>
  </si>
  <si>
    <t xml:space="preserve">                       LWC late preg - Linear 4</t>
  </si>
  <si>
    <t xml:space="preserve">                       LWC lactation - Linear 5</t>
  </si>
  <si>
    <t xml:space="preserve">                       LWC post wean - Linear 6</t>
  </si>
  <si>
    <t>Not used: Prediction of: LW at joining - Linear</t>
  </si>
  <si>
    <t xml:space="preserve">                                         Join wt ^ 2</t>
  </si>
  <si>
    <t xml:space="preserve">                                         intercept (includes an adjustment  for inc chill)</t>
  </si>
  <si>
    <t xml:space="preserve">JTAgri EL project. See </t>
  </si>
  <si>
    <t>C(U6,0,0)</t>
  </si>
  <si>
    <t>C(U6,0,1)</t>
  </si>
  <si>
    <t>C(U6,0,2)</t>
  </si>
  <si>
    <t>C(U6,0,3)</t>
  </si>
  <si>
    <t>C(U6,0,4)</t>
  </si>
  <si>
    <t>C(U6,0,5)</t>
  </si>
  <si>
    <t>C(U6,0,6)</t>
  </si>
  <si>
    <t>C(U6,0,7)</t>
  </si>
  <si>
    <t>C(U6,0,-1)</t>
  </si>
  <si>
    <t>C(U6,1,0)</t>
  </si>
  <si>
    <t>C(U6,1,1)</t>
  </si>
  <si>
    <t>C(U6,1,2)</t>
  </si>
  <si>
    <t>C(U6,1,3)</t>
  </si>
  <si>
    <t>C(U6,1,4)</t>
  </si>
  <si>
    <t>C(U6,1,5)</t>
  </si>
  <si>
    <t>C(U6,1,6)</t>
  </si>
  <si>
    <t>C(U6,1,7)</t>
  </si>
  <si>
    <t>C(U6,1,-1)</t>
  </si>
  <si>
    <t>C(U6,2,0)</t>
  </si>
  <si>
    <t>C(U6,2,1)</t>
  </si>
  <si>
    <t>C(U6,2,2)</t>
  </si>
  <si>
    <t>C(U6,2,3)</t>
  </si>
  <si>
    <t>C(U6,2,4)</t>
  </si>
  <si>
    <t>C(U6,2,5)</t>
  </si>
  <si>
    <t>C(U6,2,6)</t>
  </si>
  <si>
    <t>C(U6,2,7)</t>
  </si>
  <si>
    <t>C(U6,2,-1)</t>
  </si>
  <si>
    <t>C(U6,3,0)</t>
  </si>
  <si>
    <t>C(U6,3,1)</t>
  </si>
  <si>
    <t>C(U6,3,2)</t>
  </si>
  <si>
    <t>C(U6,3,3)</t>
  </si>
  <si>
    <t>C(U6,3,4)</t>
  </si>
  <si>
    <t>C(U6,3,5)</t>
  </si>
  <si>
    <t>C(U6,3,6)</t>
  </si>
  <si>
    <t>C(U6,3,7)</t>
  </si>
  <si>
    <t>C(U6,3,-1)</t>
  </si>
  <si>
    <t>C(U6,4,0)</t>
  </si>
  <si>
    <t>C(U6,4,1)</t>
  </si>
  <si>
    <t>C(U6,4,2)</t>
  </si>
  <si>
    <t>C(U6,4,3)</t>
  </si>
  <si>
    <t>C(U6,4,4)</t>
  </si>
  <si>
    <t>C(U6,4,5)</t>
  </si>
  <si>
    <t>C(U6,4,6)</t>
  </si>
  <si>
    <t>C(U6,4,7)</t>
  </si>
  <si>
    <t>C(U6,4,-1)</t>
  </si>
  <si>
    <t>C(U6,5,0)</t>
  </si>
  <si>
    <t>C(U6,5,1)</t>
  </si>
  <si>
    <t>C(U6,5,2)</t>
  </si>
  <si>
    <t>C(U6,5,3)</t>
  </si>
  <si>
    <t>C(U6,5,4)</t>
  </si>
  <si>
    <t>C(U6,5,5)</t>
  </si>
  <si>
    <t>C(U6,5,6)</t>
  </si>
  <si>
    <t>C(U6,5,7)</t>
  </si>
  <si>
    <t>C(U6,5,-1)</t>
  </si>
  <si>
    <t>C(U6,6,0)</t>
  </si>
  <si>
    <t>C(U6,6,1)</t>
  </si>
  <si>
    <t>C(U6,6,2)</t>
  </si>
  <si>
    <t>C(U6,6,3)</t>
  </si>
  <si>
    <t>C(U6,6,4)</t>
  </si>
  <si>
    <t>C(U6,6,5)</t>
  </si>
  <si>
    <t>C(U6,6,6)</t>
  </si>
  <si>
    <t>C(U6,6,7)</t>
  </si>
  <si>
    <t>C(U6,6,-1)</t>
  </si>
  <si>
    <t>C(U6,7,0)</t>
  </si>
  <si>
    <t>C(U6,7,1)</t>
  </si>
  <si>
    <t>C(U6,7,2)</t>
  </si>
  <si>
    <t>C(U6,7,3)</t>
  </si>
  <si>
    <t>C(U6,7,4)</t>
  </si>
  <si>
    <t>C(U6,7,5)</t>
  </si>
  <si>
    <t>C(U6,7,6)</t>
  </si>
  <si>
    <t>C(U6,7,7)</t>
  </si>
  <si>
    <t>C(U6,7,-1)</t>
  </si>
  <si>
    <t>C(U6,8,0)</t>
  </si>
  <si>
    <t>C(U6,8,1)</t>
  </si>
  <si>
    <t>C(U6,8,2)</t>
  </si>
  <si>
    <t>C(U6,8,3)</t>
  </si>
  <si>
    <t>C(U6,8,4)</t>
  </si>
  <si>
    <t>C(U6,8,5)</t>
  </si>
  <si>
    <t>C(U6,8,6)</t>
  </si>
  <si>
    <t>C(U6,8,7)</t>
  </si>
  <si>
    <t>C(U6,8,-1)</t>
  </si>
  <si>
    <t xml:space="preserve">                                                     Dam LWCep</t>
  </si>
  <si>
    <t xml:space="preserve">                                                     Dam LWCep^2</t>
  </si>
  <si>
    <t xml:space="preserve">                                                     Dam LWClp</t>
  </si>
  <si>
    <t xml:space="preserve">                                                     Dam LWClp^2</t>
  </si>
  <si>
    <t>Jason's EL project - updated</t>
  </si>
  <si>
    <t>C(U6,9,0)</t>
  </si>
  <si>
    <t>C(U6,9,1)</t>
  </si>
  <si>
    <t>C(U6,9,2)</t>
  </si>
  <si>
    <t>C(U6,9,3)</t>
  </si>
  <si>
    <t>C(U6,9,4)</t>
  </si>
  <si>
    <t>C(U6,9,5)</t>
  </si>
  <si>
    <t>C(U6,9,6)</t>
  </si>
  <si>
    <t>C(U6,9,7)</t>
  </si>
  <si>
    <t>C(U6,9,-1)</t>
  </si>
  <si>
    <t>C(U6,10,0)</t>
  </si>
  <si>
    <t>C(U6,10,1)</t>
  </si>
  <si>
    <t>C(U6,10,2)</t>
  </si>
  <si>
    <t>C(U6,10,3)</t>
  </si>
  <si>
    <t>C(U6,10,4)</t>
  </si>
  <si>
    <t>C(U6,10,5)</t>
  </si>
  <si>
    <t>C(U6,10,6)</t>
  </si>
  <si>
    <t>C(U6,10,7)</t>
  </si>
  <si>
    <t>C(U6,10,-1)</t>
  </si>
  <si>
    <t>C(U6,11,0)</t>
  </si>
  <si>
    <t>C(U6,11,1)</t>
  </si>
  <si>
    <t>C(U6,11,2)</t>
  </si>
  <si>
    <t>C(U6,11,3)</t>
  </si>
  <si>
    <t>C(U6,11,4)</t>
  </si>
  <si>
    <t>C(U6,11,5)</t>
  </si>
  <si>
    <t>C(U6,11,6)</t>
  </si>
  <si>
    <t>C(U6,11,7)</t>
  </si>
  <si>
    <t>C(U6,11,-1)</t>
  </si>
  <si>
    <t>C(U6,12,0)</t>
  </si>
  <si>
    <t>C(U6,12,1)</t>
  </si>
  <si>
    <t>C(U6,12,2)</t>
  </si>
  <si>
    <t>C(U6,12,3)</t>
  </si>
  <si>
    <t>C(U6,12,4)</t>
  </si>
  <si>
    <t>C(U6,12,5)</t>
  </si>
  <si>
    <t>C(U6,12,6)</t>
  </si>
  <si>
    <t>C(U6,12,7)</t>
  </si>
  <si>
    <t>C(U6,12,-1)</t>
  </si>
  <si>
    <t>C(U6,13,0)</t>
  </si>
  <si>
    <t>C(U6,13,1)</t>
  </si>
  <si>
    <t>C(U6,13,2)</t>
  </si>
  <si>
    <t>C(U6,13,3)</t>
  </si>
  <si>
    <t>C(U6,13,4)</t>
  </si>
  <si>
    <t>C(U6,13,5)</t>
  </si>
  <si>
    <t>C(U6,13,6)</t>
  </si>
  <si>
    <t>C(U6,13,7)</t>
  </si>
  <si>
    <t>C(U6,13,-1)</t>
  </si>
  <si>
    <t>C(U6,14,0)</t>
  </si>
  <si>
    <t>C(U6,14,1)</t>
  </si>
  <si>
    <t>C(U6,14,2)</t>
  </si>
  <si>
    <t>C(U6,14,3)</t>
  </si>
  <si>
    <t>C(U6,14,4)</t>
  </si>
  <si>
    <t>C(U6,14,5)</t>
  </si>
  <si>
    <t>C(U6,14,6)</t>
  </si>
  <si>
    <t>C(U6,14,7)</t>
  </si>
  <si>
    <t>C(U6,14,-1)</t>
  </si>
  <si>
    <t>C(U6,15,0)</t>
  </si>
  <si>
    <t>C(U6,15,1)</t>
  </si>
  <si>
    <t>C(U6,15,2)</t>
  </si>
  <si>
    <t>C(U6,15,3)</t>
  </si>
  <si>
    <t>C(U6,15,4)</t>
  </si>
  <si>
    <t>C(U6,15,5)</t>
  </si>
  <si>
    <t>C(U6,15,6)</t>
  </si>
  <si>
    <t>C(U6,15,7)</t>
  </si>
  <si>
    <t>C(U6,15,-1)</t>
  </si>
  <si>
    <t>C(U6,16,0)</t>
  </si>
  <si>
    <t>C(U6,16,1)</t>
  </si>
  <si>
    <t>C(U6,16,2)</t>
  </si>
  <si>
    <t>C(U6,16,3)</t>
  </si>
  <si>
    <t>C(U6,16,4)</t>
  </si>
  <si>
    <t>C(U6,16,5)</t>
  </si>
  <si>
    <t>C(U6,16,6)</t>
  </si>
  <si>
    <t>C(U6,16,7)</t>
  </si>
  <si>
    <t>C(U6,16,-1)</t>
  </si>
  <si>
    <t>C(U6,17,0)</t>
  </si>
  <si>
    <t>C(U6,17,1)</t>
  </si>
  <si>
    <t>C(U6,17,2)</t>
  </si>
  <si>
    <t>C(U6,17,3)</t>
  </si>
  <si>
    <t>C(U6,17,4)</t>
  </si>
  <si>
    <t>C(U6,17,5)</t>
  </si>
  <si>
    <t>C(U6,17,6)</t>
  </si>
  <si>
    <t>C(U6,17,7)</t>
  </si>
  <si>
    <t>C(U6,17,-1)</t>
  </si>
  <si>
    <t>C(U6,18,0)</t>
  </si>
  <si>
    <t>C(U6,18,1)</t>
  </si>
  <si>
    <t>C(U6,18,2)</t>
  </si>
  <si>
    <t>C(U6,18,3)</t>
  </si>
  <si>
    <t>C(U6,18,4)</t>
  </si>
  <si>
    <t>C(U6,18,5)</t>
  </si>
  <si>
    <t>C(U6,18,6)</t>
  </si>
  <si>
    <t>C(U6,18,7)</t>
  </si>
  <si>
    <t>C(U6,18,-1)</t>
  </si>
  <si>
    <t>C(U6,19,0)</t>
  </si>
  <si>
    <t>C(U6,19,1)</t>
  </si>
  <si>
    <t>C(U6,19,2)</t>
  </si>
  <si>
    <t>C(U6,19,3)</t>
  </si>
  <si>
    <t>C(U6,19,4)</t>
  </si>
  <si>
    <t>C(U6,19,5)</t>
  </si>
  <si>
    <t>C(U6,19,6)</t>
  </si>
  <si>
    <t>C(U6,19,7)</t>
  </si>
  <si>
    <t>C(U6,19,-1)</t>
  </si>
  <si>
    <t>C(U6,20,0)</t>
  </si>
  <si>
    <t>C(U6,20,1)</t>
  </si>
  <si>
    <t>C(U6,20,2)</t>
  </si>
  <si>
    <t>C(U6,20,3)</t>
  </si>
  <si>
    <t>C(U6,20,4)</t>
  </si>
  <si>
    <t>C(U6,20,5)</t>
  </si>
  <si>
    <t>C(U6,20,6)</t>
  </si>
  <si>
    <t>C(U6,20,7)</t>
  </si>
  <si>
    <t>C(U6,20,-1)</t>
  </si>
  <si>
    <t>C(U6,21,0)</t>
  </si>
  <si>
    <t>C(U6,21,1)</t>
  </si>
  <si>
    <t>C(U6,21,2)</t>
  </si>
  <si>
    <t>C(U6,21,3)</t>
  </si>
  <si>
    <t>C(U6,21,4)</t>
  </si>
  <si>
    <t>C(U6,21,5)</t>
  </si>
  <si>
    <t>C(U6,21,6)</t>
  </si>
  <si>
    <t>C(U6,21,7)</t>
  </si>
  <si>
    <t>C(U6,21,-1)</t>
  </si>
  <si>
    <t>C(U6,22,0)</t>
  </si>
  <si>
    <t>C(U6,22,1)</t>
  </si>
  <si>
    <t>C(U6,22,2)</t>
  </si>
  <si>
    <t>C(U6,22,3)</t>
  </si>
  <si>
    <t>C(U6,22,4)</t>
  </si>
  <si>
    <t>C(U6,22,5)</t>
  </si>
  <si>
    <t>C(U6,22,6)</t>
  </si>
  <si>
    <t>C(U6,22,7)</t>
  </si>
  <si>
    <t>C(U6,22,-1)</t>
  </si>
  <si>
    <t>C(U6,23,0)</t>
  </si>
  <si>
    <t>C(U6,23,1)</t>
  </si>
  <si>
    <t>C(U6,23,2)</t>
  </si>
  <si>
    <t>C(U6,23,3)</t>
  </si>
  <si>
    <t>C(U6,23,4)</t>
  </si>
  <si>
    <t>C(U6,23,5)</t>
  </si>
  <si>
    <t>C(U6,23,6)</t>
  </si>
  <si>
    <t>C(U6,23,7)</t>
  </si>
  <si>
    <t>C(U6,23,-1)</t>
  </si>
  <si>
    <t>C(L0,38,0)</t>
  </si>
  <si>
    <t>C(L0,38,1)</t>
  </si>
  <si>
    <t>C(L0,38,2)</t>
  </si>
  <si>
    <t>C(L0,38,3)</t>
  </si>
  <si>
    <t>C(L1,38,0)</t>
  </si>
  <si>
    <t>C(L1,38,1)</t>
  </si>
  <si>
    <t>C(L1,38,2)</t>
  </si>
  <si>
    <t>C(L1,38,3)</t>
  </si>
  <si>
    <t>Murdoch University parameters (u6) - with back transformation</t>
  </si>
  <si>
    <t>Ewe Lamb Dam mortality LWj adjustment:  0 young</t>
  </si>
  <si>
    <t>Ewe Lamb Dam mortality LWj^2 adjustment:  0 young</t>
  </si>
  <si>
    <t>Ewe Lamb Dam mortality LWCep adjustment:  0 young</t>
  </si>
  <si>
    <t>Ewe Lamb Dam mortality LWClp adjustment:  0 young</t>
  </si>
  <si>
    <t>Ewe Lamb Dam mortality intercept adjustment:  0 young</t>
  </si>
  <si>
    <t>See Ewe Mortality v5g.xlsx #23</t>
  </si>
  <si>
    <t>EL Lactating for Survival: Maternal Join wt (requires back transforming)</t>
  </si>
  <si>
    <t>Ewe lambs lactating LWj adjustment:  0 young</t>
  </si>
  <si>
    <t>Ewe lambs lactating LWj^2 adjustment:  0 young</t>
  </si>
  <si>
    <t>Ewe lambs lactating LWCep adjustment:  0 young</t>
  </si>
  <si>
    <t>Ewe lambs lactating LWCep^2 adjustment:  0 young</t>
  </si>
  <si>
    <t>Ewe lambs lactating LWClp adjustment:  0 young</t>
  </si>
  <si>
    <t>Ewe lambs lactating LWClp^2 adjustment:  0 young</t>
  </si>
  <si>
    <t>Ewe lambs lactating intercept adjustment:  0 young</t>
  </si>
  <si>
    <t>C(L0,39,0)</t>
  </si>
  <si>
    <t>C(L0,39,1)</t>
  </si>
  <si>
    <t>C(L0,39,2)</t>
  </si>
  <si>
    <t>C(L0,39,3)</t>
  </si>
  <si>
    <t>C(L0,40,0)</t>
  </si>
  <si>
    <t>C(L0,40,1)</t>
  </si>
  <si>
    <t>C(L0,40,2)</t>
  </si>
  <si>
    <t>C(L0,40,3)</t>
  </si>
  <si>
    <t>Thommo analysis</t>
  </si>
  <si>
    <t>DST ms report 30Jun25</t>
  </si>
  <si>
    <t>Lamb survival from lactating %, intercept:  0 young</t>
  </si>
  <si>
    <t>Lamb survival from lactating %, slope:  0 young</t>
  </si>
  <si>
    <t>C(L1,40,0)</t>
  </si>
  <si>
    <t>C(L1,40,1)</t>
  </si>
  <si>
    <t>C(L1,40,2)</t>
  </si>
  <si>
    <t>C(L1,40,3)</t>
  </si>
  <si>
    <t>C(L1,39,0)</t>
  </si>
  <si>
    <t>C(L1,39,1)</t>
  </si>
  <si>
    <t>C(L1,39,2)</t>
  </si>
  <si>
    <t>C(L1,39,3)</t>
  </si>
  <si>
    <t>Magnificent maidens project. See RR v5k.xlsx #29 &amp; #30 with adjustments</t>
  </si>
  <si>
    <t>Reproduction rate 2 tooths: Dam LW at Joining (Quadratic, requires back transforming)</t>
  </si>
  <si>
    <t>Triplets project.</t>
  </si>
  <si>
    <t>Expo-power</t>
  </si>
  <si>
    <t>CVaR</t>
  </si>
  <si>
    <t>Risk functions hooked up in AFO</t>
  </si>
  <si>
    <t>Risk Neutral</t>
  </si>
  <si>
    <t>Tail Alpha</t>
  </si>
  <si>
    <t>Tail lambda</t>
  </si>
  <si>
    <t>Expo</t>
  </si>
  <si>
    <t>LambSurv v5i.xlsm</t>
  </si>
  <si>
    <t>See RR v5k-EL.xlsx #12&amp;#13</t>
  </si>
  <si>
    <t>Ewe Lambs tool 29Jan26</t>
  </si>
  <si>
    <t>See RR v5k-Adults.xlsx #16 &amp; #18</t>
  </si>
  <si>
    <t>Reproduction rate Adults:  0 young</t>
  </si>
  <si>
    <t>Reproduction rate 2 tooths:  0 young</t>
  </si>
  <si>
    <t>No triplets observed in the trial.</t>
  </si>
  <si>
    <t>Same coefficients for Merino &amp; maternal</t>
  </si>
  <si>
    <t>Reproduction rate Adults: Dam LW at Joining (Quadratic, requires back transforming - f_conception_mu2)</t>
  </si>
  <si>
    <t>See RR v5k-2tooths.xlsx #7</t>
  </si>
  <si>
    <t>Mag mdns see RR v5k-2tooths.xlsx #7</t>
  </si>
  <si>
    <t>Prices for the EL analysis</t>
  </si>
  <si>
    <t>$/190kg bale</t>
  </si>
  <si>
    <t>STB Prices used in the EL analysis</t>
  </si>
  <si>
    <t>29Jan26: Added a table to report the prices for the EL analysis
30Sep25: Added EweLamb equation system for progeny survival #2, and activated it in the first p7 period (which has no effect because p7[0] is not active)
22Sep25: Add space and values for the mob size scalar for EweLambs
17Oct24: Fix error in the description of the Wool MPG percentile timeframe (it is the 10yr percentiles)
8Sep24: Change the equation groups to combine the functions that effect energy into 1 group
17Jun24: Insert sub table for the SS &amp; SL parmaeters and include range names
14Jun24: Fix error in the STB NIB greasy formula that was subtract the cost per kg in dollars from a formula calculating cents (so cost was only 0.7c)
13Jun24: Added a web app comment to the Std FD input
10Jun24: Added tables that include the price percentiles for 5, 10 &amp; 20yr (needs code changes to be able to run a live SA)
9May24: Expand the range for the equation range names
8May24: Added milk production equation system and tweaked commenting on the feeding standards equations.
26Nov23: Update the casual labour cost divisor in the infrastructure cost. Goes with the updated labour costs in Price!
25Nov23: Split the infrastructure cost between cash costs and labour requirement (both the fixed cost and the variable cost)
3Oct23: Add newe feeding standards equation system for foetal growth
2Oct23: Add a wool growth equation group
4May23: Add mob size scalar with an l0 axis
16Dec22: Change the wool price table to simplify the calclulations and move more into the code.
4Oct22: Add a formula that adjusts the standard saleprice to represent that the input is an average for the year. The value transferred to AFO is the price if the month scalar is 0%
2Oct22: Added indicative STB NIB greasy price to the wool table, just for information.
26Sep22: Add comment that p7 in the equation table is not p7 node periods.
20Jul22: Added range name 'prejoin_to_lamb_offset_approx' to be used in the calculation of mask_o_dams which has to be done prior to reading the other parameters that would be required to do it properly
9Jun22: Increased the range of percentile entries to include 10, 30, 50, 70 &amp; 90 percentiles for meat. Changed the grid inputs from a price to entering the weight scalar and the score scalar. This overwrote the wether and breeder adjustments in the grids
           Change breeder and export prices to calculate from mutton prices. No change in price.
14Jan22: Changed the price reporting formula so that it would handle more than 3 percentile values
11Aug21: Added comments about minimum age for the $/head grids
9Aug21: Add a CFA breeder price to the meat prices reported
30Jun21: Change rangenames with m4 to p4
24Jun21: Small formatting changes of table headings
11Jun21: Delete table that included the inputs to control the sam for including LTW
25May21: Added PregTox equation system
                    Added a 'Source' column for the price discounts table
17May21: Fixed error in reported wool prices (was missing the index of the FD deviation from the formula)
13May21: Convert the wool price report table to price of fleece wool (rather than the micron price guide)
11May21: Added a table to calcualte the wool price recieved for specified MPG &amp; FD premium percentiles and price in each grid for meat price percentile (for reporting purposes)
5Apr21: Add Basal mortality as an equation group
30Mar21: Connect fd_prem_percentile to the STB scalar calculation.
29Mar21: Included a column for Levy as a percentage
12Feb21: Added extra inputs for the Mecardo method of calculating STB scalar (components of the clip &amp; yield of components)
                   Added crossbred fleece prameters for STB calcualtions
                    Corrected wool selling costs to cost per kg clean (which is the value used in the code)
19Jan20: added LTW fleece equation group
2: 5Nov20 - Deleted pre-joining sire check &amp; Joining (adding the sires to the ewes)
                        Added i_len_h4
1: 10Aug20-Created the version control table</t>
  </si>
  <si>
    <t>C(F,6)</t>
  </si>
  <si>
    <t>Proportion of empty ewes that don't return to service</t>
  </si>
  <si>
    <t>Proportion of pregnancies that abort between scanning &amp; pre-lambing</t>
  </si>
  <si>
    <t xml:space="preserve">26Jul24: Scaled SR in Ed's trials by 50% to reduce the quantity of the high quality stubble to be more similar to the average of ED &amp; CSIRO trials
27Feb26: Add SD trial data
</t>
  </si>
  <si>
    <t>Trial 14</t>
  </si>
  <si>
    <t>Trial 15</t>
  </si>
  <si>
    <t>Sim yr</t>
  </si>
  <si>
    <t>Trial 28</t>
  </si>
  <si>
    <t>Trial 29</t>
  </si>
  <si>
    <t>Southern Dirt</t>
  </si>
  <si>
    <t>Young - Mer</t>
  </si>
  <si>
    <t>Webb - Mer</t>
  </si>
  <si>
    <t>Bar_Harv</t>
  </si>
  <si>
    <t>Created from b0:  SRW (BTRT)     0 young</t>
  </si>
  <si>
    <t>Created from b0:  Progeny SRW (BTRT)     0 young</t>
  </si>
  <si>
    <t>Proportion of fat when an adult is at SRW</t>
  </si>
  <si>
    <t>Freer etal 2007</t>
  </si>
  <si>
    <t>Freer etal 1997 - ShpExp</t>
  </si>
  <si>
    <t>Greenwood etal 1998</t>
  </si>
  <si>
    <t>C(M,27)</t>
  </si>
  <si>
    <t>BM: exponent for age (Graham)</t>
  </si>
  <si>
    <t>Basal metabolism: scalar for metabolic weight (Graham)</t>
  </si>
  <si>
    <t>MJ kg Lean</t>
  </si>
  <si>
    <t>BM: minimum value for age effect (Graham)</t>
  </si>
  <si>
    <t>BM: scalar for effect of milk diet  (Graham)</t>
  </si>
  <si>
    <t>Fitted for 6yo=SCA(1990)</t>
  </si>
  <si>
    <t>Growth rate constant for entire males</t>
  </si>
  <si>
    <t>Growth rate constant. No longer used see cx[1]</t>
  </si>
  <si>
    <t>Reduced to match growth path at Pingelly MLP</t>
  </si>
  <si>
    <t>Matching wethers</t>
  </si>
  <si>
    <t>C(I,22)</t>
  </si>
  <si>
    <t>C(I,23)</t>
  </si>
  <si>
    <t>Derived from SCA(1990)</t>
  </si>
  <si>
    <t>Derived from SCA (1990) increased for new composition coefficients &amp; LMAT - Hocking Edwards (unpub)</t>
  </si>
  <si>
    <t xml:space="preserve">CFS &amp; GFS increased for new composition coefficients </t>
  </si>
  <si>
    <t>Define the initial animal (dams &amp; offs at weaning)</t>
  </si>
  <si>
    <t>MLP &amp; GEPEP derived Merino</t>
  </si>
  <si>
    <t>Original CSIRO Mer</t>
  </si>
  <si>
    <t>Shedders</t>
  </si>
  <si>
    <t>Bal - CFS</t>
  </si>
  <si>
    <t>Bal - GFS</t>
  </si>
  <si>
    <t>Meat type</t>
  </si>
  <si>
    <t>Wool type</t>
  </si>
  <si>
    <t>SFM</t>
  </si>
  <si>
    <t>Terminal: LMAT phase 2 (from Greeline values)</t>
  </si>
  <si>
    <t>3Aug26: Change the default PI equation system to 1 (MU equation which is a copy of CSIRO except for SAV on PI z scalar)
1Oct25: Altered peri-natal ewe mortality to eqn_system 2 &amp; 1 (from 2,2) with addition of EL equation system to the code and dropping MU1
30Sep25: Update commenting regarding the dates for the equation systems
5Jul25: Remove premium for yearling over mutton and set monthly premiums as for mutton (differentiate again if/when the yearling market happens).
11Sep24: Update number of r_comapre vars for the Energy group after combining foetal growth, milk &amp; wool.
8Sep24: Add extra rcompare variables to the Energy equation group
19Jun24: Change the standard percentile inputs to 50 for wool, FD prem, sale sheep and grain
17Jun24: Reverted to WA STB parameters. Added f_fibre_mu() equation system
14Jun24: Updated meat prices using AgCommodities percentiles
13Jun24: Updated the wool prices witht he half micron information from Andrew Woods
10Jun24: Added Wool price &amp; FD percentile information from Ag Commodities &amp; Mecardo
28May24: Add MU equation system for Heat production (eqn group 7)
9May24: Change number of Milk production variables for 'compare' to 3. Set equation system exists for NFS Milk production
7Dec23: Increase #vars for eqn_groups 1, 7, 14 &amp; 17. To fix error now that r_compare is separate variable for each group &amp; allow extra comparisons.
5Dec23: Estimated cost of mulesing (Ian Robertson pers comm). Updated CLik &amp; Vetrazin costs
4Dec23: Updated husbandry prices for products that had information (very little change in price so didn't go searching for other prices)
1Dec23: Increased size of the report variable for eqn_group[7]
4Nov23: Added a NFS equation system to the LWC group (8).
1Nov23: Added a 2nd compare variable for f_foetus()
4Jun23: Reduce time required per mob for monitoring. JMY estimates. Previous assumptions had farmers spending multiple days per week monitoring.
27May23: Updated scanning costs with values from the Triplets project straw poll.
17May23: Change peri-natal dam mortality to MUChange PregTox mortality to MU equation system.
30Apr23: Update wool bale freight to $18/bale (based on latest costs)
4Oct22: Change the std meat percentile to 85. This level is similar prices to 70th percentile with formula change described above. $7/kg if sold in March.
27Sep22: Change the maximum fat score/condition score for the price tables to 10. So that when the distribution is applied when calculating the sale value that the animals above 5 are all valued at 5.
26Sep22: Changed the standard Conception system to the LMAT like equations
12Jul22: Add travel cost to the cost of scanning (after Forbes' query on travel cost).
10Jun22: Add a 12mo discount to air freight lamb and store lamb to be consistent with prime lamb (used same discount as for Prime Lamb)
                Updated prices in grids based on latest grids from BRM
                Updated percentiles to May22 (Mecardo)
23Mar22: Increase the labour required for daily monitoring to allow for 4 mob inspections per week using casual labour for the extra 3.
14Jan22: Altered Wool &amp; Sale prices based on Mecardo percentiles 21Dec21
10Aug21: Reduced age for breeder premium price being recieved to 19mo (was 20mo). Made yearling percentile values a copy of the mutton values (because the grid prices are a copy of mutton)
17Jun21: Reduced the breeder price to make the 5.5 &amp; 6.5 yo close to BE with the updated grid.
                 Added the mutton price to the breeder and export wether grids to pick up the off spec animals. Scaled for the input percentile for the mutton grid relative to the export or breeders grid
15Jun21: Change scanning throughput based on values provided by Michelle Cousins (slower than previous assumptions)
                  Reduce the yards &amp; laneways infrastructure cost associated with animal husbandry (was 15c/hd now 5c/hd)
                    Reduce labour requirement for mustering to 3/4 hr per mob (was 1 hr)
                 Added a within season premium for the breeders that is the same as the mutton market up until the end of the mating period (Nov to March)
                    Adjust the breeder sale grid (price increase of $40/hd for CS3, $45 for CS2.5 &amp; $30 for CS4). So that CFA 5.5 &amp; 6.5 yo are close to breakeven.
25May21: Adjusted the price discount for the prime lamb greater than 12 mo to include a discount Jul, Aug, Sep
17May21: Alter scanning cost to values provided by Michelle Cousins
6May21: Change weaner mortality to Murdoch function (=0)
5May21: Reduced shipper price to $120 max and added a gradation on the price per kg for the lighter animals
2May21: Fix error in formula for proportion of clip in greasy terms (which increased the selling costs). Improved comments for breeder grid
27Apr21: Change 'equation compare' to False
26Apr21: Reduced breeder price from $180/hd to $100/hd
16Apr21: Altered standard percentiles to Meat 70%, Wool 70% &amp; FD Prem 50%
5Apr21: Reduce the minimum FD in the price table to 12u (because error in a fine wool team)
                Add Basal mortality as an equation group with MU as the standard
4Apr21: Fix error in this description (that had dam mort as group 2)
3Apr21: Change Eqn group 3 (dam mortality) to eqn system 1 (MU &amp; LTW)
1Apr21: Fix the eqn systems used to point to MU for birth weight and lamb survival.
                Added comment about sat for salep grid scalars
29Mar21: Changed BW &amp; lamb survival to use Murdoch equations.
                   Updated livestock selling costs based on 2021 costs (Yard fees $0.79/hd, IFS $0.17/hd &amp; Lamb levy 2%)
22Mar21: Added equation system for MU LWC
12Feb21: Altered the Wool STB parameters based on data from Mecardo newsletters 8 &amp; 11 Feb 2021
                   Updated the meat prices based on the Mecardo percentiles of 11Feb21 (no changes reqd for Wool)
26: minor adjustments to the livestock sale prices 
       update labour requirements for scanning (from Michelle).
25: Add i_salegrid_keys
1: 10Aug20-Blank worksheet</t>
  </si>
  <si>
    <t>C(N,23)</t>
  </si>
  <si>
    <t>C(N,24)</t>
  </si>
  <si>
    <t>C(N,25)</t>
  </si>
  <si>
    <t>C(N,26)</t>
  </si>
  <si>
    <t>Convert CS to cfat depth - intercept</t>
  </si>
  <si>
    <t xml:space="preserve">                                         - exponent</t>
  </si>
  <si>
    <t>van Burgel etal 2011 (Fig 5b)</t>
  </si>
  <si>
    <t>van Burgel etal 2011 (Fig 5a)</t>
  </si>
  <si>
    <t>Convert GR fat depth to cFat - intercept</t>
  </si>
  <si>
    <t xml:space="preserve">                                                 - slope</t>
  </si>
  <si>
    <t>van Burgel etal 2011 (Fig3a&amp;b)</t>
  </si>
  <si>
    <t>C(K,39)</t>
  </si>
  <si>
    <t>A blank value so it can be altered in a SA</t>
  </si>
  <si>
    <t>kw: wool slope (for CSIRO function)</t>
  </si>
  <si>
    <t>Standard fleece weight (kg clean, 3yo 12 mths growth, BV=0)</t>
  </si>
  <si>
    <t>BV_CFW</t>
  </si>
  <si>
    <t>Breeding value of clean fleece weight (%)</t>
  </si>
  <si>
    <t>C(M,28)</t>
  </si>
  <si>
    <t>Increase in MR linked to a genetic increase in CFW</t>
  </si>
  <si>
    <t>MJ(km.kg)-1</t>
  </si>
  <si>
    <t>kw: wool intercept (CSIRO)</t>
  </si>
  <si>
    <t>MJ/d/kg of CFW</t>
  </si>
  <si>
    <t>15Oct26: Change the partitioning parameters for the GEPEP derived genotypes. Increased fatness of young animals to reduce maintenance requirement to align with W0.75 better. SRW at 25% fat is a difficulty, because Graham 1974 has old animals much fatter. See Dropbox\Growth curve and partitioning. Help from Claude.
16Aug26: Fix error in cg9 for the GFS genotypes. Value was decreased, there was an error transcribing from the calibration spreadsheet
3Aug26: Update ci[21] for the MLP &amp; GEPEP genotypes to reflect the increased intake parameter fitted to ci[1]
1Aug26: Revert the Fine wool &amp; Med Merino to the old PI &amp; EVG coefficients. Change the CFS &amp; GFS gentoyeps to use the updated values. Differences CSIRO &amp; GEPEP genotypes Composition (cg 8,9,11), PI (ci21) &amp; growth constant (cx1).
28Jul26: Alter PI &amp; EVG coefficients so that 25% fat &amp; CS 3 align (now in c2[2 &amp; 3]
15Jul26: Update the EVG parameters as calibrated using [Growth parameters and partitioning.xlsx]
                 Change the Fat% at weaning based on calculation in [Growth curve &amp; partition.xlsx]. Add reference for fat% at birth. Add calculation for proportion of viscera at birth &amp; weaning based on proportion of lean.
14Jul26: Change GFS coefficient for calculation of energy for organs (omer). Reduced the value because it had been derived as ME but was used as NE - fixed the derivation as part of GEPEP.
29Jan26: Update the RR coefficients for 2-tooths to include the model with quadratic on LWj
                Update comments on source of RR for EL, 2tooth &amp; Adults (to reflect splitting the coefficient spreadsheets)
28Jan26: Fix error in missing coefficient for CS in RR of 2 tooth maternals
14Jan26: Made the maternal proportion lactating coefficients = Merino coefficients (previously they were missing values)
                 Tweaked the intercept for Jason's  single born proportion lactating to make the adjustments for chill explicit
Dec25: Updated the Ewe Lamb RR coefficients with values from RR-5k
14Oct25: Correct cl0[39] to reflect that AFO mortality is a decimal (0-1) rather than 0-100 as in the stats.
4Oct25: Change the MU2 Mdn RR coefficients to values developed in Mag Maidens (with DOJ &amp; adjustment of LWC coefficient for absoute LW effect)
3Oct25: Fix coefficients (cu6[8] for proportion of EL lactating). Using JT updated coefficients.
             Correct signs in coefficients for EL dam mortality, shift coefficients to allow for LWCjoining. Correct error in cu6[23,4]
1Oct25: Add extra decimal places to Jason's lamb survival from EL coefficients
28Jun25: Enter the new coefficients for Ewe Lambs from Jason's project: Perinatal ewe (cu2[27]) &amp; lamb survival from Ewe LW profile (cu1[19]). Alter commenting for the EweLamb coefficients referencing spreadsheets in DropBox
10Jun25: Copy Adult coefficinets to Maidens. ToDo: Maiden coefficients need updating when the values for Maidens across the c2 axis are sorted out
31May25: Undo change from yesterday because now calibrating GEPEP again. Add 'calibration' heading to the coefficients that alter the wool traits by age
30May25: Set the yearling wool age factors to 1 for the GEPEP genotypes (because they were calibrated prior to these being added)
27May25: Final update of the new GEPEP genotypes for CSIRO Feeding Standards &amp; GEPEP Feeding Standards 
20May25: Updated the new GEPEP genotypes based on the GEPEP calibration runs (CFS only as of 20May)
17May25: Alter the EVG, FD, Twin lamb survival, % drys and singles and weaning wt scalar for the GEPEP genotype for both CFS &amp; GFS (because the production coefficients will differ)
15May25: Update the Med1 genotype. SFW 3.8kg (was 3.6kg) SFD 19u (was 20u)
19Dec24: Changed values for ck[37] &amp; ck[38] to represent partial efficiency of wool production = 0.448. Change required to be able to represent Searle &amp; Graham and GrazPlan kw
17Oct24: Change cp[15] for use as a scalar with sam[cp] for normal birth weight
8Sep24: Change ck[23] bgw (HP associated with gain in wool) which didn't include the -1 when converting from kw to hp. Added ck efficiency coefficients for the MU functions
11Jul24: Change GEPEP genotype calibration coefficients for start of the new calibration.
23Jun24: Update the GEPEP genotype with calibrate parameters. Not sure about the WWt parameter or the basal mortality parameter.
17Jun24: Change kw to 0.43 as per GrazPlan (using NFS parameter for kw for f_fibre_mu()). Revert NEw for GrazPlan.
17May24: Reverted to bm &amp; bv from published paper
11May24: Changed kw for wool to allow for HAF when converting from bp
8May24: Update values for bm (cm[21]) &amp; bv (cm[22]). Added parameters for bgc (ck[24]) &amp; bgl (ck[25]) for the revised feeding standards
5Dec23: Improve documentation of the Blaxter &amp; Clapperton coefficients
3Dec23: Change kw to 0.4 based on Oddy pers comm.
               Change Fat DM to 100% per Oddy etal 2023 (was 90% per Owen etal 1995)
30Nov23: Copy cn[22] coefficients across to the other genotypes. Was only included for fine wool merinos
5Nov23: Change variable names for b coefficients for gain/loss of energy pools
19Jul23: Alter the triplet proportion coefficients to match Jas' dataset fitted to Litter size
                 Change the BW coefficient back to absolute BW rather than relative to SRW
                 Adjust Merino single &amp; twin perinatal dam mortality in MU2, so that Merino mortality is greater than Maternals - which also increases CS response
                 Add a cap on CS in the MU2 ewe mortality coefficients
18Jul23: Fix error in the Latitude and DOJ coefficients  
                Adjust outlining on RR to show latitude. Add a SRW coefficinet to Merino RR so that Merino SRW has equal effect to Composite LW.
17Jul23: Change SRW of MWM to 60kg &amp; COmposite to 70kg
                Add a quadrtic effect to ewe mortality - may also have been errors in the coefficients that were corrected.
15Jul23: Update the Adult RR coefficients with DOJ from DPIRD scanning &amp; use single year coefficients (remove the YIYO effect)
1Jun23: Change Merino Ewe Lambs triplets coefficient (included a high number so that there were some but not many Triplet lambs)
29May23: Recalibrate the triplet b1 coefficinet for RR to match higher % triplets from Jason.
19May23: Update the Ewe Lamb RR coefficients for the new LMAT RR calculations (that need opposite sign)
18May23: Add ewe mortality coefficients for MU2 (note: xls values are survival)
                  Alter the SD of LWC (which impacts mortality of the MU equation). Improve commenting in CSIRO basal mortality
16May23: Update the RR coefficients to RRv5c
13May23: Fix scan_std_doj for mats. Update the RR coefficients (include DOJ &amp; change so all components of logit equation are additive (RR used to subtract))
13May23: Fix LS coefficients based on FOO from Gav's email
6May23: Correct the LambSurv coefficients for chill and intercept effect
2May23: Update coefficients from Triplets project. Lamb BW * Lamb survival
1May23: Added coefficients for SRW scalar (from the Triplets project)
20Feb23: Add adjustment to 2 tooth maternal lamb birthweight (based on Paganoni et al 2014)
6Feb23: Altered lamb survival coefficients as per the Triplets document (Merino triplet chill &amp; maternal chill)
5Feb23: Improved commenting on the Preg Tox parameters
24Dec22: Improved the comments describing the lamb survival coefficients
4Oct22: Tweak survival coefficients (survival was about 10% too high for EL &amp; )
3Oct22: Merino EL RR intercept tweak yesterday overshot the mark, corrected. And a second tweak (back to 0)
2Oct22: Tweak the Merino ewe lamb RR intercept, Merino (different for FWM &amp; MWM) &amp; Maternal lamb survival intercept &amp; Maternal EL lamb survival intercept adj
1Oct22: Remove the FOO coefficient from the Survival function because the FOO conversion was messing with the result. Need to convert the coefficient to MEI
Adjust the Merino EL conception intercept. Now based on Mooj 7.5mo &amp; NLB 15%
Correct the Maternal survival cefficients that had an error associated with female chill (that was penalising the males).
30Sep22: Adjust the Survival intercept for Maternal adults &amp; EL. Adjust RR calibration Maternal adult intercept.
29Sep22: Alter the calibration for the EL BW &amp; Survival adjustments, the Merino &amp; Maternal Ewe Lamb RR intercept, the Maternal RR Intercept
24Sep22: Added comments regarding halving of seasonality. Requires changing the AgeJ coefficient and the cf[0]. Removed the scalar on the BW intercept. 
                  SetLTW survival scalars to 1, to represent plot scale survival. Pdk scale is not relevant when including chill
21Sep22: Alter the AgeJ coefficient to compensate for the reduction in the seasonality coefficients. Increase the EL RR intercept to reduce overall RR to get in line with Thommo's rules of thumb
                   Tweak the EL intercept adjustment for BW &amp; Survival.
19Sep22: Add LMAT coefficients for Progeny survival (from BW). Adjust BW intercept to reflect variation in SRW (for Merino &amp; Maternal) (was removed later). Altered the crg_goy &amp; rr_doy coefficients to reduce the impact of seasonality. Add an dam age coefficient to reduce BW of yearling progeny. Add yearling progeny survival coefficient to reduce survival of yealrilng progeny
14Jul22: Reduced the SRW of the Mixed composite to 65kg from 70kg based on Ox's measurements of SRW
12Jul22: Altered the standard scanning % &amp; survival for the medium genotype
                 Adjust LMAT adult coefficients to incorporate DOY in the calibration &amp; recalibrated the merino &amp; maternal genotypes
                 Adjust the LMAT Ewe Lamb RR coefficients to include AgeJ^2 and incorporate the effect of seasonality in the calibration.
18Apr22: Tweak the conception values so that LWCj add 15%/100g
16Apr22: Tweak maternal LMAT coefficients and add LMAT coefficients (cu2 &amp; cl0) for merinos
13Apr22: Added cf[0] coefficient for LTW conception equation. Added scan_std_doy to correct the crg_doy calcualtion to a standard day
        Fix errors in LTW WWt coefficient calculations (the correction was referencing the birth weight)
4Apr22: Change Greeline and Terminal EVG intercept to 11.0 (based on LMAT phase 2)
23Jan22: Altered the wool age factor to reflect the maturing of follicles (rather than CFW by age).
25Jul21: Altered the Maternal intake to align with LMAT trial (potential intake &amp; impact of fatness)
2Jul21: Change LTW paddocl level scalars back to 8.5 &amp; 2, based on the similar impact on relative survival (&amp; consistency with before)
1Jul21: Adjust the standard scanning % and lamb survival of maternal breeds
               Reviewed the Wwt by BTRT using LTW &amp; LMAT (Maternal coefficients JY v7.xlsx)
24May21: Tweak base mortality coefficients to align with including the distribution on cs and ebg
                    Added estimates of CV &amp; SD for the mortality calcuations
17May21: Add coefficients for proportion of drys that are twice dry (_c2).
6May21: Increased base mortality to 3% and adjusted the factors for weaners and mortality due to ebg (from 20% of dNWmax to 50% before mortality increases). Tweaked RC &amp; ebg scalars
3May21: Fix units of cm[16]
Alter the proportion of flock replaced input to have all adult matings (because now summing the constraint across the k3 axis for replacements)
29Apr21: Added extra commetns about wool growth and yield.
17Apr21: Change intial LW &amp; CFW to be a proportion of SRW &amp; SFW (to handle altering genotypes with sa)
14Apr21: Update calibration for GEPEP Merino.
13Apr21: Change SRW of GEPEP genotype to 58.8kg (the average)
12Apr21: Increase Breeder sale age so that sold at 5.5 yo classifies as a breeder.
8Apr21: Adjusted the base mortality assumptions
7Apr21: Alter fat &amp; protein energy density (to align with Hutton)
5Apr21: Revert basal mortality parameters to CSIRO value. Add updated parameters for MU basal mortality calculations. Increase cd_len to 27
3Apr21: Adjust Litter size parameters for Custom by adjusting both 5% &amp; 95%
                Alter the basal mortality parameters to start increasing mortality if CS less than 2.5. Alter the mortality rate below the threshold
2Apr21: Update the custom animal based on the latest report
1Apr21: Change the Custom animal to reflect GEPEP average
31Mar21: Alter Med1 genotype to reflect the average GEPEP ewe production. Change std ewe age structure to 4% mortality
30Mar21: Altered wool yield to 70% based on TechPaper 2012
24Jan: Add progeny survival heading on CE[8]
             Added LTW prog survival paddock scale scalars
             Added LMAT BW &amp; WWT coefficients (email 22May19)
             Estimated impact of BT3 on merino BW (based on LMAT)
18Jan: Removed intercept from LTW progeny coefficients
26: Altered Wool genotype for the terminals to 0.5 &amp; adjusted the husbandry cut-offs for crutching &amp; mulesing
25: Altered names in phenotype set
24: 30Nov20-Changed the dam effects on CFW &amp; FD. Source for the original info was not attributed 
1: 2Apr19-Added blank Standard Single Table</t>
  </si>
  <si>
    <t>EVG: effect of BC in near mature animals (linear term)</t>
  </si>
  <si>
    <t>EVG: effect of BC in near mature animals (quadratic term)</t>
  </si>
  <si>
    <t>JY fitted value (EVG=27 with rc=1.4)</t>
  </si>
  <si>
    <t>Merino: JY fitted values for GEPEP project</t>
  </si>
  <si>
    <t>29Oct26: Added cg16 as a quadratic parameter for EVG, linked to code changes. Calibrated for GEPEP. Reverted change to cg11 that had been altered when cg8&amp;9 had been lowered to aciheve 25% fat at SRW
14Oct26: Delete the inputs i_fat_propn_wean, viscera and muscle. Replaced by a calculation in the code that is linked to cg8 &amp; cg9.
1Oct26: Fix terminology of kw slope and intercept for CSIRO equation system. Fix error in range of i_cm_c2 &amp; _y
30Sep26: Add cm[28] to represent the increase in maintenance requirement linked to the breeding value of CFW. Add BV of CFW to the genotype parameters.
21Sep26: Add kw intercept for CSIRO function (to be used in a SAV)
19Aug26: Fixed the traits with calibration.
18Aug26: Added other calibration traits that covers the full range of EV trait coefficients
15Aug26: Added van Burgel coefficients for calculating cFAT, GR depth from CS
2Aug26: Ungrouped some rows in the parameters table that included non-zero values
1Aug26: Moved the input cells for the length and pos of the coefficients to the SheepExplorer input section (so that genotypes can be compared). Inserted ci[21 &amp; 22] for f_pi_mu. Equivalent of ci[1 &amp; 2]. Moved c1[21] to ci[23] so that numbering would line up. Fix number of parameters in cm (not done on 26 July 26)
27July26: Change the cn[1] coefficient to be cx[1] so that wethers can have a growth path only slightly higher than ewes while retaining 20% higher SRW. Moved cx[1] to cx[0] so cx[1] could be used in place of cn[1]
26July26: Add a coefficient for the maximum effect of the age reduction on MR for the Graham equations (Lean mass) thatt has a higher age reduction
10July26: Added parameter for fat% of an adult at the SRW (25%)
19Apr26: Changed cu2 &amp; cu6 to position 0. Ungrouped rows of cl0 &amp; cl1 that are used for yatf and are calculated via cb0 (progeny)
22Feb26: Split coefficient cf5 into cf5: losses prior to scanning (when conception is deemed to be quantified) and cf6: foetal losses between scanning and lambing. Only cf5 is connected in the code.
4Oct25: Swap the MU2 coefficients for EL, Mdn &amp; Adult RR LWCj to be in slices 2 &amp; 3 (to be consistent with cu6)
2Oct25: Added cu6 table and included cu6[8] for EL progeny survival. Note: cu3 &amp; 4 in Pasture, cu5 in prices
23Sep25: Alter outlining levels and some text
22Sep25: Move ce_c2[2] to [0] (proportion of dry that are twice dry). Set aside ce_c2[1:6] for scan_std and other variables that might need a d axis. To be revisited when doing mobsize for EweLambs.
28Jun25: Add the new traits required for the updated EweLamb relationships from Jason's project
10Jun25: Change order of cu2 axis to suit new Maidens coefficinets (Magnificent Maidens)
29May25: Change order of the AF3 coefficients (cw[23, 24 &amp; 25]). Add cw[26] for age related change in FD
28May25: Added 3 wool parameters to represent the lower wool production of hoggets from adults. To be calibrated by MLP data &amp; allow calibrating YCFW separate from ACFW
17May25: Added an extra Merino genotype to use for the GEPEP analysis. Changed name of the previous GEPEP genotype to Pingelly. Moved all the '_pos' inputs to allow for the insert
19Dec24: Add ck[38] parameter so that variation in HAF with M/D can be represented in calculation of kw. Changed code for MU calc of kl &amp; kc so these parameters are no longer used, Ungroup Parameters! cw[0]
20Sep24: Fix unrecorded change associated with converting cg[38] to weight. Required both version of proportion viscera. Added cg[39] for proportion by weight
9Sep24: Add kg for milk diet for MU functions (derived from CSIRO value)
6Sep24: Add cg[38] the proportion of protein energy gain that is viscera (to improve calculation of partitioning)
12Jul24: Fix error in formula for SD of ebg (Row 67) which was referencing CV of CS rather than LW. (no change in value)
17Jun24: Add coefficients for NEw for f_fibre_mu() (cw[0]), weight of CFW vs WB
28May24: Add coefficients to drive the Graham etal 1974 Lean mass MR equation
11May24: corrected the adding of sk[18 &amp; 19] that didn't flow to the c2 section of the table.
9May24: Added ck[18 &amp; 19] for the variable efficiency (BC) during gestation
3Dec23: Fix the calculation of Target muscle mass. Change description of SRW to include 'single born'
30Nov23: Reinstate genotype inputs for proportion of fat, viscera and muscle at birth (&amp; weaning). 
                  Delete extra entry in cn that wasn't used. Altered 1_cn_len to 23 (was 8) but it isn't used
25Nov23: Change range name to i_muscle_target
23Nov23: Add cn coefficients for GR fat conversion and calculation of EBW, viscera mass &amp; fat mass.
                    Add cx coefficients for viscera mass.
14Nov23: Fixed outlining of the sections so no information hidden with outline 3
1Nov23: Added Pregnancy parameters for New Feeding Standards conceptus growth
30Oct23: Added DM content of wool for use in the New Feeding Stanards
4Oct23: Add coefficients ck[20-28], cm[20-22], cg[32-37]
2Oct23: Add alpha_m for each genotype. Add cg[24-31] for viscera, wool &amp; conceptus ME &amp; DM &amp; alter order
18May23: Remove cu0[0] which was kg/CS because repeat of cn[5]. Add ce[23] for Peri-natal dam mortality MU1.
13May23: Add 4 extra coefficients to cu2 for SRW &amp; DOJ for RR calculations (with square of each)
7May23: Alter variable name and description to better describe day of joining for standard scanning percentage
6May23: Add separate CV for BW and adult weight
3May23: Add Mob size parameters to BTRT - change LTW pdk scalar to mob size
30Apr23: Moved inputs for CSIRO progeny survival due to BT from cl0[11] to cl0[10]. So that slice 11 can be used for SRW adjustment (cb0[11])
5Feb23: Added formulas to make it easy to add FOO back into the lamb survival equations.
4Feb23: Add heading for cl0[22] to alter perinatal ewe mortality by litter size (values are currently all 0)
25Sep22: Corrected the level 3 rows
24Sep22: Set outline to correct level for ce[2]
12Jul22: Open up the AgeJ^2 row for cu2
14Apr22: Add cu2[24 &amp; 25) and cl0[24 &amp; 25] for Ewe Lamb &amp; LMAT repro rate calculations
6Apr22: Improve explanation of Methane parameters
11Aug21: Add a minimum age for each stock price grid (so that very young animals can't access the breeder grid)
15Jun21: Added parameters for the reduction in CFW with old age (cw17, cw18 &amp; cw19)
26May21: Added comment about when the proportion of the flock replaced is active and moving sime inputs to other sections
24May21: Added CV of weight &amp; CS and Std Devn of ebg for the mortality distribution calculations
17May21: Add numbers to the c2 headings
5Apr21: Add MU basal mortality equations &amp; increase ranges for i_cd_c2 &amp; i_cd_y
31Mar21: Delete EVG from the genotype parameters
30Mar21: Removed scaling of the cw[8] CFW efficiency because the model results indicated that SFW as defined by CSIRO actually is clean
20Mar21: Added input value for EVG (so that it could get a SA value for the MU energy function)
3: 9Sep20-Put pasture parameters in a separate pasture sheet (and linked to pasture type rather than sheep genotype)
2: 15Apr19-Added SRW of entire &amp; castrates relative to ewes (deleted top table). Added SA for the reproduction parameters
1: 12APr19-1st draft of the table finished
2Oct23: Added Alpha_m input. Altered the inputs for cg to include viscera
14Apr: Add cu2[24 &amp; 25] and cl0[24 &amp; 25] for LMAT reproduction calculations
1Apr19-Created the version control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</si>
</sst>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quot;$&quot;* #,##0.00_-;\-&quot;$&quot;* #,##0.00_-;_-&quot;$&quot;* &quot;-&quot;??_-;_-@_-"/>
    <numFmt numFmtId="164" formatCode=";;;"/>
    <numFmt numFmtId="165" formatCode="0.0"/>
    <numFmt numFmtId="166" formatCode="0.0%"/>
    <numFmt numFmtId="167" formatCode="0.000"/>
    <numFmt numFmtId="168" formatCode="0.0000"/>
    <numFmt numFmtId="169" formatCode="0.00;\-0.00;0;"/>
    <numFmt numFmtId="170" formatCode="0.000;\-0.000;0;"/>
    <numFmt numFmtId="171" formatCode="0.0;\-0.0;0"/>
    <numFmt numFmtId="172" formatCode="0.0;\-0.0;"/>
    <numFmt numFmtId="173" formatCode="0.00;\-0.00;0.0"/>
    <numFmt numFmtId="174" formatCode="&quot;$&quot;#,##0.00"/>
    <numFmt numFmtId="175" formatCode="0_)"/>
    <numFmt numFmtId="176" formatCode="0.00000"/>
    <numFmt numFmtId="177" formatCode="0.0000%"/>
    <numFmt numFmtId="178" formatCode="0.00_)"/>
    <numFmt numFmtId="179" formatCode="0.000_)"/>
    <numFmt numFmtId="180" formatCode="0.000%"/>
  </numFmts>
  <fonts count="50"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indexed="8"/>
      <name val="Times New Roman"/>
      <family val="1"/>
    </font>
    <font>
      <b/>
      <sz val="10"/>
      <color indexed="8"/>
      <name val="Times New Roman"/>
      <family val="1"/>
    </font>
    <font>
      <sz val="8"/>
      <color indexed="8"/>
      <name val="Times New Roman"/>
      <family val="1"/>
    </font>
    <font>
      <sz val="11"/>
      <color theme="1"/>
      <name val="Calibri"/>
      <family val="2"/>
      <scheme val="minor"/>
    </font>
    <font>
      <sz val="9"/>
      <color theme="1"/>
      <name val="Calibri"/>
      <family val="2"/>
      <scheme val="minor"/>
    </font>
    <font>
      <sz val="11"/>
      <color rgb="FFB2B2B2"/>
      <name val="Calibri"/>
      <family val="2"/>
      <scheme val="minor"/>
    </font>
    <font>
      <b/>
      <sz val="14"/>
      <color theme="3"/>
      <name val="Times New Roman"/>
      <family val="1"/>
    </font>
    <font>
      <i/>
      <sz val="14"/>
      <color theme="1"/>
      <name val="Times New Roman"/>
      <family val="1"/>
    </font>
    <font>
      <sz val="11"/>
      <color theme="1"/>
      <name val="Times New Roman"/>
      <family val="1"/>
    </font>
    <font>
      <b/>
      <sz val="11"/>
      <color indexed="8"/>
      <name val="Times New Roman"/>
      <family val="1"/>
    </font>
    <font>
      <sz val="11"/>
      <color rgb="FF0000CC"/>
      <name val="Calibri"/>
      <family val="2"/>
      <scheme val="minor"/>
    </font>
    <font>
      <b/>
      <sz val="11"/>
      <color theme="1"/>
      <name val="Times New Roman"/>
      <family val="1"/>
    </font>
    <font>
      <i/>
      <sz val="11"/>
      <color theme="1"/>
      <name val="Times New Roman"/>
      <family val="1"/>
    </font>
    <font>
      <sz val="11"/>
      <color theme="0" tint="-0.34998626667073579"/>
      <name val="Calibri"/>
      <family val="2"/>
      <scheme val="minor"/>
    </font>
    <font>
      <sz val="11"/>
      <name val="Calibri"/>
      <family val="2"/>
      <scheme val="minor"/>
    </font>
    <font>
      <u/>
      <sz val="11"/>
      <color theme="1"/>
      <name val="Times New Roman"/>
      <family val="1"/>
    </font>
    <font>
      <sz val="8"/>
      <color theme="1"/>
      <name val="Times New Roman"/>
      <family val="1"/>
    </font>
    <font>
      <sz val="10"/>
      <color theme="1"/>
      <name val="Times New Roman"/>
      <family val="1"/>
    </font>
    <font>
      <sz val="8"/>
      <color rgb="FF0000CC"/>
      <name val="Times New Roman"/>
      <family val="1"/>
    </font>
    <font>
      <sz val="8"/>
      <color rgb="FF0000CC"/>
      <name val="Calibri"/>
      <family val="2"/>
      <scheme val="minor"/>
    </font>
    <font>
      <sz val="11"/>
      <color theme="0" tint="-0.249977111117893"/>
      <name val="Times New Roman"/>
      <family val="1"/>
    </font>
    <font>
      <sz val="9"/>
      <color theme="1"/>
      <name val="Times New Roman"/>
      <family val="1"/>
    </font>
    <font>
      <b/>
      <sz val="11"/>
      <color rgb="FFFA7D00"/>
      <name val="Calibri"/>
      <family val="2"/>
      <scheme val="minor"/>
    </font>
    <font>
      <sz val="11"/>
      <color rgb="FFFF0000"/>
      <name val="Calibri"/>
      <family val="2"/>
      <scheme val="minor"/>
    </font>
    <font>
      <b/>
      <sz val="11"/>
      <color rgb="FF0000CC"/>
      <name val="Calibri"/>
      <family val="2"/>
      <scheme val="minor"/>
    </font>
    <font>
      <b/>
      <sz val="9"/>
      <color theme="1"/>
      <name val="Calibri"/>
      <family val="2"/>
      <scheme val="minor"/>
    </font>
    <font>
      <sz val="11"/>
      <color rgb="FF0000FF"/>
      <name val="Times New Roman"/>
      <family val="1"/>
    </font>
    <font>
      <sz val="11"/>
      <name val="Times New Roman"/>
      <family val="1"/>
    </font>
    <font>
      <b/>
      <sz val="11"/>
      <name val="Times New Roman"/>
      <family val="1"/>
    </font>
    <font>
      <sz val="11"/>
      <color theme="0" tint="-0.249977111117893"/>
      <name val="Calibri"/>
      <family val="2"/>
      <scheme val="minor"/>
    </font>
    <font>
      <strike/>
      <sz val="11"/>
      <color rgb="FF0000CC"/>
      <name val="Calibri"/>
      <family val="2"/>
      <scheme val="minor"/>
    </font>
    <font>
      <b/>
      <sz val="8"/>
      <color theme="1"/>
      <name val="Times New Roman"/>
      <family val="1"/>
    </font>
    <font>
      <sz val="10"/>
      <color rgb="FF0000CC"/>
      <name val="Times New Roman"/>
      <family val="1"/>
    </font>
    <font>
      <sz val="11"/>
      <color rgb="FF3F3F76"/>
      <name val="Calibri"/>
      <family val="2"/>
      <scheme val="minor"/>
    </font>
    <font>
      <sz val="11"/>
      <color theme="0" tint="-0.34998626667073579"/>
      <name val="Times New Roman"/>
      <family val="1"/>
    </font>
    <font>
      <b/>
      <sz val="9"/>
      <color indexed="10"/>
      <name val="Times New Roman"/>
      <family val="1"/>
    </font>
    <font>
      <sz val="10"/>
      <color theme="1"/>
      <name val="Calibri"/>
      <family val="2"/>
      <scheme val="minor"/>
    </font>
    <font>
      <sz val="11"/>
      <color rgb="FF9C5700"/>
      <name val="Calibri"/>
      <family val="2"/>
      <scheme val="minor"/>
    </font>
    <font>
      <sz val="8"/>
      <name val="Calibri"/>
      <family val="2"/>
      <scheme val="minor"/>
    </font>
    <font>
      <strike/>
      <sz val="11"/>
      <color rgb="FF969696"/>
      <name val="Calibri"/>
      <family val="2"/>
      <scheme val="minor"/>
    </font>
    <font>
      <strike/>
      <sz val="11"/>
      <color theme="1"/>
      <name val="Times New Roman"/>
      <family val="1"/>
    </font>
    <font>
      <b/>
      <sz val="10"/>
      <color theme="1"/>
      <name val="Times New Roman"/>
      <family val="1"/>
    </font>
    <font>
      <b/>
      <sz val="10"/>
      <name val="Times New Roman"/>
      <family val="1"/>
    </font>
    <font>
      <sz val="11"/>
      <color rgb="FFFA7D00"/>
      <name val="Calibri"/>
      <family val="2"/>
      <scheme val="minor"/>
    </font>
    <font>
      <u/>
      <sz val="11"/>
      <color theme="0" tint="-0.249977111117893"/>
      <name val="Times New Roman"/>
      <family val="1"/>
    </font>
    <font>
      <b/>
      <strike/>
      <sz val="11"/>
      <color rgb="FFFA7D00"/>
      <name val="Calibri"/>
      <family val="2"/>
      <scheme val="minor"/>
    </font>
  </fonts>
  <fills count="3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indexed="29"/>
        <bgColor indexed="64"/>
      </patternFill>
    </fill>
    <fill>
      <patternFill patternType="solid">
        <fgColor indexed="27"/>
        <bgColor indexed="64"/>
      </patternFill>
    </fill>
    <fill>
      <patternFill patternType="solid">
        <fgColor indexed="22"/>
      </patternFill>
    </fill>
    <fill>
      <patternFill patternType="solid">
        <fgColor indexed="22"/>
        <bgColor indexed="64"/>
      </patternFill>
    </fill>
    <fill>
      <patternFill patternType="solid">
        <fgColor rgb="FF00FFFF"/>
        <bgColor indexed="64"/>
      </patternFill>
    </fill>
    <fill>
      <patternFill patternType="solid">
        <fgColor rgb="FFFFFFCC"/>
        <bgColor indexed="64"/>
      </patternFill>
    </fill>
    <fill>
      <patternFill patternType="solid">
        <fgColor theme="5" tint="0.39994506668294322"/>
        <bgColor indexed="64"/>
      </patternFill>
    </fill>
    <fill>
      <patternFill patternType="solid">
        <fgColor rgb="FF969696"/>
        <bgColor indexed="64"/>
      </patternFill>
    </fill>
    <fill>
      <patternFill patternType="solid">
        <fgColor rgb="FFB2B2B2"/>
        <bgColor indexed="64"/>
      </patternFill>
    </fill>
    <fill>
      <patternFill patternType="solid">
        <fgColor rgb="FFDDDDDD"/>
        <bgColor indexed="64"/>
      </patternFill>
    </fill>
    <fill>
      <patternFill patternType="solid">
        <fgColor theme="8" tint="0.79998168889431442"/>
        <bgColor indexed="64"/>
      </patternFill>
    </fill>
    <fill>
      <patternFill patternType="solid">
        <fgColor rgb="FFFFEA93"/>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EAEAEA"/>
        <bgColor indexed="64"/>
      </patternFill>
    </fill>
    <fill>
      <patternFill patternType="solid">
        <fgColor theme="9" tint="0.79998168889431442"/>
        <bgColor indexed="64"/>
      </patternFill>
    </fill>
    <fill>
      <patternFill patternType="solid">
        <fgColor rgb="FFD4E7C7"/>
        <bgColor indexed="64"/>
      </patternFill>
    </fill>
    <fill>
      <patternFill patternType="solid">
        <fgColor theme="9" tint="0.59996337778862885"/>
        <bgColor indexed="64"/>
      </patternFill>
    </fill>
    <fill>
      <patternFill patternType="solid">
        <fgColor rgb="FFF2F2F2"/>
      </patternFill>
    </fill>
    <fill>
      <patternFill patternType="solid">
        <fgColor rgb="FFE4E4E4"/>
        <bgColor indexed="64"/>
      </patternFill>
    </fill>
    <fill>
      <patternFill patternType="solid">
        <fgColor rgb="FFFF0000"/>
        <bgColor indexed="64"/>
      </patternFill>
    </fill>
    <fill>
      <patternFill patternType="solid">
        <fgColor rgb="FFA9D08E"/>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rgb="FFCCFFFF"/>
        <bgColor indexed="64"/>
      </patternFill>
    </fill>
    <fill>
      <patternFill patternType="solid">
        <fgColor rgb="FFFFCC99"/>
      </patternFill>
    </fill>
    <fill>
      <patternFill patternType="solid">
        <fgColor rgb="FF66FFFF"/>
        <bgColor indexed="64"/>
      </patternFill>
    </fill>
    <fill>
      <patternFill patternType="solid">
        <fgColor rgb="FFEBFFFF"/>
        <bgColor indexed="64"/>
      </patternFill>
    </fill>
    <fill>
      <patternFill patternType="solid">
        <fgColor rgb="FFFFEB9C"/>
      </patternFill>
    </fill>
    <fill>
      <patternFill patternType="solid">
        <fgColor rgb="FFFFFF00"/>
        <bgColor indexed="64"/>
      </patternFill>
    </fill>
  </fills>
  <borders count="86">
    <border>
      <left/>
      <right/>
      <top/>
      <bottom/>
      <diagonal/>
    </border>
    <border>
      <left/>
      <right/>
      <top style="hair">
        <color indexed="64"/>
      </top>
      <bottom/>
      <diagonal/>
    </border>
    <border>
      <left/>
      <right/>
      <top style="medium">
        <color indexed="64"/>
      </top>
      <bottom/>
      <diagonal/>
    </border>
    <border>
      <left/>
      <right style="thick">
        <color indexed="64"/>
      </right>
      <top style="medium">
        <color indexed="64"/>
      </top>
      <bottom/>
      <diagonal/>
    </border>
    <border>
      <left/>
      <right style="thick">
        <color indexed="64"/>
      </right>
      <top/>
      <bottom/>
      <diagonal/>
    </border>
    <border>
      <left style="hair">
        <color indexed="64"/>
      </left>
      <right style="hair">
        <color indexed="64"/>
      </right>
      <top/>
      <bottom/>
      <diagonal/>
    </border>
    <border>
      <left/>
      <right/>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right style="thick">
        <color indexed="64"/>
      </right>
      <top/>
      <bottom style="thin">
        <color indexed="64"/>
      </bottom>
      <diagonal/>
    </border>
    <border>
      <left/>
      <right/>
      <top/>
      <bottom style="medium">
        <color auto="1"/>
      </bottom>
      <diagonal/>
    </border>
    <border>
      <left style="hair">
        <color auto="1"/>
      </left>
      <right/>
      <top style="medium">
        <color auto="1"/>
      </top>
      <bottom/>
      <diagonal/>
    </border>
    <border>
      <left style="hair">
        <color auto="1"/>
      </left>
      <right/>
      <top/>
      <bottom/>
      <diagonal/>
    </border>
    <border>
      <left/>
      <right style="hair">
        <color auto="1"/>
      </right>
      <top/>
      <bottom/>
      <diagonal/>
    </border>
    <border>
      <left style="hair">
        <color theme="0" tint="-0.24994659260841701"/>
      </left>
      <right style="hair">
        <color theme="0" tint="-0.24994659260841701"/>
      </right>
      <top style="hair">
        <color theme="0" tint="-0.24994659260841701"/>
      </top>
      <bottom style="hair">
        <color theme="0" tint="-0.24994659260841701"/>
      </bottom>
      <diagonal/>
    </border>
    <border>
      <left style="hair">
        <color auto="1"/>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style="hair">
        <color theme="0" tint="-0.24994659260841701"/>
      </left>
      <right style="hair">
        <color theme="0" tint="-0.24994659260841701"/>
      </right>
      <top/>
      <bottom/>
      <diagonal/>
    </border>
    <border>
      <left style="hair">
        <color auto="1"/>
      </left>
      <right style="hair">
        <color auto="1"/>
      </right>
      <top/>
      <bottom style="hair">
        <color auto="1"/>
      </bottom>
      <diagonal/>
    </border>
    <border>
      <left style="hair">
        <color rgb="FF7F7F7F"/>
      </left>
      <right/>
      <top style="hair">
        <color auto="1"/>
      </top>
      <bottom style="hair">
        <color auto="1"/>
      </bottom>
      <diagonal/>
    </border>
    <border>
      <left/>
      <right style="hair">
        <color auto="1"/>
      </right>
      <top style="hair">
        <color auto="1"/>
      </top>
      <bottom style="hair">
        <color auto="1"/>
      </bottom>
      <diagonal/>
    </border>
    <border>
      <left style="hair">
        <color auto="1"/>
      </left>
      <right/>
      <top/>
      <bottom style="thin">
        <color auto="1"/>
      </bottom>
      <diagonal/>
    </border>
    <border>
      <left/>
      <right/>
      <top style="thin">
        <color indexed="64"/>
      </top>
      <bottom/>
      <diagonal/>
    </border>
    <border>
      <left style="hair">
        <color theme="0" tint="-0.24994659260841701"/>
      </left>
      <right style="hair">
        <color theme="0" tint="-0.24994659260841701"/>
      </right>
      <top/>
      <bottom style="hair">
        <color theme="0" tint="-0.24994659260841701"/>
      </bottom>
      <diagonal/>
    </border>
    <border>
      <left style="hair">
        <color theme="0" tint="-0.24994659260841701"/>
      </left>
      <right style="hair">
        <color theme="0" tint="-0.24994659260841701"/>
      </right>
      <top style="hair">
        <color theme="0" tint="-0.24994659260841701"/>
      </top>
      <bottom/>
      <diagonal/>
    </border>
    <border>
      <left style="hair">
        <color theme="0" tint="-0.24994659260841701"/>
      </left>
      <right style="hair">
        <color theme="0" tint="-0.24994659260841701"/>
      </right>
      <top style="thin">
        <color indexed="64"/>
      </top>
      <bottom style="hair">
        <color theme="0" tint="-0.24994659260841701"/>
      </bottom>
      <diagonal/>
    </border>
    <border>
      <left style="hair">
        <color theme="9" tint="-0.499984740745262"/>
      </left>
      <right style="hair">
        <color theme="9" tint="-0.499984740745262"/>
      </right>
      <top style="hair">
        <color theme="9" tint="-0.499984740745262"/>
      </top>
      <bottom style="hair">
        <color theme="9" tint="-0.499984740745262"/>
      </bottom>
      <diagonal/>
    </border>
    <border>
      <left style="hair">
        <color theme="9" tint="-0.499984740745262"/>
      </left>
      <right style="hair">
        <color theme="9" tint="-0.499984740745262"/>
      </right>
      <top style="thin">
        <color indexed="64"/>
      </top>
      <bottom style="hair">
        <color theme="9" tint="-0.499984740745262"/>
      </bottom>
      <diagonal/>
    </border>
    <border>
      <left style="hair">
        <color theme="0" tint="-0.24994659260841701"/>
      </left>
      <right style="hair">
        <color theme="0" tint="-0.24994659260841701"/>
      </right>
      <top style="hair">
        <color theme="0" tint="-0.24994659260841701"/>
      </top>
      <bottom style="thin">
        <color indexed="64"/>
      </bottom>
      <diagonal/>
    </border>
    <border>
      <left style="hair">
        <color theme="9" tint="-0.499984740745262"/>
      </left>
      <right style="hair">
        <color theme="9" tint="-0.499984740745262"/>
      </right>
      <top style="hair">
        <color theme="9" tint="-0.499984740745262"/>
      </top>
      <bottom style="thin">
        <color indexed="64"/>
      </bottom>
      <diagonal/>
    </border>
    <border>
      <left style="hair">
        <color theme="0" tint="-0.24994659260841701"/>
      </left>
      <right style="hair">
        <color theme="0" tint="-0.24994659260841701"/>
      </right>
      <top style="thin">
        <color indexed="64"/>
      </top>
      <bottom style="thin">
        <color indexed="64"/>
      </bottom>
      <diagonal/>
    </border>
    <border>
      <left style="hair">
        <color theme="0" tint="-0.24994659260841701"/>
      </left>
      <right style="hair">
        <color theme="0" tint="-0.24994659260841701"/>
      </right>
      <top style="thin">
        <color indexed="64"/>
      </top>
      <bottom/>
      <diagonal/>
    </border>
    <border>
      <left style="hair">
        <color theme="0" tint="-0.24994659260841701"/>
      </left>
      <right/>
      <top style="thin">
        <color indexed="64"/>
      </top>
      <bottom style="hair">
        <color theme="1" tint="0.24994659260841701"/>
      </bottom>
      <diagonal/>
    </border>
    <border>
      <left style="hair">
        <color theme="0" tint="-0.24994659260841701"/>
      </left>
      <right/>
      <top style="hair">
        <color theme="0" tint="-0.24994659260841701"/>
      </top>
      <bottom style="hair">
        <color theme="1" tint="0.24994659260841701"/>
      </bottom>
      <diagonal/>
    </border>
    <border>
      <left style="hair">
        <color theme="0" tint="-0.24994659260841701"/>
      </left>
      <right style="hair">
        <color theme="0" tint="-0.24994659260841701"/>
      </right>
      <top style="hair">
        <color theme="1" tint="0.34998626667073579"/>
      </top>
      <bottom style="hair">
        <color theme="0" tint="-0.24994659260841701"/>
      </bottom>
      <diagonal/>
    </border>
    <border>
      <left style="hair">
        <color theme="0" tint="-0.24994659260841701"/>
      </left>
      <right/>
      <top style="hair">
        <color theme="0" tint="-0.24994659260841701"/>
      </top>
      <bottom/>
      <diagonal/>
    </border>
    <border>
      <left style="hair">
        <color theme="0" tint="-0.24994659260841701"/>
      </left>
      <right style="hair">
        <color theme="0" tint="-0.24994659260841701"/>
      </right>
      <top style="hair">
        <color theme="1" tint="0.34998626667073579"/>
      </top>
      <bottom/>
      <diagonal/>
    </border>
    <border>
      <left style="hair">
        <color theme="0" tint="-0.24994659260841701"/>
      </left>
      <right/>
      <top style="hair">
        <color theme="0" tint="-0.24994659260841701"/>
      </top>
      <bottom style="thin">
        <color indexed="64"/>
      </bottom>
      <diagonal/>
    </border>
    <border>
      <left style="hair">
        <color auto="1"/>
      </left>
      <right/>
      <top style="hair">
        <color auto="1"/>
      </top>
      <bottom style="hair">
        <color auto="1"/>
      </bottom>
      <diagonal/>
    </border>
    <border>
      <left style="thin">
        <color indexed="64"/>
      </left>
      <right style="hair">
        <color theme="0" tint="-0.24994659260841701"/>
      </right>
      <top style="thin">
        <color indexed="64"/>
      </top>
      <bottom style="hair">
        <color theme="0" tint="-0.24994659260841701"/>
      </bottom>
      <diagonal/>
    </border>
    <border>
      <left style="hair">
        <color theme="0" tint="-0.24994659260841701"/>
      </left>
      <right style="thin">
        <color indexed="64"/>
      </right>
      <top style="thin">
        <color indexed="64"/>
      </top>
      <bottom style="hair">
        <color theme="0" tint="-0.24994659260841701"/>
      </bottom>
      <diagonal/>
    </border>
    <border>
      <left/>
      <right style="hair">
        <color theme="0" tint="-0.24994659260841701"/>
      </right>
      <top style="hair">
        <color theme="0" tint="-0.24994659260841701"/>
      </top>
      <bottom style="hair">
        <color theme="0" tint="-0.24994659260841701"/>
      </bottom>
      <diagonal/>
    </border>
    <border>
      <left style="hair">
        <color theme="0" tint="-0.24994659260841701"/>
      </left>
      <right/>
      <top style="hair">
        <color theme="0" tint="-0.24994659260841701"/>
      </top>
      <bottom style="hair">
        <color theme="0" tint="-0.24994659260841701"/>
      </bottom>
      <diagonal/>
    </border>
    <border>
      <left style="thin">
        <color indexed="64"/>
      </left>
      <right style="hair">
        <color theme="0" tint="-0.24994659260841701"/>
      </right>
      <top style="hair">
        <color theme="0" tint="-0.24994659260841701"/>
      </top>
      <bottom style="hair">
        <color theme="0" tint="-0.24994659260841701"/>
      </bottom>
      <diagonal/>
    </border>
    <border>
      <left style="hair">
        <color theme="0" tint="-0.24994659260841701"/>
      </left>
      <right style="thin">
        <color indexed="64"/>
      </right>
      <top style="hair">
        <color theme="0" tint="-0.24994659260841701"/>
      </top>
      <bottom style="hair">
        <color theme="0" tint="-0.24994659260841701"/>
      </bottom>
      <diagonal/>
    </border>
    <border>
      <left style="thin">
        <color indexed="64"/>
      </left>
      <right style="hair">
        <color theme="0" tint="-0.24994659260841701"/>
      </right>
      <top style="hair">
        <color theme="0" tint="-0.24994659260841701"/>
      </top>
      <bottom style="thin">
        <color indexed="64"/>
      </bottom>
      <diagonal/>
    </border>
    <border>
      <left style="hair">
        <color theme="0" tint="-0.24994659260841701"/>
      </left>
      <right style="thin">
        <color indexed="64"/>
      </right>
      <top style="hair">
        <color theme="0" tint="-0.24994659260841701"/>
      </top>
      <bottom style="thin">
        <color indexed="64"/>
      </bottom>
      <diagonal/>
    </border>
    <border>
      <left style="hair">
        <color theme="0" tint="-0.24994659260841701"/>
      </left>
      <right style="hair">
        <color theme="0" tint="-0.24994659260841701"/>
      </right>
      <top style="hair">
        <color theme="0" tint="-0.24994659260841701"/>
      </top>
      <bottom style="hair">
        <color theme="1" tint="0.34998626667073579"/>
      </bottom>
      <diagonal/>
    </border>
    <border>
      <left style="hair">
        <color theme="0" tint="-0.24994659260841701"/>
      </left>
      <right style="hair">
        <color theme="0" tint="-0.24994659260841701"/>
      </right>
      <top style="thin">
        <color theme="1" tint="0.24994659260841701"/>
      </top>
      <bottom style="hair">
        <color theme="0" tint="-0.24994659260841701"/>
      </bottom>
      <diagonal/>
    </border>
    <border>
      <left style="hair">
        <color theme="0" tint="-0.24994659260841701"/>
      </left>
      <right style="hair">
        <color theme="0" tint="-0.24994659260841701"/>
      </right>
      <top style="hair">
        <color theme="0" tint="-0.24994659260841701"/>
      </top>
      <bottom style="hair">
        <color theme="1" tint="0.24994659260841701"/>
      </bottom>
      <diagonal/>
    </border>
    <border>
      <left style="hair">
        <color theme="0" tint="-0.24994659260841701"/>
      </left>
      <right style="hair">
        <color theme="0" tint="-0.24994659260841701"/>
      </right>
      <top style="hair">
        <color theme="1" tint="0.24994659260841701"/>
      </top>
      <bottom style="hair">
        <color theme="1" tint="0.24994659260841701"/>
      </bottom>
      <diagonal/>
    </border>
    <border>
      <left style="hair">
        <color theme="0" tint="-0.24994659260841701"/>
      </left>
      <right style="hair">
        <color theme="0" tint="-0.24994659260841701"/>
      </right>
      <top style="hair">
        <color theme="1" tint="0.24994659260841701"/>
      </top>
      <bottom/>
      <diagonal/>
    </border>
    <border>
      <left style="hair">
        <color theme="0" tint="-0.24994659260841701"/>
      </left>
      <right style="hair">
        <color theme="0" tint="-0.24994659260841701"/>
      </right>
      <top style="hair">
        <color theme="1" tint="0.24994659260841701"/>
      </top>
      <bottom style="hair">
        <color theme="0" tint="-0.24994659260841701"/>
      </bottom>
      <diagonal/>
    </border>
    <border>
      <left style="thin">
        <color rgb="FF7F7F7F"/>
      </left>
      <right style="thin">
        <color rgb="FF7F7F7F"/>
      </right>
      <top style="thin">
        <color rgb="FF7F7F7F"/>
      </top>
      <bottom style="thin">
        <color rgb="FF7F7F7F"/>
      </bottom>
      <diagonal/>
    </border>
    <border>
      <left/>
      <right style="hair">
        <color theme="0" tint="-0.24994659260841701"/>
      </right>
      <top/>
      <bottom/>
      <diagonal/>
    </border>
    <border>
      <left style="hair">
        <color theme="0" tint="-0.24994659260841701"/>
      </left>
      <right/>
      <top/>
      <bottom/>
      <diagonal/>
    </border>
    <border>
      <left style="hair">
        <color theme="0" tint="-0.24994659260841701"/>
      </left>
      <right/>
      <top/>
      <bottom style="hair">
        <color theme="0" tint="-0.24994659260841701"/>
      </bottom>
      <diagonal/>
    </border>
    <border>
      <left/>
      <right style="hair">
        <color theme="0" tint="-0.24994659260841701"/>
      </right>
      <top/>
      <bottom style="hair">
        <color theme="0" tint="-0.24994659260841701"/>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hair">
        <color theme="9" tint="-0.499984740745262"/>
      </left>
      <right/>
      <top style="hair">
        <color theme="9" tint="-0.499984740745262"/>
      </top>
      <bottom style="hair">
        <color theme="9" tint="-0.499984740745262"/>
      </bottom>
      <diagonal/>
    </border>
    <border>
      <left style="thin">
        <color indexed="64"/>
      </left>
      <right style="thin">
        <color indexed="64"/>
      </right>
      <top style="thin">
        <color indexed="64"/>
      </top>
      <bottom style="hair">
        <color theme="0" tint="-0.24994659260841701"/>
      </bottom>
      <diagonal/>
    </border>
    <border>
      <left style="thin">
        <color indexed="64"/>
      </left>
      <right style="thin">
        <color indexed="64"/>
      </right>
      <top style="hair">
        <color theme="0" tint="-0.24994659260841701"/>
      </top>
      <bottom style="thin">
        <color indexed="64"/>
      </bottom>
      <diagonal/>
    </border>
    <border>
      <left/>
      <right/>
      <top style="hair">
        <color theme="1" tint="0.34998626667073579"/>
      </top>
      <bottom/>
      <diagonal/>
    </border>
    <border>
      <left/>
      <right/>
      <top/>
      <bottom style="hair">
        <color theme="1" tint="0.34998626667073579"/>
      </bottom>
      <diagonal/>
    </border>
    <border>
      <left style="hair">
        <color theme="9" tint="-0.499984740745262"/>
      </left>
      <right style="hair">
        <color theme="9" tint="-0.499984740745262"/>
      </right>
      <top style="hair">
        <color theme="9" tint="-0.499984740745262"/>
      </top>
      <bottom style="thin">
        <color theme="9" tint="-0.499984740745262"/>
      </bottom>
      <diagonal/>
    </border>
    <border>
      <left style="hair">
        <color theme="9" tint="-0.499984740745262"/>
      </left>
      <right style="hair">
        <color theme="9" tint="-0.499984740745262"/>
      </right>
      <top style="hair">
        <color theme="9" tint="-0.499984740745262"/>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theme="1" tint="0.24994659260841701"/>
      </left>
      <right style="hair">
        <color theme="1" tint="0.24994659260841701"/>
      </right>
      <top/>
      <bottom/>
      <diagonal/>
    </border>
    <border>
      <left style="thin">
        <color rgb="FF7F7F7F"/>
      </left>
      <right style="thin">
        <color rgb="FF7F7F7F"/>
      </right>
      <top style="thin">
        <color rgb="FF7F7F7F"/>
      </top>
      <bottom style="thin">
        <color indexed="64"/>
      </bottom>
      <diagonal/>
    </border>
    <border>
      <left style="thick">
        <color rgb="FFFF0000"/>
      </left>
      <right style="thick">
        <color rgb="FFFF0000"/>
      </right>
      <top style="thick">
        <color rgb="FFFF0000"/>
      </top>
      <bottom style="thick">
        <color rgb="FFFF0000"/>
      </bottom>
      <diagonal/>
    </border>
    <border>
      <left style="hair">
        <color rgb="FF7F7F7F"/>
      </left>
      <right/>
      <top style="hair">
        <color auto="1"/>
      </top>
      <bottom style="hair">
        <color rgb="FF7F7F7F"/>
      </bottom>
      <diagonal/>
    </border>
    <border>
      <left/>
      <right/>
      <top style="hair">
        <color auto="1"/>
      </top>
      <bottom style="hair">
        <color rgb="FF7F7F7F"/>
      </bottom>
      <diagonal/>
    </border>
    <border>
      <left/>
      <right style="hair">
        <color auto="1"/>
      </right>
      <top style="hair">
        <color auto="1"/>
      </top>
      <bottom style="hair">
        <color rgb="FF7F7F7F"/>
      </bottom>
      <diagonal/>
    </border>
    <border>
      <left/>
      <right/>
      <top style="medium">
        <color indexed="64"/>
      </top>
      <bottom style="thin">
        <color theme="2"/>
      </bottom>
      <diagonal/>
    </border>
    <border>
      <left/>
      <right style="hair">
        <color rgb="FF7F7F7F"/>
      </right>
      <top style="hair">
        <color auto="1"/>
      </top>
      <bottom style="hair">
        <color rgb="FF7F7F7F"/>
      </bottom>
      <diagonal/>
    </border>
  </borders>
  <cellStyleXfs count="34">
    <xf numFmtId="0" fontId="0" fillId="0" borderId="0"/>
    <xf numFmtId="0" fontId="4" fillId="8" borderId="8" applyNumberFormat="0" applyFont="0" applyBorder="0" applyAlignment="0">
      <alignment horizontal="center"/>
    </xf>
    <xf numFmtId="165" fontId="4" fillId="9" borderId="9">
      <alignment horizontal="right"/>
    </xf>
    <xf numFmtId="9" fontId="7" fillId="0" borderId="0" applyFont="0" applyFill="0" applyBorder="0" applyAlignment="0" applyProtection="0"/>
    <xf numFmtId="44" fontId="7" fillId="0" borderId="0" applyFont="0" applyFill="0" applyBorder="0" applyAlignment="0" applyProtection="0"/>
    <xf numFmtId="0" fontId="7" fillId="10" borderId="0" applyNumberFormat="0" applyFont="0" applyAlignment="0"/>
    <xf numFmtId="0" fontId="8" fillId="11" borderId="9" applyNumberFormat="0" applyProtection="0">
      <alignment horizontal="center" vertical="top"/>
    </xf>
    <xf numFmtId="0" fontId="9" fillId="12" borderId="0" applyNumberFormat="0" applyBorder="0" applyAlignment="0"/>
    <xf numFmtId="0" fontId="8" fillId="13" borderId="16">
      <alignment vertical="top"/>
    </xf>
    <xf numFmtId="0" fontId="7" fillId="14" borderId="0">
      <alignment horizontal="centerContinuous" vertical="top"/>
    </xf>
    <xf numFmtId="0" fontId="10" fillId="14" borderId="0" applyNumberFormat="0" applyBorder="0">
      <alignment horizontal="centerContinuous" vertical="center"/>
    </xf>
    <xf numFmtId="0" fontId="11" fillId="14" borderId="0" applyNumberFormat="0" applyBorder="0" applyProtection="0">
      <alignment horizontal="centerContinuous" vertical="center"/>
    </xf>
    <xf numFmtId="0" fontId="12" fillId="12" borderId="21" applyNumberFormat="0">
      <alignment horizontal="center" vertical="top" wrapText="1"/>
    </xf>
    <xf numFmtId="0" fontId="7" fillId="15" borderId="0" applyNumberFormat="0" applyFont="0" applyBorder="0" applyAlignment="0"/>
    <xf numFmtId="0" fontId="12" fillId="16" borderId="16">
      <alignment vertical="top"/>
    </xf>
    <xf numFmtId="0" fontId="7" fillId="17" borderId="9" applyNumberFormat="0">
      <alignment horizontal="center" vertical="top"/>
    </xf>
    <xf numFmtId="0" fontId="14" fillId="18" borderId="16" applyNumberFormat="0">
      <alignment vertical="top"/>
      <protection locked="0"/>
    </xf>
    <xf numFmtId="0" fontId="15" fillId="14" borderId="0" applyNumberFormat="0">
      <alignment horizontal="left" vertical="top"/>
    </xf>
    <xf numFmtId="0" fontId="14" fillId="19" borderId="16" applyNumberFormat="0">
      <alignment vertical="top"/>
      <protection locked="0"/>
    </xf>
    <xf numFmtId="0" fontId="12" fillId="20" borderId="30" applyNumberFormat="0" applyFont="0" applyAlignment="0">
      <alignment horizontal="center" vertical="top"/>
    </xf>
    <xf numFmtId="0" fontId="12" fillId="21" borderId="30" applyNumberFormat="0" applyFont="0" applyAlignment="0">
      <alignment horizontal="center" vertical="top"/>
    </xf>
    <xf numFmtId="0" fontId="14" fillId="13" borderId="16" applyNumberFormat="0">
      <alignment vertical="top"/>
      <protection locked="0"/>
    </xf>
    <xf numFmtId="0" fontId="12" fillId="22" borderId="30" applyNumberFormat="0" applyFont="0" applyAlignment="0">
      <alignment horizontal="center" vertical="top"/>
    </xf>
    <xf numFmtId="0" fontId="26" fillId="23" borderId="57" applyNumberFormat="0" applyAlignment="0" applyProtection="0"/>
    <xf numFmtId="0" fontId="28" fillId="24" borderId="16" applyNumberFormat="0" applyBorder="0" applyAlignment="0" applyProtection="0">
      <alignment vertical="top"/>
      <protection locked="0"/>
    </xf>
    <xf numFmtId="167" fontId="12" fillId="26" borderId="30" applyNumberFormat="0" applyFont="0" applyAlignment="0">
      <alignment vertical="top"/>
    </xf>
    <xf numFmtId="0" fontId="7" fillId="27" borderId="0" applyNumberFormat="0" applyBorder="0" applyAlignment="0" applyProtection="0"/>
    <xf numFmtId="0" fontId="7" fillId="28" borderId="0" applyNumberFormat="0" applyBorder="0" applyAlignment="0" applyProtection="0"/>
    <xf numFmtId="0" fontId="36" fillId="31" borderId="8" applyNumberFormat="0" applyBorder="0" applyAlignment="0">
      <protection locked="0"/>
    </xf>
    <xf numFmtId="0" fontId="37" fillId="30" borderId="57" applyNumberFormat="0" applyAlignment="0" applyProtection="0"/>
    <xf numFmtId="0" fontId="36" fillId="29" borderId="8" applyBorder="0" applyAlignment="0">
      <protection locked="0"/>
    </xf>
    <xf numFmtId="165" fontId="36" fillId="32" borderId="8" applyNumberFormat="0" applyFont="0" applyBorder="0" applyAlignment="0">
      <alignment horizontal="center"/>
      <protection locked="0"/>
    </xf>
    <xf numFmtId="0" fontId="41" fillId="33" borderId="0" applyNumberFormat="0" applyBorder="0" applyAlignment="0" applyProtection="0"/>
    <xf numFmtId="0" fontId="36" fillId="29" borderId="8" applyNumberFormat="0" applyBorder="0" applyAlignment="0">
      <protection locked="0"/>
    </xf>
  </cellStyleXfs>
  <cellXfs count="649">
    <xf numFmtId="0" fontId="0" fillId="0" borderId="0" xfId="0"/>
    <xf numFmtId="0" fontId="0" fillId="2" borderId="0" xfId="0" applyFill="1"/>
    <xf numFmtId="0" fontId="0" fillId="2" borderId="0" xfId="0" applyFill="1" applyAlignment="1">
      <alignment horizontal="left" vertical="center"/>
    </xf>
    <xf numFmtId="0" fontId="1" fillId="2" borderId="0" xfId="0" applyFont="1" applyFill="1"/>
    <xf numFmtId="14" fontId="0" fillId="0" borderId="0" xfId="0" applyNumberFormat="1"/>
    <xf numFmtId="0" fontId="0" fillId="0" borderId="0" xfId="0" applyAlignment="1">
      <alignment wrapText="1"/>
    </xf>
    <xf numFmtId="0" fontId="0" fillId="3" borderId="0" xfId="0" applyFill="1"/>
    <xf numFmtId="0" fontId="4" fillId="4" borderId="0" xfId="0" applyFont="1" applyFill="1" applyAlignment="1">
      <alignment vertical="center"/>
    </xf>
    <xf numFmtId="0" fontId="0" fillId="5" borderId="0" xfId="0" applyFill="1"/>
    <xf numFmtId="0" fontId="4" fillId="5" borderId="0" xfId="0" applyFont="1" applyFill="1"/>
    <xf numFmtId="164" fontId="4" fillId="6" borderId="2" xfId="0" applyNumberFormat="1" applyFont="1" applyFill="1" applyBorder="1"/>
    <xf numFmtId="0" fontId="4" fillId="6" borderId="2" xfId="0" applyFont="1" applyFill="1" applyBorder="1"/>
    <xf numFmtId="0" fontId="4" fillId="6" borderId="3" xfId="0" applyFont="1" applyFill="1" applyBorder="1"/>
    <xf numFmtId="164" fontId="4" fillId="6" borderId="0" xfId="0" applyNumberFormat="1" applyFont="1" applyFill="1"/>
    <xf numFmtId="0" fontId="4" fillId="0" borderId="0" xfId="0" applyFont="1"/>
    <xf numFmtId="0" fontId="5" fillId="0" borderId="0" xfId="0" applyFont="1"/>
    <xf numFmtId="0" fontId="4" fillId="0" borderId="0" xfId="0" applyFont="1" applyAlignment="1">
      <alignment horizontal="center"/>
    </xf>
    <xf numFmtId="0" fontId="4" fillId="6" borderId="4" xfId="0" applyFont="1" applyFill="1" applyBorder="1"/>
    <xf numFmtId="0" fontId="4" fillId="6" borderId="0" xfId="0" applyFont="1" applyFill="1"/>
    <xf numFmtId="0" fontId="4" fillId="0" borderId="0" xfId="0" applyFont="1" applyAlignment="1">
      <alignment horizontal="left"/>
    </xf>
    <xf numFmtId="15" fontId="6" fillId="0" borderId="0" xfId="0" quotePrefix="1" applyNumberFormat="1" applyFont="1" applyAlignment="1">
      <alignment horizontal="left"/>
    </xf>
    <xf numFmtId="0" fontId="4" fillId="6" borderId="0" xfId="0" applyFont="1" applyFill="1" applyAlignment="1">
      <alignment horizontal="center"/>
    </xf>
    <xf numFmtId="0" fontId="4" fillId="7" borderId="5" xfId="0" applyFont="1" applyFill="1" applyBorder="1" applyAlignment="1">
      <alignment horizontal="center"/>
    </xf>
    <xf numFmtId="0" fontId="4" fillId="7" borderId="0" xfId="0" applyFont="1" applyFill="1" applyAlignment="1">
      <alignment horizontal="center"/>
    </xf>
    <xf numFmtId="2" fontId="4" fillId="0" borderId="0" xfId="0" applyNumberFormat="1" applyFont="1" applyAlignment="1">
      <alignment horizontal="left"/>
    </xf>
    <xf numFmtId="2" fontId="4" fillId="0" borderId="6" xfId="0" applyNumberFormat="1" applyFont="1" applyBorder="1" applyAlignment="1">
      <alignment horizontal="left"/>
    </xf>
    <xf numFmtId="2" fontId="4" fillId="0" borderId="6" xfId="0" applyNumberFormat="1" applyFont="1" applyBorder="1" applyAlignment="1">
      <alignment horizontal="center"/>
    </xf>
    <xf numFmtId="2" fontId="4" fillId="0" borderId="0" xfId="0" applyNumberFormat="1" applyFont="1" applyAlignment="1">
      <alignment horizontal="center"/>
    </xf>
    <xf numFmtId="2" fontId="4" fillId="0" borderId="7" xfId="0" applyNumberFormat="1" applyFont="1" applyBorder="1" applyAlignment="1">
      <alignment horizontal="left"/>
    </xf>
    <xf numFmtId="1" fontId="4" fillId="8" borderId="7" xfId="1" applyNumberFormat="1" applyFont="1" applyBorder="1" applyAlignment="1"/>
    <xf numFmtId="2" fontId="4" fillId="0" borderId="7" xfId="0" applyNumberFormat="1" applyFont="1" applyBorder="1" applyAlignment="1">
      <alignment horizontal="center"/>
    </xf>
    <xf numFmtId="0" fontId="0" fillId="0" borderId="7" xfId="0" applyBorder="1" applyAlignment="1">
      <alignment horizontal="left"/>
    </xf>
    <xf numFmtId="1" fontId="4" fillId="0" borderId="7" xfId="0" applyNumberFormat="1" applyFont="1" applyBorder="1" applyProtection="1">
      <protection locked="0"/>
    </xf>
    <xf numFmtId="2" fontId="4" fillId="0" borderId="0" xfId="0" applyNumberFormat="1" applyFont="1"/>
    <xf numFmtId="2" fontId="4" fillId="0" borderId="1" xfId="0" applyNumberFormat="1" applyFont="1" applyBorder="1" applyAlignment="1">
      <alignment horizontal="left"/>
    </xf>
    <xf numFmtId="2" fontId="4" fillId="0" borderId="1" xfId="0" applyNumberFormat="1" applyFont="1" applyBorder="1" applyAlignment="1">
      <alignment horizontal="center"/>
    </xf>
    <xf numFmtId="0" fontId="4" fillId="6" borderId="10" xfId="0" applyFont="1" applyFill="1" applyBorder="1"/>
    <xf numFmtId="0" fontId="4" fillId="6" borderId="10" xfId="0" applyFont="1" applyFill="1" applyBorder="1" applyAlignment="1">
      <alignment vertical="center"/>
    </xf>
    <xf numFmtId="164" fontId="4" fillId="6" borderId="11" xfId="0" applyNumberFormat="1" applyFont="1" applyFill="1" applyBorder="1" applyAlignment="1">
      <alignment vertical="center"/>
    </xf>
    <xf numFmtId="2" fontId="4" fillId="8" borderId="7" xfId="1" applyNumberFormat="1" applyFont="1" applyBorder="1" applyAlignment="1">
      <alignment horizontal="center"/>
    </xf>
    <xf numFmtId="2" fontId="4" fillId="8" borderId="7" xfId="1" applyNumberFormat="1" applyFont="1" applyBorder="1" applyAlignment="1"/>
    <xf numFmtId="2" fontId="4" fillId="0" borderId="7" xfId="0" applyNumberFormat="1" applyFont="1" applyBorder="1" applyAlignment="1">
      <alignment horizontal="right"/>
    </xf>
    <xf numFmtId="166" fontId="0" fillId="0" borderId="0" xfId="3" applyNumberFormat="1" applyFont="1" applyFill="1"/>
    <xf numFmtId="9" fontId="4" fillId="8" borderId="7" xfId="3" applyFont="1" applyFill="1" applyBorder="1" applyAlignment="1"/>
    <xf numFmtId="9" fontId="0" fillId="0" borderId="0" xfId="3" applyFont="1" applyFill="1"/>
    <xf numFmtId="0" fontId="0" fillId="10" borderId="0" xfId="5" applyFont="1"/>
    <xf numFmtId="167" fontId="8" fillId="10" borderId="0" xfId="5" applyNumberFormat="1" applyFont="1"/>
    <xf numFmtId="167" fontId="8" fillId="11" borderId="0" xfId="6" applyNumberFormat="1" applyBorder="1" applyAlignment="1"/>
    <xf numFmtId="0" fontId="0" fillId="10" borderId="12" xfId="5" applyFont="1" applyBorder="1"/>
    <xf numFmtId="167" fontId="8" fillId="11" borderId="12" xfId="6" applyNumberFormat="1" applyBorder="1" applyAlignment="1"/>
    <xf numFmtId="0" fontId="9" fillId="12" borderId="13" xfId="7" applyBorder="1"/>
    <xf numFmtId="167" fontId="8" fillId="11" borderId="2" xfId="6" applyNumberFormat="1" applyBorder="1" applyAlignment="1"/>
    <xf numFmtId="0" fontId="0" fillId="12" borderId="2" xfId="7" applyFont="1" applyBorder="1"/>
    <xf numFmtId="0" fontId="0" fillId="12" borderId="3" xfId="7" applyFont="1" applyBorder="1"/>
    <xf numFmtId="0" fontId="9" fillId="12" borderId="14" xfId="7" applyBorder="1"/>
    <xf numFmtId="0" fontId="0" fillId="12" borderId="0" xfId="7" applyFont="1"/>
    <xf numFmtId="0" fontId="8" fillId="11" borderId="9" xfId="6">
      <alignment horizontal="center" vertical="top"/>
    </xf>
    <xf numFmtId="0" fontId="0" fillId="12" borderId="4" xfId="7" applyFont="1" applyBorder="1"/>
    <xf numFmtId="0" fontId="0" fillId="12" borderId="15" xfId="7" applyFont="1" applyBorder="1"/>
    <xf numFmtId="0" fontId="8" fillId="13" borderId="16" xfId="8" applyAlignment="1">
      <alignment horizontal="right" vertical="top"/>
    </xf>
    <xf numFmtId="0" fontId="8" fillId="13" borderId="16" xfId="8" applyAlignment="1">
      <alignment horizontal="center" vertical="top"/>
    </xf>
    <xf numFmtId="0" fontId="7" fillId="14" borderId="17" xfId="9" applyBorder="1" applyAlignment="1">
      <alignment vertical="top"/>
    </xf>
    <xf numFmtId="0" fontId="10" fillId="14" borderId="1" xfId="10" applyBorder="1">
      <alignment horizontal="centerContinuous" vertical="center"/>
    </xf>
    <xf numFmtId="0" fontId="7" fillId="14" borderId="1" xfId="9" applyBorder="1">
      <alignment horizontal="centerContinuous" vertical="top"/>
    </xf>
    <xf numFmtId="0" fontId="7" fillId="14" borderId="18" xfId="9" applyBorder="1" applyAlignment="1">
      <alignment vertical="top"/>
    </xf>
    <xf numFmtId="9" fontId="8" fillId="13" borderId="16" xfId="8" applyNumberFormat="1" applyAlignment="1">
      <alignment horizontal="center" vertical="top"/>
    </xf>
    <xf numFmtId="0" fontId="7" fillId="14" borderId="19" xfId="9" applyBorder="1" applyAlignment="1">
      <alignment vertical="top"/>
    </xf>
    <xf numFmtId="0" fontId="11" fillId="14" borderId="6" xfId="11" applyBorder="1">
      <alignment horizontal="centerContinuous" vertical="center"/>
    </xf>
    <xf numFmtId="0" fontId="7" fillId="14" borderId="6" xfId="9" applyBorder="1">
      <alignment horizontal="centerContinuous" vertical="top"/>
    </xf>
    <xf numFmtId="0" fontId="7" fillId="14" borderId="20" xfId="9" applyBorder="1" applyAlignment="1">
      <alignment vertical="top"/>
    </xf>
    <xf numFmtId="0" fontId="8" fillId="13" borderId="16" xfId="8">
      <alignment vertical="top"/>
    </xf>
    <xf numFmtId="0" fontId="12" fillId="12" borderId="0" xfId="12" applyBorder="1">
      <alignment horizontal="center" vertical="top" wrapText="1"/>
    </xf>
    <xf numFmtId="0" fontId="12" fillId="12" borderId="21" xfId="12">
      <alignment horizontal="center" vertical="top" wrapText="1"/>
    </xf>
    <xf numFmtId="0" fontId="0" fillId="15" borderId="0" xfId="13" applyFont="1"/>
    <xf numFmtId="0" fontId="0" fillId="15" borderId="22" xfId="13" applyFont="1" applyBorder="1"/>
    <xf numFmtId="0" fontId="13" fillId="16" borderId="16" xfId="14" applyFont="1">
      <alignment vertical="top"/>
    </xf>
    <xf numFmtId="0" fontId="12" fillId="16" borderId="16" xfId="14">
      <alignment vertical="top"/>
    </xf>
    <xf numFmtId="0" fontId="14" fillId="18" borderId="0" xfId="16" applyBorder="1" applyAlignment="1">
      <alignment horizontal="left" vertical="top" wrapText="1"/>
      <protection locked="0"/>
    </xf>
    <xf numFmtId="0" fontId="12" fillId="16" borderId="16" xfId="14" applyAlignment="1">
      <alignment horizontal="right" vertical="top"/>
    </xf>
    <xf numFmtId="0" fontId="7" fillId="17" borderId="9" xfId="15">
      <alignment horizontal="center" vertical="top"/>
    </xf>
    <xf numFmtId="9" fontId="7" fillId="17" borderId="9" xfId="15" applyNumberFormat="1">
      <alignment horizontal="center" vertical="top"/>
    </xf>
    <xf numFmtId="0" fontId="9" fillId="12" borderId="25" xfId="7" applyBorder="1"/>
    <xf numFmtId="167" fontId="8" fillId="11" borderId="10" xfId="6" applyNumberFormat="1" applyBorder="1" applyAlignment="1"/>
    <xf numFmtId="0" fontId="0" fillId="12" borderId="10" xfId="7" applyFont="1" applyBorder="1"/>
    <xf numFmtId="0" fontId="0" fillId="12" borderId="11" xfId="7" applyFont="1" applyBorder="1"/>
    <xf numFmtId="0" fontId="0" fillId="10" borderId="26" xfId="5" applyFont="1" applyBorder="1"/>
    <xf numFmtId="167" fontId="8" fillId="11" borderId="26" xfId="6" applyNumberFormat="1" applyBorder="1" applyAlignment="1"/>
    <xf numFmtId="167" fontId="8" fillId="11" borderId="0" xfId="6" applyNumberFormat="1" applyBorder="1" applyAlignment="1">
      <alignment vertical="center"/>
    </xf>
    <xf numFmtId="167" fontId="8" fillId="11" borderId="12" xfId="6" applyNumberFormat="1" applyBorder="1" applyAlignment="1">
      <alignment vertical="center"/>
    </xf>
    <xf numFmtId="167" fontId="8" fillId="11" borderId="2" xfId="6" applyNumberFormat="1" applyBorder="1" applyAlignment="1">
      <alignment vertical="center"/>
    </xf>
    <xf numFmtId="0" fontId="15" fillId="14" borderId="0" xfId="17">
      <alignment horizontal="left" vertical="top"/>
    </xf>
    <xf numFmtId="0" fontId="16" fillId="14" borderId="0" xfId="9" quotePrefix="1" applyFont="1" applyAlignment="1">
      <alignment horizontal="left" vertical="top"/>
    </xf>
    <xf numFmtId="0" fontId="7" fillId="14" borderId="0" xfId="9">
      <alignment horizontal="centerContinuous" vertical="top"/>
    </xf>
    <xf numFmtId="0" fontId="7" fillId="14" borderId="0" xfId="9" applyAlignment="1">
      <alignment horizontal="left" vertical="top"/>
    </xf>
    <xf numFmtId="0" fontId="0" fillId="15" borderId="16" xfId="13" applyFont="1" applyBorder="1"/>
    <xf numFmtId="0" fontId="12" fillId="16" borderId="16" xfId="14" applyAlignment="1">
      <alignment horizontal="centerContinuous" vertical="top"/>
    </xf>
    <xf numFmtId="0" fontId="12" fillId="16" borderId="16" xfId="14" applyAlignment="1">
      <alignment horizontal="center" vertical="top"/>
    </xf>
    <xf numFmtId="0" fontId="14" fillId="18" borderId="16" xfId="16">
      <alignment vertical="top"/>
      <protection locked="0"/>
    </xf>
    <xf numFmtId="0" fontId="17" fillId="15" borderId="0" xfId="13" applyFont="1"/>
    <xf numFmtId="0" fontId="14" fillId="18" borderId="16" xfId="16" applyAlignment="1">
      <alignment horizontal="center" vertical="top"/>
      <protection locked="0"/>
    </xf>
    <xf numFmtId="167" fontId="8" fillId="11" borderId="10" xfId="6" applyNumberFormat="1" applyBorder="1" applyAlignment="1">
      <alignment vertical="center"/>
    </xf>
    <xf numFmtId="0" fontId="17" fillId="12" borderId="10" xfId="7" applyFont="1" applyBorder="1"/>
    <xf numFmtId="167" fontId="8" fillId="11" borderId="26" xfId="6" applyNumberFormat="1" applyBorder="1" applyAlignment="1">
      <alignment vertical="center"/>
    </xf>
    <xf numFmtId="0" fontId="17" fillId="10" borderId="26" xfId="5" applyFont="1" applyBorder="1"/>
    <xf numFmtId="0" fontId="18" fillId="10" borderId="0" xfId="5" applyFont="1"/>
    <xf numFmtId="0" fontId="12" fillId="16" borderId="27" xfId="14" applyBorder="1">
      <alignment vertical="top"/>
    </xf>
    <xf numFmtId="0" fontId="19" fillId="16" borderId="27" xfId="14" applyFont="1" applyBorder="1" applyAlignment="1">
      <alignment horizontal="centerContinuous" vertical="top"/>
    </xf>
    <xf numFmtId="0" fontId="12" fillId="16" borderId="27" xfId="14" applyBorder="1" applyAlignment="1">
      <alignment horizontal="centerContinuous" vertical="top"/>
    </xf>
    <xf numFmtId="0" fontId="12" fillId="16" borderId="21" xfId="14" applyBorder="1" applyAlignment="1">
      <alignment horizontal="center" vertical="top"/>
    </xf>
    <xf numFmtId="0" fontId="12" fillId="16" borderId="28" xfId="14" applyBorder="1">
      <alignment vertical="top"/>
    </xf>
    <xf numFmtId="0" fontId="7" fillId="17" borderId="8" xfId="15" applyBorder="1">
      <alignment horizontal="center" vertical="top"/>
    </xf>
    <xf numFmtId="166" fontId="12" fillId="20" borderId="31" xfId="19" applyNumberFormat="1" applyFont="1" applyBorder="1" applyAlignment="1">
      <alignment vertical="top"/>
    </xf>
    <xf numFmtId="9" fontId="12" fillId="20" borderId="31" xfId="19" applyNumberFormat="1" applyFont="1" applyBorder="1" applyAlignment="1">
      <alignment vertical="top"/>
    </xf>
    <xf numFmtId="9" fontId="14" fillId="18" borderId="16" xfId="16" applyNumberFormat="1" applyAlignment="1">
      <alignment horizontal="center" vertical="top"/>
      <protection locked="0"/>
    </xf>
    <xf numFmtId="10" fontId="12" fillId="16" borderId="16" xfId="3" applyNumberFormat="1" applyFont="1" applyFill="1" applyBorder="1" applyAlignment="1">
      <alignment vertical="top"/>
    </xf>
    <xf numFmtId="9" fontId="14" fillId="18" borderId="16" xfId="3" applyFont="1" applyFill="1" applyBorder="1" applyAlignment="1" applyProtection="1">
      <alignment vertical="top"/>
      <protection locked="0"/>
    </xf>
    <xf numFmtId="166" fontId="0" fillId="0" borderId="0" xfId="0" applyNumberFormat="1"/>
    <xf numFmtId="166" fontId="14" fillId="18" borderId="16" xfId="16" applyNumberFormat="1">
      <alignment vertical="top"/>
      <protection locked="0"/>
    </xf>
    <xf numFmtId="9" fontId="14" fillId="18" borderId="16" xfId="16" applyNumberFormat="1">
      <alignment vertical="top"/>
      <protection locked="0"/>
    </xf>
    <xf numFmtId="0" fontId="14" fillId="18" borderId="27" xfId="16" applyBorder="1">
      <alignment vertical="top"/>
      <protection locked="0"/>
    </xf>
    <xf numFmtId="0" fontId="20" fillId="16" borderId="16" xfId="14" applyFont="1" applyAlignment="1">
      <alignment horizontal="centerContinuous" vertical="center"/>
    </xf>
    <xf numFmtId="0" fontId="12" fillId="16" borderId="16" xfId="14" applyAlignment="1">
      <alignment horizontal="right" vertical="center"/>
    </xf>
    <xf numFmtId="2" fontId="12" fillId="16" borderId="16" xfId="14" applyNumberFormat="1" applyAlignment="1">
      <alignment horizontal="center" vertical="top"/>
    </xf>
    <xf numFmtId="166" fontId="12" fillId="16" borderId="16" xfId="3" applyNumberFormat="1" applyFont="1" applyFill="1" applyBorder="1" applyAlignment="1">
      <alignment horizontal="center" vertical="top"/>
    </xf>
    <xf numFmtId="166" fontId="14" fillId="18" borderId="16" xfId="16" applyNumberFormat="1" applyAlignment="1">
      <alignment horizontal="center" vertical="top"/>
      <protection locked="0"/>
    </xf>
    <xf numFmtId="0" fontId="12" fillId="16" borderId="34" xfId="14" applyBorder="1">
      <alignment vertical="top"/>
    </xf>
    <xf numFmtId="0" fontId="12" fillId="16" borderId="34" xfId="14" applyBorder="1" applyAlignment="1">
      <alignment horizontal="center" vertical="top"/>
    </xf>
    <xf numFmtId="166" fontId="12" fillId="16" borderId="34" xfId="3" applyNumberFormat="1" applyFont="1" applyFill="1" applyBorder="1" applyAlignment="1">
      <alignment horizontal="center" vertical="top"/>
    </xf>
    <xf numFmtId="0" fontId="8" fillId="13" borderId="16" xfId="8" applyAlignment="1">
      <alignment vertical="top" wrapText="1"/>
    </xf>
    <xf numFmtId="0" fontId="12" fillId="16" borderId="16" xfId="14" applyAlignment="1">
      <alignment horizontal="left" vertical="top"/>
    </xf>
    <xf numFmtId="0" fontId="19" fillId="16" borderId="21" xfId="14" applyFont="1" applyBorder="1">
      <alignment vertical="top"/>
    </xf>
    <xf numFmtId="0" fontId="12" fillId="16" borderId="28" xfId="14" applyBorder="1" applyAlignment="1">
      <alignment horizontal="centerContinuous" vertical="top"/>
    </xf>
    <xf numFmtId="0" fontId="12" fillId="16" borderId="28" xfId="14" applyBorder="1" applyAlignment="1">
      <alignment horizontal="center" vertical="top"/>
    </xf>
    <xf numFmtId="0" fontId="12" fillId="16" borderId="28" xfId="14" applyBorder="1" applyAlignment="1">
      <alignment horizontal="center" vertical="top" wrapText="1"/>
    </xf>
    <xf numFmtId="0" fontId="12" fillId="16" borderId="28" xfId="14" applyBorder="1" applyAlignment="1">
      <alignment vertical="top" wrapText="1"/>
    </xf>
    <xf numFmtId="0" fontId="12" fillId="16" borderId="35" xfId="14" applyBorder="1">
      <alignment vertical="top"/>
    </xf>
    <xf numFmtId="0" fontId="14" fillId="18" borderId="29" xfId="16" applyBorder="1">
      <alignment vertical="top"/>
      <protection locked="0"/>
    </xf>
    <xf numFmtId="0" fontId="14" fillId="18" borderId="29" xfId="16" applyBorder="1" applyAlignment="1">
      <alignment horizontal="center" vertical="top"/>
      <protection locked="0"/>
    </xf>
    <xf numFmtId="9" fontId="14" fillId="18" borderId="29" xfId="3" applyFont="1" applyFill="1" applyBorder="1" applyAlignment="1" applyProtection="1">
      <alignment horizontal="center" vertical="top"/>
      <protection locked="0"/>
    </xf>
    <xf numFmtId="0" fontId="12" fillId="16" borderId="29" xfId="14" applyBorder="1" applyAlignment="1">
      <alignment horizontal="center" vertical="top"/>
    </xf>
    <xf numFmtId="0" fontId="12" fillId="16" borderId="29" xfId="14" applyBorder="1">
      <alignment vertical="top"/>
    </xf>
    <xf numFmtId="0" fontId="14" fillId="18" borderId="36" xfId="16" applyBorder="1" applyAlignment="1">
      <alignment horizontal="right" vertical="top"/>
      <protection locked="0"/>
    </xf>
    <xf numFmtId="9" fontId="14" fillId="18" borderId="29" xfId="16" applyNumberFormat="1" applyBorder="1" applyAlignment="1">
      <alignment horizontal="center" vertical="top"/>
      <protection locked="0"/>
    </xf>
    <xf numFmtId="10" fontId="14" fillId="18" borderId="29" xfId="16" applyNumberFormat="1" applyBorder="1" applyAlignment="1">
      <alignment horizontal="center" vertical="top"/>
      <protection locked="0"/>
    </xf>
    <xf numFmtId="166" fontId="12" fillId="16" borderId="29" xfId="3" applyNumberFormat="1" applyFont="1" applyFill="1" applyBorder="1" applyAlignment="1">
      <alignment horizontal="center" vertical="top"/>
    </xf>
    <xf numFmtId="0" fontId="14" fillId="18" borderId="16" xfId="16" quotePrefix="1" applyAlignment="1">
      <alignment horizontal="center" vertical="top"/>
      <protection locked="0"/>
    </xf>
    <xf numFmtId="9" fontId="14" fillId="18" borderId="16" xfId="3" applyFont="1" applyFill="1" applyBorder="1" applyAlignment="1" applyProtection="1">
      <alignment horizontal="center" vertical="top"/>
      <protection locked="0"/>
    </xf>
    <xf numFmtId="0" fontId="14" fillId="18" borderId="37" xfId="16" applyBorder="1" applyAlignment="1">
      <alignment horizontal="right" vertical="top"/>
      <protection locked="0"/>
    </xf>
    <xf numFmtId="0" fontId="14" fillId="18" borderId="38" xfId="16" applyBorder="1" applyAlignment="1">
      <alignment horizontal="center" vertical="top"/>
      <protection locked="0"/>
    </xf>
    <xf numFmtId="9" fontId="14" fillId="18" borderId="38" xfId="16" applyNumberFormat="1" applyBorder="1" applyAlignment="1">
      <alignment horizontal="center" vertical="top"/>
      <protection locked="0"/>
    </xf>
    <xf numFmtId="10" fontId="14" fillId="18" borderId="38" xfId="16" applyNumberFormat="1" applyBorder="1" applyAlignment="1">
      <alignment horizontal="center" vertical="top"/>
      <protection locked="0"/>
    </xf>
    <xf numFmtId="0" fontId="12" fillId="16" borderId="38" xfId="14" applyBorder="1" applyAlignment="1">
      <alignment horizontal="center" vertical="top"/>
    </xf>
    <xf numFmtId="166" fontId="12" fillId="16" borderId="38" xfId="3" applyNumberFormat="1" applyFont="1" applyFill="1" applyBorder="1" applyAlignment="1">
      <alignment horizontal="center" vertical="top"/>
    </xf>
    <xf numFmtId="0" fontId="14" fillId="18" borderId="28" xfId="16" applyBorder="1">
      <alignment vertical="top"/>
      <protection locked="0"/>
    </xf>
    <xf numFmtId="0" fontId="14" fillId="18" borderId="28" xfId="16" applyBorder="1" applyAlignment="1">
      <alignment horizontal="center" vertical="top"/>
      <protection locked="0"/>
    </xf>
    <xf numFmtId="0" fontId="12" fillId="16" borderId="21" xfId="14" applyBorder="1">
      <alignment vertical="top"/>
    </xf>
    <xf numFmtId="0" fontId="14" fillId="18" borderId="39" xfId="16" applyBorder="1" applyAlignment="1">
      <alignment horizontal="right" vertical="top"/>
      <protection locked="0"/>
    </xf>
    <xf numFmtId="0" fontId="14" fillId="18" borderId="40" xfId="16" applyBorder="1" applyAlignment="1">
      <alignment horizontal="center" vertical="top"/>
      <protection locked="0"/>
    </xf>
    <xf numFmtId="9" fontId="14" fillId="18" borderId="40" xfId="16" applyNumberFormat="1" applyBorder="1" applyAlignment="1">
      <alignment horizontal="center" vertical="top"/>
      <protection locked="0"/>
    </xf>
    <xf numFmtId="10" fontId="14" fillId="18" borderId="40" xfId="16" applyNumberFormat="1" applyBorder="1" applyAlignment="1">
      <alignment horizontal="center" vertical="top"/>
      <protection locked="0"/>
    </xf>
    <xf numFmtId="0" fontId="12" fillId="16" borderId="40" xfId="14" applyBorder="1" applyAlignment="1">
      <alignment horizontal="center" vertical="top"/>
    </xf>
    <xf numFmtId="166" fontId="12" fillId="16" borderId="40" xfId="3" applyNumberFormat="1" applyFont="1" applyFill="1" applyBorder="1" applyAlignment="1">
      <alignment horizontal="center" vertical="top"/>
    </xf>
    <xf numFmtId="0" fontId="12" fillId="16" borderId="32" xfId="14" applyBorder="1">
      <alignment vertical="top"/>
    </xf>
    <xf numFmtId="0" fontId="14" fillId="18" borderId="32" xfId="16" applyBorder="1">
      <alignment vertical="top"/>
      <protection locked="0"/>
    </xf>
    <xf numFmtId="0" fontId="14" fillId="18" borderId="32" xfId="16" applyBorder="1" applyAlignment="1">
      <alignment horizontal="center" vertical="top"/>
      <protection locked="0"/>
    </xf>
    <xf numFmtId="9" fontId="14" fillId="18" borderId="32" xfId="3" applyFont="1" applyFill="1" applyBorder="1" applyAlignment="1" applyProtection="1">
      <alignment horizontal="center" vertical="top"/>
      <protection locked="0"/>
    </xf>
    <xf numFmtId="0" fontId="12" fillId="16" borderId="32" xfId="14" applyBorder="1" applyAlignment="1">
      <alignment horizontal="center" vertical="top"/>
    </xf>
    <xf numFmtId="0" fontId="14" fillId="18" borderId="41" xfId="16" applyBorder="1" applyAlignment="1">
      <alignment horizontal="right" vertical="top"/>
      <protection locked="0"/>
    </xf>
    <xf numFmtId="9" fontId="14" fillId="18" borderId="32" xfId="16" applyNumberFormat="1" applyBorder="1" applyAlignment="1">
      <alignment horizontal="center" vertical="top"/>
      <protection locked="0"/>
    </xf>
    <xf numFmtId="10" fontId="14" fillId="18" borderId="32" xfId="16" applyNumberFormat="1" applyBorder="1" applyAlignment="1">
      <alignment horizontal="center" vertical="top"/>
      <protection locked="0"/>
    </xf>
    <xf numFmtId="166" fontId="12" fillId="16" borderId="32" xfId="3" applyNumberFormat="1" applyFont="1" applyFill="1" applyBorder="1" applyAlignment="1">
      <alignment horizontal="center" vertical="top"/>
    </xf>
    <xf numFmtId="9" fontId="12" fillId="16" borderId="16" xfId="14" applyNumberFormat="1" applyAlignment="1">
      <alignment horizontal="center" vertical="top"/>
    </xf>
    <xf numFmtId="0" fontId="19" fillId="16" borderId="27" xfId="14" applyFont="1" applyBorder="1" applyAlignment="1">
      <alignment horizontal="center" vertical="top"/>
    </xf>
    <xf numFmtId="0" fontId="7" fillId="17" borderId="42" xfId="15" applyBorder="1">
      <alignment horizontal="center" vertical="top"/>
    </xf>
    <xf numFmtId="0" fontId="12" fillId="16" borderId="46" xfId="14" applyBorder="1">
      <alignment vertical="top"/>
    </xf>
    <xf numFmtId="0" fontId="7" fillId="17" borderId="24" xfId="15" applyBorder="1">
      <alignment horizontal="center" vertical="top"/>
    </xf>
    <xf numFmtId="0" fontId="21" fillId="16" borderId="16" xfId="14" applyFont="1" applyAlignment="1">
      <alignment horizontal="center" vertical="top"/>
    </xf>
    <xf numFmtId="0" fontId="12" fillId="16" borderId="27" xfId="14" applyBorder="1" applyAlignment="1">
      <alignment horizontal="center" vertical="top"/>
    </xf>
    <xf numFmtId="0" fontId="7" fillId="17" borderId="22" xfId="15" applyBorder="1">
      <alignment horizontal="center" vertical="top"/>
    </xf>
    <xf numFmtId="0" fontId="14" fillId="18" borderId="16" xfId="16" quotePrefix="1">
      <alignment vertical="top"/>
      <protection locked="0"/>
    </xf>
    <xf numFmtId="0" fontId="14" fillId="19" borderId="16" xfId="18" applyAlignment="1">
      <alignment horizontal="center" vertical="top"/>
      <protection locked="0"/>
    </xf>
    <xf numFmtId="0" fontId="12" fillId="16" borderId="38" xfId="14" applyBorder="1">
      <alignment vertical="top"/>
    </xf>
    <xf numFmtId="0" fontId="12" fillId="16" borderId="38" xfId="14" applyBorder="1" applyAlignment="1">
      <alignment horizontal="right" vertical="top"/>
    </xf>
    <xf numFmtId="9" fontId="14" fillId="18" borderId="38" xfId="3" applyFont="1" applyFill="1" applyBorder="1" applyAlignment="1" applyProtection="1">
      <alignment vertical="top"/>
      <protection locked="0"/>
    </xf>
    <xf numFmtId="0" fontId="12" fillId="16" borderId="51" xfId="14" applyBorder="1">
      <alignment vertical="top"/>
    </xf>
    <xf numFmtId="0" fontId="12" fillId="16" borderId="51" xfId="14" applyBorder="1" applyAlignment="1">
      <alignment horizontal="right" vertical="top"/>
    </xf>
    <xf numFmtId="9" fontId="14" fillId="18" borderId="51" xfId="3" applyFont="1" applyFill="1" applyBorder="1" applyAlignment="1" applyProtection="1">
      <alignment vertical="top"/>
      <protection locked="0"/>
    </xf>
    <xf numFmtId="0" fontId="19" fillId="16" borderId="16" xfId="14" applyFont="1">
      <alignment vertical="top"/>
    </xf>
    <xf numFmtId="0" fontId="14" fillId="18" borderId="16" xfId="16" applyAlignment="1">
      <alignment horizontal="right" vertical="top"/>
      <protection locked="0"/>
    </xf>
    <xf numFmtId="0" fontId="20" fillId="16" borderId="28" xfId="14" applyFont="1" applyBorder="1" applyAlignment="1">
      <alignment horizontal="center" vertical="center" wrapText="1"/>
    </xf>
    <xf numFmtId="0" fontId="22" fillId="18" borderId="29" xfId="16" applyFont="1" applyBorder="1" applyAlignment="1">
      <alignment horizontal="center" vertical="top"/>
      <protection locked="0"/>
    </xf>
    <xf numFmtId="0" fontId="23" fillId="18" borderId="16" xfId="16" applyFont="1" applyAlignment="1">
      <alignment horizontal="center" vertical="top"/>
      <protection locked="0"/>
    </xf>
    <xf numFmtId="167" fontId="14" fillId="18" borderId="16" xfId="16" applyNumberFormat="1" applyAlignment="1">
      <alignment horizontal="center" vertical="top"/>
      <protection locked="0"/>
    </xf>
    <xf numFmtId="167" fontId="12" fillId="16" borderId="16" xfId="14" applyNumberFormat="1" applyAlignment="1">
      <alignment horizontal="center" vertical="top"/>
    </xf>
    <xf numFmtId="0" fontId="20" fillId="16" borderId="32" xfId="14" applyFont="1" applyBorder="1" applyAlignment="1">
      <alignment vertical="top" wrapText="1" shrinkToFit="1"/>
    </xf>
    <xf numFmtId="0" fontId="20" fillId="16" borderId="16" xfId="14" applyFont="1" applyAlignment="1">
      <alignment horizontal="centerContinuous" vertical="top"/>
    </xf>
    <xf numFmtId="0" fontId="20" fillId="16" borderId="16" xfId="14" applyFont="1" applyAlignment="1">
      <alignment horizontal="center" vertical="top"/>
    </xf>
    <xf numFmtId="0" fontId="12" fillId="16" borderId="32" xfId="14" applyBorder="1" applyAlignment="1">
      <alignment horizontal="centerContinuous" vertical="top"/>
    </xf>
    <xf numFmtId="0" fontId="12" fillId="16" borderId="32" xfId="14" applyBorder="1" applyAlignment="1">
      <alignment horizontal="right" vertical="top"/>
    </xf>
    <xf numFmtId="169" fontId="14" fillId="18" borderId="16" xfId="16" applyNumberFormat="1" applyAlignment="1">
      <alignment horizontal="center" vertical="top"/>
      <protection locked="0"/>
    </xf>
    <xf numFmtId="0" fontId="24" fillId="16" borderId="27" xfId="14" applyFont="1" applyBorder="1">
      <alignment vertical="top"/>
    </xf>
    <xf numFmtId="0" fontId="14" fillId="18" borderId="16" xfId="16" applyNumberFormat="1" applyAlignment="1">
      <alignment horizontal="center" vertical="top"/>
      <protection locked="0"/>
    </xf>
    <xf numFmtId="0" fontId="14" fillId="18" borderId="52" xfId="16" applyNumberFormat="1" applyBorder="1" applyAlignment="1">
      <alignment horizontal="center" vertical="top"/>
      <protection locked="0"/>
    </xf>
    <xf numFmtId="170" fontId="14" fillId="18" borderId="16" xfId="16" applyNumberFormat="1">
      <alignment vertical="top"/>
      <protection locked="0"/>
    </xf>
    <xf numFmtId="0" fontId="24" fillId="16" borderId="16" xfId="14" applyFont="1">
      <alignment vertical="top"/>
    </xf>
    <xf numFmtId="165" fontId="24" fillId="16" borderId="16" xfId="14" applyNumberFormat="1" applyFont="1">
      <alignment vertical="top"/>
    </xf>
    <xf numFmtId="171" fontId="14" fillId="18" borderId="16" xfId="16" applyNumberFormat="1" applyAlignment="1">
      <alignment horizontal="center" vertical="top"/>
      <protection locked="0"/>
    </xf>
    <xf numFmtId="171" fontId="14" fillId="18" borderId="53" xfId="16" applyNumberFormat="1" applyBorder="1" applyAlignment="1">
      <alignment horizontal="center" vertical="top"/>
      <protection locked="0"/>
    </xf>
    <xf numFmtId="0" fontId="24" fillId="16" borderId="28" xfId="14" applyFont="1" applyBorder="1">
      <alignment vertical="top"/>
    </xf>
    <xf numFmtId="0" fontId="12" fillId="16" borderId="54" xfId="14" applyBorder="1" applyAlignment="1">
      <alignment horizontal="center" vertical="top"/>
    </xf>
    <xf numFmtId="0" fontId="12" fillId="16" borderId="55" xfId="14" applyBorder="1">
      <alignment vertical="top"/>
    </xf>
    <xf numFmtId="0" fontId="12" fillId="16" borderId="56" xfId="14" applyBorder="1" applyAlignment="1">
      <alignment horizontal="center" vertical="top"/>
    </xf>
    <xf numFmtId="171" fontId="14" fillId="18" borderId="56" xfId="16" applyNumberFormat="1" applyBorder="1" applyAlignment="1">
      <alignment horizontal="center" vertical="top"/>
      <protection locked="0"/>
    </xf>
    <xf numFmtId="173" fontId="14" fillId="18" borderId="56" xfId="16" applyNumberFormat="1" applyBorder="1" applyAlignment="1">
      <alignment horizontal="center" vertical="top"/>
      <protection locked="0"/>
    </xf>
    <xf numFmtId="165" fontId="24" fillId="16" borderId="56" xfId="14" applyNumberFormat="1" applyFont="1" applyBorder="1">
      <alignment vertical="top"/>
    </xf>
    <xf numFmtId="0" fontId="24" fillId="16" borderId="56" xfId="14" applyFont="1" applyBorder="1">
      <alignment vertical="top"/>
    </xf>
    <xf numFmtId="170" fontId="14" fillId="18" borderId="56" xfId="16" applyNumberFormat="1" applyBorder="1">
      <alignment vertical="top"/>
      <protection locked="0"/>
    </xf>
    <xf numFmtId="173" fontId="14" fillId="18" borderId="16" xfId="16" applyNumberFormat="1" applyAlignment="1">
      <alignment horizontal="center" vertical="top"/>
      <protection locked="0"/>
    </xf>
    <xf numFmtId="0" fontId="12" fillId="16" borderId="53" xfId="14" applyBorder="1">
      <alignment vertical="top"/>
    </xf>
    <xf numFmtId="0" fontId="12" fillId="16" borderId="53" xfId="14" applyBorder="1" applyAlignment="1">
      <alignment horizontal="center" vertical="top"/>
    </xf>
    <xf numFmtId="165" fontId="24" fillId="16" borderId="53" xfId="14" applyNumberFormat="1" applyFont="1" applyBorder="1">
      <alignment vertical="top"/>
    </xf>
    <xf numFmtId="173" fontId="14" fillId="18" borderId="53" xfId="16" applyNumberFormat="1" applyBorder="1" applyAlignment="1">
      <alignment horizontal="center" vertical="top"/>
      <protection locked="0"/>
    </xf>
    <xf numFmtId="0" fontId="24" fillId="16" borderId="53" xfId="14" applyFont="1" applyBorder="1">
      <alignment vertical="top"/>
    </xf>
    <xf numFmtId="170" fontId="14" fillId="18" borderId="53" xfId="16" applyNumberFormat="1" applyBorder="1">
      <alignment vertical="top"/>
      <protection locked="0"/>
    </xf>
    <xf numFmtId="0" fontId="0" fillId="12" borderId="2" xfId="7" applyFont="1" applyBorder="1" applyAlignment="1"/>
    <xf numFmtId="0" fontId="8" fillId="11" borderId="9" xfId="6" applyAlignment="1">
      <alignment vertical="top"/>
    </xf>
    <xf numFmtId="0" fontId="7" fillId="14" borderId="1" xfId="9" applyBorder="1" applyAlignment="1">
      <alignment vertical="top"/>
    </xf>
    <xf numFmtId="0" fontId="7" fillId="14" borderId="6" xfId="9" applyBorder="1" applyAlignment="1">
      <alignment vertical="top"/>
    </xf>
    <xf numFmtId="0" fontId="12" fillId="12" borderId="21" xfId="12" applyAlignment="1">
      <alignment horizontal="centerContinuous" vertical="top"/>
    </xf>
    <xf numFmtId="0" fontId="12" fillId="12" borderId="21" xfId="12" applyAlignment="1">
      <alignment horizontal="center" vertical="top"/>
    </xf>
    <xf numFmtId="0" fontId="19" fillId="16" borderId="16" xfId="14" applyFont="1" applyAlignment="1">
      <alignment horizontal="centerContinuous" vertical="top"/>
    </xf>
    <xf numFmtId="0" fontId="19" fillId="16" borderId="16" xfId="14" applyFont="1" applyAlignment="1">
      <alignment horizontal="center" vertical="top"/>
    </xf>
    <xf numFmtId="0" fontId="25" fillId="16" borderId="16" xfId="14" applyFont="1" applyAlignment="1">
      <alignment horizontal="center" vertical="top"/>
    </xf>
    <xf numFmtId="167" fontId="8" fillId="0" borderId="0" xfId="0" applyNumberFormat="1" applyFont="1"/>
    <xf numFmtId="0" fontId="0" fillId="15" borderId="0" xfId="13" applyFont="1" applyBorder="1"/>
    <xf numFmtId="0" fontId="10" fillId="14" borderId="1" xfId="10" applyBorder="1" applyAlignment="1">
      <alignment horizontal="left" vertical="center"/>
    </xf>
    <xf numFmtId="0" fontId="11" fillId="14" borderId="6" xfId="11" applyBorder="1" applyAlignment="1">
      <alignment horizontal="left" vertical="center"/>
    </xf>
    <xf numFmtId="0" fontId="7" fillId="14" borderId="6" xfId="9" applyBorder="1" applyAlignment="1">
      <alignment horizontal="left" vertical="top"/>
    </xf>
    <xf numFmtId="0" fontId="19" fillId="12" borderId="0" xfId="12" applyFont="1" applyBorder="1">
      <alignment horizontal="center" vertical="top" wrapText="1"/>
    </xf>
    <xf numFmtId="0" fontId="12" fillId="12" borderId="21" xfId="12" applyAlignment="1">
      <alignment horizontal="centerContinuous" vertical="top" wrapText="1"/>
    </xf>
    <xf numFmtId="0" fontId="12" fillId="12" borderId="58" xfId="12" applyBorder="1" applyAlignment="1">
      <alignment horizontal="centerContinuous" vertical="top" wrapText="1"/>
    </xf>
    <xf numFmtId="0" fontId="12" fillId="12" borderId="21" xfId="12" applyAlignment="1">
      <alignment horizontal="left" vertical="top" wrapText="1"/>
    </xf>
    <xf numFmtId="0" fontId="12" fillId="12" borderId="0" xfId="12" applyBorder="1" applyAlignment="1">
      <alignment horizontal="centerContinuous" vertical="top" wrapText="1"/>
    </xf>
    <xf numFmtId="0" fontId="21" fillId="12" borderId="21" xfId="12" applyFont="1">
      <alignment horizontal="center" vertical="top" wrapText="1"/>
    </xf>
    <xf numFmtId="0" fontId="12" fillId="12" borderId="58" xfId="12" applyBorder="1">
      <alignment horizontal="center" vertical="top" wrapText="1"/>
    </xf>
    <xf numFmtId="0" fontId="14" fillId="18" borderId="16" xfId="16" applyAlignment="1">
      <alignment vertical="center"/>
      <protection locked="0"/>
    </xf>
    <xf numFmtId="0" fontId="15" fillId="16" borderId="16" xfId="14" applyFont="1">
      <alignment vertical="top"/>
    </xf>
    <xf numFmtId="0" fontId="19" fillId="16" borderId="16" xfId="14" applyFont="1" applyAlignment="1">
      <alignment horizontal="right" vertical="top" indent="2"/>
    </xf>
    <xf numFmtId="0" fontId="14" fillId="18" borderId="45" xfId="16" applyBorder="1">
      <alignment vertical="top"/>
      <protection locked="0"/>
    </xf>
    <xf numFmtId="9" fontId="26" fillId="23" borderId="57" xfId="23" applyNumberFormat="1" applyAlignment="1" applyProtection="1">
      <alignment horizontal="right" vertical="top"/>
      <protection locked="0"/>
    </xf>
    <xf numFmtId="9" fontId="28" fillId="24" borderId="16" xfId="24" applyNumberFormat="1">
      <alignment vertical="top"/>
      <protection locked="0"/>
    </xf>
    <xf numFmtId="9" fontId="26" fillId="23" borderId="57" xfId="23" applyNumberFormat="1" applyAlignment="1" applyProtection="1">
      <alignment vertical="top"/>
      <protection locked="0"/>
    </xf>
    <xf numFmtId="9" fontId="14" fillId="20" borderId="30" xfId="19" applyNumberFormat="1" applyFont="1" applyAlignment="1">
      <alignment vertical="top"/>
    </xf>
    <xf numFmtId="0" fontId="26" fillId="23" borderId="57" xfId="23" applyAlignment="1">
      <alignment vertical="top"/>
    </xf>
    <xf numFmtId="166" fontId="14" fillId="18" borderId="16" xfId="3" applyNumberFormat="1" applyFont="1" applyFill="1" applyBorder="1" applyAlignment="1" applyProtection="1">
      <alignment vertical="top"/>
      <protection locked="0"/>
    </xf>
    <xf numFmtId="0" fontId="28" fillId="24" borderId="16" xfId="24">
      <alignment vertical="top"/>
      <protection locked="0"/>
    </xf>
    <xf numFmtId="0" fontId="29" fillId="13" borderId="16" xfId="8" applyFont="1">
      <alignment vertical="top"/>
    </xf>
    <xf numFmtId="0" fontId="30" fillId="16" borderId="16" xfId="14" applyFont="1">
      <alignment vertical="top"/>
    </xf>
    <xf numFmtId="0" fontId="14" fillId="18" borderId="16" xfId="16" applyNumberFormat="1">
      <alignment vertical="top"/>
      <protection locked="0"/>
    </xf>
    <xf numFmtId="0" fontId="7" fillId="17" borderId="9" xfId="15" applyNumberFormat="1">
      <alignment horizontal="center" vertical="top"/>
    </xf>
    <xf numFmtId="11" fontId="14" fillId="18" borderId="16" xfId="16" applyNumberFormat="1">
      <alignment vertical="top"/>
      <protection locked="0"/>
    </xf>
    <xf numFmtId="0" fontId="26" fillId="23" borderId="57" xfId="23" applyAlignment="1" applyProtection="1">
      <alignment vertical="top"/>
      <protection locked="0"/>
    </xf>
    <xf numFmtId="1" fontId="14" fillId="18" borderId="16" xfId="16" applyNumberFormat="1">
      <alignment vertical="top"/>
      <protection locked="0"/>
    </xf>
    <xf numFmtId="0" fontId="27" fillId="18" borderId="16" xfId="16" applyFont="1">
      <alignment vertical="top"/>
      <protection locked="0"/>
    </xf>
    <xf numFmtId="0" fontId="21" fillId="16" borderId="16" xfId="14" applyFont="1">
      <alignment vertical="top"/>
    </xf>
    <xf numFmtId="0" fontId="29" fillId="13" borderId="16" xfId="8" applyFont="1" applyAlignment="1">
      <alignment horizontal="center" vertical="top"/>
    </xf>
    <xf numFmtId="9" fontId="14" fillId="18" borderId="45" xfId="16" applyNumberFormat="1" applyBorder="1">
      <alignment vertical="top"/>
      <protection locked="0"/>
    </xf>
    <xf numFmtId="0" fontId="32" fillId="16" borderId="16" xfId="14" applyFont="1">
      <alignment vertical="top"/>
    </xf>
    <xf numFmtId="172" fontId="14" fillId="18" borderId="53" xfId="16" applyNumberFormat="1" applyBorder="1" applyAlignment="1">
      <alignment horizontal="center" vertical="top"/>
      <protection locked="0"/>
    </xf>
    <xf numFmtId="0" fontId="14" fillId="18" borderId="53" xfId="16" applyNumberFormat="1" applyBorder="1" applyAlignment="1">
      <alignment horizontal="center" vertical="top"/>
      <protection locked="0"/>
    </xf>
    <xf numFmtId="0" fontId="12" fillId="16" borderId="16" xfId="14" applyAlignment="1">
      <alignment horizontal="center" vertical="top" wrapText="1"/>
    </xf>
    <xf numFmtId="15" fontId="14" fillId="18" borderId="16" xfId="16" applyNumberFormat="1" applyAlignment="1">
      <alignment horizontal="center" vertical="top" wrapText="1"/>
      <protection locked="0"/>
    </xf>
    <xf numFmtId="0" fontId="12" fillId="12" borderId="59" xfId="12" applyBorder="1" applyAlignment="1">
      <alignment horizontal="center" vertical="top"/>
    </xf>
    <xf numFmtId="0" fontId="12" fillId="12" borderId="58" xfId="12" applyBorder="1" applyAlignment="1">
      <alignment horizontal="center" vertical="top"/>
    </xf>
    <xf numFmtId="0" fontId="12" fillId="12" borderId="59" xfId="12" applyBorder="1" applyAlignment="1">
      <alignment horizontal="centerContinuous" vertical="top"/>
    </xf>
    <xf numFmtId="0" fontId="12" fillId="12" borderId="58" xfId="12" applyBorder="1" applyAlignment="1">
      <alignment horizontal="centerContinuous" vertical="top"/>
    </xf>
    <xf numFmtId="0" fontId="12" fillId="12" borderId="59" xfId="12" applyBorder="1">
      <alignment horizontal="center" vertical="top" wrapText="1"/>
    </xf>
    <xf numFmtId="0" fontId="12" fillId="12" borderId="60" xfId="12" applyBorder="1">
      <alignment horizontal="center" vertical="top" wrapText="1"/>
    </xf>
    <xf numFmtId="0" fontId="12" fillId="12" borderId="61" xfId="12" applyBorder="1">
      <alignment horizontal="center" vertical="top" wrapText="1"/>
    </xf>
    <xf numFmtId="15" fontId="7" fillId="17" borderId="9" xfId="15" applyNumberFormat="1" applyAlignment="1">
      <alignment horizontal="center" vertical="top" wrapText="1"/>
    </xf>
    <xf numFmtId="167" fontId="26" fillId="23" borderId="57" xfId="23" applyNumberFormat="1" applyAlignment="1">
      <alignment vertical="top"/>
    </xf>
    <xf numFmtId="167" fontId="14" fillId="18" borderId="16" xfId="16" applyNumberFormat="1">
      <alignment vertical="top"/>
      <protection locked="0"/>
    </xf>
    <xf numFmtId="0" fontId="12" fillId="20" borderId="30" xfId="19" applyAlignment="1">
      <alignment vertical="top"/>
    </xf>
    <xf numFmtId="0" fontId="15" fillId="25" borderId="21" xfId="12" applyFont="1" applyFill="1">
      <alignment horizontal="center" vertical="top" wrapText="1"/>
    </xf>
    <xf numFmtId="0" fontId="7" fillId="17" borderId="9" xfId="15" applyAlignment="1">
      <alignment horizontal="left" vertical="top"/>
    </xf>
    <xf numFmtId="168" fontId="12" fillId="20" borderId="31" xfId="19" applyNumberFormat="1" applyFont="1" applyBorder="1" applyAlignment="1">
      <alignment vertical="top"/>
    </xf>
    <xf numFmtId="166" fontId="0" fillId="10" borderId="0" xfId="3" applyNumberFormat="1" applyFont="1" applyFill="1"/>
    <xf numFmtId="166" fontId="14" fillId="20" borderId="30" xfId="19" applyNumberFormat="1" applyFont="1" applyAlignment="1">
      <alignment vertical="top"/>
    </xf>
    <xf numFmtId="168" fontId="12" fillId="22" borderId="30" xfId="22" applyNumberFormat="1" applyAlignment="1">
      <alignment vertical="top"/>
    </xf>
    <xf numFmtId="166" fontId="14" fillId="21" borderId="30" xfId="20" applyNumberFormat="1" applyFont="1" applyAlignment="1">
      <alignment vertical="top"/>
    </xf>
    <xf numFmtId="9" fontId="14" fillId="21" borderId="30" xfId="20" applyNumberFormat="1" applyFont="1" applyAlignment="1">
      <alignment vertical="top"/>
    </xf>
    <xf numFmtId="167" fontId="12" fillId="22" borderId="30" xfId="22" applyNumberFormat="1" applyAlignment="1">
      <alignment vertical="top"/>
    </xf>
    <xf numFmtId="167" fontId="12" fillId="26" borderId="30" xfId="25" applyNumberFormat="1" applyAlignment="1">
      <alignment vertical="top"/>
    </xf>
    <xf numFmtId="166" fontId="14" fillId="21" borderId="33" xfId="20" applyNumberFormat="1" applyFont="1" applyBorder="1" applyAlignment="1">
      <alignment vertical="top"/>
    </xf>
    <xf numFmtId="9" fontId="14" fillId="21" borderId="33" xfId="20" applyNumberFormat="1" applyFont="1" applyBorder="1" applyAlignment="1">
      <alignment vertical="top"/>
    </xf>
    <xf numFmtId="166" fontId="14" fillId="19" borderId="16" xfId="18" applyNumberFormat="1" applyAlignment="1">
      <alignment horizontal="center" vertical="top"/>
      <protection locked="0"/>
    </xf>
    <xf numFmtId="166" fontId="14" fillId="20" borderId="30" xfId="19" applyNumberFormat="1" applyFont="1" applyAlignment="1">
      <alignment horizontal="center" vertical="top"/>
    </xf>
    <xf numFmtId="166" fontId="14" fillId="21" borderId="30" xfId="20" applyNumberFormat="1" applyFont="1" applyAlignment="1">
      <alignment horizontal="center" vertical="top"/>
    </xf>
    <xf numFmtId="174" fontId="12" fillId="16" borderId="34" xfId="4" applyNumberFormat="1" applyFont="1" applyFill="1" applyBorder="1" applyAlignment="1">
      <alignment horizontal="center" vertical="top"/>
    </xf>
    <xf numFmtId="15" fontId="7" fillId="17" borderId="9" xfId="15" applyNumberFormat="1">
      <alignment horizontal="center" vertical="top"/>
    </xf>
    <xf numFmtId="0" fontId="33" fillId="19" borderId="16" xfId="18" applyFont="1" applyAlignment="1">
      <alignment horizontal="center" vertical="top"/>
      <protection locked="0"/>
    </xf>
    <xf numFmtId="0" fontId="28" fillId="18" borderId="16" xfId="16" applyFont="1" applyAlignment="1">
      <alignment horizontal="center" vertical="top"/>
      <protection locked="0"/>
    </xf>
    <xf numFmtId="9" fontId="28" fillId="24" borderId="16" xfId="3" applyFont="1" applyFill="1" applyBorder="1" applyAlignment="1" applyProtection="1">
      <alignment vertical="top"/>
      <protection locked="0"/>
    </xf>
    <xf numFmtId="15" fontId="14" fillId="18" borderId="16" xfId="16" applyNumberFormat="1" applyAlignment="1">
      <alignment horizontal="center" vertical="top"/>
      <protection locked="0"/>
    </xf>
    <xf numFmtId="0" fontId="32" fillId="16" borderId="28" xfId="14" applyFont="1" applyBorder="1">
      <alignment vertical="top"/>
    </xf>
    <xf numFmtId="0" fontId="12" fillId="16" borderId="28" xfId="14" applyBorder="1" applyAlignment="1">
      <alignment horizontal="left" vertical="top"/>
    </xf>
    <xf numFmtId="0" fontId="12" fillId="16" borderId="56" xfId="14" applyBorder="1">
      <alignment vertical="top"/>
    </xf>
    <xf numFmtId="0" fontId="14" fillId="18" borderId="56" xfId="16" applyBorder="1">
      <alignment vertical="top"/>
      <protection locked="0"/>
    </xf>
    <xf numFmtId="0" fontId="14" fillId="18" borderId="53" xfId="16" applyBorder="1">
      <alignment vertical="top"/>
      <protection locked="0"/>
    </xf>
    <xf numFmtId="166" fontId="14" fillId="19" borderId="16" xfId="3" applyNumberFormat="1" applyFont="1" applyFill="1" applyBorder="1" applyAlignment="1" applyProtection="1">
      <alignment horizontal="center" vertical="top"/>
      <protection locked="0"/>
    </xf>
    <xf numFmtId="167" fontId="14" fillId="18" borderId="29" xfId="16" applyNumberFormat="1" applyBorder="1" applyAlignment="1">
      <alignment horizontal="center" vertical="top"/>
      <protection locked="0"/>
    </xf>
    <xf numFmtId="167" fontId="14" fillId="18" borderId="28" xfId="16" applyNumberFormat="1" applyBorder="1" applyAlignment="1">
      <alignment horizontal="center" vertical="top"/>
      <protection locked="0"/>
    </xf>
    <xf numFmtId="0" fontId="12" fillId="16" borderId="45" xfId="14" applyBorder="1">
      <alignment vertical="top"/>
    </xf>
    <xf numFmtId="0" fontId="0" fillId="0" borderId="26" xfId="0" applyBorder="1"/>
    <xf numFmtId="166" fontId="0" fillId="0" borderId="26" xfId="3" applyNumberFormat="1" applyFont="1" applyBorder="1"/>
    <xf numFmtId="1" fontId="0" fillId="0" borderId="0" xfId="0" applyNumberFormat="1"/>
    <xf numFmtId="166" fontId="0" fillId="0" borderId="0" xfId="3" applyNumberFormat="1" applyFont="1" applyBorder="1"/>
    <xf numFmtId="1" fontId="0" fillId="20" borderId="30" xfId="19" applyNumberFormat="1" applyFont="1" applyAlignment="1"/>
    <xf numFmtId="1" fontId="0" fillId="0" borderId="10" xfId="0" applyNumberFormat="1" applyBorder="1"/>
    <xf numFmtId="0" fontId="0" fillId="0" borderId="10" xfId="0" applyBorder="1"/>
    <xf numFmtId="166" fontId="0" fillId="0" borderId="10" xfId="3" applyNumberFormat="1" applyFont="1" applyBorder="1"/>
    <xf numFmtId="0" fontId="0" fillId="0" borderId="62" xfId="0" applyBorder="1" applyAlignment="1">
      <alignment horizontal="center"/>
    </xf>
    <xf numFmtId="0" fontId="0" fillId="0" borderId="26" xfId="0" applyBorder="1" applyAlignment="1">
      <alignment horizontal="right"/>
    </xf>
    <xf numFmtId="0" fontId="14" fillId="18" borderId="26" xfId="16" applyBorder="1">
      <alignment vertical="top"/>
      <protection locked="0"/>
    </xf>
    <xf numFmtId="2" fontId="0" fillId="0" borderId="26" xfId="0" applyNumberFormat="1" applyBorder="1"/>
    <xf numFmtId="0" fontId="0" fillId="0" borderId="0" xfId="0" applyAlignment="1">
      <alignment horizontal="right"/>
    </xf>
    <xf numFmtId="2" fontId="0" fillId="0" borderId="0" xfId="0" applyNumberFormat="1"/>
    <xf numFmtId="0" fontId="0" fillId="0" borderId="10" xfId="0" applyBorder="1" applyAlignment="1">
      <alignment horizontal="right"/>
    </xf>
    <xf numFmtId="2" fontId="0" fillId="0" borderId="10" xfId="0" applyNumberFormat="1" applyBorder="1"/>
    <xf numFmtId="0" fontId="12" fillId="12" borderId="21" xfId="12" applyAlignment="1">
      <alignment horizontal="center" vertical="center" wrapText="1"/>
    </xf>
    <xf numFmtId="0" fontId="0" fillId="0" borderId="62" xfId="0" applyBorder="1" applyAlignment="1">
      <alignment horizontal="left"/>
    </xf>
    <xf numFmtId="9" fontId="12" fillId="16" borderId="16" xfId="14" applyNumberFormat="1">
      <alignment vertical="top"/>
    </xf>
    <xf numFmtId="0" fontId="34" fillId="18" borderId="16" xfId="16" applyFont="1">
      <alignment vertical="top"/>
      <protection locked="0"/>
    </xf>
    <xf numFmtId="9" fontId="14" fillId="19" borderId="16" xfId="18" applyNumberFormat="1">
      <alignment vertical="top"/>
      <protection locked="0"/>
    </xf>
    <xf numFmtId="2" fontId="14" fillId="18" borderId="16" xfId="16" applyNumberFormat="1">
      <alignment vertical="top"/>
      <protection locked="0"/>
    </xf>
    <xf numFmtId="0" fontId="25" fillId="16" borderId="16" xfId="14" applyFont="1" applyAlignment="1">
      <alignment horizontal="center" vertical="top" wrapText="1"/>
    </xf>
    <xf numFmtId="2" fontId="28" fillId="24" borderId="16" xfId="24" applyNumberFormat="1">
      <alignment vertical="top"/>
      <protection locked="0"/>
    </xf>
    <xf numFmtId="2" fontId="26" fillId="23" borderId="57" xfId="23" applyNumberFormat="1" applyAlignment="1" applyProtection="1">
      <alignment vertical="top"/>
      <protection locked="0"/>
    </xf>
    <xf numFmtId="0" fontId="0" fillId="0" borderId="63" xfId="0" applyBorder="1"/>
    <xf numFmtId="0" fontId="0" fillId="0" borderId="64" xfId="0" applyBorder="1"/>
    <xf numFmtId="0" fontId="0" fillId="0" borderId="65" xfId="0" applyBorder="1"/>
    <xf numFmtId="0" fontId="0" fillId="20" borderId="30" xfId="19" applyFont="1" applyAlignment="1"/>
    <xf numFmtId="2" fontId="4" fillId="20" borderId="30" xfId="19" applyNumberFormat="1" applyFont="1" applyAlignment="1">
      <alignment horizontal="left"/>
    </xf>
    <xf numFmtId="0" fontId="0" fillId="0" borderId="66" xfId="0" applyBorder="1"/>
    <xf numFmtId="0" fontId="0" fillId="8" borderId="0" xfId="1" applyFont="1" applyBorder="1" applyAlignment="1"/>
    <xf numFmtId="0" fontId="1" fillId="0" borderId="0" xfId="0" applyFont="1"/>
    <xf numFmtId="1" fontId="4" fillId="20" borderId="67" xfId="19" applyNumberFormat="1" applyFont="1" applyBorder="1" applyAlignment="1">
      <alignment horizontal="center"/>
    </xf>
    <xf numFmtId="0" fontId="27" fillId="12" borderId="0" xfId="7" applyFont="1"/>
    <xf numFmtId="175" fontId="36" fillId="31" borderId="0" xfId="28" applyNumberFormat="1" applyBorder="1">
      <protection locked="0"/>
    </xf>
    <xf numFmtId="165" fontId="0" fillId="8" borderId="0" xfId="1" applyNumberFormat="1" applyFont="1" applyBorder="1" applyAlignment="1"/>
    <xf numFmtId="0" fontId="1" fillId="15" borderId="16" xfId="13" applyFont="1" applyBorder="1"/>
    <xf numFmtId="0" fontId="36" fillId="31" borderId="16" xfId="28" applyBorder="1" applyAlignment="1">
      <alignment vertical="top"/>
      <protection locked="0"/>
    </xf>
    <xf numFmtId="0" fontId="36" fillId="31" borderId="57" xfId="28" applyBorder="1">
      <protection locked="0"/>
    </xf>
    <xf numFmtId="0" fontId="37" fillId="30" borderId="57" xfId="29" applyAlignment="1">
      <alignment vertical="top"/>
    </xf>
    <xf numFmtId="0" fontId="12" fillId="16" borderId="16" xfId="14" applyAlignment="1">
      <alignment vertical="top" wrapText="1"/>
    </xf>
    <xf numFmtId="2" fontId="12" fillId="16" borderId="56" xfId="14" applyNumberFormat="1" applyBorder="1">
      <alignment vertical="top"/>
    </xf>
    <xf numFmtId="2" fontId="12" fillId="16" borderId="16" xfId="14" applyNumberFormat="1">
      <alignment vertical="top"/>
    </xf>
    <xf numFmtId="2" fontId="12" fillId="16" borderId="53" xfId="14" applyNumberFormat="1" applyBorder="1">
      <alignment vertical="top"/>
    </xf>
    <xf numFmtId="165" fontId="12" fillId="16" borderId="56" xfId="14" applyNumberFormat="1" applyBorder="1">
      <alignment vertical="top"/>
    </xf>
    <xf numFmtId="165" fontId="12" fillId="16" borderId="16" xfId="14" applyNumberFormat="1">
      <alignment vertical="top"/>
    </xf>
    <xf numFmtId="165" fontId="12" fillId="16" borderId="53" xfId="14" applyNumberFormat="1" applyBorder="1">
      <alignment vertical="top"/>
    </xf>
    <xf numFmtId="165" fontId="12" fillId="16" borderId="28" xfId="14" applyNumberFormat="1" applyBorder="1">
      <alignment vertical="top"/>
    </xf>
    <xf numFmtId="165" fontId="12" fillId="16" borderId="27" xfId="14" applyNumberFormat="1" applyBorder="1">
      <alignment vertical="top"/>
    </xf>
    <xf numFmtId="165" fontId="12" fillId="16" borderId="68" xfId="14" applyNumberFormat="1" applyBorder="1">
      <alignment vertical="top"/>
    </xf>
    <xf numFmtId="165" fontId="12" fillId="16" borderId="69" xfId="14" applyNumberFormat="1" applyBorder="1">
      <alignment vertical="top"/>
    </xf>
    <xf numFmtId="1" fontId="12" fillId="16" borderId="16" xfId="14" applyNumberFormat="1">
      <alignment vertical="top"/>
    </xf>
    <xf numFmtId="1" fontId="12" fillId="16" borderId="56" xfId="14" applyNumberFormat="1" applyBorder="1">
      <alignment vertical="top"/>
    </xf>
    <xf numFmtId="1" fontId="12" fillId="16" borderId="45" xfId="14" applyNumberFormat="1" applyBorder="1">
      <alignment vertical="top"/>
    </xf>
    <xf numFmtId="1" fontId="12" fillId="16" borderId="53" xfId="14" applyNumberFormat="1" applyBorder="1">
      <alignment vertical="top"/>
    </xf>
    <xf numFmtId="1" fontId="26" fillId="23" borderId="57" xfId="23" applyNumberFormat="1"/>
    <xf numFmtId="0" fontId="14" fillId="18" borderId="57" xfId="16" applyBorder="1">
      <alignment vertical="top"/>
      <protection locked="0"/>
    </xf>
    <xf numFmtId="0" fontId="28" fillId="24" borderId="16" xfId="24" applyNumberFormat="1">
      <alignment vertical="top"/>
      <protection locked="0"/>
    </xf>
    <xf numFmtId="0" fontId="35" fillId="16" borderId="16" xfId="14" applyFont="1" applyAlignment="1">
      <alignment horizontal="left" vertical="top"/>
    </xf>
    <xf numFmtId="0" fontId="38" fillId="16" borderId="16" xfId="14" applyFont="1">
      <alignment vertical="top"/>
    </xf>
    <xf numFmtId="0" fontId="31" fillId="16" borderId="16" xfId="14" applyFont="1">
      <alignment vertical="top"/>
    </xf>
    <xf numFmtId="0" fontId="36" fillId="31" borderId="0" xfId="28" applyNumberFormat="1" applyBorder="1">
      <protection locked="0"/>
    </xf>
    <xf numFmtId="0" fontId="36" fillId="29" borderId="57" xfId="30" applyBorder="1" applyAlignment="1">
      <protection locked="0"/>
    </xf>
    <xf numFmtId="0" fontId="36" fillId="29" borderId="57" xfId="30" applyBorder="1">
      <protection locked="0"/>
    </xf>
    <xf numFmtId="0" fontId="36" fillId="29" borderId="9" xfId="30" applyBorder="1" applyAlignment="1">
      <alignment horizontal="right"/>
      <protection locked="0"/>
    </xf>
    <xf numFmtId="9" fontId="36" fillId="31" borderId="0" xfId="28" applyNumberFormat="1" applyBorder="1">
      <protection locked="0"/>
    </xf>
    <xf numFmtId="0" fontId="36" fillId="31" borderId="0" xfId="28" applyBorder="1">
      <protection locked="0"/>
    </xf>
    <xf numFmtId="0" fontId="36" fillId="32" borderId="7" xfId="31" applyNumberFormat="1" applyBorder="1" applyAlignment="1">
      <alignment horizontal="center"/>
      <protection locked="0"/>
    </xf>
    <xf numFmtId="0" fontId="36" fillId="29" borderId="16" xfId="30" applyBorder="1" applyAlignment="1">
      <alignment vertical="top"/>
      <protection locked="0"/>
    </xf>
    <xf numFmtId="0" fontId="37" fillId="30" borderId="57" xfId="29" applyAlignment="1" applyProtection="1">
      <alignment vertical="top"/>
      <protection locked="0"/>
    </xf>
    <xf numFmtId="0" fontId="7" fillId="17" borderId="5" xfId="15" applyBorder="1">
      <alignment horizontal="center" vertical="top"/>
    </xf>
    <xf numFmtId="2" fontId="14" fillId="18" borderId="43" xfId="16" applyNumberFormat="1" applyBorder="1" applyAlignment="1">
      <alignment horizontal="center" vertical="top"/>
      <protection locked="0"/>
    </xf>
    <xf numFmtId="2" fontId="14" fillId="18" borderId="29" xfId="16" applyNumberFormat="1" applyBorder="1" applyAlignment="1">
      <alignment horizontal="center" vertical="top"/>
      <protection locked="0"/>
    </xf>
    <xf numFmtId="2" fontId="14" fillId="18" borderId="44" xfId="16" applyNumberFormat="1" applyBorder="1" applyAlignment="1">
      <alignment horizontal="center" vertical="top"/>
      <protection locked="0"/>
    </xf>
    <xf numFmtId="2" fontId="14" fillId="18" borderId="47" xfId="16" applyNumberFormat="1" applyBorder="1" applyAlignment="1">
      <alignment horizontal="center" vertical="top"/>
      <protection locked="0"/>
    </xf>
    <xf numFmtId="2" fontId="14" fillId="18" borderId="16" xfId="16" applyNumberFormat="1" applyAlignment="1">
      <alignment horizontal="center" vertical="top"/>
      <protection locked="0"/>
    </xf>
    <xf numFmtId="2" fontId="14" fillId="18" borderId="48" xfId="16" applyNumberFormat="1" applyBorder="1" applyAlignment="1">
      <alignment horizontal="center" vertical="top"/>
      <protection locked="0"/>
    </xf>
    <xf numFmtId="2" fontId="14" fillId="18" borderId="49" xfId="16" applyNumberFormat="1" applyBorder="1" applyAlignment="1">
      <alignment horizontal="center" vertical="top"/>
      <protection locked="0"/>
    </xf>
    <xf numFmtId="2" fontId="14" fillId="18" borderId="32" xfId="16" applyNumberFormat="1" applyBorder="1" applyAlignment="1">
      <alignment horizontal="center" vertical="top"/>
      <protection locked="0"/>
    </xf>
    <xf numFmtId="2" fontId="14" fillId="18" borderId="50" xfId="16" applyNumberFormat="1" applyBorder="1" applyAlignment="1">
      <alignment horizontal="center" vertical="top"/>
      <protection locked="0"/>
    </xf>
    <xf numFmtId="0" fontId="4" fillId="6" borderId="0" xfId="0" quotePrefix="1" applyFont="1" applyFill="1"/>
    <xf numFmtId="0" fontId="39" fillId="0" borderId="0" xfId="0" applyFont="1" applyAlignment="1">
      <alignment horizontal="left"/>
    </xf>
    <xf numFmtId="2" fontId="36" fillId="31" borderId="6" xfId="28" applyNumberFormat="1" applyBorder="1" applyAlignment="1">
      <alignment horizontal="left"/>
      <protection locked="0"/>
    </xf>
    <xf numFmtId="2" fontId="36" fillId="0" borderId="6" xfId="28" applyNumberFormat="1" applyFill="1" applyBorder="1" applyAlignment="1" applyProtection="1">
      <alignment horizontal="center"/>
    </xf>
    <xf numFmtId="0" fontId="8" fillId="13" borderId="28" xfId="8" applyBorder="1">
      <alignment vertical="top"/>
    </xf>
    <xf numFmtId="0" fontId="8" fillId="13" borderId="27" xfId="8" applyBorder="1">
      <alignment vertical="top"/>
    </xf>
    <xf numFmtId="0" fontId="28" fillId="24" borderId="16" xfId="24" applyBorder="1">
      <alignment vertical="top"/>
      <protection locked="0"/>
    </xf>
    <xf numFmtId="0" fontId="28" fillId="24" borderId="27" xfId="24" applyBorder="1">
      <alignment vertical="top"/>
      <protection locked="0"/>
    </xf>
    <xf numFmtId="0" fontId="8" fillId="13" borderId="38" xfId="8" applyBorder="1">
      <alignment vertical="top"/>
    </xf>
    <xf numFmtId="0" fontId="0" fillId="15" borderId="70" xfId="13" applyFont="1" applyBorder="1"/>
    <xf numFmtId="0" fontId="14" fillId="18" borderId="38" xfId="16" applyBorder="1">
      <alignment vertical="top"/>
      <protection locked="0"/>
    </xf>
    <xf numFmtId="0" fontId="28" fillId="24" borderId="38" xfId="24" applyBorder="1">
      <alignment vertical="top"/>
      <protection locked="0"/>
    </xf>
    <xf numFmtId="0" fontId="8" fillId="13" borderId="51" xfId="8" applyBorder="1">
      <alignment vertical="top"/>
    </xf>
    <xf numFmtId="0" fontId="0" fillId="15" borderId="71" xfId="13" applyFont="1" applyBorder="1"/>
    <xf numFmtId="167" fontId="14" fillId="32" borderId="51" xfId="31" applyNumberFormat="1" applyFont="1" applyBorder="1" applyAlignment="1">
      <alignment vertical="top"/>
      <protection locked="0"/>
    </xf>
    <xf numFmtId="0" fontId="14" fillId="18" borderId="51" xfId="16" applyBorder="1">
      <alignment vertical="top"/>
      <protection locked="0"/>
    </xf>
    <xf numFmtId="0" fontId="28" fillId="24" borderId="51" xfId="24" applyBorder="1">
      <alignment vertical="top"/>
      <protection locked="0"/>
    </xf>
    <xf numFmtId="0" fontId="28" fillId="24" borderId="53" xfId="24" applyBorder="1">
      <alignment vertical="top"/>
      <protection locked="0"/>
    </xf>
    <xf numFmtId="167" fontId="14" fillId="32" borderId="53" xfId="31" applyNumberFormat="1" applyFont="1" applyBorder="1" applyAlignment="1">
      <alignment vertical="top"/>
      <protection locked="0"/>
    </xf>
    <xf numFmtId="1" fontId="0" fillId="22" borderId="30" xfId="22" applyNumberFormat="1" applyFont="1" applyAlignment="1"/>
    <xf numFmtId="1" fontId="0" fillId="22" borderId="33" xfId="22" applyNumberFormat="1" applyFont="1" applyBorder="1" applyAlignment="1"/>
    <xf numFmtId="0" fontId="0" fillId="0" borderId="62" xfId="0" applyBorder="1"/>
    <xf numFmtId="2" fontId="12" fillId="16" borderId="29" xfId="14" applyNumberFormat="1" applyBorder="1" applyAlignment="1">
      <alignment horizontal="center" vertical="top"/>
    </xf>
    <xf numFmtId="2" fontId="12" fillId="16" borderId="28" xfId="14" applyNumberFormat="1" applyBorder="1" applyAlignment="1">
      <alignment horizontal="center" vertical="top"/>
    </xf>
    <xf numFmtId="2" fontId="12" fillId="16" borderId="32" xfId="14" applyNumberFormat="1" applyBorder="1" applyAlignment="1">
      <alignment horizontal="center" vertical="top"/>
    </xf>
    <xf numFmtId="0" fontId="37" fillId="30" borderId="57" xfId="29" applyAlignment="1">
      <alignment horizontal="center" vertical="center"/>
    </xf>
    <xf numFmtId="9" fontId="36" fillId="31" borderId="6" xfId="3" applyFont="1" applyFill="1" applyBorder="1" applyAlignment="1" applyProtection="1">
      <alignment horizontal="left"/>
      <protection locked="0"/>
    </xf>
    <xf numFmtId="10" fontId="0" fillId="10" borderId="0" xfId="3" applyNumberFormat="1" applyFont="1" applyFill="1"/>
    <xf numFmtId="1" fontId="0" fillId="20" borderId="33" xfId="19" applyNumberFormat="1" applyFont="1" applyBorder="1" applyAlignment="1"/>
    <xf numFmtId="167" fontId="12" fillId="26" borderId="73" xfId="25" applyNumberFormat="1" applyBorder="1" applyAlignment="1">
      <alignment vertical="top"/>
    </xf>
    <xf numFmtId="168" fontId="12" fillId="20" borderId="72" xfId="19" applyNumberFormat="1" applyFont="1" applyBorder="1" applyAlignment="1">
      <alignment vertical="top"/>
    </xf>
    <xf numFmtId="0" fontId="40" fillId="0" borderId="0" xfId="0" applyFont="1"/>
    <xf numFmtId="0" fontId="7" fillId="16" borderId="16" xfId="14" applyFont="1" applyAlignment="1">
      <alignment horizontal="center" vertical="top"/>
    </xf>
    <xf numFmtId="0" fontId="41" fillId="33" borderId="0" xfId="32"/>
    <xf numFmtId="0" fontId="0" fillId="0" borderId="63" xfId="0" applyBorder="1" applyAlignment="1">
      <alignment wrapText="1"/>
    </xf>
    <xf numFmtId="0" fontId="0" fillId="0" borderId="64" xfId="0" applyBorder="1" applyAlignment="1">
      <alignment wrapText="1"/>
    </xf>
    <xf numFmtId="0" fontId="0" fillId="0" borderId="65" xfId="0" applyBorder="1" applyAlignment="1">
      <alignment wrapText="1"/>
    </xf>
    <xf numFmtId="0" fontId="21" fillId="16" borderId="16" xfId="14" applyFont="1" applyAlignment="1">
      <alignment horizontal="center" vertical="top" wrapText="1"/>
    </xf>
    <xf numFmtId="0" fontId="36" fillId="31" borderId="0" xfId="28" applyBorder="1" applyProtection="1"/>
    <xf numFmtId="9" fontId="0" fillId="0" borderId="0" xfId="0" applyNumberFormat="1"/>
    <xf numFmtId="0" fontId="37" fillId="30" borderId="57" xfId="29"/>
    <xf numFmtId="0" fontId="7" fillId="17" borderId="8" xfId="15" applyBorder="1" applyAlignment="1">
      <alignment vertical="top"/>
    </xf>
    <xf numFmtId="0" fontId="7" fillId="17" borderId="9" xfId="15" applyAlignment="1">
      <alignment vertical="top"/>
    </xf>
    <xf numFmtId="0" fontId="0" fillId="0" borderId="0" xfId="5" applyFont="1" applyFill="1"/>
    <xf numFmtId="167" fontId="12" fillId="16" borderId="16" xfId="14" applyNumberFormat="1">
      <alignment vertical="top"/>
    </xf>
    <xf numFmtId="165" fontId="0" fillId="0" borderId="0" xfId="0" applyNumberFormat="1"/>
    <xf numFmtId="0" fontId="43" fillId="18" borderId="43" xfId="16" applyFont="1" applyBorder="1" applyAlignment="1">
      <alignment horizontal="center" vertical="top"/>
      <protection locked="0"/>
    </xf>
    <xf numFmtId="0" fontId="43" fillId="18" borderId="29" xfId="16" applyFont="1" applyBorder="1" applyAlignment="1">
      <alignment horizontal="center" vertical="top"/>
      <protection locked="0"/>
    </xf>
    <xf numFmtId="0" fontId="43" fillId="18" borderId="44" xfId="16" applyFont="1" applyBorder="1" applyAlignment="1">
      <alignment horizontal="center" vertical="top"/>
      <protection locked="0"/>
    </xf>
    <xf numFmtId="0" fontId="44" fillId="16" borderId="45" xfId="14" applyFont="1" applyBorder="1" applyAlignment="1">
      <alignment horizontal="center" vertical="top"/>
    </xf>
    <xf numFmtId="0" fontId="43" fillId="18" borderId="47" xfId="16" applyFont="1" applyBorder="1" applyAlignment="1">
      <alignment horizontal="center" vertical="top"/>
      <protection locked="0"/>
    </xf>
    <xf numFmtId="0" fontId="43" fillId="18" borderId="16" xfId="16" applyFont="1" applyAlignment="1">
      <alignment horizontal="center" vertical="top"/>
      <protection locked="0"/>
    </xf>
    <xf numFmtId="0" fontId="43" fillId="18" borderId="48" xfId="16" applyFont="1" applyBorder="1" applyAlignment="1">
      <alignment horizontal="center" vertical="top"/>
      <protection locked="0"/>
    </xf>
    <xf numFmtId="0" fontId="43" fillId="18" borderId="49" xfId="16" applyFont="1" applyBorder="1" applyAlignment="1">
      <alignment horizontal="center" vertical="top"/>
      <protection locked="0"/>
    </xf>
    <xf numFmtId="0" fontId="43" fillId="18" borderId="32" xfId="16" applyFont="1" applyBorder="1" applyAlignment="1">
      <alignment horizontal="center" vertical="top"/>
      <protection locked="0"/>
    </xf>
    <xf numFmtId="0" fontId="43" fillId="18" borderId="50" xfId="16" applyFont="1" applyBorder="1" applyAlignment="1">
      <alignment horizontal="center" vertical="top"/>
      <protection locked="0"/>
    </xf>
    <xf numFmtId="0" fontId="44" fillId="16" borderId="27" xfId="14" applyFont="1" applyBorder="1" applyAlignment="1">
      <alignment horizontal="center" vertical="top"/>
    </xf>
    <xf numFmtId="0" fontId="44" fillId="16" borderId="16" xfId="14" applyFont="1" applyAlignment="1">
      <alignment horizontal="center" vertical="top"/>
    </xf>
    <xf numFmtId="2" fontId="43" fillId="27" borderId="43" xfId="26" applyNumberFormat="1" applyFont="1" applyBorder="1" applyAlignment="1" applyProtection="1">
      <alignment horizontal="center" vertical="top"/>
      <protection locked="0"/>
    </xf>
    <xf numFmtId="2" fontId="43" fillId="27" borderId="29" xfId="26" applyNumberFormat="1" applyFont="1" applyBorder="1" applyAlignment="1" applyProtection="1">
      <alignment horizontal="center" vertical="top"/>
      <protection locked="0"/>
    </xf>
    <xf numFmtId="2" fontId="43" fillId="27" borderId="44" xfId="26" applyNumberFormat="1" applyFont="1" applyBorder="1" applyAlignment="1" applyProtection="1">
      <alignment horizontal="center" vertical="top"/>
      <protection locked="0"/>
    </xf>
    <xf numFmtId="2" fontId="43" fillId="27" borderId="47" xfId="26" applyNumberFormat="1" applyFont="1" applyBorder="1" applyAlignment="1" applyProtection="1">
      <alignment horizontal="center" vertical="top"/>
      <protection locked="0"/>
    </xf>
    <xf numFmtId="2" fontId="43" fillId="27" borderId="16" xfId="26" applyNumberFormat="1" applyFont="1" applyBorder="1" applyAlignment="1" applyProtection="1">
      <alignment horizontal="center" vertical="top"/>
      <protection locked="0"/>
    </xf>
    <xf numFmtId="2" fontId="43" fillId="28" borderId="47" xfId="27" applyNumberFormat="1" applyFont="1" applyBorder="1" applyAlignment="1" applyProtection="1">
      <alignment horizontal="center" vertical="top"/>
      <protection locked="0"/>
    </xf>
    <xf numFmtId="2" fontId="43" fillId="28" borderId="16" xfId="27" applyNumberFormat="1" applyFont="1" applyBorder="1" applyAlignment="1" applyProtection="1">
      <alignment horizontal="center" vertical="top"/>
      <protection locked="0"/>
    </xf>
    <xf numFmtId="2" fontId="43" fillId="28" borderId="49" xfId="27" applyNumberFormat="1" applyFont="1" applyBorder="1" applyAlignment="1" applyProtection="1">
      <alignment horizontal="center" vertical="top"/>
      <protection locked="0"/>
    </xf>
    <xf numFmtId="2" fontId="43" fillId="28" borderId="32" xfId="27" applyNumberFormat="1" applyFont="1" applyBorder="1" applyAlignment="1" applyProtection="1">
      <alignment horizontal="center" vertical="top"/>
      <protection locked="0"/>
    </xf>
    <xf numFmtId="0" fontId="43" fillId="19" borderId="49" xfId="18" applyFont="1" applyBorder="1" applyAlignment="1">
      <alignment horizontal="center" vertical="top"/>
      <protection locked="0"/>
    </xf>
    <xf numFmtId="0" fontId="43" fillId="19" borderId="32" xfId="18" applyFont="1" applyBorder="1" applyAlignment="1">
      <alignment horizontal="center" vertical="top"/>
      <protection locked="0"/>
    </xf>
    <xf numFmtId="0" fontId="43" fillId="19" borderId="50" xfId="18" applyFont="1" applyBorder="1" applyAlignment="1">
      <alignment horizontal="center" vertical="top"/>
      <protection locked="0"/>
    </xf>
    <xf numFmtId="0" fontId="43" fillId="19" borderId="47" xfId="18" applyFont="1" applyBorder="1" applyAlignment="1">
      <alignment horizontal="center" vertical="top"/>
      <protection locked="0"/>
    </xf>
    <xf numFmtId="0" fontId="43" fillId="19" borderId="16" xfId="18" applyFont="1" applyAlignment="1">
      <alignment horizontal="center" vertical="top"/>
      <protection locked="0"/>
    </xf>
    <xf numFmtId="0" fontId="43" fillId="19" borderId="48" xfId="18" applyFont="1" applyBorder="1" applyAlignment="1">
      <alignment horizontal="center" vertical="top"/>
      <protection locked="0"/>
    </xf>
    <xf numFmtId="0" fontId="12" fillId="16" borderId="0" xfId="14" applyBorder="1">
      <alignment vertical="top"/>
    </xf>
    <xf numFmtId="0" fontId="20" fillId="16" borderId="0" xfId="14" applyFont="1" applyBorder="1" applyAlignment="1">
      <alignment horizontal="center" vertical="center" wrapText="1"/>
    </xf>
    <xf numFmtId="0" fontId="22" fillId="18" borderId="0" xfId="16" applyFont="1" applyBorder="1" applyAlignment="1">
      <alignment horizontal="center" vertical="top"/>
      <protection locked="0"/>
    </xf>
    <xf numFmtId="0" fontId="20" fillId="16" borderId="0" xfId="14" applyFont="1" applyBorder="1" applyAlignment="1">
      <alignment vertical="top" wrapText="1" shrinkToFit="1"/>
    </xf>
    <xf numFmtId="0" fontId="12" fillId="16" borderId="0" xfId="14" applyBorder="1" applyAlignment="1">
      <alignment horizontal="center" vertical="top"/>
    </xf>
    <xf numFmtId="170" fontId="14" fillId="18" borderId="0" xfId="16" applyNumberFormat="1" applyBorder="1">
      <alignment vertical="top"/>
      <protection locked="0"/>
    </xf>
    <xf numFmtId="2" fontId="36" fillId="31" borderId="0" xfId="28" applyNumberFormat="1" applyBorder="1" applyAlignment="1">
      <alignment horizontal="left"/>
      <protection locked="0"/>
    </xf>
    <xf numFmtId="167" fontId="36" fillId="31" borderId="0" xfId="28" applyNumberFormat="1" applyBorder="1" applyAlignment="1">
      <alignment horizontal="left"/>
      <protection locked="0"/>
    </xf>
    <xf numFmtId="1" fontId="36" fillId="31" borderId="0" xfId="28" applyNumberFormat="1" applyBorder="1" applyAlignment="1">
      <alignment horizontal="left"/>
      <protection locked="0"/>
    </xf>
    <xf numFmtId="1" fontId="4" fillId="0" borderId="0" xfId="0" applyNumberFormat="1" applyFont="1" applyAlignment="1">
      <alignment horizontal="left"/>
    </xf>
    <xf numFmtId="9" fontId="0" fillId="2" borderId="0" xfId="0" applyNumberFormat="1" applyFill="1"/>
    <xf numFmtId="176" fontId="14" fillId="18" borderId="16" xfId="16" applyNumberFormat="1">
      <alignment vertical="top"/>
      <protection locked="0"/>
    </xf>
    <xf numFmtId="2" fontId="5" fillId="0" borderId="0" xfId="0" applyNumberFormat="1" applyFont="1" applyAlignment="1">
      <alignment horizontal="left"/>
    </xf>
    <xf numFmtId="0" fontId="21" fillId="0" borderId="0" xfId="0" applyFont="1"/>
    <xf numFmtId="0" fontId="21" fillId="0" borderId="0" xfId="0" applyFont="1" applyAlignment="1">
      <alignment horizontal="left"/>
    </xf>
    <xf numFmtId="0" fontId="45" fillId="0" borderId="0" xfId="0" applyFont="1" applyAlignment="1">
      <alignment horizontal="left"/>
    </xf>
    <xf numFmtId="0" fontId="21" fillId="0" borderId="7" xfId="0" applyFont="1" applyBorder="1" applyAlignment="1">
      <alignment horizontal="left"/>
    </xf>
    <xf numFmtId="167" fontId="4" fillId="0" borderId="0" xfId="0" applyNumberFormat="1" applyFont="1" applyAlignment="1">
      <alignment horizontal="left"/>
    </xf>
    <xf numFmtId="0" fontId="45" fillId="0" borderId="0" xfId="0" applyFont="1"/>
    <xf numFmtId="0" fontId="36" fillId="29" borderId="28" xfId="30" applyBorder="1" applyAlignment="1">
      <alignment vertical="top"/>
      <protection locked="0"/>
    </xf>
    <xf numFmtId="177" fontId="0" fillId="0" borderId="0" xfId="3" applyNumberFormat="1" applyFont="1" applyFill="1"/>
    <xf numFmtId="0" fontId="39" fillId="0" borderId="0" xfId="0" quotePrefix="1" applyFont="1" applyAlignment="1">
      <alignment horizontal="left"/>
    </xf>
    <xf numFmtId="2" fontId="4" fillId="0" borderId="22" xfId="0" applyNumberFormat="1" applyFont="1" applyBorder="1" applyAlignment="1">
      <alignment horizontal="left"/>
    </xf>
    <xf numFmtId="2" fontId="4" fillId="0" borderId="22" xfId="0" applyNumberFormat="1" applyFont="1" applyBorder="1" applyAlignment="1">
      <alignment horizontal="center"/>
    </xf>
    <xf numFmtId="2" fontId="4" fillId="0" borderId="9" xfId="0" applyNumberFormat="1" applyFont="1" applyBorder="1" applyAlignment="1">
      <alignment horizontal="center"/>
    </xf>
    <xf numFmtId="178" fontId="4" fillId="0" borderId="9" xfId="0" applyNumberFormat="1" applyFont="1" applyBorder="1" applyProtection="1">
      <protection locked="0"/>
    </xf>
    <xf numFmtId="178" fontId="36" fillId="29" borderId="9" xfId="33" applyNumberFormat="1" applyBorder="1" applyAlignment="1">
      <protection locked="0"/>
    </xf>
    <xf numFmtId="2" fontId="4" fillId="0" borderId="22" xfId="0" applyNumberFormat="1" applyFont="1" applyBorder="1" applyAlignment="1">
      <alignment horizontal="right"/>
    </xf>
    <xf numFmtId="9" fontId="36" fillId="29" borderId="22" xfId="3" applyFont="1" applyFill="1" applyBorder="1" applyAlignment="1" applyProtection="1">
      <alignment horizontal="right"/>
      <protection locked="0"/>
    </xf>
    <xf numFmtId="178" fontId="4" fillId="0" borderId="7" xfId="0" applyNumberFormat="1" applyFont="1" applyBorder="1" applyProtection="1">
      <protection locked="0"/>
    </xf>
    <xf numFmtId="0" fontId="36" fillId="0" borderId="0" xfId="33" applyNumberFormat="1" applyFill="1" applyBorder="1" applyAlignment="1" applyProtection="1">
      <alignment horizontal="center"/>
    </xf>
    <xf numFmtId="9" fontId="36" fillId="29" borderId="0" xfId="33" applyNumberFormat="1" applyBorder="1" applyAlignment="1" applyProtection="1">
      <alignment horizontal="center"/>
    </xf>
    <xf numFmtId="0" fontId="39" fillId="0" borderId="6" xfId="0" quotePrefix="1" applyFont="1" applyBorder="1" applyAlignment="1">
      <alignment horizontal="left"/>
    </xf>
    <xf numFmtId="0" fontId="4" fillId="0" borderId="5" xfId="0" applyFont="1" applyBorder="1" applyAlignment="1">
      <alignment horizontal="center"/>
    </xf>
    <xf numFmtId="0" fontId="4" fillId="0" borderId="5" xfId="0" applyFont="1" applyBorder="1"/>
    <xf numFmtId="0" fontId="36" fillId="0" borderId="22" xfId="33" applyNumberFormat="1" applyFill="1" applyBorder="1" applyAlignment="1" applyProtection="1">
      <alignment horizontal="center"/>
    </xf>
    <xf numFmtId="2" fontId="4" fillId="0" borderId="9" xfId="0" applyNumberFormat="1" applyFont="1" applyBorder="1" applyAlignment="1">
      <alignment horizontal="left"/>
    </xf>
    <xf numFmtId="14" fontId="4" fillId="0" borderId="9" xfId="0" applyNumberFormat="1" applyFont="1" applyBorder="1" applyAlignment="1">
      <alignment horizontal="center"/>
    </xf>
    <xf numFmtId="0" fontId="46" fillId="0" borderId="0" xfId="0" applyFont="1"/>
    <xf numFmtId="1" fontId="4" fillId="0" borderId="9" xfId="0" applyNumberFormat="1" applyFont="1" applyBorder="1" applyAlignment="1">
      <alignment horizontal="center"/>
    </xf>
    <xf numFmtId="1" fontId="4" fillId="0" borderId="1" xfId="0" applyNumberFormat="1" applyFont="1" applyBorder="1" applyAlignment="1">
      <alignment horizontal="center"/>
    </xf>
    <xf numFmtId="1" fontId="4" fillId="0" borderId="0" xfId="0" applyNumberFormat="1" applyFont="1" applyAlignment="1">
      <alignment horizontal="center"/>
    </xf>
    <xf numFmtId="0" fontId="0" fillId="0" borderId="62" xfId="0" applyBorder="1" applyAlignment="1">
      <alignment wrapText="1"/>
    </xf>
    <xf numFmtId="1" fontId="4" fillId="20" borderId="30" xfId="19" applyNumberFormat="1" applyFont="1" applyAlignment="1">
      <alignment horizontal="center"/>
    </xf>
    <xf numFmtId="178" fontId="36" fillId="29" borderId="0" xfId="33" applyNumberFormat="1" applyBorder="1">
      <protection locked="0"/>
    </xf>
    <xf numFmtId="178" fontId="37" fillId="30" borderId="57" xfId="29" applyNumberFormat="1" applyProtection="1">
      <protection locked="0"/>
    </xf>
    <xf numFmtId="0" fontId="4" fillId="0" borderId="5" xfId="0" applyFont="1" applyBorder="1" applyAlignment="1">
      <alignment horizontal="left"/>
    </xf>
    <xf numFmtId="0" fontId="4" fillId="0" borderId="22" xfId="0" applyFont="1" applyBorder="1" applyAlignment="1">
      <alignment horizontal="center"/>
    </xf>
    <xf numFmtId="0" fontId="0" fillId="0" borderId="74" xfId="0" applyBorder="1"/>
    <xf numFmtId="0" fontId="4" fillId="0" borderId="62" xfId="0" applyFont="1" applyBorder="1" applyAlignment="1">
      <alignment horizontal="left"/>
    </xf>
    <xf numFmtId="0" fontId="0" fillId="0" borderId="75" xfId="0" applyBorder="1"/>
    <xf numFmtId="0" fontId="4" fillId="0" borderId="20" xfId="0" applyFont="1" applyBorder="1" applyAlignment="1">
      <alignment horizontal="center"/>
    </xf>
    <xf numFmtId="0" fontId="0" fillId="0" borderId="0" xfId="0" applyAlignment="1">
      <alignment horizontal="center"/>
    </xf>
    <xf numFmtId="178" fontId="36" fillId="32" borderId="0" xfId="31" applyNumberFormat="1" applyBorder="1" applyAlignment="1">
      <protection locked="0"/>
    </xf>
    <xf numFmtId="1" fontId="4" fillId="0" borderId="7" xfId="0" applyNumberFormat="1" applyFont="1" applyBorder="1" applyAlignment="1">
      <alignment horizontal="center"/>
    </xf>
    <xf numFmtId="2" fontId="5" fillId="0" borderId="7" xfId="0" applyNumberFormat="1" applyFont="1" applyBorder="1" applyAlignment="1">
      <alignment horizontal="left"/>
    </xf>
    <xf numFmtId="0" fontId="4" fillId="0" borderId="22" xfId="0" applyFont="1" applyBorder="1" applyAlignment="1">
      <alignment horizontal="left"/>
    </xf>
    <xf numFmtId="178" fontId="36" fillId="29" borderId="9" xfId="33" applyNumberFormat="1" applyBorder="1" applyAlignment="1">
      <alignment horizontal="right"/>
      <protection locked="0"/>
    </xf>
    <xf numFmtId="178" fontId="36" fillId="29" borderId="9" xfId="33" applyNumberFormat="1" applyBorder="1">
      <protection locked="0"/>
    </xf>
    <xf numFmtId="2" fontId="36" fillId="29" borderId="57" xfId="33" applyNumberFormat="1" applyBorder="1">
      <protection locked="0"/>
    </xf>
    <xf numFmtId="166" fontId="36" fillId="29" borderId="9" xfId="3" applyNumberFormat="1" applyFont="1" applyFill="1" applyBorder="1" applyProtection="1">
      <protection locked="0"/>
    </xf>
    <xf numFmtId="10" fontId="36" fillId="29" borderId="9" xfId="3" applyNumberFormat="1" applyFont="1" applyFill="1" applyBorder="1" applyProtection="1">
      <protection locked="0"/>
    </xf>
    <xf numFmtId="9" fontId="36" fillId="29" borderId="9" xfId="3" applyFont="1" applyFill="1" applyBorder="1" applyProtection="1">
      <protection locked="0"/>
    </xf>
    <xf numFmtId="2" fontId="4" fillId="0" borderId="5" xfId="0" applyNumberFormat="1" applyFont="1" applyBorder="1" applyAlignment="1">
      <alignment horizontal="left"/>
    </xf>
    <xf numFmtId="178" fontId="4" fillId="0" borderId="8" xfId="0" applyNumberFormat="1" applyFont="1" applyBorder="1" applyProtection="1">
      <protection locked="0"/>
    </xf>
    <xf numFmtId="178" fontId="4" fillId="0" borderId="0" xfId="0" applyNumberFormat="1" applyFont="1" applyProtection="1">
      <protection locked="0"/>
    </xf>
    <xf numFmtId="2" fontId="4" fillId="0" borderId="76" xfId="0" applyNumberFormat="1" applyFont="1" applyBorder="1" applyAlignment="1">
      <alignment horizontal="center"/>
    </xf>
    <xf numFmtId="178" fontId="4" fillId="0" borderId="77" xfId="0" applyNumberFormat="1" applyFont="1" applyBorder="1" applyAlignment="1" applyProtection="1">
      <alignment horizontal="center"/>
      <protection locked="0"/>
    </xf>
    <xf numFmtId="2" fontId="4" fillId="0" borderId="77" xfId="0" applyNumberFormat="1" applyFont="1" applyBorder="1" applyAlignment="1">
      <alignment horizontal="center"/>
    </xf>
    <xf numFmtId="178" fontId="4" fillId="0" borderId="77" xfId="0" applyNumberFormat="1" applyFont="1" applyBorder="1" applyProtection="1">
      <protection locked="0"/>
    </xf>
    <xf numFmtId="2" fontId="4" fillId="0" borderId="62" xfId="0" applyNumberFormat="1" applyFont="1" applyBorder="1" applyAlignment="1">
      <alignment horizontal="center"/>
    </xf>
    <xf numFmtId="2" fontId="4" fillId="0" borderId="75" xfId="0" applyNumberFormat="1" applyFont="1" applyBorder="1" applyAlignment="1">
      <alignment horizontal="center"/>
    </xf>
    <xf numFmtId="178" fontId="36" fillId="29" borderId="22" xfId="33" applyNumberFormat="1" applyBorder="1">
      <protection locked="0"/>
    </xf>
    <xf numFmtId="166" fontId="36" fillId="29" borderId="7" xfId="3" applyNumberFormat="1" applyFont="1" applyFill="1" applyBorder="1" applyAlignment="1" applyProtection="1">
      <alignment horizontal="right"/>
      <protection locked="0"/>
    </xf>
    <xf numFmtId="166" fontId="36" fillId="29" borderId="22" xfId="3" applyNumberFormat="1" applyFont="1" applyFill="1" applyBorder="1" applyAlignment="1" applyProtection="1">
      <alignment horizontal="right"/>
      <protection locked="0"/>
    </xf>
    <xf numFmtId="166" fontId="36" fillId="29" borderId="7" xfId="3" applyNumberFormat="1" applyFont="1" applyFill="1" applyBorder="1" applyAlignment="1" applyProtection="1">
      <alignment horizontal="center"/>
      <protection locked="0"/>
    </xf>
    <xf numFmtId="2" fontId="4" fillId="0" borderId="0" xfId="0" applyNumberFormat="1" applyFont="1" applyAlignment="1">
      <alignment horizontal="right"/>
    </xf>
    <xf numFmtId="0" fontId="4" fillId="6" borderId="78" xfId="0" applyFont="1" applyFill="1" applyBorder="1" applyAlignment="1">
      <alignment horizontal="centerContinuous"/>
    </xf>
    <xf numFmtId="0" fontId="4" fillId="6" borderId="78" xfId="0" applyFont="1" applyFill="1" applyBorder="1" applyAlignment="1">
      <alignment horizontal="center"/>
    </xf>
    <xf numFmtId="0" fontId="4" fillId="7" borderId="78" xfId="0" applyFont="1" applyFill="1" applyBorder="1" applyAlignment="1">
      <alignment horizontal="center"/>
    </xf>
    <xf numFmtId="2" fontId="5" fillId="0" borderId="6" xfId="0" applyNumberFormat="1" applyFont="1" applyBorder="1" applyAlignment="1">
      <alignment horizontal="left"/>
    </xf>
    <xf numFmtId="1" fontId="36" fillId="29" borderId="0" xfId="33" applyNumberFormat="1" applyBorder="1" applyAlignment="1">
      <alignment horizontal="center"/>
      <protection locked="0"/>
    </xf>
    <xf numFmtId="15" fontId="37" fillId="30" borderId="57" xfId="29" applyNumberFormat="1" applyAlignment="1">
      <alignment vertical="top"/>
    </xf>
    <xf numFmtId="0" fontId="36" fillId="29" borderId="22" xfId="33" applyNumberFormat="1" applyBorder="1" applyAlignment="1">
      <alignment horizontal="center"/>
      <protection locked="0"/>
    </xf>
    <xf numFmtId="0" fontId="26" fillId="23" borderId="57" xfId="23" applyNumberFormat="1" applyAlignment="1" applyProtection="1">
      <alignment horizontal="center"/>
      <protection locked="0"/>
    </xf>
    <xf numFmtId="1" fontId="26" fillId="23" borderId="57" xfId="23" applyNumberFormat="1" applyAlignment="1" applyProtection="1">
      <alignment horizontal="center"/>
      <protection locked="0"/>
    </xf>
    <xf numFmtId="0" fontId="36" fillId="29" borderId="16" xfId="33" applyBorder="1" applyAlignment="1">
      <alignment vertical="top"/>
      <protection locked="0"/>
    </xf>
    <xf numFmtId="165" fontId="36" fillId="29" borderId="0" xfId="33" applyNumberFormat="1" applyBorder="1" applyAlignment="1">
      <alignment horizontal="center"/>
      <protection locked="0"/>
    </xf>
    <xf numFmtId="165" fontId="26" fillId="23" borderId="57" xfId="23" applyNumberFormat="1" applyAlignment="1" applyProtection="1">
      <alignment horizontal="center"/>
      <protection locked="0"/>
    </xf>
    <xf numFmtId="0" fontId="36" fillId="29" borderId="0" xfId="33" applyBorder="1">
      <protection locked="0"/>
    </xf>
    <xf numFmtId="2" fontId="4" fillId="0" borderId="14" xfId="0" applyNumberFormat="1" applyFont="1" applyBorder="1" applyAlignment="1">
      <alignment wrapText="1"/>
    </xf>
    <xf numFmtId="1" fontId="37" fillId="30" borderId="57" xfId="29" applyNumberFormat="1" applyAlignment="1">
      <alignment horizontal="center"/>
    </xf>
    <xf numFmtId="178" fontId="4" fillId="0" borderId="15" xfId="0" applyNumberFormat="1" applyFont="1" applyBorder="1" applyProtection="1">
      <protection locked="0"/>
    </xf>
    <xf numFmtId="178" fontId="4" fillId="0" borderId="20" xfId="0" applyNumberFormat="1" applyFont="1" applyBorder="1" applyAlignment="1" applyProtection="1">
      <alignment wrapText="1"/>
      <protection locked="0"/>
    </xf>
    <xf numFmtId="1" fontId="26" fillId="32" borderId="57" xfId="31" applyNumberFormat="1" applyFont="1" applyBorder="1" applyAlignment="1">
      <alignment horizontal="center"/>
      <protection locked="0"/>
    </xf>
    <xf numFmtId="9" fontId="36" fillId="29" borderId="0" xfId="3" applyFont="1" applyFill="1" applyBorder="1" applyAlignment="1" applyProtection="1">
      <alignment horizontal="center"/>
      <protection locked="0"/>
    </xf>
    <xf numFmtId="9" fontId="26" fillId="23" borderId="57" xfId="23" applyNumberFormat="1" applyAlignment="1" applyProtection="1">
      <alignment horizontal="center"/>
      <protection locked="0"/>
    </xf>
    <xf numFmtId="2" fontId="36" fillId="29" borderId="0" xfId="33" applyNumberFormat="1" applyBorder="1" applyAlignment="1">
      <alignment horizontal="center"/>
      <protection locked="0"/>
    </xf>
    <xf numFmtId="2" fontId="26" fillId="23" borderId="57" xfId="23" applyNumberFormat="1" applyAlignment="1" applyProtection="1">
      <alignment horizontal="center"/>
      <protection locked="0"/>
    </xf>
    <xf numFmtId="2" fontId="4" fillId="0" borderId="22" xfId="0" quotePrefix="1" applyNumberFormat="1" applyFont="1" applyBorder="1" applyAlignment="1">
      <alignment horizontal="center"/>
    </xf>
    <xf numFmtId="0" fontId="36" fillId="29" borderId="9" xfId="33" applyNumberFormat="1" applyBorder="1" applyAlignment="1">
      <alignment horizontal="center" vertical="center"/>
      <protection locked="0"/>
    </xf>
    <xf numFmtId="2" fontId="4" fillId="0" borderId="9" xfId="0" applyNumberFormat="1" applyFont="1" applyBorder="1" applyAlignment="1">
      <alignment horizontal="left" vertical="center"/>
    </xf>
    <xf numFmtId="2" fontId="36" fillId="29" borderId="7" xfId="33" applyNumberFormat="1" applyBorder="1" applyAlignment="1">
      <alignment horizontal="center" vertical="center"/>
      <protection locked="0"/>
    </xf>
    <xf numFmtId="2" fontId="5" fillId="0" borderId="9" xfId="0" applyNumberFormat="1" applyFont="1" applyBorder="1" applyAlignment="1">
      <alignment horizontal="left"/>
    </xf>
    <xf numFmtId="14" fontId="37" fillId="30" borderId="57" xfId="29" applyNumberFormat="1" applyAlignment="1" applyProtection="1">
      <alignment horizontal="center"/>
      <protection locked="0"/>
    </xf>
    <xf numFmtId="1" fontId="36" fillId="32" borderId="7" xfId="31" applyNumberFormat="1" applyBorder="1" applyAlignment="1">
      <alignment horizontal="center"/>
      <protection locked="0"/>
    </xf>
    <xf numFmtId="0" fontId="36" fillId="29" borderId="9" xfId="33" applyNumberFormat="1" applyBorder="1" applyAlignment="1">
      <alignment horizontal="right"/>
      <protection locked="0"/>
    </xf>
    <xf numFmtId="2" fontId="4" fillId="0" borderId="42" xfId="0" applyNumberFormat="1" applyFont="1" applyBorder="1" applyAlignment="1">
      <alignment horizontal="left"/>
    </xf>
    <xf numFmtId="0" fontId="36" fillId="29" borderId="9" xfId="33" applyNumberFormat="1" applyBorder="1" applyAlignment="1">
      <alignment horizontal="center"/>
      <protection locked="0"/>
    </xf>
    <xf numFmtId="2" fontId="4" fillId="0" borderId="42" xfId="0" applyNumberFormat="1" applyFont="1" applyBorder="1" applyAlignment="1">
      <alignment horizontal="center"/>
    </xf>
    <xf numFmtId="16" fontId="4" fillId="0" borderId="9" xfId="0" applyNumberFormat="1" applyFont="1" applyBorder="1" applyProtection="1">
      <protection locked="0"/>
    </xf>
    <xf numFmtId="167" fontId="36" fillId="29" borderId="9" xfId="33" applyNumberFormat="1" applyBorder="1" applyAlignment="1">
      <alignment horizontal="center"/>
      <protection locked="0"/>
    </xf>
    <xf numFmtId="2" fontId="4" fillId="0" borderId="42" xfId="0" applyNumberFormat="1" applyFont="1" applyBorder="1"/>
    <xf numFmtId="2" fontId="4" fillId="0" borderId="7" xfId="0" applyNumberFormat="1" applyFont="1" applyBorder="1"/>
    <xf numFmtId="2" fontId="7" fillId="27" borderId="42" xfId="26" applyNumberFormat="1" applyBorder="1" applyAlignment="1"/>
    <xf numFmtId="179" fontId="36" fillId="29" borderId="9" xfId="33" applyNumberFormat="1" applyBorder="1">
      <protection locked="0"/>
    </xf>
    <xf numFmtId="2" fontId="36" fillId="29" borderId="9" xfId="33" applyNumberFormat="1" applyBorder="1" applyAlignment="1">
      <protection locked="0"/>
    </xf>
    <xf numFmtId="2" fontId="5" fillId="0" borderId="42" xfId="0" applyNumberFormat="1" applyFont="1" applyBorder="1" applyAlignment="1">
      <alignment horizontal="left"/>
    </xf>
    <xf numFmtId="2" fontId="4" fillId="0" borderId="6" xfId="0" applyNumberFormat="1" applyFont="1" applyBorder="1" applyAlignment="1">
      <alignment horizontal="right"/>
    </xf>
    <xf numFmtId="179" fontId="36" fillId="32" borderId="9" xfId="31" applyNumberFormat="1" applyBorder="1" applyAlignment="1">
      <protection locked="0"/>
    </xf>
    <xf numFmtId="178" fontId="4" fillId="0" borderId="1" xfId="0" applyNumberFormat="1" applyFont="1" applyBorder="1" applyProtection="1">
      <protection locked="0"/>
    </xf>
    <xf numFmtId="2" fontId="47" fillId="23" borderId="79" xfId="23" applyNumberFormat="1" applyFont="1" applyBorder="1" applyAlignment="1" applyProtection="1">
      <alignment horizontal="center" vertical="top"/>
      <protection locked="0"/>
    </xf>
    <xf numFmtId="2" fontId="47" fillId="23" borderId="57" xfId="23" applyNumberFormat="1" applyFont="1" applyAlignment="1" applyProtection="1">
      <alignment horizontal="center" vertical="top"/>
      <protection locked="0"/>
    </xf>
    <xf numFmtId="2" fontId="14" fillId="19" borderId="16" xfId="18" applyNumberFormat="1" applyAlignment="1">
      <alignment horizontal="center" vertical="top"/>
      <protection locked="0"/>
    </xf>
    <xf numFmtId="0" fontId="14" fillId="18" borderId="21" xfId="16" applyBorder="1">
      <alignment vertical="top"/>
      <protection locked="0"/>
    </xf>
    <xf numFmtId="168" fontId="12" fillId="16" borderId="16" xfId="14" applyNumberFormat="1">
      <alignment vertical="top"/>
    </xf>
    <xf numFmtId="166" fontId="12" fillId="16" borderId="16" xfId="3" applyNumberFormat="1" applyFont="1" applyFill="1" applyBorder="1" applyAlignment="1">
      <alignment vertical="top"/>
    </xf>
    <xf numFmtId="180" fontId="12" fillId="16" borderId="16" xfId="3" applyNumberFormat="1" applyFont="1" applyFill="1" applyBorder="1" applyAlignment="1">
      <alignment vertical="top"/>
    </xf>
    <xf numFmtId="166" fontId="12" fillId="16" borderId="16" xfId="14" applyNumberFormat="1">
      <alignment vertical="top"/>
    </xf>
    <xf numFmtId="1" fontId="12" fillId="16" borderId="27" xfId="14" applyNumberFormat="1" applyBorder="1">
      <alignment vertical="top"/>
    </xf>
    <xf numFmtId="0" fontId="14" fillId="18" borderId="80" xfId="16" applyBorder="1">
      <alignment vertical="top"/>
      <protection locked="0"/>
    </xf>
    <xf numFmtId="0" fontId="33" fillId="18" borderId="27" xfId="16" applyFont="1" applyBorder="1">
      <alignment vertical="top"/>
      <protection locked="0"/>
    </xf>
    <xf numFmtId="10" fontId="33" fillId="21" borderId="33" xfId="20" applyNumberFormat="1" applyFont="1" applyBorder="1" applyAlignment="1">
      <alignment vertical="top"/>
    </xf>
    <xf numFmtId="1" fontId="17" fillId="18" borderId="16" xfId="16" applyNumberFormat="1" applyFont="1">
      <alignment vertical="top"/>
      <protection locked="0"/>
    </xf>
    <xf numFmtId="10" fontId="33" fillId="21" borderId="30" xfId="20" applyNumberFormat="1" applyFont="1" applyAlignment="1">
      <alignment vertical="top"/>
    </xf>
    <xf numFmtId="10" fontId="33" fillId="18" borderId="16" xfId="16" applyNumberFormat="1" applyFont="1">
      <alignment vertical="top"/>
      <protection locked="0"/>
    </xf>
    <xf numFmtId="10" fontId="33" fillId="20" borderId="30" xfId="19" applyNumberFormat="1" applyFont="1" applyAlignment="1">
      <alignment vertical="top"/>
    </xf>
    <xf numFmtId="10" fontId="24" fillId="20" borderId="31" xfId="19" applyNumberFormat="1" applyFont="1" applyBorder="1" applyAlignment="1">
      <alignment vertical="top"/>
    </xf>
    <xf numFmtId="0" fontId="33" fillId="17" borderId="9" xfId="15" applyFont="1">
      <alignment horizontal="center" vertical="top"/>
    </xf>
    <xf numFmtId="0" fontId="24" fillId="16" borderId="16" xfId="14" applyFont="1" applyAlignment="1">
      <alignment horizontal="center" vertical="top"/>
    </xf>
    <xf numFmtId="0" fontId="24" fillId="16" borderId="27" xfId="14" applyFont="1" applyBorder="1" applyAlignment="1">
      <alignment horizontal="centerContinuous" vertical="top"/>
    </xf>
    <xf numFmtId="0" fontId="48" fillId="16" borderId="27" xfId="14" applyFont="1" applyBorder="1" applyAlignment="1">
      <alignment horizontal="centerContinuous" vertical="top"/>
    </xf>
    <xf numFmtId="0" fontId="0" fillId="2" borderId="0" xfId="0" applyFill="1" applyAlignment="1">
      <alignment horizontal="centerContinuous"/>
    </xf>
    <xf numFmtId="165" fontId="14" fillId="19" borderId="16" xfId="18" applyNumberFormat="1">
      <alignment vertical="top"/>
      <protection locked="0"/>
    </xf>
    <xf numFmtId="2" fontId="36" fillId="29" borderId="9" xfId="33" applyNumberFormat="1" applyBorder="1" applyAlignment="1">
      <alignment horizontal="right"/>
      <protection locked="0"/>
    </xf>
    <xf numFmtId="0" fontId="4" fillId="6" borderId="84" xfId="0" applyFont="1" applyFill="1" applyBorder="1"/>
    <xf numFmtId="0" fontId="36" fillId="29" borderId="0" xfId="33" applyBorder="1" applyAlignment="1">
      <protection locked="0"/>
    </xf>
    <xf numFmtId="9" fontId="0" fillId="3" borderId="1" xfId="0" applyNumberFormat="1" applyFill="1" applyBorder="1"/>
    <xf numFmtId="2" fontId="0" fillId="3" borderId="1" xfId="0" applyNumberFormat="1" applyFill="1" applyBorder="1"/>
    <xf numFmtId="2" fontId="0" fillId="3" borderId="0" xfId="0" applyNumberFormat="1" applyFill="1"/>
    <xf numFmtId="9" fontId="0" fillId="3" borderId="1" xfId="0" applyNumberFormat="1" applyFill="1" applyBorder="1" applyAlignment="1">
      <alignment horizontal="center"/>
    </xf>
    <xf numFmtId="10" fontId="36" fillId="29" borderId="0" xfId="33" applyNumberFormat="1" applyBorder="1" applyAlignment="1">
      <protection locked="0"/>
    </xf>
    <xf numFmtId="2" fontId="0" fillId="3" borderId="1" xfId="0" applyNumberFormat="1" applyFill="1" applyBorder="1" applyAlignment="1">
      <alignment horizontal="center"/>
    </xf>
    <xf numFmtId="9" fontId="36" fillId="29" borderId="0" xfId="33" applyNumberFormat="1" applyBorder="1" applyAlignment="1">
      <protection locked="0"/>
    </xf>
    <xf numFmtId="2" fontId="0" fillId="3" borderId="7" xfId="0" applyNumberFormat="1" applyFill="1" applyBorder="1"/>
    <xf numFmtId="1" fontId="0" fillId="3" borderId="9" xfId="0" applyNumberFormat="1" applyFill="1" applyBorder="1"/>
    <xf numFmtId="168" fontId="36" fillId="31" borderId="0" xfId="28" applyNumberFormat="1" applyBorder="1">
      <protection locked="0"/>
    </xf>
    <xf numFmtId="167" fontId="36" fillId="31" borderId="0" xfId="28" applyNumberFormat="1" applyBorder="1" applyAlignment="1">
      <alignment horizontal="right"/>
      <protection locked="0"/>
    </xf>
    <xf numFmtId="9" fontId="36" fillId="29" borderId="0" xfId="3" applyFont="1" applyFill="1" applyBorder="1" applyAlignment="1" applyProtection="1">
      <protection locked="0"/>
    </xf>
    <xf numFmtId="0" fontId="37" fillId="30" borderId="57" xfId="29" applyAlignment="1">
      <alignment vertical="top" wrapText="1"/>
    </xf>
    <xf numFmtId="0" fontId="49" fillId="23" borderId="57" xfId="23" applyFont="1" applyAlignment="1">
      <alignment vertical="top"/>
    </xf>
    <xf numFmtId="0" fontId="14" fillId="34" borderId="16" xfId="16" applyFill="1">
      <alignment vertical="top"/>
      <protection locked="0"/>
    </xf>
    <xf numFmtId="0" fontId="7" fillId="17" borderId="7" xfId="15" applyBorder="1" applyAlignment="1">
      <alignment vertical="top" wrapText="1"/>
    </xf>
    <xf numFmtId="0" fontId="14" fillId="18" borderId="82" xfId="16" applyNumberFormat="1" applyBorder="1" applyAlignment="1">
      <alignment vertical="top" wrapText="1"/>
      <protection locked="0"/>
    </xf>
    <xf numFmtId="2" fontId="4" fillId="0" borderId="0" xfId="0" applyNumberFormat="1" applyFont="1" applyAlignment="1">
      <alignment horizontal="right" vertical="top" wrapText="1"/>
    </xf>
    <xf numFmtId="0" fontId="7" fillId="17" borderId="42" xfId="15" applyBorder="1" applyAlignment="1">
      <alignment horizontal="left" vertical="top" wrapText="1"/>
    </xf>
    <xf numFmtId="0" fontId="7" fillId="17" borderId="7" xfId="15" applyBorder="1" applyAlignment="1">
      <alignment horizontal="left" vertical="top" wrapText="1"/>
    </xf>
    <xf numFmtId="0" fontId="7" fillId="17" borderId="24" xfId="15" applyBorder="1" applyAlignment="1">
      <alignment horizontal="left" vertical="top" wrapText="1"/>
    </xf>
    <xf numFmtId="0" fontId="14" fillId="18" borderId="81" xfId="16" applyNumberFormat="1" applyBorder="1" applyAlignment="1">
      <alignment horizontal="left" vertical="top" wrapText="1"/>
      <protection locked="0"/>
    </xf>
    <xf numFmtId="0" fontId="14" fillId="18" borderId="82" xfId="16" applyNumberFormat="1" applyBorder="1" applyAlignment="1">
      <alignment horizontal="left" vertical="top" wrapText="1"/>
      <protection locked="0"/>
    </xf>
    <xf numFmtId="0" fontId="14" fillId="18" borderId="83" xfId="16" applyNumberFormat="1" applyBorder="1" applyAlignment="1">
      <alignment horizontal="left" vertical="top" wrapText="1"/>
      <protection locked="0"/>
    </xf>
    <xf numFmtId="0" fontId="7" fillId="17" borderId="9" xfId="15" applyAlignment="1">
      <alignment horizontal="left" vertical="top"/>
    </xf>
    <xf numFmtId="0" fontId="14" fillId="18" borderId="23" xfId="16" applyBorder="1" applyAlignment="1">
      <alignment horizontal="left" vertical="top" wrapText="1"/>
      <protection locked="0"/>
    </xf>
    <xf numFmtId="0" fontId="14" fillId="18" borderId="7" xfId="16" applyBorder="1" applyAlignment="1">
      <alignment horizontal="left" vertical="top" wrapText="1"/>
      <protection locked="0"/>
    </xf>
    <xf numFmtId="0" fontId="14" fillId="18" borderId="24" xfId="16" applyBorder="1" applyAlignment="1">
      <alignment horizontal="left" vertical="top" wrapText="1"/>
      <protection locked="0"/>
    </xf>
    <xf numFmtId="0" fontId="7" fillId="17" borderId="9" xfId="15" applyAlignment="1">
      <alignment horizontal="left" vertical="top" wrapText="1"/>
    </xf>
    <xf numFmtId="0" fontId="14" fillId="18" borderId="81" xfId="16" applyNumberFormat="1" applyBorder="1" applyAlignment="1">
      <alignment vertical="top" wrapText="1"/>
      <protection locked="0"/>
    </xf>
    <xf numFmtId="0" fontId="14" fillId="18" borderId="82" xfId="16" applyNumberFormat="1" applyBorder="1" applyAlignment="1">
      <alignment vertical="top" wrapText="1"/>
      <protection locked="0"/>
    </xf>
    <xf numFmtId="0" fontId="14" fillId="18" borderId="85" xfId="16" applyNumberFormat="1" applyBorder="1" applyAlignment="1">
      <alignment vertical="top" wrapText="1"/>
      <protection locked="0"/>
    </xf>
    <xf numFmtId="0" fontId="7" fillId="17" borderId="42" xfId="15" applyBorder="1" applyAlignment="1">
      <alignment vertical="top" wrapText="1"/>
    </xf>
    <xf numFmtId="0" fontId="7" fillId="17" borderId="7" xfId="15" applyBorder="1" applyAlignment="1">
      <alignment vertical="top" wrapText="1"/>
    </xf>
    <xf numFmtId="0" fontId="7" fillId="17" borderId="24" xfId="15" applyBorder="1" applyAlignment="1">
      <alignment vertical="top" wrapText="1"/>
    </xf>
  </cellXfs>
  <cellStyles count="34">
    <cellStyle name="20% - Accent1" xfId="26" builtinId="30"/>
    <cellStyle name="40% - Accent1" xfId="27" builtinId="31"/>
    <cellStyle name="Admin" xfId="15" xr:uid="{196B51CD-CA41-4C86-A6C8-13917C186ACE}"/>
    <cellStyle name="Background" xfId="5" xr:uid="{CFDE8841-1028-47C9-AB90-8B4A95962B27}"/>
    <cellStyle name="Calc01" xfId="19" xr:uid="{CDBA670D-4652-43D3-9616-D34E9CBDB712}"/>
    <cellStyle name="Calc02" xfId="20" xr:uid="{3B7FC2D8-496A-4176-8EF7-7F813BDAED27}"/>
    <cellStyle name="Calc03" xfId="22" xr:uid="{A65414B4-2854-4DC6-A047-BA525C22FA99}"/>
    <cellStyle name="Calc05" xfId="25" xr:uid="{AB47C28F-1C07-4FFA-83CE-FA6CE1F5DC30}"/>
    <cellStyle name="Calculation" xfId="23" builtinId="22"/>
    <cellStyle name="Currency" xfId="4" builtinId="4"/>
    <cellStyle name="DataOutline" xfId="13" xr:uid="{98129F45-03B4-4658-AB80-476A8A2116D1}"/>
    <cellStyle name="Formula" xfId="2" xr:uid="{73E7623B-26A4-407F-9297-1EB699330B2D}"/>
    <cellStyle name="FormulaControl" xfId="8" xr:uid="{57597582-00C1-42E4-B856-A0F7F0989963}"/>
    <cellStyle name="InpPy" xfId="28" xr:uid="{C8D65300-22D0-46F9-BA42-D4EFE9E973A8}"/>
    <cellStyle name="InpPy 2" xfId="33" xr:uid="{2BB03039-B07B-466E-8B64-A941B01C1DE2}"/>
    <cellStyle name="InpPy Calc" xfId="30" xr:uid="{8CDE7960-FBD6-4AAA-BEA8-77CC20318D16}"/>
    <cellStyle name="Input" xfId="29" builtinId="20"/>
    <cellStyle name="Input 2" xfId="1" xr:uid="{BBF70FE2-15FC-4036-A49C-819466437B06}"/>
    <cellStyle name="Input 3" xfId="16" xr:uid="{CAE927EE-3153-495A-8A90-B3A804634DAD}"/>
    <cellStyle name="InputFormula" xfId="31" xr:uid="{68A56FC6-3E80-484F-A2D9-2247AD5B069A}"/>
    <cellStyle name="InputsToDo" xfId="24" xr:uid="{D17C4147-E822-44F3-87C5-3EC451036149}"/>
    <cellStyle name="Neutral" xfId="32" builtinId="28"/>
    <cellStyle name="Normal" xfId="0" builtinId="0"/>
    <cellStyle name="Overwrittable" xfId="18" xr:uid="{1F973756-AC76-46E2-B7C7-C21D333F9D52}"/>
    <cellStyle name="Overwritten" xfId="21" xr:uid="{E3C1A204-8D12-4BE9-ADEA-7695E7746874}"/>
    <cellStyle name="Percent" xfId="3" builtinId="5"/>
    <cellStyle name="SubTitle" xfId="11" xr:uid="{47BA253B-3B77-4608-8F03-F2415AE31596}"/>
    <cellStyle name="TableBackground" xfId="14" xr:uid="{AF902936-AB0B-407F-BE38-0F1E495B5AE7}"/>
    <cellStyle name="TableControl" xfId="6" xr:uid="{8F656C70-D790-4BF4-8CE1-2A282CA602D4}"/>
    <cellStyle name="TableHeading" xfId="12" xr:uid="{E390433E-9CF3-4888-AFCF-EB8FBABE367E}"/>
    <cellStyle name="TableShading" xfId="7" xr:uid="{2D710FAD-9044-402E-B464-1094E7D6ACE3}"/>
    <cellStyle name="Title 2" xfId="10" xr:uid="{704922A2-4401-4283-A56C-D42C00AF3FAA}"/>
    <cellStyle name="TitleArea" xfId="9" xr:uid="{A02D644B-FBA0-4068-8822-F2382BE400D2}"/>
    <cellStyle name="TitleSection" xfId="17" xr:uid="{D4E7CF99-807F-44F8-B90D-56778CEA652D}"/>
  </cellStyles>
  <dxfs count="5">
    <dxf>
      <font>
        <color theme="0" tint="-0.24994659260841701"/>
      </font>
    </dxf>
    <dxf>
      <font>
        <color theme="0" tint="-0.24994659260841701"/>
      </font>
    </dxf>
    <dxf>
      <font>
        <color theme="0" tint="-0.24994659260841701"/>
      </font>
    </dxf>
    <dxf>
      <font>
        <color rgb="FFFF0000"/>
      </font>
    </dxf>
    <dxf>
      <font>
        <b val="0"/>
        <i val="0"/>
      </font>
      <fill>
        <patternFill>
          <bgColor rgb="FFB2B2B2"/>
        </patternFill>
      </fill>
    </dxf>
  </dxfs>
  <tableStyles count="0" defaultTableStyle="TableStyleMedium2" defaultPivotStyle="PivotStyleLight16"/>
  <colors>
    <mruColors>
      <color rgb="FF969696"/>
      <color rgb="FF808080"/>
      <color rgb="FF4D4D4D"/>
      <color rgb="FFCCFFFF"/>
      <color rgb="FF66FFFF"/>
      <color rgb="FFA3E7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770131936609133"/>
          <c:y val="4.2403633417705533E-2"/>
          <c:w val="0.84746468354963678"/>
          <c:h val="0.84328564113413496"/>
        </c:manualLayout>
      </c:layout>
      <c:lineChart>
        <c:grouping val="standard"/>
        <c:varyColors val="0"/>
        <c:ser>
          <c:idx val="0"/>
          <c:order val="0"/>
          <c:tx>
            <c:strRef>
              <c:f>Sheep!$AW$194:$AW$195</c:f>
              <c:strCache>
                <c:ptCount val="2"/>
                <c:pt idx="0">
                  <c:v>Lamb grid (0)</c:v>
                </c:pt>
                <c:pt idx="1">
                  <c:v>44%</c:v>
                </c:pt>
              </c:strCache>
            </c:strRef>
          </c:tx>
          <c:spPr>
            <a:ln w="28575" cap="rnd">
              <a:solidFill>
                <a:schemeClr val="accent1"/>
              </a:solidFill>
              <a:round/>
            </a:ln>
            <a:effectLst/>
          </c:spPr>
          <c:marker>
            <c:symbol val="none"/>
          </c:marker>
          <c:cat>
            <c:numRef>
              <c:f>Sheep!$AV$196:$AV$204</c:f>
              <c:numCache>
                <c:formatCode>General</c:formatCode>
                <c:ptCount val="9"/>
                <c:pt idx="0">
                  <c:v>25</c:v>
                </c:pt>
                <c:pt idx="1">
                  <c:v>35</c:v>
                </c:pt>
                <c:pt idx="2">
                  <c:v>40</c:v>
                </c:pt>
                <c:pt idx="3">
                  <c:v>45</c:v>
                </c:pt>
                <c:pt idx="4">
                  <c:v>50</c:v>
                </c:pt>
                <c:pt idx="5">
                  <c:v>55</c:v>
                </c:pt>
                <c:pt idx="6">
                  <c:v>60</c:v>
                </c:pt>
                <c:pt idx="7">
                  <c:v>65</c:v>
                </c:pt>
                <c:pt idx="8">
                  <c:v>70</c:v>
                </c:pt>
              </c:numCache>
            </c:numRef>
          </c:cat>
          <c:val>
            <c:numRef>
              <c:f>Sheep!$AW$196:$AW$204</c:f>
              <c:numCache>
                <c:formatCode>0.0</c:formatCode>
                <c:ptCount val="9"/>
                <c:pt idx="0">
                  <c:v>71.647901579617695</c:v>
                </c:pt>
                <c:pt idx="1">
                  <c:v>100.30706221146475</c:v>
                </c:pt>
                <c:pt idx="2">
                  <c:v>114.6366425273883</c:v>
                </c:pt>
                <c:pt idx="3">
                  <c:v>128.96622284331184</c:v>
                </c:pt>
                <c:pt idx="4">
                  <c:v>143.29580315923539</c:v>
                </c:pt>
                <c:pt idx="5">
                  <c:v>157.62538347515891</c:v>
                </c:pt>
                <c:pt idx="6">
                  <c:v>171.95496379108246</c:v>
                </c:pt>
                <c:pt idx="7">
                  <c:v>163.17036489429395</c:v>
                </c:pt>
                <c:pt idx="8">
                  <c:v>175.72193142462427</c:v>
                </c:pt>
              </c:numCache>
            </c:numRef>
          </c:val>
          <c:smooth val="0"/>
          <c:extLst>
            <c:ext xmlns:c16="http://schemas.microsoft.com/office/drawing/2014/chart" uri="{C3380CC4-5D6E-409C-BE32-E72D297353CC}">
              <c16:uniqueId val="{00000000-3AF8-4BD5-8D95-7B1E03558982}"/>
            </c:ext>
          </c:extLst>
        </c:ser>
        <c:ser>
          <c:idx val="1"/>
          <c:order val="1"/>
          <c:tx>
            <c:strRef>
              <c:f>Sheep!$AX$194:$AX$195</c:f>
              <c:strCache>
                <c:ptCount val="2"/>
                <c:pt idx="0">
                  <c:v>empty grid (1)</c:v>
                </c:pt>
                <c:pt idx="1">
                  <c:v>42%</c:v>
                </c:pt>
              </c:strCache>
            </c:strRef>
          </c:tx>
          <c:spPr>
            <a:ln w="28575" cap="rnd">
              <a:solidFill>
                <a:schemeClr val="accent2"/>
              </a:solidFill>
              <a:round/>
            </a:ln>
            <a:effectLst/>
          </c:spPr>
          <c:marker>
            <c:symbol val="none"/>
          </c:marker>
          <c:cat>
            <c:numRef>
              <c:f>Sheep!$AV$196:$AV$204</c:f>
              <c:numCache>
                <c:formatCode>General</c:formatCode>
                <c:ptCount val="9"/>
                <c:pt idx="0">
                  <c:v>25</c:v>
                </c:pt>
                <c:pt idx="1">
                  <c:v>35</c:v>
                </c:pt>
                <c:pt idx="2">
                  <c:v>40</c:v>
                </c:pt>
                <c:pt idx="3">
                  <c:v>45</c:v>
                </c:pt>
                <c:pt idx="4">
                  <c:v>50</c:v>
                </c:pt>
                <c:pt idx="5">
                  <c:v>55</c:v>
                </c:pt>
                <c:pt idx="6">
                  <c:v>60</c:v>
                </c:pt>
                <c:pt idx="7">
                  <c:v>65</c:v>
                </c:pt>
                <c:pt idx="8">
                  <c:v>70</c:v>
                </c:pt>
              </c:numCache>
            </c:numRef>
          </c:cat>
          <c:val>
            <c:numRef>
              <c:f>Sheep!$AX$196:$AX$204</c:f>
              <c:numCache>
                <c:formatCode>0.0</c:formatCode>
                <c:ptCount val="9"/>
                <c:pt idx="0">
                  <c:v>0</c:v>
                </c:pt>
                <c:pt idx="1">
                  <c:v>0</c:v>
                </c:pt>
                <c:pt idx="2">
                  <c:v>0</c:v>
                </c:pt>
                <c:pt idx="3">
                  <c:v>0</c:v>
                </c:pt>
                <c:pt idx="4">
                  <c:v>0</c:v>
                </c:pt>
                <c:pt idx="5">
                  <c:v>0</c:v>
                </c:pt>
                <c:pt idx="6">
                  <c:v>0</c:v>
                </c:pt>
                <c:pt idx="7">
                  <c:v>0</c:v>
                </c:pt>
                <c:pt idx="8">
                  <c:v>0</c:v>
                </c:pt>
              </c:numCache>
            </c:numRef>
          </c:val>
          <c:smooth val="0"/>
          <c:extLst xmlns:c15="http://schemas.microsoft.com/office/drawing/2012/chart">
            <c:ext xmlns:c16="http://schemas.microsoft.com/office/drawing/2014/chart" uri="{C3380CC4-5D6E-409C-BE32-E72D297353CC}">
              <c16:uniqueId val="{00000001-3AF8-4BD5-8D95-7B1E03558982}"/>
            </c:ext>
          </c:extLst>
        </c:ser>
        <c:ser>
          <c:idx val="2"/>
          <c:order val="2"/>
          <c:tx>
            <c:strRef>
              <c:f>Sheep!$AY$194:$AY$195</c:f>
              <c:strCache>
                <c:ptCount val="2"/>
                <c:pt idx="0">
                  <c:v>empty grid (2)</c:v>
                </c:pt>
                <c:pt idx="1">
                  <c:v>42%</c:v>
                </c:pt>
              </c:strCache>
            </c:strRef>
          </c:tx>
          <c:spPr>
            <a:ln w="28575" cap="rnd">
              <a:solidFill>
                <a:schemeClr val="accent3"/>
              </a:solidFill>
              <a:round/>
            </a:ln>
            <a:effectLst/>
          </c:spPr>
          <c:marker>
            <c:symbol val="none"/>
          </c:marker>
          <c:cat>
            <c:numRef>
              <c:f>Sheep!$AV$196:$AV$204</c:f>
              <c:numCache>
                <c:formatCode>General</c:formatCode>
                <c:ptCount val="9"/>
                <c:pt idx="0">
                  <c:v>25</c:v>
                </c:pt>
                <c:pt idx="1">
                  <c:v>35</c:v>
                </c:pt>
                <c:pt idx="2">
                  <c:v>40</c:v>
                </c:pt>
                <c:pt idx="3">
                  <c:v>45</c:v>
                </c:pt>
                <c:pt idx="4">
                  <c:v>50</c:v>
                </c:pt>
                <c:pt idx="5">
                  <c:v>55</c:v>
                </c:pt>
                <c:pt idx="6">
                  <c:v>60</c:v>
                </c:pt>
                <c:pt idx="7">
                  <c:v>65</c:v>
                </c:pt>
                <c:pt idx="8">
                  <c:v>70</c:v>
                </c:pt>
              </c:numCache>
            </c:numRef>
          </c:cat>
          <c:val>
            <c:numRef>
              <c:f>Sheep!$AY$196:$AY$204</c:f>
              <c:numCache>
                <c:formatCode>0.0</c:formatCode>
                <c:ptCount val="9"/>
                <c:pt idx="0">
                  <c:v>0</c:v>
                </c:pt>
                <c:pt idx="1">
                  <c:v>0</c:v>
                </c:pt>
                <c:pt idx="2">
                  <c:v>0</c:v>
                </c:pt>
                <c:pt idx="3">
                  <c:v>0</c:v>
                </c:pt>
                <c:pt idx="4">
                  <c:v>0</c:v>
                </c:pt>
                <c:pt idx="5">
                  <c:v>0</c:v>
                </c:pt>
                <c:pt idx="6">
                  <c:v>0</c:v>
                </c:pt>
                <c:pt idx="7">
                  <c:v>0</c:v>
                </c:pt>
                <c:pt idx="8">
                  <c:v>0</c:v>
                </c:pt>
              </c:numCache>
            </c:numRef>
          </c:val>
          <c:smooth val="0"/>
          <c:extLst xmlns:c15="http://schemas.microsoft.com/office/drawing/2012/chart">
            <c:ext xmlns:c16="http://schemas.microsoft.com/office/drawing/2014/chart" uri="{C3380CC4-5D6E-409C-BE32-E72D297353CC}">
              <c16:uniqueId val="{00000002-3AF8-4BD5-8D95-7B1E03558982}"/>
            </c:ext>
          </c:extLst>
        </c:ser>
        <c:ser>
          <c:idx val="3"/>
          <c:order val="3"/>
          <c:tx>
            <c:strRef>
              <c:f>Sheep!$AZ$194:$AZ$195</c:f>
              <c:strCache>
                <c:ptCount val="2"/>
                <c:pt idx="0">
                  <c:v>Yearling grid (3)</c:v>
                </c:pt>
                <c:pt idx="1">
                  <c:v>42%</c:v>
                </c:pt>
              </c:strCache>
            </c:strRef>
          </c:tx>
          <c:spPr>
            <a:ln w="28575" cap="rnd">
              <a:solidFill>
                <a:schemeClr val="accent4"/>
              </a:solidFill>
              <a:round/>
            </a:ln>
            <a:effectLst/>
          </c:spPr>
          <c:marker>
            <c:symbol val="none"/>
          </c:marker>
          <c:cat>
            <c:numRef>
              <c:f>Sheep!$AV$196:$AV$204</c:f>
              <c:numCache>
                <c:formatCode>General</c:formatCode>
                <c:ptCount val="9"/>
                <c:pt idx="0">
                  <c:v>25</c:v>
                </c:pt>
                <c:pt idx="1">
                  <c:v>35</c:v>
                </c:pt>
                <c:pt idx="2">
                  <c:v>40</c:v>
                </c:pt>
                <c:pt idx="3">
                  <c:v>45</c:v>
                </c:pt>
                <c:pt idx="4">
                  <c:v>50</c:v>
                </c:pt>
                <c:pt idx="5">
                  <c:v>55</c:v>
                </c:pt>
                <c:pt idx="6">
                  <c:v>60</c:v>
                </c:pt>
                <c:pt idx="7">
                  <c:v>65</c:v>
                </c:pt>
                <c:pt idx="8">
                  <c:v>70</c:v>
                </c:pt>
              </c:numCache>
            </c:numRef>
          </c:cat>
          <c:val>
            <c:numRef>
              <c:f>Sheep!$AZ$196:$AZ$204</c:f>
              <c:numCache>
                <c:formatCode>0.0</c:formatCode>
                <c:ptCount val="9"/>
                <c:pt idx="0">
                  <c:v>24.482329499205321</c:v>
                </c:pt>
                <c:pt idx="1">
                  <c:v>50.270383238368268</c:v>
                </c:pt>
                <c:pt idx="2">
                  <c:v>57.451866558135166</c:v>
                </c:pt>
                <c:pt idx="3">
                  <c:v>76.384868037520604</c:v>
                </c:pt>
                <c:pt idx="4">
                  <c:v>84.872075597245129</c:v>
                </c:pt>
                <c:pt idx="5">
                  <c:v>93.359283156969639</c:v>
                </c:pt>
                <c:pt idx="6">
                  <c:v>101.84649071669413</c:v>
                </c:pt>
                <c:pt idx="7">
                  <c:v>110.33369827641867</c:v>
                </c:pt>
                <c:pt idx="8">
                  <c:v>118.82090583614317</c:v>
                </c:pt>
              </c:numCache>
            </c:numRef>
          </c:val>
          <c:smooth val="0"/>
          <c:extLst xmlns:c15="http://schemas.microsoft.com/office/drawing/2012/chart">
            <c:ext xmlns:c16="http://schemas.microsoft.com/office/drawing/2014/chart" uri="{C3380CC4-5D6E-409C-BE32-E72D297353CC}">
              <c16:uniqueId val="{00000003-3AF8-4BD5-8D95-7B1E03558982}"/>
            </c:ext>
          </c:extLst>
        </c:ser>
        <c:ser>
          <c:idx val="4"/>
          <c:order val="4"/>
          <c:tx>
            <c:strRef>
              <c:f>Sheep!$BA$194:$BA$195</c:f>
              <c:strCache>
                <c:ptCount val="2"/>
                <c:pt idx="0">
                  <c:v>Export wether grid (4)</c:v>
                </c:pt>
                <c:pt idx="1">
                  <c:v>100%</c:v>
                </c:pt>
              </c:strCache>
            </c:strRef>
          </c:tx>
          <c:spPr>
            <a:ln w="28575" cap="rnd">
              <a:solidFill>
                <a:schemeClr val="accent5"/>
              </a:solidFill>
              <a:round/>
            </a:ln>
            <a:effectLst/>
          </c:spPr>
          <c:marker>
            <c:symbol val="none"/>
          </c:marker>
          <c:cat>
            <c:numRef>
              <c:f>Sheep!$AV$196:$AV$204</c:f>
              <c:numCache>
                <c:formatCode>General</c:formatCode>
                <c:ptCount val="9"/>
                <c:pt idx="0">
                  <c:v>25</c:v>
                </c:pt>
                <c:pt idx="1">
                  <c:v>35</c:v>
                </c:pt>
                <c:pt idx="2">
                  <c:v>40</c:v>
                </c:pt>
                <c:pt idx="3">
                  <c:v>45</c:v>
                </c:pt>
                <c:pt idx="4">
                  <c:v>50</c:v>
                </c:pt>
                <c:pt idx="5">
                  <c:v>55</c:v>
                </c:pt>
                <c:pt idx="6">
                  <c:v>60</c:v>
                </c:pt>
                <c:pt idx="7">
                  <c:v>65</c:v>
                </c:pt>
                <c:pt idx="8">
                  <c:v>70</c:v>
                </c:pt>
              </c:numCache>
            </c:numRef>
          </c:cat>
          <c:val>
            <c:numRef>
              <c:f>Sheep!$BA$196:$BA$204</c:f>
              <c:numCache>
                <c:formatCode>0.0</c:formatCode>
                <c:ptCount val="9"/>
                <c:pt idx="0">
                  <c:v>0</c:v>
                </c:pt>
                <c:pt idx="1">
                  <c:v>0</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04-3AF8-4BD5-8D95-7B1E03558982}"/>
            </c:ext>
          </c:extLst>
        </c:ser>
        <c:ser>
          <c:idx val="5"/>
          <c:order val="5"/>
          <c:tx>
            <c:strRef>
              <c:f>Sheep!$BB$194:$BB$195</c:f>
              <c:strCache>
                <c:ptCount val="2"/>
                <c:pt idx="0">
                  <c:v>Breeder grid (5)</c:v>
                </c:pt>
                <c:pt idx="1">
                  <c:v>100%</c:v>
                </c:pt>
              </c:strCache>
            </c:strRef>
          </c:tx>
          <c:spPr>
            <a:ln w="28575" cap="rnd">
              <a:solidFill>
                <a:schemeClr val="accent6"/>
              </a:solidFill>
              <a:round/>
            </a:ln>
            <a:effectLst/>
          </c:spPr>
          <c:marker>
            <c:symbol val="none"/>
          </c:marker>
          <c:cat>
            <c:numRef>
              <c:f>Sheep!$AV$196:$AV$204</c:f>
              <c:numCache>
                <c:formatCode>General</c:formatCode>
                <c:ptCount val="9"/>
                <c:pt idx="0">
                  <c:v>25</c:v>
                </c:pt>
                <c:pt idx="1">
                  <c:v>35</c:v>
                </c:pt>
                <c:pt idx="2">
                  <c:v>40</c:v>
                </c:pt>
                <c:pt idx="3">
                  <c:v>45</c:v>
                </c:pt>
                <c:pt idx="4">
                  <c:v>50</c:v>
                </c:pt>
                <c:pt idx="5">
                  <c:v>55</c:v>
                </c:pt>
                <c:pt idx="6">
                  <c:v>60</c:v>
                </c:pt>
                <c:pt idx="7">
                  <c:v>65</c:v>
                </c:pt>
                <c:pt idx="8">
                  <c:v>70</c:v>
                </c:pt>
              </c:numCache>
            </c:numRef>
          </c:cat>
          <c:val>
            <c:numRef>
              <c:f>Sheep!$BB$196:$BB$204</c:f>
              <c:numCache>
                <c:formatCode>0.0</c:formatCode>
                <c:ptCount val="9"/>
                <c:pt idx="0">
                  <c:v>134.06588763110798</c:v>
                </c:pt>
                <c:pt idx="1">
                  <c:v>134.06588763110798</c:v>
                </c:pt>
                <c:pt idx="2">
                  <c:v>134.06588763110798</c:v>
                </c:pt>
                <c:pt idx="3">
                  <c:v>134.06588763110798</c:v>
                </c:pt>
                <c:pt idx="4">
                  <c:v>134.06588763110798</c:v>
                </c:pt>
                <c:pt idx="5">
                  <c:v>134.06588763110798</c:v>
                </c:pt>
                <c:pt idx="6">
                  <c:v>134.06588763110798</c:v>
                </c:pt>
                <c:pt idx="7">
                  <c:v>134.06588763110798</c:v>
                </c:pt>
                <c:pt idx="8">
                  <c:v>134.06588763110798</c:v>
                </c:pt>
              </c:numCache>
            </c:numRef>
          </c:val>
          <c:smooth val="0"/>
          <c:extLst xmlns:c15="http://schemas.microsoft.com/office/drawing/2012/chart">
            <c:ext xmlns:c16="http://schemas.microsoft.com/office/drawing/2014/chart" uri="{C3380CC4-5D6E-409C-BE32-E72D297353CC}">
              <c16:uniqueId val="{00000005-3AF8-4BD5-8D95-7B1E03558982}"/>
            </c:ext>
          </c:extLst>
        </c:ser>
        <c:ser>
          <c:idx val="6"/>
          <c:order val="6"/>
          <c:tx>
            <c:strRef>
              <c:f>Sheep!$BC$194:$BC$195</c:f>
              <c:strCache>
                <c:ptCount val="2"/>
                <c:pt idx="0">
                  <c:v>Mutton grid (6)</c:v>
                </c:pt>
                <c:pt idx="1">
                  <c:v>42%</c:v>
                </c:pt>
              </c:strCache>
            </c:strRef>
          </c:tx>
          <c:spPr>
            <a:ln w="28575" cap="rnd">
              <a:solidFill>
                <a:schemeClr val="accent1">
                  <a:lumMod val="60000"/>
                </a:schemeClr>
              </a:solidFill>
              <a:round/>
            </a:ln>
            <a:effectLst/>
          </c:spPr>
          <c:marker>
            <c:symbol val="none"/>
          </c:marker>
          <c:cat>
            <c:numRef>
              <c:f>Sheep!$AV$196:$AV$204</c:f>
              <c:numCache>
                <c:formatCode>General</c:formatCode>
                <c:ptCount val="9"/>
                <c:pt idx="0">
                  <c:v>25</c:v>
                </c:pt>
                <c:pt idx="1">
                  <c:v>35</c:v>
                </c:pt>
                <c:pt idx="2">
                  <c:v>40</c:v>
                </c:pt>
                <c:pt idx="3">
                  <c:v>45</c:v>
                </c:pt>
                <c:pt idx="4">
                  <c:v>50</c:v>
                </c:pt>
                <c:pt idx="5">
                  <c:v>55</c:v>
                </c:pt>
                <c:pt idx="6">
                  <c:v>60</c:v>
                </c:pt>
                <c:pt idx="7">
                  <c:v>65</c:v>
                </c:pt>
                <c:pt idx="8">
                  <c:v>70</c:v>
                </c:pt>
              </c:numCache>
            </c:numRef>
          </c:cat>
          <c:val>
            <c:numRef>
              <c:f>Sheep!$BC$196:$BC$204</c:f>
              <c:numCache>
                <c:formatCode>0.0</c:formatCode>
                <c:ptCount val="9"/>
                <c:pt idx="0">
                  <c:v>24.482329499205321</c:v>
                </c:pt>
                <c:pt idx="1">
                  <c:v>50.270383238368268</c:v>
                </c:pt>
                <c:pt idx="2">
                  <c:v>57.451866558135166</c:v>
                </c:pt>
                <c:pt idx="3">
                  <c:v>76.384868037520604</c:v>
                </c:pt>
                <c:pt idx="4">
                  <c:v>84.872075597245129</c:v>
                </c:pt>
                <c:pt idx="5">
                  <c:v>93.359283156969639</c:v>
                </c:pt>
                <c:pt idx="6">
                  <c:v>101.84649071669413</c:v>
                </c:pt>
                <c:pt idx="7">
                  <c:v>110.33369827641867</c:v>
                </c:pt>
                <c:pt idx="8">
                  <c:v>118.82090583614317</c:v>
                </c:pt>
              </c:numCache>
            </c:numRef>
          </c:val>
          <c:smooth val="0"/>
          <c:extLst>
            <c:ext xmlns:c16="http://schemas.microsoft.com/office/drawing/2014/chart" uri="{C3380CC4-5D6E-409C-BE32-E72D297353CC}">
              <c16:uniqueId val="{00000006-3AF8-4BD5-8D95-7B1E03558982}"/>
            </c:ext>
          </c:extLst>
        </c:ser>
        <c:ser>
          <c:idx val="7"/>
          <c:order val="7"/>
          <c:tx>
            <c:strRef>
              <c:f>Sheep!$BD$194:$BD$195</c:f>
              <c:strCache>
                <c:ptCount val="2"/>
                <c:pt idx="0">
                  <c:v>Ram grid (7)</c:v>
                </c:pt>
                <c:pt idx="1">
                  <c:v>42%</c:v>
                </c:pt>
              </c:strCache>
            </c:strRef>
          </c:tx>
          <c:spPr>
            <a:ln w="28575" cap="rnd">
              <a:solidFill>
                <a:schemeClr val="accent2">
                  <a:lumMod val="60000"/>
                </a:schemeClr>
              </a:solidFill>
              <a:round/>
            </a:ln>
            <a:effectLst/>
          </c:spPr>
          <c:marker>
            <c:symbol val="none"/>
          </c:marker>
          <c:cat>
            <c:numRef>
              <c:f>Sheep!$AV$196:$AV$204</c:f>
              <c:numCache>
                <c:formatCode>General</c:formatCode>
                <c:ptCount val="9"/>
                <c:pt idx="0">
                  <c:v>25</c:v>
                </c:pt>
                <c:pt idx="1">
                  <c:v>35</c:v>
                </c:pt>
                <c:pt idx="2">
                  <c:v>40</c:v>
                </c:pt>
                <c:pt idx="3">
                  <c:v>45</c:v>
                </c:pt>
                <c:pt idx="4">
                  <c:v>50</c:v>
                </c:pt>
                <c:pt idx="5">
                  <c:v>55</c:v>
                </c:pt>
                <c:pt idx="6">
                  <c:v>60</c:v>
                </c:pt>
                <c:pt idx="7">
                  <c:v>65</c:v>
                </c:pt>
                <c:pt idx="8">
                  <c:v>70</c:v>
                </c:pt>
              </c:numCache>
            </c:numRef>
          </c:cat>
          <c:val>
            <c:numRef>
              <c:f>Sheep!$BD$196:$BD$204</c:f>
              <c:numCache>
                <c:formatCode>0.0</c:formatCode>
                <c:ptCount val="9"/>
                <c:pt idx="0">
                  <c:v>10.473750000000003</c:v>
                </c:pt>
                <c:pt idx="1">
                  <c:v>14.663250000000003</c:v>
                </c:pt>
                <c:pt idx="2">
                  <c:v>16.758000000000003</c:v>
                </c:pt>
                <c:pt idx="3">
                  <c:v>18.85275</c:v>
                </c:pt>
                <c:pt idx="4">
                  <c:v>20.947499999999998</c:v>
                </c:pt>
                <c:pt idx="5">
                  <c:v>23.042249999999999</c:v>
                </c:pt>
                <c:pt idx="6">
                  <c:v>25.137</c:v>
                </c:pt>
                <c:pt idx="7">
                  <c:v>27.231750000000002</c:v>
                </c:pt>
                <c:pt idx="8">
                  <c:v>29.326499999999999</c:v>
                </c:pt>
              </c:numCache>
            </c:numRef>
          </c:val>
          <c:smooth val="0"/>
          <c:extLst xmlns:c15="http://schemas.microsoft.com/office/drawing/2012/chart">
            <c:ext xmlns:c16="http://schemas.microsoft.com/office/drawing/2014/chart" uri="{C3380CC4-5D6E-409C-BE32-E72D297353CC}">
              <c16:uniqueId val="{00000007-3AF8-4BD5-8D95-7B1E03558982}"/>
            </c:ext>
          </c:extLst>
        </c:ser>
        <c:dLbls>
          <c:showLegendKey val="0"/>
          <c:showVal val="0"/>
          <c:showCatName val="0"/>
          <c:showSerName val="0"/>
          <c:showPercent val="0"/>
          <c:showBubbleSize val="0"/>
        </c:dLbls>
        <c:smooth val="0"/>
        <c:axId val="520224344"/>
        <c:axId val="520224672"/>
        <c:extLst/>
      </c:lineChart>
      <c:catAx>
        <c:axId val="520224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lw</a:t>
                </a:r>
              </a:p>
            </c:rich>
          </c:tx>
          <c:layout>
            <c:manualLayout>
              <c:xMode val="edge"/>
              <c:yMode val="edge"/>
              <c:x val="0.48780209881939851"/>
              <c:y val="0.917773982259679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24672"/>
        <c:crosses val="autoZero"/>
        <c:auto val="1"/>
        <c:lblAlgn val="ctr"/>
        <c:lblOffset val="100"/>
        <c:noMultiLvlLbl val="0"/>
      </c:catAx>
      <c:valAx>
        <c:axId val="520224672"/>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$/hd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224344"/>
        <c:crosses val="autoZero"/>
        <c:crossBetween val="between"/>
      </c:valAx>
      <c:spPr>
        <a:noFill/>
        <a:ln>
          <a:noFill/>
        </a:ln>
        <a:effectLst/>
      </c:spPr>
    </c:plotArea>
    <c:legend>
      <c:legendPos val="r"/>
      <c:layout>
        <c:manualLayout>
          <c:xMode val="edge"/>
          <c:yMode val="edge"/>
          <c:x val="0.70268060004869404"/>
          <c:y val="0.47614666618506013"/>
          <c:w val="0.28365508144475321"/>
          <c:h val="0.195154451516438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114300</xdr:colOff>
      <xdr:row>0</xdr:row>
      <xdr:rowOff>0</xdr:rowOff>
    </xdr:from>
    <xdr:to>
      <xdr:col>8</xdr:col>
      <xdr:colOff>289560</xdr:colOff>
      <xdr:row>2</xdr:row>
      <xdr:rowOff>114300</xdr:rowOff>
    </xdr:to>
    <xdr:sp macro="" textlink="">
      <xdr:nvSpPr>
        <xdr:cNvPr id="2" name="TextBox 1">
          <a:extLst>
            <a:ext uri="{FF2B5EF4-FFF2-40B4-BE49-F238E27FC236}">
              <a16:creationId xmlns:a16="http://schemas.microsoft.com/office/drawing/2014/main" id="{A9D9CBD5-3674-4E64-80EE-7FFDD904D1FF}"/>
            </a:ext>
          </a:extLst>
        </xdr:cNvPr>
        <xdr:cNvSpPr txBox="1"/>
      </xdr:nvSpPr>
      <xdr:spPr>
        <a:xfrm>
          <a:off x="4210050" y="0"/>
          <a:ext cx="318516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*update named ranges if adding new rows or cols to table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371475</xdr:colOff>
      <xdr:row>82</xdr:row>
      <xdr:rowOff>95250</xdr:rowOff>
    </xdr:from>
    <xdr:to>
      <xdr:col>22</xdr:col>
      <xdr:colOff>304800</xdr:colOff>
      <xdr:row>87</xdr:row>
      <xdr:rowOff>114300</xdr:rowOff>
    </xdr:to>
    <xdr:sp macro="" textlink="">
      <xdr:nvSpPr>
        <xdr:cNvPr id="2" name="TextBox 1">
          <a:extLst>
            <a:ext uri="{FF2B5EF4-FFF2-40B4-BE49-F238E27FC236}">
              <a16:creationId xmlns:a16="http://schemas.microsoft.com/office/drawing/2014/main" id="{A5B746F9-7039-4DF7-9525-23CC00D1F138}"/>
            </a:ext>
          </a:extLst>
        </xdr:cNvPr>
        <xdr:cNvSpPr txBox="1"/>
      </xdr:nvSpPr>
      <xdr:spPr>
        <a:xfrm>
          <a:off x="6334125" y="5762625"/>
          <a:ext cx="420052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This wouldn't be needed</a:t>
          </a:r>
          <a:r>
            <a:rPr lang="en-AU" sz="1100" baseline="0"/>
            <a:t> if an s2 set was added to supplement. But the work required to add s2 didnt seem justified at the time of building.</a:t>
          </a:r>
          <a:endParaRPr lang="en-A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869155</xdr:colOff>
      <xdr:row>82</xdr:row>
      <xdr:rowOff>47625</xdr:rowOff>
    </xdr:from>
    <xdr:to>
      <xdr:col>16</xdr:col>
      <xdr:colOff>226218</xdr:colOff>
      <xdr:row>88</xdr:row>
      <xdr:rowOff>23812</xdr:rowOff>
    </xdr:to>
    <xdr:sp macro="" textlink="">
      <xdr:nvSpPr>
        <xdr:cNvPr id="2" name="TextBox 1">
          <a:extLst>
            <a:ext uri="{FF2B5EF4-FFF2-40B4-BE49-F238E27FC236}">
              <a16:creationId xmlns:a16="http://schemas.microsoft.com/office/drawing/2014/main" id="{7CF4F23E-0621-42B0-A58D-560441D0BAA2}"/>
            </a:ext>
          </a:extLst>
        </xdr:cNvPr>
        <xdr:cNvSpPr txBox="1"/>
      </xdr:nvSpPr>
      <xdr:spPr>
        <a:xfrm>
          <a:off x="5104605" y="18037175"/>
          <a:ext cx="6437313" cy="8969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There is</a:t>
          </a:r>
          <a:r>
            <a:rPr lang="en-AU" sz="1100" baseline="0"/>
            <a:t> an s2 axis (harvested, grazed &amp; baled) so that the model can tactically change end use of a landuse. For example a crop might get frosted and then instead of harvesting for grain it is grazed as a fodder crop.</a:t>
          </a:r>
        </a:p>
        <a:p>
          <a:r>
            <a:rPr lang="en-AU" sz="1100" baseline="0"/>
            <a:t>All s2 options provide crop residue of varying amounts.</a:t>
          </a:r>
          <a:endParaRPr lang="en-AU" sz="1100"/>
        </a:p>
      </xdr:txBody>
    </xdr:sp>
    <xdr:clientData/>
  </xdr:twoCellAnchor>
  <xdr:twoCellAnchor>
    <xdr:from>
      <xdr:col>10</xdr:col>
      <xdr:colOff>425450</xdr:colOff>
      <xdr:row>165</xdr:row>
      <xdr:rowOff>26987</xdr:rowOff>
    </xdr:from>
    <xdr:to>
      <xdr:col>13</xdr:col>
      <xdr:colOff>336549</xdr:colOff>
      <xdr:row>170</xdr:row>
      <xdr:rowOff>95250</xdr:rowOff>
    </xdr:to>
    <xdr:sp macro="" textlink="">
      <xdr:nvSpPr>
        <xdr:cNvPr id="3" name="TextBox 2">
          <a:extLst>
            <a:ext uri="{FF2B5EF4-FFF2-40B4-BE49-F238E27FC236}">
              <a16:creationId xmlns:a16="http://schemas.microsoft.com/office/drawing/2014/main" id="{7EDFABDB-EF88-4B65-A579-9932A735070F}"/>
            </a:ext>
          </a:extLst>
        </xdr:cNvPr>
        <xdr:cNvSpPr txBox="1"/>
      </xdr:nvSpPr>
      <xdr:spPr>
        <a:xfrm>
          <a:off x="5648325" y="29814837"/>
          <a:ext cx="3019424" cy="5222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0" i="0" u="none" strike="noStrike">
              <a:solidFill>
                <a:schemeClr val="dk1"/>
              </a:solidFill>
              <a:effectLst/>
              <a:latin typeface="+mn-lt"/>
              <a:ea typeface="+mn-ea"/>
              <a:cs typeface="+mn-cs"/>
            </a:rPr>
            <a:t>better would be to deteriorate high categories less because more grain</a:t>
          </a:r>
          <a:endParaRPr lang="en-AU" sz="1100"/>
        </a:p>
      </xdr:txBody>
    </xdr:sp>
    <xdr:clientData/>
  </xdr:twoCellAnchor>
  <xdr:twoCellAnchor>
    <xdr:from>
      <xdr:col>10</xdr:col>
      <xdr:colOff>202406</xdr:colOff>
      <xdr:row>179</xdr:row>
      <xdr:rowOff>142876</xdr:rowOff>
    </xdr:from>
    <xdr:to>
      <xdr:col>13</xdr:col>
      <xdr:colOff>113505</xdr:colOff>
      <xdr:row>184</xdr:row>
      <xdr:rowOff>56358</xdr:rowOff>
    </xdr:to>
    <xdr:sp macro="" textlink="">
      <xdr:nvSpPr>
        <xdr:cNvPr id="4" name="TextBox 3">
          <a:extLst>
            <a:ext uri="{FF2B5EF4-FFF2-40B4-BE49-F238E27FC236}">
              <a16:creationId xmlns:a16="http://schemas.microsoft.com/office/drawing/2014/main" id="{3CA1F05D-AE15-489E-BC39-3A27E63DFC9B}"/>
            </a:ext>
          </a:extLst>
        </xdr:cNvPr>
        <xdr:cNvSpPr txBox="1"/>
      </xdr:nvSpPr>
      <xdr:spPr>
        <a:xfrm>
          <a:off x="5167312" y="27943970"/>
          <a:ext cx="2875756" cy="687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0" i="0" u="none" strike="noStrike">
              <a:solidFill>
                <a:schemeClr val="dk1"/>
              </a:solidFill>
              <a:effectLst/>
              <a:latin typeface="+mn-lt"/>
              <a:ea typeface="+mn-ea"/>
              <a:cs typeface="+mn-cs"/>
            </a:rPr>
            <a:t>better would be split CP</a:t>
          </a:r>
          <a:r>
            <a:rPr lang="en-AU" sz="1100" b="0" i="0" u="none" strike="noStrike" baseline="0">
              <a:solidFill>
                <a:schemeClr val="dk1"/>
              </a:solidFill>
              <a:effectLst/>
              <a:latin typeface="+mn-lt"/>
              <a:ea typeface="+mn-ea"/>
              <a:cs typeface="+mn-cs"/>
            </a:rPr>
            <a:t> by k because legume and cereal are much different</a:t>
          </a:r>
          <a:endParaRPr lang="en-A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56</xdr:col>
      <xdr:colOff>302559</xdr:colOff>
      <xdr:row>190</xdr:row>
      <xdr:rowOff>67235</xdr:rowOff>
    </xdr:from>
    <xdr:to>
      <xdr:col>65</xdr:col>
      <xdr:colOff>638735</xdr:colOff>
      <xdr:row>208</xdr:row>
      <xdr:rowOff>67234</xdr:rowOff>
    </xdr:to>
    <xdr:graphicFrame macro="">
      <xdr:nvGraphicFramePr>
        <xdr:cNvPr id="2" name="Chart 1">
          <a:extLst>
            <a:ext uri="{FF2B5EF4-FFF2-40B4-BE49-F238E27FC236}">
              <a16:creationId xmlns:a16="http://schemas.microsoft.com/office/drawing/2014/main" id="{A4C81C4A-99CE-440A-B43F-2FEBFA107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514350</xdr:colOff>
      <xdr:row>5</xdr:row>
      <xdr:rowOff>143510</xdr:rowOff>
    </xdr:from>
    <xdr:to>
      <xdr:col>12</xdr:col>
      <xdr:colOff>73660</xdr:colOff>
      <xdr:row>13</xdr:row>
      <xdr:rowOff>152400</xdr:rowOff>
    </xdr:to>
    <xdr:sp macro="" textlink="">
      <xdr:nvSpPr>
        <xdr:cNvPr id="2" name="TextBox 1">
          <a:extLst>
            <a:ext uri="{FF2B5EF4-FFF2-40B4-BE49-F238E27FC236}">
              <a16:creationId xmlns:a16="http://schemas.microsoft.com/office/drawing/2014/main" id="{D25D6AF5-7ED7-4B5A-8A48-B5E6FBD59604}"/>
            </a:ext>
          </a:extLst>
        </xdr:cNvPr>
        <xdr:cNvSpPr txBox="1"/>
      </xdr:nvSpPr>
      <xdr:spPr>
        <a:xfrm>
          <a:off x="6953250" y="1048385"/>
          <a:ext cx="2654935" cy="1456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*update named ranges if adding new rows or cols</a:t>
          </a:r>
        </a:p>
        <a:p>
          <a:endParaRPr lang="en-AU" sz="1100"/>
        </a:p>
        <a:p>
          <a:r>
            <a:rPr lang="en-AU" sz="1100"/>
            <a:t>*if you</a:t>
          </a:r>
          <a:r>
            <a:rPr lang="en-AU" sz="1100" baseline="0"/>
            <a:t> add something (ie a new input), remember that you will most likely have to add it to all the other mach options</a:t>
          </a:r>
          <a:endParaRPr lang="en-AU" sz="1100"/>
        </a:p>
      </xdr:txBody>
    </xdr:sp>
    <xdr:clientData/>
  </xdr:twoCellAnchor>
  <xdr:oneCellAnchor>
    <xdr:from>
      <xdr:col>0</xdr:col>
      <xdr:colOff>0</xdr:colOff>
      <xdr:row>0</xdr:row>
      <xdr:rowOff>145548</xdr:rowOff>
    </xdr:from>
    <xdr:ext cx="8441413" cy="1094146"/>
    <xdr:sp macro="" textlink="">
      <xdr:nvSpPr>
        <xdr:cNvPr id="3" name="Rectangle 2">
          <a:extLst>
            <a:ext uri="{FF2B5EF4-FFF2-40B4-BE49-F238E27FC236}">
              <a16:creationId xmlns:a16="http://schemas.microsoft.com/office/drawing/2014/main" id="{8BAD94D1-A108-4814-84E8-EDCD55B915B3}"/>
            </a:ext>
          </a:extLst>
        </xdr:cNvPr>
        <xdr:cNvSpPr/>
      </xdr:nvSpPr>
      <xdr:spPr>
        <a:xfrm>
          <a:off x="0" y="145548"/>
          <a:ext cx="8441413" cy="1094146"/>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Machinery compliment 1: Big</a:t>
          </a:r>
        </a:p>
        <a:p>
          <a:pPr algn="ctr"/>
          <a:r>
            <a:rPr lang="en-US" sz="1000" b="0" cap="none" spc="0">
              <a:ln w="0"/>
              <a:solidFill>
                <a:schemeClr val="tx1"/>
              </a:solidFill>
              <a:effectLst>
                <a:outerShdw blurRad="38100" dist="19050" dir="2700000" algn="tl" rotWithShape="0">
                  <a:schemeClr val="dk1">
                    <a:alpha val="40000"/>
                  </a:schemeClr>
                </a:outerShdw>
              </a:effectLst>
            </a:rPr>
            <a:t>Based</a:t>
          </a:r>
          <a:r>
            <a:rPr lang="en-US" sz="1000" b="0" cap="none" spc="0" baseline="0">
              <a:ln w="0"/>
              <a:solidFill>
                <a:schemeClr val="tx1"/>
              </a:solidFill>
              <a:effectLst>
                <a:outerShdw blurRad="38100" dist="19050" dir="2700000" algn="tl" rotWithShape="0">
                  <a:schemeClr val="dk1">
                    <a:alpha val="40000"/>
                  </a:schemeClr>
                </a:outerShdw>
              </a:effectLst>
            </a:rPr>
            <a:t> on CWM MIDAS 2018. Running over this with a farmer wouldnt hurt.</a:t>
          </a:r>
          <a:endParaRPr lang="en-US" sz="1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7</xdr:col>
      <xdr:colOff>454025</xdr:colOff>
      <xdr:row>7</xdr:row>
      <xdr:rowOff>57785</xdr:rowOff>
    </xdr:from>
    <xdr:to>
      <xdr:col>12</xdr:col>
      <xdr:colOff>16510</xdr:colOff>
      <xdr:row>14</xdr:row>
      <xdr:rowOff>149225</xdr:rowOff>
    </xdr:to>
    <xdr:sp macro="" textlink="">
      <xdr:nvSpPr>
        <xdr:cNvPr id="2" name="TextBox 1">
          <a:extLst>
            <a:ext uri="{FF2B5EF4-FFF2-40B4-BE49-F238E27FC236}">
              <a16:creationId xmlns:a16="http://schemas.microsoft.com/office/drawing/2014/main" id="{3C82E63A-B62D-4EF4-A32F-7220E652830E}"/>
            </a:ext>
          </a:extLst>
        </xdr:cNvPr>
        <xdr:cNvSpPr txBox="1"/>
      </xdr:nvSpPr>
      <xdr:spPr>
        <a:xfrm>
          <a:off x="6892925" y="1324610"/>
          <a:ext cx="2658110" cy="13582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*update named ranges if adding new rows or cols</a:t>
          </a:r>
        </a:p>
        <a:p>
          <a:endParaRPr lang="en-AU" sz="1100"/>
        </a:p>
        <a:p>
          <a:r>
            <a:rPr lang="en-AU" sz="1100"/>
            <a:t>*if you</a:t>
          </a:r>
          <a:r>
            <a:rPr lang="en-AU" sz="1100" baseline="0"/>
            <a:t> add something (ie a new input), remember that you will most likely have to add it to all the other mach options</a:t>
          </a:r>
          <a:endParaRPr lang="en-AU" sz="1100"/>
        </a:p>
      </xdr:txBody>
    </xdr:sp>
    <xdr:clientData/>
  </xdr:twoCellAnchor>
  <xdr:oneCellAnchor>
    <xdr:from>
      <xdr:col>0</xdr:col>
      <xdr:colOff>88334</xdr:colOff>
      <xdr:row>0</xdr:row>
      <xdr:rowOff>116973</xdr:rowOff>
    </xdr:from>
    <xdr:ext cx="9100696" cy="1109856"/>
    <xdr:sp macro="" textlink="">
      <xdr:nvSpPr>
        <xdr:cNvPr id="3" name="Rectangle 2">
          <a:extLst>
            <a:ext uri="{FF2B5EF4-FFF2-40B4-BE49-F238E27FC236}">
              <a16:creationId xmlns:a16="http://schemas.microsoft.com/office/drawing/2014/main" id="{F33FE628-744B-419B-9ECF-BC893EEECC81}"/>
            </a:ext>
          </a:extLst>
        </xdr:cNvPr>
        <xdr:cNvSpPr/>
      </xdr:nvSpPr>
      <xdr:spPr>
        <a:xfrm>
          <a:off x="88334" y="116973"/>
          <a:ext cx="9100696" cy="1109856"/>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Machinery compliment 2: Small</a:t>
          </a:r>
          <a:endParaRPr lang="en-AU" sz="1100" b="0" i="0" u="none" strike="noStrike" cap="none" spc="0">
            <a:ln>
              <a:noFill/>
            </a:ln>
            <a:solidFill>
              <a:sysClr val="windowText" lastClr="000000"/>
            </a:solidFill>
            <a:effectLst/>
            <a:latin typeface="+mn-lt"/>
            <a:ea typeface="+mn-ea"/>
            <a:cs typeface="+mn-cs"/>
          </a:endParaRPr>
        </a:p>
        <a:p>
          <a:pPr algn="ctr"/>
          <a:r>
            <a:rPr lang="en-AU" sz="1100" b="0" i="0" u="none" strike="noStrike" cap="none" spc="0">
              <a:ln>
                <a:noFill/>
              </a:ln>
              <a:solidFill>
                <a:sysClr val="windowText" lastClr="000000"/>
              </a:solidFill>
              <a:effectLst/>
              <a:latin typeface="+mn-lt"/>
              <a:ea typeface="+mn-ea"/>
              <a:cs typeface="+mn-cs"/>
            </a:rPr>
            <a:t>based</a:t>
          </a:r>
          <a:r>
            <a:rPr lang="en-AU" sz="1100" b="0" i="0" u="none" strike="noStrike" cap="none" spc="0" baseline="0">
              <a:ln>
                <a:noFill/>
              </a:ln>
              <a:solidFill>
                <a:sysClr val="windowText" lastClr="000000"/>
              </a:solidFill>
              <a:effectLst/>
              <a:latin typeface="+mn-lt"/>
              <a:ea typeface="+mn-ea"/>
              <a:cs typeface="+mn-cs"/>
            </a:rPr>
            <a:t> on GSM MIDAS 2018. This is a bit rough it probably needs revisiting with a farmer group</a:t>
          </a:r>
          <a:endParaRPr lang="en-AU" sz="5400" b="0" i="0" u="none" strike="noStrike">
            <a:effectLst/>
            <a:latin typeface="+mn-lt"/>
            <a:ea typeface="+mn-ea"/>
            <a:cs typeface="+mn-cs"/>
          </a:endParaRP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7</xdr:col>
      <xdr:colOff>514350</xdr:colOff>
      <xdr:row>5</xdr:row>
      <xdr:rowOff>143510</xdr:rowOff>
    </xdr:from>
    <xdr:to>
      <xdr:col>12</xdr:col>
      <xdr:colOff>73660</xdr:colOff>
      <xdr:row>13</xdr:row>
      <xdr:rowOff>152400</xdr:rowOff>
    </xdr:to>
    <xdr:sp macro="" textlink="">
      <xdr:nvSpPr>
        <xdr:cNvPr id="2" name="TextBox 1">
          <a:extLst>
            <a:ext uri="{FF2B5EF4-FFF2-40B4-BE49-F238E27FC236}">
              <a16:creationId xmlns:a16="http://schemas.microsoft.com/office/drawing/2014/main" id="{FF8853F7-ECB3-4850-A299-611BC3523726}"/>
            </a:ext>
          </a:extLst>
        </xdr:cNvPr>
        <xdr:cNvSpPr txBox="1"/>
      </xdr:nvSpPr>
      <xdr:spPr>
        <a:xfrm>
          <a:off x="6657975" y="1096010"/>
          <a:ext cx="2512060" cy="1532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*update named ranges if adding new rows or cols</a:t>
          </a:r>
        </a:p>
        <a:p>
          <a:endParaRPr lang="en-AU" sz="1100"/>
        </a:p>
        <a:p>
          <a:r>
            <a:rPr lang="en-AU" sz="1100"/>
            <a:t>*if you</a:t>
          </a:r>
          <a:r>
            <a:rPr lang="en-AU" sz="1100" baseline="0"/>
            <a:t> add something (ie a new input), remember that you will most likely have to add it to all the other mach options</a:t>
          </a:r>
          <a:endParaRPr lang="en-AU" sz="1100"/>
        </a:p>
      </xdr:txBody>
    </xdr:sp>
    <xdr:clientData/>
  </xdr:twoCellAnchor>
  <xdr:oneCellAnchor>
    <xdr:from>
      <xdr:col>0</xdr:col>
      <xdr:colOff>105541</xdr:colOff>
      <xdr:row>0</xdr:row>
      <xdr:rowOff>145548</xdr:rowOff>
    </xdr:from>
    <xdr:ext cx="8230330" cy="1094146"/>
    <xdr:sp macro="" textlink="">
      <xdr:nvSpPr>
        <xdr:cNvPr id="3" name="Rectangle 2">
          <a:extLst>
            <a:ext uri="{FF2B5EF4-FFF2-40B4-BE49-F238E27FC236}">
              <a16:creationId xmlns:a16="http://schemas.microsoft.com/office/drawing/2014/main" id="{5FCCBAFF-BE3F-452B-BFEE-F9EE63581339}"/>
            </a:ext>
          </a:extLst>
        </xdr:cNvPr>
        <xdr:cNvSpPr/>
      </xdr:nvSpPr>
      <xdr:spPr>
        <a:xfrm>
          <a:off x="105541" y="145548"/>
          <a:ext cx="8230330" cy="1094146"/>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Machinery compliment 3: XL</a:t>
          </a:r>
        </a:p>
        <a:p>
          <a:pPr algn="ctr"/>
          <a:r>
            <a:rPr lang="en-US" sz="1000" b="0" cap="none" spc="0">
              <a:ln w="0"/>
              <a:solidFill>
                <a:schemeClr val="tx1"/>
              </a:solidFill>
              <a:effectLst>
                <a:outerShdw blurRad="38100" dist="19050" dir="2700000" algn="tl" rotWithShape="0">
                  <a:schemeClr val="dk1">
                    <a:alpha val="40000"/>
                  </a:schemeClr>
                </a:outerShdw>
              </a:effectLst>
            </a:rPr>
            <a:t>Based</a:t>
          </a:r>
          <a:r>
            <a:rPr lang="en-US" sz="1000" b="0" cap="none" spc="0" baseline="0">
              <a:ln w="0"/>
              <a:solidFill>
                <a:schemeClr val="tx1"/>
              </a:solidFill>
              <a:effectLst>
                <a:outerShdw blurRad="38100" dist="19050" dir="2700000" algn="tl" rotWithShape="0">
                  <a:schemeClr val="dk1">
                    <a:alpha val="40000"/>
                  </a:schemeClr>
                </a:outerShdw>
              </a:effectLst>
            </a:rPr>
            <a:t> on CWM MIDAS 2018. Running over this with a farmer wouldnt hurt.</a:t>
          </a:r>
          <a:endParaRPr lang="en-US" sz="1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SU\Ziaul\Mc-GSM2000-3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rols"/>
      <sheetName val="Gloss"/>
      <sheetName val="ExpLib"/>
      <sheetName val="ExpLog13"/>
      <sheetName val="EL-GRDC"/>
      <sheetName val="RepLib"/>
      <sheetName val="GenData"/>
      <sheetName val="Stubble"/>
      <sheetName val="FodCrop"/>
      <sheetName val="FD prem"/>
      <sheetName val="SALTBUSH"/>
      <sheetName val="Luc Structural"/>
      <sheetName val="MPS"/>
      <sheetName val="LucRotnData"/>
      <sheetName val="5L5C"/>
      <sheetName val="5L3C"/>
      <sheetName val="4L5C"/>
      <sheetName val="4L1C"/>
      <sheetName val="3L5C"/>
      <sheetName val="3L4C"/>
      <sheetName val="3L3C"/>
      <sheetName val="3L2C"/>
      <sheetName val="LLLL"/>
      <sheetName val="Luc Rotn Inputs"/>
      <sheetName val="Luc Growth Inputs"/>
      <sheetName val="Luc Calculations"/>
      <sheetName val="Luc Intake and Energy"/>
      <sheetName val="LucGrowth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6.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7.xml"/><Relationship Id="rId1" Type="http://schemas.openxmlformats.org/officeDocument/2006/relationships/printerSettings" Target="../printerSettings/printerSettings13.bin"/><Relationship Id="rId4"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D844F-7553-42FE-BC29-F6DF6AAF0139}">
  <sheetPr codeName="Sheet5"/>
  <dimension ref="A1:BP97"/>
  <sheetViews>
    <sheetView workbookViewId="0">
      <selection activeCell="U24" sqref="U24"/>
    </sheetView>
  </sheetViews>
  <sheetFormatPr defaultRowHeight="15" outlineLevelRow="4" x14ac:dyDescent="0.25"/>
  <cols>
    <col min="1" max="1" width="5" customWidth="1"/>
    <col min="2" max="2" width="3.7109375" customWidth="1"/>
    <col min="3" max="3" width="6" customWidth="1"/>
    <col min="4" max="4" width="5.140625" customWidth="1"/>
    <col min="5" max="5" width="4" customWidth="1"/>
    <col min="6" max="6" width="19.85546875" bestFit="1" customWidth="1"/>
    <col min="11" max="11" width="12" customWidth="1"/>
    <col min="16" max="16" width="11.5703125" customWidth="1"/>
  </cols>
  <sheetData>
    <row r="1" spans="1:27" ht="5.0999999999999996" customHeight="1" thickBot="1" x14ac:dyDescent="0.3">
      <c r="A1" s="45"/>
      <c r="B1" s="48"/>
      <c r="C1" s="48"/>
      <c r="D1" s="48"/>
      <c r="E1" s="48"/>
      <c r="F1" s="48"/>
      <c r="G1" s="48"/>
      <c r="H1" s="48"/>
      <c r="I1" s="48"/>
      <c r="J1" s="48"/>
      <c r="K1" s="48"/>
      <c r="L1" s="48"/>
      <c r="M1" s="48"/>
      <c r="N1" s="48"/>
      <c r="O1" s="48"/>
      <c r="P1" s="48"/>
      <c r="Q1" s="48"/>
      <c r="R1" s="48"/>
      <c r="S1" s="48"/>
      <c r="T1" s="48"/>
      <c r="U1" s="48"/>
      <c r="V1" s="48"/>
      <c r="W1" s="48"/>
      <c r="X1" s="48"/>
      <c r="Y1" s="45"/>
      <c r="Z1" s="45"/>
      <c r="AA1" s="45"/>
    </row>
    <row r="2" spans="1:27" ht="5.0999999999999996" customHeight="1" outlineLevel="1" x14ac:dyDescent="0.25">
      <c r="A2" s="45"/>
      <c r="B2" s="50" t="s">
        <v>86</v>
      </c>
      <c r="C2" s="52"/>
      <c r="D2" s="52"/>
      <c r="E2" s="52"/>
      <c r="F2" s="52"/>
      <c r="G2" s="52"/>
      <c r="H2" s="52"/>
      <c r="I2" s="52"/>
      <c r="J2" s="52"/>
      <c r="K2" s="52"/>
      <c r="L2" s="52"/>
      <c r="M2" s="52"/>
      <c r="N2" s="52"/>
      <c r="O2" s="52"/>
      <c r="P2" s="52"/>
      <c r="Q2" s="52"/>
      <c r="R2" s="52"/>
      <c r="S2" s="52"/>
      <c r="T2" s="52"/>
      <c r="U2" s="52"/>
      <c r="V2" s="52"/>
      <c r="W2" s="52"/>
      <c r="X2" s="53"/>
      <c r="Y2" s="45"/>
      <c r="Z2" s="45"/>
      <c r="AA2" s="45"/>
    </row>
    <row r="3" spans="1:27" outlineLevel="4" x14ac:dyDescent="0.25">
      <c r="A3" s="45"/>
      <c r="B3" s="54"/>
      <c r="C3" s="55"/>
      <c r="D3" s="55"/>
      <c r="E3" s="56"/>
      <c r="F3" s="56"/>
      <c r="G3" s="56"/>
      <c r="H3" s="56"/>
      <c r="I3" s="56"/>
      <c r="J3" s="56"/>
      <c r="K3" s="56"/>
      <c r="L3" s="56"/>
      <c r="M3" s="56"/>
      <c r="N3" s="56"/>
      <c r="O3" s="56"/>
      <c r="P3" s="56"/>
      <c r="Q3" s="56"/>
      <c r="R3" s="56"/>
      <c r="S3" s="56"/>
      <c r="T3" s="56"/>
      <c r="U3" s="56"/>
      <c r="V3" s="56"/>
      <c r="W3" s="55"/>
      <c r="X3" s="57"/>
      <c r="Y3" s="45"/>
      <c r="Z3" s="45"/>
      <c r="AA3" s="45"/>
    </row>
    <row r="4" spans="1:27" ht="20.100000000000001" customHeight="1" x14ac:dyDescent="0.25">
      <c r="A4" s="45"/>
      <c r="B4" s="54"/>
      <c r="C4" s="58"/>
      <c r="D4" s="61"/>
      <c r="E4" s="62" t="str">
        <f>COUNTIFS($B$1:$B4, "«")&amp;"General model controls - Universal.xlsx"</f>
        <v>1General model controls - Universal.xlsx</v>
      </c>
      <c r="F4" s="63"/>
      <c r="G4" s="63"/>
      <c r="H4" s="63"/>
      <c r="I4" s="63"/>
      <c r="J4" s="63"/>
      <c r="K4" s="63"/>
      <c r="L4" s="63"/>
      <c r="M4" s="63"/>
      <c r="N4" s="63"/>
      <c r="O4" s="63"/>
      <c r="P4" s="63"/>
      <c r="Q4" s="63"/>
      <c r="R4" s="63"/>
      <c r="S4" s="63"/>
      <c r="T4" s="63"/>
      <c r="U4" s="63"/>
      <c r="V4" s="63"/>
      <c r="W4" s="64"/>
      <c r="X4" s="57"/>
      <c r="Y4" s="45"/>
      <c r="Z4" s="45"/>
      <c r="AA4" s="45"/>
    </row>
    <row r="5" spans="1:27" ht="20.100000000000001" customHeight="1" outlineLevel="1" x14ac:dyDescent="0.25">
      <c r="A5" s="45"/>
      <c r="B5" s="54"/>
      <c r="C5" s="58"/>
      <c r="D5" s="66"/>
      <c r="E5" s="67" t="s">
        <v>2169</v>
      </c>
      <c r="F5" s="68"/>
      <c r="G5" s="68"/>
      <c r="H5" s="68"/>
      <c r="I5" s="68"/>
      <c r="J5" s="68"/>
      <c r="K5" s="68"/>
      <c r="L5" s="68"/>
      <c r="M5" s="68"/>
      <c r="N5" s="68"/>
      <c r="O5" s="68"/>
      <c r="P5" s="68"/>
      <c r="Q5" s="68"/>
      <c r="R5" s="68"/>
      <c r="S5" s="68"/>
      <c r="T5" s="68"/>
      <c r="U5" s="68"/>
      <c r="V5" s="68"/>
      <c r="W5" s="69"/>
      <c r="X5" s="57"/>
      <c r="Y5" s="45"/>
      <c r="Z5" s="45"/>
      <c r="AA5" s="45"/>
    </row>
    <row r="6" spans="1:27" ht="5.0999999999999996" customHeight="1" outlineLevel="2" collapsed="1" x14ac:dyDescent="0.25">
      <c r="A6" s="45"/>
      <c r="B6" s="54"/>
      <c r="C6" s="55"/>
      <c r="D6" s="55"/>
      <c r="E6" s="55"/>
      <c r="F6" s="55"/>
      <c r="G6" s="55"/>
      <c r="H6" s="55"/>
      <c r="I6" s="55"/>
      <c r="J6" s="55"/>
      <c r="K6" s="55"/>
      <c r="L6" s="55"/>
      <c r="M6" s="55"/>
      <c r="N6" s="55"/>
      <c r="O6" s="55"/>
      <c r="P6" s="55"/>
      <c r="Q6" s="55"/>
      <c r="R6" s="55"/>
      <c r="S6" s="55"/>
      <c r="T6" s="55"/>
      <c r="U6" s="55"/>
      <c r="V6" s="55"/>
      <c r="W6" s="55"/>
      <c r="X6" s="57"/>
      <c r="Y6" s="45"/>
      <c r="Z6" s="45"/>
      <c r="AA6" s="45"/>
    </row>
    <row r="7" spans="1:27" hidden="1" outlineLevel="3" x14ac:dyDescent="0.25">
      <c r="A7" s="45"/>
      <c r="B7" s="54"/>
      <c r="C7" s="55"/>
      <c r="D7" s="55"/>
      <c r="E7" s="71"/>
      <c r="F7" s="71"/>
      <c r="G7" s="71"/>
      <c r="H7" s="71"/>
      <c r="I7" s="71"/>
      <c r="J7" s="71"/>
      <c r="K7" s="71"/>
      <c r="L7" s="71"/>
      <c r="M7" s="71"/>
      <c r="N7" s="71"/>
      <c r="O7" s="71"/>
      <c r="P7" s="71"/>
      <c r="Q7" s="71"/>
      <c r="R7" s="71"/>
      <c r="S7" s="71"/>
      <c r="T7" s="71"/>
      <c r="U7" s="71"/>
      <c r="V7" s="71"/>
      <c r="W7" s="55"/>
      <c r="X7" s="57"/>
      <c r="Y7" s="45"/>
      <c r="Z7" s="45"/>
      <c r="AA7" s="45"/>
    </row>
    <row r="8" spans="1:27" hidden="1" outlineLevel="3" x14ac:dyDescent="0.25">
      <c r="A8" s="45"/>
      <c r="B8" s="54"/>
      <c r="C8" s="55"/>
      <c r="D8" s="55"/>
      <c r="E8" s="72"/>
      <c r="F8" s="72"/>
      <c r="G8" s="72"/>
      <c r="H8" s="72"/>
      <c r="I8" s="72"/>
      <c r="J8" s="72"/>
      <c r="K8" s="72"/>
      <c r="L8" s="72"/>
      <c r="M8" s="72"/>
      <c r="N8" s="72"/>
      <c r="O8" s="72"/>
      <c r="P8" s="72"/>
      <c r="Q8" s="72"/>
      <c r="R8" s="72"/>
      <c r="S8" s="72"/>
      <c r="T8" s="72"/>
      <c r="U8" s="72"/>
      <c r="V8" s="72"/>
      <c r="W8" s="55"/>
      <c r="X8" s="57"/>
      <c r="Y8" s="45"/>
      <c r="Z8" s="45"/>
      <c r="AA8" s="45"/>
    </row>
    <row r="9" spans="1:27" hidden="1" outlineLevel="3" x14ac:dyDescent="0.25">
      <c r="A9" s="45"/>
      <c r="B9" s="54"/>
      <c r="C9" s="55"/>
      <c r="D9" s="55"/>
      <c r="E9" s="72"/>
      <c r="F9" s="72"/>
      <c r="G9" s="72"/>
      <c r="H9" s="72"/>
      <c r="I9" s="72"/>
      <c r="J9" s="72"/>
      <c r="K9" s="72"/>
      <c r="L9" s="72"/>
      <c r="M9" s="72"/>
      <c r="N9" s="72"/>
      <c r="O9" s="72"/>
      <c r="P9" s="72"/>
      <c r="Q9" s="72"/>
      <c r="R9" s="72"/>
      <c r="S9" s="72"/>
      <c r="T9" s="72"/>
      <c r="U9" s="72"/>
      <c r="V9" s="72"/>
      <c r="W9" s="55"/>
      <c r="X9" s="57"/>
      <c r="Y9" s="45"/>
      <c r="Z9" s="45"/>
      <c r="AA9" s="45"/>
    </row>
    <row r="10" spans="1:27" outlineLevel="2" collapsed="1" x14ac:dyDescent="0.25">
      <c r="A10" s="45"/>
      <c r="B10" s="54"/>
      <c r="C10" s="55"/>
      <c r="D10" s="55"/>
      <c r="E10" s="72"/>
      <c r="F10" s="72"/>
      <c r="G10" s="72"/>
      <c r="H10" s="72"/>
      <c r="I10" s="72"/>
      <c r="J10" s="72"/>
      <c r="K10" s="72"/>
      <c r="L10" s="72"/>
      <c r="M10" s="72"/>
      <c r="N10" s="72"/>
      <c r="O10" s="72"/>
      <c r="P10" s="72"/>
      <c r="Q10" s="72"/>
      <c r="R10" s="72"/>
      <c r="S10" s="72"/>
      <c r="T10" s="72"/>
      <c r="U10" s="72"/>
      <c r="V10" s="72"/>
      <c r="W10" s="55"/>
      <c r="X10" s="57"/>
      <c r="Y10" s="45"/>
      <c r="Z10" s="45"/>
      <c r="AA10" s="45"/>
    </row>
    <row r="11" spans="1:27" ht="11.45" customHeight="1" outlineLevel="2" collapsed="1" x14ac:dyDescent="0.25">
      <c r="A11" s="45"/>
      <c r="B11" s="54" t="s">
        <v>129</v>
      </c>
      <c r="C11" s="55"/>
      <c r="D11" s="55"/>
      <c r="E11" s="72"/>
      <c r="F11" s="72"/>
      <c r="G11" s="72"/>
      <c r="H11" s="72"/>
      <c r="I11" s="72"/>
      <c r="J11" s="72"/>
      <c r="K11" s="72"/>
      <c r="L11" s="72"/>
      <c r="M11" s="72"/>
      <c r="N11" s="72"/>
      <c r="O11" s="72"/>
      <c r="P11" s="72"/>
      <c r="Q11" s="72"/>
      <c r="R11" s="72"/>
      <c r="S11" s="72"/>
      <c r="T11" s="72"/>
      <c r="U11" s="72"/>
      <c r="V11" s="72"/>
      <c r="W11" s="55"/>
      <c r="X11" s="57"/>
      <c r="Y11" s="45"/>
      <c r="Z11" s="45"/>
      <c r="AA11" s="45"/>
    </row>
    <row r="12" spans="1:27" hidden="1" outlineLevel="4" x14ac:dyDescent="0.25">
      <c r="A12" s="45"/>
      <c r="B12" s="54"/>
      <c r="C12" s="73"/>
      <c r="D12" s="73"/>
      <c r="E12" s="70"/>
      <c r="F12" s="70"/>
      <c r="G12" s="70"/>
      <c r="H12" s="70"/>
      <c r="I12" s="70"/>
      <c r="J12" s="70"/>
      <c r="K12" s="70"/>
      <c r="L12" s="70"/>
      <c r="M12" s="70"/>
      <c r="N12" s="70"/>
      <c r="O12" s="70"/>
      <c r="P12" s="70"/>
      <c r="Q12" s="70"/>
      <c r="R12" s="70"/>
      <c r="S12" s="70"/>
      <c r="T12" s="70"/>
      <c r="U12" s="70"/>
      <c r="V12" s="70"/>
      <c r="W12" s="73"/>
      <c r="X12" s="57"/>
      <c r="Y12" s="45"/>
      <c r="Z12" s="45"/>
      <c r="AA12" s="45"/>
    </row>
    <row r="13" spans="1:27" hidden="1" outlineLevel="4" x14ac:dyDescent="0.25">
      <c r="A13" s="45"/>
      <c r="B13" s="54" t="s">
        <v>130</v>
      </c>
      <c r="C13" s="73" t="s">
        <v>131</v>
      </c>
      <c r="D13" s="73"/>
      <c r="E13" s="70"/>
      <c r="F13" s="70"/>
      <c r="G13" s="70"/>
      <c r="H13" s="70"/>
      <c r="I13" s="70"/>
      <c r="J13" s="70"/>
      <c r="K13" s="70"/>
      <c r="L13" s="70"/>
      <c r="M13" s="70"/>
      <c r="N13" s="70"/>
      <c r="O13" s="70"/>
      <c r="P13" s="70"/>
      <c r="Q13" s="70"/>
      <c r="R13" s="70"/>
      <c r="S13" s="70"/>
      <c r="T13" s="70"/>
      <c r="U13" s="70"/>
      <c r="V13" s="70"/>
      <c r="W13" s="73"/>
      <c r="X13" s="57"/>
      <c r="Y13" s="45"/>
      <c r="Z13" s="45"/>
      <c r="AA13" s="45"/>
    </row>
    <row r="14" spans="1:27" ht="5.0999999999999996" customHeight="1" outlineLevel="2" collapsed="1" x14ac:dyDescent="0.25">
      <c r="A14" s="45"/>
      <c r="B14" s="54"/>
      <c r="C14" s="73" t="s">
        <v>132</v>
      </c>
      <c r="D14" s="73"/>
      <c r="E14" s="94"/>
      <c r="F14" s="94"/>
      <c r="G14" s="94"/>
      <c r="H14" s="94"/>
      <c r="I14" s="94"/>
      <c r="J14" s="94"/>
      <c r="K14" s="94"/>
      <c r="L14" s="94"/>
      <c r="M14" s="94"/>
      <c r="N14" s="94"/>
      <c r="O14" s="94"/>
      <c r="P14" s="94"/>
      <c r="Q14" s="94"/>
      <c r="R14" s="94"/>
      <c r="S14" s="94"/>
      <c r="T14" s="94"/>
      <c r="U14" s="94"/>
      <c r="V14" s="94"/>
      <c r="W14" s="73"/>
      <c r="X14" s="57"/>
      <c r="Y14" s="45"/>
      <c r="Z14" s="45"/>
      <c r="AA14" s="45"/>
    </row>
    <row r="15" spans="1:27" outlineLevel="3" x14ac:dyDescent="0.25">
      <c r="A15" s="45"/>
      <c r="B15" s="54"/>
      <c r="C15" s="73"/>
      <c r="D15" s="73"/>
      <c r="E15" s="76"/>
      <c r="F15" s="76"/>
      <c r="G15" s="76"/>
      <c r="H15" s="76"/>
      <c r="I15" s="76"/>
      <c r="J15" s="76"/>
      <c r="K15" s="76"/>
      <c r="L15" s="76"/>
      <c r="M15" s="76"/>
      <c r="N15" s="76"/>
      <c r="O15" s="76"/>
      <c r="P15" s="76"/>
      <c r="Q15" s="76"/>
      <c r="R15" s="76"/>
      <c r="S15" s="76"/>
      <c r="T15" s="76"/>
      <c r="U15" s="76"/>
      <c r="V15" s="76"/>
      <c r="W15" s="73"/>
      <c r="X15" s="57"/>
      <c r="Y15" s="45"/>
      <c r="Z15" s="45"/>
      <c r="AA15" s="45"/>
    </row>
    <row r="16" spans="1:27" outlineLevel="2" x14ac:dyDescent="0.25">
      <c r="A16" s="45"/>
      <c r="B16" s="54"/>
      <c r="C16" s="73"/>
      <c r="D16" s="73"/>
      <c r="E16" s="76"/>
      <c r="F16" s="76" t="s">
        <v>2309</v>
      </c>
      <c r="G16" s="352" t="b">
        <v>0</v>
      </c>
      <c r="H16" s="76"/>
      <c r="I16" s="76"/>
      <c r="J16" s="76"/>
      <c r="K16" s="76"/>
      <c r="L16" s="76"/>
      <c r="M16" s="76"/>
      <c r="N16" s="76"/>
      <c r="O16" s="76"/>
      <c r="P16" s="76"/>
      <c r="Q16" s="76"/>
      <c r="R16" s="76"/>
      <c r="S16" s="76"/>
      <c r="T16" s="76"/>
      <c r="U16" s="76"/>
      <c r="V16" s="76"/>
      <c r="W16" s="73"/>
      <c r="X16" s="57"/>
      <c r="Y16" s="45"/>
      <c r="Z16" s="45"/>
      <c r="AA16" s="45"/>
    </row>
    <row r="17" spans="1:27" outlineLevel="3" x14ac:dyDescent="0.25">
      <c r="A17" s="45"/>
      <c r="B17" s="54"/>
      <c r="C17" s="73"/>
      <c r="D17" s="73"/>
      <c r="E17" s="76"/>
      <c r="F17" s="76"/>
      <c r="G17" s="76"/>
      <c r="H17" s="76"/>
      <c r="I17" s="76"/>
      <c r="J17" s="76"/>
      <c r="K17" s="76"/>
      <c r="L17" s="76"/>
      <c r="M17" s="76"/>
      <c r="N17" s="76"/>
      <c r="O17" s="76"/>
      <c r="P17" s="76"/>
      <c r="Q17" s="76"/>
      <c r="R17" s="76"/>
      <c r="S17" s="76"/>
      <c r="T17" s="76"/>
      <c r="U17" s="76"/>
      <c r="V17" s="76"/>
      <c r="W17" s="73"/>
      <c r="X17" s="57"/>
      <c r="Y17" s="45"/>
      <c r="Z17" s="45"/>
      <c r="AA17" s="45"/>
    </row>
    <row r="18" spans="1:27" outlineLevel="3" x14ac:dyDescent="0.25">
      <c r="A18" s="45"/>
      <c r="B18" s="54"/>
      <c r="C18" s="73"/>
      <c r="D18" s="73"/>
      <c r="E18" s="76"/>
      <c r="F18" s="76"/>
      <c r="G18" s="76"/>
      <c r="H18" s="76"/>
      <c r="I18" s="76"/>
      <c r="J18" s="76"/>
      <c r="K18" s="76"/>
      <c r="L18" s="76"/>
      <c r="M18" s="76"/>
      <c r="N18" s="76"/>
      <c r="O18" s="76"/>
      <c r="P18" s="76"/>
      <c r="Q18" s="76"/>
      <c r="R18" s="76"/>
      <c r="S18" s="76"/>
      <c r="T18" s="76"/>
      <c r="U18" s="76"/>
      <c r="V18" s="76"/>
      <c r="W18" s="73"/>
      <c r="X18" s="57"/>
      <c r="Y18" s="45"/>
      <c r="Z18" s="45"/>
      <c r="AA18" s="45"/>
    </row>
    <row r="19" spans="1:27" ht="21" customHeight="1" outlineLevel="2" x14ac:dyDescent="0.25">
      <c r="A19" s="45"/>
      <c r="B19" s="54"/>
      <c r="C19" s="73"/>
      <c r="D19" s="73"/>
      <c r="E19" s="94"/>
      <c r="F19" s="350" t="s">
        <v>2316</v>
      </c>
      <c r="G19" s="94"/>
      <c r="H19" s="94"/>
      <c r="I19" s="94"/>
      <c r="J19" s="94"/>
      <c r="K19" s="94"/>
      <c r="L19" s="94"/>
      <c r="M19" s="94"/>
      <c r="N19" s="94"/>
      <c r="O19" s="94"/>
      <c r="P19" s="94"/>
      <c r="Q19" s="94"/>
      <c r="R19" s="94"/>
      <c r="S19" s="94"/>
      <c r="T19" s="94"/>
      <c r="U19" s="94"/>
      <c r="V19" s="94"/>
      <c r="W19" s="73"/>
      <c r="X19" s="57"/>
      <c r="Y19" s="45"/>
      <c r="Z19" s="45"/>
      <c r="AA19" s="45"/>
    </row>
    <row r="20" spans="1:27" outlineLevel="3" x14ac:dyDescent="0.25">
      <c r="A20" s="45"/>
      <c r="B20" s="54"/>
      <c r="C20" s="73"/>
      <c r="D20" s="73"/>
      <c r="E20" s="76"/>
      <c r="F20" s="76" t="s">
        <v>2310</v>
      </c>
      <c r="G20" s="383" t="s">
        <v>3767</v>
      </c>
      <c r="H20" s="382">
        <f>MATCH($G$20,$G$23:$G$27,0)-1</f>
        <v>0</v>
      </c>
      <c r="I20" s="76"/>
      <c r="J20" s="76"/>
      <c r="K20" s="76"/>
      <c r="L20" s="76"/>
      <c r="M20" s="76"/>
      <c r="N20" s="76"/>
      <c r="O20" s="76"/>
      <c r="P20" s="76"/>
      <c r="Q20" s="76"/>
      <c r="R20" s="76"/>
      <c r="S20" s="76"/>
      <c r="T20" s="76"/>
      <c r="U20" s="76"/>
      <c r="V20" s="76"/>
      <c r="W20" s="73"/>
      <c r="X20" s="57"/>
      <c r="Y20" s="45"/>
      <c r="Z20" s="45"/>
      <c r="AA20" s="45"/>
    </row>
    <row r="21" spans="1:27" outlineLevel="3" x14ac:dyDescent="0.25">
      <c r="A21" s="45"/>
      <c r="B21" s="54"/>
      <c r="C21" s="73"/>
      <c r="D21" s="73"/>
      <c r="E21" s="76"/>
      <c r="F21" s="76"/>
      <c r="G21" s="76"/>
      <c r="H21" s="76"/>
      <c r="I21" s="76"/>
      <c r="J21" s="76"/>
      <c r="K21" s="76"/>
      <c r="L21" s="76"/>
      <c r="M21" s="76"/>
      <c r="N21" s="76"/>
      <c r="O21" s="76"/>
      <c r="P21" s="76"/>
      <c r="Q21" s="76"/>
      <c r="R21" s="76"/>
      <c r="S21" s="76"/>
      <c r="T21" s="76"/>
      <c r="U21" s="76"/>
      <c r="V21" s="76"/>
      <c r="W21" s="73"/>
      <c r="X21" s="57"/>
      <c r="Y21" s="45"/>
      <c r="Z21" s="45"/>
      <c r="AA21" s="45"/>
    </row>
    <row r="22" spans="1:27" ht="13.5" customHeight="1" outlineLevel="2" x14ac:dyDescent="0.25">
      <c r="A22" s="45"/>
      <c r="B22" s="54"/>
      <c r="C22" s="73"/>
      <c r="D22" s="73"/>
      <c r="E22" s="94"/>
      <c r="F22" s="350" t="s">
        <v>2317</v>
      </c>
      <c r="G22" s="94"/>
      <c r="H22" s="94"/>
      <c r="I22" s="94"/>
      <c r="J22" s="94"/>
      <c r="K22" s="350" t="s">
        <v>2311</v>
      </c>
      <c r="L22" s="94"/>
      <c r="M22" s="94"/>
      <c r="N22" s="350" t="s">
        <v>2312</v>
      </c>
      <c r="O22" s="94"/>
      <c r="P22" s="94"/>
      <c r="Q22" s="350" t="s">
        <v>3764</v>
      </c>
      <c r="R22" s="94"/>
      <c r="S22" s="94"/>
      <c r="T22" s="350" t="s">
        <v>3765</v>
      </c>
      <c r="U22" s="94"/>
      <c r="V22" s="94"/>
      <c r="W22" s="73"/>
      <c r="X22" s="57"/>
      <c r="Y22" s="45"/>
      <c r="Z22" s="45"/>
      <c r="AA22" s="45"/>
    </row>
    <row r="23" spans="1:27" ht="75" outlineLevel="3" x14ac:dyDescent="0.25">
      <c r="A23" s="45"/>
      <c r="B23" s="54"/>
      <c r="C23" s="73"/>
      <c r="D23" s="73"/>
      <c r="E23" s="76"/>
      <c r="F23" s="354" t="s">
        <v>3766</v>
      </c>
      <c r="G23" s="626" t="s">
        <v>3767</v>
      </c>
      <c r="H23" s="76"/>
      <c r="I23" s="76"/>
      <c r="J23" s="76"/>
      <c r="K23" s="354" t="s">
        <v>2313</v>
      </c>
      <c r="L23" s="351">
        <v>1.1999999999999999E-6</v>
      </c>
      <c r="M23" s="76"/>
      <c r="N23" s="354" t="s">
        <v>2314</v>
      </c>
      <c r="O23" s="351">
        <v>0.7</v>
      </c>
      <c r="P23" s="76"/>
      <c r="Q23" s="354" t="s">
        <v>9</v>
      </c>
      <c r="R23" s="351">
        <v>0.64</v>
      </c>
      <c r="S23" s="76"/>
      <c r="T23" s="354" t="s">
        <v>3768</v>
      </c>
      <c r="U23" s="351">
        <v>0.9</v>
      </c>
      <c r="V23" s="76"/>
      <c r="W23" s="73"/>
      <c r="X23" s="57"/>
      <c r="Y23" s="45"/>
      <c r="Z23" s="45"/>
      <c r="AA23" s="45"/>
    </row>
    <row r="24" spans="1:27" outlineLevel="3" x14ac:dyDescent="0.25">
      <c r="A24" s="45"/>
      <c r="B24" s="54"/>
      <c r="C24" s="73"/>
      <c r="D24" s="73"/>
      <c r="E24" s="76"/>
      <c r="F24" s="76"/>
      <c r="G24" s="353" t="s">
        <v>2311</v>
      </c>
      <c r="H24" s="76"/>
      <c r="I24" s="76"/>
      <c r="J24" s="76"/>
      <c r="K24" s="76"/>
      <c r="L24" s="76"/>
      <c r="M24" s="76"/>
      <c r="N24" s="76"/>
      <c r="O24" s="76"/>
      <c r="P24" s="76"/>
      <c r="Q24" s="76" t="s">
        <v>2289</v>
      </c>
      <c r="R24" s="351">
        <v>-4.6119999999999998E-3</v>
      </c>
      <c r="S24" s="76"/>
      <c r="T24" s="76" t="s">
        <v>3769</v>
      </c>
      <c r="U24" s="351">
        <v>0.5</v>
      </c>
      <c r="V24" s="76"/>
      <c r="W24" s="73"/>
      <c r="X24" s="57"/>
      <c r="Y24" s="45"/>
      <c r="Z24" s="45"/>
      <c r="AA24" s="45"/>
    </row>
    <row r="25" spans="1:27" outlineLevel="3" x14ac:dyDescent="0.25">
      <c r="A25" s="45"/>
      <c r="B25" s="54"/>
      <c r="C25" s="73"/>
      <c r="D25" s="73"/>
      <c r="E25" s="76"/>
      <c r="F25" s="76"/>
      <c r="G25" s="353" t="s">
        <v>2312</v>
      </c>
      <c r="H25" s="76"/>
      <c r="I25" s="76"/>
      <c r="J25" s="76"/>
      <c r="K25" s="76"/>
      <c r="L25" s="76"/>
      <c r="M25" s="76"/>
      <c r="N25" s="76"/>
      <c r="O25" s="76"/>
      <c r="P25" s="76"/>
      <c r="Q25" s="76"/>
      <c r="R25" s="76"/>
      <c r="S25" s="76"/>
      <c r="T25" s="76"/>
      <c r="U25" s="76"/>
      <c r="V25" s="76"/>
      <c r="W25" s="73"/>
      <c r="X25" s="57"/>
      <c r="Y25" s="45"/>
      <c r="Z25" s="45"/>
      <c r="AA25" s="45"/>
    </row>
    <row r="26" spans="1:27" outlineLevel="3" x14ac:dyDescent="0.25">
      <c r="A26" s="45"/>
      <c r="B26" s="54"/>
      <c r="C26" s="73"/>
      <c r="D26" s="73"/>
      <c r="E26" s="76"/>
      <c r="F26" s="76"/>
      <c r="G26" s="353" t="s">
        <v>3770</v>
      </c>
      <c r="H26" s="76"/>
      <c r="I26" s="76"/>
      <c r="J26" s="76"/>
      <c r="K26" s="76"/>
      <c r="L26" s="76"/>
      <c r="M26" s="76"/>
      <c r="N26" s="76"/>
      <c r="O26" s="76"/>
      <c r="P26" s="76" t="s">
        <v>2315</v>
      </c>
      <c r="Q26" s="351">
        <v>500000</v>
      </c>
      <c r="R26" s="76"/>
      <c r="S26" s="76"/>
      <c r="T26" s="76"/>
      <c r="U26" s="76"/>
      <c r="V26" s="76"/>
      <c r="W26" s="73"/>
      <c r="X26" s="57"/>
      <c r="Y26" s="45"/>
      <c r="Z26" s="45"/>
      <c r="AA26" s="45"/>
    </row>
    <row r="27" spans="1:27" outlineLevel="3" x14ac:dyDescent="0.25">
      <c r="A27" s="45"/>
      <c r="B27" s="54"/>
      <c r="C27" s="73"/>
      <c r="D27" s="73"/>
      <c r="E27" s="76"/>
      <c r="F27" s="76"/>
      <c r="G27" s="353" t="s">
        <v>3765</v>
      </c>
      <c r="H27" s="76"/>
      <c r="I27" s="76"/>
      <c r="J27" s="76"/>
      <c r="K27" s="76"/>
      <c r="L27" s="76"/>
      <c r="M27" s="76"/>
      <c r="N27" s="76"/>
      <c r="O27" s="76"/>
      <c r="P27" s="76"/>
      <c r="Q27" s="76"/>
      <c r="R27" s="76"/>
      <c r="S27" s="76"/>
      <c r="T27" s="76"/>
      <c r="U27" s="76"/>
      <c r="V27" s="76"/>
      <c r="W27" s="73"/>
      <c r="X27" s="57"/>
      <c r="Y27" s="45"/>
      <c r="Z27" s="45"/>
      <c r="AA27" s="45"/>
    </row>
    <row r="28" spans="1:27" outlineLevel="3" x14ac:dyDescent="0.25">
      <c r="A28" s="45"/>
      <c r="B28" s="54"/>
      <c r="C28" s="73"/>
      <c r="D28" s="73"/>
      <c r="E28" s="76"/>
      <c r="F28" s="76"/>
      <c r="G28" s="76"/>
      <c r="H28" s="76"/>
      <c r="I28" s="76"/>
      <c r="J28" s="76"/>
      <c r="K28" s="76"/>
      <c r="L28" s="76"/>
      <c r="M28" s="76"/>
      <c r="N28" s="76"/>
      <c r="O28" s="76"/>
      <c r="P28" s="76"/>
      <c r="Q28" s="76"/>
      <c r="R28" s="76"/>
      <c r="S28" s="76"/>
      <c r="T28" s="76"/>
      <c r="U28" s="76"/>
      <c r="V28" s="76"/>
      <c r="W28" s="73"/>
      <c r="X28" s="57"/>
      <c r="Y28" s="45"/>
      <c r="Z28" s="45"/>
      <c r="AA28" s="45"/>
    </row>
    <row r="29" spans="1:27" ht="5.0999999999999996" customHeight="1" outlineLevel="3" x14ac:dyDescent="0.25">
      <c r="A29" s="45"/>
      <c r="B29" s="54"/>
      <c r="C29" s="73"/>
      <c r="D29" s="73"/>
      <c r="E29" s="73"/>
      <c r="F29" s="73"/>
      <c r="G29" s="73"/>
      <c r="H29" s="73"/>
      <c r="I29" s="73"/>
      <c r="J29" s="73"/>
      <c r="K29" s="73"/>
      <c r="L29" s="73"/>
      <c r="M29" s="73"/>
      <c r="N29" s="73"/>
      <c r="O29" s="73"/>
      <c r="P29" s="73"/>
      <c r="Q29" s="73"/>
      <c r="R29" s="73"/>
      <c r="S29" s="73"/>
      <c r="T29" s="73"/>
      <c r="U29" s="73"/>
      <c r="V29" s="73"/>
      <c r="W29" s="73" t="s">
        <v>136</v>
      </c>
      <c r="X29" s="57"/>
      <c r="Y29" s="45"/>
      <c r="Z29" s="45"/>
      <c r="AA29" s="45"/>
    </row>
    <row r="30" spans="1:27" ht="5.0999999999999996" customHeight="1" outlineLevel="2" x14ac:dyDescent="0.25">
      <c r="A30" s="45"/>
      <c r="B30" s="54"/>
      <c r="C30" s="73"/>
      <c r="D30" s="73"/>
      <c r="E30" s="73"/>
      <c r="F30" s="73"/>
      <c r="G30" s="73"/>
      <c r="H30" s="73"/>
      <c r="I30" s="73"/>
      <c r="J30" s="73"/>
      <c r="K30" s="73"/>
      <c r="L30" s="73"/>
      <c r="M30" s="73"/>
      <c r="N30" s="73"/>
      <c r="O30" s="73"/>
      <c r="P30" s="73"/>
      <c r="Q30" s="73"/>
      <c r="R30" s="73"/>
      <c r="S30" s="73"/>
      <c r="T30" s="73"/>
      <c r="U30" s="73"/>
      <c r="V30" s="73"/>
      <c r="W30" s="73"/>
      <c r="X30" s="57"/>
      <c r="Y30" s="45"/>
      <c r="Z30" s="45"/>
      <c r="AA30" s="45"/>
    </row>
    <row r="31" spans="1:27" ht="5.0999999999999996" customHeight="1" outlineLevel="1" x14ac:dyDescent="0.25">
      <c r="A31" s="45"/>
      <c r="B31" s="81"/>
      <c r="C31" s="83"/>
      <c r="D31" s="83"/>
      <c r="E31" s="83"/>
      <c r="F31" s="83"/>
      <c r="G31" s="83"/>
      <c r="H31" s="83"/>
      <c r="I31" s="83"/>
      <c r="J31" s="83"/>
      <c r="K31" s="83"/>
      <c r="L31" s="83"/>
      <c r="M31" s="83"/>
      <c r="N31" s="83"/>
      <c r="O31" s="83"/>
      <c r="P31" s="83"/>
      <c r="Q31" s="83"/>
      <c r="R31" s="83"/>
      <c r="S31" s="83"/>
      <c r="T31" s="83"/>
      <c r="U31" s="83"/>
      <c r="V31" s="83"/>
      <c r="W31" s="83"/>
      <c r="X31" s="84" t="s">
        <v>145</v>
      </c>
      <c r="Y31" s="45"/>
      <c r="Z31" s="45"/>
      <c r="AA31" s="45"/>
    </row>
    <row r="32" spans="1:27" ht="5.0999999999999996" customHeight="1" x14ac:dyDescent="0.25">
      <c r="A32" s="45"/>
      <c r="B32" s="85"/>
      <c r="C32" s="85"/>
      <c r="D32" s="85"/>
      <c r="E32" s="85"/>
      <c r="F32" s="85"/>
      <c r="G32" s="85"/>
      <c r="H32" s="85"/>
      <c r="I32" s="85"/>
      <c r="J32" s="85"/>
      <c r="K32" s="85"/>
      <c r="L32" s="85"/>
      <c r="M32" s="85"/>
      <c r="N32" s="85"/>
      <c r="O32" s="85"/>
      <c r="P32" s="85"/>
      <c r="Q32" s="85"/>
      <c r="R32" s="85"/>
      <c r="S32" s="85"/>
      <c r="T32" s="85"/>
      <c r="U32" s="85"/>
      <c r="V32" s="85"/>
      <c r="W32" s="85"/>
      <c r="X32" s="85"/>
      <c r="Y32" s="45"/>
      <c r="Z32" s="45"/>
      <c r="AA32" s="45"/>
    </row>
    <row r="33" spans="1:68" outlineLevel="2" x14ac:dyDescent="0.25">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row>
    <row r="34" spans="1:68" x14ac:dyDescent="0.25">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row>
    <row r="35" spans="1:68" ht="12" customHeight="1" outlineLevel="1" x14ac:dyDescent="0.25">
      <c r="A35" s="7"/>
      <c r="B35" s="8"/>
      <c r="C35" s="8"/>
      <c r="D35" s="8"/>
      <c r="E35" s="8"/>
      <c r="F35" s="8"/>
      <c r="G35" s="8"/>
      <c r="H35" s="9"/>
      <c r="I35" s="9"/>
      <c r="J35" s="9"/>
      <c r="K35" s="9"/>
      <c r="L35" s="9"/>
      <c r="M35" s="9"/>
      <c r="N35" s="9"/>
      <c r="O35" s="9"/>
      <c r="P35" s="9"/>
      <c r="Q35" s="9"/>
      <c r="R35" s="9"/>
      <c r="S35" s="9"/>
      <c r="T35" s="9"/>
      <c r="U35" s="9"/>
      <c r="V35" s="9"/>
      <c r="W35" s="9"/>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row>
    <row r="36" spans="1:68" ht="5.0999999999999996" customHeight="1" outlineLevel="1" thickBot="1" x14ac:dyDescent="0.3">
      <c r="A36" s="7"/>
      <c r="B36" s="8"/>
      <c r="C36" s="8"/>
      <c r="D36" s="8"/>
      <c r="E36" s="8"/>
      <c r="F36" s="8"/>
      <c r="G36" s="8"/>
      <c r="H36" s="9"/>
      <c r="I36" s="9"/>
      <c r="J36" s="9"/>
      <c r="K36" s="9"/>
      <c r="L36" s="9"/>
      <c r="M36" s="9"/>
      <c r="N36" s="9"/>
      <c r="O36" s="9"/>
      <c r="P36" s="9"/>
      <c r="Q36" s="9"/>
      <c r="R36" s="9"/>
      <c r="S36" s="9"/>
      <c r="T36" s="9"/>
      <c r="U36" s="9"/>
      <c r="V36" s="9"/>
      <c r="W36" s="9"/>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row>
    <row r="37" spans="1:68" ht="5.0999999999999996" customHeight="1" outlineLevel="1" x14ac:dyDescent="0.25">
      <c r="A37" s="7"/>
      <c r="B37" s="8"/>
      <c r="C37" s="10" t="s">
        <v>86</v>
      </c>
      <c r="D37" s="10"/>
      <c r="E37" s="10"/>
      <c r="F37" s="10"/>
      <c r="G37" s="10"/>
      <c r="H37" s="10"/>
      <c r="I37" s="10"/>
      <c r="J37" s="10"/>
      <c r="K37" s="612"/>
      <c r="L37" s="11"/>
      <c r="M37" s="11"/>
      <c r="N37" s="11"/>
      <c r="O37" s="11"/>
      <c r="P37" s="11"/>
      <c r="Q37" s="11"/>
      <c r="R37" s="11"/>
      <c r="S37" s="11"/>
      <c r="T37" s="11"/>
      <c r="U37" s="11"/>
      <c r="V37" s="11"/>
      <c r="W37" s="12"/>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row>
    <row r="38" spans="1:68" ht="12" customHeight="1" outlineLevel="1" x14ac:dyDescent="0.25">
      <c r="A38" s="7"/>
      <c r="B38" s="8"/>
      <c r="C38" s="13"/>
      <c r="D38" s="13"/>
      <c r="E38" s="13" t="s">
        <v>87</v>
      </c>
      <c r="F38" s="14"/>
      <c r="G38" s="15" t="s">
        <v>3443</v>
      </c>
      <c r="H38" s="14"/>
      <c r="I38" s="14" t="s">
        <v>3444</v>
      </c>
      <c r="J38" s="14"/>
      <c r="K38" s="14"/>
      <c r="L38" s="14"/>
      <c r="M38" s="14"/>
      <c r="N38" s="14"/>
      <c r="O38" s="14"/>
      <c r="P38" s="14"/>
      <c r="Q38" s="14"/>
      <c r="R38" s="14"/>
      <c r="S38" s="16"/>
      <c r="T38" s="14"/>
      <c r="U38" s="16"/>
      <c r="V38" s="16"/>
      <c r="W38" s="17"/>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row>
    <row r="39" spans="1:68" ht="12" customHeight="1" outlineLevel="1" x14ac:dyDescent="0.25">
      <c r="A39" s="7"/>
      <c r="B39" s="8"/>
      <c r="C39" s="13"/>
      <c r="D39" s="13"/>
      <c r="E39" s="18"/>
      <c r="F39" s="14"/>
      <c r="G39" s="505"/>
      <c r="H39" s="14"/>
      <c r="I39" s="14"/>
      <c r="J39" s="14"/>
      <c r="K39" s="14"/>
      <c r="L39" s="14"/>
      <c r="M39" s="14"/>
      <c r="N39" s="14"/>
      <c r="O39" s="14"/>
      <c r="P39" s="14"/>
      <c r="Q39" s="14"/>
      <c r="R39" s="14"/>
      <c r="S39" s="16"/>
      <c r="T39" s="19"/>
      <c r="U39" s="16"/>
      <c r="V39" s="16"/>
      <c r="W39" s="17"/>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row>
    <row r="40" spans="1:68" ht="12" customHeight="1" outlineLevel="1" x14ac:dyDescent="0.25">
      <c r="A40" s="7"/>
      <c r="B40" s="8"/>
      <c r="C40" s="18"/>
      <c r="D40" s="13"/>
      <c r="E40" s="18"/>
      <c r="F40" s="14"/>
      <c r="G40" s="14"/>
      <c r="H40" s="14"/>
      <c r="I40" s="14"/>
      <c r="J40" s="14"/>
      <c r="K40" s="14"/>
      <c r="L40" s="14"/>
      <c r="M40" s="14"/>
      <c r="N40" s="14"/>
      <c r="O40" s="14"/>
      <c r="P40" s="14"/>
      <c r="Q40" s="14"/>
      <c r="R40" s="14"/>
      <c r="S40" s="16"/>
      <c r="T40" s="19"/>
      <c r="U40" s="16"/>
      <c r="V40" s="16"/>
      <c r="W40" s="17"/>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row>
    <row r="41" spans="1:68" ht="12" customHeight="1" outlineLevel="1" x14ac:dyDescent="0.25">
      <c r="A41" s="7"/>
      <c r="B41" s="8"/>
      <c r="C41" s="18"/>
      <c r="D41" s="18"/>
      <c r="E41" s="18"/>
      <c r="F41" s="18"/>
      <c r="G41" s="18"/>
      <c r="H41" s="18"/>
      <c r="I41" s="18" t="s">
        <v>3445</v>
      </c>
      <c r="J41" s="18"/>
      <c r="K41" s="18"/>
      <c r="L41" s="18"/>
      <c r="M41" s="18"/>
      <c r="N41" s="18"/>
      <c r="O41" s="18"/>
      <c r="P41" s="18"/>
      <c r="Q41" s="21"/>
      <c r="R41" s="21"/>
      <c r="S41" s="21"/>
      <c r="T41" s="21"/>
      <c r="U41" s="21"/>
      <c r="V41" s="21"/>
      <c r="W41" s="17"/>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row>
    <row r="42" spans="1:68" ht="12" customHeight="1" outlineLevel="1" x14ac:dyDescent="0.25">
      <c r="A42" s="7"/>
      <c r="B42" s="8"/>
      <c r="C42" s="18"/>
      <c r="D42" s="18"/>
      <c r="E42" s="18"/>
      <c r="F42" s="18"/>
      <c r="G42" s="18"/>
      <c r="H42" s="18"/>
      <c r="I42" s="18"/>
      <c r="J42" s="18"/>
      <c r="K42" s="18"/>
      <c r="L42" s="18"/>
      <c r="M42" s="18"/>
      <c r="N42" s="18"/>
      <c r="O42" s="18"/>
      <c r="P42" s="18"/>
      <c r="Q42" s="23"/>
      <c r="R42" s="23"/>
      <c r="S42" s="21"/>
      <c r="T42" s="21"/>
      <c r="U42" s="21"/>
      <c r="V42" s="21"/>
      <c r="W42" s="17"/>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row>
    <row r="43" spans="1:68" ht="12" customHeight="1" outlineLevel="1" x14ac:dyDescent="0.25">
      <c r="A43" s="7"/>
      <c r="B43" s="8"/>
      <c r="C43" s="18"/>
      <c r="D43" s="18"/>
      <c r="E43" s="18"/>
      <c r="F43" s="18"/>
      <c r="G43" s="18" t="s">
        <v>3446</v>
      </c>
      <c r="H43" s="18" t="s">
        <v>3447</v>
      </c>
      <c r="I43" s="18" t="s">
        <v>3448</v>
      </c>
      <c r="J43" s="18" t="s">
        <v>3449</v>
      </c>
      <c r="K43" s="18" t="s">
        <v>3450</v>
      </c>
      <c r="L43" s="22"/>
      <c r="M43" s="22"/>
      <c r="N43" s="22"/>
      <c r="O43" s="22"/>
      <c r="P43" s="23"/>
      <c r="Q43" s="23"/>
      <c r="R43" s="23"/>
      <c r="S43" s="21"/>
      <c r="T43" s="21"/>
      <c r="U43" s="21"/>
      <c r="V43" s="21"/>
      <c r="W43" s="17"/>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row>
    <row r="44" spans="1:68" ht="12" customHeight="1" outlineLevel="1" x14ac:dyDescent="0.25">
      <c r="A44" s="7"/>
      <c r="B44" s="8"/>
      <c r="C44" s="18"/>
      <c r="D44" s="18"/>
      <c r="E44" s="18"/>
      <c r="F44" s="543"/>
      <c r="G44" s="519" t="s">
        <v>45</v>
      </c>
      <c r="H44" s="613">
        <f>29+22</f>
        <v>51</v>
      </c>
      <c r="I44" s="613">
        <v>1.3</v>
      </c>
      <c r="J44" s="613">
        <v>0</v>
      </c>
      <c r="K44" s="620">
        <v>0</v>
      </c>
      <c r="L44" s="614"/>
      <c r="M44" s="614"/>
      <c r="N44" s="614"/>
      <c r="O44" s="614"/>
      <c r="P44" s="614"/>
      <c r="Q44" s="615"/>
      <c r="R44" s="615"/>
      <c r="S44" s="615"/>
      <c r="T44" s="615"/>
      <c r="U44" s="615"/>
      <c r="V44" s="616"/>
      <c r="W44" s="17"/>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row>
    <row r="45" spans="1:68" ht="12" customHeight="1" outlineLevel="1" x14ac:dyDescent="0.25">
      <c r="A45" s="7"/>
      <c r="B45" s="8"/>
      <c r="C45" s="18"/>
      <c r="D45" s="18"/>
      <c r="E45" s="18"/>
      <c r="F45" s="543"/>
      <c r="G45" s="519" t="s">
        <v>3455</v>
      </c>
      <c r="H45" s="613">
        <v>536</v>
      </c>
      <c r="I45" s="613">
        <v>1.17</v>
      </c>
      <c r="J45" s="613">
        <v>0</v>
      </c>
      <c r="K45" s="620">
        <v>0</v>
      </c>
      <c r="L45" s="614"/>
      <c r="M45" s="614"/>
      <c r="N45" s="614"/>
      <c r="O45" s="614"/>
      <c r="P45" s="614"/>
      <c r="Q45" s="615"/>
      <c r="R45" s="615"/>
      <c r="S45" s="615"/>
      <c r="T45" s="615"/>
      <c r="U45" s="615"/>
      <c r="V45" s="616"/>
      <c r="W45" s="17"/>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row>
    <row r="46" spans="1:68" ht="12" customHeight="1" outlineLevel="1" x14ac:dyDescent="0.25">
      <c r="A46" s="7"/>
      <c r="B46" s="8"/>
      <c r="C46" s="18"/>
      <c r="D46" s="18"/>
      <c r="E46" s="18"/>
      <c r="F46" s="543"/>
      <c r="G46" s="519" t="s">
        <v>3456</v>
      </c>
      <c r="H46" s="613">
        <v>1017</v>
      </c>
      <c r="I46" s="613">
        <f>0.6*I49+0.4*I48</f>
        <v>0.99800000000000011</v>
      </c>
      <c r="J46" s="625">
        <f>0.6*J49+0.4*J48</f>
        <v>6.6000000000000003E-2</v>
      </c>
      <c r="K46" s="620">
        <v>0</v>
      </c>
      <c r="L46" s="614"/>
      <c r="M46" s="614"/>
      <c r="N46" s="614"/>
      <c r="O46" s="614"/>
      <c r="P46" s="614"/>
      <c r="Q46" s="615"/>
      <c r="R46" s="615"/>
      <c r="S46" s="615"/>
      <c r="T46" s="615"/>
      <c r="U46" s="615"/>
      <c r="V46" s="616"/>
      <c r="W46" s="17"/>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row>
    <row r="47" spans="1:68" ht="12" customHeight="1" outlineLevel="1" x14ac:dyDescent="0.25">
      <c r="A47" s="7"/>
      <c r="B47" s="8"/>
      <c r="C47" s="18"/>
      <c r="D47" s="18"/>
      <c r="E47" s="18"/>
      <c r="F47" s="543"/>
      <c r="G47" s="519" t="s">
        <v>3459</v>
      </c>
      <c r="H47" s="613">
        <f>453+22</f>
        <v>475</v>
      </c>
      <c r="I47" s="613">
        <v>1.08</v>
      </c>
      <c r="J47" s="625">
        <v>0.21</v>
      </c>
      <c r="K47" s="620">
        <v>0</v>
      </c>
      <c r="L47" s="614"/>
      <c r="M47" s="614"/>
      <c r="N47" s="614"/>
      <c r="O47" s="614"/>
      <c r="P47" s="614"/>
      <c r="Q47" s="615"/>
      <c r="R47" s="615"/>
      <c r="S47" s="615"/>
      <c r="T47" s="615"/>
      <c r="U47" s="615"/>
      <c r="V47" s="616"/>
      <c r="W47" s="17"/>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row>
    <row r="48" spans="1:68" ht="12" customHeight="1" outlineLevel="1" x14ac:dyDescent="0.25">
      <c r="A48" s="7"/>
      <c r="B48" s="8"/>
      <c r="C48" s="18"/>
      <c r="D48" s="18"/>
      <c r="E48" s="18"/>
      <c r="F48" s="543"/>
      <c r="G48" s="519" t="s">
        <v>44</v>
      </c>
      <c r="H48" s="613">
        <f>676+22</f>
        <v>698</v>
      </c>
      <c r="I48" s="613">
        <v>1.1000000000000001</v>
      </c>
      <c r="J48" s="613">
        <v>0</v>
      </c>
      <c r="K48" s="620">
        <v>0</v>
      </c>
      <c r="L48" s="614"/>
      <c r="M48" s="614"/>
      <c r="N48" s="614"/>
      <c r="O48" s="614"/>
      <c r="P48" s="614"/>
      <c r="Q48" s="615"/>
      <c r="R48" s="615"/>
      <c r="S48" s="615"/>
      <c r="T48" s="615"/>
      <c r="U48" s="615"/>
      <c r="V48" s="616"/>
      <c r="W48" s="17"/>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row>
    <row r="49" spans="1:68" ht="12" customHeight="1" outlineLevel="1" x14ac:dyDescent="0.25">
      <c r="A49" s="7"/>
      <c r="B49" s="8"/>
      <c r="C49" s="18"/>
      <c r="D49" s="18"/>
      <c r="E49" s="18"/>
      <c r="F49" s="543"/>
      <c r="G49" s="519" t="s">
        <v>3457</v>
      </c>
      <c r="H49" s="613">
        <f>1209+22</f>
        <v>1231</v>
      </c>
      <c r="I49" s="613">
        <v>0.93</v>
      </c>
      <c r="J49" s="620">
        <v>0.11</v>
      </c>
      <c r="K49" s="620">
        <v>0</v>
      </c>
      <c r="L49" s="614"/>
      <c r="M49" s="614"/>
      <c r="N49" s="614"/>
      <c r="O49" s="614"/>
      <c r="P49" s="614"/>
      <c r="Q49" s="615"/>
      <c r="R49" s="615"/>
      <c r="S49" s="615"/>
      <c r="T49" s="615"/>
      <c r="U49" s="615"/>
      <c r="V49" s="616"/>
      <c r="W49" s="17"/>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row>
    <row r="50" spans="1:68" ht="12" customHeight="1" outlineLevel="1" x14ac:dyDescent="0.25">
      <c r="A50" s="7"/>
      <c r="B50" s="8"/>
      <c r="C50" s="18"/>
      <c r="D50" s="18"/>
      <c r="E50" s="18"/>
      <c r="F50" s="543"/>
      <c r="G50" s="519" t="s">
        <v>3458</v>
      </c>
      <c r="H50" s="613">
        <f>674+22</f>
        <v>696</v>
      </c>
      <c r="I50" s="613">
        <v>0.95</v>
      </c>
      <c r="J50" s="620">
        <v>0.34300000000000003</v>
      </c>
      <c r="K50" s="620">
        <v>0.6</v>
      </c>
      <c r="L50" s="614"/>
      <c r="M50" s="614"/>
      <c r="N50" s="614"/>
      <c r="O50" s="614"/>
      <c r="P50" s="614"/>
      <c r="Q50" s="615"/>
      <c r="R50" s="615"/>
      <c r="S50" s="615"/>
      <c r="T50" s="615"/>
      <c r="U50" s="615"/>
      <c r="V50" s="616"/>
      <c r="W50" s="17"/>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row>
    <row r="51" spans="1:68" ht="12" customHeight="1" outlineLevel="1" x14ac:dyDescent="0.25">
      <c r="A51" s="7"/>
      <c r="B51" s="8"/>
      <c r="C51" s="18"/>
      <c r="D51" s="18"/>
      <c r="E51" s="18"/>
      <c r="F51" s="543"/>
      <c r="G51" s="617" t="s">
        <v>69</v>
      </c>
      <c r="H51" s="613">
        <f>1083+22</f>
        <v>1105</v>
      </c>
      <c r="I51" s="613">
        <v>0.97</v>
      </c>
      <c r="J51" s="618">
        <v>0.27600000000000002</v>
      </c>
      <c r="K51" s="620">
        <v>0</v>
      </c>
      <c r="L51" s="614"/>
      <c r="M51" s="614"/>
      <c r="N51" s="614"/>
      <c r="O51" s="614"/>
      <c r="P51" s="614"/>
      <c r="Q51" s="615"/>
      <c r="R51" s="615"/>
      <c r="S51" s="615"/>
      <c r="T51" s="615"/>
      <c r="U51" s="615"/>
      <c r="V51" s="616"/>
      <c r="W51" s="17"/>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row>
    <row r="52" spans="1:68" ht="12" customHeight="1" outlineLevel="1" x14ac:dyDescent="0.25">
      <c r="A52" s="7"/>
      <c r="B52" s="8"/>
      <c r="C52" s="18"/>
      <c r="D52" s="18"/>
      <c r="E52" s="18"/>
      <c r="F52" s="543"/>
      <c r="G52" s="619" t="s">
        <v>2896</v>
      </c>
      <c r="H52" s="613">
        <f>830+30</f>
        <v>860</v>
      </c>
      <c r="I52" s="613">
        <v>0.7</v>
      </c>
      <c r="J52" s="625">
        <v>0.46</v>
      </c>
      <c r="K52" s="620">
        <v>1</v>
      </c>
      <c r="L52" s="614"/>
      <c r="M52" s="614"/>
      <c r="N52" s="614"/>
      <c r="O52" s="614"/>
      <c r="Q52" s="615"/>
      <c r="R52" s="615"/>
      <c r="S52" s="615"/>
      <c r="T52" s="615"/>
      <c r="U52" s="615"/>
      <c r="V52" s="616"/>
      <c r="W52" s="17"/>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row>
    <row r="53" spans="1:68" ht="12" customHeight="1" outlineLevel="1" x14ac:dyDescent="0.25">
      <c r="A53" s="7"/>
      <c r="B53" s="8"/>
      <c r="C53" s="18"/>
      <c r="D53" s="18"/>
      <c r="E53" s="18"/>
      <c r="F53" s="543"/>
      <c r="G53" s="619" t="s">
        <v>2534</v>
      </c>
      <c r="H53" s="613">
        <f>621+22</f>
        <v>643</v>
      </c>
      <c r="I53" s="613">
        <v>1.32</v>
      </c>
      <c r="J53" s="620">
        <v>0.32</v>
      </c>
      <c r="K53" s="620">
        <v>0.35</v>
      </c>
      <c r="L53" s="614"/>
      <c r="M53" s="614"/>
      <c r="N53" s="614"/>
      <c r="O53" s="614"/>
      <c r="P53" s="28"/>
      <c r="Q53" s="615"/>
      <c r="R53" s="615"/>
      <c r="S53" s="615"/>
      <c r="T53" s="615"/>
      <c r="U53" s="615"/>
      <c r="V53" s="616"/>
      <c r="W53" s="17"/>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row>
    <row r="54" spans="1:68" ht="12" customHeight="1" outlineLevel="1" x14ac:dyDescent="0.25">
      <c r="A54" s="7"/>
      <c r="B54" s="8"/>
      <c r="C54" s="18"/>
      <c r="D54" s="18"/>
      <c r="E54" s="18"/>
      <c r="F54" s="543"/>
      <c r="R54" s="621"/>
      <c r="S54" s="621"/>
      <c r="T54" s="621"/>
      <c r="U54" s="621"/>
      <c r="V54" s="616"/>
      <c r="W54" s="17"/>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row>
    <row r="55" spans="1:68" ht="12" customHeight="1" outlineLevel="1" x14ac:dyDescent="0.25">
      <c r="A55" s="7"/>
      <c r="B55" s="8"/>
      <c r="C55" s="18"/>
      <c r="D55" s="18"/>
      <c r="E55" s="18"/>
      <c r="F55" s="543"/>
      <c r="H55" s="28"/>
      <c r="I55" s="28"/>
      <c r="J55" s="622"/>
      <c r="K55" s="622"/>
      <c r="L55" s="622"/>
      <c r="M55" s="622"/>
      <c r="N55" s="622"/>
      <c r="O55" s="622"/>
      <c r="Q55" s="622"/>
      <c r="R55" s="621"/>
      <c r="S55" s="621"/>
      <c r="T55" s="621"/>
      <c r="U55" s="621"/>
      <c r="V55" s="616"/>
      <c r="W55" s="17"/>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row>
    <row r="56" spans="1:68" ht="12" customHeight="1" outlineLevel="1" x14ac:dyDescent="0.25">
      <c r="A56" s="7"/>
      <c r="B56" s="8"/>
      <c r="C56" s="18"/>
      <c r="D56" s="18"/>
      <c r="E56" s="18"/>
      <c r="F56" s="543"/>
      <c r="O56" s="614"/>
      <c r="Q56" s="615"/>
      <c r="R56" s="615"/>
      <c r="S56" s="615"/>
      <c r="T56" s="615"/>
      <c r="U56" s="615"/>
      <c r="V56" s="616"/>
      <c r="W56" s="17"/>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row>
    <row r="57" spans="1:68" ht="12" customHeight="1" outlineLevel="1" x14ac:dyDescent="0.25">
      <c r="A57" s="7"/>
      <c r="B57" s="8"/>
      <c r="C57" s="18"/>
      <c r="D57" s="18"/>
      <c r="E57" s="18"/>
      <c r="F57" s="543"/>
      <c r="O57" s="614"/>
      <c r="P57" s="614"/>
      <c r="Q57" s="615"/>
      <c r="R57" s="615"/>
      <c r="S57" s="615"/>
      <c r="T57" s="615"/>
      <c r="U57" s="615"/>
      <c r="V57" s="616"/>
      <c r="W57" s="17"/>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row>
    <row r="58" spans="1:68" ht="12" customHeight="1" outlineLevel="1" x14ac:dyDescent="0.25">
      <c r="A58" s="7"/>
      <c r="B58" s="8"/>
      <c r="C58" s="18"/>
      <c r="D58" s="18"/>
      <c r="E58" s="18"/>
      <c r="F58" s="543"/>
      <c r="O58" s="614"/>
      <c r="P58" s="614"/>
      <c r="Q58" s="615"/>
      <c r="R58" s="615"/>
      <c r="S58" s="615"/>
      <c r="T58" s="615"/>
      <c r="U58" s="615"/>
      <c r="V58" s="616"/>
      <c r="W58" s="17"/>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row>
    <row r="59" spans="1:68" ht="12" customHeight="1" outlineLevel="1" x14ac:dyDescent="0.25">
      <c r="A59" s="7"/>
      <c r="B59" s="8"/>
      <c r="C59" s="18"/>
      <c r="D59" s="18"/>
      <c r="E59" s="18"/>
      <c r="F59" s="543"/>
      <c r="O59" s="614"/>
      <c r="P59" s="614"/>
      <c r="Q59" s="615"/>
      <c r="R59" s="615"/>
      <c r="S59" s="615"/>
      <c r="T59" s="615"/>
      <c r="U59" s="615"/>
      <c r="V59" s="616"/>
      <c r="W59" s="17"/>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row>
    <row r="60" spans="1:68" ht="5.0999999999999996" customHeight="1" outlineLevel="1" x14ac:dyDescent="0.25">
      <c r="A60" s="7"/>
      <c r="B60" s="8"/>
      <c r="C60" s="18"/>
      <c r="D60" s="18"/>
      <c r="E60" s="18"/>
      <c r="F60" s="33"/>
      <c r="G60" s="34"/>
      <c r="H60" s="34"/>
      <c r="I60" s="34"/>
      <c r="J60" s="35"/>
      <c r="K60" s="35"/>
      <c r="L60" s="35"/>
      <c r="M60" s="35"/>
      <c r="N60" s="35"/>
      <c r="O60" s="35"/>
      <c r="P60" s="35"/>
      <c r="Q60" s="35"/>
      <c r="R60" s="35"/>
      <c r="S60" s="35"/>
      <c r="T60" s="35"/>
      <c r="U60" s="35"/>
      <c r="V60" s="27"/>
      <c r="W60" s="17"/>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row>
    <row r="61" spans="1:68" ht="25.35" customHeight="1" outlineLevel="1" x14ac:dyDescent="0.25">
      <c r="A61" s="7"/>
      <c r="B61" s="8"/>
      <c r="C61" s="36"/>
      <c r="D61" s="36"/>
      <c r="E61" s="36"/>
      <c r="F61" s="36"/>
      <c r="G61" s="37" t="str">
        <f>G38</f>
        <v>Fert info</v>
      </c>
      <c r="H61" s="36"/>
      <c r="I61" s="36"/>
      <c r="J61" s="36"/>
      <c r="K61" s="36"/>
      <c r="L61" s="36"/>
      <c r="M61" s="36"/>
      <c r="N61" s="36"/>
      <c r="O61" s="36"/>
      <c r="P61" s="36"/>
      <c r="Q61" s="36"/>
      <c r="R61" s="36"/>
      <c r="S61" s="36"/>
      <c r="T61" s="36"/>
      <c r="U61" s="36"/>
      <c r="V61" s="36"/>
      <c r="W61" s="38" t="s">
        <v>91</v>
      </c>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row>
    <row r="62" spans="1:68" ht="12" customHeight="1" outlineLevel="1" x14ac:dyDescent="0.25">
      <c r="A62" s="7"/>
      <c r="B62" s="8"/>
      <c r="C62" s="8"/>
      <c r="D62" s="8"/>
      <c r="E62" s="8"/>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row>
    <row r="63" spans="1:68" x14ac:dyDescent="0.25"/>
    <row r="65" spans="7:13" x14ac:dyDescent="0.25">
      <c r="G65" t="s">
        <v>2287</v>
      </c>
      <c r="I65" t="s">
        <v>2288</v>
      </c>
      <c r="K65" t="s">
        <v>2690</v>
      </c>
      <c r="M65" t="s">
        <v>2691</v>
      </c>
    </row>
    <row r="66" spans="7:13" x14ac:dyDescent="0.25">
      <c r="G66" s="338" t="s">
        <v>4</v>
      </c>
      <c r="I66" s="338" t="s">
        <v>2289</v>
      </c>
      <c r="K66" s="338" t="s">
        <v>45</v>
      </c>
      <c r="M66" s="428" t="s">
        <v>2692</v>
      </c>
    </row>
    <row r="67" spans="7:13" x14ac:dyDescent="0.25">
      <c r="G67" s="339" t="s">
        <v>2281</v>
      </c>
      <c r="I67" s="339" t="s">
        <v>2550</v>
      </c>
      <c r="K67" s="339" t="s">
        <v>2897</v>
      </c>
      <c r="M67" s="429" t="s">
        <v>2693</v>
      </c>
    </row>
    <row r="68" spans="7:13" ht="45" x14ac:dyDescent="0.25">
      <c r="G68" s="339" t="s">
        <v>10</v>
      </c>
      <c r="I68" s="339" t="s">
        <v>4</v>
      </c>
      <c r="K68" s="339" t="s">
        <v>2682</v>
      </c>
      <c r="M68" s="429" t="s">
        <v>2694</v>
      </c>
    </row>
    <row r="69" spans="7:13" ht="30" x14ac:dyDescent="0.25">
      <c r="G69" t="s">
        <v>60</v>
      </c>
      <c r="H69" s="343"/>
      <c r="I69" s="339" t="s">
        <v>2281</v>
      </c>
      <c r="K69" s="339" t="s">
        <v>2683</v>
      </c>
      <c r="M69" s="430" t="s">
        <v>2695</v>
      </c>
    </row>
    <row r="70" spans="7:13" x14ac:dyDescent="0.25">
      <c r="G70" s="339" t="s">
        <v>61</v>
      </c>
      <c r="I70" s="339" t="s">
        <v>10</v>
      </c>
      <c r="K70" s="340" t="s">
        <v>2898</v>
      </c>
    </row>
    <row r="71" spans="7:13" x14ac:dyDescent="0.25">
      <c r="G71" s="339" t="s">
        <v>62</v>
      </c>
      <c r="I71" s="339" t="s">
        <v>60</v>
      </c>
    </row>
    <row r="72" spans="7:13" x14ac:dyDescent="0.25">
      <c r="G72" s="339" t="s">
        <v>7</v>
      </c>
      <c r="I72" s="339" t="s">
        <v>61</v>
      </c>
    </row>
    <row r="73" spans="7:13" x14ac:dyDescent="0.25">
      <c r="G73" s="339" t="s">
        <v>3262</v>
      </c>
      <c r="I73" s="339" t="s">
        <v>2290</v>
      </c>
    </row>
    <row r="74" spans="7:13" x14ac:dyDescent="0.25">
      <c r="G74" s="339" t="s">
        <v>3189</v>
      </c>
      <c r="I74" s="339" t="s">
        <v>107</v>
      </c>
    </row>
    <row r="75" spans="7:13" x14ac:dyDescent="0.25">
      <c r="G75" s="339" t="s">
        <v>6</v>
      </c>
      <c r="I75" s="339" t="s">
        <v>62</v>
      </c>
    </row>
    <row r="76" spans="7:13" x14ac:dyDescent="0.25">
      <c r="G76" s="339" t="s">
        <v>2285</v>
      </c>
      <c r="I76" s="339" t="s">
        <v>7</v>
      </c>
    </row>
    <row r="77" spans="7:13" x14ac:dyDescent="0.25">
      <c r="G77" s="339" t="s">
        <v>72</v>
      </c>
      <c r="I77" s="339" t="s">
        <v>3262</v>
      </c>
    </row>
    <row r="78" spans="7:13" x14ac:dyDescent="0.25">
      <c r="G78" s="339" t="s">
        <v>9</v>
      </c>
      <c r="I78" s="339" t="s">
        <v>113</v>
      </c>
    </row>
    <row r="79" spans="7:13" x14ac:dyDescent="0.25">
      <c r="G79" s="339" t="s">
        <v>2284</v>
      </c>
      <c r="I79" s="339" t="s">
        <v>3189</v>
      </c>
    </row>
    <row r="80" spans="7:13" x14ac:dyDescent="0.25">
      <c r="G80" s="339" t="s">
        <v>63</v>
      </c>
      <c r="I80" s="339" t="s">
        <v>6</v>
      </c>
    </row>
    <row r="81" spans="7:9" x14ac:dyDescent="0.25">
      <c r="G81" s="339" t="s">
        <v>5</v>
      </c>
      <c r="I81" s="339" t="s">
        <v>2285</v>
      </c>
    </row>
    <row r="82" spans="7:9" x14ac:dyDescent="0.25">
      <c r="G82" s="339" t="s">
        <v>2283</v>
      </c>
      <c r="I82" s="339" t="s">
        <v>72</v>
      </c>
    </row>
    <row r="83" spans="7:9" x14ac:dyDescent="0.25">
      <c r="G83" s="339" t="s">
        <v>8</v>
      </c>
      <c r="I83" s="339" t="s">
        <v>9</v>
      </c>
    </row>
    <row r="84" spans="7:9" x14ac:dyDescent="0.25">
      <c r="G84" s="340" t="s">
        <v>2282</v>
      </c>
      <c r="I84" s="339" t="s">
        <v>2284</v>
      </c>
    </row>
    <row r="85" spans="7:9" x14ac:dyDescent="0.25">
      <c r="I85" s="339" t="s">
        <v>2291</v>
      </c>
    </row>
    <row r="86" spans="7:9" x14ac:dyDescent="0.25">
      <c r="I86" s="339" t="s">
        <v>2537</v>
      </c>
    </row>
    <row r="87" spans="7:9" x14ac:dyDescent="0.25">
      <c r="I87" s="339" t="s">
        <v>2292</v>
      </c>
    </row>
    <row r="88" spans="7:9" x14ac:dyDescent="0.25">
      <c r="I88" s="339" t="s">
        <v>106</v>
      </c>
    </row>
    <row r="89" spans="7:9" x14ac:dyDescent="0.25">
      <c r="I89" s="339" t="s">
        <v>2293</v>
      </c>
    </row>
    <row r="90" spans="7:9" x14ac:dyDescent="0.25">
      <c r="I90" s="339" t="s">
        <v>108</v>
      </c>
    </row>
    <row r="91" spans="7:9" x14ac:dyDescent="0.25">
      <c r="I91" s="339" t="s">
        <v>63</v>
      </c>
    </row>
    <row r="92" spans="7:9" x14ac:dyDescent="0.25">
      <c r="I92" s="339" t="s">
        <v>5</v>
      </c>
    </row>
    <row r="93" spans="7:9" x14ac:dyDescent="0.25">
      <c r="I93" s="339" t="s">
        <v>2283</v>
      </c>
    </row>
    <row r="94" spans="7:9" x14ac:dyDescent="0.25">
      <c r="I94" s="339" t="s">
        <v>2294</v>
      </c>
    </row>
    <row r="95" spans="7:9" x14ac:dyDescent="0.25">
      <c r="I95" s="339" t="s">
        <v>109</v>
      </c>
    </row>
    <row r="96" spans="7:9" x14ac:dyDescent="0.25">
      <c r="I96" s="339" t="s">
        <v>8</v>
      </c>
    </row>
    <row r="97" spans="9:9" x14ac:dyDescent="0.25">
      <c r="I97" s="340" t="s">
        <v>2282</v>
      </c>
    </row>
  </sheetData>
  <dataValidations count="1">
    <dataValidation type="list" allowBlank="1" showInputMessage="1" showErrorMessage="1" sqref="G20" xr:uid="{32F8731A-2739-40FB-9F13-86B5803DA5B1}">
      <formula1>$G$23:$G$27</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2F00E-8A84-429F-9A28-0BBAA9C21CDC}">
  <sheetPr codeName="Sheet1"/>
  <dimension ref="A1:AA88"/>
  <sheetViews>
    <sheetView workbookViewId="0">
      <selection activeCell="I56" sqref="I56"/>
    </sheetView>
  </sheetViews>
  <sheetFormatPr defaultColWidth="8.85546875" defaultRowHeight="15" x14ac:dyDescent="0.25"/>
  <cols>
    <col min="1" max="1" width="31" style="1" customWidth="1"/>
    <col min="2" max="2" width="10.5703125" style="1" bestFit="1" customWidth="1"/>
    <col min="3" max="3" width="10.42578125" style="1" customWidth="1"/>
    <col min="4" max="4" width="9.42578125" style="1" customWidth="1"/>
    <col min="5" max="5" width="12.28515625" style="1" customWidth="1"/>
    <col min="6" max="6" width="15.140625" style="1" customWidth="1"/>
    <col min="7" max="16384" width="8.85546875" style="1"/>
  </cols>
  <sheetData>
    <row r="1" spans="1:3" x14ac:dyDescent="0.25">
      <c r="A1" s="2"/>
    </row>
    <row r="2" spans="1:3" x14ac:dyDescent="0.25">
      <c r="A2" s="2"/>
    </row>
    <row r="3" spans="1:3" x14ac:dyDescent="0.25">
      <c r="A3" s="3" t="s">
        <v>0</v>
      </c>
    </row>
    <row r="4" spans="1:3" x14ac:dyDescent="0.25">
      <c r="A4" t="s">
        <v>1</v>
      </c>
      <c r="B4">
        <v>1.8</v>
      </c>
      <c r="C4" t="s">
        <v>2</v>
      </c>
    </row>
    <row r="5" spans="1:3" ht="6" customHeight="1" x14ac:dyDescent="0.25"/>
    <row r="6" spans="1:3" x14ac:dyDescent="0.25">
      <c r="A6" t="s">
        <v>3</v>
      </c>
      <c r="B6">
        <v>0.38</v>
      </c>
      <c r="C6" t="s">
        <v>2</v>
      </c>
    </row>
    <row r="8" spans="1:3" x14ac:dyDescent="0.25">
      <c r="A8" t="s">
        <v>11</v>
      </c>
      <c r="B8" t="s">
        <v>2998</v>
      </c>
    </row>
    <row r="9" spans="1:3" x14ac:dyDescent="0.25">
      <c r="A9" s="341" t="str">
        <f>General!G66</f>
        <v>b</v>
      </c>
      <c r="B9">
        <v>680</v>
      </c>
      <c r="C9" s="1" t="s">
        <v>2875</v>
      </c>
    </row>
    <row r="10" spans="1:3" x14ac:dyDescent="0.25">
      <c r="A10" s="341" t="str">
        <f>General!G67</f>
        <v>bd</v>
      </c>
      <c r="B10">
        <v>680</v>
      </c>
      <c r="C10" s="1" t="s">
        <v>2875</v>
      </c>
    </row>
    <row r="11" spans="1:3" x14ac:dyDescent="0.25">
      <c r="A11" s="341" t="str">
        <f>General!G68</f>
        <v>f</v>
      </c>
      <c r="B11">
        <v>680</v>
      </c>
      <c r="C11" s="1" t="s">
        <v>2875</v>
      </c>
    </row>
    <row r="12" spans="1:3" x14ac:dyDescent="0.25">
      <c r="A12" s="341" t="str">
        <f>General!G69</f>
        <v>h</v>
      </c>
      <c r="B12">
        <v>680</v>
      </c>
      <c r="C12" s="1" t="s">
        <v>2875</v>
      </c>
    </row>
    <row r="13" spans="1:3" x14ac:dyDescent="0.25">
      <c r="A13" s="341" t="str">
        <f>General!G70</f>
        <v>i</v>
      </c>
      <c r="B13">
        <v>680</v>
      </c>
      <c r="C13" s="1" t="s">
        <v>2875</v>
      </c>
    </row>
    <row r="14" spans="1:3" x14ac:dyDescent="0.25">
      <c r="A14" s="341" t="str">
        <f>General!G71</f>
        <v>k</v>
      </c>
      <c r="B14">
        <v>680</v>
      </c>
      <c r="C14" s="1" t="s">
        <v>2875</v>
      </c>
    </row>
    <row r="15" spans="1:3" x14ac:dyDescent="0.25">
      <c r="A15" s="341" t="str">
        <f>General!G72</f>
        <v>l</v>
      </c>
      <c r="B15">
        <v>680</v>
      </c>
      <c r="C15" s="1" t="s">
        <v>2875</v>
      </c>
    </row>
    <row r="16" spans="1:3" x14ac:dyDescent="0.25">
      <c r="A16" s="341" t="str">
        <f>General!G73</f>
        <v>lf</v>
      </c>
      <c r="B16">
        <v>680</v>
      </c>
      <c r="C16" s="1" t="s">
        <v>2875</v>
      </c>
    </row>
    <row r="17" spans="1:3" x14ac:dyDescent="0.25">
      <c r="A17" s="341" t="str">
        <f>General!G74</f>
        <v>ms</v>
      </c>
      <c r="B17">
        <v>680</v>
      </c>
      <c r="C17" s="1" t="s">
        <v>2875</v>
      </c>
    </row>
    <row r="18" spans="1:3" x14ac:dyDescent="0.25">
      <c r="A18" s="341" t="str">
        <f>General!G75</f>
        <v>o</v>
      </c>
      <c r="B18">
        <v>680</v>
      </c>
      <c r="C18" s="1" t="s">
        <v>2875</v>
      </c>
    </row>
    <row r="19" spans="1:3" x14ac:dyDescent="0.25">
      <c r="A19" s="341" t="str">
        <f>General!G76</f>
        <v>od</v>
      </c>
      <c r="B19">
        <v>680</v>
      </c>
      <c r="C19" s="1" t="s">
        <v>2875</v>
      </c>
    </row>
    <row r="20" spans="1:3" x14ac:dyDescent="0.25">
      <c r="A20" s="341" t="str">
        <f>General!G77</f>
        <v>of</v>
      </c>
      <c r="B20">
        <v>680</v>
      </c>
      <c r="C20" s="1" t="s">
        <v>2875</v>
      </c>
    </row>
    <row r="21" spans="1:3" x14ac:dyDescent="0.25">
      <c r="A21" s="341" t="str">
        <f>General!G78</f>
        <v>r</v>
      </c>
      <c r="B21">
        <v>680</v>
      </c>
      <c r="C21" s="1" t="s">
        <v>2875</v>
      </c>
    </row>
    <row r="22" spans="1:3" x14ac:dyDescent="0.25">
      <c r="A22" s="341" t="str">
        <f>General!G79</f>
        <v>rd</v>
      </c>
      <c r="B22">
        <v>680</v>
      </c>
      <c r="C22" s="1" t="s">
        <v>2875</v>
      </c>
    </row>
    <row r="23" spans="1:3" x14ac:dyDescent="0.25">
      <c r="A23" s="341" t="str">
        <f>General!G80</f>
        <v>v</v>
      </c>
      <c r="B23">
        <v>680</v>
      </c>
      <c r="C23" s="1" t="s">
        <v>2875</v>
      </c>
    </row>
    <row r="24" spans="1:3" x14ac:dyDescent="0.25">
      <c r="A24" s="341" t="str">
        <f>General!G81</f>
        <v>w</v>
      </c>
      <c r="B24">
        <v>680</v>
      </c>
      <c r="C24" s="1" t="s">
        <v>2875</v>
      </c>
    </row>
    <row r="25" spans="1:3" x14ac:dyDescent="0.25">
      <c r="A25" s="341" t="str">
        <f>General!G82</f>
        <v>wd</v>
      </c>
      <c r="B25">
        <v>680</v>
      </c>
      <c r="C25" s="1" t="s">
        <v>2875</v>
      </c>
    </row>
    <row r="26" spans="1:3" x14ac:dyDescent="0.25">
      <c r="A26" s="341" t="str">
        <f>General!G83</f>
        <v>z</v>
      </c>
      <c r="B26">
        <v>680</v>
      </c>
      <c r="C26" s="1" t="s">
        <v>2875</v>
      </c>
    </row>
    <row r="27" spans="1:3" x14ac:dyDescent="0.25">
      <c r="A27" s="341" t="str">
        <f>General!G84</f>
        <v>zd</v>
      </c>
      <c r="B27">
        <v>680</v>
      </c>
      <c r="C27" s="1" t="s">
        <v>2875</v>
      </c>
    </row>
    <row r="29" spans="1:3" x14ac:dyDescent="0.25">
      <c r="A29" t="s">
        <v>12</v>
      </c>
      <c r="B29">
        <v>100</v>
      </c>
      <c r="C29" t="s">
        <v>13</v>
      </c>
    </row>
    <row r="30" spans="1:3" ht="4.9000000000000004" customHeight="1" x14ac:dyDescent="0.25"/>
    <row r="31" spans="1:3" x14ac:dyDescent="0.25">
      <c r="A31" s="1" t="s">
        <v>18</v>
      </c>
    </row>
    <row r="32" spans="1:3" x14ac:dyDescent="0.25">
      <c r="A32" t="s">
        <v>14</v>
      </c>
      <c r="B32">
        <v>60</v>
      </c>
      <c r="C32" s="1" t="s">
        <v>13</v>
      </c>
    </row>
    <row r="33" spans="1:11" ht="6" customHeight="1" x14ac:dyDescent="0.25"/>
    <row r="34" spans="1:11" x14ac:dyDescent="0.25">
      <c r="A34" t="s">
        <v>15</v>
      </c>
      <c r="B34">
        <v>35</v>
      </c>
      <c r="C34" s="1" t="s">
        <v>17</v>
      </c>
    </row>
    <row r="35" spans="1:11" ht="6" customHeight="1" x14ac:dyDescent="0.25"/>
    <row r="36" spans="1:11" x14ac:dyDescent="0.25">
      <c r="A36" t="s">
        <v>16</v>
      </c>
      <c r="B36">
        <v>15</v>
      </c>
      <c r="C36" s="1" t="s">
        <v>17</v>
      </c>
    </row>
    <row r="38" spans="1:11" x14ac:dyDescent="0.25">
      <c r="A38" s="3" t="s">
        <v>84</v>
      </c>
    </row>
    <row r="39" spans="1:11" x14ac:dyDescent="0.25">
      <c r="A39" s="6" t="s">
        <v>83</v>
      </c>
      <c r="B39" s="6">
        <v>15</v>
      </c>
      <c r="C39" s="1" t="s">
        <v>17</v>
      </c>
    </row>
    <row r="40" spans="1:11" ht="6.6" customHeight="1" x14ac:dyDescent="0.25">
      <c r="A40" s="3"/>
    </row>
    <row r="41" spans="1:11" x14ac:dyDescent="0.25">
      <c r="A41" s="6" t="s">
        <v>82</v>
      </c>
      <c r="B41" s="6">
        <v>20</v>
      </c>
      <c r="C41" s="1" t="s">
        <v>17</v>
      </c>
    </row>
    <row r="42" spans="1:11" ht="9" customHeight="1" x14ac:dyDescent="0.25"/>
    <row r="43" spans="1:11" ht="15" customHeight="1" x14ac:dyDescent="0.25">
      <c r="A43" s="3" t="s">
        <v>58</v>
      </c>
    </row>
    <row r="44" spans="1:11" x14ac:dyDescent="0.25">
      <c r="A44" t="s">
        <v>68</v>
      </c>
      <c r="B44">
        <v>3.5</v>
      </c>
    </row>
    <row r="46" spans="1:11" x14ac:dyDescent="0.25">
      <c r="A46" t="s">
        <v>80</v>
      </c>
      <c r="B46" s="381">
        <f>MIN(364,INT((C46 - DATE(YEAR(C46),1,1))))</f>
        <v>226</v>
      </c>
      <c r="C46" s="4">
        <v>43692</v>
      </c>
    </row>
    <row r="48" spans="1:11" x14ac:dyDescent="0.25">
      <c r="A48" s="1" t="s">
        <v>2244</v>
      </c>
      <c r="B48">
        <v>50</v>
      </c>
      <c r="K48" s="1" t="s">
        <v>2245</v>
      </c>
    </row>
    <row r="49" spans="1:27" x14ac:dyDescent="0.25">
      <c r="A49" s="3"/>
      <c r="B49" s="3"/>
      <c r="C49" s="3"/>
      <c r="M49" s="609" t="s">
        <v>2295</v>
      </c>
      <c r="N49" s="609"/>
      <c r="O49" s="609"/>
      <c r="P49" s="609"/>
      <c r="Q49" s="609"/>
      <c r="R49" s="609" t="s">
        <v>2299</v>
      </c>
      <c r="S49" s="609"/>
      <c r="T49" s="609"/>
      <c r="U49" s="609"/>
      <c r="V49" s="609"/>
      <c r="W49" s="609" t="s">
        <v>2300</v>
      </c>
      <c r="X49" s="609"/>
      <c r="Y49" s="609"/>
      <c r="Z49" s="609"/>
      <c r="AA49" s="609"/>
    </row>
    <row r="50" spans="1:27" x14ac:dyDescent="0.25">
      <c r="A50" s="3"/>
      <c r="B50" s="3"/>
      <c r="C50" s="3"/>
      <c r="L50" s="1" t="s">
        <v>2301</v>
      </c>
      <c r="M50" t="s">
        <v>2296</v>
      </c>
      <c r="N50" t="s">
        <v>2296</v>
      </c>
      <c r="O50" t="s">
        <v>2296</v>
      </c>
      <c r="P50" t="s">
        <v>2296</v>
      </c>
      <c r="Q50" t="s">
        <v>2296</v>
      </c>
      <c r="R50" t="s">
        <v>2298</v>
      </c>
      <c r="S50" t="s">
        <v>2298</v>
      </c>
      <c r="T50" t="s">
        <v>2298</v>
      </c>
      <c r="U50" t="s">
        <v>2298</v>
      </c>
      <c r="V50" t="s">
        <v>2298</v>
      </c>
      <c r="W50" t="s">
        <v>2297</v>
      </c>
      <c r="X50" t="s">
        <v>2297</v>
      </c>
      <c r="Y50" t="s">
        <v>2297</v>
      </c>
      <c r="Z50" t="s">
        <v>2297</v>
      </c>
      <c r="AA50" t="s">
        <v>2297</v>
      </c>
    </row>
    <row r="51" spans="1:27" x14ac:dyDescent="0.25">
      <c r="A51" t="s">
        <v>59</v>
      </c>
      <c r="B51" t="s">
        <v>3253</v>
      </c>
      <c r="C51" t="s">
        <v>3255</v>
      </c>
      <c r="D51" t="s">
        <v>2246</v>
      </c>
      <c r="E51" t="s">
        <v>64</v>
      </c>
      <c r="F51" t="s">
        <v>65</v>
      </c>
      <c r="G51" t="s">
        <v>3227</v>
      </c>
      <c r="H51" t="s">
        <v>66</v>
      </c>
      <c r="I51" t="s">
        <v>67</v>
      </c>
      <c r="J51" t="s">
        <v>73</v>
      </c>
      <c r="L51" s="1" t="s">
        <v>2243</v>
      </c>
      <c r="M51">
        <v>10</v>
      </c>
      <c r="N51">
        <v>30</v>
      </c>
      <c r="O51">
        <v>50</v>
      </c>
      <c r="P51">
        <v>70</v>
      </c>
      <c r="Q51">
        <v>90</v>
      </c>
      <c r="R51">
        <v>10</v>
      </c>
      <c r="S51">
        <v>30</v>
      </c>
      <c r="T51">
        <v>50</v>
      </c>
      <c r="U51">
        <v>70</v>
      </c>
      <c r="V51">
        <v>90</v>
      </c>
      <c r="W51">
        <v>10</v>
      </c>
      <c r="X51">
        <v>30</v>
      </c>
      <c r="Y51">
        <v>50</v>
      </c>
      <c r="Z51">
        <v>70</v>
      </c>
      <c r="AA51">
        <v>90</v>
      </c>
    </row>
    <row r="52" spans="1:27" x14ac:dyDescent="0.25">
      <c r="A52" s="341" t="str">
        <f>General!G66</f>
        <v>b</v>
      </c>
      <c r="B52" s="379" t="b">
        <v>1</v>
      </c>
      <c r="C52" s="379" t="b">
        <v>1</v>
      </c>
      <c r="D52" s="379">
        <v>0.1</v>
      </c>
      <c r="E52" s="379">
        <v>0.7</v>
      </c>
      <c r="F52" s="378">
        <f t="shared" ref="F52:F66" si="0">1-E52</f>
        <v>0.30000000000000004</v>
      </c>
      <c r="G52" s="380" t="b">
        <v>1</v>
      </c>
      <c r="H52" s="380">
        <v>0.36</v>
      </c>
      <c r="I52" s="380">
        <v>14.65</v>
      </c>
      <c r="J52" s="380">
        <v>1.5</v>
      </c>
      <c r="L52" t="str">
        <f t="shared" ref="L52:L70" si="1">A52</f>
        <v>b</v>
      </c>
      <c r="M52" s="349">
        <v>246</v>
      </c>
      <c r="N52" s="349">
        <v>282</v>
      </c>
      <c r="O52" s="349">
        <v>305</v>
      </c>
      <c r="P52" s="349">
        <v>332</v>
      </c>
      <c r="Q52" s="349">
        <v>368</v>
      </c>
      <c r="R52" s="344">
        <v>0</v>
      </c>
      <c r="S52" s="344">
        <v>0</v>
      </c>
      <c r="T52" s="344">
        <v>0</v>
      </c>
      <c r="U52" s="344">
        <v>0</v>
      </c>
      <c r="V52" s="344">
        <v>0</v>
      </c>
      <c r="W52" s="344">
        <f>Y52*0.65</f>
        <v>97.5</v>
      </c>
      <c r="X52" s="344">
        <f>Y52*0.8</f>
        <v>120</v>
      </c>
      <c r="Y52" s="344">
        <v>150</v>
      </c>
      <c r="Z52" s="344">
        <f>Y52*1.2</f>
        <v>180</v>
      </c>
      <c r="AA52" s="344">
        <f>Y52*1.35</f>
        <v>202.5</v>
      </c>
    </row>
    <row r="53" spans="1:27" x14ac:dyDescent="0.25">
      <c r="A53" s="341" t="str">
        <f>General!G67</f>
        <v>bd</v>
      </c>
      <c r="B53" s="379" t="b">
        <v>1</v>
      </c>
      <c r="C53" s="379" t="b">
        <v>1</v>
      </c>
      <c r="D53" s="376">
        <f t="shared" ref="D53:J53" si="2">D52</f>
        <v>0.1</v>
      </c>
      <c r="E53" s="376">
        <f t="shared" si="2"/>
        <v>0.7</v>
      </c>
      <c r="F53" s="376">
        <f t="shared" si="2"/>
        <v>0.30000000000000004</v>
      </c>
      <c r="G53" s="380" t="b">
        <v>1</v>
      </c>
      <c r="H53" s="376">
        <f t="shared" si="2"/>
        <v>0.36</v>
      </c>
      <c r="I53" s="376">
        <f t="shared" si="2"/>
        <v>14.65</v>
      </c>
      <c r="J53" s="376">
        <f t="shared" si="2"/>
        <v>1.5</v>
      </c>
      <c r="L53" t="str">
        <f t="shared" si="1"/>
        <v>bd</v>
      </c>
      <c r="M53" s="376">
        <f>M52</f>
        <v>246</v>
      </c>
      <c r="N53" s="376">
        <f t="shared" ref="N53:Q53" si="3">N52</f>
        <v>282</v>
      </c>
      <c r="O53" s="376">
        <f t="shared" si="3"/>
        <v>305</v>
      </c>
      <c r="P53" s="376">
        <f t="shared" si="3"/>
        <v>332</v>
      </c>
      <c r="Q53" s="376">
        <f t="shared" si="3"/>
        <v>368</v>
      </c>
      <c r="R53" s="376">
        <f t="shared" ref="R53:AA53" si="4">R52</f>
        <v>0</v>
      </c>
      <c r="S53" s="376">
        <f t="shared" ref="S53:V53" si="5">S52</f>
        <v>0</v>
      </c>
      <c r="T53" s="376">
        <f t="shared" si="5"/>
        <v>0</v>
      </c>
      <c r="U53" s="376">
        <f t="shared" si="5"/>
        <v>0</v>
      </c>
      <c r="V53" s="376">
        <f t="shared" si="5"/>
        <v>0</v>
      </c>
      <c r="W53" s="376">
        <f t="shared" si="4"/>
        <v>97.5</v>
      </c>
      <c r="X53" s="376">
        <f t="shared" ref="X53:Z53" si="6">X52</f>
        <v>120</v>
      </c>
      <c r="Y53" s="376">
        <f t="shared" si="4"/>
        <v>150</v>
      </c>
      <c r="Z53" s="376">
        <f t="shared" si="6"/>
        <v>180</v>
      </c>
      <c r="AA53" s="376">
        <f t="shared" si="4"/>
        <v>202.5</v>
      </c>
    </row>
    <row r="54" spans="1:27" x14ac:dyDescent="0.25">
      <c r="A54" s="341" t="str">
        <f>General!G68</f>
        <v>f</v>
      </c>
      <c r="B54" s="379" t="b">
        <v>1</v>
      </c>
      <c r="C54" s="379" t="b">
        <v>1</v>
      </c>
      <c r="D54" s="379">
        <v>0</v>
      </c>
      <c r="E54" s="379">
        <v>1</v>
      </c>
      <c r="F54" s="378">
        <f t="shared" si="0"/>
        <v>0</v>
      </c>
      <c r="G54" s="380" t="b">
        <v>1</v>
      </c>
      <c r="H54" s="380">
        <v>0.36</v>
      </c>
      <c r="I54" s="380">
        <v>17.05</v>
      </c>
      <c r="J54" s="380">
        <v>1.5</v>
      </c>
      <c r="L54" t="str">
        <f t="shared" si="1"/>
        <v>f</v>
      </c>
      <c r="M54" s="376">
        <f>M58</f>
        <v>289</v>
      </c>
      <c r="N54" s="376">
        <f t="shared" ref="N54:Q54" si="7">N58</f>
        <v>329</v>
      </c>
      <c r="O54" s="376">
        <f t="shared" si="7"/>
        <v>352</v>
      </c>
      <c r="P54" s="376">
        <f t="shared" si="7"/>
        <v>372</v>
      </c>
      <c r="Q54" s="376">
        <f t="shared" si="7"/>
        <v>434</v>
      </c>
      <c r="R54" s="344">
        <v>0</v>
      </c>
      <c r="S54" s="344">
        <v>0</v>
      </c>
      <c r="T54" s="344">
        <v>0</v>
      </c>
      <c r="U54" s="344">
        <v>0</v>
      </c>
      <c r="V54" s="344">
        <v>0</v>
      </c>
      <c r="W54" s="344">
        <f t="shared" ref="W54:W61" si="8">Y54*0.65</f>
        <v>97.5</v>
      </c>
      <c r="X54" s="344">
        <f t="shared" ref="X54:X61" si="9">Y54*0.8</f>
        <v>120</v>
      </c>
      <c r="Y54" s="344">
        <v>150</v>
      </c>
      <c r="Z54" s="344">
        <f t="shared" ref="Z54:Z61" si="10">Y54*1.2</f>
        <v>180</v>
      </c>
      <c r="AA54" s="344">
        <f t="shared" ref="AA54:AA61" si="11">Y54*1.35</f>
        <v>202.5</v>
      </c>
    </row>
    <row r="55" spans="1:27" x14ac:dyDescent="0.25">
      <c r="A55" s="341" t="str">
        <f>General!G69</f>
        <v>h</v>
      </c>
      <c r="B55" s="379" t="b">
        <v>1</v>
      </c>
      <c r="C55" s="379" t="b">
        <v>1</v>
      </c>
      <c r="D55" s="379">
        <v>0</v>
      </c>
      <c r="E55" s="379">
        <v>1</v>
      </c>
      <c r="F55" s="378">
        <f t="shared" si="0"/>
        <v>0</v>
      </c>
      <c r="G55" s="380" t="b">
        <v>1</v>
      </c>
      <c r="H55" s="380">
        <v>0.5</v>
      </c>
      <c r="I55" s="380">
        <v>1.5</v>
      </c>
      <c r="J55" s="380">
        <v>1.5</v>
      </c>
      <c r="L55" t="str">
        <f t="shared" si="1"/>
        <v>h</v>
      </c>
      <c r="M55" s="376">
        <f>M61</f>
        <v>245.65</v>
      </c>
      <c r="N55" s="376">
        <f>N61</f>
        <v>279.64999999999998</v>
      </c>
      <c r="O55" s="376">
        <f>O61</f>
        <v>299.2</v>
      </c>
      <c r="P55" s="376">
        <f>P61</f>
        <v>316.2</v>
      </c>
      <c r="Q55" s="376">
        <f>Q61</f>
        <v>368.9</v>
      </c>
      <c r="R55" s="344">
        <v>0</v>
      </c>
      <c r="S55" s="344">
        <v>0</v>
      </c>
      <c r="T55" s="344">
        <v>0</v>
      </c>
      <c r="U55" s="344">
        <v>0</v>
      </c>
      <c r="V55" s="344">
        <v>0</v>
      </c>
      <c r="W55" s="344">
        <f t="shared" si="8"/>
        <v>97.5</v>
      </c>
      <c r="X55" s="344">
        <f t="shared" si="9"/>
        <v>120</v>
      </c>
      <c r="Y55" s="344">
        <v>150</v>
      </c>
      <c r="Z55" s="344">
        <f t="shared" si="10"/>
        <v>180</v>
      </c>
      <c r="AA55" s="344">
        <f t="shared" si="11"/>
        <v>202.5</v>
      </c>
    </row>
    <row r="56" spans="1:27" x14ac:dyDescent="0.25">
      <c r="A56" s="341" t="str">
        <f>General!G70</f>
        <v>i</v>
      </c>
      <c r="B56" s="379" t="b">
        <v>1</v>
      </c>
      <c r="C56" s="379" t="b">
        <v>1</v>
      </c>
      <c r="D56" s="379">
        <v>0</v>
      </c>
      <c r="E56" s="379">
        <v>1</v>
      </c>
      <c r="F56" s="378">
        <f t="shared" si="0"/>
        <v>0</v>
      </c>
      <c r="G56" s="380" t="b">
        <v>1</v>
      </c>
      <c r="H56" s="380">
        <v>0.36</v>
      </c>
      <c r="I56" s="380">
        <v>14.65</v>
      </c>
      <c r="J56" s="380">
        <v>1.5</v>
      </c>
      <c r="L56" t="str">
        <f t="shared" si="1"/>
        <v>i</v>
      </c>
      <c r="M56" s="376">
        <f>M58</f>
        <v>289</v>
      </c>
      <c r="N56" s="376">
        <f t="shared" ref="N56:Q56" si="12">N58</f>
        <v>329</v>
      </c>
      <c r="O56" s="376">
        <f t="shared" si="12"/>
        <v>352</v>
      </c>
      <c r="P56" s="376">
        <f t="shared" si="12"/>
        <v>372</v>
      </c>
      <c r="Q56" s="376">
        <f t="shared" si="12"/>
        <v>434</v>
      </c>
      <c r="R56" s="344">
        <v>0</v>
      </c>
      <c r="S56" s="344">
        <v>0</v>
      </c>
      <c r="T56" s="344">
        <v>0</v>
      </c>
      <c r="U56" s="344">
        <v>0</v>
      </c>
      <c r="V56" s="344">
        <v>0</v>
      </c>
      <c r="W56" s="344">
        <f t="shared" si="8"/>
        <v>97.5</v>
      </c>
      <c r="X56" s="344">
        <f t="shared" si="9"/>
        <v>120</v>
      </c>
      <c r="Y56" s="344">
        <v>150</v>
      </c>
      <c r="Z56" s="344">
        <f t="shared" si="10"/>
        <v>180</v>
      </c>
      <c r="AA56" s="344">
        <f t="shared" si="11"/>
        <v>202.5</v>
      </c>
    </row>
    <row r="57" spans="1:27" x14ac:dyDescent="0.25">
      <c r="A57" s="341" t="str">
        <f>General!G71</f>
        <v>k</v>
      </c>
      <c r="B57" s="379" t="b">
        <v>1</v>
      </c>
      <c r="C57" s="379" t="b">
        <v>1</v>
      </c>
      <c r="D57" s="379">
        <v>0</v>
      </c>
      <c r="E57" s="379">
        <v>1</v>
      </c>
      <c r="F57" s="378">
        <f t="shared" si="0"/>
        <v>0</v>
      </c>
      <c r="G57" s="380" t="b">
        <v>1</v>
      </c>
      <c r="H57" s="380">
        <v>0.36</v>
      </c>
      <c r="I57" s="380">
        <v>17.05</v>
      </c>
      <c r="J57" s="380">
        <v>1.5</v>
      </c>
      <c r="L57" t="str">
        <f t="shared" si="1"/>
        <v>k</v>
      </c>
      <c r="M57" s="376">
        <f>M58</f>
        <v>289</v>
      </c>
      <c r="N57" s="376">
        <f t="shared" ref="N57:Q57" si="13">N58</f>
        <v>329</v>
      </c>
      <c r="O57" s="376">
        <f t="shared" si="13"/>
        <v>352</v>
      </c>
      <c r="P57" s="376">
        <f t="shared" si="13"/>
        <v>372</v>
      </c>
      <c r="Q57" s="376">
        <f t="shared" si="13"/>
        <v>434</v>
      </c>
      <c r="R57" s="344">
        <v>0</v>
      </c>
      <c r="S57" s="344">
        <v>0</v>
      </c>
      <c r="T57" s="344">
        <v>0</v>
      </c>
      <c r="U57" s="344">
        <v>0</v>
      </c>
      <c r="V57" s="344">
        <v>0</v>
      </c>
      <c r="W57" s="344">
        <f t="shared" si="8"/>
        <v>97.5</v>
      </c>
      <c r="X57" s="344">
        <f t="shared" si="9"/>
        <v>120</v>
      </c>
      <c r="Y57" s="344">
        <v>150</v>
      </c>
      <c r="Z57" s="344">
        <f t="shared" si="10"/>
        <v>180</v>
      </c>
      <c r="AA57" s="344">
        <f t="shared" si="11"/>
        <v>202.5</v>
      </c>
    </row>
    <row r="58" spans="1:27" x14ac:dyDescent="0.25">
      <c r="A58" s="341" t="str">
        <f>General!G72</f>
        <v>l</v>
      </c>
      <c r="B58" s="379" t="b">
        <v>1</v>
      </c>
      <c r="C58" s="379" t="b">
        <v>1</v>
      </c>
      <c r="D58" s="379">
        <v>0</v>
      </c>
      <c r="E58" s="379">
        <v>1</v>
      </c>
      <c r="F58" s="378">
        <f t="shared" si="0"/>
        <v>0</v>
      </c>
      <c r="G58" s="380" t="b">
        <v>1</v>
      </c>
      <c r="H58" s="380">
        <v>0.36</v>
      </c>
      <c r="I58" s="375">
        <v>13.15</v>
      </c>
      <c r="J58" s="380">
        <v>1.5</v>
      </c>
      <c r="L58" t="str">
        <f t="shared" si="1"/>
        <v>l</v>
      </c>
      <c r="M58" s="344">
        <v>289</v>
      </c>
      <c r="N58" s="344">
        <v>329</v>
      </c>
      <c r="O58" s="344">
        <v>352</v>
      </c>
      <c r="P58" s="344">
        <v>372</v>
      </c>
      <c r="Q58" s="344">
        <v>434</v>
      </c>
      <c r="R58" s="344">
        <v>0</v>
      </c>
      <c r="S58" s="344">
        <v>0</v>
      </c>
      <c r="T58" s="344">
        <v>0</v>
      </c>
      <c r="U58" s="344">
        <v>0</v>
      </c>
      <c r="V58" s="344">
        <v>0</v>
      </c>
      <c r="W58" s="344">
        <f t="shared" si="8"/>
        <v>97.5</v>
      </c>
      <c r="X58" s="344">
        <f t="shared" si="9"/>
        <v>120</v>
      </c>
      <c r="Y58" s="344">
        <v>150</v>
      </c>
      <c r="Z58" s="344">
        <f t="shared" si="10"/>
        <v>180</v>
      </c>
      <c r="AA58" s="344">
        <f t="shared" si="11"/>
        <v>202.5</v>
      </c>
    </row>
    <row r="59" spans="1:27" x14ac:dyDescent="0.25">
      <c r="A59" s="341" t="str">
        <f>General!G73</f>
        <v>lf</v>
      </c>
      <c r="B59" s="379" t="b">
        <v>1</v>
      </c>
      <c r="C59" s="379" t="b">
        <v>1</v>
      </c>
      <c r="D59" s="379">
        <v>0</v>
      </c>
      <c r="E59" s="379">
        <v>1</v>
      </c>
      <c r="F59" s="378">
        <f t="shared" ref="F59" si="14">1-E59</f>
        <v>0</v>
      </c>
      <c r="G59" s="380" t="b">
        <v>1</v>
      </c>
      <c r="H59" s="377">
        <f t="shared" ref="H59:J59" si="15">H58</f>
        <v>0.36</v>
      </c>
      <c r="I59" s="377">
        <f t="shared" si="15"/>
        <v>13.15</v>
      </c>
      <c r="J59" s="377">
        <f t="shared" si="15"/>
        <v>1.5</v>
      </c>
      <c r="L59" t="str">
        <f t="shared" ref="L59" si="16">A59</f>
        <v>lf</v>
      </c>
      <c r="M59" s="376">
        <f>M58</f>
        <v>289</v>
      </c>
      <c r="N59" s="376">
        <f t="shared" ref="N59:AA59" si="17">N58</f>
        <v>329</v>
      </c>
      <c r="O59" s="376">
        <f t="shared" si="17"/>
        <v>352</v>
      </c>
      <c r="P59" s="376">
        <f t="shared" si="17"/>
        <v>372</v>
      </c>
      <c r="Q59" s="376">
        <f t="shared" si="17"/>
        <v>434</v>
      </c>
      <c r="R59" s="376">
        <f t="shared" si="17"/>
        <v>0</v>
      </c>
      <c r="S59" s="376">
        <f t="shared" si="17"/>
        <v>0</v>
      </c>
      <c r="T59" s="376">
        <f t="shared" si="17"/>
        <v>0</v>
      </c>
      <c r="U59" s="376">
        <f t="shared" si="17"/>
        <v>0</v>
      </c>
      <c r="V59" s="376">
        <f t="shared" si="17"/>
        <v>0</v>
      </c>
      <c r="W59" s="376">
        <f t="shared" si="17"/>
        <v>97.5</v>
      </c>
      <c r="X59" s="376">
        <f t="shared" si="17"/>
        <v>120</v>
      </c>
      <c r="Y59" s="376">
        <f t="shared" si="17"/>
        <v>150</v>
      </c>
      <c r="Z59" s="376">
        <f t="shared" si="17"/>
        <v>180</v>
      </c>
      <c r="AA59" s="376">
        <f t="shared" si="17"/>
        <v>202.5</v>
      </c>
    </row>
    <row r="60" spans="1:27" x14ac:dyDescent="0.25">
      <c r="A60" s="341" t="str">
        <f>General!G74</f>
        <v>ms</v>
      </c>
      <c r="B60" s="379" t="b">
        <v>1</v>
      </c>
      <c r="C60" s="379" t="b">
        <v>1</v>
      </c>
      <c r="D60" s="379">
        <v>0</v>
      </c>
      <c r="E60" s="379">
        <v>1</v>
      </c>
      <c r="F60" s="378">
        <f t="shared" ref="F60" si="18">1-E60</f>
        <v>0</v>
      </c>
      <c r="G60" s="380" t="b">
        <v>0</v>
      </c>
      <c r="H60" s="380">
        <v>0.36</v>
      </c>
      <c r="I60" s="380">
        <v>14.65</v>
      </c>
      <c r="J60" s="380">
        <v>1.5</v>
      </c>
      <c r="L60" t="str">
        <f t="shared" si="1"/>
        <v>ms</v>
      </c>
      <c r="M60" s="376">
        <f>M67*$E$67+M67*(1-$D$67)*$F$67</f>
        <v>268.52</v>
      </c>
      <c r="N60" s="376">
        <f t="shared" ref="N60:Q60" si="19">N67*$E$67+N67*(1-$D$67)*$F$67</f>
        <v>303.8</v>
      </c>
      <c r="O60" s="376">
        <f t="shared" si="19"/>
        <v>336.14</v>
      </c>
      <c r="P60" s="376">
        <f t="shared" si="19"/>
        <v>375.34000000000003</v>
      </c>
      <c r="Q60" s="376">
        <f t="shared" si="19"/>
        <v>410.62</v>
      </c>
      <c r="R60" s="344">
        <v>0</v>
      </c>
      <c r="S60" s="344">
        <v>0</v>
      </c>
      <c r="T60" s="344">
        <v>0</v>
      </c>
      <c r="U60" s="344">
        <v>0</v>
      </c>
      <c r="V60" s="344">
        <v>0</v>
      </c>
      <c r="W60" s="344">
        <f t="shared" si="8"/>
        <v>97.5</v>
      </c>
      <c r="X60" s="344">
        <f t="shared" si="9"/>
        <v>120</v>
      </c>
      <c r="Y60" s="344">
        <v>150</v>
      </c>
      <c r="Z60" s="344">
        <f t="shared" si="10"/>
        <v>180</v>
      </c>
      <c r="AA60" s="344">
        <f t="shared" si="11"/>
        <v>202.5</v>
      </c>
    </row>
    <row r="61" spans="1:27" x14ac:dyDescent="0.25">
      <c r="A61" s="341" t="str">
        <f>General!G75</f>
        <v>o</v>
      </c>
      <c r="B61" s="379" t="b">
        <v>1</v>
      </c>
      <c r="C61" s="379" t="b">
        <v>1</v>
      </c>
      <c r="D61" s="379">
        <v>0</v>
      </c>
      <c r="E61" s="379">
        <v>1</v>
      </c>
      <c r="F61" s="378">
        <f t="shared" si="0"/>
        <v>0</v>
      </c>
      <c r="G61" s="380" t="b">
        <v>1</v>
      </c>
      <c r="H61" s="380">
        <v>0.36</v>
      </c>
      <c r="I61" s="380">
        <v>14.65</v>
      </c>
      <c r="J61" s="380">
        <v>1.5</v>
      </c>
      <c r="L61" t="str">
        <f t="shared" si="1"/>
        <v>o</v>
      </c>
      <c r="M61" s="376">
        <f>0.85*M58</f>
        <v>245.65</v>
      </c>
      <c r="N61" s="376">
        <f>0.85*N58</f>
        <v>279.64999999999998</v>
      </c>
      <c r="O61" s="376">
        <f>0.85*O58</f>
        <v>299.2</v>
      </c>
      <c r="P61" s="376">
        <f>0.85*P58</f>
        <v>316.2</v>
      </c>
      <c r="Q61" s="376">
        <f>0.85*Q58</f>
        <v>368.9</v>
      </c>
      <c r="R61" s="344">
        <v>0</v>
      </c>
      <c r="S61" s="344">
        <v>0</v>
      </c>
      <c r="T61" s="344">
        <v>0</v>
      </c>
      <c r="U61" s="344">
        <v>0</v>
      </c>
      <c r="V61" s="344">
        <v>0</v>
      </c>
      <c r="W61" s="344">
        <f t="shared" si="8"/>
        <v>97.5</v>
      </c>
      <c r="X61" s="344">
        <f t="shared" si="9"/>
        <v>120</v>
      </c>
      <c r="Y61" s="344">
        <v>150</v>
      </c>
      <c r="Z61" s="344">
        <f t="shared" si="10"/>
        <v>180</v>
      </c>
      <c r="AA61" s="344">
        <f t="shared" si="11"/>
        <v>202.5</v>
      </c>
    </row>
    <row r="62" spans="1:27" x14ac:dyDescent="0.25">
      <c r="A62" s="341" t="str">
        <f>General!G76</f>
        <v>od</v>
      </c>
      <c r="B62" s="379" t="b">
        <v>1</v>
      </c>
      <c r="C62" s="379" t="b">
        <v>1</v>
      </c>
      <c r="D62" s="377">
        <f t="shared" ref="D62:J62" si="20">D61</f>
        <v>0</v>
      </c>
      <c r="E62" s="377">
        <f t="shared" si="20"/>
        <v>1</v>
      </c>
      <c r="F62" s="377">
        <f t="shared" si="20"/>
        <v>0</v>
      </c>
      <c r="G62" s="380" t="b">
        <v>1</v>
      </c>
      <c r="H62" s="377">
        <f t="shared" si="20"/>
        <v>0.36</v>
      </c>
      <c r="I62" s="377">
        <f t="shared" si="20"/>
        <v>14.65</v>
      </c>
      <c r="J62" s="377">
        <f t="shared" si="20"/>
        <v>1.5</v>
      </c>
      <c r="L62" t="str">
        <f t="shared" si="1"/>
        <v>od</v>
      </c>
      <c r="M62" s="376">
        <f>M61</f>
        <v>245.65</v>
      </c>
      <c r="N62" s="376">
        <f t="shared" ref="N62:Q62" si="21">N61</f>
        <v>279.64999999999998</v>
      </c>
      <c r="O62" s="376">
        <f t="shared" si="21"/>
        <v>299.2</v>
      </c>
      <c r="P62" s="376">
        <f t="shared" si="21"/>
        <v>316.2</v>
      </c>
      <c r="Q62" s="376">
        <f t="shared" si="21"/>
        <v>368.9</v>
      </c>
      <c r="R62" s="376">
        <f t="shared" ref="R62:AA62" si="22">R61</f>
        <v>0</v>
      </c>
      <c r="S62" s="376">
        <f t="shared" ref="S62:V62" si="23">S61</f>
        <v>0</v>
      </c>
      <c r="T62" s="376">
        <f t="shared" si="23"/>
        <v>0</v>
      </c>
      <c r="U62" s="376">
        <f t="shared" si="23"/>
        <v>0</v>
      </c>
      <c r="V62" s="376">
        <f t="shared" si="23"/>
        <v>0</v>
      </c>
      <c r="W62" s="376">
        <f t="shared" si="22"/>
        <v>97.5</v>
      </c>
      <c r="X62" s="376">
        <f t="shared" ref="X62:Z62" si="24">X61</f>
        <v>120</v>
      </c>
      <c r="Y62" s="376">
        <f t="shared" si="22"/>
        <v>150</v>
      </c>
      <c r="Z62" s="376">
        <f t="shared" si="24"/>
        <v>180</v>
      </c>
      <c r="AA62" s="376">
        <f t="shared" si="22"/>
        <v>202.5</v>
      </c>
    </row>
    <row r="63" spans="1:27" x14ac:dyDescent="0.25">
      <c r="A63" s="341" t="str">
        <f>General!G77</f>
        <v>of</v>
      </c>
      <c r="B63" s="379" t="b">
        <v>1</v>
      </c>
      <c r="C63" s="379" t="b">
        <v>1</v>
      </c>
      <c r="D63" s="377">
        <f t="shared" ref="D63:J65" si="25">D61</f>
        <v>0</v>
      </c>
      <c r="E63" s="377">
        <f t="shared" si="25"/>
        <v>1</v>
      </c>
      <c r="F63" s="377">
        <f t="shared" si="25"/>
        <v>0</v>
      </c>
      <c r="G63" s="380" t="b">
        <v>1</v>
      </c>
      <c r="H63" s="377">
        <f t="shared" si="25"/>
        <v>0.36</v>
      </c>
      <c r="I63" s="377">
        <f t="shared" si="25"/>
        <v>14.65</v>
      </c>
      <c r="J63" s="377">
        <f t="shared" si="25"/>
        <v>1.5</v>
      </c>
      <c r="L63" t="str">
        <f t="shared" si="1"/>
        <v>of</v>
      </c>
      <c r="M63" s="376">
        <f>M61</f>
        <v>245.65</v>
      </c>
      <c r="N63" s="376">
        <f t="shared" ref="N63:Q63" si="26">N61</f>
        <v>279.64999999999998</v>
      </c>
      <c r="O63" s="376">
        <f t="shared" si="26"/>
        <v>299.2</v>
      </c>
      <c r="P63" s="376">
        <f t="shared" si="26"/>
        <v>316.2</v>
      </c>
      <c r="Q63" s="376">
        <f t="shared" si="26"/>
        <v>368.9</v>
      </c>
      <c r="R63" s="376">
        <f t="shared" ref="R63:AA63" si="27">R61</f>
        <v>0</v>
      </c>
      <c r="S63" s="376">
        <f t="shared" ref="S63:V63" si="28">S61</f>
        <v>0</v>
      </c>
      <c r="T63" s="376">
        <f t="shared" si="28"/>
        <v>0</v>
      </c>
      <c r="U63" s="376">
        <f t="shared" si="28"/>
        <v>0</v>
      </c>
      <c r="V63" s="376">
        <f t="shared" si="28"/>
        <v>0</v>
      </c>
      <c r="W63" s="376">
        <f t="shared" si="27"/>
        <v>97.5</v>
      </c>
      <c r="X63" s="376">
        <f t="shared" ref="X63:Z63" si="29">X61</f>
        <v>120</v>
      </c>
      <c r="Y63" s="376">
        <f t="shared" si="27"/>
        <v>150</v>
      </c>
      <c r="Z63" s="376">
        <f t="shared" si="29"/>
        <v>180</v>
      </c>
      <c r="AA63" s="376">
        <f t="shared" si="27"/>
        <v>202.5</v>
      </c>
    </row>
    <row r="64" spans="1:27" x14ac:dyDescent="0.25">
      <c r="A64" s="341" t="str">
        <f>General!G78</f>
        <v>r</v>
      </c>
      <c r="B64" s="379" t="b">
        <v>1</v>
      </c>
      <c r="C64" s="379" t="b">
        <v>1</v>
      </c>
      <c r="D64" s="379">
        <v>0</v>
      </c>
      <c r="E64" s="379">
        <v>1</v>
      </c>
      <c r="F64" s="378">
        <f t="shared" si="0"/>
        <v>0</v>
      </c>
      <c r="G64" s="380" t="b">
        <v>1</v>
      </c>
      <c r="H64" s="380">
        <v>0.36</v>
      </c>
      <c r="I64" s="380">
        <v>20.6</v>
      </c>
      <c r="J64" s="380">
        <v>1.5</v>
      </c>
      <c r="L64" t="str">
        <f t="shared" si="1"/>
        <v>r</v>
      </c>
      <c r="M64" s="344">
        <v>529</v>
      </c>
      <c r="N64" s="344">
        <v>560</v>
      </c>
      <c r="O64" s="344">
        <v>595</v>
      </c>
      <c r="P64" s="344">
        <v>679</v>
      </c>
      <c r="Q64" s="344">
        <v>843</v>
      </c>
      <c r="R64" s="344">
        <v>0</v>
      </c>
      <c r="S64" s="344">
        <v>0</v>
      </c>
      <c r="T64" s="344">
        <v>0</v>
      </c>
      <c r="U64" s="344">
        <v>0</v>
      </c>
      <c r="V64" s="344">
        <v>0</v>
      </c>
      <c r="W64" s="344">
        <f>Y64*0.65</f>
        <v>97.5</v>
      </c>
      <c r="X64" s="344">
        <f>Y64*0.8</f>
        <v>120</v>
      </c>
      <c r="Y64" s="344">
        <v>150</v>
      </c>
      <c r="Z64" s="344">
        <f>Y64*1.2</f>
        <v>180</v>
      </c>
      <c r="AA64" s="344">
        <f>Y64*1.35</f>
        <v>202.5</v>
      </c>
    </row>
    <row r="65" spans="1:27" x14ac:dyDescent="0.25">
      <c r="A65" s="341" t="str">
        <f>General!G79</f>
        <v>rd</v>
      </c>
      <c r="B65" s="379" t="b">
        <v>1</v>
      </c>
      <c r="C65" s="379" t="b">
        <v>1</v>
      </c>
      <c r="D65" s="379">
        <v>0</v>
      </c>
      <c r="E65" s="379">
        <v>1</v>
      </c>
      <c r="F65" s="378">
        <f>1-E65</f>
        <v>0</v>
      </c>
      <c r="G65" s="380" t="b">
        <v>1</v>
      </c>
      <c r="H65" s="377">
        <f t="shared" si="25"/>
        <v>0.36</v>
      </c>
      <c r="I65" s="377">
        <f t="shared" si="25"/>
        <v>14.65</v>
      </c>
      <c r="J65" s="377">
        <f t="shared" si="25"/>
        <v>1.5</v>
      </c>
      <c r="L65" t="str">
        <f t="shared" si="1"/>
        <v>rd</v>
      </c>
      <c r="M65" s="376">
        <f>M64</f>
        <v>529</v>
      </c>
      <c r="N65" s="376">
        <f t="shared" ref="N65:Q65" si="30">N64</f>
        <v>560</v>
      </c>
      <c r="O65" s="376">
        <f t="shared" si="30"/>
        <v>595</v>
      </c>
      <c r="P65" s="376">
        <f t="shared" si="30"/>
        <v>679</v>
      </c>
      <c r="Q65" s="376">
        <f t="shared" si="30"/>
        <v>843</v>
      </c>
      <c r="R65" s="376">
        <f t="shared" ref="R65:AA65" si="31">R$64</f>
        <v>0</v>
      </c>
      <c r="S65" s="376">
        <f t="shared" si="31"/>
        <v>0</v>
      </c>
      <c r="T65" s="376">
        <f t="shared" si="31"/>
        <v>0</v>
      </c>
      <c r="U65" s="376">
        <f t="shared" si="31"/>
        <v>0</v>
      </c>
      <c r="V65" s="376">
        <f t="shared" si="31"/>
        <v>0</v>
      </c>
      <c r="W65" s="376">
        <f t="shared" si="31"/>
        <v>97.5</v>
      </c>
      <c r="X65" s="376">
        <f t="shared" si="31"/>
        <v>120</v>
      </c>
      <c r="Y65" s="376">
        <f t="shared" si="31"/>
        <v>150</v>
      </c>
      <c r="Z65" s="376">
        <f t="shared" si="31"/>
        <v>180</v>
      </c>
      <c r="AA65" s="376">
        <f t="shared" si="31"/>
        <v>202.5</v>
      </c>
    </row>
    <row r="66" spans="1:27" x14ac:dyDescent="0.25">
      <c r="A66" s="341" t="str">
        <f>General!G80</f>
        <v>v</v>
      </c>
      <c r="B66" s="379" t="b">
        <v>1</v>
      </c>
      <c r="C66" s="379" t="b">
        <v>1</v>
      </c>
      <c r="D66" s="379">
        <v>0</v>
      </c>
      <c r="E66" s="379">
        <v>1</v>
      </c>
      <c r="F66" s="378">
        <f t="shared" si="0"/>
        <v>0</v>
      </c>
      <c r="G66" s="380" t="b">
        <v>1</v>
      </c>
      <c r="H66" s="380">
        <v>0.36</v>
      </c>
      <c r="I66" s="375">
        <v>15.85</v>
      </c>
      <c r="J66" s="380">
        <v>1.5</v>
      </c>
      <c r="L66" t="str">
        <f t="shared" si="1"/>
        <v>v</v>
      </c>
      <c r="M66" s="376">
        <f>M58</f>
        <v>289</v>
      </c>
      <c r="N66" s="376">
        <f>N58</f>
        <v>329</v>
      </c>
      <c r="O66" s="376">
        <f>O58</f>
        <v>352</v>
      </c>
      <c r="P66" s="376">
        <f>P58</f>
        <v>372</v>
      </c>
      <c r="Q66" s="376">
        <f>Q58</f>
        <v>434</v>
      </c>
      <c r="R66" s="344">
        <v>0</v>
      </c>
      <c r="S66" s="344">
        <v>0</v>
      </c>
      <c r="T66" s="344">
        <v>0</v>
      </c>
      <c r="U66" s="344">
        <v>0</v>
      </c>
      <c r="V66" s="344">
        <v>0</v>
      </c>
      <c r="W66" s="344">
        <f>Y66*0.65</f>
        <v>97.5</v>
      </c>
      <c r="X66" s="344">
        <f>Y66*0.8</f>
        <v>120</v>
      </c>
      <c r="Y66" s="344">
        <v>150</v>
      </c>
      <c r="Z66" s="344">
        <f>Y66*1.2</f>
        <v>180</v>
      </c>
      <c r="AA66" s="344">
        <f>Y66*1.35</f>
        <v>202.5</v>
      </c>
    </row>
    <row r="67" spans="1:27" x14ac:dyDescent="0.25">
      <c r="A67" s="341" t="str">
        <f>General!G81</f>
        <v>w</v>
      </c>
      <c r="B67" s="379" t="b">
        <v>1</v>
      </c>
      <c r="C67" s="379" t="b">
        <v>1</v>
      </c>
      <c r="D67" s="379">
        <v>0.1</v>
      </c>
      <c r="E67" s="379">
        <v>0.8</v>
      </c>
      <c r="F67" s="378">
        <f>1-E67</f>
        <v>0.19999999999999996</v>
      </c>
      <c r="G67" s="380" t="b">
        <v>1</v>
      </c>
      <c r="H67" s="380">
        <v>0.36</v>
      </c>
      <c r="I67" s="375">
        <v>13.15</v>
      </c>
      <c r="J67" s="380">
        <v>1.5</v>
      </c>
      <c r="L67" t="str">
        <f t="shared" si="1"/>
        <v>w</v>
      </c>
      <c r="M67" s="344">
        <v>274</v>
      </c>
      <c r="N67" s="344">
        <v>310</v>
      </c>
      <c r="O67" s="344">
        <v>343</v>
      </c>
      <c r="P67" s="344">
        <v>383</v>
      </c>
      <c r="Q67" s="344">
        <v>419</v>
      </c>
      <c r="R67" s="344">
        <v>0</v>
      </c>
      <c r="S67" s="344">
        <v>0</v>
      </c>
      <c r="T67" s="344">
        <v>0</v>
      </c>
      <c r="U67" s="344">
        <v>0</v>
      </c>
      <c r="V67" s="344">
        <v>0</v>
      </c>
      <c r="W67" s="344">
        <f>Y67*0.65</f>
        <v>97.5</v>
      </c>
      <c r="X67" s="344">
        <f>Y67*0.8</f>
        <v>120</v>
      </c>
      <c r="Y67" s="344">
        <v>150</v>
      </c>
      <c r="Z67" s="344">
        <f>Y67*1.2</f>
        <v>180</v>
      </c>
      <c r="AA67" s="344">
        <f>Y67*1.35</f>
        <v>202.5</v>
      </c>
    </row>
    <row r="68" spans="1:27" x14ac:dyDescent="0.25">
      <c r="A68" s="341" t="str">
        <f>General!G82</f>
        <v>wd</v>
      </c>
      <c r="B68" s="379" t="b">
        <v>1</v>
      </c>
      <c r="C68" s="379" t="b">
        <v>1</v>
      </c>
      <c r="D68" s="377">
        <f t="shared" ref="D68:J70" si="32">D67</f>
        <v>0.1</v>
      </c>
      <c r="E68" s="377">
        <f t="shared" si="32"/>
        <v>0.8</v>
      </c>
      <c r="F68" s="377">
        <f t="shared" si="32"/>
        <v>0.19999999999999996</v>
      </c>
      <c r="G68" s="380" t="b">
        <v>1</v>
      </c>
      <c r="H68" s="377">
        <f t="shared" si="32"/>
        <v>0.36</v>
      </c>
      <c r="I68" s="377">
        <f t="shared" si="32"/>
        <v>13.15</v>
      </c>
      <c r="J68" s="377">
        <f t="shared" si="32"/>
        <v>1.5</v>
      </c>
      <c r="L68" t="str">
        <f t="shared" si="1"/>
        <v>wd</v>
      </c>
      <c r="M68" s="376">
        <f>M67</f>
        <v>274</v>
      </c>
      <c r="N68" s="376">
        <f t="shared" ref="N68:Q68" si="33">N67</f>
        <v>310</v>
      </c>
      <c r="O68" s="376">
        <f t="shared" si="33"/>
        <v>343</v>
      </c>
      <c r="P68" s="376">
        <f t="shared" si="33"/>
        <v>383</v>
      </c>
      <c r="Q68" s="376">
        <f t="shared" si="33"/>
        <v>419</v>
      </c>
      <c r="R68" s="376">
        <f t="shared" ref="R68:AA68" si="34">R67</f>
        <v>0</v>
      </c>
      <c r="S68" s="376">
        <f t="shared" ref="S68:V68" si="35">S67</f>
        <v>0</v>
      </c>
      <c r="T68" s="376">
        <f t="shared" si="35"/>
        <v>0</v>
      </c>
      <c r="U68" s="376">
        <f t="shared" si="35"/>
        <v>0</v>
      </c>
      <c r="V68" s="376">
        <f t="shared" si="35"/>
        <v>0</v>
      </c>
      <c r="W68" s="376">
        <f t="shared" si="34"/>
        <v>97.5</v>
      </c>
      <c r="X68" s="376">
        <f t="shared" ref="X68:Z68" si="36">X67</f>
        <v>120</v>
      </c>
      <c r="Y68" s="376">
        <f t="shared" si="34"/>
        <v>150</v>
      </c>
      <c r="Z68" s="376">
        <f t="shared" si="36"/>
        <v>180</v>
      </c>
      <c r="AA68" s="376">
        <f t="shared" si="34"/>
        <v>202.5</v>
      </c>
    </row>
    <row r="69" spans="1:27" x14ac:dyDescent="0.25">
      <c r="A69" s="341" t="str">
        <f>General!G83</f>
        <v>z</v>
      </c>
      <c r="B69" s="379" t="b">
        <v>1</v>
      </c>
      <c r="C69" s="379" t="b">
        <v>1</v>
      </c>
      <c r="D69" s="379">
        <v>0</v>
      </c>
      <c r="E69" s="379">
        <v>1</v>
      </c>
      <c r="F69" s="378">
        <f>1-E69</f>
        <v>0</v>
      </c>
      <c r="G69" s="380" t="b">
        <v>1</v>
      </c>
      <c r="H69" s="380">
        <v>0.36</v>
      </c>
      <c r="I69" s="380">
        <v>20.6</v>
      </c>
      <c r="J69" s="380">
        <v>1.5</v>
      </c>
      <c r="L69" t="str">
        <f t="shared" si="1"/>
        <v>z</v>
      </c>
      <c r="M69" s="376">
        <f>M64</f>
        <v>529</v>
      </c>
      <c r="N69" s="376">
        <f t="shared" ref="N69:Q69" si="37">N64</f>
        <v>560</v>
      </c>
      <c r="O69" s="376">
        <f t="shared" si="37"/>
        <v>595</v>
      </c>
      <c r="P69" s="376">
        <f t="shared" si="37"/>
        <v>679</v>
      </c>
      <c r="Q69" s="376">
        <f t="shared" si="37"/>
        <v>843</v>
      </c>
      <c r="R69" s="376">
        <f t="shared" ref="R69:AA70" si="38">R$64</f>
        <v>0</v>
      </c>
      <c r="S69" s="376">
        <f t="shared" si="38"/>
        <v>0</v>
      </c>
      <c r="T69" s="376">
        <f t="shared" si="38"/>
        <v>0</v>
      </c>
      <c r="U69" s="376">
        <f t="shared" si="38"/>
        <v>0</v>
      </c>
      <c r="V69" s="376">
        <f t="shared" si="38"/>
        <v>0</v>
      </c>
      <c r="W69" s="376">
        <f t="shared" si="38"/>
        <v>97.5</v>
      </c>
      <c r="X69" s="376">
        <f t="shared" si="38"/>
        <v>120</v>
      </c>
      <c r="Y69" s="376">
        <f t="shared" si="38"/>
        <v>150</v>
      </c>
      <c r="Z69" s="376">
        <f t="shared" si="38"/>
        <v>180</v>
      </c>
      <c r="AA69" s="376">
        <f t="shared" si="38"/>
        <v>202.5</v>
      </c>
    </row>
    <row r="70" spans="1:27" x14ac:dyDescent="0.25">
      <c r="A70" s="341" t="str">
        <f>General!G84</f>
        <v>zd</v>
      </c>
      <c r="B70" s="379" t="b">
        <v>1</v>
      </c>
      <c r="C70" s="379" t="b">
        <v>1</v>
      </c>
      <c r="D70" s="379">
        <v>0</v>
      </c>
      <c r="E70" s="379">
        <v>1</v>
      </c>
      <c r="F70" s="378">
        <f>1-E70</f>
        <v>0</v>
      </c>
      <c r="G70" s="380" t="b">
        <v>1</v>
      </c>
      <c r="H70" s="377">
        <f t="shared" si="32"/>
        <v>0.36</v>
      </c>
      <c r="I70" s="377">
        <f t="shared" si="32"/>
        <v>20.6</v>
      </c>
      <c r="J70" s="377">
        <f t="shared" si="32"/>
        <v>1.5</v>
      </c>
      <c r="L70" t="str">
        <f t="shared" si="1"/>
        <v>zd</v>
      </c>
      <c r="M70" s="376">
        <f>M64</f>
        <v>529</v>
      </c>
      <c r="N70" s="376">
        <f t="shared" ref="N70:Q70" si="39">N64</f>
        <v>560</v>
      </c>
      <c r="O70" s="376">
        <f t="shared" si="39"/>
        <v>595</v>
      </c>
      <c r="P70" s="376">
        <f t="shared" si="39"/>
        <v>679</v>
      </c>
      <c r="Q70" s="376">
        <f t="shared" si="39"/>
        <v>843</v>
      </c>
      <c r="R70" s="376">
        <f t="shared" si="38"/>
        <v>0</v>
      </c>
      <c r="S70" s="376">
        <f t="shared" si="38"/>
        <v>0</v>
      </c>
      <c r="T70" s="376">
        <f t="shared" si="38"/>
        <v>0</v>
      </c>
      <c r="U70" s="376">
        <f t="shared" si="38"/>
        <v>0</v>
      </c>
      <c r="V70" s="376">
        <f t="shared" si="38"/>
        <v>0</v>
      </c>
      <c r="W70" s="376">
        <f t="shared" si="38"/>
        <v>97.5</v>
      </c>
      <c r="X70" s="376">
        <f t="shared" si="38"/>
        <v>120</v>
      </c>
      <c r="Y70" s="376">
        <f t="shared" si="38"/>
        <v>150</v>
      </c>
      <c r="Z70" s="376">
        <f t="shared" si="38"/>
        <v>180</v>
      </c>
      <c r="AA70" s="376">
        <f t="shared" si="38"/>
        <v>202.5</v>
      </c>
    </row>
    <row r="71" spans="1:27" x14ac:dyDescent="0.25">
      <c r="L71"/>
      <c r="M71" t="s">
        <v>3225</v>
      </c>
      <c r="N71"/>
      <c r="O71"/>
      <c r="P71"/>
      <c r="Q71"/>
      <c r="R71"/>
      <c r="S71"/>
    </row>
    <row r="73" spans="1:27" x14ac:dyDescent="0.25">
      <c r="A73" s="3" t="s">
        <v>74</v>
      </c>
    </row>
    <row r="74" spans="1:27" x14ac:dyDescent="0.25">
      <c r="A74" t="s">
        <v>110</v>
      </c>
      <c r="B74">
        <v>100000</v>
      </c>
    </row>
    <row r="76" spans="1:27" x14ac:dyDescent="0.25">
      <c r="A76" t="s">
        <v>111</v>
      </c>
      <c r="B76">
        <v>100000</v>
      </c>
    </row>
    <row r="78" spans="1:27" x14ac:dyDescent="0.25">
      <c r="A78" t="s">
        <v>75</v>
      </c>
      <c r="B78" s="44">
        <v>0.11</v>
      </c>
    </row>
    <row r="80" spans="1:27" x14ac:dyDescent="0.25">
      <c r="A80" t="s">
        <v>76</v>
      </c>
      <c r="B80" s="44">
        <v>3.5000000000000003E-2</v>
      </c>
    </row>
    <row r="82" spans="1:2" x14ac:dyDescent="0.25">
      <c r="A82" t="s">
        <v>77</v>
      </c>
      <c r="B82">
        <v>2.3E-2</v>
      </c>
    </row>
    <row r="84" spans="1:2" x14ac:dyDescent="0.25">
      <c r="A84" t="s">
        <v>112</v>
      </c>
      <c r="B84">
        <v>40</v>
      </c>
    </row>
    <row r="86" spans="1:2" x14ac:dyDescent="0.25">
      <c r="A86" t="s">
        <v>78</v>
      </c>
      <c r="B86" s="44">
        <v>0.11</v>
      </c>
    </row>
    <row r="88" spans="1:2" x14ac:dyDescent="0.25">
      <c r="A88" t="s">
        <v>79</v>
      </c>
      <c r="B88" s="44">
        <v>3.5000000000000003E-2</v>
      </c>
    </row>
  </sheetData>
  <phoneticPr fontId="42"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7B669-D46E-465D-AB74-E6E4468D232E}">
  <sheetPr codeName="Sheet2"/>
  <dimension ref="A2:B19"/>
  <sheetViews>
    <sheetView workbookViewId="0">
      <selection activeCell="B19" sqref="B19"/>
    </sheetView>
  </sheetViews>
  <sheetFormatPr defaultColWidth="8.85546875" defaultRowHeight="15" x14ac:dyDescent="0.25"/>
  <cols>
    <col min="1" max="1" width="25" style="1" bestFit="1" customWidth="1"/>
    <col min="2" max="16384" width="8.85546875" style="1"/>
  </cols>
  <sheetData>
    <row r="2" spans="1:2" x14ac:dyDescent="0.25">
      <c r="A2" s="3" t="s">
        <v>19</v>
      </c>
    </row>
    <row r="3" spans="1:2" x14ac:dyDescent="0.25">
      <c r="A3" t="s">
        <v>2286</v>
      </c>
      <c r="B3" s="42">
        <v>4.4999999999999998E-2</v>
      </c>
    </row>
    <row r="5" spans="1:2" x14ac:dyDescent="0.25">
      <c r="A5" s="3" t="s">
        <v>103</v>
      </c>
    </row>
    <row r="6" spans="1:2" x14ac:dyDescent="0.25">
      <c r="A6" t="s">
        <v>102</v>
      </c>
      <c r="B6" s="42">
        <v>4.4999999999999998E-2</v>
      </c>
    </row>
    <row r="8" spans="1:2" x14ac:dyDescent="0.25">
      <c r="A8" s="3" t="s">
        <v>101</v>
      </c>
    </row>
    <row r="9" spans="1:2" x14ac:dyDescent="0.25">
      <c r="A9" t="s">
        <v>2193</v>
      </c>
      <c r="B9" s="42">
        <v>0</v>
      </c>
    </row>
    <row r="10" spans="1:2" x14ac:dyDescent="0.25">
      <c r="A10" t="s">
        <v>2194</v>
      </c>
      <c r="B10" s="42">
        <v>0</v>
      </c>
    </row>
    <row r="12" spans="1:2" x14ac:dyDescent="0.25">
      <c r="A12" s="3" t="s">
        <v>104</v>
      </c>
    </row>
    <row r="13" spans="1:2" x14ac:dyDescent="0.25">
      <c r="A13" t="s">
        <v>20</v>
      </c>
      <c r="B13" s="42">
        <v>0.02</v>
      </c>
    </row>
    <row r="15" spans="1:2" x14ac:dyDescent="0.25">
      <c r="A15" s="3" t="s">
        <v>85</v>
      </c>
    </row>
    <row r="16" spans="1:2" x14ac:dyDescent="0.25">
      <c r="A16" t="s">
        <v>105</v>
      </c>
      <c r="B16" s="42">
        <v>0.02</v>
      </c>
    </row>
    <row r="18" spans="1:2" x14ac:dyDescent="0.25">
      <c r="A18" s="3" t="s">
        <v>3007</v>
      </c>
    </row>
    <row r="19" spans="1:2" ht="30" x14ac:dyDescent="0.25">
      <c r="A19" s="5" t="s">
        <v>3006</v>
      </c>
      <c r="B19" s="42" t="b">
        <v>0</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AE29A-401D-4B75-B63C-3693AC93217E}">
  <sheetPr codeName="Sheet6"/>
  <dimension ref="A1:AI111"/>
  <sheetViews>
    <sheetView topLeftCell="A31" workbookViewId="0">
      <selection activeCell="N59" sqref="N59"/>
    </sheetView>
  </sheetViews>
  <sheetFormatPr defaultRowHeight="15" x14ac:dyDescent="0.25"/>
  <cols>
    <col min="1" max="1" width="2.42578125" customWidth="1"/>
    <col min="2" max="2" width="2.28515625" customWidth="1"/>
    <col min="3" max="4" width="2.7109375" customWidth="1"/>
    <col min="5" max="5" width="2" customWidth="1"/>
    <col min="6" max="6" width="4.140625" customWidth="1"/>
  </cols>
  <sheetData>
    <row r="1" spans="1:35" x14ac:dyDescent="0.25">
      <c r="A1" s="7"/>
      <c r="B1" s="8"/>
      <c r="C1" s="8"/>
      <c r="D1" s="8"/>
      <c r="E1" s="8"/>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row>
    <row r="2" spans="1:35" ht="5.0999999999999996" customHeight="1" thickBot="1" x14ac:dyDescent="0.3">
      <c r="A2" s="7"/>
      <c r="B2" s="8"/>
      <c r="C2" s="8"/>
      <c r="D2" s="8"/>
      <c r="E2" s="8"/>
      <c r="F2" s="8"/>
      <c r="G2" s="8"/>
      <c r="H2" s="9"/>
      <c r="I2" s="9"/>
      <c r="J2" s="9"/>
      <c r="K2" s="9"/>
      <c r="L2" s="9"/>
      <c r="M2" s="9"/>
      <c r="N2" s="9"/>
      <c r="O2" s="9"/>
      <c r="P2" s="9"/>
      <c r="Q2" s="9"/>
      <c r="R2" s="9"/>
      <c r="S2" s="9"/>
      <c r="T2" s="9"/>
      <c r="U2" s="9"/>
      <c r="V2" s="9"/>
      <c r="W2" s="9"/>
      <c r="X2" s="9"/>
      <c r="Y2" s="9"/>
      <c r="Z2" s="9"/>
      <c r="AA2" s="9"/>
      <c r="AB2" s="9"/>
      <c r="AC2" s="9"/>
      <c r="AD2" s="9"/>
      <c r="AE2" s="9"/>
      <c r="AF2" s="9"/>
      <c r="AG2" s="8"/>
      <c r="AH2" s="8"/>
      <c r="AI2" s="8"/>
    </row>
    <row r="3" spans="1:35" ht="5.0999999999999996" customHeight="1" x14ac:dyDescent="0.25">
      <c r="A3" s="7"/>
      <c r="B3" s="8"/>
      <c r="C3" s="10" t="s">
        <v>86</v>
      </c>
      <c r="D3" s="10"/>
      <c r="E3" s="10"/>
      <c r="F3" s="10"/>
      <c r="G3" s="10"/>
      <c r="H3" s="10"/>
      <c r="I3" s="10"/>
      <c r="J3" s="10"/>
      <c r="K3" s="11"/>
      <c r="L3" s="11"/>
      <c r="M3" s="11"/>
      <c r="N3" s="11"/>
      <c r="O3" s="11"/>
      <c r="P3" s="11"/>
      <c r="Q3" s="11"/>
      <c r="R3" s="11"/>
      <c r="S3" s="11"/>
      <c r="T3" s="11"/>
      <c r="U3" s="11"/>
      <c r="V3" s="11"/>
      <c r="W3" s="11"/>
      <c r="X3" s="11"/>
      <c r="Y3" s="11"/>
      <c r="Z3" s="11"/>
      <c r="AA3" s="11"/>
      <c r="AB3" s="11"/>
      <c r="AC3" s="11"/>
      <c r="AD3" s="11"/>
      <c r="AE3" s="11"/>
      <c r="AF3" s="12"/>
      <c r="AG3" s="9"/>
      <c r="AH3" s="9"/>
      <c r="AI3" s="9"/>
    </row>
    <row r="4" spans="1:35" ht="12" customHeight="1" x14ac:dyDescent="0.25">
      <c r="A4" s="7"/>
      <c r="B4" s="8"/>
      <c r="C4" s="13"/>
      <c r="D4" s="13"/>
      <c r="E4" s="13" t="s">
        <v>87</v>
      </c>
      <c r="F4" s="14"/>
      <c r="G4" s="15" t="s">
        <v>2544</v>
      </c>
      <c r="H4" s="14"/>
      <c r="I4" s="14"/>
      <c r="J4" s="14"/>
      <c r="K4" s="14"/>
      <c r="L4" s="14"/>
      <c r="M4" s="14"/>
      <c r="N4" s="14"/>
      <c r="O4" s="14"/>
      <c r="P4" s="14"/>
      <c r="Q4" s="14"/>
      <c r="R4" s="14"/>
      <c r="S4" s="14"/>
      <c r="T4" s="16"/>
      <c r="U4" s="16"/>
      <c r="V4" s="16"/>
      <c r="W4" s="16"/>
      <c r="X4" s="16"/>
      <c r="Y4" s="16"/>
      <c r="Z4" s="16"/>
      <c r="AA4" s="16"/>
      <c r="AB4" s="16"/>
      <c r="AC4" s="14"/>
      <c r="AD4" s="16"/>
      <c r="AE4" s="16"/>
      <c r="AF4" s="17"/>
      <c r="AG4" s="9"/>
      <c r="AH4" s="9"/>
      <c r="AI4" s="9"/>
    </row>
    <row r="5" spans="1:35" ht="12" customHeight="1" x14ac:dyDescent="0.25">
      <c r="A5" s="7"/>
      <c r="B5" s="8"/>
      <c r="C5" s="13"/>
      <c r="D5" s="13"/>
      <c r="E5" s="18"/>
      <c r="F5" s="14"/>
      <c r="G5" s="14" t="s">
        <v>2545</v>
      </c>
      <c r="H5" s="14"/>
      <c r="I5" s="14"/>
      <c r="J5" s="14"/>
      <c r="K5" s="14"/>
      <c r="L5" s="14"/>
      <c r="M5" s="14"/>
      <c r="N5" s="14"/>
      <c r="O5" s="14"/>
      <c r="P5" s="14"/>
      <c r="Q5" s="14"/>
      <c r="R5" s="14"/>
      <c r="S5" s="14"/>
      <c r="T5" s="16"/>
      <c r="U5" s="16"/>
      <c r="V5" s="16"/>
      <c r="W5" s="16"/>
      <c r="X5" s="16"/>
      <c r="Y5" s="16"/>
      <c r="Z5" s="16"/>
      <c r="AA5" s="16"/>
      <c r="AB5" s="16"/>
      <c r="AC5" s="19"/>
      <c r="AD5" s="16"/>
      <c r="AE5" s="16"/>
      <c r="AF5" s="17"/>
      <c r="AG5" s="9"/>
      <c r="AH5" s="9"/>
      <c r="AI5" s="9"/>
    </row>
    <row r="6" spans="1:35" ht="12" customHeight="1" x14ac:dyDescent="0.25">
      <c r="A6" s="7"/>
      <c r="B6" s="8"/>
      <c r="C6" s="18"/>
      <c r="D6" s="13"/>
      <c r="E6" s="18"/>
      <c r="F6" s="14"/>
      <c r="G6" s="20">
        <v>44639</v>
      </c>
      <c r="H6" s="14"/>
      <c r="I6" s="14"/>
      <c r="J6" s="14"/>
      <c r="K6" s="14"/>
      <c r="L6" s="14"/>
      <c r="M6" s="14"/>
      <c r="N6" s="14"/>
      <c r="O6" s="14"/>
      <c r="P6" s="14"/>
      <c r="Q6" s="14"/>
      <c r="R6" s="14"/>
      <c r="S6" s="14"/>
      <c r="T6" s="16"/>
      <c r="U6" s="16"/>
      <c r="V6" s="16"/>
      <c r="W6" s="16"/>
      <c r="X6" s="16"/>
      <c r="Y6" s="16"/>
      <c r="Z6" s="16"/>
      <c r="AA6" s="16"/>
      <c r="AB6" s="16"/>
      <c r="AC6" s="19"/>
      <c r="AD6" s="16"/>
      <c r="AE6" s="16"/>
      <c r="AF6" s="17"/>
      <c r="AG6" s="9"/>
      <c r="AH6" s="9"/>
      <c r="AI6" s="9"/>
    </row>
    <row r="7" spans="1:35" ht="12" customHeight="1" x14ac:dyDescent="0.25">
      <c r="A7" s="7"/>
      <c r="B7" s="8"/>
      <c r="C7" s="394">
        <v>0</v>
      </c>
      <c r="D7" s="13"/>
      <c r="E7" s="18"/>
      <c r="F7" s="14"/>
      <c r="G7" s="395"/>
      <c r="H7" s="14"/>
      <c r="I7" s="14"/>
      <c r="J7" s="14"/>
      <c r="K7" s="14"/>
      <c r="L7" s="14"/>
      <c r="M7" s="14"/>
      <c r="N7" s="14"/>
      <c r="O7" s="14"/>
      <c r="P7" s="14"/>
      <c r="Q7" s="14"/>
      <c r="R7" s="14"/>
      <c r="S7" s="14"/>
      <c r="T7" s="16"/>
      <c r="U7" s="16"/>
      <c r="V7" s="16"/>
      <c r="W7" s="16"/>
      <c r="X7" s="16"/>
      <c r="Y7" s="16"/>
      <c r="Z7" s="16"/>
      <c r="AA7" s="16"/>
      <c r="AB7" s="16"/>
      <c r="AC7" s="19"/>
      <c r="AD7" s="16"/>
      <c r="AE7" s="16"/>
      <c r="AF7" s="17"/>
      <c r="AG7" s="9"/>
      <c r="AH7" s="9"/>
      <c r="AI7" s="9"/>
    </row>
    <row r="8" spans="1:35" ht="12" customHeight="1" x14ac:dyDescent="0.25">
      <c r="A8" s="7"/>
      <c r="B8" s="8"/>
      <c r="C8" s="18"/>
      <c r="D8" s="18"/>
      <c r="E8" s="18"/>
      <c r="F8" s="18"/>
      <c r="G8" s="18"/>
      <c r="H8" s="18"/>
      <c r="I8" s="18"/>
      <c r="J8" s="21"/>
      <c r="K8" s="21"/>
      <c r="L8" s="21"/>
      <c r="M8" s="21"/>
      <c r="N8" s="21"/>
      <c r="O8" s="21"/>
      <c r="P8" s="21"/>
      <c r="Q8" s="21"/>
      <c r="R8" s="21"/>
      <c r="S8" s="21"/>
      <c r="T8" s="21"/>
      <c r="U8" s="21"/>
      <c r="V8" s="21"/>
      <c r="W8" s="21"/>
      <c r="X8" s="21"/>
      <c r="Y8" s="21"/>
      <c r="Z8" s="21"/>
      <c r="AA8" s="21"/>
      <c r="AB8" s="21"/>
      <c r="AC8" s="21"/>
      <c r="AD8" s="21"/>
      <c r="AE8" s="21"/>
      <c r="AF8" s="17"/>
      <c r="AG8" s="9"/>
      <c r="AH8" s="9"/>
      <c r="AI8" s="9"/>
    </row>
    <row r="9" spans="1:35" ht="12" customHeight="1" x14ac:dyDescent="0.25">
      <c r="A9" s="7"/>
      <c r="B9" s="8"/>
      <c r="C9" s="18"/>
      <c r="D9" s="18"/>
      <c r="E9" s="18"/>
      <c r="F9" s="18"/>
      <c r="G9" s="18"/>
      <c r="H9" s="18"/>
      <c r="I9" s="18"/>
      <c r="J9" s="18" t="s">
        <v>2546</v>
      </c>
      <c r="K9" s="18"/>
      <c r="L9" s="21" t="s">
        <v>2546</v>
      </c>
      <c r="M9" s="21"/>
      <c r="N9" s="21"/>
      <c r="O9" s="21"/>
      <c r="P9" s="21"/>
      <c r="Q9" s="21"/>
      <c r="R9" s="21"/>
      <c r="S9" s="21"/>
      <c r="T9" s="21"/>
      <c r="U9" s="21"/>
      <c r="V9" s="21"/>
      <c r="W9" s="21"/>
      <c r="X9" s="21"/>
      <c r="Y9" s="21"/>
      <c r="Z9" s="21"/>
      <c r="AA9" s="21"/>
      <c r="AB9" s="21"/>
      <c r="AC9" s="21"/>
      <c r="AD9" s="21"/>
      <c r="AE9" s="21"/>
      <c r="AF9" s="17"/>
      <c r="AG9" s="9"/>
      <c r="AH9" s="9"/>
      <c r="AI9" s="9"/>
    </row>
    <row r="10" spans="1:35" ht="12" customHeight="1" x14ac:dyDescent="0.25">
      <c r="A10" s="7"/>
      <c r="B10" s="8"/>
      <c r="C10" s="18"/>
      <c r="D10" s="18"/>
      <c r="E10" s="18"/>
      <c r="F10" s="18"/>
      <c r="G10" s="18"/>
      <c r="H10" s="18"/>
      <c r="I10" s="18"/>
      <c r="J10" s="18" t="s">
        <v>2547</v>
      </c>
      <c r="K10" s="22"/>
      <c r="L10" s="21" t="s">
        <v>2548</v>
      </c>
      <c r="M10" s="23"/>
      <c r="N10" s="23"/>
      <c r="O10" s="23"/>
      <c r="P10" s="23"/>
      <c r="Q10" s="23"/>
      <c r="R10" s="23"/>
      <c r="S10" s="23"/>
      <c r="T10" s="21"/>
      <c r="U10" s="21"/>
      <c r="V10" s="21"/>
      <c r="W10" s="21"/>
      <c r="X10" s="21"/>
      <c r="Y10" s="21"/>
      <c r="Z10" s="21"/>
      <c r="AA10" s="21"/>
      <c r="AB10" s="21"/>
      <c r="AC10" s="21"/>
      <c r="AD10" s="21"/>
      <c r="AE10" s="21"/>
      <c r="AF10" s="17"/>
      <c r="AG10" s="9"/>
      <c r="AH10" s="9"/>
      <c r="AI10" s="9"/>
    </row>
    <row r="11" spans="1:35" x14ac:dyDescent="0.25">
      <c r="A11" s="7"/>
      <c r="B11" s="8"/>
      <c r="C11" s="18"/>
      <c r="D11" s="18"/>
      <c r="E11" s="18"/>
      <c r="F11" s="24"/>
      <c r="G11" s="25"/>
      <c r="H11" s="25"/>
      <c r="I11" s="25"/>
      <c r="J11" s="396" t="b">
        <v>0</v>
      </c>
      <c r="K11" s="25"/>
      <c r="L11" s="420">
        <v>0.5</v>
      </c>
      <c r="M11" s="397"/>
      <c r="N11" s="26"/>
      <c r="O11" s="26"/>
      <c r="P11" s="26"/>
      <c r="Q11" s="26"/>
      <c r="R11" s="26"/>
      <c r="S11" s="26"/>
      <c r="T11" s="26"/>
      <c r="U11" s="26"/>
      <c r="V11" s="26"/>
      <c r="W11" s="26"/>
      <c r="X11" s="26"/>
      <c r="Y11" s="26"/>
      <c r="Z11" s="26"/>
      <c r="AA11" s="26"/>
      <c r="AB11" s="26"/>
      <c r="AC11" s="26"/>
      <c r="AD11" s="26"/>
      <c r="AE11" s="27"/>
      <c r="AF11" s="17"/>
      <c r="AG11" s="9"/>
      <c r="AH11" s="9"/>
      <c r="AI11" s="9"/>
    </row>
    <row r="12" spans="1:35" ht="12" customHeight="1" x14ac:dyDescent="0.25">
      <c r="A12" s="7"/>
      <c r="B12" s="8"/>
      <c r="C12" s="18"/>
      <c r="D12" s="18"/>
      <c r="E12" s="18"/>
      <c r="F12" s="24"/>
      <c r="H12" s="28"/>
      <c r="I12" s="41"/>
      <c r="J12" s="41"/>
      <c r="K12" s="41"/>
      <c r="L12" s="41"/>
      <c r="M12" s="28"/>
      <c r="N12" s="28"/>
      <c r="O12" s="30"/>
      <c r="P12" s="30"/>
      <c r="Q12" s="30"/>
      <c r="R12" s="30"/>
      <c r="S12" s="30"/>
      <c r="T12" s="30"/>
      <c r="U12" s="30"/>
      <c r="V12" s="30"/>
      <c r="W12" s="30"/>
      <c r="X12" s="30"/>
      <c r="Y12" s="30"/>
      <c r="Z12" s="30"/>
      <c r="AA12" s="30"/>
      <c r="AB12" s="30"/>
      <c r="AC12" s="30"/>
      <c r="AD12" s="30"/>
      <c r="AE12" s="27"/>
      <c r="AF12" s="17"/>
      <c r="AG12" s="9"/>
      <c r="AH12" s="9"/>
      <c r="AI12" s="9"/>
    </row>
    <row r="13" spans="1:35" ht="25.15" customHeight="1" x14ac:dyDescent="0.25">
      <c r="A13" s="7"/>
      <c r="B13" s="8"/>
      <c r="C13" s="36"/>
      <c r="D13" s="36"/>
      <c r="E13" s="36"/>
      <c r="F13" s="36"/>
      <c r="G13" s="37" t="str">
        <f>G4</f>
        <v>LIVESTOCK FEEDS - SELECTIVITY</v>
      </c>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8" t="s">
        <v>91</v>
      </c>
      <c r="AG13" s="9"/>
      <c r="AH13" s="9"/>
      <c r="AI13" s="9"/>
    </row>
    <row r="14" spans="1:35" ht="12" customHeight="1" x14ac:dyDescent="0.25">
      <c r="A14" s="7"/>
      <c r="B14" s="8"/>
      <c r="C14" s="8"/>
      <c r="D14" s="8"/>
      <c r="E14" s="8"/>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row>
    <row r="15" spans="1:35" x14ac:dyDescent="0.25">
      <c r="A15" s="7"/>
      <c r="B15" s="8"/>
      <c r="C15" s="8"/>
      <c r="D15" s="8"/>
      <c r="E15" s="8"/>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row>
    <row r="16" spans="1:35" ht="5.0999999999999996" customHeight="1" thickBot="1" x14ac:dyDescent="0.3">
      <c r="A16" s="7"/>
      <c r="B16" s="8"/>
      <c r="C16" s="8"/>
      <c r="D16" s="8"/>
      <c r="E16" s="8"/>
      <c r="F16" s="8"/>
      <c r="G16" s="8"/>
      <c r="H16" s="9"/>
      <c r="I16" s="9"/>
      <c r="J16" s="9"/>
      <c r="K16" s="9"/>
      <c r="L16" s="9"/>
      <c r="M16" s="9"/>
      <c r="N16" s="9"/>
      <c r="O16" s="9"/>
      <c r="P16" s="9"/>
      <c r="Q16" s="9"/>
      <c r="R16" s="9"/>
      <c r="S16" s="9"/>
      <c r="T16" s="9"/>
      <c r="U16" s="9"/>
      <c r="V16" s="9"/>
      <c r="W16" s="9"/>
      <c r="X16" s="9"/>
      <c r="Y16" s="9"/>
      <c r="Z16" s="9"/>
      <c r="AA16" s="9"/>
      <c r="AB16" s="9"/>
      <c r="AC16" s="9"/>
      <c r="AD16" s="9"/>
      <c r="AE16" s="9"/>
      <c r="AF16" s="9"/>
      <c r="AG16" s="8"/>
      <c r="AH16" s="8"/>
      <c r="AI16" s="8"/>
    </row>
    <row r="17" spans="1:35" ht="5.0999999999999996" customHeight="1" x14ac:dyDescent="0.25">
      <c r="A17" s="7"/>
      <c r="B17" s="8"/>
      <c r="C17" s="10" t="s">
        <v>86</v>
      </c>
      <c r="D17" s="10"/>
      <c r="E17" s="10"/>
      <c r="F17" s="10"/>
      <c r="G17" s="10"/>
      <c r="H17" s="10"/>
      <c r="I17" s="10"/>
      <c r="J17" s="10"/>
      <c r="K17" s="11"/>
      <c r="L17" s="11"/>
      <c r="M17" s="11"/>
      <c r="N17" s="11"/>
      <c r="O17" s="11"/>
      <c r="P17" s="11"/>
      <c r="Q17" s="11"/>
      <c r="R17" s="11"/>
      <c r="S17" s="11"/>
      <c r="T17" s="11"/>
      <c r="U17" s="11"/>
      <c r="V17" s="11"/>
      <c r="W17" s="11"/>
      <c r="X17" s="11"/>
      <c r="Y17" s="11"/>
      <c r="Z17" s="11"/>
      <c r="AA17" s="11"/>
      <c r="AB17" s="11"/>
      <c r="AC17" s="11"/>
      <c r="AD17" s="11"/>
      <c r="AE17" s="11"/>
      <c r="AF17" s="12"/>
      <c r="AG17" s="9"/>
      <c r="AH17" s="9"/>
      <c r="AI17" s="9"/>
    </row>
    <row r="18" spans="1:35" ht="12" customHeight="1" x14ac:dyDescent="0.25">
      <c r="A18" s="7"/>
      <c r="B18" s="8"/>
      <c r="C18" s="13"/>
      <c r="D18" s="13"/>
      <c r="E18" s="13" t="s">
        <v>87</v>
      </c>
      <c r="F18" s="14"/>
      <c r="G18" s="15" t="s">
        <v>2670</v>
      </c>
      <c r="H18" s="14"/>
      <c r="I18" s="14"/>
      <c r="J18" s="14"/>
      <c r="K18" s="14"/>
      <c r="L18" s="14"/>
      <c r="M18" s="14"/>
      <c r="N18" s="14"/>
      <c r="O18" s="14"/>
      <c r="P18" s="14"/>
      <c r="Q18" s="14"/>
      <c r="R18" s="14"/>
      <c r="S18" s="14"/>
      <c r="T18" s="16"/>
      <c r="U18" s="16"/>
      <c r="V18" s="16"/>
      <c r="W18" s="16"/>
      <c r="X18" s="16"/>
      <c r="Y18" s="16"/>
      <c r="Z18" s="16"/>
      <c r="AA18" s="16"/>
      <c r="AB18" s="16"/>
      <c r="AC18" s="14"/>
      <c r="AD18" s="16"/>
      <c r="AE18" s="16"/>
      <c r="AF18" s="17"/>
      <c r="AG18" s="9"/>
      <c r="AH18" s="9"/>
      <c r="AI18" s="9"/>
    </row>
    <row r="19" spans="1:35" ht="12" customHeight="1" x14ac:dyDescent="0.25">
      <c r="A19" s="7"/>
      <c r="B19" s="8"/>
      <c r="C19" s="13"/>
      <c r="D19" s="13"/>
      <c r="E19" s="18"/>
      <c r="F19" s="14"/>
      <c r="G19" s="14" t="s">
        <v>2671</v>
      </c>
      <c r="H19" s="14"/>
      <c r="I19" s="14"/>
      <c r="J19" s="14"/>
      <c r="K19" s="14"/>
      <c r="L19" s="14"/>
      <c r="M19" s="14"/>
      <c r="N19" s="14"/>
      <c r="O19" s="14"/>
      <c r="P19" s="14"/>
      <c r="Q19" s="14"/>
      <c r="R19" s="14"/>
      <c r="S19" s="14"/>
      <c r="T19" s="16"/>
      <c r="U19" s="16"/>
      <c r="V19" s="16"/>
      <c r="W19" s="16"/>
      <c r="X19" s="16"/>
      <c r="Y19" s="16"/>
      <c r="Z19" s="16"/>
      <c r="AA19" s="16"/>
      <c r="AB19" s="16"/>
      <c r="AC19" s="19"/>
      <c r="AD19" s="16"/>
      <c r="AE19" s="16"/>
      <c r="AF19" s="17"/>
      <c r="AG19" s="9"/>
      <c r="AH19" s="9"/>
      <c r="AI19" s="9"/>
    </row>
    <row r="20" spans="1:35" ht="12" customHeight="1" x14ac:dyDescent="0.25">
      <c r="A20" s="7"/>
      <c r="B20" s="8"/>
      <c r="C20" s="18"/>
      <c r="D20" s="13"/>
      <c r="E20" s="18"/>
      <c r="F20" s="14"/>
      <c r="G20" s="20">
        <v>44639</v>
      </c>
      <c r="H20" s="14"/>
      <c r="I20" s="14"/>
      <c r="J20" s="14"/>
      <c r="K20" s="14"/>
      <c r="L20" s="14"/>
      <c r="M20" s="14"/>
      <c r="N20" s="14"/>
      <c r="O20" s="14"/>
      <c r="P20" s="14"/>
      <c r="Q20" s="14"/>
      <c r="R20" s="14"/>
      <c r="S20" s="14"/>
      <c r="T20" s="16"/>
      <c r="U20" s="16"/>
      <c r="V20" s="16"/>
      <c r="W20" s="16"/>
      <c r="X20" s="16"/>
      <c r="Y20" s="16"/>
      <c r="Z20" s="16"/>
      <c r="AA20" s="16"/>
      <c r="AB20" s="16"/>
      <c r="AC20" s="19"/>
      <c r="AD20" s="16"/>
      <c r="AE20" s="16"/>
      <c r="AF20" s="17"/>
      <c r="AG20" s="9"/>
      <c r="AH20" s="9"/>
      <c r="AI20" s="9"/>
    </row>
    <row r="21" spans="1:35" ht="12" customHeight="1" x14ac:dyDescent="0.25">
      <c r="A21" s="7"/>
      <c r="B21" s="8"/>
      <c r="C21" s="394">
        <v>0</v>
      </c>
      <c r="D21" s="13"/>
      <c r="E21" s="18"/>
      <c r="F21" s="14"/>
      <c r="G21" s="395"/>
      <c r="H21" s="14"/>
      <c r="I21" s="14"/>
      <c r="J21" s="14"/>
      <c r="K21" s="14"/>
      <c r="L21" s="14"/>
      <c r="M21" s="14"/>
      <c r="N21" s="14"/>
      <c r="O21" s="14"/>
      <c r="P21" s="14"/>
      <c r="Q21" s="14"/>
      <c r="R21" s="14"/>
      <c r="S21" s="14"/>
      <c r="T21" s="16"/>
      <c r="U21" s="16"/>
      <c r="V21" s="16"/>
      <c r="W21" s="16"/>
      <c r="X21" s="16"/>
      <c r="Y21" s="16"/>
      <c r="Z21" s="16"/>
      <c r="AA21" s="16"/>
      <c r="AB21" s="16"/>
      <c r="AC21" s="19"/>
      <c r="AD21" s="16"/>
      <c r="AE21" s="16"/>
      <c r="AF21" s="17"/>
      <c r="AG21" s="9"/>
      <c r="AH21" s="9"/>
      <c r="AI21" s="9"/>
    </row>
    <row r="22" spans="1:35" ht="12" customHeight="1" x14ac:dyDescent="0.25">
      <c r="A22" s="7"/>
      <c r="B22" s="8"/>
      <c r="C22" s="18"/>
      <c r="D22" s="18"/>
      <c r="E22" s="18"/>
      <c r="F22" s="18"/>
      <c r="G22" s="18"/>
      <c r="H22" s="18"/>
      <c r="I22" s="18"/>
      <c r="J22" s="21" t="s">
        <v>2673</v>
      </c>
      <c r="K22" s="21"/>
      <c r="L22" s="21" t="s">
        <v>2673</v>
      </c>
      <c r="M22" s="21"/>
      <c r="N22" s="21"/>
      <c r="O22" s="21"/>
      <c r="P22" s="21"/>
      <c r="Q22" s="21"/>
      <c r="R22" s="21"/>
      <c r="S22" s="21"/>
      <c r="T22" s="21"/>
      <c r="U22" s="21"/>
      <c r="V22" s="21"/>
      <c r="W22" s="21"/>
      <c r="X22" s="21"/>
      <c r="Y22" s="21"/>
      <c r="Z22" s="21"/>
      <c r="AA22" s="21"/>
      <c r="AB22" s="21"/>
      <c r="AC22" s="21"/>
      <c r="AD22" s="21"/>
      <c r="AE22" s="21"/>
      <c r="AF22" s="17"/>
      <c r="AG22" s="9"/>
      <c r="AH22" s="9"/>
      <c r="AI22" s="9"/>
    </row>
    <row r="23" spans="1:35" ht="12" customHeight="1" x14ac:dyDescent="0.25">
      <c r="A23" s="7"/>
      <c r="B23" s="8"/>
      <c r="C23" s="18"/>
      <c r="D23" s="18"/>
      <c r="E23" s="18"/>
      <c r="F23" s="18"/>
      <c r="G23" s="18"/>
      <c r="H23" s="18"/>
      <c r="I23" s="18"/>
      <c r="J23" s="18" t="s">
        <v>2674</v>
      </c>
      <c r="K23" s="18"/>
      <c r="L23" s="18" t="s">
        <v>2675</v>
      </c>
      <c r="M23" s="21"/>
      <c r="N23" s="21"/>
      <c r="O23" s="21"/>
      <c r="P23" s="21"/>
      <c r="Q23" s="21"/>
      <c r="R23" s="21"/>
      <c r="S23" s="21"/>
      <c r="T23" s="21"/>
      <c r="U23" s="21"/>
      <c r="V23" s="21"/>
      <c r="W23" s="21"/>
      <c r="X23" s="21"/>
      <c r="Y23" s="21"/>
      <c r="Z23" s="21"/>
      <c r="AA23" s="21"/>
      <c r="AB23" s="21"/>
      <c r="AC23" s="21"/>
      <c r="AD23" s="21"/>
      <c r="AE23" s="21"/>
      <c r="AF23" s="17"/>
      <c r="AG23" s="9"/>
      <c r="AH23" s="9"/>
      <c r="AI23" s="9"/>
    </row>
    <row r="24" spans="1:35" ht="12" customHeight="1" x14ac:dyDescent="0.25">
      <c r="A24" s="7"/>
      <c r="B24" s="8"/>
      <c r="C24" s="18"/>
      <c r="D24" s="18"/>
      <c r="E24" s="18"/>
      <c r="F24" s="18"/>
      <c r="G24" s="18"/>
      <c r="H24" s="18"/>
      <c r="I24" s="18"/>
      <c r="J24" s="18" t="s">
        <v>2672</v>
      </c>
      <c r="K24" s="22"/>
      <c r="L24" s="18" t="s">
        <v>2676</v>
      </c>
      <c r="M24" s="23"/>
      <c r="N24" s="23"/>
      <c r="O24" s="23"/>
      <c r="P24" s="23"/>
      <c r="Q24" s="23"/>
      <c r="R24" s="23"/>
      <c r="S24" s="23"/>
      <c r="T24" s="21"/>
      <c r="U24" s="21"/>
      <c r="V24" s="21"/>
      <c r="W24" s="21"/>
      <c r="X24" s="21"/>
      <c r="Y24" s="21"/>
      <c r="Z24" s="21"/>
      <c r="AA24" s="21"/>
      <c r="AB24" s="21"/>
      <c r="AC24" s="21"/>
      <c r="AD24" s="21"/>
      <c r="AE24" s="21"/>
      <c r="AF24" s="17"/>
      <c r="AG24" s="9"/>
      <c r="AH24" s="9"/>
      <c r="AI24" s="9"/>
    </row>
    <row r="25" spans="1:35" x14ac:dyDescent="0.25">
      <c r="A25" s="7"/>
      <c r="B25" s="8"/>
      <c r="C25" s="18"/>
      <c r="D25" s="18"/>
      <c r="E25" s="18"/>
      <c r="F25" s="24"/>
      <c r="G25" s="25"/>
      <c r="H25" s="25"/>
      <c r="I25" s="25"/>
      <c r="J25" s="420">
        <v>0.5</v>
      </c>
      <c r="K25" s="25"/>
      <c r="L25" s="420">
        <v>0.5</v>
      </c>
      <c r="M25" s="397"/>
      <c r="N25" s="26"/>
      <c r="O25" s="26"/>
      <c r="P25" s="26"/>
      <c r="Q25" s="26"/>
      <c r="R25" s="26"/>
      <c r="S25" s="26"/>
      <c r="T25" s="26"/>
      <c r="U25" s="26"/>
      <c r="V25" s="26"/>
      <c r="W25" s="26"/>
      <c r="X25" s="26"/>
      <c r="Y25" s="26"/>
      <c r="Z25" s="26"/>
      <c r="AA25" s="26"/>
      <c r="AB25" s="26"/>
      <c r="AC25" s="26"/>
      <c r="AD25" s="26"/>
      <c r="AE25" s="27"/>
      <c r="AF25" s="17"/>
      <c r="AG25" s="9"/>
      <c r="AH25" s="9"/>
      <c r="AI25" s="9"/>
    </row>
    <row r="26" spans="1:35" ht="12" customHeight="1" x14ac:dyDescent="0.25">
      <c r="A26" s="7"/>
      <c r="B26" s="8"/>
      <c r="C26" s="18"/>
      <c r="D26" s="18"/>
      <c r="E26" s="18"/>
      <c r="F26" s="24"/>
      <c r="H26" s="28"/>
      <c r="I26" s="41"/>
      <c r="J26" s="41"/>
      <c r="K26" s="41"/>
      <c r="L26" s="41"/>
      <c r="M26" s="28"/>
      <c r="N26" s="28"/>
      <c r="O26" s="30"/>
      <c r="P26" s="30"/>
      <c r="Q26" s="30"/>
      <c r="R26" s="30"/>
      <c r="S26" s="30"/>
      <c r="T26" s="30"/>
      <c r="U26" s="30"/>
      <c r="V26" s="30"/>
      <c r="W26" s="30"/>
      <c r="X26" s="30"/>
      <c r="Y26" s="30"/>
      <c r="Z26" s="30"/>
      <c r="AA26" s="30"/>
      <c r="AB26" s="30"/>
      <c r="AC26" s="30"/>
      <c r="AD26" s="30"/>
      <c r="AE26" s="27"/>
      <c r="AF26" s="17"/>
      <c r="AG26" s="9"/>
      <c r="AH26" s="9"/>
      <c r="AI26" s="9"/>
    </row>
    <row r="27" spans="1:35" ht="25.15" customHeight="1" x14ac:dyDescent="0.25">
      <c r="A27" s="7"/>
      <c r="B27" s="8"/>
      <c r="C27" s="36"/>
      <c r="D27" s="36"/>
      <c r="E27" s="36"/>
      <c r="F27" s="36"/>
      <c r="G27" s="37" t="str">
        <f>G18</f>
        <v>LIVESTOCK FEEDS - CONFINEMENT</v>
      </c>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8" t="s">
        <v>91</v>
      </c>
      <c r="AG27" s="9"/>
      <c r="AH27" s="9"/>
      <c r="AI27" s="9"/>
    </row>
    <row r="28" spans="1:35" ht="12" customHeight="1" x14ac:dyDescent="0.25">
      <c r="A28" s="7"/>
      <c r="B28" s="8"/>
      <c r="C28" s="8"/>
      <c r="D28" s="8"/>
      <c r="E28" s="8"/>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row>
    <row r="29" spans="1:35" ht="12" customHeight="1" x14ac:dyDescent="0.25">
      <c r="A29" s="7"/>
      <c r="B29" s="8"/>
      <c r="C29" s="8"/>
      <c r="D29" s="8"/>
      <c r="E29" s="8"/>
      <c r="F29" s="8"/>
      <c r="G29" s="8"/>
      <c r="H29" s="9"/>
      <c r="I29" s="9"/>
      <c r="J29" s="9"/>
      <c r="K29" s="9"/>
      <c r="L29" s="9"/>
      <c r="M29" s="9"/>
      <c r="N29" s="9"/>
      <c r="O29" s="9"/>
      <c r="P29" s="9"/>
      <c r="Q29" s="9"/>
      <c r="R29" s="9"/>
      <c r="S29" s="9"/>
      <c r="T29" s="9"/>
      <c r="U29" s="9"/>
      <c r="V29" s="9"/>
      <c r="W29" s="9"/>
      <c r="X29" s="9"/>
      <c r="Y29" s="9"/>
      <c r="Z29" s="9"/>
      <c r="AA29" s="9"/>
      <c r="AB29" s="9"/>
      <c r="AC29" s="9"/>
      <c r="AD29" s="9"/>
      <c r="AE29" s="9"/>
      <c r="AF29" s="9"/>
      <c r="AG29" s="8"/>
      <c r="AH29" s="8"/>
      <c r="AI29" s="8"/>
    </row>
    <row r="30" spans="1:35" ht="5.0999999999999996" customHeight="1" thickBot="1" x14ac:dyDescent="0.3">
      <c r="A30" s="7"/>
      <c r="B30" s="8"/>
      <c r="C30" s="8"/>
      <c r="D30" s="8"/>
      <c r="E30" s="8"/>
      <c r="F30" s="8"/>
      <c r="G30" s="8"/>
      <c r="H30" s="9"/>
      <c r="I30" s="9"/>
      <c r="J30" s="9"/>
      <c r="K30" s="9"/>
      <c r="L30" s="9"/>
      <c r="M30" s="9"/>
      <c r="N30" s="9"/>
      <c r="O30" s="9"/>
      <c r="P30" s="9"/>
      <c r="Q30" s="9"/>
      <c r="R30" s="9"/>
      <c r="S30" s="9"/>
      <c r="T30" s="9"/>
      <c r="U30" s="9"/>
      <c r="V30" s="9"/>
      <c r="W30" s="9"/>
      <c r="X30" s="9"/>
      <c r="Y30" s="9"/>
      <c r="Z30" s="9"/>
      <c r="AA30" s="9"/>
      <c r="AB30" s="9"/>
      <c r="AC30" s="9"/>
      <c r="AD30" s="9"/>
      <c r="AE30" s="9"/>
      <c r="AF30" s="9"/>
      <c r="AG30" s="8"/>
      <c r="AH30" s="8"/>
      <c r="AI30" s="8"/>
    </row>
    <row r="31" spans="1:35" ht="5.0999999999999996" customHeight="1" x14ac:dyDescent="0.25">
      <c r="A31" s="7"/>
      <c r="B31" s="8"/>
      <c r="C31" s="10" t="s">
        <v>86</v>
      </c>
      <c r="D31" s="10"/>
      <c r="E31" s="10"/>
      <c r="F31" s="10"/>
      <c r="G31" s="10"/>
      <c r="H31" s="10"/>
      <c r="I31" s="10"/>
      <c r="J31" s="10"/>
      <c r="K31" s="10"/>
      <c r="L31" s="11"/>
      <c r="M31" s="11"/>
      <c r="N31" s="11"/>
      <c r="O31" s="11"/>
      <c r="P31" s="11"/>
      <c r="Q31" s="11"/>
      <c r="R31" s="11"/>
      <c r="S31" s="11"/>
      <c r="T31" s="11"/>
      <c r="U31" s="11"/>
      <c r="V31" s="11"/>
      <c r="W31" s="11"/>
      <c r="X31" s="11"/>
      <c r="Y31" s="11"/>
      <c r="Z31" s="11"/>
      <c r="AA31" s="11"/>
      <c r="AB31" s="11"/>
      <c r="AC31" s="11"/>
      <c r="AD31" s="11"/>
      <c r="AE31" s="11"/>
      <c r="AF31" s="12"/>
      <c r="AG31" s="9"/>
      <c r="AH31" s="9"/>
      <c r="AI31" s="9"/>
    </row>
    <row r="32" spans="1:35" ht="12" customHeight="1" x14ac:dyDescent="0.25">
      <c r="A32" s="7"/>
      <c r="B32" s="8"/>
      <c r="C32" s="13"/>
      <c r="D32" s="13"/>
      <c r="E32" s="13" t="s">
        <v>87</v>
      </c>
      <c r="F32" s="14"/>
      <c r="G32" s="15" t="s">
        <v>3257</v>
      </c>
      <c r="H32" s="14"/>
      <c r="I32" s="14"/>
      <c r="J32" s="14"/>
      <c r="K32" s="14"/>
      <c r="L32" s="14"/>
      <c r="M32" s="14"/>
      <c r="N32" s="14"/>
      <c r="O32" s="14"/>
      <c r="P32" s="14"/>
      <c r="Q32" s="14"/>
      <c r="R32" s="14"/>
      <c r="S32" s="14"/>
      <c r="T32" s="14"/>
      <c r="U32" s="14"/>
      <c r="V32" s="14"/>
      <c r="W32" s="16"/>
      <c r="X32" s="14"/>
      <c r="Y32" s="16"/>
      <c r="Z32" s="16"/>
      <c r="AA32" s="16"/>
      <c r="AB32" s="16"/>
      <c r="AC32" s="16"/>
      <c r="AD32" s="16"/>
      <c r="AE32" s="16"/>
      <c r="AF32" s="17"/>
      <c r="AG32" s="9"/>
      <c r="AH32" s="9"/>
      <c r="AI32" s="9"/>
    </row>
    <row r="33" spans="1:35" ht="12" customHeight="1" x14ac:dyDescent="0.25">
      <c r="A33" s="7"/>
      <c r="B33" s="8"/>
      <c r="C33" s="13"/>
      <c r="D33" s="13"/>
      <c r="E33" s="18"/>
      <c r="F33" s="14"/>
      <c r="G33" s="14" t="s">
        <v>89</v>
      </c>
      <c r="H33" s="14"/>
      <c r="I33" s="14"/>
      <c r="J33" s="14"/>
      <c r="K33" s="14"/>
      <c r="L33" s="14"/>
      <c r="M33" s="14"/>
      <c r="N33" s="14"/>
      <c r="O33" s="14"/>
      <c r="P33" s="14"/>
      <c r="Q33" s="14"/>
      <c r="R33" s="14"/>
      <c r="S33" s="14"/>
      <c r="T33" s="14"/>
      <c r="U33" s="14"/>
      <c r="V33" s="14"/>
      <c r="W33" s="16"/>
      <c r="X33" s="19"/>
      <c r="Y33" s="16"/>
      <c r="Z33" s="16"/>
      <c r="AA33" s="16"/>
      <c r="AB33" s="16"/>
      <c r="AC33" s="16"/>
      <c r="AD33" s="16"/>
      <c r="AE33" s="16"/>
      <c r="AF33" s="17"/>
      <c r="AG33" s="9"/>
      <c r="AH33" s="9"/>
      <c r="AI33" s="9"/>
    </row>
    <row r="34" spans="1:35" ht="12" customHeight="1" x14ac:dyDescent="0.25">
      <c r="A34" s="7"/>
      <c r="B34" s="8"/>
      <c r="C34" s="18"/>
      <c r="D34" s="13"/>
      <c r="E34" s="18"/>
      <c r="F34" s="14"/>
      <c r="G34" s="20">
        <v>38576.728773148148</v>
      </c>
      <c r="H34" s="14"/>
      <c r="I34" s="14"/>
      <c r="J34" s="14"/>
      <c r="K34" s="14"/>
      <c r="L34" s="14"/>
      <c r="M34" s="14"/>
      <c r="N34" s="14"/>
      <c r="O34" s="14"/>
      <c r="P34" s="14"/>
      <c r="Q34" s="14"/>
      <c r="R34" s="14"/>
      <c r="S34" s="14"/>
      <c r="T34" s="14"/>
      <c r="U34" s="14"/>
      <c r="V34" s="14"/>
      <c r="W34" s="16"/>
      <c r="X34" s="19"/>
      <c r="Y34" s="16"/>
      <c r="Z34" s="16"/>
      <c r="AA34" s="16"/>
      <c r="AB34" s="16"/>
      <c r="AC34" s="16"/>
      <c r="AD34" s="16"/>
      <c r="AE34" s="16"/>
      <c r="AF34" s="17"/>
      <c r="AG34" s="9"/>
      <c r="AH34" s="9"/>
      <c r="AI34" s="9"/>
    </row>
    <row r="35" spans="1:35" ht="12" customHeight="1" x14ac:dyDescent="0.25">
      <c r="A35" s="7"/>
      <c r="B35" s="8"/>
      <c r="C35" s="18"/>
      <c r="D35" s="18"/>
      <c r="E35" s="18"/>
      <c r="F35" s="18"/>
      <c r="G35" s="18"/>
      <c r="H35" s="18"/>
      <c r="I35" s="18"/>
      <c r="J35" s="21"/>
      <c r="K35" s="21"/>
      <c r="L35" s="21"/>
      <c r="M35" s="21"/>
      <c r="N35" s="21"/>
      <c r="O35" s="21"/>
      <c r="P35" s="21"/>
      <c r="Q35" s="21"/>
      <c r="R35" s="21"/>
      <c r="S35" s="21"/>
      <c r="T35" s="21"/>
      <c r="U35" s="21"/>
      <c r="V35" s="21"/>
      <c r="W35" s="21"/>
      <c r="X35" s="21"/>
      <c r="Y35" s="21"/>
      <c r="Z35" s="21"/>
      <c r="AA35" s="21"/>
      <c r="AB35" s="21"/>
      <c r="AC35" s="21"/>
      <c r="AD35" s="21"/>
      <c r="AE35" s="21"/>
      <c r="AF35" s="17"/>
      <c r="AG35" s="9"/>
      <c r="AH35" s="9"/>
      <c r="AI35" s="9"/>
    </row>
    <row r="36" spans="1:35" ht="12" customHeight="1" x14ac:dyDescent="0.25">
      <c r="A36" s="7"/>
      <c r="B36" s="8"/>
      <c r="C36" s="18"/>
      <c r="D36" s="18"/>
      <c r="E36" s="18"/>
      <c r="F36" s="18"/>
      <c r="G36" s="18"/>
      <c r="H36" s="18"/>
      <c r="I36" s="18"/>
      <c r="J36" s="18"/>
      <c r="K36" s="18"/>
      <c r="L36" s="18"/>
      <c r="M36" s="18"/>
      <c r="N36" s="21"/>
      <c r="O36" s="21"/>
      <c r="P36" s="21"/>
      <c r="Q36" s="21"/>
      <c r="R36" s="21"/>
      <c r="S36" s="21"/>
      <c r="T36" s="21"/>
      <c r="U36" s="21"/>
      <c r="V36" s="21"/>
      <c r="W36" s="21"/>
      <c r="X36" s="21"/>
      <c r="Y36" s="21"/>
      <c r="Z36" s="21"/>
      <c r="AA36" s="21"/>
      <c r="AB36" s="21"/>
      <c r="AC36" s="21"/>
      <c r="AD36" s="21"/>
      <c r="AE36" s="21"/>
      <c r="AF36" s="17"/>
      <c r="AG36" s="9"/>
      <c r="AH36" s="9"/>
      <c r="AI36" s="9"/>
    </row>
    <row r="37" spans="1:35" ht="12" customHeight="1" x14ac:dyDescent="0.25">
      <c r="A37" s="7"/>
      <c r="B37" s="8"/>
      <c r="C37" s="18"/>
      <c r="D37" s="18"/>
      <c r="E37" s="18"/>
      <c r="F37" s="18"/>
      <c r="G37" s="18"/>
      <c r="H37" s="18"/>
      <c r="I37" s="18"/>
      <c r="J37" s="22"/>
      <c r="K37" s="22"/>
      <c r="L37" s="22"/>
      <c r="M37" s="22"/>
      <c r="N37" s="23"/>
      <c r="O37" s="23"/>
      <c r="P37" s="23"/>
      <c r="Q37" s="23"/>
      <c r="R37" s="23"/>
      <c r="S37" s="23"/>
      <c r="T37" s="23"/>
      <c r="U37" s="23"/>
      <c r="V37" s="23"/>
      <c r="W37" s="21"/>
      <c r="X37" s="21"/>
      <c r="Y37" s="21"/>
      <c r="Z37" s="21"/>
      <c r="AA37" s="21"/>
      <c r="AB37" s="21"/>
      <c r="AC37" s="21"/>
      <c r="AD37" s="21"/>
      <c r="AE37" s="21"/>
      <c r="AF37" s="17"/>
      <c r="AG37" s="9"/>
      <c r="AH37" s="9"/>
      <c r="AI37" s="9"/>
    </row>
    <row r="38" spans="1:35" ht="12" customHeight="1" x14ac:dyDescent="0.25">
      <c r="A38" s="7"/>
      <c r="B38" s="8"/>
      <c r="C38" s="18"/>
      <c r="D38" s="18"/>
      <c r="E38" s="18"/>
      <c r="F38" s="18"/>
      <c r="G38" s="18"/>
      <c r="H38" s="18"/>
      <c r="I38" s="18"/>
      <c r="J38" s="341" t="str">
        <f>J53</f>
        <v>b</v>
      </c>
      <c r="K38" s="341" t="str">
        <f t="shared" ref="K38:AB38" si="0">K53</f>
        <v>bd</v>
      </c>
      <c r="L38" s="341" t="str">
        <f t="shared" si="0"/>
        <v>f</v>
      </c>
      <c r="M38" s="341" t="str">
        <f t="shared" si="0"/>
        <v>h</v>
      </c>
      <c r="N38" s="341" t="str">
        <f t="shared" si="0"/>
        <v>i</v>
      </c>
      <c r="O38" s="341" t="str">
        <f t="shared" si="0"/>
        <v>k</v>
      </c>
      <c r="P38" s="341" t="str">
        <f t="shared" si="0"/>
        <v>l</v>
      </c>
      <c r="Q38" s="341" t="str">
        <f>Q53</f>
        <v>lf</v>
      </c>
      <c r="R38" s="341" t="str">
        <f>R53</f>
        <v>ms</v>
      </c>
      <c r="S38" s="341" t="str">
        <f t="shared" si="0"/>
        <v>o</v>
      </c>
      <c r="T38" s="341" t="str">
        <f t="shared" si="0"/>
        <v>od</v>
      </c>
      <c r="U38" s="341" t="str">
        <f t="shared" si="0"/>
        <v>of</v>
      </c>
      <c r="V38" s="341" t="str">
        <f t="shared" si="0"/>
        <v>r</v>
      </c>
      <c r="W38" s="341" t="str">
        <f t="shared" si="0"/>
        <v>rd</v>
      </c>
      <c r="X38" s="341" t="str">
        <f t="shared" si="0"/>
        <v>v</v>
      </c>
      <c r="Y38" s="341" t="str">
        <f t="shared" si="0"/>
        <v>w</v>
      </c>
      <c r="Z38" s="341" t="str">
        <f t="shared" si="0"/>
        <v>wd</v>
      </c>
      <c r="AA38" s="341" t="str">
        <f t="shared" si="0"/>
        <v>z</v>
      </c>
      <c r="AB38" s="341" t="str">
        <f t="shared" si="0"/>
        <v>zd</v>
      </c>
      <c r="AC38" s="21"/>
      <c r="AD38" s="21"/>
      <c r="AE38" s="21"/>
      <c r="AF38" s="17"/>
      <c r="AG38" s="9"/>
      <c r="AH38" s="9"/>
      <c r="AI38" s="9"/>
    </row>
    <row r="39" spans="1:35" ht="12" customHeight="1" x14ac:dyDescent="0.25">
      <c r="A39" s="7"/>
      <c r="B39" s="8"/>
      <c r="C39" s="18"/>
      <c r="D39" s="18"/>
      <c r="E39" s="18"/>
      <c r="F39" s="24"/>
      <c r="G39" s="28"/>
      <c r="H39" s="28"/>
      <c r="I39" s="41" t="s">
        <v>3254</v>
      </c>
      <c r="J39" s="29" t="b">
        <v>1</v>
      </c>
      <c r="K39" s="29" t="b">
        <v>1</v>
      </c>
      <c r="L39" s="29" t="b">
        <v>0</v>
      </c>
      <c r="M39" s="29" t="b">
        <v>1</v>
      </c>
      <c r="N39" s="29" t="b">
        <v>0</v>
      </c>
      <c r="O39" s="29" t="b">
        <v>0</v>
      </c>
      <c r="P39" s="29" t="b">
        <v>1</v>
      </c>
      <c r="Q39" s="29" t="b">
        <v>0</v>
      </c>
      <c r="R39" s="29" t="b">
        <v>0</v>
      </c>
      <c r="S39" s="29" t="b">
        <v>1</v>
      </c>
      <c r="T39" s="29" t="b">
        <v>1</v>
      </c>
      <c r="U39" s="29" t="b">
        <v>0</v>
      </c>
      <c r="V39" s="29" t="b">
        <v>0</v>
      </c>
      <c r="W39" s="29" t="b">
        <v>0</v>
      </c>
      <c r="X39" s="29" t="b">
        <v>0</v>
      </c>
      <c r="Y39" s="29" t="b">
        <v>1</v>
      </c>
      <c r="Z39" s="29" t="b">
        <v>1</v>
      </c>
      <c r="AA39" s="29" t="b">
        <v>0</v>
      </c>
      <c r="AB39" s="29" t="b">
        <v>0</v>
      </c>
      <c r="AC39" s="27"/>
      <c r="AD39" s="27"/>
      <c r="AE39" s="27"/>
      <c r="AF39" s="17"/>
      <c r="AG39" s="9"/>
      <c r="AH39" s="9"/>
      <c r="AI39" s="9"/>
    </row>
    <row r="40" spans="1:35" ht="12" customHeight="1" x14ac:dyDescent="0.25">
      <c r="A40" s="7"/>
      <c r="B40" s="8"/>
      <c r="C40" s="18"/>
      <c r="D40" s="18"/>
      <c r="E40" s="18"/>
      <c r="F40" s="24"/>
      <c r="G40" s="28"/>
      <c r="H40" s="28"/>
      <c r="I40" s="31"/>
      <c r="J40" s="32"/>
      <c r="K40" s="32"/>
      <c r="L40" s="32"/>
      <c r="M40" s="32"/>
      <c r="N40" s="32"/>
      <c r="O40" s="32"/>
      <c r="P40" s="32"/>
      <c r="Q40" s="32"/>
      <c r="R40" s="30"/>
      <c r="S40" s="30"/>
      <c r="T40" s="30"/>
      <c r="U40" s="30"/>
      <c r="V40" s="30"/>
      <c r="W40" s="30"/>
      <c r="X40" s="30"/>
      <c r="Y40" s="30"/>
      <c r="Z40" s="27"/>
      <c r="AA40" s="27"/>
      <c r="AB40" s="27"/>
      <c r="AC40" s="27"/>
      <c r="AD40" s="27"/>
      <c r="AE40" s="27"/>
      <c r="AF40" s="17"/>
      <c r="AG40" s="9"/>
      <c r="AH40" s="9"/>
      <c r="AI40" s="9"/>
    </row>
    <row r="41" spans="1:35" ht="5.0999999999999996" customHeight="1" x14ac:dyDescent="0.25">
      <c r="A41" s="7"/>
      <c r="B41" s="8"/>
      <c r="C41" s="18"/>
      <c r="D41" s="18"/>
      <c r="E41" s="18"/>
      <c r="F41" s="33"/>
      <c r="G41" s="34"/>
      <c r="H41" s="34"/>
      <c r="I41" s="34"/>
      <c r="J41" s="35"/>
      <c r="K41" s="35"/>
      <c r="L41" s="35"/>
      <c r="M41" s="35"/>
      <c r="N41" s="35"/>
      <c r="O41" s="35"/>
      <c r="P41" s="35"/>
      <c r="Q41" s="35"/>
      <c r="R41" s="35"/>
      <c r="S41" s="35"/>
      <c r="T41" s="35"/>
      <c r="U41" s="35"/>
      <c r="V41" s="35"/>
      <c r="W41" s="35"/>
      <c r="X41" s="35"/>
      <c r="Y41" s="35"/>
      <c r="Z41" s="27"/>
      <c r="AA41" s="27"/>
      <c r="AB41" s="27"/>
      <c r="AC41" s="27"/>
      <c r="AD41" s="27"/>
      <c r="AE41" s="27"/>
      <c r="AF41" s="17"/>
      <c r="AG41" s="9"/>
      <c r="AH41" s="9"/>
      <c r="AI41" s="9"/>
    </row>
    <row r="42" spans="1:35" ht="24.95" customHeight="1" x14ac:dyDescent="0.25">
      <c r="A42" s="7"/>
      <c r="B42" s="8"/>
      <c r="C42" s="36"/>
      <c r="D42" s="36"/>
      <c r="E42" s="36"/>
      <c r="F42" s="36"/>
      <c r="G42" s="37" t="str">
        <f>G32</f>
        <v>LIVESTOCK FEED - Grain is a Supplementary feed</v>
      </c>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8" t="s">
        <v>91</v>
      </c>
      <c r="AG42" s="9"/>
      <c r="AH42" s="9"/>
      <c r="AI42" s="9"/>
    </row>
    <row r="43" spans="1:35" ht="12" customHeight="1" x14ac:dyDescent="0.25">
      <c r="A43" s="7"/>
      <c r="B43" s="8"/>
      <c r="C43" s="8"/>
      <c r="D43" s="8"/>
      <c r="E43" s="8"/>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row>
    <row r="44" spans="1:35" ht="12" customHeight="1" x14ac:dyDescent="0.25">
      <c r="A44" s="7"/>
      <c r="B44" s="8"/>
      <c r="C44" s="8"/>
      <c r="D44" s="8"/>
      <c r="E44" s="8"/>
      <c r="F44" s="8"/>
      <c r="G44" s="8"/>
      <c r="H44" s="9"/>
      <c r="I44" s="9"/>
      <c r="J44" s="9"/>
      <c r="K44" s="9"/>
      <c r="L44" s="9"/>
      <c r="M44" s="9"/>
      <c r="N44" s="9"/>
      <c r="O44" s="9"/>
      <c r="P44" s="9"/>
      <c r="Q44" s="9"/>
      <c r="R44" s="9"/>
      <c r="S44" s="9"/>
      <c r="T44" s="9"/>
      <c r="U44" s="9"/>
      <c r="V44" s="9"/>
      <c r="W44" s="9"/>
      <c r="X44" s="9"/>
      <c r="Y44" s="9"/>
      <c r="Z44" s="9"/>
      <c r="AA44" s="9"/>
      <c r="AB44" s="9"/>
      <c r="AC44" s="9"/>
      <c r="AD44" s="9"/>
      <c r="AE44" s="9"/>
      <c r="AF44" s="9"/>
      <c r="AG44" s="8"/>
      <c r="AH44" s="8"/>
      <c r="AI44" s="8"/>
    </row>
    <row r="45" spans="1:35" ht="5.0999999999999996" customHeight="1" thickBot="1" x14ac:dyDescent="0.3">
      <c r="A45" s="7"/>
      <c r="B45" s="8"/>
      <c r="C45" s="8"/>
      <c r="D45" s="8"/>
      <c r="E45" s="8"/>
      <c r="F45" s="8"/>
      <c r="G45" s="8"/>
      <c r="H45" s="9"/>
      <c r="I45" s="9"/>
      <c r="J45" s="9"/>
      <c r="K45" s="9"/>
      <c r="L45" s="9"/>
      <c r="M45" s="9"/>
      <c r="N45" s="9"/>
      <c r="O45" s="9"/>
      <c r="P45" s="9"/>
      <c r="Q45" s="9"/>
      <c r="R45" s="9"/>
      <c r="S45" s="9"/>
      <c r="T45" s="9"/>
      <c r="U45" s="9"/>
      <c r="V45" s="9"/>
      <c r="W45" s="9"/>
      <c r="X45" s="9"/>
      <c r="Y45" s="9"/>
      <c r="Z45" s="9"/>
      <c r="AA45" s="9"/>
      <c r="AB45" s="9"/>
      <c r="AC45" s="9"/>
      <c r="AD45" s="9"/>
      <c r="AE45" s="9"/>
      <c r="AF45" s="9"/>
      <c r="AG45" s="8"/>
      <c r="AH45" s="8"/>
      <c r="AI45" s="8"/>
    </row>
    <row r="46" spans="1:35" ht="5.0999999999999996" customHeight="1" x14ac:dyDescent="0.25">
      <c r="A46" s="7"/>
      <c r="B46" s="8"/>
      <c r="C46" s="10" t="s">
        <v>86</v>
      </c>
      <c r="D46" s="10"/>
      <c r="E46" s="10"/>
      <c r="F46" s="10"/>
      <c r="G46" s="10"/>
      <c r="H46" s="10"/>
      <c r="I46" s="10"/>
      <c r="J46" s="10"/>
      <c r="K46" s="10"/>
      <c r="L46" s="11"/>
      <c r="M46" s="11"/>
      <c r="N46" s="11"/>
      <c r="O46" s="11"/>
      <c r="P46" s="11"/>
      <c r="Q46" s="11"/>
      <c r="R46" s="11"/>
      <c r="S46" s="11"/>
      <c r="T46" s="11"/>
      <c r="U46" s="11"/>
      <c r="V46" s="11"/>
      <c r="W46" s="11"/>
      <c r="X46" s="11"/>
      <c r="Y46" s="11"/>
      <c r="Z46" s="11"/>
      <c r="AA46" s="11"/>
      <c r="AB46" s="11"/>
      <c r="AC46" s="11"/>
      <c r="AD46" s="11"/>
      <c r="AE46" s="11"/>
      <c r="AF46" s="12"/>
      <c r="AG46" s="9"/>
      <c r="AH46" s="9"/>
      <c r="AI46" s="9"/>
    </row>
    <row r="47" spans="1:35" ht="12" customHeight="1" x14ac:dyDescent="0.25">
      <c r="A47" s="7"/>
      <c r="B47" s="8"/>
      <c r="C47" s="13"/>
      <c r="D47" s="13"/>
      <c r="E47" s="13" t="s">
        <v>87</v>
      </c>
      <c r="F47" s="14"/>
      <c r="G47" s="15" t="s">
        <v>88</v>
      </c>
      <c r="H47" s="14"/>
      <c r="I47" s="14"/>
      <c r="J47" s="14"/>
      <c r="K47" s="14"/>
      <c r="L47" s="14"/>
      <c r="M47" s="14"/>
      <c r="N47" s="14"/>
      <c r="O47" s="14"/>
      <c r="P47" s="14"/>
      <c r="Q47" s="14"/>
      <c r="R47" s="14"/>
      <c r="S47" s="14"/>
      <c r="T47" s="14"/>
      <c r="U47" s="14"/>
      <c r="V47" s="14"/>
      <c r="W47" s="16"/>
      <c r="X47" s="14"/>
      <c r="Y47" s="16"/>
      <c r="Z47" s="16"/>
      <c r="AA47" s="16"/>
      <c r="AB47" s="16"/>
      <c r="AC47" s="16"/>
      <c r="AD47" s="16"/>
      <c r="AE47" s="16"/>
      <c r="AF47" s="17"/>
      <c r="AG47" s="9"/>
      <c r="AH47" s="9"/>
      <c r="AI47" s="9"/>
    </row>
    <row r="48" spans="1:35" ht="12" customHeight="1" x14ac:dyDescent="0.25">
      <c r="A48" s="7"/>
      <c r="B48" s="8"/>
      <c r="C48" s="13"/>
      <c r="D48" s="13"/>
      <c r="E48" s="18"/>
      <c r="F48" s="14"/>
      <c r="G48" s="14" t="s">
        <v>89</v>
      </c>
      <c r="H48" s="14"/>
      <c r="I48" s="14"/>
      <c r="J48" s="14"/>
      <c r="K48" s="14"/>
      <c r="L48" s="14"/>
      <c r="M48" s="14"/>
      <c r="N48" s="14"/>
      <c r="O48" s="14"/>
      <c r="P48" s="14"/>
      <c r="Q48" s="14"/>
      <c r="R48" s="14"/>
      <c r="S48" s="14"/>
      <c r="T48" s="14"/>
      <c r="U48" s="14"/>
      <c r="V48" s="14"/>
      <c r="W48" s="16"/>
      <c r="X48" s="19"/>
      <c r="Y48" s="16"/>
      <c r="Z48" s="16"/>
      <c r="AA48" s="16"/>
      <c r="AB48" s="16"/>
      <c r="AC48" s="16"/>
      <c r="AD48" s="16"/>
      <c r="AE48" s="16"/>
      <c r="AF48" s="17"/>
      <c r="AG48" s="9"/>
      <c r="AH48" s="9"/>
      <c r="AI48" s="9"/>
    </row>
    <row r="49" spans="1:35" ht="12" customHeight="1" x14ac:dyDescent="0.25">
      <c r="A49" s="7"/>
      <c r="B49" s="8"/>
      <c r="C49" s="18"/>
      <c r="D49" s="13"/>
      <c r="E49" s="18"/>
      <c r="F49" s="14"/>
      <c r="G49" s="20">
        <v>38576.728773148148</v>
      </c>
      <c r="H49" s="14"/>
      <c r="I49" s="14"/>
      <c r="J49" s="14"/>
      <c r="K49" s="14"/>
      <c r="L49" s="14"/>
      <c r="M49" s="14"/>
      <c r="N49" s="14"/>
      <c r="O49" s="14"/>
      <c r="P49" s="14"/>
      <c r="Q49" s="14"/>
      <c r="R49" s="14"/>
      <c r="S49" s="14"/>
      <c r="T49" s="14"/>
      <c r="U49" s="14"/>
      <c r="V49" s="14"/>
      <c r="W49" s="16"/>
      <c r="X49" s="19"/>
      <c r="Y49" s="16"/>
      <c r="Z49" s="16"/>
      <c r="AA49" s="16"/>
      <c r="AB49" s="16"/>
      <c r="AC49" s="16"/>
      <c r="AD49" s="16"/>
      <c r="AE49" s="16"/>
      <c r="AF49" s="17"/>
      <c r="AG49" s="9"/>
      <c r="AH49" s="9"/>
      <c r="AI49" s="9"/>
    </row>
    <row r="50" spans="1:35" ht="12" customHeight="1" x14ac:dyDescent="0.25">
      <c r="A50" s="7"/>
      <c r="B50" s="8"/>
      <c r="C50" s="18"/>
      <c r="D50" s="18"/>
      <c r="E50" s="18"/>
      <c r="F50" s="18"/>
      <c r="G50" s="18"/>
      <c r="H50" s="18"/>
      <c r="I50" s="18"/>
      <c r="J50" s="21"/>
      <c r="K50" s="21"/>
      <c r="L50" s="21"/>
      <c r="M50" s="21"/>
      <c r="N50" s="21"/>
      <c r="O50" s="21"/>
      <c r="P50" s="21"/>
      <c r="Q50" s="21"/>
      <c r="R50" s="21"/>
      <c r="S50" s="21"/>
      <c r="T50" s="21"/>
      <c r="U50" s="21"/>
      <c r="V50" s="21"/>
      <c r="W50" s="21"/>
      <c r="X50" s="21"/>
      <c r="Y50" s="21"/>
      <c r="Z50" s="21"/>
      <c r="AA50" s="21"/>
      <c r="AB50" s="21"/>
      <c r="AC50" s="21"/>
      <c r="AD50" s="21"/>
      <c r="AE50" s="21"/>
      <c r="AF50" s="17"/>
      <c r="AG50" s="9"/>
      <c r="AH50" s="9"/>
      <c r="AI50" s="9"/>
    </row>
    <row r="51" spans="1:35" ht="12" customHeight="1" x14ac:dyDescent="0.25">
      <c r="A51" s="7"/>
      <c r="B51" s="8"/>
      <c r="C51" s="18"/>
      <c r="D51" s="18"/>
      <c r="E51" s="18"/>
      <c r="F51" s="18"/>
      <c r="G51" s="18"/>
      <c r="H51" s="18"/>
      <c r="I51" s="18"/>
      <c r="J51" s="18"/>
      <c r="K51" s="18"/>
      <c r="L51" s="18"/>
      <c r="M51" s="18"/>
      <c r="N51" s="21"/>
      <c r="O51" s="21"/>
      <c r="P51" s="21"/>
      <c r="Q51" s="21"/>
      <c r="R51" s="21"/>
      <c r="S51" s="21"/>
      <c r="T51" s="21"/>
      <c r="U51" s="21"/>
      <c r="V51" s="21"/>
      <c r="W51" s="21"/>
      <c r="X51" s="21"/>
      <c r="Y51" s="21"/>
      <c r="Z51" s="21"/>
      <c r="AA51" s="21"/>
      <c r="AB51" s="21"/>
      <c r="AC51" s="21"/>
      <c r="AD51" s="21"/>
      <c r="AE51" s="21"/>
      <c r="AF51" s="17"/>
      <c r="AG51" s="9"/>
      <c r="AH51" s="9"/>
      <c r="AI51" s="9"/>
    </row>
    <row r="52" spans="1:35" ht="12" customHeight="1" x14ac:dyDescent="0.25">
      <c r="A52" s="7"/>
      <c r="B52" s="8"/>
      <c r="C52" s="18"/>
      <c r="D52" s="18"/>
      <c r="E52" s="18"/>
      <c r="F52" s="18"/>
      <c r="G52" s="18"/>
      <c r="H52" s="18"/>
      <c r="I52" s="18"/>
      <c r="J52" s="22"/>
      <c r="K52" s="22"/>
      <c r="L52" s="22"/>
      <c r="M52" s="22"/>
      <c r="N52" s="23"/>
      <c r="O52" s="23"/>
      <c r="P52" s="23"/>
      <c r="Q52" s="23"/>
      <c r="R52" s="23"/>
      <c r="S52" s="23"/>
      <c r="T52" s="23"/>
      <c r="U52" s="23"/>
      <c r="V52" s="23"/>
      <c r="W52" s="21"/>
      <c r="X52" s="21"/>
      <c r="Y52" s="21"/>
      <c r="Z52" s="21"/>
      <c r="AA52" s="21"/>
      <c r="AB52" s="21"/>
      <c r="AC52" s="21"/>
      <c r="AD52" s="21"/>
      <c r="AE52" s="21"/>
      <c r="AF52" s="17"/>
      <c r="AG52" s="9"/>
      <c r="AH52" s="9"/>
      <c r="AI52" s="9"/>
    </row>
    <row r="53" spans="1:35" ht="12" customHeight="1" x14ac:dyDescent="0.25">
      <c r="A53" s="7"/>
      <c r="B53" s="8"/>
      <c r="C53" s="18"/>
      <c r="D53" s="18"/>
      <c r="E53" s="18"/>
      <c r="F53" s="18"/>
      <c r="G53" s="18"/>
      <c r="H53" s="18"/>
      <c r="I53" s="18"/>
      <c r="J53" s="341" t="str" cm="1">
        <f t="array" ref="J53:AB53">TRANSPOSE(General!G66:G84)</f>
        <v>b</v>
      </c>
      <c r="K53" s="341" t="str">
        <v>bd</v>
      </c>
      <c r="L53" s="341" t="str">
        <v>f</v>
      </c>
      <c r="M53" s="341" t="str">
        <v>h</v>
      </c>
      <c r="N53" s="341" t="str">
        <v>i</v>
      </c>
      <c r="O53" s="341" t="str">
        <v>k</v>
      </c>
      <c r="P53" s="341" t="str">
        <v>l</v>
      </c>
      <c r="Q53" s="341" t="str">
        <v>lf</v>
      </c>
      <c r="R53" s="341" t="str">
        <v>ms</v>
      </c>
      <c r="S53" s="341" t="str">
        <v>o</v>
      </c>
      <c r="T53" s="341" t="str">
        <v>od</v>
      </c>
      <c r="U53" s="341" t="str">
        <v>of</v>
      </c>
      <c r="V53" s="341" t="str">
        <v>r</v>
      </c>
      <c r="W53" s="341" t="str">
        <v>rd</v>
      </c>
      <c r="X53" s="341" t="str">
        <v>v</v>
      </c>
      <c r="Y53" s="341" t="str">
        <v>w</v>
      </c>
      <c r="Z53" s="341" t="str">
        <v>wd</v>
      </c>
      <c r="AA53" s="341" t="str">
        <v>z</v>
      </c>
      <c r="AB53" s="341" t="str">
        <v>zd</v>
      </c>
      <c r="AC53" s="21"/>
      <c r="AD53" s="21"/>
      <c r="AE53" s="21"/>
      <c r="AF53" s="17"/>
      <c r="AG53" s="9"/>
      <c r="AH53" s="9"/>
      <c r="AI53" s="9"/>
    </row>
    <row r="54" spans="1:35" ht="12" customHeight="1" x14ac:dyDescent="0.25">
      <c r="A54" s="7"/>
      <c r="B54" s="8"/>
      <c r="C54" s="18"/>
      <c r="D54" s="18"/>
      <c r="E54" s="18"/>
      <c r="F54" s="24"/>
      <c r="G54" s="28" t="s">
        <v>3191</v>
      </c>
      <c r="H54" s="28"/>
      <c r="I54" s="41" t="s">
        <v>3190</v>
      </c>
      <c r="J54" s="29">
        <v>12100</v>
      </c>
      <c r="K54" s="29">
        <v>12100</v>
      </c>
      <c r="L54" s="29">
        <v>0</v>
      </c>
      <c r="M54" s="29">
        <v>7000</v>
      </c>
      <c r="N54" s="29">
        <v>0</v>
      </c>
      <c r="O54" s="29">
        <v>0</v>
      </c>
      <c r="P54" s="29">
        <v>13300</v>
      </c>
      <c r="Q54" s="29">
        <v>0</v>
      </c>
      <c r="R54" s="29">
        <f>0.65*J54+0.35*P54</f>
        <v>12520</v>
      </c>
      <c r="S54" s="29">
        <v>11400</v>
      </c>
      <c r="T54" s="29">
        <v>11400</v>
      </c>
      <c r="U54" s="29">
        <v>0</v>
      </c>
      <c r="V54" s="29">
        <v>0</v>
      </c>
      <c r="W54" s="29">
        <v>0</v>
      </c>
      <c r="X54" s="29">
        <v>0</v>
      </c>
      <c r="Y54" s="29">
        <v>12100</v>
      </c>
      <c r="Z54" s="29">
        <v>12100</v>
      </c>
      <c r="AA54" s="29">
        <v>0</v>
      </c>
      <c r="AB54" s="29">
        <v>0</v>
      </c>
      <c r="AC54" s="27"/>
      <c r="AD54" s="27"/>
      <c r="AE54" s="27"/>
      <c r="AF54" s="17"/>
      <c r="AG54" s="9"/>
      <c r="AH54" s="9"/>
      <c r="AI54" s="9"/>
    </row>
    <row r="55" spans="1:35" ht="12" customHeight="1" x14ac:dyDescent="0.25">
      <c r="A55" s="7"/>
      <c r="B55" s="8"/>
      <c r="C55" s="18"/>
      <c r="D55" s="18"/>
      <c r="E55" s="18"/>
      <c r="F55" s="24"/>
      <c r="G55" s="30" t="s">
        <v>237</v>
      </c>
      <c r="H55" s="28"/>
      <c r="I55" s="41" t="s">
        <v>3192</v>
      </c>
      <c r="J55" s="43">
        <v>0.12</v>
      </c>
      <c r="K55" s="43">
        <v>0.12</v>
      </c>
      <c r="L55" s="43">
        <v>0.216</v>
      </c>
      <c r="M55" s="43">
        <v>0.08</v>
      </c>
      <c r="N55" s="43">
        <v>0.216</v>
      </c>
      <c r="O55" s="43">
        <v>0.216</v>
      </c>
      <c r="P55" s="43">
        <v>0.3</v>
      </c>
      <c r="Q55" s="43">
        <v>0.3</v>
      </c>
      <c r="R55" s="43">
        <f t="shared" ref="R55:R58" si="1">0.65*J55+0.35*P55</f>
        <v>0.183</v>
      </c>
      <c r="S55" s="43">
        <v>0.1</v>
      </c>
      <c r="T55" s="43">
        <v>0.1</v>
      </c>
      <c r="U55" s="43">
        <v>0.1</v>
      </c>
      <c r="V55" s="43">
        <v>0.215</v>
      </c>
      <c r="W55" s="43">
        <v>0.215</v>
      </c>
      <c r="X55" s="43">
        <v>0.08</v>
      </c>
      <c r="Y55" s="43">
        <v>0.125</v>
      </c>
      <c r="Z55" s="43">
        <v>0.125</v>
      </c>
      <c r="AA55" s="43">
        <v>0.215</v>
      </c>
      <c r="AB55" s="43">
        <v>0.215</v>
      </c>
      <c r="AC55" s="27"/>
      <c r="AD55" s="27"/>
      <c r="AE55" s="27"/>
      <c r="AF55" s="17"/>
      <c r="AG55" s="9"/>
      <c r="AH55" s="9"/>
      <c r="AI55" s="9"/>
    </row>
    <row r="56" spans="1:35" ht="12" customHeight="1" x14ac:dyDescent="0.25">
      <c r="A56" s="7"/>
      <c r="B56" s="8"/>
      <c r="C56" s="18"/>
      <c r="D56" s="18"/>
      <c r="E56" s="18"/>
      <c r="F56" s="24"/>
      <c r="G56" s="30" t="s">
        <v>237</v>
      </c>
      <c r="H56" s="28"/>
      <c r="I56" s="41" t="s">
        <v>3193</v>
      </c>
      <c r="J56" s="43">
        <v>0.9</v>
      </c>
      <c r="K56" s="43">
        <v>0.9</v>
      </c>
      <c r="L56" s="43">
        <v>0.9</v>
      </c>
      <c r="M56" s="43">
        <v>0.9</v>
      </c>
      <c r="N56" s="43">
        <v>0.9</v>
      </c>
      <c r="O56" s="43">
        <v>0.9</v>
      </c>
      <c r="P56" s="43">
        <v>0.9</v>
      </c>
      <c r="Q56" s="43">
        <v>0.9</v>
      </c>
      <c r="R56" s="43">
        <f t="shared" si="1"/>
        <v>0.90000000000000013</v>
      </c>
      <c r="S56" s="43">
        <v>0.9</v>
      </c>
      <c r="T56" s="43">
        <v>0.9</v>
      </c>
      <c r="U56" s="43">
        <v>0.9</v>
      </c>
      <c r="V56" s="43">
        <v>0.9</v>
      </c>
      <c r="W56" s="43">
        <v>0.9</v>
      </c>
      <c r="X56" s="43">
        <v>0.9</v>
      </c>
      <c r="Y56" s="43">
        <v>0.9</v>
      </c>
      <c r="Z56" s="43">
        <v>0.9</v>
      </c>
      <c r="AA56" s="43">
        <v>0.9</v>
      </c>
      <c r="AB56" s="43">
        <v>0.9</v>
      </c>
      <c r="AC56" s="27"/>
      <c r="AD56" s="27"/>
      <c r="AE56" s="27"/>
      <c r="AF56" s="17"/>
      <c r="AG56" s="9"/>
      <c r="AH56" s="9"/>
      <c r="AI56" s="9"/>
    </row>
    <row r="57" spans="1:35" ht="12" customHeight="1" x14ac:dyDescent="0.25">
      <c r="A57" s="7"/>
      <c r="B57" s="8"/>
      <c r="C57" s="18"/>
      <c r="D57" s="18"/>
      <c r="E57" s="18"/>
      <c r="F57" s="24"/>
      <c r="G57" s="30" t="s">
        <v>237</v>
      </c>
      <c r="H57" s="28"/>
      <c r="I57" s="41" t="s">
        <v>3194</v>
      </c>
      <c r="J57" s="43">
        <v>0.9</v>
      </c>
      <c r="K57" s="43">
        <v>0.9</v>
      </c>
      <c r="L57" s="43">
        <v>0.9</v>
      </c>
      <c r="M57" s="43">
        <v>0.75</v>
      </c>
      <c r="N57" s="43">
        <v>0.75</v>
      </c>
      <c r="O57" s="43">
        <v>0.75</v>
      </c>
      <c r="P57" s="43">
        <v>0.98</v>
      </c>
      <c r="Q57" s="43">
        <v>0.98</v>
      </c>
      <c r="R57" s="43">
        <f t="shared" si="1"/>
        <v>0.92800000000000005</v>
      </c>
      <c r="S57" s="43">
        <v>0.9</v>
      </c>
      <c r="T57" s="43">
        <v>0.9</v>
      </c>
      <c r="U57" s="43">
        <v>0.9</v>
      </c>
      <c r="V57" s="43">
        <v>0.75</v>
      </c>
      <c r="W57" s="43">
        <v>0.75</v>
      </c>
      <c r="X57" s="43">
        <v>0.75</v>
      </c>
      <c r="Y57" s="43">
        <v>0.9</v>
      </c>
      <c r="Z57" s="43">
        <v>0.9</v>
      </c>
      <c r="AA57" s="43">
        <v>0.75</v>
      </c>
      <c r="AB57" s="43">
        <v>0.75</v>
      </c>
      <c r="AC57" s="27"/>
      <c r="AD57" s="27"/>
      <c r="AE57" s="27"/>
      <c r="AF57" s="17"/>
      <c r="AG57" s="9"/>
      <c r="AH57" s="9"/>
      <c r="AI57" s="9"/>
    </row>
    <row r="58" spans="1:35" ht="12" customHeight="1" x14ac:dyDescent="0.25">
      <c r="A58" s="7"/>
      <c r="B58" s="8"/>
      <c r="C58" s="18"/>
      <c r="D58" s="18"/>
      <c r="E58" s="18"/>
      <c r="F58" s="24"/>
      <c r="G58" s="30" t="s">
        <v>237</v>
      </c>
      <c r="H58" s="28"/>
      <c r="I58" s="41" t="s">
        <v>3195</v>
      </c>
      <c r="J58" s="43">
        <v>1</v>
      </c>
      <c r="K58" s="43">
        <v>1</v>
      </c>
      <c r="L58" s="43">
        <v>1</v>
      </c>
      <c r="M58" s="43">
        <v>1</v>
      </c>
      <c r="N58" s="43">
        <v>1</v>
      </c>
      <c r="O58" s="43">
        <v>1</v>
      </c>
      <c r="P58" s="43">
        <v>1</v>
      </c>
      <c r="Q58" s="43">
        <v>1</v>
      </c>
      <c r="R58" s="43">
        <f t="shared" si="1"/>
        <v>1</v>
      </c>
      <c r="S58" s="43">
        <v>1</v>
      </c>
      <c r="T58" s="43">
        <v>1</v>
      </c>
      <c r="U58" s="43">
        <v>1</v>
      </c>
      <c r="V58" s="43">
        <v>1</v>
      </c>
      <c r="W58" s="43">
        <v>1</v>
      </c>
      <c r="X58" s="43">
        <v>1</v>
      </c>
      <c r="Y58" s="43">
        <v>1</v>
      </c>
      <c r="Z58" s="43">
        <v>1</v>
      </c>
      <c r="AA58" s="43">
        <v>1</v>
      </c>
      <c r="AB58" s="43">
        <v>1</v>
      </c>
      <c r="AC58" s="27"/>
      <c r="AD58" s="27"/>
      <c r="AE58" s="27"/>
      <c r="AF58" s="17"/>
      <c r="AG58" s="9"/>
      <c r="AH58" s="9"/>
      <c r="AI58" s="9"/>
    </row>
    <row r="59" spans="1:35" ht="12" customHeight="1" x14ac:dyDescent="0.25">
      <c r="A59" s="7"/>
      <c r="B59" s="8"/>
      <c r="C59" s="18"/>
      <c r="D59" s="18"/>
      <c r="E59" s="18"/>
      <c r="F59" s="24"/>
      <c r="G59" s="28"/>
      <c r="H59" s="28"/>
      <c r="I59" s="31"/>
      <c r="J59" s="32"/>
      <c r="K59" s="32"/>
      <c r="L59" s="32"/>
      <c r="M59" s="32"/>
      <c r="N59" s="32"/>
      <c r="O59" s="32"/>
      <c r="P59" s="32"/>
      <c r="Q59" s="32"/>
      <c r="R59" s="30"/>
      <c r="S59" s="30"/>
      <c r="T59" s="30"/>
      <c r="U59" s="30"/>
      <c r="V59" s="30"/>
      <c r="W59" s="30"/>
      <c r="X59" s="30"/>
      <c r="Y59" s="30"/>
      <c r="Z59" s="27"/>
      <c r="AA59" s="27"/>
      <c r="AB59" s="27"/>
      <c r="AC59" s="27"/>
      <c r="AD59" s="27"/>
      <c r="AE59" s="27"/>
      <c r="AF59" s="17"/>
      <c r="AG59" s="9"/>
      <c r="AH59" s="9"/>
      <c r="AI59" s="9"/>
    </row>
    <row r="60" spans="1:35" ht="5.0999999999999996" customHeight="1" x14ac:dyDescent="0.25">
      <c r="A60" s="7"/>
      <c r="B60" s="8"/>
      <c r="C60" s="18"/>
      <c r="D60" s="18"/>
      <c r="E60" s="18"/>
      <c r="F60" s="33"/>
      <c r="G60" s="34"/>
      <c r="H60" s="34"/>
      <c r="I60" s="34"/>
      <c r="J60" s="35"/>
      <c r="K60" s="35"/>
      <c r="L60" s="35"/>
      <c r="M60" s="35"/>
      <c r="N60" s="35"/>
      <c r="O60" s="35"/>
      <c r="P60" s="35"/>
      <c r="Q60" s="35"/>
      <c r="R60" s="35"/>
      <c r="S60" s="35"/>
      <c r="T60" s="35"/>
      <c r="U60" s="35"/>
      <c r="V60" s="35"/>
      <c r="W60" s="35"/>
      <c r="X60" s="35"/>
      <c r="Y60" s="35"/>
      <c r="Z60" s="27"/>
      <c r="AA60" s="27"/>
      <c r="AB60" s="27"/>
      <c r="AC60" s="27"/>
      <c r="AD60" s="27"/>
      <c r="AE60" s="27"/>
      <c r="AF60" s="17"/>
      <c r="AG60" s="9"/>
      <c r="AH60" s="9"/>
      <c r="AI60" s="9"/>
    </row>
    <row r="61" spans="1:35" ht="24.95" customHeight="1" x14ac:dyDescent="0.25">
      <c r="A61" s="7"/>
      <c r="B61" s="8"/>
      <c r="C61" s="36"/>
      <c r="D61" s="36"/>
      <c r="E61" s="36"/>
      <c r="F61" s="36"/>
      <c r="G61" s="37" t="str">
        <f>G47</f>
        <v>LIVESTOCK FEED - ENERGY, VOLUMES, EATEN</v>
      </c>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8" t="s">
        <v>91</v>
      </c>
      <c r="AG61" s="9"/>
      <c r="AH61" s="9"/>
      <c r="AI61" s="9"/>
    </row>
    <row r="62" spans="1:35" ht="12" customHeight="1" x14ac:dyDescent="0.25">
      <c r="A62" s="7"/>
      <c r="B62" s="8"/>
      <c r="C62" s="8"/>
      <c r="D62" s="8"/>
      <c r="E62" s="8"/>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row>
    <row r="63" spans="1:35" ht="12" customHeight="1" thickBot="1" x14ac:dyDescent="0.3">
      <c r="A63" s="7"/>
      <c r="B63" s="8"/>
      <c r="C63" s="8"/>
      <c r="D63" s="8"/>
      <c r="E63" s="8"/>
      <c r="F63" s="8"/>
      <c r="G63" s="8"/>
      <c r="H63" s="9"/>
      <c r="I63" s="9"/>
      <c r="J63" s="9"/>
      <c r="K63" s="9"/>
      <c r="L63" s="9"/>
      <c r="M63" s="9"/>
      <c r="N63" s="9"/>
      <c r="O63" s="9"/>
      <c r="P63" s="9"/>
      <c r="Q63" s="9"/>
      <c r="R63" s="9"/>
      <c r="S63" s="9"/>
      <c r="T63" s="9"/>
      <c r="U63" s="9"/>
      <c r="V63" s="9"/>
      <c r="W63" s="9"/>
      <c r="X63" s="9"/>
      <c r="Y63" s="9"/>
      <c r="Z63" s="9"/>
      <c r="AA63" s="9"/>
      <c r="AB63" s="9"/>
      <c r="AC63" s="9"/>
      <c r="AD63" s="9"/>
      <c r="AE63" s="9"/>
      <c r="AF63" s="9"/>
      <c r="AG63" s="8"/>
      <c r="AH63" s="8"/>
      <c r="AI63" s="8"/>
    </row>
    <row r="64" spans="1:35" ht="12" customHeight="1" x14ac:dyDescent="0.25">
      <c r="A64" s="7"/>
      <c r="B64" s="8"/>
      <c r="C64" s="10" t="s">
        <v>86</v>
      </c>
      <c r="D64" s="10"/>
      <c r="E64" s="10"/>
      <c r="F64" s="10"/>
      <c r="G64" s="10"/>
      <c r="H64" s="10"/>
      <c r="I64" s="10"/>
      <c r="J64" s="10"/>
      <c r="K64" s="10"/>
      <c r="L64" s="11"/>
      <c r="M64" s="11"/>
      <c r="N64" s="11"/>
      <c r="O64" s="11"/>
      <c r="P64" s="11"/>
      <c r="Q64" s="11"/>
      <c r="R64" s="11"/>
      <c r="S64" s="11"/>
      <c r="T64" s="11"/>
      <c r="U64" s="11"/>
      <c r="V64" s="11"/>
      <c r="W64" s="11"/>
      <c r="X64" s="11"/>
      <c r="Y64" s="11"/>
      <c r="Z64" s="11"/>
      <c r="AA64" s="11"/>
      <c r="AB64" s="11"/>
      <c r="AC64" s="11"/>
      <c r="AD64" s="11"/>
      <c r="AE64" s="11"/>
      <c r="AF64" s="12"/>
      <c r="AG64" s="9"/>
      <c r="AH64" s="9"/>
      <c r="AI64" s="9"/>
    </row>
    <row r="65" spans="1:35" ht="12" customHeight="1" x14ac:dyDescent="0.25">
      <c r="A65" s="7"/>
      <c r="B65" s="8"/>
      <c r="C65" s="13"/>
      <c r="D65" s="13"/>
      <c r="E65" s="13" t="s">
        <v>87</v>
      </c>
      <c r="F65" s="14"/>
      <c r="G65" s="15" t="s">
        <v>99</v>
      </c>
      <c r="H65" s="14"/>
      <c r="I65" s="14"/>
      <c r="J65" s="14"/>
      <c r="K65" s="14"/>
      <c r="L65" s="14"/>
      <c r="M65" s="14"/>
      <c r="N65" s="14"/>
      <c r="O65" s="14"/>
      <c r="P65" s="14"/>
      <c r="Q65" s="14"/>
      <c r="R65" s="14"/>
      <c r="S65" s="14"/>
      <c r="T65" s="14"/>
      <c r="U65" s="14"/>
      <c r="V65" s="14"/>
      <c r="W65" s="16"/>
      <c r="X65" s="14"/>
      <c r="Y65" s="16"/>
      <c r="Z65" s="16"/>
      <c r="AA65" s="16"/>
      <c r="AB65" s="16"/>
      <c r="AC65" s="16"/>
      <c r="AD65" s="16"/>
      <c r="AE65" s="16"/>
      <c r="AF65" s="17"/>
      <c r="AG65" s="9"/>
      <c r="AH65" s="9"/>
      <c r="AI65" s="9"/>
    </row>
    <row r="66" spans="1:35" ht="12" customHeight="1" x14ac:dyDescent="0.25">
      <c r="A66" s="7"/>
      <c r="B66" s="8"/>
      <c r="C66" s="13"/>
      <c r="D66" s="13"/>
      <c r="E66" s="18"/>
      <c r="F66" s="14"/>
      <c r="G66" s="14" t="s">
        <v>98</v>
      </c>
      <c r="H66" s="14"/>
      <c r="I66" s="14"/>
      <c r="J66" s="14"/>
      <c r="K66" s="14"/>
      <c r="L66" s="14"/>
      <c r="M66" s="14"/>
      <c r="N66" s="14"/>
      <c r="O66" s="14"/>
      <c r="P66" s="14"/>
      <c r="Q66" s="14"/>
      <c r="R66" s="14"/>
      <c r="S66" s="14"/>
      <c r="T66" s="14"/>
      <c r="U66" s="14"/>
      <c r="V66" s="14"/>
      <c r="W66" s="16"/>
      <c r="X66" s="19"/>
      <c r="Y66" s="16"/>
      <c r="Z66" s="16"/>
      <c r="AA66" s="16"/>
      <c r="AB66" s="16"/>
      <c r="AC66" s="16"/>
      <c r="AD66" s="16"/>
      <c r="AE66" s="16"/>
      <c r="AF66" s="17"/>
      <c r="AG66" s="9"/>
      <c r="AH66" s="9"/>
      <c r="AI66" s="9"/>
    </row>
    <row r="67" spans="1:35" ht="12" customHeight="1" x14ac:dyDescent="0.25">
      <c r="A67" s="7"/>
      <c r="B67" s="8"/>
      <c r="C67" s="18"/>
      <c r="D67" s="13"/>
      <c r="E67" s="18"/>
      <c r="F67" s="14"/>
      <c r="G67" s="20">
        <v>43909</v>
      </c>
      <c r="H67" s="14"/>
      <c r="I67" s="14"/>
      <c r="J67" s="14"/>
      <c r="K67" s="14"/>
      <c r="L67" s="14"/>
      <c r="M67" s="14"/>
      <c r="N67" s="14"/>
      <c r="O67" s="14"/>
      <c r="P67" s="14"/>
      <c r="Q67" s="14"/>
      <c r="R67" s="14"/>
      <c r="S67" s="14"/>
      <c r="T67" s="14"/>
      <c r="U67" s="14"/>
      <c r="V67" s="14"/>
      <c r="W67" s="16"/>
      <c r="X67" s="19"/>
      <c r="Y67" s="16"/>
      <c r="Z67" s="16"/>
      <c r="AA67" s="16"/>
      <c r="AB67" s="16"/>
      <c r="AC67" s="16"/>
      <c r="AD67" s="16"/>
      <c r="AE67" s="16"/>
      <c r="AF67" s="17"/>
      <c r="AG67" s="9"/>
      <c r="AH67" s="9"/>
      <c r="AI67" s="9"/>
    </row>
    <row r="68" spans="1:35" ht="12" customHeight="1" x14ac:dyDescent="0.25">
      <c r="A68" s="7"/>
      <c r="B68" s="8"/>
      <c r="C68" s="18"/>
      <c r="D68" s="18"/>
      <c r="E68" s="18"/>
      <c r="F68" s="18"/>
      <c r="G68" s="18"/>
      <c r="H68" s="18"/>
      <c r="I68" s="18"/>
      <c r="J68" s="21"/>
      <c r="K68" s="21"/>
      <c r="L68" s="21"/>
      <c r="M68" s="21"/>
      <c r="N68" s="21"/>
      <c r="O68" s="21"/>
      <c r="P68" s="21"/>
      <c r="Q68" s="21"/>
      <c r="R68" s="21"/>
      <c r="S68" s="21"/>
      <c r="T68" s="21"/>
      <c r="U68" s="21"/>
      <c r="V68" s="21"/>
      <c r="W68" s="21"/>
      <c r="X68" s="21"/>
      <c r="Y68" s="21"/>
      <c r="Z68" s="21"/>
      <c r="AA68" s="21"/>
      <c r="AB68" s="21"/>
      <c r="AC68" s="21"/>
      <c r="AD68" s="21"/>
      <c r="AE68" s="21"/>
      <c r="AF68" s="17"/>
      <c r="AG68" s="9"/>
      <c r="AH68" s="9"/>
      <c r="AI68" s="9"/>
    </row>
    <row r="69" spans="1:35" ht="12" customHeight="1" x14ac:dyDescent="0.25">
      <c r="A69" s="7"/>
      <c r="B69" s="8"/>
      <c r="C69" s="18"/>
      <c r="D69" s="18"/>
      <c r="E69" s="18"/>
      <c r="F69" s="18"/>
      <c r="G69" s="18"/>
      <c r="H69" s="18"/>
      <c r="I69" s="18"/>
      <c r="J69" s="18"/>
      <c r="K69" s="18"/>
      <c r="L69" s="18"/>
      <c r="M69" s="18"/>
      <c r="N69" s="21"/>
      <c r="O69" s="21"/>
      <c r="P69" s="21"/>
      <c r="Q69" s="21"/>
      <c r="R69" s="21"/>
      <c r="S69" s="21"/>
      <c r="T69" s="21"/>
      <c r="U69" s="21"/>
      <c r="V69" s="21"/>
      <c r="W69" s="21"/>
      <c r="X69" s="21"/>
      <c r="Y69" s="21"/>
      <c r="Z69" s="21"/>
      <c r="AA69" s="21"/>
      <c r="AB69" s="21"/>
      <c r="AC69" s="21"/>
      <c r="AD69" s="21"/>
      <c r="AE69" s="21"/>
      <c r="AF69" s="17"/>
      <c r="AG69" s="9"/>
      <c r="AH69" s="9"/>
      <c r="AI69" s="9"/>
    </row>
    <row r="70" spans="1:35" ht="12" customHeight="1" x14ac:dyDescent="0.25">
      <c r="A70" s="7"/>
      <c r="B70" s="8"/>
      <c r="C70" s="18"/>
      <c r="D70" s="18"/>
      <c r="E70" s="18"/>
      <c r="F70" s="18"/>
      <c r="G70" s="18"/>
      <c r="H70" s="18"/>
      <c r="I70" s="18" t="s">
        <v>97</v>
      </c>
      <c r="J70" s="341" t="str" cm="1">
        <f t="array" ref="J70:AB70">TRANSPOSE(General!G66:G84)</f>
        <v>b</v>
      </c>
      <c r="K70" s="341" t="str">
        <v>bd</v>
      </c>
      <c r="L70" s="341" t="str">
        <v>f</v>
      </c>
      <c r="M70" s="341" t="str">
        <v>h</v>
      </c>
      <c r="N70" s="341" t="str">
        <v>i</v>
      </c>
      <c r="O70" s="341" t="str">
        <v>k</v>
      </c>
      <c r="P70" s="341" t="str">
        <v>l</v>
      </c>
      <c r="Q70" s="341" t="str">
        <v>lf</v>
      </c>
      <c r="R70" s="341" t="str">
        <v>ms</v>
      </c>
      <c r="S70" s="341" t="str">
        <v>o</v>
      </c>
      <c r="T70" s="341" t="str">
        <v>od</v>
      </c>
      <c r="U70" s="341" t="str">
        <v>of</v>
      </c>
      <c r="V70" s="341" t="str">
        <v>r</v>
      </c>
      <c r="W70" s="341" t="str">
        <v>rd</v>
      </c>
      <c r="X70" s="341" t="str">
        <v>v</v>
      </c>
      <c r="Y70" s="341" t="str">
        <v>w</v>
      </c>
      <c r="Z70" s="341" t="str">
        <v>wd</v>
      </c>
      <c r="AA70" s="341" t="str">
        <v>z</v>
      </c>
      <c r="AB70" s="341" t="str">
        <v>zd</v>
      </c>
      <c r="AC70" s="21"/>
      <c r="AD70" s="21"/>
      <c r="AE70" s="21"/>
      <c r="AF70" s="17"/>
      <c r="AG70" s="9"/>
      <c r="AH70" s="9"/>
      <c r="AI70" s="9"/>
    </row>
    <row r="71" spans="1:35" ht="12" customHeight="1" x14ac:dyDescent="0.25">
      <c r="A71" s="7"/>
      <c r="B71" s="8"/>
      <c r="C71" s="18"/>
      <c r="D71" s="18"/>
      <c r="E71" s="18"/>
      <c r="F71" s="24"/>
      <c r="G71" s="25"/>
      <c r="H71" s="25"/>
      <c r="I71" s="25" t="s">
        <v>96</v>
      </c>
      <c r="J71" s="26" t="s">
        <v>95</v>
      </c>
      <c r="K71" s="26" t="s">
        <v>95</v>
      </c>
      <c r="L71" s="26" t="s">
        <v>95</v>
      </c>
      <c r="M71" s="26" t="s">
        <v>2302</v>
      </c>
      <c r="N71" s="26" t="s">
        <v>95</v>
      </c>
      <c r="O71" s="26" t="s">
        <v>95</v>
      </c>
      <c r="P71" s="26" t="s">
        <v>95</v>
      </c>
      <c r="Q71" s="26" t="s">
        <v>95</v>
      </c>
      <c r="R71" s="26" t="s">
        <v>95</v>
      </c>
      <c r="S71" s="26" t="s">
        <v>95</v>
      </c>
      <c r="T71" s="26" t="s">
        <v>95</v>
      </c>
      <c r="U71" s="26" t="s">
        <v>95</v>
      </c>
      <c r="V71" s="26" t="s">
        <v>95</v>
      </c>
      <c r="W71" s="26" t="s">
        <v>95</v>
      </c>
      <c r="X71" s="26" t="s">
        <v>95</v>
      </c>
      <c r="Y71" s="26" t="s">
        <v>95</v>
      </c>
      <c r="Z71" s="26" t="s">
        <v>95</v>
      </c>
      <c r="AA71" s="26" t="s">
        <v>95</v>
      </c>
      <c r="AB71" s="26" t="s">
        <v>95</v>
      </c>
      <c r="AC71" s="27"/>
      <c r="AD71" s="27"/>
      <c r="AE71" s="27"/>
      <c r="AF71" s="17"/>
      <c r="AG71" s="9"/>
      <c r="AH71" s="9"/>
      <c r="AI71" s="9"/>
    </row>
    <row r="72" spans="1:35" ht="12" customHeight="1" x14ac:dyDescent="0.25">
      <c r="A72" s="7"/>
      <c r="B72" s="8"/>
      <c r="C72" s="18"/>
      <c r="D72" s="18"/>
      <c r="E72" s="18"/>
      <c r="F72" s="24"/>
      <c r="H72" s="28" t="s">
        <v>94</v>
      </c>
      <c r="I72" s="41" t="s">
        <v>100</v>
      </c>
      <c r="J72" s="40">
        <v>0.62</v>
      </c>
      <c r="K72" s="40">
        <v>0.62</v>
      </c>
      <c r="L72" s="40">
        <v>0.65</v>
      </c>
      <c r="M72" s="39">
        <v>1</v>
      </c>
      <c r="N72" s="40">
        <v>0.74</v>
      </c>
      <c r="O72" s="40">
        <v>0.74</v>
      </c>
      <c r="P72" s="40">
        <v>0.72</v>
      </c>
      <c r="Q72" s="40">
        <v>1.72</v>
      </c>
      <c r="R72" s="40">
        <f t="shared" ref="R72" si="2">0.65*J72+0.35*P72</f>
        <v>0.65500000000000003</v>
      </c>
      <c r="S72" s="40">
        <v>0.45</v>
      </c>
      <c r="T72" s="39">
        <v>0.45</v>
      </c>
      <c r="U72" s="39">
        <v>0.45</v>
      </c>
      <c r="V72" s="39">
        <v>0.67</v>
      </c>
      <c r="W72" s="39">
        <v>0.67</v>
      </c>
      <c r="X72" s="39">
        <v>0.72</v>
      </c>
      <c r="Y72" s="39">
        <v>0.75</v>
      </c>
      <c r="Z72" s="39">
        <v>0.75</v>
      </c>
      <c r="AA72" s="39">
        <v>0.67</v>
      </c>
      <c r="AB72" s="39">
        <v>0.67</v>
      </c>
      <c r="AC72" s="27"/>
      <c r="AD72" s="27"/>
      <c r="AE72" s="27"/>
      <c r="AF72" s="17"/>
      <c r="AG72" s="9"/>
      <c r="AH72" s="9"/>
      <c r="AI72" s="9"/>
    </row>
    <row r="73" spans="1:35" ht="12" customHeight="1" x14ac:dyDescent="0.25">
      <c r="A73" s="7"/>
      <c r="B73" s="8"/>
      <c r="C73" s="18"/>
      <c r="D73" s="18"/>
      <c r="E73" s="18"/>
      <c r="F73" s="33"/>
      <c r="G73" s="24"/>
      <c r="H73" s="24"/>
      <c r="I73" s="24"/>
      <c r="J73" s="27"/>
      <c r="K73" s="27"/>
      <c r="L73" s="27"/>
      <c r="M73" s="27"/>
      <c r="N73" s="27"/>
      <c r="O73" s="27"/>
      <c r="P73" s="27"/>
      <c r="Q73" s="27"/>
      <c r="R73" s="27"/>
      <c r="S73" s="27"/>
      <c r="T73" s="27"/>
      <c r="U73" s="27"/>
      <c r="V73" s="27"/>
      <c r="W73" s="27"/>
      <c r="X73" s="27"/>
      <c r="Y73" s="27"/>
      <c r="Z73" s="27"/>
      <c r="AA73" s="27"/>
      <c r="AB73" s="27"/>
      <c r="AC73" s="27"/>
      <c r="AD73" s="27"/>
      <c r="AE73" s="27"/>
      <c r="AF73" s="17"/>
      <c r="AG73" s="9"/>
      <c r="AH73" s="9"/>
      <c r="AI73" s="9"/>
    </row>
    <row r="74" spans="1:35" ht="12" customHeight="1" x14ac:dyDescent="0.25">
      <c r="A74" s="7"/>
      <c r="B74" s="8"/>
      <c r="C74" s="18"/>
      <c r="D74" s="18"/>
      <c r="E74" s="18"/>
      <c r="F74" s="33"/>
      <c r="G74" s="24"/>
      <c r="H74" s="24"/>
      <c r="I74" s="24"/>
      <c r="J74" s="27"/>
      <c r="K74" s="27"/>
      <c r="L74" s="27"/>
      <c r="M74" s="27"/>
      <c r="N74" s="27"/>
      <c r="O74" s="27"/>
      <c r="P74" s="27"/>
      <c r="Q74" s="27"/>
      <c r="R74" s="27"/>
      <c r="S74" s="27"/>
      <c r="T74" s="27"/>
      <c r="U74" s="27"/>
      <c r="V74" s="27"/>
      <c r="W74" s="27"/>
      <c r="X74" s="27"/>
      <c r="Y74" s="27"/>
      <c r="Z74" s="27"/>
      <c r="AA74" s="27"/>
      <c r="AB74" s="27"/>
      <c r="AC74" s="27"/>
      <c r="AD74" s="27"/>
      <c r="AE74" s="27"/>
      <c r="AF74" s="17"/>
      <c r="AG74" s="9"/>
      <c r="AH74" s="9"/>
      <c r="AI74" s="9"/>
    </row>
    <row r="75" spans="1:35" ht="12" customHeight="1" x14ac:dyDescent="0.25">
      <c r="A75" s="7"/>
      <c r="B75" s="8"/>
      <c r="C75" s="36"/>
      <c r="D75" s="36"/>
      <c r="E75" s="36"/>
      <c r="F75" s="36"/>
      <c r="G75" s="37" t="str">
        <f>G65</f>
        <v>LIVESTOCK FEEDS - STORAGE COSTS</v>
      </c>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8" t="s">
        <v>91</v>
      </c>
      <c r="AG75" s="9"/>
      <c r="AH75" s="9"/>
      <c r="AI75" s="9"/>
    </row>
    <row r="76" spans="1:35" ht="12" customHeight="1" x14ac:dyDescent="0.25">
      <c r="A76" s="7"/>
      <c r="B76" s="8"/>
      <c r="C76" s="8"/>
      <c r="D76" s="8"/>
      <c r="E76" s="8"/>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row>
    <row r="77" spans="1:35" ht="12" customHeight="1" thickBot="1" x14ac:dyDescent="0.3">
      <c r="A77" s="7"/>
      <c r="B77" s="8"/>
      <c r="C77" s="8"/>
      <c r="D77" s="8"/>
      <c r="E77" s="8"/>
      <c r="F77" s="8"/>
      <c r="G77" s="8"/>
      <c r="H77" s="9"/>
      <c r="I77" s="9"/>
      <c r="J77" s="9"/>
      <c r="K77" s="9"/>
      <c r="L77" s="9"/>
      <c r="M77" s="9"/>
      <c r="N77" s="9"/>
      <c r="O77" s="9"/>
      <c r="P77" s="9"/>
      <c r="Q77" s="9"/>
      <c r="R77" s="9"/>
      <c r="S77" s="9"/>
      <c r="T77" s="9"/>
      <c r="U77" s="9"/>
      <c r="V77" s="9"/>
      <c r="W77" s="9"/>
      <c r="X77" s="9"/>
      <c r="Y77" s="9"/>
      <c r="Z77" s="9"/>
      <c r="AA77" s="9"/>
      <c r="AB77" s="9"/>
      <c r="AC77" s="9"/>
      <c r="AD77" s="9"/>
      <c r="AE77" s="9"/>
      <c r="AF77" s="9"/>
      <c r="AG77" s="8"/>
      <c r="AH77" s="8"/>
      <c r="AI77" s="8"/>
    </row>
    <row r="78" spans="1:35" ht="12" customHeight="1" x14ac:dyDescent="0.25">
      <c r="A78" s="7"/>
      <c r="B78" s="8"/>
      <c r="C78" s="10" t="s">
        <v>86</v>
      </c>
      <c r="D78" s="10"/>
      <c r="E78" s="10"/>
      <c r="F78" s="10"/>
      <c r="G78" s="10"/>
      <c r="H78" s="10"/>
      <c r="I78" s="10"/>
      <c r="J78" s="10"/>
      <c r="K78" s="10"/>
      <c r="L78" s="11"/>
      <c r="M78" s="11"/>
      <c r="N78" s="11"/>
      <c r="O78" s="11"/>
      <c r="P78" s="11"/>
      <c r="Q78" s="11"/>
      <c r="R78" s="11"/>
      <c r="S78" s="11"/>
      <c r="T78" s="11"/>
      <c r="U78" s="11"/>
      <c r="V78" s="11"/>
      <c r="W78" s="11"/>
      <c r="X78" s="11"/>
      <c r="Y78" s="11"/>
      <c r="Z78" s="11"/>
      <c r="AA78" s="11"/>
      <c r="AB78" s="11"/>
      <c r="AC78" s="11"/>
      <c r="AD78" s="11"/>
      <c r="AE78" s="11"/>
      <c r="AF78" s="12"/>
      <c r="AG78" s="9"/>
      <c r="AH78" s="9"/>
      <c r="AI78" s="9"/>
    </row>
    <row r="79" spans="1:35" ht="12" customHeight="1" x14ac:dyDescent="0.25">
      <c r="A79" s="7"/>
      <c r="B79" s="8"/>
      <c r="C79" s="13"/>
      <c r="D79" s="13"/>
      <c r="E79" s="13" t="s">
        <v>87</v>
      </c>
      <c r="F79" s="14"/>
      <c r="G79" s="15" t="s">
        <v>2303</v>
      </c>
      <c r="H79" s="14"/>
      <c r="I79" s="14"/>
      <c r="J79" s="14"/>
      <c r="K79" s="14"/>
      <c r="L79" s="14"/>
      <c r="M79" s="14"/>
      <c r="N79" s="14"/>
      <c r="O79" s="14"/>
      <c r="P79" s="14"/>
      <c r="Q79" s="14"/>
      <c r="R79" s="14"/>
      <c r="S79" s="14"/>
      <c r="T79" s="14"/>
      <c r="U79" s="14"/>
      <c r="V79" s="14"/>
      <c r="W79" s="16"/>
      <c r="X79" s="14"/>
      <c r="Y79" s="16"/>
      <c r="Z79" s="16"/>
      <c r="AA79" s="16"/>
      <c r="AB79" s="16"/>
      <c r="AC79" s="16"/>
      <c r="AD79" s="16"/>
      <c r="AE79" s="16"/>
      <c r="AF79" s="17"/>
      <c r="AG79" s="9"/>
      <c r="AH79" s="9"/>
      <c r="AI79" s="9"/>
    </row>
    <row r="80" spans="1:35" ht="12" customHeight="1" x14ac:dyDescent="0.25">
      <c r="A80" s="7"/>
      <c r="B80" s="8"/>
      <c r="C80" s="13"/>
      <c r="D80" s="13"/>
      <c r="E80" s="18"/>
      <c r="F80" s="14"/>
      <c r="G80" s="14"/>
      <c r="H80" s="14"/>
      <c r="I80" s="14"/>
      <c r="J80" s="14"/>
      <c r="K80" s="14"/>
      <c r="L80" s="14"/>
      <c r="M80" s="14"/>
      <c r="N80" s="14"/>
      <c r="O80" s="14"/>
      <c r="P80" s="14"/>
      <c r="Q80" s="14"/>
      <c r="R80" s="14"/>
      <c r="S80" s="14"/>
      <c r="T80" s="14"/>
      <c r="U80" s="14"/>
      <c r="V80" s="14"/>
      <c r="W80" s="16"/>
      <c r="X80" s="19"/>
      <c r="Y80" s="16"/>
      <c r="Z80" s="16"/>
      <c r="AA80" s="16"/>
      <c r="AB80" s="16"/>
      <c r="AC80" s="16"/>
      <c r="AD80" s="16"/>
      <c r="AE80" s="16"/>
      <c r="AF80" s="17"/>
      <c r="AG80" s="9"/>
      <c r="AH80" s="9"/>
      <c r="AI80" s="9"/>
    </row>
    <row r="81" spans="1:35" ht="12" customHeight="1" x14ac:dyDescent="0.25">
      <c r="A81" s="7"/>
      <c r="B81" s="8"/>
      <c r="C81" s="18"/>
      <c r="D81" s="13"/>
      <c r="E81" s="18"/>
      <c r="F81" s="14"/>
      <c r="G81" s="20"/>
      <c r="H81" s="14"/>
      <c r="I81" s="14"/>
      <c r="J81" s="14"/>
      <c r="K81" s="14"/>
      <c r="L81" s="14"/>
      <c r="M81" s="14"/>
      <c r="N81" s="14"/>
      <c r="O81" s="14"/>
      <c r="P81" s="14"/>
      <c r="Q81" s="14"/>
      <c r="R81" s="14"/>
      <c r="S81" s="14"/>
      <c r="T81" s="14"/>
      <c r="U81" s="14"/>
      <c r="V81" s="14"/>
      <c r="W81" s="16"/>
      <c r="X81" s="19"/>
      <c r="Y81" s="16"/>
      <c r="Z81" s="16"/>
      <c r="AA81" s="16"/>
      <c r="AB81" s="16"/>
      <c r="AC81" s="16"/>
      <c r="AD81" s="16"/>
      <c r="AE81" s="16"/>
      <c r="AF81" s="17"/>
      <c r="AG81" s="9"/>
      <c r="AH81" s="9"/>
      <c r="AI81" s="9"/>
    </row>
    <row r="82" spans="1:35" ht="12" customHeight="1" x14ac:dyDescent="0.25">
      <c r="A82" s="7"/>
      <c r="B82" s="8"/>
      <c r="C82" s="18"/>
      <c r="D82" s="18"/>
      <c r="E82" s="18"/>
      <c r="F82" s="18"/>
      <c r="G82" s="18"/>
      <c r="H82" s="18"/>
      <c r="I82" s="18"/>
      <c r="J82" s="21"/>
      <c r="K82" s="21"/>
      <c r="L82" s="21"/>
      <c r="M82" s="21"/>
      <c r="N82" s="21"/>
      <c r="O82" s="21"/>
      <c r="P82" s="21"/>
      <c r="Q82" s="21"/>
      <c r="R82" s="21"/>
      <c r="S82" s="21"/>
      <c r="T82" s="21"/>
      <c r="U82" s="21"/>
      <c r="V82" s="21"/>
      <c r="W82" s="21"/>
      <c r="X82" s="21"/>
      <c r="Y82" s="21"/>
      <c r="Z82" s="21"/>
      <c r="AA82" s="21"/>
      <c r="AB82" s="21"/>
      <c r="AC82" s="21"/>
      <c r="AD82" s="21"/>
      <c r="AE82" s="21"/>
      <c r="AF82" s="17"/>
      <c r="AG82" s="9"/>
      <c r="AH82" s="9"/>
      <c r="AI82" s="9"/>
    </row>
    <row r="83" spans="1:35" ht="12" customHeight="1" x14ac:dyDescent="0.25">
      <c r="A83" s="7"/>
      <c r="B83" s="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21"/>
      <c r="AD83" s="21"/>
      <c r="AE83" s="21"/>
      <c r="AF83" s="17"/>
      <c r="AG83" s="9"/>
      <c r="AH83" s="9"/>
      <c r="AI83" s="9"/>
    </row>
    <row r="84" spans="1:35" ht="12" customHeight="1" x14ac:dyDescent="0.25">
      <c r="A84" s="7"/>
      <c r="B84" s="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21"/>
      <c r="AD84" s="21"/>
      <c r="AE84" s="21"/>
      <c r="AF84" s="17"/>
      <c r="AG84" s="9"/>
      <c r="AH84" s="9"/>
      <c r="AI84" s="9"/>
    </row>
    <row r="85" spans="1:35" ht="12" customHeight="1" x14ac:dyDescent="0.25">
      <c r="A85" s="7"/>
      <c r="B85" s="8"/>
      <c r="C85" s="18"/>
      <c r="D85" s="18"/>
      <c r="E85" s="18"/>
      <c r="F85" s="24"/>
      <c r="G85" s="25"/>
      <c r="H85" s="25"/>
      <c r="I85" s="25"/>
      <c r="J85" s="25"/>
      <c r="K85" s="25"/>
      <c r="L85" s="25"/>
      <c r="M85" s="25"/>
      <c r="N85" s="25"/>
      <c r="O85" s="25"/>
      <c r="P85" s="25"/>
      <c r="Q85" s="25"/>
      <c r="R85" s="25"/>
      <c r="S85" s="25"/>
      <c r="T85" s="25"/>
      <c r="U85" s="25"/>
      <c r="V85" s="25"/>
      <c r="W85" s="25"/>
      <c r="X85" s="25"/>
      <c r="Y85" s="25"/>
      <c r="Z85" s="25"/>
      <c r="AA85" s="25"/>
      <c r="AB85" s="25"/>
      <c r="AC85" s="27"/>
      <c r="AD85" s="27"/>
      <c r="AE85" s="27"/>
      <c r="AF85" s="17"/>
      <c r="AG85" s="9"/>
      <c r="AH85" s="9"/>
      <c r="AI85" s="9"/>
    </row>
    <row r="86" spans="1:35" ht="12" customHeight="1" x14ac:dyDescent="0.25">
      <c r="A86" s="7"/>
      <c r="B86" s="8"/>
      <c r="C86" s="18"/>
      <c r="D86" s="18"/>
      <c r="E86" s="18"/>
      <c r="F86" s="24"/>
      <c r="I86" t="s">
        <v>2304</v>
      </c>
      <c r="AC86" s="27"/>
      <c r="AD86" s="27"/>
      <c r="AE86" s="27"/>
      <c r="AF86" s="17"/>
      <c r="AG86" s="9"/>
      <c r="AH86" s="9"/>
      <c r="AI86" s="9"/>
    </row>
    <row r="87" spans="1:35" ht="12" customHeight="1" x14ac:dyDescent="0.25">
      <c r="A87" s="7"/>
      <c r="B87" s="8"/>
      <c r="C87" s="18"/>
      <c r="D87" s="18"/>
      <c r="E87" s="18"/>
      <c r="F87" s="24"/>
      <c r="I87" s="345"/>
      <c r="J87" s="345"/>
      <c r="K87" s="345"/>
      <c r="L87" s="345"/>
      <c r="M87" s="345"/>
      <c r="AC87" s="27"/>
      <c r="AD87" s="27"/>
      <c r="AE87" s="27"/>
      <c r="AF87" s="17"/>
      <c r="AG87" s="9"/>
      <c r="AH87" s="9"/>
      <c r="AI87" s="9"/>
    </row>
    <row r="88" spans="1:35" ht="12" customHeight="1" x14ac:dyDescent="0.25">
      <c r="A88" s="7"/>
      <c r="B88" s="8"/>
      <c r="C88" s="18"/>
      <c r="D88" s="18"/>
      <c r="E88" s="18"/>
      <c r="F88" s="24"/>
      <c r="J88" t="s">
        <v>2296</v>
      </c>
      <c r="K88" t="s">
        <v>2298</v>
      </c>
      <c r="L88" t="s">
        <v>2297</v>
      </c>
      <c r="AC88" s="27"/>
      <c r="AD88" s="27"/>
      <c r="AE88" s="27"/>
      <c r="AF88" s="17"/>
      <c r="AG88" s="9"/>
      <c r="AH88" s="9"/>
      <c r="AI88" s="9"/>
    </row>
    <row r="89" spans="1:35" ht="12" customHeight="1" x14ac:dyDescent="0.25">
      <c r="A89" s="7"/>
      <c r="B89" s="8"/>
      <c r="C89" s="18"/>
      <c r="D89" s="18"/>
      <c r="E89" s="18"/>
      <c r="F89" s="24"/>
      <c r="I89" s="346" t="str">
        <f>General!G66</f>
        <v>b</v>
      </c>
      <c r="J89" s="348">
        <v>1</v>
      </c>
      <c r="K89" s="348">
        <v>0</v>
      </c>
      <c r="L89" s="348">
        <v>0</v>
      </c>
      <c r="M89" s="347" t="str">
        <f>IF(SUM(J89:L89)&gt;1,"***ERROR***","")</f>
        <v/>
      </c>
      <c r="AC89" s="27"/>
      <c r="AD89" s="27"/>
      <c r="AE89" s="27"/>
      <c r="AF89" s="17"/>
      <c r="AG89" s="9"/>
      <c r="AH89" s="9"/>
      <c r="AI89" s="9"/>
    </row>
    <row r="90" spans="1:35" ht="12" customHeight="1" x14ac:dyDescent="0.25">
      <c r="A90" s="7"/>
      <c r="B90" s="8"/>
      <c r="C90" s="18"/>
      <c r="D90" s="18"/>
      <c r="E90" s="18"/>
      <c r="F90" s="24"/>
      <c r="I90" s="346" t="str">
        <f>General!G67</f>
        <v>bd</v>
      </c>
      <c r="J90" s="348">
        <v>1</v>
      </c>
      <c r="K90" s="348">
        <v>0</v>
      </c>
      <c r="L90" s="348">
        <v>0</v>
      </c>
      <c r="M90" s="347" t="str">
        <f t="shared" ref="M90:M107" si="3">IF(SUM(J90:L90)&gt;1,"***ERROR***","")</f>
        <v/>
      </c>
      <c r="AC90" s="27"/>
      <c r="AD90" s="27"/>
      <c r="AE90" s="27"/>
      <c r="AF90" s="17"/>
      <c r="AG90" s="9"/>
      <c r="AH90" s="9"/>
      <c r="AI90" s="9"/>
    </row>
    <row r="91" spans="1:35" ht="12" customHeight="1" x14ac:dyDescent="0.25">
      <c r="A91" s="7"/>
      <c r="B91" s="8"/>
      <c r="C91" s="18"/>
      <c r="D91" s="18"/>
      <c r="E91" s="18"/>
      <c r="F91" s="24"/>
      <c r="I91" s="346" t="str">
        <f>General!G68</f>
        <v>f</v>
      </c>
      <c r="J91" s="348">
        <v>1</v>
      </c>
      <c r="K91" s="348">
        <v>0</v>
      </c>
      <c r="L91" s="348">
        <v>0</v>
      </c>
      <c r="M91" s="347" t="str">
        <f t="shared" si="3"/>
        <v/>
      </c>
      <c r="AC91" s="27"/>
      <c r="AD91" s="27"/>
      <c r="AE91" s="27"/>
      <c r="AF91" s="17"/>
      <c r="AG91" s="9"/>
      <c r="AH91" s="9"/>
      <c r="AI91" s="9"/>
    </row>
    <row r="92" spans="1:35" ht="12" customHeight="1" x14ac:dyDescent="0.25">
      <c r="A92" s="7"/>
      <c r="B92" s="8"/>
      <c r="C92" s="18"/>
      <c r="D92" s="18"/>
      <c r="E92" s="18"/>
      <c r="F92" s="24"/>
      <c r="I92" s="346" t="str">
        <f>General!G69</f>
        <v>h</v>
      </c>
      <c r="J92" s="348">
        <v>0</v>
      </c>
      <c r="K92" s="348">
        <v>0</v>
      </c>
      <c r="L92" s="348">
        <v>1</v>
      </c>
      <c r="M92" s="347" t="str">
        <f t="shared" si="3"/>
        <v/>
      </c>
      <c r="AC92" s="27"/>
      <c r="AD92" s="27"/>
      <c r="AE92" s="27"/>
      <c r="AF92" s="17"/>
      <c r="AG92" s="9"/>
      <c r="AH92" s="9"/>
      <c r="AI92" s="9"/>
    </row>
    <row r="93" spans="1:35" ht="12" customHeight="1" x14ac:dyDescent="0.25">
      <c r="A93" s="7"/>
      <c r="B93" s="8"/>
      <c r="C93" s="18"/>
      <c r="D93" s="18"/>
      <c r="E93" s="18"/>
      <c r="F93" s="24"/>
      <c r="I93" s="346" t="str">
        <f>General!G70</f>
        <v>i</v>
      </c>
      <c r="J93" s="348">
        <v>1</v>
      </c>
      <c r="K93" s="348">
        <v>0</v>
      </c>
      <c r="L93" s="348">
        <v>0</v>
      </c>
      <c r="M93" s="347" t="str">
        <f t="shared" si="3"/>
        <v/>
      </c>
      <c r="AC93" s="27"/>
      <c r="AD93" s="27"/>
      <c r="AE93" s="27"/>
      <c r="AF93" s="17"/>
      <c r="AG93" s="9"/>
      <c r="AH93" s="9"/>
      <c r="AI93" s="9"/>
    </row>
    <row r="94" spans="1:35" ht="12" customHeight="1" x14ac:dyDescent="0.25">
      <c r="A94" s="7"/>
      <c r="B94" s="8"/>
      <c r="C94" s="18"/>
      <c r="D94" s="18"/>
      <c r="E94" s="18"/>
      <c r="F94" s="24"/>
      <c r="I94" s="346" t="str">
        <f>General!G71</f>
        <v>k</v>
      </c>
      <c r="J94" s="348">
        <v>1</v>
      </c>
      <c r="K94" s="348">
        <v>0</v>
      </c>
      <c r="L94" s="348">
        <v>0</v>
      </c>
      <c r="M94" s="347" t="str">
        <f t="shared" si="3"/>
        <v/>
      </c>
      <c r="AC94" s="27"/>
      <c r="AD94" s="27"/>
      <c r="AE94" s="27"/>
      <c r="AF94" s="17"/>
      <c r="AG94" s="9"/>
      <c r="AH94" s="9"/>
      <c r="AI94" s="9"/>
    </row>
    <row r="95" spans="1:35" ht="12" customHeight="1" x14ac:dyDescent="0.25">
      <c r="A95" s="7"/>
      <c r="B95" s="8"/>
      <c r="C95" s="18"/>
      <c r="D95" s="18"/>
      <c r="E95" s="18"/>
      <c r="F95" s="24"/>
      <c r="I95" s="346" t="str">
        <f>General!G72</f>
        <v>l</v>
      </c>
      <c r="J95" s="348">
        <v>1</v>
      </c>
      <c r="K95" s="348">
        <v>0</v>
      </c>
      <c r="L95" s="348">
        <v>0</v>
      </c>
      <c r="M95" s="347" t="str">
        <f t="shared" si="3"/>
        <v/>
      </c>
      <c r="AC95" s="27"/>
      <c r="AD95" s="27"/>
      <c r="AE95" s="27"/>
      <c r="AF95" s="17"/>
      <c r="AG95" s="9"/>
      <c r="AH95" s="9"/>
      <c r="AI95" s="9"/>
    </row>
    <row r="96" spans="1:35" ht="12" customHeight="1" x14ac:dyDescent="0.25">
      <c r="A96" s="7"/>
      <c r="B96" s="8"/>
      <c r="C96" s="18"/>
      <c r="D96" s="18"/>
      <c r="E96" s="18"/>
      <c r="F96" s="24"/>
      <c r="I96" s="346" t="str">
        <f>General!G73</f>
        <v>lf</v>
      </c>
      <c r="J96" s="348">
        <v>0</v>
      </c>
      <c r="K96" s="348">
        <v>1</v>
      </c>
      <c r="L96" s="348">
        <v>0</v>
      </c>
      <c r="M96" s="347" t="str">
        <f t="shared" ref="M96" si="4">IF(SUM(J96:L96)&gt;1,"***ERROR***","")</f>
        <v/>
      </c>
      <c r="AC96" s="27"/>
      <c r="AD96" s="27"/>
      <c r="AE96" s="27"/>
      <c r="AF96" s="17"/>
      <c r="AG96" s="9"/>
      <c r="AH96" s="9"/>
      <c r="AI96" s="9"/>
    </row>
    <row r="97" spans="1:35" ht="12" customHeight="1" x14ac:dyDescent="0.25">
      <c r="A97" s="7"/>
      <c r="B97" s="8"/>
      <c r="C97" s="18"/>
      <c r="D97" s="18"/>
      <c r="E97" s="18"/>
      <c r="F97" s="24"/>
      <c r="I97" s="346" t="str">
        <f>General!G74</f>
        <v>ms</v>
      </c>
      <c r="J97" s="348">
        <v>1</v>
      </c>
      <c r="K97" s="348">
        <v>0</v>
      </c>
      <c r="L97" s="348">
        <v>0</v>
      </c>
      <c r="M97" s="347" t="str">
        <f t="shared" ref="M97" si="5">IF(SUM(J97:L97)&gt;1,"***ERROR***","")</f>
        <v/>
      </c>
      <c r="AC97" s="27"/>
      <c r="AD97" s="27"/>
      <c r="AE97" s="27"/>
      <c r="AF97" s="17"/>
      <c r="AG97" s="9"/>
      <c r="AH97" s="9"/>
      <c r="AI97" s="9"/>
    </row>
    <row r="98" spans="1:35" ht="12" customHeight="1" x14ac:dyDescent="0.25">
      <c r="A98" s="7"/>
      <c r="B98" s="8"/>
      <c r="C98" s="18"/>
      <c r="D98" s="18"/>
      <c r="E98" s="18"/>
      <c r="F98" s="24"/>
      <c r="I98" s="346" t="str">
        <f>General!G75</f>
        <v>o</v>
      </c>
      <c r="J98" s="348">
        <v>1</v>
      </c>
      <c r="K98" s="348">
        <v>0</v>
      </c>
      <c r="L98" s="348">
        <v>0</v>
      </c>
      <c r="M98" s="347" t="str">
        <f t="shared" si="3"/>
        <v/>
      </c>
      <c r="AC98" s="27"/>
      <c r="AD98" s="27"/>
      <c r="AE98" s="27"/>
      <c r="AF98" s="17"/>
      <c r="AG98" s="9"/>
      <c r="AH98" s="9"/>
      <c r="AI98" s="9"/>
    </row>
    <row r="99" spans="1:35" ht="12" customHeight="1" x14ac:dyDescent="0.25">
      <c r="A99" s="7"/>
      <c r="B99" s="8"/>
      <c r="C99" s="18"/>
      <c r="D99" s="18"/>
      <c r="E99" s="18"/>
      <c r="F99" s="24"/>
      <c r="I99" s="346" t="str">
        <f>General!G76</f>
        <v>od</v>
      </c>
      <c r="J99" s="348">
        <v>1</v>
      </c>
      <c r="K99" s="348">
        <v>0</v>
      </c>
      <c r="L99" s="348">
        <v>0</v>
      </c>
      <c r="M99" s="347" t="str">
        <f t="shared" si="3"/>
        <v/>
      </c>
      <c r="AC99" s="27"/>
      <c r="AD99" s="27"/>
      <c r="AE99" s="27"/>
      <c r="AF99" s="17"/>
      <c r="AG99" s="9"/>
      <c r="AH99" s="9"/>
      <c r="AI99" s="9"/>
    </row>
    <row r="100" spans="1:35" ht="12" customHeight="1" x14ac:dyDescent="0.25">
      <c r="A100" s="7"/>
      <c r="B100" s="8"/>
      <c r="C100" s="18"/>
      <c r="D100" s="18"/>
      <c r="E100" s="18"/>
      <c r="F100" s="24"/>
      <c r="I100" s="346" t="str">
        <f>General!G77</f>
        <v>of</v>
      </c>
      <c r="J100" s="348">
        <v>0</v>
      </c>
      <c r="K100" s="348">
        <v>1</v>
      </c>
      <c r="L100" s="348">
        <v>0</v>
      </c>
      <c r="M100" s="347" t="str">
        <f t="shared" si="3"/>
        <v/>
      </c>
      <c r="AC100" s="27"/>
      <c r="AD100" s="27"/>
      <c r="AE100" s="27"/>
      <c r="AF100" s="17"/>
      <c r="AG100" s="9"/>
      <c r="AH100" s="9"/>
      <c r="AI100" s="9"/>
    </row>
    <row r="101" spans="1:35" ht="12" customHeight="1" x14ac:dyDescent="0.25">
      <c r="A101" s="7"/>
      <c r="B101" s="8"/>
      <c r="C101" s="18"/>
      <c r="D101" s="18"/>
      <c r="E101" s="18"/>
      <c r="F101" s="24"/>
      <c r="I101" s="346" t="str">
        <f>General!G78</f>
        <v>r</v>
      </c>
      <c r="J101" s="348">
        <v>1</v>
      </c>
      <c r="K101" s="348">
        <v>0</v>
      </c>
      <c r="L101" s="348">
        <v>0</v>
      </c>
      <c r="M101" s="347" t="str">
        <f t="shared" si="3"/>
        <v/>
      </c>
      <c r="AC101" s="27"/>
      <c r="AD101" s="27"/>
      <c r="AE101" s="27"/>
      <c r="AF101" s="17"/>
      <c r="AG101" s="9"/>
      <c r="AH101" s="9"/>
      <c r="AI101" s="9"/>
    </row>
    <row r="102" spans="1:35" ht="12" customHeight="1" x14ac:dyDescent="0.25">
      <c r="A102" s="7"/>
      <c r="B102" s="8"/>
      <c r="C102" s="18"/>
      <c r="D102" s="18"/>
      <c r="E102" s="18"/>
      <c r="F102" s="24"/>
      <c r="I102" s="346" t="str">
        <f>General!G79</f>
        <v>rd</v>
      </c>
      <c r="J102" s="348">
        <v>1</v>
      </c>
      <c r="K102" s="348">
        <v>0</v>
      </c>
      <c r="L102" s="348">
        <v>0</v>
      </c>
      <c r="M102" s="347" t="str">
        <f t="shared" si="3"/>
        <v/>
      </c>
      <c r="AC102" s="27"/>
      <c r="AD102" s="27"/>
      <c r="AE102" s="27"/>
      <c r="AF102" s="17"/>
      <c r="AG102" s="9"/>
      <c r="AH102" s="9"/>
      <c r="AI102" s="9"/>
    </row>
    <row r="103" spans="1:35" ht="12" customHeight="1" x14ac:dyDescent="0.25">
      <c r="A103" s="7"/>
      <c r="B103" s="8"/>
      <c r="C103" s="18"/>
      <c r="D103" s="18"/>
      <c r="E103" s="18"/>
      <c r="F103" s="24"/>
      <c r="I103" s="346" t="str">
        <f>General!G80</f>
        <v>v</v>
      </c>
      <c r="J103" s="348">
        <v>1</v>
      </c>
      <c r="K103" s="348">
        <v>0</v>
      </c>
      <c r="L103" s="348">
        <v>0</v>
      </c>
      <c r="M103" s="347" t="str">
        <f t="shared" si="3"/>
        <v/>
      </c>
      <c r="AC103" s="27"/>
      <c r="AD103" s="27"/>
      <c r="AE103" s="27"/>
      <c r="AF103" s="17"/>
      <c r="AG103" s="9"/>
      <c r="AH103" s="9"/>
      <c r="AI103" s="9"/>
    </row>
    <row r="104" spans="1:35" ht="12" customHeight="1" x14ac:dyDescent="0.25">
      <c r="A104" s="7"/>
      <c r="B104" s="8"/>
      <c r="C104" s="18"/>
      <c r="D104" s="18"/>
      <c r="E104" s="18"/>
      <c r="F104" s="24"/>
      <c r="I104" s="346" t="str">
        <f>General!G81</f>
        <v>w</v>
      </c>
      <c r="J104" s="348">
        <v>1</v>
      </c>
      <c r="K104" s="348">
        <v>0</v>
      </c>
      <c r="L104" s="348">
        <v>0</v>
      </c>
      <c r="M104" s="347" t="str">
        <f t="shared" si="3"/>
        <v/>
      </c>
      <c r="AC104" s="27"/>
      <c r="AD104" s="27"/>
      <c r="AE104" s="27"/>
      <c r="AF104" s="17"/>
      <c r="AG104" s="9"/>
      <c r="AH104" s="9"/>
      <c r="AI104" s="9"/>
    </row>
    <row r="105" spans="1:35" ht="12" customHeight="1" x14ac:dyDescent="0.25">
      <c r="A105" s="7"/>
      <c r="B105" s="8"/>
      <c r="C105" s="18"/>
      <c r="D105" s="18"/>
      <c r="E105" s="18"/>
      <c r="F105" s="24"/>
      <c r="I105" s="346" t="str">
        <f>General!G82</f>
        <v>wd</v>
      </c>
      <c r="J105" s="348">
        <v>1</v>
      </c>
      <c r="K105" s="348">
        <v>0</v>
      </c>
      <c r="L105" s="348">
        <v>0</v>
      </c>
      <c r="M105" s="347" t="str">
        <f t="shared" si="3"/>
        <v/>
      </c>
      <c r="AC105" s="27"/>
      <c r="AD105" s="27"/>
      <c r="AE105" s="27"/>
      <c r="AF105" s="17"/>
      <c r="AG105" s="9"/>
      <c r="AH105" s="9"/>
      <c r="AI105" s="9"/>
    </row>
    <row r="106" spans="1:35" ht="12" customHeight="1" x14ac:dyDescent="0.25">
      <c r="A106" s="7"/>
      <c r="B106" s="8"/>
      <c r="C106" s="18"/>
      <c r="D106" s="18"/>
      <c r="E106" s="18"/>
      <c r="F106" s="24"/>
      <c r="I106" s="346" t="str">
        <f>General!G83</f>
        <v>z</v>
      </c>
      <c r="J106" s="348">
        <v>1</v>
      </c>
      <c r="K106" s="348">
        <v>0</v>
      </c>
      <c r="L106" s="348">
        <v>0</v>
      </c>
      <c r="M106" s="347" t="str">
        <f t="shared" si="3"/>
        <v/>
      </c>
      <c r="AC106" s="27"/>
      <c r="AD106" s="27"/>
      <c r="AE106" s="27"/>
      <c r="AF106" s="17"/>
      <c r="AG106" s="9"/>
      <c r="AH106" s="9"/>
      <c r="AI106" s="9"/>
    </row>
    <row r="107" spans="1:35" ht="12" customHeight="1" x14ac:dyDescent="0.25">
      <c r="A107" s="7"/>
      <c r="B107" s="8"/>
      <c r="C107" s="18"/>
      <c r="D107" s="18"/>
      <c r="E107" s="18"/>
      <c r="F107" s="24"/>
      <c r="I107" s="346" t="str">
        <f>General!G84</f>
        <v>zd</v>
      </c>
      <c r="J107" s="348">
        <v>1</v>
      </c>
      <c r="K107" s="348">
        <v>0</v>
      </c>
      <c r="L107" s="348">
        <v>0</v>
      </c>
      <c r="M107" s="347" t="str">
        <f t="shared" si="3"/>
        <v/>
      </c>
      <c r="AC107" s="27"/>
      <c r="AD107" s="27"/>
      <c r="AE107" s="27"/>
      <c r="AF107" s="17"/>
      <c r="AG107" s="9"/>
      <c r="AH107" s="9"/>
      <c r="AI107" s="9"/>
    </row>
    <row r="108" spans="1:35" ht="12" customHeight="1" x14ac:dyDescent="0.25">
      <c r="A108" s="7"/>
      <c r="B108" s="8"/>
      <c r="C108" s="18"/>
      <c r="D108" s="18"/>
      <c r="E108" s="18"/>
      <c r="F108" s="24"/>
      <c r="AC108" s="27"/>
      <c r="AD108" s="27"/>
      <c r="AE108" s="27"/>
      <c r="AF108" s="17"/>
      <c r="AG108" s="9"/>
      <c r="AH108" s="9"/>
      <c r="AI108" s="9"/>
    </row>
    <row r="109" spans="1:35" ht="12" customHeight="1" x14ac:dyDescent="0.25">
      <c r="A109" s="7"/>
      <c r="B109" s="8"/>
      <c r="C109" s="18"/>
      <c r="D109" s="18"/>
      <c r="E109" s="18"/>
      <c r="F109" s="33"/>
      <c r="G109" s="24"/>
      <c r="H109" s="24"/>
      <c r="I109" s="24"/>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17"/>
      <c r="AG109" s="9"/>
      <c r="AH109" s="9"/>
      <c r="AI109" s="9"/>
    </row>
    <row r="110" spans="1:35" ht="12" customHeight="1" x14ac:dyDescent="0.25">
      <c r="A110" s="7"/>
      <c r="B110" s="8"/>
      <c r="C110" s="36"/>
      <c r="D110" s="36"/>
      <c r="E110" s="36"/>
      <c r="F110" s="36"/>
      <c r="G110" s="37" t="str">
        <f>G79</f>
        <v>S2 set that provide each supplement</v>
      </c>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8" t="s">
        <v>91</v>
      </c>
      <c r="AG110" s="9"/>
      <c r="AH110" s="9"/>
      <c r="AI110" s="9"/>
    </row>
    <row r="111" spans="1:35" ht="12" customHeight="1" x14ac:dyDescent="0.25">
      <c r="A111" s="7"/>
      <c r="B111" s="8"/>
      <c r="C111" s="8"/>
      <c r="D111" s="8"/>
      <c r="E111" s="8"/>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row>
  </sheetData>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893C3-8CAB-4D65-BD5D-0879510DE6F2}">
  <sheetPr>
    <outlinePr summaryBelow="0"/>
  </sheetPr>
  <dimension ref="A1:CT392"/>
  <sheetViews>
    <sheetView topLeftCell="A201" zoomScale="70" zoomScaleNormal="70" workbookViewId="0">
      <pane xSplit="9" ySplit="10" topLeftCell="R224" activePane="bottomRight" state="frozen"/>
      <selection activeCell="A201" sqref="A201"/>
      <selection pane="topRight" activeCell="J201" sqref="J201"/>
      <selection pane="bottomLeft" activeCell="A211" sqref="A211"/>
      <selection pane="bottomRight" activeCell="AL232" sqref="AL232:AM232"/>
    </sheetView>
  </sheetViews>
  <sheetFormatPr defaultColWidth="8.5703125" defaultRowHeight="15" outlineLevelRow="4" x14ac:dyDescent="0.25"/>
  <cols>
    <col min="1" max="1" width="5.42578125" style="1" customWidth="1"/>
    <col min="2" max="3" width="4.42578125" style="1" customWidth="1"/>
    <col min="4" max="4" width="1.5703125" style="1" customWidth="1"/>
    <col min="5" max="5" width="2.5703125" style="1" customWidth="1"/>
    <col min="6" max="6" width="2.42578125" style="1" customWidth="1"/>
    <col min="7" max="7" width="10.5703125" style="1" customWidth="1"/>
    <col min="8" max="8" width="11.5703125" style="1" customWidth="1"/>
    <col min="9" max="9" width="17.5703125" style="1" customWidth="1"/>
    <col min="10" max="10" width="14" style="1" customWidth="1"/>
    <col min="11" max="11" width="14.7109375" style="1" customWidth="1"/>
    <col min="12" max="12" width="15.42578125" style="1" customWidth="1"/>
    <col min="13" max="13" width="14.42578125" style="1" customWidth="1"/>
    <col min="14" max="15" width="14.5703125" style="1" customWidth="1"/>
    <col min="16" max="17" width="13.42578125" style="1" customWidth="1"/>
    <col min="18" max="18" width="13.28515625" style="1" customWidth="1"/>
    <col min="19" max="21" width="11.7109375" style="1" customWidth="1"/>
    <col min="22" max="43" width="12.5703125" style="1" customWidth="1"/>
    <col min="44" max="16384" width="8.5703125" style="1"/>
  </cols>
  <sheetData>
    <row r="1" spans="1:26" customFormat="1" ht="12" customHeight="1" x14ac:dyDescent="0.25">
      <c r="A1" s="7"/>
      <c r="B1" s="8"/>
      <c r="C1" s="8"/>
      <c r="D1" s="8"/>
      <c r="E1" s="8"/>
      <c r="F1" s="8"/>
      <c r="G1" s="8"/>
      <c r="H1" s="9"/>
      <c r="I1" s="9"/>
      <c r="J1" s="9"/>
      <c r="K1" s="9"/>
      <c r="L1" s="9"/>
      <c r="M1" s="9"/>
      <c r="N1" s="9"/>
      <c r="O1" s="9"/>
      <c r="P1" s="9"/>
      <c r="Q1" s="9"/>
      <c r="R1" s="9"/>
      <c r="S1" s="9"/>
      <c r="T1" s="9"/>
      <c r="U1" s="9"/>
      <c r="V1" s="9"/>
      <c r="W1" s="9"/>
      <c r="X1" s="8"/>
      <c r="Y1" s="8"/>
      <c r="Z1" s="8"/>
    </row>
    <row r="2" spans="1:26" customFormat="1" outlineLevel="2" x14ac:dyDescent="0.25">
      <c r="A2" s="45"/>
      <c r="B2" s="45"/>
      <c r="C2" s="47">
        <f>INT($C$6)+2</f>
        <v>3</v>
      </c>
      <c r="D2" s="45"/>
      <c r="E2" s="45"/>
      <c r="F2" s="45"/>
      <c r="G2" s="45"/>
      <c r="H2" s="45"/>
      <c r="I2" s="45"/>
      <c r="J2" s="45"/>
      <c r="K2" s="45"/>
      <c r="L2" s="45"/>
      <c r="M2" s="45"/>
      <c r="N2" s="45"/>
      <c r="O2" s="45"/>
      <c r="P2" s="45"/>
      <c r="Q2" s="45"/>
      <c r="R2" s="45"/>
      <c r="S2" s="45"/>
      <c r="T2" s="45"/>
      <c r="U2" s="45"/>
      <c r="V2" s="45"/>
      <c r="W2" s="45"/>
      <c r="X2" s="45"/>
      <c r="Y2" s="45"/>
      <c r="Z2" s="45"/>
    </row>
    <row r="3" spans="1:26" customFormat="1" ht="5.0999999999999996" customHeight="1" thickBot="1" x14ac:dyDescent="0.3">
      <c r="A3" s="45"/>
      <c r="B3" s="48"/>
      <c r="C3" s="49">
        <f>INT($C$6)+0.005</f>
        <v>1.0049999999999999</v>
      </c>
      <c r="D3" s="48"/>
      <c r="E3" s="48"/>
      <c r="F3" s="48"/>
      <c r="G3" s="48"/>
      <c r="H3" s="48"/>
      <c r="I3" s="48"/>
      <c r="J3" s="48"/>
      <c r="K3" s="48"/>
      <c r="L3" s="48"/>
      <c r="M3" s="48"/>
      <c r="N3" s="48"/>
      <c r="O3" s="48"/>
      <c r="P3" s="48"/>
      <c r="Q3" s="48"/>
      <c r="R3" s="48"/>
      <c r="S3" s="48"/>
      <c r="T3" s="48"/>
      <c r="U3" s="48"/>
      <c r="V3" s="48"/>
      <c r="W3" s="48"/>
      <c r="X3" s="45"/>
      <c r="Y3" s="45"/>
      <c r="Z3" s="45"/>
    </row>
    <row r="4" spans="1:26" customFormat="1" ht="5.0999999999999996" customHeight="1" outlineLevel="1" x14ac:dyDescent="0.25">
      <c r="A4" s="45"/>
      <c r="B4" s="50" t="s">
        <v>86</v>
      </c>
      <c r="C4" s="51">
        <f>INT($C$6)+1.005</f>
        <v>2.0049999999999999</v>
      </c>
      <c r="D4" s="52"/>
      <c r="E4" s="52"/>
      <c r="F4" s="52"/>
      <c r="G4" s="52"/>
      <c r="H4" s="52"/>
      <c r="I4" s="52"/>
      <c r="J4" s="52"/>
      <c r="K4" s="52"/>
      <c r="L4" s="52"/>
      <c r="M4" s="52"/>
      <c r="N4" s="52"/>
      <c r="O4" s="52"/>
      <c r="P4" s="52"/>
      <c r="Q4" s="52"/>
      <c r="R4" s="52"/>
      <c r="S4" s="52"/>
      <c r="T4" s="52"/>
      <c r="U4" s="52"/>
      <c r="V4" s="52"/>
      <c r="W4" s="53"/>
      <c r="X4" s="45"/>
      <c r="Y4" s="45"/>
      <c r="Z4" s="45"/>
    </row>
    <row r="5" spans="1:26" customFormat="1" outlineLevel="4" x14ac:dyDescent="0.25">
      <c r="A5" s="45"/>
      <c r="B5" s="54"/>
      <c r="C5" s="47">
        <f>INT(MAX($C$9:$C$17))+1</f>
        <v>5</v>
      </c>
      <c r="D5" s="55"/>
      <c r="E5" s="56">
        <v>2</v>
      </c>
      <c r="F5" s="56">
        <v>2</v>
      </c>
      <c r="G5" s="56">
        <v>2.0099999999999998</v>
      </c>
      <c r="H5" s="56">
        <v>1.02</v>
      </c>
      <c r="I5" s="56">
        <v>1</v>
      </c>
      <c r="J5" s="56">
        <v>1</v>
      </c>
      <c r="K5" s="56">
        <v>1</v>
      </c>
      <c r="L5" s="56">
        <v>1</v>
      </c>
      <c r="M5" s="56">
        <v>1</v>
      </c>
      <c r="N5" s="56">
        <v>1</v>
      </c>
      <c r="O5" s="56">
        <v>1</v>
      </c>
      <c r="P5" s="56">
        <v>1</v>
      </c>
      <c r="Q5" s="56"/>
      <c r="R5" s="56">
        <v>1.024</v>
      </c>
      <c r="S5" s="56">
        <v>1.024</v>
      </c>
      <c r="T5" s="56"/>
      <c r="U5" s="56"/>
      <c r="V5" s="55"/>
      <c r="W5" s="57"/>
      <c r="X5" s="45"/>
      <c r="Y5" s="45"/>
      <c r="Z5" s="45"/>
    </row>
    <row r="6" spans="1:26" customFormat="1" ht="20.100000000000001" customHeight="1" x14ac:dyDescent="0.25">
      <c r="A6" s="45"/>
      <c r="B6" s="54"/>
      <c r="C6" s="47">
        <v>1.02</v>
      </c>
      <c r="D6" s="58"/>
      <c r="E6" s="59" t="s">
        <v>124</v>
      </c>
      <c r="F6" s="60">
        <v>2</v>
      </c>
      <c r="G6" s="61"/>
      <c r="H6" s="62" t="s">
        <v>420</v>
      </c>
      <c r="I6" s="63"/>
      <c r="J6" s="63"/>
      <c r="K6" s="63"/>
      <c r="L6" s="63"/>
      <c r="M6" s="63"/>
      <c r="N6" s="63"/>
      <c r="O6" s="63"/>
      <c r="P6" s="63"/>
      <c r="Q6" s="63"/>
      <c r="R6" s="63"/>
      <c r="S6" s="63"/>
      <c r="T6" s="63"/>
      <c r="U6" s="63"/>
      <c r="V6" s="64"/>
      <c r="W6" s="57"/>
      <c r="X6" s="45"/>
      <c r="Y6" s="45"/>
      <c r="Z6" s="45"/>
    </row>
    <row r="7" spans="1:26" customFormat="1" ht="20.100000000000001" customHeight="1" outlineLevel="1" x14ac:dyDescent="0.25">
      <c r="A7" s="45"/>
      <c r="B7" s="54"/>
      <c r="C7" s="47">
        <f>INT($C$6)+1.02</f>
        <v>2.02</v>
      </c>
      <c r="D7" s="58"/>
      <c r="E7" s="59" t="s">
        <v>126</v>
      </c>
      <c r="F7" s="65">
        <v>1</v>
      </c>
      <c r="G7" s="66"/>
      <c r="H7" s="67" t="s">
        <v>127</v>
      </c>
      <c r="I7" s="68"/>
      <c r="J7" s="68"/>
      <c r="K7" s="68"/>
      <c r="L7" s="68"/>
      <c r="M7" s="68"/>
      <c r="N7" s="68"/>
      <c r="O7" s="68"/>
      <c r="P7" s="68"/>
      <c r="Q7" s="68"/>
      <c r="R7" s="68"/>
      <c r="S7" s="68"/>
      <c r="T7" s="68"/>
      <c r="U7" s="68"/>
      <c r="V7" s="69"/>
      <c r="W7" s="57"/>
      <c r="X7" s="45"/>
      <c r="Y7" s="45"/>
      <c r="Z7" s="45"/>
    </row>
    <row r="8" spans="1:26" customFormat="1" ht="5.0999999999999996" customHeight="1" outlineLevel="2" x14ac:dyDescent="0.25">
      <c r="A8" s="45"/>
      <c r="B8" s="54"/>
      <c r="C8" s="47">
        <f>INT($C$6)+2.005</f>
        <v>3.0049999999999999</v>
      </c>
      <c r="D8" s="55"/>
      <c r="E8" s="55"/>
      <c r="F8" s="55"/>
      <c r="G8" s="55"/>
      <c r="H8" s="55"/>
      <c r="I8" s="55"/>
      <c r="J8" s="55"/>
      <c r="K8" s="55"/>
      <c r="L8" s="55"/>
      <c r="M8" s="55"/>
      <c r="N8" s="55"/>
      <c r="O8" s="55"/>
      <c r="P8" s="55"/>
      <c r="Q8" s="55"/>
      <c r="R8" s="55"/>
      <c r="S8" s="55"/>
      <c r="T8" s="55"/>
      <c r="U8" s="55"/>
      <c r="V8" s="55"/>
      <c r="W8" s="57"/>
      <c r="X8" s="45"/>
      <c r="Y8" s="45"/>
      <c r="Z8" s="45"/>
    </row>
    <row r="9" spans="1:26" customFormat="1" ht="5.0999999999999996" customHeight="1" outlineLevel="1" x14ac:dyDescent="0.25">
      <c r="A9" s="45"/>
      <c r="B9" s="54" t="s">
        <v>130</v>
      </c>
      <c r="C9" s="47">
        <f>INT($C$6)+1.005</f>
        <v>2.0049999999999999</v>
      </c>
      <c r="D9" s="73" t="s">
        <v>132</v>
      </c>
      <c r="E9" s="73"/>
      <c r="F9" s="73"/>
      <c r="G9" s="73"/>
      <c r="H9" s="74"/>
      <c r="I9" s="74"/>
      <c r="J9" s="74"/>
      <c r="K9" s="74"/>
      <c r="L9" s="74"/>
      <c r="M9" s="74"/>
      <c r="N9" s="74"/>
      <c r="O9" s="74"/>
      <c r="P9" s="74"/>
      <c r="Q9" s="234"/>
      <c r="R9" s="234"/>
      <c r="S9" s="234"/>
      <c r="T9" s="234"/>
      <c r="U9" s="234"/>
      <c r="V9" s="73"/>
      <c r="W9" s="57"/>
      <c r="X9" s="45"/>
      <c r="Y9" s="45"/>
      <c r="Z9" s="45"/>
    </row>
    <row r="10" spans="1:26" customFormat="1" outlineLevel="1" x14ac:dyDescent="0.25">
      <c r="A10" s="45"/>
      <c r="B10" s="54"/>
      <c r="C10" s="47">
        <f>INT($C$6)+1</f>
        <v>2</v>
      </c>
      <c r="D10" s="73"/>
      <c r="E10" s="70"/>
      <c r="F10" s="70"/>
      <c r="G10" s="73"/>
      <c r="H10" s="75" t="s">
        <v>133</v>
      </c>
      <c r="I10" s="76"/>
      <c r="J10" s="109"/>
      <c r="K10" s="109"/>
      <c r="L10" s="109"/>
      <c r="M10" s="109"/>
      <c r="N10" s="109"/>
      <c r="O10" s="109"/>
      <c r="P10" s="109"/>
      <c r="Q10" s="109"/>
      <c r="R10" s="109"/>
      <c r="S10" s="109"/>
      <c r="T10" s="109"/>
      <c r="U10" s="109"/>
      <c r="V10" s="73"/>
      <c r="W10" s="57"/>
      <c r="X10" s="45"/>
      <c r="Y10" s="45"/>
      <c r="Z10" s="45"/>
    </row>
    <row r="11" spans="1:26" customFormat="1" ht="45" customHeight="1" outlineLevel="1" x14ac:dyDescent="0.25">
      <c r="A11" s="45"/>
      <c r="B11" s="54"/>
      <c r="C11" s="47">
        <f>INT($C$6)+1.045</f>
        <v>2.0449999999999999</v>
      </c>
      <c r="D11" s="73"/>
      <c r="E11" s="70"/>
      <c r="F11" s="70"/>
      <c r="G11" s="73"/>
      <c r="H11" s="76" t="s">
        <v>134</v>
      </c>
      <c r="I11" s="299">
        <v>45460.954488425901</v>
      </c>
      <c r="J11" s="632" t="s">
        <v>3226</v>
      </c>
      <c r="K11" s="633"/>
      <c r="L11" s="633"/>
      <c r="M11" s="633"/>
      <c r="N11" s="633"/>
      <c r="O11" s="633"/>
      <c r="P11" s="633"/>
      <c r="Q11" s="633"/>
      <c r="R11" s="633"/>
      <c r="S11" s="633"/>
      <c r="T11" s="633"/>
      <c r="U11" s="634"/>
      <c r="V11" s="73"/>
      <c r="W11" s="57"/>
      <c r="X11" s="45"/>
      <c r="Y11" s="45"/>
      <c r="Z11" s="45"/>
    </row>
    <row r="12" spans="1:26" customFormat="1" ht="45" customHeight="1" outlineLevel="1" x14ac:dyDescent="0.25">
      <c r="A12" s="45"/>
      <c r="B12" s="54"/>
      <c r="C12" s="47">
        <f>INT($C$6)+1.045</f>
        <v>2.0449999999999999</v>
      </c>
      <c r="D12" s="73"/>
      <c r="E12" s="70"/>
      <c r="F12" s="70"/>
      <c r="G12" s="73"/>
      <c r="H12" s="76" t="s">
        <v>135</v>
      </c>
      <c r="I12" s="271">
        <v>45499.585434606503</v>
      </c>
      <c r="J12" s="635" t="s">
        <v>3789</v>
      </c>
      <c r="K12" s="636"/>
      <c r="L12" s="636"/>
      <c r="M12" s="636"/>
      <c r="N12" s="636"/>
      <c r="O12" s="636"/>
      <c r="P12" s="636"/>
      <c r="Q12" s="636"/>
      <c r="R12" s="636"/>
      <c r="S12" s="636"/>
      <c r="T12" s="636"/>
      <c r="U12" s="637"/>
      <c r="V12" s="73"/>
      <c r="W12" s="57"/>
      <c r="X12" s="45"/>
      <c r="Y12" s="45"/>
      <c r="Z12" s="45"/>
    </row>
    <row r="13" spans="1:26" customFormat="1" ht="5.0999999999999996" customHeight="1" outlineLevel="3" x14ac:dyDescent="0.25">
      <c r="A13" s="45"/>
      <c r="B13" s="54"/>
      <c r="C13" s="47">
        <f>INT($C$6)+3.005</f>
        <v>4.0049999999999999</v>
      </c>
      <c r="D13" s="73"/>
      <c r="E13" s="73"/>
      <c r="F13" s="73"/>
      <c r="G13" s="73"/>
      <c r="H13" s="73"/>
      <c r="I13" s="73"/>
      <c r="J13" s="73"/>
      <c r="K13" s="73"/>
      <c r="L13" s="73"/>
      <c r="M13" s="73"/>
      <c r="N13" s="73"/>
      <c r="O13" s="73"/>
      <c r="P13" s="73"/>
      <c r="Q13" s="73"/>
      <c r="R13" s="73"/>
      <c r="S13" s="73"/>
      <c r="T13" s="73"/>
      <c r="U13" s="73"/>
      <c r="V13" s="73" t="s">
        <v>136</v>
      </c>
      <c r="W13" s="57"/>
      <c r="X13" s="45"/>
      <c r="Y13" s="45"/>
      <c r="Z13" s="45"/>
    </row>
    <row r="14" spans="1:26" customFormat="1" ht="5.0999999999999996" customHeight="1" outlineLevel="2" x14ac:dyDescent="0.25">
      <c r="A14" s="45"/>
      <c r="B14" s="54"/>
      <c r="C14" s="47">
        <f>INT($C$6)+2.005</f>
        <v>3.0049999999999999</v>
      </c>
      <c r="D14" s="73"/>
      <c r="E14" s="73"/>
      <c r="F14" s="73"/>
      <c r="G14" s="73"/>
      <c r="H14" s="73"/>
      <c r="I14" s="73"/>
      <c r="J14" s="73"/>
      <c r="K14" s="73"/>
      <c r="L14" s="73"/>
      <c r="M14" s="73"/>
      <c r="N14" s="73"/>
      <c r="O14" s="73"/>
      <c r="P14" s="73"/>
      <c r="Q14" s="73"/>
      <c r="R14" s="73"/>
      <c r="S14" s="73"/>
      <c r="T14" s="73"/>
      <c r="U14" s="73"/>
      <c r="V14" s="73"/>
      <c r="W14" s="57"/>
      <c r="X14" s="45"/>
      <c r="Y14" s="45"/>
      <c r="Z14" s="45"/>
    </row>
    <row r="15" spans="1:26" customFormat="1" ht="5.0999999999999996" customHeight="1" outlineLevel="1" x14ac:dyDescent="0.25">
      <c r="A15" s="45"/>
      <c r="B15" s="81"/>
      <c r="C15" s="82">
        <f>INT($C$6)+1.005</f>
        <v>2.0049999999999999</v>
      </c>
      <c r="D15" s="83"/>
      <c r="E15" s="83"/>
      <c r="F15" s="83"/>
      <c r="G15" s="83"/>
      <c r="H15" s="83"/>
      <c r="I15" s="83"/>
      <c r="J15" s="83"/>
      <c r="K15" s="83"/>
      <c r="L15" s="83"/>
      <c r="M15" s="83"/>
      <c r="N15" s="83"/>
      <c r="O15" s="83"/>
      <c r="P15" s="83"/>
      <c r="Q15" s="83"/>
      <c r="R15" s="83"/>
      <c r="S15" s="83"/>
      <c r="T15" s="83"/>
      <c r="U15" s="83"/>
      <c r="V15" s="83"/>
      <c r="W15" s="84" t="s">
        <v>145</v>
      </c>
      <c r="X15" s="45"/>
      <c r="Y15" s="45"/>
      <c r="Z15" s="45"/>
    </row>
    <row r="16" spans="1:26" customFormat="1" ht="5.0999999999999996" customHeight="1" x14ac:dyDescent="0.25">
      <c r="A16" s="45"/>
      <c r="B16" s="85"/>
      <c r="C16" s="86">
        <f>INT($C$6)+0.005</f>
        <v>1.0049999999999999</v>
      </c>
      <c r="D16" s="85"/>
      <c r="E16" s="85"/>
      <c r="F16" s="85"/>
      <c r="G16" s="85"/>
      <c r="H16" s="85"/>
      <c r="I16" s="85"/>
      <c r="J16" s="85"/>
      <c r="K16" s="85"/>
      <c r="L16" s="85"/>
      <c r="M16" s="85"/>
      <c r="N16" s="85"/>
      <c r="O16" s="85"/>
      <c r="P16" s="85"/>
      <c r="Q16" s="85"/>
      <c r="R16" s="85"/>
      <c r="S16" s="85"/>
      <c r="T16" s="85"/>
      <c r="U16" s="85"/>
      <c r="V16" s="85"/>
      <c r="W16" s="85"/>
      <c r="X16" s="45"/>
      <c r="Y16" s="45"/>
      <c r="Z16" s="45"/>
    </row>
    <row r="17" spans="1:82" customFormat="1" outlineLevel="2" x14ac:dyDescent="0.25">
      <c r="A17" s="45"/>
      <c r="B17" s="45"/>
      <c r="C17" s="47">
        <f>INT($C$6)+2</f>
        <v>3</v>
      </c>
      <c r="D17" s="45"/>
      <c r="E17" s="45"/>
      <c r="F17" s="45"/>
      <c r="G17" s="45"/>
      <c r="H17" s="45"/>
      <c r="I17" s="45"/>
      <c r="J17" s="45"/>
      <c r="K17" s="45"/>
      <c r="L17" s="45"/>
      <c r="M17" s="45"/>
      <c r="N17" s="45"/>
      <c r="O17" s="45"/>
      <c r="P17" s="45"/>
      <c r="Q17" s="45"/>
      <c r="R17" s="45"/>
      <c r="S17" s="45"/>
      <c r="T17" s="45"/>
      <c r="U17" s="45"/>
      <c r="V17" s="45"/>
      <c r="W17" s="45"/>
      <c r="X17" s="45"/>
      <c r="Y17" s="45"/>
      <c r="Z17" s="45"/>
    </row>
    <row r="18" spans="1:82" customFormat="1" ht="12" customHeight="1" outlineLevel="1" x14ac:dyDescent="0.25">
      <c r="A18" s="7"/>
      <c r="B18" s="8"/>
      <c r="C18" s="8"/>
      <c r="D18" s="8"/>
      <c r="E18" s="8"/>
      <c r="F18" s="8"/>
      <c r="G18" s="8"/>
      <c r="H18" s="9"/>
      <c r="I18" s="9"/>
      <c r="J18" s="9"/>
      <c r="K18" s="9"/>
      <c r="L18" s="9"/>
      <c r="M18" s="9"/>
      <c r="N18" s="9"/>
      <c r="O18" s="9"/>
      <c r="P18" s="9"/>
      <c r="Q18" s="9"/>
      <c r="R18" s="9"/>
      <c r="S18" s="9"/>
      <c r="T18" s="9"/>
      <c r="U18" s="9"/>
      <c r="V18" s="9"/>
      <c r="W18" s="9"/>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row>
    <row r="19" spans="1:82" customFormat="1" ht="5.0999999999999996" customHeight="1" thickBot="1" x14ac:dyDescent="0.3">
      <c r="A19" s="7"/>
      <c r="B19" s="8"/>
      <c r="C19" s="8"/>
      <c r="D19" s="8"/>
      <c r="E19" s="8"/>
      <c r="F19" s="8"/>
      <c r="G19" s="8"/>
      <c r="H19" s="9"/>
      <c r="I19" s="9"/>
      <c r="J19" s="9"/>
      <c r="K19" s="9"/>
      <c r="L19" s="9"/>
      <c r="M19" s="9"/>
      <c r="N19" s="9"/>
      <c r="O19" s="9"/>
      <c r="P19" s="9"/>
      <c r="Q19" s="9"/>
      <c r="R19" s="9"/>
      <c r="S19" s="9"/>
      <c r="T19" s="9"/>
      <c r="U19" s="9"/>
      <c r="V19" s="9"/>
      <c r="W19" s="9"/>
      <c r="X19" s="8"/>
      <c r="Y19" s="8"/>
      <c r="Z19" s="8"/>
    </row>
    <row r="20" spans="1:82" customFormat="1" ht="5.0999999999999996" customHeight="1" x14ac:dyDescent="0.25">
      <c r="A20" s="7"/>
      <c r="B20" s="8"/>
      <c r="C20" s="10" t="s">
        <v>86</v>
      </c>
      <c r="D20" s="10"/>
      <c r="E20" s="10"/>
      <c r="F20" s="10"/>
      <c r="G20" s="10"/>
      <c r="H20" s="10"/>
      <c r="I20" s="10"/>
      <c r="J20" s="10"/>
      <c r="K20" s="11"/>
      <c r="L20" s="11"/>
      <c r="M20" s="11"/>
      <c r="N20" s="11"/>
      <c r="O20" s="11"/>
      <c r="P20" s="11"/>
      <c r="Q20" s="11"/>
      <c r="R20" s="11"/>
      <c r="S20" s="11"/>
      <c r="T20" s="11"/>
      <c r="U20" s="11"/>
      <c r="V20" s="11"/>
      <c r="W20" s="12"/>
      <c r="X20" s="9"/>
      <c r="Y20" s="9"/>
      <c r="Z20" s="9"/>
    </row>
    <row r="21" spans="1:82" customFormat="1" ht="12" customHeight="1" x14ac:dyDescent="0.25">
      <c r="A21" s="7"/>
      <c r="B21" s="8"/>
      <c r="C21" s="13"/>
      <c r="D21" s="13"/>
      <c r="E21" s="13" t="s">
        <v>87</v>
      </c>
      <c r="F21" s="14"/>
      <c r="G21" s="15" t="s">
        <v>3009</v>
      </c>
      <c r="H21" s="14"/>
      <c r="I21" s="14"/>
      <c r="J21" s="14"/>
      <c r="K21" s="14"/>
      <c r="L21" s="14"/>
      <c r="M21" s="14"/>
      <c r="N21" s="14"/>
      <c r="O21" s="14"/>
      <c r="P21" s="14"/>
      <c r="Q21" s="14"/>
      <c r="R21" s="14"/>
      <c r="S21" s="16"/>
      <c r="T21" s="14"/>
      <c r="U21" s="16"/>
      <c r="V21" s="16"/>
      <c r="W21" s="17"/>
      <c r="X21" s="9"/>
      <c r="Y21" s="9"/>
      <c r="Z21" s="9"/>
    </row>
    <row r="22" spans="1:82" customFormat="1" ht="12" customHeight="1" outlineLevel="1" x14ac:dyDescent="0.25">
      <c r="A22" s="7"/>
      <c r="B22" s="8"/>
      <c r="C22" s="13"/>
      <c r="D22" s="13"/>
      <c r="E22" s="18"/>
      <c r="F22" s="14"/>
      <c r="G22" s="14" t="s">
        <v>3010</v>
      </c>
      <c r="H22" s="14"/>
      <c r="I22" s="14"/>
      <c r="J22" s="14"/>
      <c r="K22" s="14"/>
      <c r="L22" s="14"/>
      <c r="M22" s="14"/>
      <c r="N22" s="14"/>
      <c r="O22" s="14"/>
      <c r="P22" s="14"/>
      <c r="Q22" s="14"/>
      <c r="R22" s="14"/>
      <c r="S22" s="16"/>
      <c r="T22" s="19"/>
      <c r="U22" s="16"/>
      <c r="V22" s="16"/>
      <c r="W22" s="17"/>
      <c r="X22" s="9"/>
      <c r="Y22" s="9"/>
      <c r="Z22" s="9"/>
    </row>
    <row r="23" spans="1:82" customFormat="1" ht="12" customHeight="1" outlineLevel="1" x14ac:dyDescent="0.25">
      <c r="A23" s="7"/>
      <c r="B23" s="8"/>
      <c r="C23" s="18"/>
      <c r="D23" s="13"/>
      <c r="E23" s="18"/>
      <c r="F23" s="14"/>
      <c r="G23" s="20">
        <v>38576.728703703702</v>
      </c>
      <c r="H23" s="14"/>
      <c r="I23" s="14"/>
      <c r="J23" s="14"/>
      <c r="K23" s="14"/>
      <c r="L23" s="14"/>
      <c r="M23" s="14"/>
      <c r="N23" s="14"/>
      <c r="O23" s="14"/>
      <c r="P23" s="14"/>
      <c r="Q23" s="14"/>
      <c r="R23" s="14"/>
      <c r="S23" s="16"/>
      <c r="T23" s="19"/>
      <c r="U23" s="16"/>
      <c r="V23" s="16"/>
      <c r="W23" s="17"/>
      <c r="X23" s="9"/>
      <c r="Y23" s="9"/>
      <c r="Z23" s="9"/>
    </row>
    <row r="24" spans="1:82" customFormat="1" ht="12" customHeight="1" outlineLevel="1" x14ac:dyDescent="0.25">
      <c r="A24" s="7"/>
      <c r="B24" s="8"/>
      <c r="C24" s="394"/>
      <c r="D24" s="13"/>
      <c r="E24" s="18"/>
      <c r="F24" s="14"/>
      <c r="G24" s="488"/>
      <c r="H24" s="14"/>
      <c r="I24" s="14"/>
      <c r="J24" s="14"/>
      <c r="K24" s="14"/>
      <c r="L24" s="14"/>
      <c r="M24" s="14"/>
      <c r="N24" s="14"/>
      <c r="O24" s="14"/>
      <c r="P24" s="14"/>
      <c r="Q24" s="14"/>
      <c r="R24" s="14"/>
      <c r="S24" s="16"/>
      <c r="T24" s="19"/>
      <c r="U24" s="16"/>
      <c r="V24" s="16"/>
      <c r="W24" s="17"/>
      <c r="X24" s="9"/>
      <c r="Y24" s="9"/>
      <c r="Z24" s="9"/>
    </row>
    <row r="25" spans="1:82" customFormat="1" ht="12" customHeight="1" outlineLevel="1" x14ac:dyDescent="0.25">
      <c r="A25" s="7"/>
      <c r="B25" s="8"/>
      <c r="C25" s="18"/>
      <c r="D25" s="18"/>
      <c r="E25" s="18"/>
      <c r="F25" s="18"/>
      <c r="G25" s="18"/>
      <c r="H25" s="18"/>
      <c r="I25" s="18"/>
      <c r="J25" s="21"/>
      <c r="K25" s="21"/>
      <c r="L25" s="21"/>
      <c r="M25" s="21"/>
      <c r="N25" s="21"/>
      <c r="O25" s="21"/>
      <c r="P25" s="21"/>
      <c r="Q25" s="21"/>
      <c r="R25" s="21"/>
      <c r="S25" s="21"/>
      <c r="T25" s="21"/>
      <c r="U25" s="21"/>
      <c r="V25" s="21"/>
      <c r="W25" s="17"/>
      <c r="X25" s="9"/>
      <c r="Y25" s="9"/>
      <c r="Z25" s="9"/>
    </row>
    <row r="26" spans="1:82" customFormat="1" ht="12" customHeight="1" outlineLevel="1" x14ac:dyDescent="0.25">
      <c r="A26" s="7"/>
      <c r="B26" s="8"/>
      <c r="C26" s="18"/>
      <c r="D26" s="18"/>
      <c r="E26" s="18"/>
      <c r="F26" s="18"/>
      <c r="G26" s="18"/>
      <c r="H26" s="18"/>
      <c r="I26" s="18"/>
      <c r="J26" s="18"/>
      <c r="K26" s="18"/>
      <c r="L26" s="21"/>
      <c r="M26" s="21"/>
      <c r="N26" s="21"/>
      <c r="O26" s="21"/>
      <c r="P26" s="21"/>
      <c r="Q26" s="21"/>
      <c r="R26" s="21"/>
      <c r="S26" s="21"/>
      <c r="T26" s="21"/>
      <c r="U26" s="21"/>
      <c r="V26" s="21"/>
      <c r="W26" s="17"/>
      <c r="X26" s="9"/>
      <c r="Y26" s="9"/>
      <c r="Z26" s="9"/>
    </row>
    <row r="27" spans="1:82" customFormat="1" ht="12" customHeight="1" outlineLevel="1" x14ac:dyDescent="0.25">
      <c r="A27" s="7"/>
      <c r="B27" s="8"/>
      <c r="C27" s="18"/>
      <c r="D27" s="18"/>
      <c r="E27" s="18"/>
      <c r="F27" s="18"/>
      <c r="G27" s="18"/>
      <c r="H27" s="18"/>
      <c r="I27" s="18"/>
      <c r="J27" s="22"/>
      <c r="K27" s="22"/>
      <c r="L27" s="22"/>
      <c r="M27" s="22"/>
      <c r="N27" s="22"/>
      <c r="O27" s="22"/>
      <c r="P27" s="23"/>
      <c r="Q27" s="23"/>
      <c r="R27" s="23"/>
      <c r="S27" s="21"/>
      <c r="T27" s="21"/>
      <c r="U27" s="21"/>
      <c r="V27" s="21"/>
      <c r="W27" s="17"/>
      <c r="X27" s="9"/>
      <c r="Y27" s="9"/>
      <c r="Z27" s="9"/>
    </row>
    <row r="28" spans="1:82" customFormat="1" ht="12" customHeight="1" outlineLevel="1" x14ac:dyDescent="0.25">
      <c r="A28" s="7"/>
      <c r="B28" s="8"/>
      <c r="C28" s="18"/>
      <c r="D28" s="18"/>
      <c r="E28" s="18"/>
      <c r="F28" s="18"/>
      <c r="G28" s="18"/>
      <c r="H28" s="18"/>
      <c r="I28" s="21"/>
      <c r="J28" s="22"/>
      <c r="K28" s="22"/>
      <c r="L28" s="22"/>
      <c r="M28" s="22"/>
      <c r="N28" s="22"/>
      <c r="O28" s="22"/>
      <c r="P28" s="23"/>
      <c r="Q28" s="23"/>
      <c r="R28" s="23"/>
      <c r="S28" s="21"/>
      <c r="T28" s="21"/>
      <c r="U28" s="21"/>
      <c r="V28" s="21"/>
      <c r="W28" s="17"/>
      <c r="X28" s="9"/>
      <c r="Y28" s="9"/>
      <c r="Z28" s="9"/>
    </row>
    <row r="29" spans="1:82" customFormat="1" ht="5.0999999999999996" customHeight="1" outlineLevel="1" x14ac:dyDescent="0.25">
      <c r="A29" s="7"/>
      <c r="B29" s="8"/>
      <c r="C29" s="18"/>
      <c r="D29" s="18"/>
      <c r="E29" s="18"/>
      <c r="F29" s="18"/>
      <c r="G29" s="18"/>
      <c r="H29" s="18"/>
      <c r="I29" s="18"/>
      <c r="J29" s="22"/>
      <c r="K29" s="22"/>
      <c r="L29" s="23"/>
      <c r="M29" s="23"/>
      <c r="N29" s="23"/>
      <c r="O29" s="23"/>
      <c r="P29" s="23"/>
      <c r="Q29" s="23"/>
      <c r="R29" s="23"/>
      <c r="S29" s="21"/>
      <c r="T29" s="21"/>
      <c r="U29" s="21"/>
      <c r="V29" s="21"/>
      <c r="W29" s="17"/>
      <c r="X29" s="9"/>
      <c r="Y29" s="9"/>
      <c r="Z29" s="9"/>
    </row>
    <row r="30" spans="1:82" customFormat="1" ht="5.0999999999999996" customHeight="1" outlineLevel="1" x14ac:dyDescent="0.25">
      <c r="A30" s="7"/>
      <c r="B30" s="8"/>
      <c r="C30" s="18"/>
      <c r="D30" s="18"/>
      <c r="E30" s="18"/>
      <c r="F30" s="24"/>
      <c r="G30" s="25"/>
      <c r="H30" s="25"/>
      <c r="I30" s="489"/>
      <c r="J30" s="490"/>
      <c r="K30" s="490"/>
      <c r="L30" s="490"/>
      <c r="M30" s="490"/>
      <c r="N30" s="490"/>
      <c r="O30" s="490"/>
      <c r="P30" s="26"/>
      <c r="Q30" s="26"/>
      <c r="R30" s="26"/>
      <c r="S30" s="26"/>
      <c r="T30" s="26"/>
      <c r="U30" s="26"/>
      <c r="V30" s="27"/>
      <c r="W30" s="17"/>
      <c r="X30" s="9"/>
      <c r="Y30" s="9"/>
      <c r="Z30" s="9"/>
    </row>
    <row r="31" spans="1:82" customFormat="1" ht="12" customHeight="1" outlineLevel="1" x14ac:dyDescent="0.25">
      <c r="A31" s="7"/>
      <c r="B31" s="8"/>
      <c r="C31" s="18"/>
      <c r="D31" s="18"/>
      <c r="E31" s="18"/>
      <c r="F31" s="24"/>
      <c r="G31" s="491"/>
      <c r="H31" s="491"/>
      <c r="I31" s="491"/>
      <c r="J31" s="491"/>
      <c r="K31" s="491"/>
      <c r="Q31" s="30"/>
      <c r="R31" s="30"/>
      <c r="S31" s="30"/>
      <c r="T31" s="30"/>
      <c r="U31" s="30"/>
      <c r="V31" s="27"/>
      <c r="W31" s="17"/>
      <c r="X31" s="9"/>
      <c r="Y31" s="9"/>
      <c r="Z31" s="9"/>
    </row>
    <row r="32" spans="1:82" customFormat="1" ht="12" customHeight="1" outlineLevel="1" x14ac:dyDescent="0.25">
      <c r="A32" s="7"/>
      <c r="B32" s="8"/>
      <c r="C32" s="18"/>
      <c r="D32" s="18"/>
      <c r="E32" s="18"/>
      <c r="F32" s="24"/>
      <c r="G32" s="492"/>
      <c r="H32" s="492"/>
      <c r="I32" s="492" t="s">
        <v>3011</v>
      </c>
      <c r="J32" s="493">
        <v>1</v>
      </c>
      <c r="K32" s="492"/>
      <c r="Q32" s="30"/>
      <c r="R32" s="30"/>
      <c r="S32" s="30"/>
      <c r="T32" s="30"/>
      <c r="U32" s="30"/>
      <c r="V32" s="27"/>
      <c r="W32" s="17"/>
      <c r="X32" s="9"/>
      <c r="Y32" s="9"/>
      <c r="Z32" s="9"/>
    </row>
    <row r="33" spans="1:82" customFormat="1" ht="12" customHeight="1" outlineLevel="1" x14ac:dyDescent="0.25">
      <c r="A33" s="7"/>
      <c r="B33" s="8"/>
      <c r="C33" s="18"/>
      <c r="D33" s="18"/>
      <c r="E33" s="18"/>
      <c r="F33" s="24"/>
      <c r="G33" s="492"/>
      <c r="H33" s="492"/>
      <c r="I33" s="494" t="s">
        <v>3012</v>
      </c>
      <c r="J33" s="495">
        <v>0.05</v>
      </c>
      <c r="K33" s="492"/>
      <c r="L33" s="492"/>
      <c r="O33" s="492"/>
      <c r="P33" s="30"/>
      <c r="Q33" s="30"/>
      <c r="R33" s="30"/>
      <c r="S33" s="30"/>
      <c r="T33" s="30"/>
      <c r="U33" s="30"/>
      <c r="V33" s="27"/>
      <c r="W33" s="17"/>
      <c r="X33" s="9"/>
      <c r="Y33" s="9"/>
      <c r="Z33" s="9"/>
    </row>
    <row r="34" spans="1:82" customFormat="1" ht="12" customHeight="1" outlineLevel="1" x14ac:dyDescent="0.25">
      <c r="A34" s="7"/>
      <c r="B34" s="8"/>
      <c r="C34" s="18"/>
      <c r="D34" s="18"/>
      <c r="E34" s="18"/>
      <c r="F34" s="24"/>
      <c r="G34" s="496"/>
      <c r="H34" s="496"/>
      <c r="I34" s="494"/>
      <c r="J34" s="492"/>
      <c r="K34" s="492"/>
      <c r="L34" s="492"/>
      <c r="O34" s="492"/>
      <c r="P34" s="30"/>
      <c r="Q34" s="30"/>
      <c r="R34" s="30"/>
      <c r="S34" s="30"/>
      <c r="T34" s="30"/>
      <c r="U34" s="30"/>
      <c r="V34" s="27"/>
      <c r="W34" s="17"/>
      <c r="X34" s="9"/>
      <c r="Y34" s="9"/>
      <c r="Z34" s="9"/>
    </row>
    <row r="35" spans="1:82" customFormat="1" ht="12" customHeight="1" outlineLevel="1" x14ac:dyDescent="0.25">
      <c r="A35" s="7"/>
      <c r="B35" s="8"/>
      <c r="C35" s="18"/>
      <c r="D35" s="18"/>
      <c r="E35" s="18"/>
      <c r="F35" s="24"/>
      <c r="G35" s="496"/>
      <c r="H35" s="496"/>
      <c r="I35" s="28" t="s">
        <v>3013</v>
      </c>
      <c r="J35" s="28"/>
      <c r="K35" s="14" t="s">
        <v>3014</v>
      </c>
      <c r="L35" s="497"/>
      <c r="M35" s="498">
        <v>0.5</v>
      </c>
      <c r="O35" s="492"/>
      <c r="P35" s="30"/>
      <c r="Q35" s="30"/>
      <c r="R35" s="30"/>
      <c r="S35" s="30"/>
      <c r="T35" s="30"/>
      <c r="U35" s="30"/>
      <c r="V35" s="27"/>
      <c r="W35" s="17"/>
      <c r="X35" s="9"/>
      <c r="Y35" s="9"/>
      <c r="Z35" s="9"/>
    </row>
    <row r="36" spans="1:82" customFormat="1" ht="12" customHeight="1" outlineLevel="1" x14ac:dyDescent="0.25">
      <c r="A36" s="7"/>
      <c r="B36" s="8"/>
      <c r="C36" s="18"/>
      <c r="D36" s="18"/>
      <c r="E36" s="18"/>
      <c r="F36" s="24"/>
      <c r="G36" s="496"/>
      <c r="H36" s="496"/>
      <c r="I36" s="499" t="s">
        <v>3015</v>
      </c>
      <c r="J36" s="500"/>
      <c r="K36" s="501"/>
      <c r="L36" s="501"/>
      <c r="M36" s="502"/>
      <c r="O36" s="492"/>
      <c r="P36" s="30"/>
      <c r="Q36" s="30"/>
      <c r="R36" s="30"/>
      <c r="S36" s="30"/>
      <c r="T36" s="30"/>
      <c r="U36" s="30"/>
      <c r="V36" s="27"/>
      <c r="W36" s="17"/>
      <c r="X36" s="9"/>
      <c r="Y36" s="9"/>
      <c r="Z36" s="9"/>
    </row>
    <row r="37" spans="1:82" customFormat="1" ht="12" customHeight="1" outlineLevel="1" x14ac:dyDescent="0.25">
      <c r="A37" s="7"/>
      <c r="B37" s="8"/>
      <c r="C37" s="18"/>
      <c r="D37" s="18"/>
      <c r="E37" s="18"/>
      <c r="F37" s="24"/>
      <c r="G37" s="28"/>
      <c r="H37" s="28"/>
      <c r="I37" s="503"/>
      <c r="J37" s="492"/>
      <c r="K37" s="492"/>
      <c r="L37" s="492"/>
      <c r="O37" s="492"/>
      <c r="P37" s="30"/>
      <c r="Q37" s="30"/>
      <c r="R37" s="30"/>
      <c r="S37" s="30"/>
      <c r="T37" s="30"/>
      <c r="U37" s="30"/>
      <c r="V37" s="27"/>
      <c r="W37" s="17"/>
      <c r="X37" s="9"/>
      <c r="Y37" s="9"/>
      <c r="Z37" s="9"/>
    </row>
    <row r="38" spans="1:82" customFormat="1" ht="5.0999999999999996" customHeight="1" outlineLevel="1" x14ac:dyDescent="0.25">
      <c r="A38" s="7"/>
      <c r="B38" s="8"/>
      <c r="C38" s="18"/>
      <c r="D38" s="18"/>
      <c r="E38" s="18"/>
      <c r="F38" s="33"/>
      <c r="G38" s="34"/>
      <c r="H38" s="34"/>
      <c r="I38" s="34"/>
      <c r="J38" s="35"/>
      <c r="K38" s="35"/>
      <c r="L38" s="35"/>
      <c r="M38" s="35"/>
      <c r="N38" s="35"/>
      <c r="O38" s="35"/>
      <c r="P38" s="35"/>
      <c r="Q38" s="35"/>
      <c r="R38" s="35"/>
      <c r="S38" s="35"/>
      <c r="T38" s="35"/>
      <c r="U38" s="35"/>
      <c r="V38" s="27"/>
      <c r="W38" s="17"/>
      <c r="X38" s="9"/>
      <c r="Y38" s="9"/>
      <c r="Z38" s="9"/>
    </row>
    <row r="39" spans="1:82" customFormat="1" ht="25.35" customHeight="1" outlineLevel="1" x14ac:dyDescent="0.25">
      <c r="A39" s="7"/>
      <c r="B39" s="8"/>
      <c r="C39" s="36"/>
      <c r="D39" s="36"/>
      <c r="E39" s="36"/>
      <c r="F39" s="36"/>
      <c r="G39" s="37" t="str">
        <f>G21</f>
        <v>STUBBLE As Feed</v>
      </c>
      <c r="H39" s="36"/>
      <c r="I39" s="36"/>
      <c r="J39" s="36"/>
      <c r="K39" s="36"/>
      <c r="L39" s="36"/>
      <c r="M39" s="36"/>
      <c r="N39" s="36"/>
      <c r="O39" s="36"/>
      <c r="P39" s="36"/>
      <c r="Q39" s="36"/>
      <c r="R39" s="36"/>
      <c r="S39" s="36"/>
      <c r="T39" s="36"/>
      <c r="U39" s="36"/>
      <c r="V39" s="36"/>
      <c r="W39" s="38" t="s">
        <v>91</v>
      </c>
      <c r="X39" s="9"/>
      <c r="Y39" s="9"/>
      <c r="Z39" s="9"/>
    </row>
    <row r="40" spans="1:82" customFormat="1" ht="12" customHeight="1" outlineLevel="1" x14ac:dyDescent="0.25">
      <c r="A40" s="7"/>
      <c r="B40" s="8"/>
      <c r="C40" s="8"/>
      <c r="D40" s="8"/>
      <c r="E40" s="8"/>
      <c r="F40" s="9"/>
      <c r="G40" s="9"/>
      <c r="H40" s="9"/>
      <c r="I40" s="9"/>
      <c r="J40" s="9"/>
      <c r="K40" s="9"/>
      <c r="L40" s="9"/>
      <c r="M40" s="9"/>
      <c r="N40" s="9"/>
      <c r="O40" s="9"/>
      <c r="P40" s="9"/>
      <c r="Q40" s="9"/>
      <c r="R40" s="9"/>
      <c r="S40" s="9"/>
      <c r="T40" s="9"/>
      <c r="U40" s="9"/>
      <c r="V40" s="9"/>
      <c r="W40" s="9"/>
      <c r="X40" s="9"/>
      <c r="Y40" s="9"/>
      <c r="Z40" s="9"/>
    </row>
    <row r="41" spans="1:82" customFormat="1" ht="12" customHeight="1" outlineLevel="1" x14ac:dyDescent="0.25">
      <c r="A41" s="7"/>
      <c r="B41" s="8"/>
      <c r="C41" s="8"/>
      <c r="D41" s="8"/>
      <c r="E41" s="8"/>
      <c r="F41" s="8"/>
      <c r="G41" s="8"/>
      <c r="H41" s="9"/>
      <c r="I41" s="9"/>
      <c r="J41" s="9"/>
      <c r="K41" s="9"/>
      <c r="L41" s="9"/>
      <c r="M41" s="9"/>
      <c r="N41" s="9"/>
      <c r="O41" s="9"/>
      <c r="P41" s="9"/>
      <c r="Q41" s="9"/>
      <c r="R41" s="9"/>
      <c r="S41" s="9"/>
      <c r="T41" s="9"/>
      <c r="U41" s="9"/>
      <c r="V41" s="9"/>
      <c r="W41" s="9"/>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row>
    <row r="42" spans="1:82" customFormat="1" ht="5.0999999999999996" customHeight="1" thickBot="1" x14ac:dyDescent="0.3">
      <c r="A42" s="7"/>
      <c r="B42" s="8"/>
      <c r="C42" s="8"/>
      <c r="D42" s="8"/>
      <c r="E42" s="8"/>
      <c r="F42" s="8"/>
      <c r="G42" s="8"/>
      <c r="H42" s="9"/>
      <c r="I42" s="9"/>
      <c r="J42" s="9"/>
      <c r="K42" s="9"/>
      <c r="L42" s="9"/>
      <c r="M42" s="9"/>
      <c r="N42" s="9"/>
      <c r="O42" s="9"/>
      <c r="P42" s="9"/>
      <c r="Q42" s="9"/>
      <c r="R42" s="9"/>
      <c r="S42" s="9"/>
      <c r="T42" s="9"/>
      <c r="U42" s="9"/>
      <c r="V42" s="9"/>
      <c r="W42" s="9"/>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row>
    <row r="43" spans="1:82" customFormat="1" ht="5.0999999999999996" customHeight="1" x14ac:dyDescent="0.25">
      <c r="A43" s="7"/>
      <c r="B43" s="8"/>
      <c r="C43" s="10" t="s">
        <v>86</v>
      </c>
      <c r="D43" s="10"/>
      <c r="E43" s="10"/>
      <c r="F43" s="10"/>
      <c r="G43" s="10"/>
      <c r="H43" s="10"/>
      <c r="I43" s="10"/>
      <c r="J43" s="10"/>
      <c r="K43" s="11"/>
      <c r="L43" s="11"/>
      <c r="M43" s="11"/>
      <c r="N43" s="11"/>
      <c r="O43" s="11"/>
      <c r="P43" s="11"/>
      <c r="Q43" s="11"/>
      <c r="R43" s="11"/>
      <c r="S43" s="11"/>
      <c r="T43" s="11"/>
      <c r="U43" s="11"/>
      <c r="V43" s="11"/>
      <c r="W43" s="12"/>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row>
    <row r="44" spans="1:82" customFormat="1" ht="12" customHeight="1" x14ac:dyDescent="0.25">
      <c r="A44" s="7"/>
      <c r="B44" s="8"/>
      <c r="C44" s="13"/>
      <c r="D44" s="13"/>
      <c r="E44" s="13" t="s">
        <v>87</v>
      </c>
      <c r="F44" s="14"/>
      <c r="G44" s="15" t="s">
        <v>3016</v>
      </c>
      <c r="H44" s="14"/>
      <c r="I44" s="14"/>
      <c r="J44" s="14"/>
      <c r="K44" s="14"/>
      <c r="L44" s="14"/>
      <c r="M44" s="14"/>
      <c r="N44" s="14"/>
      <c r="O44" s="14"/>
      <c r="P44" s="14"/>
      <c r="Q44" s="14"/>
      <c r="R44" s="14"/>
      <c r="S44" s="16"/>
      <c r="T44" s="14"/>
      <c r="U44" s="16"/>
      <c r="V44" s="16"/>
      <c r="W44" s="17"/>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row>
    <row r="45" spans="1:82" customFormat="1" ht="12" customHeight="1" outlineLevel="1" x14ac:dyDescent="0.25">
      <c r="A45" s="7"/>
      <c r="B45" s="8"/>
      <c r="C45" s="13"/>
      <c r="D45" s="13"/>
      <c r="E45" s="18"/>
      <c r="F45" s="14"/>
      <c r="G45" s="505"/>
      <c r="H45" s="14"/>
      <c r="I45" s="14"/>
      <c r="J45" s="14"/>
      <c r="K45" s="14"/>
      <c r="L45" s="14"/>
      <c r="M45" s="14"/>
      <c r="N45" s="14"/>
      <c r="O45" s="14"/>
      <c r="P45" s="14"/>
      <c r="Q45" s="14"/>
      <c r="R45" s="14"/>
      <c r="S45" s="16"/>
      <c r="T45" s="19"/>
      <c r="U45" s="16"/>
      <c r="V45" s="16"/>
      <c r="W45" s="17"/>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row>
    <row r="46" spans="1:82" customFormat="1" ht="12" customHeight="1" outlineLevel="1" x14ac:dyDescent="0.25">
      <c r="A46" s="7"/>
      <c r="B46" s="8"/>
      <c r="C46" s="18"/>
      <c r="D46" s="13"/>
      <c r="E46" s="18"/>
      <c r="F46" s="14"/>
      <c r="G46" s="14"/>
      <c r="H46" s="14"/>
      <c r="I46" s="14"/>
      <c r="J46" s="14"/>
      <c r="K46" s="14"/>
      <c r="L46" s="14"/>
      <c r="M46" s="14"/>
      <c r="N46" s="14"/>
      <c r="O46" s="14"/>
      <c r="P46" s="14"/>
      <c r="Q46" s="14"/>
      <c r="R46" s="14"/>
      <c r="S46" s="16"/>
      <c r="T46" s="19"/>
      <c r="U46" s="16"/>
      <c r="V46" s="16"/>
      <c r="W46" s="17"/>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row>
    <row r="47" spans="1:82" customFormat="1" ht="12" customHeight="1" outlineLevel="1" x14ac:dyDescent="0.25">
      <c r="A47" s="7"/>
      <c r="B47" s="8"/>
      <c r="C47" s="394">
        <v>0</v>
      </c>
      <c r="D47" s="13"/>
      <c r="E47" s="18"/>
      <c r="F47" s="14"/>
      <c r="G47" s="488"/>
      <c r="H47" s="14"/>
      <c r="I47" s="14"/>
      <c r="J47" s="14"/>
      <c r="K47" s="14"/>
      <c r="L47" s="14"/>
      <c r="M47" s="14"/>
      <c r="N47" s="14"/>
      <c r="O47" s="14"/>
      <c r="P47" s="14"/>
      <c r="Q47" s="14"/>
      <c r="R47" s="14"/>
      <c r="S47" s="16"/>
      <c r="T47" s="19"/>
      <c r="U47" s="16"/>
      <c r="V47" s="16"/>
      <c r="W47" s="17"/>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row>
    <row r="48" spans="1:82" customFormat="1" ht="12" customHeight="1" outlineLevel="1" x14ac:dyDescent="0.25">
      <c r="A48" s="7"/>
      <c r="B48" s="8"/>
      <c r="C48" s="18"/>
      <c r="D48" s="18"/>
      <c r="E48" s="18"/>
      <c r="F48" s="18"/>
      <c r="G48" s="18"/>
      <c r="H48" s="18"/>
      <c r="I48" s="18"/>
      <c r="J48" s="21"/>
      <c r="K48" s="21"/>
      <c r="L48" s="21"/>
      <c r="M48" s="21"/>
      <c r="N48" s="21"/>
      <c r="O48" s="21"/>
      <c r="P48" s="21"/>
      <c r="Q48" s="21"/>
      <c r="R48" s="21"/>
      <c r="S48" s="21"/>
      <c r="T48" s="21"/>
      <c r="U48" s="21"/>
      <c r="V48" s="21"/>
      <c r="W48" s="17"/>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row>
    <row r="49" spans="1:82" customFormat="1" ht="12" customHeight="1" outlineLevel="1" x14ac:dyDescent="0.25">
      <c r="A49" s="7"/>
      <c r="B49" s="8"/>
      <c r="C49" s="18"/>
      <c r="D49" s="18"/>
      <c r="E49" s="18"/>
      <c r="F49" s="18"/>
      <c r="G49" s="18"/>
      <c r="H49" s="18"/>
      <c r="I49" s="18"/>
      <c r="J49" s="18"/>
      <c r="K49" s="18"/>
      <c r="L49" s="21"/>
      <c r="M49" s="21"/>
      <c r="N49" s="21"/>
      <c r="O49" s="21"/>
      <c r="P49" s="21"/>
      <c r="Q49" s="21"/>
      <c r="R49" s="21"/>
      <c r="S49" s="21"/>
      <c r="T49" s="21"/>
      <c r="U49" s="21"/>
      <c r="V49" s="21"/>
      <c r="W49" s="17"/>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row>
    <row r="50" spans="1:82" customFormat="1" ht="12" customHeight="1" outlineLevel="1" x14ac:dyDescent="0.25">
      <c r="A50" s="7"/>
      <c r="B50" s="8"/>
      <c r="C50" s="18"/>
      <c r="D50" s="18"/>
      <c r="E50" s="18"/>
      <c r="F50" s="18"/>
      <c r="G50" s="18"/>
      <c r="H50" s="18"/>
      <c r="I50" s="18"/>
      <c r="J50" s="18"/>
      <c r="K50" s="18"/>
      <c r="L50" s="18"/>
      <c r="M50" s="18"/>
      <c r="N50" s="22"/>
      <c r="O50" s="22"/>
      <c r="P50" s="23"/>
      <c r="Q50" s="23"/>
      <c r="R50" s="23"/>
      <c r="S50" s="21"/>
      <c r="T50" s="21"/>
      <c r="U50" s="21"/>
      <c r="V50" s="21"/>
      <c r="W50" s="17"/>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row>
    <row r="51" spans="1:82" customFormat="1" ht="12" customHeight="1" outlineLevel="1" x14ac:dyDescent="0.25">
      <c r="A51" s="7"/>
      <c r="B51" s="8"/>
      <c r="C51" s="18"/>
      <c r="D51" s="18"/>
      <c r="E51" s="18"/>
      <c r="F51" s="18"/>
      <c r="G51" s="18"/>
      <c r="H51" s="18"/>
      <c r="I51" s="18"/>
      <c r="J51" s="18"/>
      <c r="K51" s="18"/>
      <c r="L51" s="18"/>
      <c r="M51" s="18"/>
      <c r="N51" s="22"/>
      <c r="O51" s="22"/>
      <c r="P51" s="23"/>
      <c r="Q51" s="23"/>
      <c r="R51" s="23"/>
      <c r="S51" s="21"/>
      <c r="T51" s="21"/>
      <c r="U51" s="21"/>
      <c r="V51" s="21"/>
      <c r="W51" s="17"/>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row>
    <row r="52" spans="1:82" customFormat="1" outlineLevel="1" x14ac:dyDescent="0.25">
      <c r="A52" s="7"/>
      <c r="B52" s="8"/>
      <c r="C52" s="18"/>
      <c r="D52" s="18"/>
      <c r="E52" s="18"/>
      <c r="F52" s="24"/>
      <c r="G52" s="28"/>
      <c r="H52" s="506"/>
      <c r="I52" s="506"/>
      <c r="J52" s="506"/>
      <c r="K52" s="24"/>
      <c r="L52" s="24"/>
      <c r="M52" s="24"/>
      <c r="N52" s="506"/>
      <c r="O52" s="506"/>
      <c r="P52" s="506"/>
      <c r="Q52" s="506"/>
      <c r="R52" s="506"/>
      <c r="S52" s="506"/>
      <c r="T52" s="506"/>
      <c r="U52" s="506"/>
      <c r="V52" s="506"/>
      <c r="W52" s="17"/>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row>
    <row r="53" spans="1:82" customFormat="1" outlineLevel="1" x14ac:dyDescent="0.25">
      <c r="A53" s="7"/>
      <c r="B53" s="8"/>
      <c r="C53" s="18"/>
      <c r="D53" s="18"/>
      <c r="E53" s="18"/>
      <c r="F53" s="24"/>
      <c r="G53" s="345" t="s">
        <v>3017</v>
      </c>
      <c r="H53" s="507"/>
      <c r="I53" s="507"/>
      <c r="J53" s="507"/>
      <c r="K53" s="24"/>
      <c r="L53" s="24"/>
      <c r="M53" s="24"/>
      <c r="N53" s="507"/>
      <c r="O53" s="507"/>
      <c r="P53" s="507"/>
      <c r="Q53" s="507"/>
      <c r="R53" s="507"/>
      <c r="S53" s="507"/>
      <c r="T53" s="507"/>
      <c r="U53" s="507"/>
      <c r="V53" s="508"/>
      <c r="W53" s="17"/>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row>
    <row r="54" spans="1:82" customFormat="1" ht="30" outlineLevel="1" x14ac:dyDescent="0.25">
      <c r="A54" s="7"/>
      <c r="B54" s="8"/>
      <c r="C54" s="18"/>
      <c r="D54" s="18"/>
      <c r="E54" s="18"/>
      <c r="F54" s="24"/>
      <c r="G54" s="34"/>
      <c r="H54" s="506" t="s">
        <v>97</v>
      </c>
      <c r="I54" s="509" t="s">
        <v>3018</v>
      </c>
      <c r="J54" s="509" t="s">
        <v>3019</v>
      </c>
      <c r="K54" s="509" t="s">
        <v>3020</v>
      </c>
      <c r="L54" s="509" t="s">
        <v>3021</v>
      </c>
      <c r="M54" s="24"/>
      <c r="N54" s="507"/>
      <c r="O54" s="507"/>
      <c r="P54" s="507"/>
      <c r="Q54" s="507"/>
      <c r="R54" s="507"/>
      <c r="S54" s="507"/>
      <c r="T54" s="507"/>
      <c r="U54" s="507"/>
      <c r="V54" s="508"/>
      <c r="W54" s="17"/>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row>
    <row r="55" spans="1:82" customFormat="1" outlineLevel="1" x14ac:dyDescent="0.25">
      <c r="A55" s="7"/>
      <c r="B55" s="8"/>
      <c r="C55" s="18"/>
      <c r="D55" s="18"/>
      <c r="E55" s="18"/>
      <c r="F55" s="24"/>
      <c r="G55" s="34"/>
      <c r="H55" s="510" t="str">
        <f>General!G66</f>
        <v>b</v>
      </c>
      <c r="I55" s="511">
        <v>0.9</v>
      </c>
      <c r="J55" s="512">
        <v>1.1000000000000001</v>
      </c>
      <c r="K55" s="511">
        <v>0.7</v>
      </c>
      <c r="L55" s="511">
        <v>0.95</v>
      </c>
      <c r="M55" s="24"/>
      <c r="N55" s="507"/>
      <c r="O55" s="507"/>
      <c r="P55" s="507"/>
      <c r="Q55" s="507"/>
      <c r="R55" s="507"/>
      <c r="S55" s="507"/>
      <c r="T55" s="507"/>
      <c r="U55" s="507"/>
      <c r="V55" s="508"/>
      <c r="W55" s="17"/>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row>
    <row r="56" spans="1:82" customFormat="1" outlineLevel="1" x14ac:dyDescent="0.25">
      <c r="A56" s="7"/>
      <c r="B56" s="8"/>
      <c r="C56" s="18"/>
      <c r="D56" s="18"/>
      <c r="E56" s="18"/>
      <c r="F56" s="24"/>
      <c r="G56" s="34"/>
      <c r="H56" s="510" t="str">
        <f>General!G67</f>
        <v>bd</v>
      </c>
      <c r="I56" s="511">
        <v>0.9</v>
      </c>
      <c r="J56" s="512">
        <v>1.1000000000000001</v>
      </c>
      <c r="K56" s="511">
        <v>0.7</v>
      </c>
      <c r="L56" s="511">
        <v>0.95</v>
      </c>
      <c r="M56" s="24"/>
      <c r="N56" s="507"/>
      <c r="O56" s="507"/>
      <c r="P56" s="507"/>
      <c r="Q56" s="507"/>
      <c r="R56" s="507"/>
      <c r="S56" s="507"/>
      <c r="T56" s="507"/>
      <c r="U56" s="507"/>
      <c r="V56" s="508"/>
      <c r="W56" s="17"/>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row>
    <row r="57" spans="1:82" customFormat="1" outlineLevel="1" x14ac:dyDescent="0.25">
      <c r="A57" s="7"/>
      <c r="B57" s="8"/>
      <c r="C57" s="18"/>
      <c r="D57" s="18"/>
      <c r="E57" s="18"/>
      <c r="F57" s="24"/>
      <c r="G57" s="34"/>
      <c r="H57" s="510" t="str">
        <f>General!G68</f>
        <v>f</v>
      </c>
      <c r="I57" s="511">
        <v>0.9</v>
      </c>
      <c r="J57" s="512">
        <v>1.1000000000000001</v>
      </c>
      <c r="K57" s="511">
        <v>0.7</v>
      </c>
      <c r="L57" s="511">
        <v>0.95</v>
      </c>
      <c r="M57" s="24"/>
      <c r="N57" s="507"/>
      <c r="O57" s="507"/>
      <c r="P57" s="507"/>
      <c r="Q57" s="507"/>
      <c r="R57" s="507"/>
      <c r="S57" s="507"/>
      <c r="T57" s="507"/>
      <c r="U57" s="507"/>
      <c r="V57" s="508"/>
      <c r="W57" s="17"/>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row>
    <row r="58" spans="1:82" customFormat="1" outlineLevel="1" x14ac:dyDescent="0.25">
      <c r="A58" s="7"/>
      <c r="B58" s="8"/>
      <c r="C58" s="18"/>
      <c r="D58" s="18"/>
      <c r="E58" s="18"/>
      <c r="F58" s="24"/>
      <c r="G58" s="34"/>
      <c r="H58" s="510" t="str">
        <f>General!G69</f>
        <v>h</v>
      </c>
      <c r="I58" s="511">
        <v>0.9</v>
      </c>
      <c r="J58" s="512">
        <v>1.1000000000000001</v>
      </c>
      <c r="K58" s="511">
        <v>0.7</v>
      </c>
      <c r="L58" s="511">
        <v>0.95</v>
      </c>
      <c r="M58" s="24"/>
      <c r="N58" s="507"/>
      <c r="O58" s="507"/>
      <c r="P58" s="507"/>
      <c r="Q58" s="507"/>
      <c r="R58" s="507"/>
      <c r="S58" s="507"/>
      <c r="T58" s="507"/>
      <c r="U58" s="507"/>
      <c r="V58" s="508"/>
      <c r="W58" s="17"/>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row>
    <row r="59" spans="1:82" customFormat="1" outlineLevel="1" x14ac:dyDescent="0.25">
      <c r="A59" s="7"/>
      <c r="B59" s="8"/>
      <c r="C59" s="18"/>
      <c r="D59" s="18"/>
      <c r="E59" s="18"/>
      <c r="F59" s="24"/>
      <c r="G59" s="34"/>
      <c r="H59" s="510" t="str">
        <f>General!G70</f>
        <v>i</v>
      </c>
      <c r="I59" s="511">
        <v>0.9</v>
      </c>
      <c r="J59" s="512">
        <v>1.1000000000000001</v>
      </c>
      <c r="K59" s="511">
        <v>0.7</v>
      </c>
      <c r="L59" s="511">
        <v>0.95</v>
      </c>
      <c r="M59" s="24"/>
      <c r="N59" s="507"/>
      <c r="O59" s="507"/>
      <c r="P59" s="507"/>
      <c r="Q59" s="507"/>
      <c r="R59" s="507"/>
      <c r="S59" s="507"/>
      <c r="T59" s="507"/>
      <c r="U59" s="507"/>
      <c r="V59" s="508"/>
      <c r="W59" s="17"/>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row>
    <row r="60" spans="1:82" customFormat="1" outlineLevel="1" x14ac:dyDescent="0.25">
      <c r="A60" s="7"/>
      <c r="B60" s="8"/>
      <c r="C60" s="18"/>
      <c r="D60" s="18"/>
      <c r="E60" s="18"/>
      <c r="F60" s="24"/>
      <c r="G60" s="34"/>
      <c r="H60" s="510" t="str">
        <f>General!G71</f>
        <v>k</v>
      </c>
      <c r="I60" s="511">
        <v>0.9</v>
      </c>
      <c r="J60" s="512">
        <v>1.1000000000000001</v>
      </c>
      <c r="K60" s="511">
        <v>0.7</v>
      </c>
      <c r="L60" s="511">
        <v>0.95</v>
      </c>
      <c r="M60" s="24"/>
      <c r="N60" s="507"/>
      <c r="O60" s="507"/>
      <c r="P60" s="507"/>
      <c r="Q60" s="507"/>
      <c r="R60" s="507"/>
      <c r="S60" s="507"/>
      <c r="T60" s="507"/>
      <c r="U60" s="507"/>
      <c r="V60" s="508"/>
      <c r="W60" s="17"/>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row>
    <row r="61" spans="1:82" customFormat="1" outlineLevel="1" x14ac:dyDescent="0.25">
      <c r="A61" s="7"/>
      <c r="B61" s="8"/>
      <c r="C61" s="18"/>
      <c r="D61" s="18"/>
      <c r="E61" s="18"/>
      <c r="F61" s="24"/>
      <c r="G61" s="34"/>
      <c r="H61" s="510" t="str">
        <f>General!G72</f>
        <v>l</v>
      </c>
      <c r="I61" s="511">
        <v>0.9</v>
      </c>
      <c r="J61" s="512">
        <v>1.1000000000000001</v>
      </c>
      <c r="K61" s="511">
        <v>0.7</v>
      </c>
      <c r="L61" s="511">
        <v>0.95</v>
      </c>
      <c r="M61" s="24"/>
      <c r="N61" s="507"/>
      <c r="O61" s="507"/>
      <c r="P61" s="507"/>
      <c r="Q61" s="507"/>
      <c r="R61" s="507"/>
      <c r="S61" s="507"/>
      <c r="T61" s="507"/>
      <c r="U61" s="507"/>
      <c r="V61" s="508"/>
      <c r="W61" s="17"/>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row>
    <row r="62" spans="1:82" customFormat="1" outlineLevel="1" x14ac:dyDescent="0.25">
      <c r="A62" s="7"/>
      <c r="B62" s="8"/>
      <c r="C62" s="18"/>
      <c r="D62" s="18"/>
      <c r="E62" s="18"/>
      <c r="F62" s="24"/>
      <c r="G62" s="34"/>
      <c r="H62" s="510" t="str">
        <f>General!G73</f>
        <v>lf</v>
      </c>
      <c r="I62" s="511">
        <v>0.9</v>
      </c>
      <c r="J62" s="512">
        <v>1.1000000000000001</v>
      </c>
      <c r="K62" s="511">
        <v>0.7</v>
      </c>
      <c r="L62" s="511">
        <v>0.95</v>
      </c>
      <c r="M62" s="24"/>
      <c r="N62" s="507"/>
      <c r="O62" s="507"/>
      <c r="P62" s="507"/>
      <c r="Q62" s="507"/>
      <c r="R62" s="507"/>
      <c r="S62" s="507"/>
      <c r="T62" s="507"/>
      <c r="U62" s="507"/>
      <c r="V62" s="508"/>
      <c r="W62" s="17"/>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row>
    <row r="63" spans="1:82" customFormat="1" outlineLevel="1" x14ac:dyDescent="0.25">
      <c r="A63" s="7"/>
      <c r="B63" s="8"/>
      <c r="C63" s="18"/>
      <c r="D63" s="18"/>
      <c r="E63" s="18"/>
      <c r="F63" s="24"/>
      <c r="G63" s="34"/>
      <c r="H63" s="510" t="str">
        <f>General!G74</f>
        <v>ms</v>
      </c>
      <c r="I63" s="511">
        <v>0.9</v>
      </c>
      <c r="J63" s="512">
        <v>1.1000000000000001</v>
      </c>
      <c r="K63" s="511">
        <v>0.7</v>
      </c>
      <c r="L63" s="511">
        <v>0.95</v>
      </c>
      <c r="M63" s="24"/>
      <c r="N63" s="507"/>
      <c r="O63" s="507"/>
      <c r="P63" s="507"/>
      <c r="Q63" s="507"/>
      <c r="R63" s="507"/>
      <c r="S63" s="507"/>
      <c r="T63" s="507"/>
      <c r="U63" s="507"/>
      <c r="V63" s="508"/>
      <c r="W63" s="17"/>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row>
    <row r="64" spans="1:82" customFormat="1" outlineLevel="1" x14ac:dyDescent="0.25">
      <c r="A64" s="7"/>
      <c r="B64" s="8"/>
      <c r="C64" s="18"/>
      <c r="D64" s="18"/>
      <c r="E64" s="18"/>
      <c r="F64" s="24"/>
      <c r="G64" s="34"/>
      <c r="H64" s="510" t="str">
        <f>General!G75</f>
        <v>o</v>
      </c>
      <c r="I64" s="511">
        <v>0.9</v>
      </c>
      <c r="J64" s="512">
        <v>1.1000000000000001</v>
      </c>
      <c r="K64" s="511">
        <v>0.7</v>
      </c>
      <c r="L64" s="511">
        <v>0.95</v>
      </c>
      <c r="M64" s="24"/>
      <c r="N64" s="507"/>
      <c r="O64" s="507"/>
      <c r="P64" s="507"/>
      <c r="Q64" s="507"/>
      <c r="R64" s="507"/>
      <c r="S64" s="507"/>
      <c r="T64" s="507"/>
      <c r="U64" s="507"/>
      <c r="V64" s="508"/>
      <c r="W64" s="17"/>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row>
    <row r="65" spans="1:98" customFormat="1" outlineLevel="1" x14ac:dyDescent="0.25">
      <c r="A65" s="7"/>
      <c r="B65" s="8"/>
      <c r="C65" s="18"/>
      <c r="D65" s="18"/>
      <c r="E65" s="18"/>
      <c r="F65" s="24"/>
      <c r="G65" s="34"/>
      <c r="H65" s="510" t="str">
        <f>General!G76</f>
        <v>od</v>
      </c>
      <c r="I65" s="511">
        <v>0.9</v>
      </c>
      <c r="J65" s="512">
        <v>1.1000000000000001</v>
      </c>
      <c r="K65" s="511">
        <v>0.7</v>
      </c>
      <c r="L65" s="511">
        <v>0.95</v>
      </c>
      <c r="M65" s="24"/>
      <c r="N65" s="507"/>
      <c r="O65" s="507"/>
      <c r="P65" s="507"/>
      <c r="Q65" s="507"/>
      <c r="R65" s="507"/>
      <c r="S65" s="507"/>
      <c r="T65" s="507"/>
      <c r="U65" s="507"/>
      <c r="V65" s="508"/>
      <c r="W65" s="17"/>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row>
    <row r="66" spans="1:98" customFormat="1" outlineLevel="1" x14ac:dyDescent="0.25">
      <c r="A66" s="7"/>
      <c r="B66" s="8"/>
      <c r="C66" s="18"/>
      <c r="D66" s="18"/>
      <c r="E66" s="18"/>
      <c r="F66" s="24"/>
      <c r="G66" s="34"/>
      <c r="H66" s="510" t="str">
        <f>General!G77</f>
        <v>of</v>
      </c>
      <c r="I66" s="511">
        <v>0.9</v>
      </c>
      <c r="J66" s="512">
        <v>1.1000000000000001</v>
      </c>
      <c r="K66" s="511">
        <v>0.7</v>
      </c>
      <c r="L66" s="511">
        <v>0.95</v>
      </c>
      <c r="M66" s="24"/>
      <c r="N66" s="507"/>
      <c r="O66" s="507"/>
      <c r="P66" s="507"/>
      <c r="Q66" s="507"/>
      <c r="R66" s="507"/>
      <c r="S66" s="507"/>
      <c r="T66" s="507"/>
      <c r="U66" s="507"/>
      <c r="V66" s="508"/>
      <c r="W66" s="17"/>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row>
    <row r="67" spans="1:98" customFormat="1" outlineLevel="1" x14ac:dyDescent="0.25">
      <c r="A67" s="7"/>
      <c r="B67" s="8"/>
      <c r="C67" s="18"/>
      <c r="D67" s="18"/>
      <c r="E67" s="18"/>
      <c r="F67" s="24"/>
      <c r="G67" s="34"/>
      <c r="H67" s="510" t="str">
        <f>General!G78</f>
        <v>r</v>
      </c>
      <c r="I67" s="511">
        <v>0.9</v>
      </c>
      <c r="J67" s="512">
        <v>1.1000000000000001</v>
      </c>
      <c r="K67" s="511">
        <v>0.7</v>
      </c>
      <c r="L67" s="511">
        <v>0.95</v>
      </c>
      <c r="M67" s="24"/>
      <c r="N67" s="507"/>
      <c r="O67" s="507"/>
      <c r="P67" s="507"/>
      <c r="Q67" s="507"/>
      <c r="R67" s="507"/>
      <c r="S67" s="507"/>
      <c r="T67" s="507"/>
      <c r="U67" s="507"/>
      <c r="V67" s="508"/>
      <c r="W67" s="17"/>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row>
    <row r="68" spans="1:98" customFormat="1" outlineLevel="1" x14ac:dyDescent="0.25">
      <c r="A68" s="7"/>
      <c r="B68" s="8"/>
      <c r="C68" s="18"/>
      <c r="D68" s="18"/>
      <c r="E68" s="18"/>
      <c r="F68" s="24"/>
      <c r="G68" s="34"/>
      <c r="H68" s="510" t="str">
        <f>General!G79</f>
        <v>rd</v>
      </c>
      <c r="I68" s="511">
        <v>0.9</v>
      </c>
      <c r="J68" s="512">
        <v>1.1000000000000001</v>
      </c>
      <c r="K68" s="511">
        <v>0.7</v>
      </c>
      <c r="L68" s="511">
        <v>0.95</v>
      </c>
      <c r="M68" s="24"/>
      <c r="N68" s="507"/>
      <c r="O68" s="507"/>
      <c r="P68" s="507"/>
      <c r="Q68" s="507"/>
      <c r="R68" s="507"/>
      <c r="S68" s="507"/>
      <c r="T68" s="507"/>
      <c r="U68" s="507"/>
      <c r="V68" s="508"/>
      <c r="W68" s="17"/>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row>
    <row r="69" spans="1:98" customFormat="1" outlineLevel="1" x14ac:dyDescent="0.25">
      <c r="A69" s="7"/>
      <c r="B69" s="8"/>
      <c r="C69" s="18"/>
      <c r="D69" s="18"/>
      <c r="E69" s="18"/>
      <c r="F69" s="24"/>
      <c r="G69" s="34"/>
      <c r="H69" s="510" t="str">
        <f>General!G80</f>
        <v>v</v>
      </c>
      <c r="I69" s="511">
        <v>0.9</v>
      </c>
      <c r="J69" s="512">
        <v>1.1000000000000001</v>
      </c>
      <c r="K69" s="511">
        <v>0.7</v>
      </c>
      <c r="L69" s="511">
        <v>0.95</v>
      </c>
      <c r="M69" s="24"/>
      <c r="N69" s="507"/>
      <c r="O69" s="507"/>
      <c r="P69" s="507"/>
      <c r="Q69" s="507"/>
      <c r="R69" s="507"/>
      <c r="S69" s="507"/>
      <c r="T69" s="507"/>
      <c r="U69" s="507"/>
      <c r="V69" s="508"/>
      <c r="W69" s="17"/>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row>
    <row r="70" spans="1:98" customFormat="1" outlineLevel="1" x14ac:dyDescent="0.25">
      <c r="A70" s="7"/>
      <c r="B70" s="8"/>
      <c r="C70" s="18"/>
      <c r="D70" s="18"/>
      <c r="E70" s="18"/>
      <c r="F70" s="24"/>
      <c r="G70" s="34"/>
      <c r="H70" s="510" t="str">
        <f>General!G81</f>
        <v>w</v>
      </c>
      <c r="I70" s="511">
        <v>0.9</v>
      </c>
      <c r="J70" s="512">
        <v>1.1000000000000001</v>
      </c>
      <c r="K70" s="511">
        <v>0.7</v>
      </c>
      <c r="L70" s="511">
        <v>0.95</v>
      </c>
      <c r="M70" s="24"/>
      <c r="N70" s="507"/>
      <c r="O70" s="507"/>
      <c r="P70" s="507"/>
      <c r="Q70" s="507"/>
      <c r="R70" s="507"/>
      <c r="S70" s="507"/>
      <c r="T70" s="507"/>
      <c r="U70" s="507"/>
      <c r="V70" s="508"/>
      <c r="W70" s="17"/>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row>
    <row r="71" spans="1:98" customFormat="1" outlineLevel="1" x14ac:dyDescent="0.25">
      <c r="A71" s="7"/>
      <c r="B71" s="8"/>
      <c r="C71" s="18"/>
      <c r="D71" s="18"/>
      <c r="E71" s="18"/>
      <c r="F71" s="24"/>
      <c r="G71" s="34"/>
      <c r="H71" s="510" t="str">
        <f>General!G82</f>
        <v>wd</v>
      </c>
      <c r="I71" s="511">
        <v>0.9</v>
      </c>
      <c r="J71" s="512">
        <v>1.1000000000000001</v>
      </c>
      <c r="K71" s="511">
        <v>0.7</v>
      </c>
      <c r="L71" s="511">
        <v>0.95</v>
      </c>
      <c r="M71" s="24"/>
      <c r="N71" s="507"/>
      <c r="O71" s="507"/>
      <c r="P71" s="507"/>
      <c r="Q71" s="507"/>
      <c r="R71" s="507"/>
      <c r="S71" s="507"/>
      <c r="T71" s="507"/>
      <c r="U71" s="507"/>
      <c r="V71" s="508"/>
      <c r="W71" s="17"/>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row>
    <row r="72" spans="1:98" customFormat="1" outlineLevel="1" x14ac:dyDescent="0.25">
      <c r="A72" s="7"/>
      <c r="B72" s="8"/>
      <c r="C72" s="18"/>
      <c r="D72" s="18"/>
      <c r="E72" s="18"/>
      <c r="F72" s="24"/>
      <c r="G72" s="34"/>
      <c r="H72" s="510" t="str">
        <f>General!G83</f>
        <v>z</v>
      </c>
      <c r="I72" s="511">
        <v>0.9</v>
      </c>
      <c r="J72" s="512">
        <v>1.1000000000000001</v>
      </c>
      <c r="K72" s="511">
        <v>0.7</v>
      </c>
      <c r="L72" s="511">
        <v>0.95</v>
      </c>
      <c r="M72" s="24"/>
      <c r="N72" s="507"/>
      <c r="O72" s="507"/>
      <c r="P72" s="507"/>
      <c r="Q72" s="507"/>
      <c r="R72" s="507"/>
      <c r="S72" s="507"/>
      <c r="T72" s="507"/>
      <c r="U72" s="507"/>
      <c r="V72" s="508"/>
      <c r="W72" s="17"/>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row>
    <row r="73" spans="1:98" customFormat="1" outlineLevel="1" x14ac:dyDescent="0.25">
      <c r="A73" s="7"/>
      <c r="B73" s="8"/>
      <c r="C73" s="18"/>
      <c r="D73" s="18"/>
      <c r="E73" s="18"/>
      <c r="F73" s="24"/>
      <c r="G73" s="34"/>
      <c r="H73" s="510" t="str">
        <f>General!G84</f>
        <v>zd</v>
      </c>
      <c r="I73" s="511">
        <v>0.9</v>
      </c>
      <c r="J73" s="512">
        <v>1.1000000000000001</v>
      </c>
      <c r="K73" s="511">
        <v>0.7</v>
      </c>
      <c r="L73" s="511">
        <v>0.95</v>
      </c>
      <c r="M73" s="24"/>
      <c r="N73" s="507"/>
      <c r="O73" s="507"/>
      <c r="P73" s="507"/>
      <c r="Q73" s="507"/>
      <c r="R73" s="507"/>
      <c r="S73" s="507"/>
      <c r="T73" s="507"/>
      <c r="U73" s="507"/>
      <c r="V73" s="508"/>
      <c r="W73" s="17"/>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row>
    <row r="74" spans="1:98" customFormat="1" outlineLevel="1" x14ac:dyDescent="0.25">
      <c r="A74" s="7"/>
      <c r="B74" s="8"/>
      <c r="C74" s="18"/>
      <c r="D74" s="18"/>
      <c r="E74" s="18"/>
      <c r="F74" s="24"/>
      <c r="G74" s="34"/>
      <c r="H74" s="507"/>
      <c r="I74" s="507"/>
      <c r="J74" s="507"/>
      <c r="K74" s="24"/>
      <c r="L74" s="24"/>
      <c r="M74" s="24"/>
      <c r="N74" s="507"/>
      <c r="O74" s="507"/>
      <c r="P74" s="507"/>
      <c r="Q74" s="507"/>
      <c r="R74" s="507"/>
      <c r="S74" s="507"/>
      <c r="T74" s="507"/>
      <c r="U74" s="507"/>
      <c r="V74" s="508"/>
      <c r="W74" s="17"/>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row>
    <row r="75" spans="1:98" customFormat="1" outlineLevel="1" x14ac:dyDescent="0.25">
      <c r="A75" s="7"/>
      <c r="B75" s="8"/>
      <c r="C75" s="18"/>
      <c r="D75" s="18"/>
      <c r="E75" s="18"/>
      <c r="F75" s="24"/>
      <c r="G75" s="34"/>
      <c r="H75" s="507"/>
      <c r="I75" s="507"/>
      <c r="J75" s="507"/>
      <c r="K75" s="24"/>
      <c r="L75" s="24"/>
      <c r="M75" s="24"/>
      <c r="N75" s="507"/>
      <c r="O75" s="507"/>
      <c r="P75" s="507"/>
      <c r="Q75" s="507"/>
      <c r="R75" s="507"/>
      <c r="S75" s="507"/>
      <c r="T75" s="507"/>
      <c r="U75" s="507"/>
      <c r="V75" s="508"/>
      <c r="W75" s="17"/>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row>
    <row r="76" spans="1:98" customFormat="1" ht="5.0999999999999996" customHeight="1" outlineLevel="1" x14ac:dyDescent="0.25">
      <c r="A76" s="7"/>
      <c r="B76" s="8"/>
      <c r="C76" s="18"/>
      <c r="D76" s="18"/>
      <c r="E76" s="18"/>
      <c r="F76" s="33"/>
      <c r="G76" s="34"/>
      <c r="H76" s="34"/>
      <c r="I76" s="34"/>
      <c r="J76" s="35"/>
      <c r="K76" s="35"/>
      <c r="L76" s="35"/>
      <c r="M76" s="35"/>
      <c r="N76" s="35"/>
      <c r="O76" s="35"/>
      <c r="P76" s="35"/>
      <c r="Q76" s="35"/>
      <c r="R76" s="35"/>
      <c r="S76" s="35"/>
      <c r="T76" s="35"/>
      <c r="U76" s="35"/>
      <c r="V76" s="27"/>
      <c r="W76" s="17"/>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row>
    <row r="77" spans="1:98" customFormat="1" ht="25.35" customHeight="1" outlineLevel="1" x14ac:dyDescent="0.25">
      <c r="A77" s="7"/>
      <c r="B77" s="8"/>
      <c r="C77" s="36"/>
      <c r="D77" s="36"/>
      <c r="E77" s="36"/>
      <c r="F77" s="36"/>
      <c r="G77" s="37" t="str">
        <f>G44</f>
        <v>Excel pre-calc inputs</v>
      </c>
      <c r="H77" s="36"/>
      <c r="I77" s="36"/>
      <c r="J77" s="36"/>
      <c r="K77" s="36"/>
      <c r="L77" s="36"/>
      <c r="M77" s="36"/>
      <c r="N77" s="36"/>
      <c r="O77" s="36"/>
      <c r="P77" s="36"/>
      <c r="Q77" s="36"/>
      <c r="R77" s="36"/>
      <c r="S77" s="36"/>
      <c r="T77" s="36"/>
      <c r="U77" s="36"/>
      <c r="V77" s="36"/>
      <c r="W77" s="38" t="s">
        <v>91</v>
      </c>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row>
    <row r="78" spans="1:98" customFormat="1" ht="12" customHeight="1" outlineLevel="1" x14ac:dyDescent="0.25">
      <c r="A78" s="7"/>
      <c r="B78" s="8"/>
      <c r="C78" s="8"/>
      <c r="D78" s="8"/>
      <c r="E78" s="8"/>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row>
    <row r="79" spans="1:98" customFormat="1" ht="12" customHeight="1" outlineLevel="1" x14ac:dyDescent="0.25">
      <c r="A79" s="7"/>
      <c r="B79" s="8"/>
      <c r="C79" s="8"/>
      <c r="D79" s="8"/>
      <c r="E79" s="8"/>
      <c r="F79" s="8"/>
      <c r="G79" s="8"/>
      <c r="H79" s="9"/>
      <c r="I79" s="9"/>
      <c r="J79" s="9"/>
      <c r="K79" s="9"/>
      <c r="L79" s="9"/>
      <c r="M79" s="9"/>
      <c r="N79" s="9"/>
      <c r="O79" s="9"/>
      <c r="P79" s="9"/>
      <c r="Q79" s="9"/>
      <c r="R79" s="9"/>
      <c r="S79" s="9"/>
      <c r="T79" s="9"/>
      <c r="U79" s="9"/>
      <c r="V79" s="9"/>
      <c r="W79" s="9"/>
      <c r="X79" s="8"/>
      <c r="Y79" s="8"/>
      <c r="Z79" s="8"/>
    </row>
    <row r="80" spans="1:98" customFormat="1" ht="5.0999999999999996" customHeight="1" thickBot="1" x14ac:dyDescent="0.3">
      <c r="A80" s="7"/>
      <c r="B80" s="8"/>
      <c r="C80" s="8"/>
      <c r="D80" s="8"/>
      <c r="E80" s="8"/>
      <c r="F80" s="8"/>
      <c r="G80" s="8"/>
      <c r="H80" s="9"/>
      <c r="I80" s="9"/>
      <c r="J80" s="9"/>
      <c r="K80" s="9"/>
      <c r="L80" s="9"/>
      <c r="M80" s="9"/>
      <c r="N80" s="9"/>
      <c r="O80" s="9"/>
      <c r="P80" s="9"/>
      <c r="Q80" s="9"/>
      <c r="R80" s="9"/>
      <c r="S80" s="9"/>
      <c r="T80" s="9"/>
      <c r="U80" s="9"/>
      <c r="V80" s="9"/>
      <c r="W80" s="9"/>
      <c r="X80" s="8"/>
      <c r="Y80" s="8"/>
      <c r="Z80" s="8"/>
    </row>
    <row r="81" spans="1:26" customFormat="1" ht="5.0999999999999996" customHeight="1" x14ac:dyDescent="0.25">
      <c r="A81" s="7"/>
      <c r="B81" s="8"/>
      <c r="C81" s="10" t="s">
        <v>86</v>
      </c>
      <c r="D81" s="10"/>
      <c r="E81" s="10"/>
      <c r="F81" s="10"/>
      <c r="G81" s="10"/>
      <c r="H81" s="10"/>
      <c r="I81" s="10"/>
      <c r="J81" s="10"/>
      <c r="K81" s="11"/>
      <c r="L81" s="11"/>
      <c r="M81" s="11"/>
      <c r="N81" s="11"/>
      <c r="O81" s="11"/>
      <c r="P81" s="11"/>
      <c r="Q81" s="11"/>
      <c r="R81" s="11"/>
      <c r="S81" s="11"/>
      <c r="T81" s="11"/>
      <c r="U81" s="11"/>
      <c r="V81" s="11"/>
      <c r="W81" s="12"/>
      <c r="X81" s="9"/>
      <c r="Y81" s="9"/>
      <c r="Z81" s="9"/>
    </row>
    <row r="82" spans="1:26" customFormat="1" ht="12" customHeight="1" x14ac:dyDescent="0.25">
      <c r="A82" s="7"/>
      <c r="B82" s="8"/>
      <c r="C82" s="13"/>
      <c r="D82" s="13"/>
      <c r="E82" s="13" t="s">
        <v>87</v>
      </c>
      <c r="F82" s="14"/>
      <c r="G82" s="15" t="s">
        <v>3022</v>
      </c>
      <c r="H82" s="14"/>
      <c r="I82" s="14"/>
      <c r="J82" s="14"/>
      <c r="K82" s="14"/>
      <c r="L82" s="14"/>
      <c r="M82" s="14"/>
      <c r="N82" s="14"/>
      <c r="O82" s="14"/>
      <c r="P82" s="14"/>
      <c r="Q82" s="14"/>
      <c r="R82" s="14"/>
      <c r="S82" s="16"/>
      <c r="T82" s="14"/>
      <c r="U82" s="16"/>
      <c r="V82" s="16"/>
      <c r="W82" s="17"/>
      <c r="X82" s="9"/>
      <c r="Y82" s="9"/>
      <c r="Z82" s="9"/>
    </row>
    <row r="83" spans="1:26" customFormat="1" ht="12" customHeight="1" outlineLevel="1" x14ac:dyDescent="0.25">
      <c r="A83" s="7"/>
      <c r="B83" s="8"/>
      <c r="C83" s="13"/>
      <c r="D83" s="13"/>
      <c r="E83" s="18"/>
      <c r="F83" s="14"/>
      <c r="G83" s="14" t="s">
        <v>3010</v>
      </c>
      <c r="H83" s="14"/>
      <c r="I83" s="14"/>
      <c r="J83" s="14"/>
      <c r="K83" s="14"/>
      <c r="L83" s="14"/>
      <c r="M83" s="14"/>
      <c r="N83" s="14"/>
      <c r="O83" s="14"/>
      <c r="P83" s="14"/>
      <c r="Q83" s="14"/>
      <c r="R83" s="14"/>
      <c r="S83" s="16"/>
      <c r="T83" s="19"/>
      <c r="U83" s="16"/>
      <c r="V83" s="16"/>
      <c r="W83" s="17"/>
      <c r="X83" s="9"/>
      <c r="Y83" s="9"/>
      <c r="Z83" s="9"/>
    </row>
    <row r="84" spans="1:26" customFormat="1" ht="12" customHeight="1" outlineLevel="1" x14ac:dyDescent="0.25">
      <c r="A84" s="7"/>
      <c r="B84" s="8"/>
      <c r="C84" s="18"/>
      <c r="D84" s="13"/>
      <c r="E84" s="18"/>
      <c r="F84" s="14"/>
      <c r="G84" s="20">
        <v>38576.728703703702</v>
      </c>
      <c r="H84" s="14"/>
      <c r="I84" s="14"/>
      <c r="J84" s="14"/>
      <c r="K84" s="14"/>
      <c r="L84" s="14"/>
      <c r="M84" s="14"/>
      <c r="N84" s="14"/>
      <c r="O84" s="14"/>
      <c r="P84" s="14"/>
      <c r="Q84" s="14"/>
      <c r="R84" s="14"/>
      <c r="S84" s="16"/>
      <c r="T84" s="19"/>
      <c r="U84" s="16"/>
      <c r="V84" s="16"/>
      <c r="W84" s="17"/>
      <c r="X84" s="9"/>
      <c r="Y84" s="9"/>
      <c r="Z84" s="9"/>
    </row>
    <row r="85" spans="1:26" customFormat="1" ht="12" customHeight="1" outlineLevel="1" x14ac:dyDescent="0.25">
      <c r="A85" s="7"/>
      <c r="B85" s="8"/>
      <c r="C85" s="394"/>
      <c r="D85" s="13"/>
      <c r="E85" s="18"/>
      <c r="F85" s="14"/>
      <c r="G85" s="488"/>
      <c r="H85" s="14"/>
      <c r="I85" s="14" t="s">
        <v>2765</v>
      </c>
      <c r="J85" s="14"/>
      <c r="K85" s="14"/>
      <c r="L85" s="14"/>
      <c r="M85" s="14"/>
      <c r="N85" s="14"/>
      <c r="O85" s="14"/>
      <c r="P85" s="14"/>
      <c r="Q85" s="14"/>
      <c r="R85" s="14"/>
      <c r="S85" s="16"/>
      <c r="T85" s="19"/>
      <c r="U85" s="16"/>
      <c r="V85" s="16"/>
      <c r="W85" s="17"/>
      <c r="X85" s="9"/>
      <c r="Y85" s="9"/>
      <c r="Z85" s="9"/>
    </row>
    <row r="86" spans="1:26" customFormat="1" ht="12" customHeight="1" outlineLevel="1" x14ac:dyDescent="0.25">
      <c r="A86" s="7"/>
      <c r="B86" s="8"/>
      <c r="C86" s="18"/>
      <c r="D86" s="18"/>
      <c r="E86" s="18"/>
      <c r="F86" s="18"/>
      <c r="G86" s="18"/>
      <c r="H86" s="18"/>
      <c r="I86" s="18"/>
      <c r="J86" s="21"/>
      <c r="K86" s="21"/>
      <c r="L86" s="21"/>
      <c r="M86" s="21"/>
      <c r="N86" s="21"/>
      <c r="O86" s="21"/>
      <c r="P86" s="21"/>
      <c r="Q86" s="21"/>
      <c r="R86" s="21"/>
      <c r="S86" s="21"/>
      <c r="T86" s="21"/>
      <c r="U86" s="21"/>
      <c r="V86" s="21"/>
      <c r="W86" s="17"/>
      <c r="X86" s="9"/>
      <c r="Y86" s="9"/>
      <c r="Z86" s="9"/>
    </row>
    <row r="87" spans="1:26" customFormat="1" ht="12" customHeight="1" outlineLevel="1" x14ac:dyDescent="0.25">
      <c r="A87" s="7"/>
      <c r="B87" s="8"/>
      <c r="C87" s="18"/>
      <c r="D87" s="18"/>
      <c r="E87" s="18"/>
      <c r="F87" s="18"/>
      <c r="G87" s="18"/>
      <c r="H87" s="18"/>
      <c r="I87" s="18"/>
      <c r="J87" s="18"/>
      <c r="K87" s="18"/>
      <c r="L87" s="21"/>
      <c r="M87" s="21"/>
      <c r="N87" s="21"/>
      <c r="O87" s="21"/>
      <c r="P87" s="21"/>
      <c r="Q87" s="21"/>
      <c r="R87" s="21"/>
      <c r="S87" s="21"/>
      <c r="T87" s="21"/>
      <c r="U87" s="21"/>
      <c r="V87" s="21"/>
      <c r="W87" s="17"/>
      <c r="X87" s="9"/>
      <c r="Y87" s="9"/>
      <c r="Z87" s="9"/>
    </row>
    <row r="88" spans="1:26" customFormat="1" ht="12" customHeight="1" outlineLevel="1" x14ac:dyDescent="0.25">
      <c r="A88" s="7"/>
      <c r="B88" s="8"/>
      <c r="C88" s="18"/>
      <c r="D88" s="18"/>
      <c r="E88" s="18"/>
      <c r="F88" s="18"/>
      <c r="G88" s="18"/>
      <c r="H88" s="18"/>
      <c r="I88" s="18"/>
      <c r="J88" s="22"/>
      <c r="K88" s="22"/>
      <c r="L88" s="22"/>
      <c r="M88" s="22"/>
      <c r="N88" s="22"/>
      <c r="O88" s="22"/>
      <c r="P88" s="23"/>
      <c r="Q88" s="23"/>
      <c r="R88" s="23"/>
      <c r="S88" s="21"/>
      <c r="T88" s="21"/>
      <c r="U88" s="21"/>
      <c r="V88" s="21"/>
      <c r="W88" s="17"/>
      <c r="X88" s="9"/>
      <c r="Y88" s="9"/>
      <c r="Z88" s="9"/>
    </row>
    <row r="89" spans="1:26" customFormat="1" ht="12" customHeight="1" outlineLevel="1" x14ac:dyDescent="0.25">
      <c r="A89" s="7"/>
      <c r="B89" s="8"/>
      <c r="C89" s="18"/>
      <c r="D89" s="18"/>
      <c r="E89" s="18"/>
      <c r="F89" s="18"/>
      <c r="G89" s="18"/>
      <c r="H89" s="18"/>
      <c r="I89" s="21"/>
      <c r="J89" s="22"/>
      <c r="K89" s="22"/>
      <c r="L89" s="22"/>
      <c r="M89" s="22"/>
      <c r="N89" s="22"/>
      <c r="O89" s="22"/>
      <c r="P89" s="23"/>
      <c r="Q89" s="23"/>
      <c r="R89" s="23"/>
      <c r="S89" s="21"/>
      <c r="T89" s="21"/>
      <c r="U89" s="21"/>
      <c r="V89" s="21"/>
      <c r="W89" s="17"/>
      <c r="X89" s="9"/>
      <c r="Y89" s="9"/>
      <c r="Z89" s="9"/>
    </row>
    <row r="90" spans="1:26" customFormat="1" ht="5.0999999999999996" customHeight="1" outlineLevel="1" x14ac:dyDescent="0.25">
      <c r="A90" s="7"/>
      <c r="B90" s="8"/>
      <c r="C90" s="18"/>
      <c r="D90" s="18"/>
      <c r="E90" s="18"/>
      <c r="F90" s="18"/>
      <c r="G90" s="18"/>
      <c r="H90" s="18"/>
      <c r="I90" s="18"/>
      <c r="J90" s="22"/>
      <c r="K90" s="22"/>
      <c r="L90" s="23"/>
      <c r="M90" s="23"/>
      <c r="N90" s="23"/>
      <c r="O90" s="23"/>
      <c r="P90" s="23"/>
      <c r="Q90" s="23"/>
      <c r="R90" s="23"/>
      <c r="S90" s="21"/>
      <c r="T90" s="21"/>
      <c r="U90" s="21"/>
      <c r="V90" s="21"/>
      <c r="W90" s="17"/>
      <c r="X90" s="9"/>
      <c r="Y90" s="9"/>
      <c r="Z90" s="9"/>
    </row>
    <row r="91" spans="1:26" customFormat="1" ht="5.0999999999999996" customHeight="1" outlineLevel="1" x14ac:dyDescent="0.25">
      <c r="A91" s="7"/>
      <c r="B91" s="8"/>
      <c r="C91" s="18"/>
      <c r="D91" s="18"/>
      <c r="E91" s="18"/>
      <c r="F91" s="24"/>
      <c r="G91" s="25"/>
      <c r="H91" s="25"/>
      <c r="I91" s="489"/>
      <c r="J91" s="490"/>
      <c r="K91" s="490"/>
      <c r="L91" s="490"/>
      <c r="M91" s="490"/>
      <c r="N91" s="490"/>
      <c r="O91" s="490"/>
      <c r="P91" s="26"/>
      <c r="Q91" s="26"/>
      <c r="R91" s="26"/>
      <c r="S91" s="26"/>
      <c r="T91" s="26"/>
      <c r="U91" s="26"/>
      <c r="V91" s="27"/>
      <c r="W91" s="17"/>
      <c r="X91" s="9"/>
      <c r="Y91" s="9"/>
      <c r="Z91" s="9"/>
    </row>
    <row r="92" spans="1:26" customFormat="1" x14ac:dyDescent="0.25">
      <c r="A92" s="7"/>
      <c r="B92" s="8"/>
      <c r="C92" s="18"/>
      <c r="D92" s="18"/>
      <c r="E92" s="18"/>
      <c r="F92" s="24"/>
      <c r="G92" s="345" t="s">
        <v>3023</v>
      </c>
      <c r="I92" s="513"/>
      <c r="K92" s="514"/>
      <c r="L92" s="514"/>
      <c r="M92" s="26"/>
      <c r="O92" s="490"/>
      <c r="P92" s="26"/>
      <c r="Q92" s="26"/>
      <c r="R92" s="26"/>
      <c r="S92" s="26"/>
      <c r="T92" s="26"/>
      <c r="U92" s="26"/>
      <c r="V92" s="27"/>
      <c r="W92" s="17"/>
      <c r="X92" s="9"/>
      <c r="Y92" s="9"/>
      <c r="Z92" s="9"/>
    </row>
    <row r="93" spans="1:26" customFormat="1" outlineLevel="1" x14ac:dyDescent="0.25">
      <c r="A93" s="7"/>
      <c r="B93" s="8"/>
      <c r="C93" s="18"/>
      <c r="D93" s="18"/>
      <c r="E93" s="18"/>
      <c r="F93" s="24"/>
      <c r="G93" s="345"/>
      <c r="H93" s="515" t="s">
        <v>2296</v>
      </c>
      <c r="I93" s="516" t="s">
        <v>2298</v>
      </c>
      <c r="J93" s="517" t="s">
        <v>2297</v>
      </c>
      <c r="K93" s="518"/>
      <c r="L93" s="514"/>
      <c r="M93" s="27"/>
      <c r="O93" s="490"/>
      <c r="P93" s="26"/>
      <c r="Q93" s="26"/>
      <c r="R93" s="26"/>
      <c r="S93" s="27"/>
      <c r="T93" s="26"/>
      <c r="U93" s="26"/>
      <c r="V93" s="27"/>
      <c r="W93" s="17"/>
      <c r="X93" s="9"/>
      <c r="Y93" s="9"/>
      <c r="Z93" s="9"/>
    </row>
    <row r="94" spans="1:26" customFormat="1" outlineLevel="1" x14ac:dyDescent="0.25">
      <c r="A94" s="7"/>
      <c r="B94" s="8"/>
      <c r="C94" s="18"/>
      <c r="D94" s="18"/>
      <c r="E94" s="18"/>
      <c r="F94" s="24"/>
      <c r="H94" s="519" t="s">
        <v>2295</v>
      </c>
      <c r="I94" t="s">
        <v>2299</v>
      </c>
      <c r="J94" t="s">
        <v>2300</v>
      </c>
      <c r="K94" s="514"/>
      <c r="L94" s="514"/>
      <c r="O94" s="503"/>
      <c r="P94" s="30"/>
      <c r="Q94" s="30"/>
      <c r="R94" s="30"/>
      <c r="T94" s="30"/>
      <c r="U94" s="30"/>
      <c r="V94" s="27"/>
      <c r="W94" s="17"/>
      <c r="X94" s="9"/>
      <c r="Y94" s="9"/>
      <c r="Z94" s="9"/>
    </row>
    <row r="95" spans="1:26" customFormat="1" ht="12" customHeight="1" outlineLevel="1" x14ac:dyDescent="0.25">
      <c r="A95" s="7"/>
      <c r="B95" s="8"/>
      <c r="C95" s="18"/>
      <c r="D95" s="18"/>
      <c r="E95" s="18"/>
      <c r="F95" s="24"/>
      <c r="G95" s="346" t="str">
        <f>General!G66</f>
        <v>b</v>
      </c>
      <c r="H95" s="511">
        <v>1</v>
      </c>
      <c r="I95" s="511">
        <v>1</v>
      </c>
      <c r="J95" s="520">
        <f t="shared" ref="J95:J113" si="0">$J55-$I55*$K55*(1-$L55)</f>
        <v>1.0685</v>
      </c>
      <c r="K95" s="518"/>
      <c r="L95" s="514"/>
      <c r="M95" s="28"/>
      <c r="O95" s="503"/>
      <c r="P95" s="30"/>
      <c r="Q95" s="30"/>
      <c r="R95" s="30"/>
      <c r="T95" s="30"/>
      <c r="U95" s="30"/>
      <c r="V95" s="27"/>
      <c r="W95" s="17"/>
      <c r="X95" s="9"/>
      <c r="Y95" s="9"/>
      <c r="Z95" s="9"/>
    </row>
    <row r="96" spans="1:26" customFormat="1" ht="12" customHeight="1" outlineLevel="1" x14ac:dyDescent="0.25">
      <c r="A96" s="7"/>
      <c r="B96" s="8"/>
      <c r="C96" s="18"/>
      <c r="D96" s="18"/>
      <c r="E96" s="18"/>
      <c r="F96" s="24"/>
      <c r="G96" s="346" t="str">
        <f>General!G67</f>
        <v>bd</v>
      </c>
      <c r="H96" s="511">
        <v>1</v>
      </c>
      <c r="I96" s="511">
        <v>1</v>
      </c>
      <c r="J96" s="520">
        <f t="shared" si="0"/>
        <v>1.0685</v>
      </c>
      <c r="K96" s="518"/>
      <c r="L96" s="514"/>
      <c r="M96" s="28"/>
      <c r="O96" s="503"/>
      <c r="P96" s="30"/>
      <c r="Q96" s="30"/>
      <c r="R96" s="30"/>
      <c r="T96" s="30"/>
      <c r="U96" s="30"/>
      <c r="V96" s="27"/>
      <c r="W96" s="17"/>
      <c r="X96" s="9"/>
      <c r="Y96" s="9"/>
      <c r="Z96" s="9"/>
    </row>
    <row r="97" spans="1:26" customFormat="1" ht="12" customHeight="1" outlineLevel="1" x14ac:dyDescent="0.25">
      <c r="A97" s="7"/>
      <c r="B97" s="8"/>
      <c r="C97" s="18"/>
      <c r="D97" s="18"/>
      <c r="E97" s="18"/>
      <c r="F97" s="24"/>
      <c r="G97" s="346" t="str">
        <f>General!G68</f>
        <v>f</v>
      </c>
      <c r="H97" s="511">
        <v>1</v>
      </c>
      <c r="I97" s="511">
        <v>1</v>
      </c>
      <c r="J97" s="520">
        <f t="shared" si="0"/>
        <v>1.0685</v>
      </c>
      <c r="K97" s="518"/>
      <c r="L97" s="514"/>
      <c r="M97" s="28"/>
      <c r="P97" s="30"/>
      <c r="Q97" s="30"/>
      <c r="R97" s="30"/>
      <c r="T97" s="30"/>
      <c r="U97" s="30"/>
      <c r="V97" s="27"/>
      <c r="W97" s="17"/>
      <c r="X97" s="9"/>
      <c r="Y97" s="9"/>
      <c r="Z97" s="9"/>
    </row>
    <row r="98" spans="1:26" customFormat="1" ht="12" customHeight="1" outlineLevel="1" x14ac:dyDescent="0.25">
      <c r="A98" s="7"/>
      <c r="B98" s="8"/>
      <c r="C98" s="18"/>
      <c r="D98" s="18"/>
      <c r="E98" s="18"/>
      <c r="F98" s="24"/>
      <c r="G98" s="346" t="str">
        <f>General!G69</f>
        <v>h</v>
      </c>
      <c r="H98" s="511">
        <v>1</v>
      </c>
      <c r="I98" s="511">
        <v>1</v>
      </c>
      <c r="J98" s="520">
        <f t="shared" si="0"/>
        <v>1.0685</v>
      </c>
      <c r="K98" s="518"/>
      <c r="L98" s="514"/>
      <c r="M98" s="28"/>
      <c r="P98" s="30"/>
      <c r="Q98" s="30"/>
      <c r="R98" s="30"/>
      <c r="T98" s="30"/>
      <c r="U98" s="30"/>
      <c r="V98" s="27"/>
      <c r="W98" s="17"/>
      <c r="X98" s="9"/>
      <c r="Y98" s="9"/>
      <c r="Z98" s="9"/>
    </row>
    <row r="99" spans="1:26" customFormat="1" ht="12" customHeight="1" outlineLevel="1" x14ac:dyDescent="0.25">
      <c r="A99" s="7"/>
      <c r="B99" s="8"/>
      <c r="C99" s="18"/>
      <c r="D99" s="18"/>
      <c r="E99" s="18"/>
      <c r="F99" s="24"/>
      <c r="G99" s="346" t="str">
        <f>General!G70</f>
        <v>i</v>
      </c>
      <c r="H99" s="511">
        <v>1</v>
      </c>
      <c r="I99" s="511">
        <v>1</v>
      </c>
      <c r="J99" s="520">
        <f t="shared" si="0"/>
        <v>1.0685</v>
      </c>
      <c r="K99" s="518"/>
      <c r="L99" s="514"/>
      <c r="M99" s="28"/>
      <c r="P99" s="30"/>
      <c r="Q99" s="30"/>
      <c r="R99" s="30"/>
      <c r="T99" s="30"/>
      <c r="U99" s="30"/>
      <c r="V99" s="27"/>
      <c r="W99" s="17"/>
      <c r="X99" s="9"/>
      <c r="Y99" s="9"/>
      <c r="Z99" s="9"/>
    </row>
    <row r="100" spans="1:26" customFormat="1" ht="12" customHeight="1" outlineLevel="1" x14ac:dyDescent="0.25">
      <c r="A100" s="7"/>
      <c r="B100" s="8"/>
      <c r="C100" s="18"/>
      <c r="D100" s="18"/>
      <c r="E100" s="18"/>
      <c r="F100" s="24"/>
      <c r="G100" s="346" t="str">
        <f>General!G71</f>
        <v>k</v>
      </c>
      <c r="H100" s="511">
        <v>1</v>
      </c>
      <c r="I100" s="511">
        <v>1</v>
      </c>
      <c r="J100" s="520">
        <f t="shared" si="0"/>
        <v>1.0685</v>
      </c>
      <c r="K100" s="518"/>
      <c r="L100" s="514"/>
      <c r="M100" s="28"/>
      <c r="P100" s="30"/>
      <c r="Q100" s="30"/>
      <c r="R100" s="30"/>
      <c r="T100" s="30"/>
      <c r="U100" s="30"/>
      <c r="V100" s="27"/>
      <c r="W100" s="17"/>
      <c r="X100" s="9"/>
      <c r="Y100" s="9"/>
      <c r="Z100" s="9"/>
    </row>
    <row r="101" spans="1:26" customFormat="1" ht="12" customHeight="1" outlineLevel="1" x14ac:dyDescent="0.25">
      <c r="A101" s="7"/>
      <c r="B101" s="8"/>
      <c r="C101" s="18"/>
      <c r="D101" s="18"/>
      <c r="E101" s="18"/>
      <c r="F101" s="24"/>
      <c r="G101" s="346" t="str">
        <f>General!G72</f>
        <v>l</v>
      </c>
      <c r="H101" s="511">
        <v>1</v>
      </c>
      <c r="I101" s="511">
        <v>1</v>
      </c>
      <c r="J101" s="520">
        <f t="shared" si="0"/>
        <v>1.0685</v>
      </c>
      <c r="K101" s="518"/>
      <c r="L101" s="514"/>
      <c r="M101" s="28"/>
      <c r="P101" s="30"/>
      <c r="Q101" s="30"/>
      <c r="R101" s="30"/>
      <c r="T101" s="30"/>
      <c r="U101" s="30"/>
      <c r="V101" s="27"/>
      <c r="W101" s="17"/>
      <c r="X101" s="9"/>
      <c r="Y101" s="9"/>
      <c r="Z101" s="9"/>
    </row>
    <row r="102" spans="1:26" customFormat="1" ht="12" customHeight="1" outlineLevel="1" x14ac:dyDescent="0.25">
      <c r="A102" s="7"/>
      <c r="B102" s="8"/>
      <c r="C102" s="18"/>
      <c r="D102" s="18"/>
      <c r="E102" s="18"/>
      <c r="F102" s="24"/>
      <c r="G102" s="346" t="str">
        <f>General!G73</f>
        <v>lf</v>
      </c>
      <c r="H102" s="511">
        <v>1</v>
      </c>
      <c r="I102" s="511">
        <v>1</v>
      </c>
      <c r="J102" s="520">
        <f t="shared" si="0"/>
        <v>1.0685</v>
      </c>
      <c r="K102" s="518"/>
      <c r="L102" s="514"/>
      <c r="M102" s="28"/>
      <c r="P102" s="30"/>
      <c r="Q102" s="30"/>
      <c r="R102" s="30"/>
      <c r="T102" s="30"/>
      <c r="U102" s="30"/>
      <c r="V102" s="27"/>
      <c r="W102" s="17"/>
      <c r="X102" s="9"/>
      <c r="Y102" s="9"/>
      <c r="Z102" s="9"/>
    </row>
    <row r="103" spans="1:26" customFormat="1" ht="12" customHeight="1" outlineLevel="1" x14ac:dyDescent="0.25">
      <c r="A103" s="7"/>
      <c r="B103" s="8"/>
      <c r="C103" s="18"/>
      <c r="D103" s="18"/>
      <c r="E103" s="18"/>
      <c r="F103" s="24"/>
      <c r="G103" s="346" t="str">
        <f>General!G74</f>
        <v>ms</v>
      </c>
      <c r="H103" s="511">
        <v>1</v>
      </c>
      <c r="I103" s="511">
        <v>1</v>
      </c>
      <c r="J103" s="520">
        <f t="shared" si="0"/>
        <v>1.0685</v>
      </c>
      <c r="K103" s="518"/>
      <c r="L103" s="514"/>
      <c r="M103" s="28"/>
      <c r="P103" s="30"/>
      <c r="Q103" s="30"/>
      <c r="R103" s="30"/>
      <c r="T103" s="30"/>
      <c r="U103" s="30"/>
      <c r="V103" s="27"/>
      <c r="W103" s="17"/>
      <c r="X103" s="9"/>
      <c r="Y103" s="9"/>
      <c r="Z103" s="9"/>
    </row>
    <row r="104" spans="1:26" customFormat="1" ht="12" customHeight="1" outlineLevel="1" x14ac:dyDescent="0.25">
      <c r="A104" s="7"/>
      <c r="B104" s="8"/>
      <c r="C104" s="18"/>
      <c r="D104" s="18"/>
      <c r="E104" s="18"/>
      <c r="F104" s="24"/>
      <c r="G104" s="346" t="str">
        <f>General!G75</f>
        <v>o</v>
      </c>
      <c r="H104" s="511">
        <v>1</v>
      </c>
      <c r="I104" s="511">
        <v>1</v>
      </c>
      <c r="J104" s="520">
        <f t="shared" si="0"/>
        <v>1.0685</v>
      </c>
      <c r="K104" s="518"/>
      <c r="L104" s="514"/>
      <c r="M104" s="28"/>
      <c r="P104" s="30"/>
      <c r="Q104" s="30"/>
      <c r="R104" s="30"/>
      <c r="T104" s="30"/>
      <c r="U104" s="30"/>
      <c r="V104" s="27"/>
      <c r="W104" s="17"/>
      <c r="X104" s="9"/>
      <c r="Y104" s="9"/>
      <c r="Z104" s="9"/>
    </row>
    <row r="105" spans="1:26" customFormat="1" ht="12" customHeight="1" outlineLevel="1" x14ac:dyDescent="0.25">
      <c r="A105" s="7"/>
      <c r="B105" s="8"/>
      <c r="C105" s="18"/>
      <c r="D105" s="18"/>
      <c r="E105" s="18"/>
      <c r="F105" s="24"/>
      <c r="G105" s="346" t="str">
        <f>General!G76</f>
        <v>od</v>
      </c>
      <c r="H105" s="511">
        <v>1</v>
      </c>
      <c r="I105" s="511">
        <v>1</v>
      </c>
      <c r="J105" s="520">
        <f t="shared" si="0"/>
        <v>1.0685</v>
      </c>
      <c r="K105" s="518"/>
      <c r="L105" s="514"/>
      <c r="M105" s="28"/>
      <c r="P105" s="30"/>
      <c r="Q105" s="30"/>
      <c r="R105" s="30"/>
      <c r="T105" s="30"/>
      <c r="U105" s="30"/>
      <c r="V105" s="27"/>
      <c r="W105" s="17"/>
      <c r="X105" s="9"/>
      <c r="Y105" s="9"/>
      <c r="Z105" s="9"/>
    </row>
    <row r="106" spans="1:26" customFormat="1" ht="12" customHeight="1" outlineLevel="1" x14ac:dyDescent="0.25">
      <c r="A106" s="7"/>
      <c r="B106" s="8"/>
      <c r="C106" s="18"/>
      <c r="D106" s="18"/>
      <c r="E106" s="18"/>
      <c r="F106" s="24"/>
      <c r="G106" s="346" t="str">
        <f>General!G77</f>
        <v>of</v>
      </c>
      <c r="H106" s="511">
        <v>1</v>
      </c>
      <c r="I106" s="511">
        <v>1</v>
      </c>
      <c r="J106" s="520">
        <f t="shared" si="0"/>
        <v>1.0685</v>
      </c>
      <c r="K106" s="518"/>
      <c r="L106" s="514"/>
      <c r="M106" s="28"/>
      <c r="P106" s="30"/>
      <c r="Q106" s="30"/>
      <c r="R106" s="30"/>
      <c r="T106" s="30"/>
      <c r="U106" s="30"/>
      <c r="V106" s="27"/>
      <c r="W106" s="17"/>
      <c r="X106" s="9"/>
      <c r="Y106" s="9"/>
      <c r="Z106" s="9"/>
    </row>
    <row r="107" spans="1:26" customFormat="1" ht="12" customHeight="1" outlineLevel="1" x14ac:dyDescent="0.25">
      <c r="A107" s="7"/>
      <c r="B107" s="8"/>
      <c r="C107" s="18"/>
      <c r="D107" s="18"/>
      <c r="E107" s="18"/>
      <c r="F107" s="24"/>
      <c r="G107" s="346" t="str">
        <f>General!G78</f>
        <v>r</v>
      </c>
      <c r="H107" s="511">
        <v>1</v>
      </c>
      <c r="I107" s="511">
        <v>1</v>
      </c>
      <c r="J107" s="520">
        <f t="shared" si="0"/>
        <v>1.0685</v>
      </c>
      <c r="K107" s="518"/>
      <c r="L107" s="514"/>
      <c r="M107" s="28"/>
      <c r="P107" s="30"/>
      <c r="Q107" s="30"/>
      <c r="R107" s="30"/>
      <c r="T107" s="30"/>
      <c r="U107" s="30"/>
      <c r="V107" s="27"/>
      <c r="W107" s="17"/>
      <c r="X107" s="9"/>
      <c r="Y107" s="9"/>
      <c r="Z107" s="9"/>
    </row>
    <row r="108" spans="1:26" customFormat="1" ht="12" customHeight="1" outlineLevel="1" x14ac:dyDescent="0.25">
      <c r="A108" s="7"/>
      <c r="B108" s="8"/>
      <c r="C108" s="18"/>
      <c r="D108" s="18"/>
      <c r="E108" s="18"/>
      <c r="F108" s="24"/>
      <c r="G108" s="346" t="str">
        <f>General!G79</f>
        <v>rd</v>
      </c>
      <c r="H108" s="511">
        <v>1</v>
      </c>
      <c r="I108" s="511">
        <v>1</v>
      </c>
      <c r="J108" s="520">
        <f t="shared" si="0"/>
        <v>1.0685</v>
      </c>
      <c r="K108" s="518"/>
      <c r="L108" s="514"/>
      <c r="M108" s="28"/>
      <c r="P108" s="30"/>
      <c r="Q108" s="30"/>
      <c r="R108" s="30"/>
      <c r="T108" s="30"/>
      <c r="U108" s="30"/>
      <c r="V108" s="27"/>
      <c r="W108" s="17"/>
      <c r="X108" s="9"/>
      <c r="Y108" s="9"/>
      <c r="Z108" s="9"/>
    </row>
    <row r="109" spans="1:26" customFormat="1" ht="12" customHeight="1" outlineLevel="1" x14ac:dyDescent="0.25">
      <c r="A109" s="7"/>
      <c r="B109" s="8"/>
      <c r="C109" s="18"/>
      <c r="D109" s="18"/>
      <c r="E109" s="18"/>
      <c r="F109" s="24"/>
      <c r="G109" s="346" t="str">
        <f>General!G80</f>
        <v>v</v>
      </c>
      <c r="H109" s="511">
        <v>1</v>
      </c>
      <c r="I109" s="511">
        <v>1</v>
      </c>
      <c r="J109" s="520">
        <f t="shared" si="0"/>
        <v>1.0685</v>
      </c>
      <c r="K109" s="518"/>
      <c r="L109" s="514"/>
      <c r="M109" s="28"/>
      <c r="P109" s="30"/>
      <c r="Q109" s="30"/>
      <c r="R109" s="30"/>
      <c r="T109" s="30"/>
      <c r="U109" s="30"/>
      <c r="V109" s="27"/>
      <c r="W109" s="17"/>
      <c r="X109" s="9"/>
      <c r="Y109" s="9"/>
      <c r="Z109" s="9"/>
    </row>
    <row r="110" spans="1:26" customFormat="1" ht="12" customHeight="1" outlineLevel="1" x14ac:dyDescent="0.25">
      <c r="A110" s="7"/>
      <c r="B110" s="8"/>
      <c r="C110" s="18"/>
      <c r="D110" s="18"/>
      <c r="E110" s="18"/>
      <c r="F110" s="24"/>
      <c r="G110" s="346" t="str">
        <f>General!G81</f>
        <v>w</v>
      </c>
      <c r="H110" s="511">
        <v>1</v>
      </c>
      <c r="I110" s="511">
        <v>1</v>
      </c>
      <c r="J110" s="520">
        <f t="shared" si="0"/>
        <v>1.0685</v>
      </c>
      <c r="K110" s="518"/>
      <c r="L110" s="514"/>
      <c r="M110" s="28"/>
      <c r="P110" s="30"/>
      <c r="Q110" s="30"/>
      <c r="R110" s="30"/>
      <c r="T110" s="30"/>
      <c r="U110" s="30"/>
      <c r="V110" s="27"/>
      <c r="W110" s="17"/>
      <c r="X110" s="9"/>
      <c r="Y110" s="9"/>
      <c r="Z110" s="9"/>
    </row>
    <row r="111" spans="1:26" customFormat="1" ht="12" customHeight="1" outlineLevel="1" x14ac:dyDescent="0.25">
      <c r="A111" s="7"/>
      <c r="B111" s="8"/>
      <c r="C111" s="18"/>
      <c r="D111" s="18"/>
      <c r="E111" s="18"/>
      <c r="F111" s="24"/>
      <c r="G111" s="346" t="str">
        <f>General!G82</f>
        <v>wd</v>
      </c>
      <c r="H111" s="511">
        <v>1</v>
      </c>
      <c r="I111" s="511">
        <v>1</v>
      </c>
      <c r="J111" s="520">
        <f t="shared" si="0"/>
        <v>1.0685</v>
      </c>
      <c r="K111" s="518"/>
      <c r="L111" s="514"/>
      <c r="M111" s="28"/>
      <c r="P111" s="30"/>
      <c r="Q111" s="30"/>
      <c r="R111" s="30"/>
      <c r="T111" s="30"/>
      <c r="U111" s="30"/>
      <c r="V111" s="27"/>
      <c r="W111" s="17"/>
      <c r="X111" s="9"/>
      <c r="Y111" s="9"/>
      <c r="Z111" s="9"/>
    </row>
    <row r="112" spans="1:26" customFormat="1" ht="12" customHeight="1" outlineLevel="1" x14ac:dyDescent="0.25">
      <c r="A112" s="7"/>
      <c r="B112" s="8"/>
      <c r="C112" s="18"/>
      <c r="D112" s="18"/>
      <c r="E112" s="18"/>
      <c r="F112" s="24"/>
      <c r="G112" s="346" t="str">
        <f>General!G83</f>
        <v>z</v>
      </c>
      <c r="H112" s="511">
        <v>1</v>
      </c>
      <c r="I112" s="511">
        <v>1</v>
      </c>
      <c r="J112" s="520">
        <f t="shared" si="0"/>
        <v>1.0685</v>
      </c>
      <c r="K112" s="518"/>
      <c r="L112" s="514"/>
      <c r="M112" s="491"/>
      <c r="P112" s="30"/>
      <c r="Q112" s="30"/>
      <c r="R112" s="30"/>
      <c r="T112" s="30"/>
      <c r="U112" s="30"/>
      <c r="V112" s="27"/>
      <c r="W112" s="17"/>
      <c r="X112" s="9"/>
      <c r="Y112" s="9"/>
      <c r="Z112" s="9"/>
    </row>
    <row r="113" spans="1:26" customFormat="1" ht="12" customHeight="1" outlineLevel="1" x14ac:dyDescent="0.25">
      <c r="A113" s="7"/>
      <c r="B113" s="8"/>
      <c r="C113" s="18"/>
      <c r="D113" s="18"/>
      <c r="E113" s="18"/>
      <c r="F113" s="24"/>
      <c r="G113" s="346" t="str">
        <f>General!G84</f>
        <v>zd</v>
      </c>
      <c r="H113" s="511">
        <v>1</v>
      </c>
      <c r="I113" s="511">
        <v>1</v>
      </c>
      <c r="J113" s="520">
        <f t="shared" si="0"/>
        <v>1.0685</v>
      </c>
      <c r="K113" s="518"/>
      <c r="L113" s="514"/>
      <c r="M113" s="30"/>
      <c r="P113" s="30"/>
      <c r="Q113" s="30"/>
      <c r="R113" s="30"/>
      <c r="S113" s="521"/>
      <c r="T113" s="30"/>
      <c r="U113" s="30"/>
      <c r="V113" s="27"/>
      <c r="W113" s="17"/>
      <c r="X113" s="9"/>
      <c r="Y113" s="9"/>
      <c r="Z113" s="9"/>
    </row>
    <row r="114" spans="1:26" customFormat="1" ht="12" customHeight="1" outlineLevel="1" x14ac:dyDescent="0.25">
      <c r="A114" s="7"/>
      <c r="B114" s="8"/>
      <c r="C114" s="18"/>
      <c r="D114" s="18"/>
      <c r="E114" s="18"/>
      <c r="F114" s="27"/>
      <c r="G114" s="27"/>
      <c r="H114" s="27"/>
      <c r="I114" s="27"/>
      <c r="J114" s="27"/>
      <c r="K114" s="27"/>
      <c r="L114" s="27"/>
      <c r="M114" s="27"/>
      <c r="P114" s="30"/>
      <c r="Q114" s="30"/>
      <c r="R114" s="30"/>
      <c r="S114" s="508"/>
      <c r="T114" s="30"/>
      <c r="U114" s="30"/>
      <c r="V114" s="27"/>
      <c r="W114" s="17"/>
      <c r="X114" s="9"/>
      <c r="Y114" s="9"/>
      <c r="Z114" s="9"/>
    </row>
    <row r="115" spans="1:26" customFormat="1" outlineLevel="1" x14ac:dyDescent="0.25">
      <c r="A115" s="7"/>
      <c r="B115" s="8"/>
      <c r="C115" s="18"/>
      <c r="D115" s="18"/>
      <c r="E115" s="18"/>
      <c r="F115" s="24"/>
      <c r="G115" s="25"/>
      <c r="H115" s="24"/>
      <c r="I115" s="489"/>
      <c r="J115" s="27"/>
      <c r="K115" s="490"/>
      <c r="L115" s="490"/>
      <c r="M115" s="26"/>
      <c r="N115" s="27"/>
      <c r="O115" s="490"/>
      <c r="P115" s="26"/>
      <c r="Q115" s="26"/>
      <c r="R115" s="26"/>
      <c r="S115" s="26"/>
      <c r="T115" s="26"/>
      <c r="U115" s="26"/>
      <c r="V115" s="27"/>
      <c r="W115" s="17"/>
      <c r="X115" s="9"/>
      <c r="Y115" s="9"/>
      <c r="Z115" s="9"/>
    </row>
    <row r="116" spans="1:26" customFormat="1" x14ac:dyDescent="0.25">
      <c r="A116" s="7"/>
      <c r="B116" s="8"/>
      <c r="C116" s="18"/>
      <c r="D116" s="18"/>
      <c r="E116" s="18"/>
      <c r="F116" s="24"/>
      <c r="G116" s="522" t="s">
        <v>3024</v>
      </c>
      <c r="I116" s="523"/>
      <c r="K116" s="514"/>
      <c r="L116" s="514"/>
      <c r="M116" s="26"/>
      <c r="O116" s="490"/>
      <c r="P116" s="26"/>
      <c r="Q116" s="26"/>
      <c r="R116" s="26"/>
      <c r="S116" s="26"/>
      <c r="T116" s="26"/>
      <c r="U116" s="26"/>
      <c r="V116" s="27"/>
      <c r="W116" s="17"/>
      <c r="X116" s="9"/>
      <c r="Y116" s="9"/>
      <c r="Z116" s="9"/>
    </row>
    <row r="117" spans="1:26" customFormat="1" outlineLevel="1" x14ac:dyDescent="0.25">
      <c r="A117" s="7"/>
      <c r="B117" s="8"/>
      <c r="C117" s="18"/>
      <c r="D117" s="18"/>
      <c r="E117" s="18"/>
      <c r="F117" s="24"/>
      <c r="H117" s="519" t="s">
        <v>2295</v>
      </c>
      <c r="I117" t="s">
        <v>2299</v>
      </c>
      <c r="J117" t="s">
        <v>2300</v>
      </c>
      <c r="K117" s="514"/>
      <c r="L117" s="514"/>
      <c r="O117" s="503"/>
      <c r="P117" s="30"/>
      <c r="Q117" s="30"/>
      <c r="R117" s="30"/>
      <c r="T117" s="30"/>
      <c r="U117" s="30"/>
      <c r="V117" s="27"/>
      <c r="W117" s="17"/>
      <c r="X117" s="9"/>
      <c r="Y117" s="9"/>
      <c r="Z117" s="9"/>
    </row>
    <row r="118" spans="1:26" customFormat="1" ht="12" customHeight="1" outlineLevel="1" x14ac:dyDescent="0.25">
      <c r="A118" s="7"/>
      <c r="B118" s="8"/>
      <c r="C118" s="18"/>
      <c r="D118" s="18"/>
      <c r="E118" s="18"/>
      <c r="F118" s="24"/>
      <c r="G118" s="510" t="str">
        <f>General!G66</f>
        <v>b</v>
      </c>
      <c r="H118" s="524">
        <v>0.44</v>
      </c>
      <c r="I118" s="520">
        <f>H118</f>
        <v>0.44</v>
      </c>
      <c r="J118" s="520">
        <f t="shared" ref="J118:J125" si="1">$I55*$K55*$L55/J95</f>
        <v>0.56013102480112298</v>
      </c>
      <c r="K118" s="518"/>
      <c r="L118" s="514"/>
      <c r="M118" s="28"/>
      <c r="O118" s="503"/>
      <c r="P118" s="30"/>
      <c r="Q118" s="30"/>
      <c r="R118" s="30"/>
      <c r="T118" s="30"/>
      <c r="U118" s="30"/>
      <c r="V118" s="27"/>
      <c r="W118" s="17"/>
      <c r="X118" s="9"/>
      <c r="Y118" s="9"/>
      <c r="Z118" s="9"/>
    </row>
    <row r="119" spans="1:26" customFormat="1" ht="12" customHeight="1" outlineLevel="1" x14ac:dyDescent="0.25">
      <c r="A119" s="7"/>
      <c r="B119" s="8"/>
      <c r="C119" s="18"/>
      <c r="D119" s="18"/>
      <c r="E119" s="18"/>
      <c r="F119" s="24"/>
      <c r="G119" s="510" t="str">
        <f>General!G67</f>
        <v>bd</v>
      </c>
      <c r="H119" s="524">
        <v>0.44</v>
      </c>
      <c r="I119" s="520">
        <f t="shared" ref="I119:I136" si="2">H119</f>
        <v>0.44</v>
      </c>
      <c r="J119" s="520">
        <f t="shared" si="1"/>
        <v>0.56013102480112298</v>
      </c>
      <c r="K119" s="514"/>
      <c r="L119" s="514"/>
      <c r="M119" s="28"/>
      <c r="O119" s="503"/>
      <c r="P119" s="30"/>
      <c r="Q119" s="30"/>
      <c r="R119" s="30"/>
      <c r="T119" s="30"/>
      <c r="U119" s="30"/>
      <c r="V119" s="27"/>
      <c r="W119" s="17"/>
      <c r="X119" s="9"/>
      <c r="Y119" s="9"/>
      <c r="Z119" s="9"/>
    </row>
    <row r="120" spans="1:26" customFormat="1" ht="12" customHeight="1" outlineLevel="1" x14ac:dyDescent="0.25">
      <c r="A120" s="7"/>
      <c r="B120" s="8"/>
      <c r="C120" s="18"/>
      <c r="D120" s="18"/>
      <c r="E120" s="18"/>
      <c r="F120" s="24"/>
      <c r="G120" s="510" t="str">
        <f>General!G68</f>
        <v>f</v>
      </c>
      <c r="H120" s="524">
        <v>0.3</v>
      </c>
      <c r="I120" s="520">
        <f t="shared" si="2"/>
        <v>0.3</v>
      </c>
      <c r="J120" s="520">
        <f t="shared" si="1"/>
        <v>0.56013102480112298</v>
      </c>
      <c r="K120" s="514"/>
      <c r="L120" s="514"/>
      <c r="M120" s="28"/>
      <c r="P120" s="30"/>
      <c r="Q120" s="30"/>
      <c r="R120" s="30"/>
      <c r="T120" s="30"/>
      <c r="U120" s="30"/>
      <c r="V120" s="27"/>
      <c r="W120" s="17"/>
      <c r="X120" s="9"/>
      <c r="Y120" s="9"/>
      <c r="Z120" s="9"/>
    </row>
    <row r="121" spans="1:26" customFormat="1" ht="12" customHeight="1" outlineLevel="1" x14ac:dyDescent="0.25">
      <c r="A121" s="7"/>
      <c r="B121" s="8"/>
      <c r="C121" s="18"/>
      <c r="D121" s="18"/>
      <c r="E121" s="18"/>
      <c r="F121" s="24"/>
      <c r="G121" s="510" t="str">
        <f>General!G69</f>
        <v>h</v>
      </c>
      <c r="H121" s="524">
        <v>0.3</v>
      </c>
      <c r="I121" s="520">
        <f t="shared" si="2"/>
        <v>0.3</v>
      </c>
      <c r="J121" s="520">
        <f t="shared" si="1"/>
        <v>0.56013102480112298</v>
      </c>
      <c r="K121" s="514"/>
      <c r="L121" s="514"/>
      <c r="M121" s="28"/>
      <c r="P121" s="30"/>
      <c r="Q121" s="30"/>
      <c r="R121" s="30"/>
      <c r="T121" s="30"/>
      <c r="U121" s="30"/>
      <c r="V121" s="27"/>
      <c r="W121" s="17"/>
      <c r="X121" s="9"/>
      <c r="Y121" s="9"/>
      <c r="Z121" s="9"/>
    </row>
    <row r="122" spans="1:26" customFormat="1" ht="12" customHeight="1" outlineLevel="1" x14ac:dyDescent="0.25">
      <c r="A122" s="7"/>
      <c r="B122" s="8"/>
      <c r="C122" s="18"/>
      <c r="D122" s="18"/>
      <c r="E122" s="18"/>
      <c r="F122" s="24"/>
      <c r="G122" s="510" t="str">
        <f>General!G70</f>
        <v>i</v>
      </c>
      <c r="H122" s="524">
        <v>0.3</v>
      </c>
      <c r="I122" s="520">
        <f t="shared" si="2"/>
        <v>0.3</v>
      </c>
      <c r="J122" s="520">
        <f t="shared" si="1"/>
        <v>0.56013102480112298</v>
      </c>
      <c r="K122" s="514"/>
      <c r="L122" s="514"/>
      <c r="M122" s="28"/>
      <c r="P122" s="30"/>
      <c r="Q122" s="30"/>
      <c r="R122" s="30"/>
      <c r="T122" s="30"/>
      <c r="U122" s="30"/>
      <c r="V122" s="27"/>
      <c r="W122" s="17"/>
      <c r="X122" s="9"/>
      <c r="Y122" s="9"/>
      <c r="Z122" s="9"/>
    </row>
    <row r="123" spans="1:26" customFormat="1" ht="12" customHeight="1" outlineLevel="1" x14ac:dyDescent="0.25">
      <c r="A123" s="7"/>
      <c r="B123" s="8"/>
      <c r="C123" s="18"/>
      <c r="D123" s="18"/>
      <c r="E123" s="18"/>
      <c r="F123" s="24"/>
      <c r="G123" s="510" t="str">
        <f>General!G71</f>
        <v>k</v>
      </c>
      <c r="H123" s="524">
        <v>0.3</v>
      </c>
      <c r="I123" s="520">
        <f t="shared" si="2"/>
        <v>0.3</v>
      </c>
      <c r="J123" s="520">
        <f t="shared" si="1"/>
        <v>0.56013102480112298</v>
      </c>
      <c r="K123" s="514"/>
      <c r="L123" s="514"/>
      <c r="M123" s="28"/>
      <c r="P123" s="30"/>
      <c r="Q123" s="30"/>
      <c r="R123" s="30"/>
      <c r="T123" s="30"/>
      <c r="U123" s="30"/>
      <c r="V123" s="27"/>
      <c r="W123" s="17"/>
      <c r="X123" s="9"/>
      <c r="Y123" s="9"/>
      <c r="Z123" s="9"/>
    </row>
    <row r="124" spans="1:26" customFormat="1" ht="12" customHeight="1" outlineLevel="1" x14ac:dyDescent="0.25">
      <c r="A124" s="7"/>
      <c r="B124" s="8"/>
      <c r="C124" s="18"/>
      <c r="D124" s="18"/>
      <c r="E124" s="18"/>
      <c r="F124" s="24"/>
      <c r="G124" s="510" t="str">
        <f>General!G72</f>
        <v>l</v>
      </c>
      <c r="H124" s="524">
        <v>0.3</v>
      </c>
      <c r="I124" s="520">
        <f t="shared" si="2"/>
        <v>0.3</v>
      </c>
      <c r="J124" s="520">
        <f t="shared" si="1"/>
        <v>0.56013102480112298</v>
      </c>
      <c r="K124" s="514"/>
      <c r="L124" s="514"/>
      <c r="M124" s="28"/>
      <c r="P124" s="30"/>
      <c r="Q124" s="30"/>
      <c r="R124" s="30"/>
      <c r="T124" s="30"/>
      <c r="U124" s="30"/>
      <c r="V124" s="27"/>
      <c r="W124" s="17"/>
      <c r="X124" s="9"/>
      <c r="Y124" s="9"/>
      <c r="Z124" s="9"/>
    </row>
    <row r="125" spans="1:26" customFormat="1" ht="12" customHeight="1" outlineLevel="1" x14ac:dyDescent="0.25">
      <c r="A125" s="7"/>
      <c r="B125" s="8"/>
      <c r="C125" s="18"/>
      <c r="D125" s="18"/>
      <c r="E125" s="18"/>
      <c r="F125" s="24"/>
      <c r="G125" s="510" t="str">
        <f>General!G73</f>
        <v>lf</v>
      </c>
      <c r="H125" s="524">
        <v>0.3</v>
      </c>
      <c r="I125" s="520">
        <f t="shared" ref="I125" si="3">H125</f>
        <v>0.3</v>
      </c>
      <c r="J125" s="520">
        <f t="shared" si="1"/>
        <v>0.56013102480112298</v>
      </c>
      <c r="K125" s="514"/>
      <c r="L125" s="514"/>
      <c r="M125" s="28"/>
      <c r="P125" s="30"/>
      <c r="Q125" s="30"/>
      <c r="R125" s="30"/>
      <c r="T125" s="30"/>
      <c r="U125" s="30"/>
      <c r="V125" s="27"/>
      <c r="W125" s="17"/>
      <c r="X125" s="9"/>
      <c r="Y125" s="9"/>
      <c r="Z125" s="9"/>
    </row>
    <row r="126" spans="1:26" customFormat="1" ht="12" customHeight="1" outlineLevel="1" x14ac:dyDescent="0.25">
      <c r="A126" s="7"/>
      <c r="B126" s="8"/>
      <c r="C126" s="18"/>
      <c r="D126" s="18"/>
      <c r="E126" s="18"/>
      <c r="F126" s="24"/>
      <c r="G126" s="510" t="str">
        <f>General!G74</f>
        <v>ms</v>
      </c>
      <c r="H126" s="524">
        <f>0.65*H118+0.35*H124</f>
        <v>0.39100000000000001</v>
      </c>
      <c r="I126" s="520">
        <f t="shared" si="2"/>
        <v>0.39100000000000001</v>
      </c>
      <c r="J126" s="520">
        <f t="shared" ref="J126" si="4">$I63*$K63*$L63/J103</f>
        <v>0.56013102480112298</v>
      </c>
      <c r="K126" s="514"/>
      <c r="L126" s="514"/>
      <c r="M126" s="28"/>
      <c r="P126" s="30"/>
      <c r="Q126" s="30"/>
      <c r="R126" s="30"/>
      <c r="T126" s="30"/>
      <c r="U126" s="30"/>
      <c r="V126" s="27"/>
      <c r="W126" s="17"/>
      <c r="X126" s="9"/>
      <c r="Y126" s="9"/>
      <c r="Z126" s="9"/>
    </row>
    <row r="127" spans="1:26" customFormat="1" ht="12" customHeight="1" outlineLevel="1" x14ac:dyDescent="0.25">
      <c r="A127" s="7"/>
      <c r="B127" s="8"/>
      <c r="C127" s="18"/>
      <c r="D127" s="18"/>
      <c r="E127" s="18"/>
      <c r="F127" s="24"/>
      <c r="G127" s="510" t="str">
        <f>General!G75</f>
        <v>o</v>
      </c>
      <c r="H127" s="524">
        <v>0.4</v>
      </c>
      <c r="I127" s="520">
        <f t="shared" si="2"/>
        <v>0.4</v>
      </c>
      <c r="J127" s="520">
        <f t="shared" ref="J127:J136" si="5">$I64*$K64*$L64/J104</f>
        <v>0.56013102480112298</v>
      </c>
      <c r="K127" s="514"/>
      <c r="L127" s="514"/>
      <c r="M127" s="28"/>
      <c r="P127" s="30"/>
      <c r="Q127" s="30"/>
      <c r="R127" s="30"/>
      <c r="T127" s="30"/>
      <c r="U127" s="30"/>
      <c r="V127" s="27"/>
      <c r="W127" s="17"/>
      <c r="X127" s="9"/>
      <c r="Y127" s="9"/>
      <c r="Z127" s="9"/>
    </row>
    <row r="128" spans="1:26" customFormat="1" ht="12" customHeight="1" outlineLevel="1" x14ac:dyDescent="0.25">
      <c r="A128" s="7"/>
      <c r="B128" s="8"/>
      <c r="C128" s="18"/>
      <c r="D128" s="18"/>
      <c r="E128" s="18"/>
      <c r="F128" s="24"/>
      <c r="G128" s="510" t="str">
        <f>General!G76</f>
        <v>od</v>
      </c>
      <c r="H128" s="524">
        <v>0.4</v>
      </c>
      <c r="I128" s="520">
        <f t="shared" si="2"/>
        <v>0.4</v>
      </c>
      <c r="J128" s="520">
        <f t="shared" si="5"/>
        <v>0.56013102480112298</v>
      </c>
      <c r="K128" s="514"/>
      <c r="L128" s="514"/>
      <c r="M128" s="28"/>
      <c r="P128" s="30"/>
      <c r="Q128" s="30"/>
      <c r="R128" s="30"/>
      <c r="T128" s="30"/>
      <c r="U128" s="30"/>
      <c r="V128" s="27"/>
      <c r="W128" s="17"/>
      <c r="X128" s="9"/>
      <c r="Y128" s="9"/>
      <c r="Z128" s="9"/>
    </row>
    <row r="129" spans="1:26" customFormat="1" ht="12" customHeight="1" outlineLevel="1" x14ac:dyDescent="0.25">
      <c r="A129" s="7"/>
      <c r="B129" s="8"/>
      <c r="C129" s="18"/>
      <c r="D129" s="18"/>
      <c r="E129" s="18"/>
      <c r="F129" s="24"/>
      <c r="G129" s="510" t="str">
        <f>General!G77</f>
        <v>of</v>
      </c>
      <c r="H129" s="524">
        <v>0.4</v>
      </c>
      <c r="I129" s="520">
        <f t="shared" si="2"/>
        <v>0.4</v>
      </c>
      <c r="J129" s="520">
        <f t="shared" si="5"/>
        <v>0.56013102480112298</v>
      </c>
      <c r="K129" s="514"/>
      <c r="L129" s="514"/>
      <c r="M129" s="28"/>
      <c r="P129" s="30"/>
      <c r="Q129" s="30"/>
      <c r="R129" s="30"/>
      <c r="T129" s="30"/>
      <c r="U129" s="30"/>
      <c r="V129" s="27"/>
      <c r="W129" s="17"/>
      <c r="X129" s="9"/>
      <c r="Y129" s="9"/>
      <c r="Z129" s="9"/>
    </row>
    <row r="130" spans="1:26" customFormat="1" ht="12" customHeight="1" outlineLevel="1" x14ac:dyDescent="0.25">
      <c r="A130" s="7"/>
      <c r="B130" s="8"/>
      <c r="C130" s="18"/>
      <c r="D130" s="18"/>
      <c r="E130" s="18"/>
      <c r="F130" s="24"/>
      <c r="G130" s="510" t="str">
        <f>General!G78</f>
        <v>r</v>
      </c>
      <c r="H130" s="524">
        <v>0.2</v>
      </c>
      <c r="I130" s="520">
        <f t="shared" si="2"/>
        <v>0.2</v>
      </c>
      <c r="J130" s="520">
        <f t="shared" si="5"/>
        <v>0.56013102480112298</v>
      </c>
      <c r="K130" s="514"/>
      <c r="L130" s="514"/>
      <c r="M130" s="28"/>
      <c r="P130" s="30"/>
      <c r="Q130" s="30"/>
      <c r="R130" s="30"/>
      <c r="T130" s="30"/>
      <c r="U130" s="30"/>
      <c r="V130" s="27"/>
      <c r="W130" s="17"/>
      <c r="X130" s="9"/>
      <c r="Y130" s="9"/>
      <c r="Z130" s="9"/>
    </row>
    <row r="131" spans="1:26" customFormat="1" ht="12" customHeight="1" outlineLevel="1" x14ac:dyDescent="0.25">
      <c r="A131" s="7"/>
      <c r="B131" s="8"/>
      <c r="C131" s="18"/>
      <c r="D131" s="18"/>
      <c r="E131" s="18"/>
      <c r="F131" s="24"/>
      <c r="G131" s="510" t="str">
        <f>General!G79</f>
        <v>rd</v>
      </c>
      <c r="H131" s="524">
        <v>0.2</v>
      </c>
      <c r="I131" s="520">
        <f t="shared" si="2"/>
        <v>0.2</v>
      </c>
      <c r="J131" s="520">
        <f t="shared" si="5"/>
        <v>0.56013102480112298</v>
      </c>
      <c r="K131" s="514"/>
      <c r="L131" s="514"/>
      <c r="M131" s="28"/>
      <c r="P131" s="30"/>
      <c r="Q131" s="30"/>
      <c r="R131" s="30"/>
      <c r="T131" s="30"/>
      <c r="U131" s="30"/>
      <c r="V131" s="27"/>
      <c r="W131" s="17"/>
      <c r="X131" s="9"/>
      <c r="Y131" s="9"/>
      <c r="Z131" s="9"/>
    </row>
    <row r="132" spans="1:26" customFormat="1" ht="12" customHeight="1" outlineLevel="1" x14ac:dyDescent="0.25">
      <c r="A132" s="7"/>
      <c r="B132" s="8"/>
      <c r="C132" s="18"/>
      <c r="D132" s="18"/>
      <c r="E132" s="18"/>
      <c r="F132" s="24"/>
      <c r="G132" s="510" t="str">
        <f>General!G80</f>
        <v>v</v>
      </c>
      <c r="H132" s="524">
        <v>0.3</v>
      </c>
      <c r="I132" s="520">
        <f t="shared" si="2"/>
        <v>0.3</v>
      </c>
      <c r="J132" s="520">
        <f t="shared" si="5"/>
        <v>0.56013102480112298</v>
      </c>
      <c r="K132" s="514"/>
      <c r="L132" s="514"/>
      <c r="M132" s="28"/>
      <c r="P132" s="30"/>
      <c r="Q132" s="30"/>
      <c r="R132" s="30"/>
      <c r="T132" s="30"/>
      <c r="U132" s="30"/>
      <c r="V132" s="27"/>
      <c r="W132" s="17"/>
      <c r="X132" s="9"/>
      <c r="Y132" s="9"/>
      <c r="Z132" s="9"/>
    </row>
    <row r="133" spans="1:26" customFormat="1" ht="12" customHeight="1" outlineLevel="1" x14ac:dyDescent="0.25">
      <c r="A133" s="7"/>
      <c r="B133" s="8"/>
      <c r="C133" s="18"/>
      <c r="D133" s="18"/>
      <c r="E133" s="18"/>
      <c r="F133" s="24"/>
      <c r="G133" s="510" t="str">
        <f>General!G81</f>
        <v>w</v>
      </c>
      <c r="H133" s="524">
        <v>0.42</v>
      </c>
      <c r="I133" s="520">
        <f t="shared" si="2"/>
        <v>0.42</v>
      </c>
      <c r="J133" s="520">
        <f t="shared" si="5"/>
        <v>0.56013102480112298</v>
      </c>
      <c r="K133" s="514"/>
      <c r="L133" s="514"/>
      <c r="M133" s="28"/>
      <c r="P133" s="30"/>
      <c r="Q133" s="30"/>
      <c r="R133" s="30"/>
      <c r="T133" s="30"/>
      <c r="U133" s="30"/>
      <c r="V133" s="27"/>
      <c r="W133" s="17"/>
      <c r="X133" s="9"/>
      <c r="Y133" s="9"/>
      <c r="Z133" s="9"/>
    </row>
    <row r="134" spans="1:26" customFormat="1" ht="12" customHeight="1" outlineLevel="1" x14ac:dyDescent="0.25">
      <c r="A134" s="7"/>
      <c r="B134" s="8"/>
      <c r="C134" s="18"/>
      <c r="D134" s="18"/>
      <c r="E134" s="18"/>
      <c r="F134" s="24"/>
      <c r="G134" s="510" t="str">
        <f>General!G82</f>
        <v>wd</v>
      </c>
      <c r="H134" s="524">
        <v>0.42</v>
      </c>
      <c r="I134" s="520">
        <f t="shared" si="2"/>
        <v>0.42</v>
      </c>
      <c r="J134" s="520">
        <f t="shared" si="5"/>
        <v>0.56013102480112298</v>
      </c>
      <c r="K134" s="514"/>
      <c r="L134" s="514"/>
      <c r="M134" s="28"/>
      <c r="P134" s="30"/>
      <c r="Q134" s="30"/>
      <c r="R134" s="30"/>
      <c r="T134" s="30"/>
      <c r="U134" s="30"/>
      <c r="V134" s="27"/>
      <c r="W134" s="17"/>
      <c r="X134" s="9"/>
      <c r="Y134" s="9"/>
      <c r="Z134" s="9"/>
    </row>
    <row r="135" spans="1:26" customFormat="1" ht="12" customHeight="1" outlineLevel="1" x14ac:dyDescent="0.25">
      <c r="A135" s="7"/>
      <c r="B135" s="8"/>
      <c r="C135" s="18"/>
      <c r="D135" s="18"/>
      <c r="E135" s="18"/>
      <c r="F135" s="24"/>
      <c r="G135" s="510" t="str">
        <f>General!G83</f>
        <v>z</v>
      </c>
      <c r="H135" s="524">
        <v>0.2</v>
      </c>
      <c r="I135" s="520">
        <f t="shared" si="2"/>
        <v>0.2</v>
      </c>
      <c r="J135" s="520">
        <f t="shared" si="5"/>
        <v>0.56013102480112298</v>
      </c>
      <c r="K135" s="514"/>
      <c r="L135" s="514"/>
      <c r="M135" s="491"/>
      <c r="P135" s="30"/>
      <c r="Q135" s="30"/>
      <c r="R135" s="30"/>
      <c r="T135" s="30"/>
      <c r="U135" s="30"/>
      <c r="V135" s="27"/>
      <c r="W135" s="17"/>
      <c r="X135" s="9"/>
      <c r="Y135" s="9"/>
      <c r="Z135" s="9"/>
    </row>
    <row r="136" spans="1:26" customFormat="1" ht="12" customHeight="1" outlineLevel="1" x14ac:dyDescent="0.25">
      <c r="A136" s="7"/>
      <c r="B136" s="8"/>
      <c r="C136" s="18"/>
      <c r="D136" s="18"/>
      <c r="E136" s="18"/>
      <c r="F136" s="24"/>
      <c r="G136" s="510" t="str">
        <f>General!G84</f>
        <v>zd</v>
      </c>
      <c r="H136" s="524">
        <v>0.2</v>
      </c>
      <c r="I136" s="520">
        <f t="shared" si="2"/>
        <v>0.2</v>
      </c>
      <c r="J136" s="520">
        <f t="shared" si="5"/>
        <v>0.56013102480112298</v>
      </c>
      <c r="K136" s="514"/>
      <c r="L136" s="514"/>
      <c r="M136" s="30"/>
      <c r="P136" s="30"/>
      <c r="Q136" s="30"/>
      <c r="R136" s="30"/>
      <c r="S136" s="521"/>
      <c r="T136" s="30"/>
      <c r="U136" s="30"/>
      <c r="V136" s="27"/>
      <c r="W136" s="17"/>
      <c r="X136" s="9"/>
      <c r="Y136" s="9"/>
      <c r="Z136" s="9"/>
    </row>
    <row r="137" spans="1:26" customFormat="1" ht="12" customHeight="1" outlineLevel="1" x14ac:dyDescent="0.25">
      <c r="A137" s="7"/>
      <c r="B137" s="8"/>
      <c r="C137" s="18"/>
      <c r="D137" s="18"/>
      <c r="E137" s="18"/>
      <c r="F137" s="27"/>
      <c r="G137" s="27"/>
      <c r="H137" s="27"/>
      <c r="I137" s="27"/>
      <c r="J137" s="27"/>
      <c r="K137" s="27"/>
      <c r="L137" s="27"/>
      <c r="M137" s="27"/>
      <c r="P137" s="30"/>
      <c r="Q137" s="30"/>
      <c r="R137" s="30"/>
      <c r="S137" s="508"/>
      <c r="T137" s="30"/>
      <c r="U137" s="30"/>
      <c r="V137" s="27"/>
      <c r="W137" s="17"/>
      <c r="X137" s="9"/>
      <c r="Y137" s="9"/>
      <c r="Z137" s="9"/>
    </row>
    <row r="138" spans="1:26" customFormat="1" x14ac:dyDescent="0.25">
      <c r="A138" s="7"/>
      <c r="B138" s="8"/>
      <c r="C138" s="18"/>
      <c r="D138" s="18"/>
      <c r="E138" s="18"/>
      <c r="F138" s="24"/>
      <c r="G138" s="522" t="s">
        <v>3025</v>
      </c>
      <c r="I138" s="523"/>
      <c r="K138" s="514"/>
      <c r="L138" s="514"/>
      <c r="M138" s="26"/>
      <c r="O138" s="490"/>
      <c r="P138" s="26"/>
      <c r="Q138" s="26"/>
      <c r="R138" s="26"/>
      <c r="S138" s="26"/>
      <c r="T138" s="26"/>
      <c r="U138" s="26"/>
      <c r="V138" s="27"/>
      <c r="W138" s="17"/>
      <c r="X138" s="9"/>
      <c r="Y138" s="9"/>
      <c r="Z138" s="9"/>
    </row>
    <row r="139" spans="1:26" customFormat="1" outlineLevel="1" x14ac:dyDescent="0.25">
      <c r="A139" s="7"/>
      <c r="B139" s="8"/>
      <c r="C139" s="18"/>
      <c r="D139" s="18"/>
      <c r="E139" s="18"/>
      <c r="F139" s="24"/>
      <c r="H139" s="519" t="s">
        <v>2295</v>
      </c>
      <c r="I139" t="s">
        <v>2299</v>
      </c>
      <c r="J139" t="s">
        <v>2300</v>
      </c>
      <c r="K139" s="514"/>
      <c r="L139" s="514"/>
      <c r="O139" s="503"/>
      <c r="P139" s="30"/>
      <c r="Q139" s="30"/>
      <c r="R139" s="30"/>
      <c r="T139" s="30"/>
      <c r="U139" s="30"/>
      <c r="V139" s="27"/>
      <c r="W139" s="17"/>
      <c r="X139" s="9"/>
      <c r="Y139" s="9"/>
      <c r="Z139" s="9"/>
    </row>
    <row r="140" spans="1:26" customFormat="1" ht="12" customHeight="1" outlineLevel="1" x14ac:dyDescent="0.25">
      <c r="A140" s="7"/>
      <c r="B140" s="8"/>
      <c r="C140" s="18"/>
      <c r="D140" s="18"/>
      <c r="E140" s="18"/>
      <c r="F140" s="24"/>
      <c r="G140" s="346" t="str">
        <f>General!G66</f>
        <v>b</v>
      </c>
      <c r="H140" s="525">
        <v>0.94</v>
      </c>
      <c r="I140" s="511">
        <v>0</v>
      </c>
      <c r="J140" s="526">
        <v>1</v>
      </c>
      <c r="K140" s="518"/>
      <c r="L140" s="514"/>
      <c r="M140" s="28"/>
      <c r="O140" s="503"/>
      <c r="P140" s="30"/>
      <c r="Q140" s="30"/>
      <c r="R140" s="30"/>
      <c r="T140" s="30"/>
      <c r="U140" s="30"/>
      <c r="V140" s="27"/>
      <c r="W140" s="17"/>
      <c r="X140" s="9"/>
      <c r="Y140" s="9"/>
      <c r="Z140" s="9"/>
    </row>
    <row r="141" spans="1:26" customFormat="1" ht="12" customHeight="1" outlineLevel="1" x14ac:dyDescent="0.25">
      <c r="A141" s="7"/>
      <c r="B141" s="8"/>
      <c r="C141" s="18"/>
      <c r="D141" s="18"/>
      <c r="E141" s="18"/>
      <c r="F141" s="24"/>
      <c r="G141" s="346" t="str">
        <f>General!G67</f>
        <v>bd</v>
      </c>
      <c r="H141" s="525">
        <v>0.94</v>
      </c>
      <c r="I141" s="511">
        <v>0</v>
      </c>
      <c r="J141" s="526">
        <v>1</v>
      </c>
      <c r="K141" s="518"/>
      <c r="L141" s="514"/>
      <c r="M141" s="28"/>
      <c r="O141" s="503"/>
      <c r="P141" s="30"/>
      <c r="Q141" s="30"/>
      <c r="R141" s="30"/>
      <c r="T141" s="30"/>
      <c r="U141" s="30"/>
      <c r="V141" s="27"/>
      <c r="W141" s="17"/>
      <c r="X141" s="9"/>
      <c r="Y141" s="9"/>
      <c r="Z141" s="9"/>
    </row>
    <row r="142" spans="1:26" customFormat="1" ht="12" customHeight="1" outlineLevel="1" x14ac:dyDescent="0.25">
      <c r="A142" s="7"/>
      <c r="B142" s="8"/>
      <c r="C142" s="18"/>
      <c r="D142" s="18"/>
      <c r="E142" s="18"/>
      <c r="F142" s="24"/>
      <c r="G142" s="346" t="str">
        <f>General!G68</f>
        <v>f</v>
      </c>
      <c r="H142" s="525">
        <v>0.9</v>
      </c>
      <c r="I142" s="511">
        <v>0</v>
      </c>
      <c r="J142" s="526">
        <v>1</v>
      </c>
      <c r="K142" s="518"/>
      <c r="L142" s="514"/>
      <c r="M142" s="28"/>
      <c r="P142" s="30"/>
      <c r="Q142" s="30"/>
      <c r="R142" s="30"/>
      <c r="T142" s="30"/>
      <c r="U142" s="30"/>
      <c r="V142" s="27"/>
      <c r="W142" s="17"/>
      <c r="X142" s="9"/>
      <c r="Y142" s="9"/>
      <c r="Z142" s="9"/>
    </row>
    <row r="143" spans="1:26" customFormat="1" ht="12" customHeight="1" outlineLevel="1" x14ac:dyDescent="0.25">
      <c r="A143" s="7"/>
      <c r="B143" s="8"/>
      <c r="C143" s="18"/>
      <c r="D143" s="18"/>
      <c r="E143" s="18"/>
      <c r="F143" s="24"/>
      <c r="G143" s="346" t="str">
        <f>General!G69</f>
        <v>h</v>
      </c>
      <c r="H143" s="525">
        <v>0.94</v>
      </c>
      <c r="I143" s="511">
        <v>0</v>
      </c>
      <c r="J143" s="526">
        <v>1</v>
      </c>
      <c r="K143" s="518"/>
      <c r="L143" s="514"/>
      <c r="M143" s="28"/>
      <c r="P143" s="30"/>
      <c r="Q143" s="30"/>
      <c r="R143" s="30"/>
      <c r="T143" s="30"/>
      <c r="U143" s="30"/>
      <c r="V143" s="27"/>
      <c r="W143" s="17"/>
      <c r="X143" s="9"/>
      <c r="Y143" s="9"/>
      <c r="Z143" s="9"/>
    </row>
    <row r="144" spans="1:26" customFormat="1" ht="12" customHeight="1" outlineLevel="1" x14ac:dyDescent="0.25">
      <c r="A144" s="7"/>
      <c r="B144" s="8"/>
      <c r="C144" s="18"/>
      <c r="D144" s="18"/>
      <c r="E144" s="18"/>
      <c r="F144" s="24"/>
      <c r="G144" s="346" t="str">
        <f>General!G70</f>
        <v>i</v>
      </c>
      <c r="H144" s="525">
        <v>0.9</v>
      </c>
      <c r="I144" s="511">
        <v>0</v>
      </c>
      <c r="J144" s="526">
        <v>1</v>
      </c>
      <c r="K144" s="518"/>
      <c r="L144" s="514"/>
      <c r="M144" s="28"/>
      <c r="P144" s="30"/>
      <c r="Q144" s="30"/>
      <c r="R144" s="30"/>
      <c r="T144" s="30"/>
      <c r="U144" s="30"/>
      <c r="V144" s="27"/>
      <c r="W144" s="17"/>
      <c r="X144" s="9"/>
      <c r="Y144" s="9"/>
      <c r="Z144" s="9"/>
    </row>
    <row r="145" spans="1:26" customFormat="1" ht="12" customHeight="1" outlineLevel="1" x14ac:dyDescent="0.25">
      <c r="A145" s="7"/>
      <c r="B145" s="8"/>
      <c r="C145" s="18"/>
      <c r="D145" s="18"/>
      <c r="E145" s="18"/>
      <c r="F145" s="24"/>
      <c r="G145" s="346" t="str">
        <f>General!G71</f>
        <v>k</v>
      </c>
      <c r="H145" s="525">
        <v>0.9</v>
      </c>
      <c r="I145" s="511">
        <v>0</v>
      </c>
      <c r="J145" s="526">
        <v>1</v>
      </c>
      <c r="K145" s="518"/>
      <c r="L145" s="514"/>
      <c r="M145" s="28"/>
      <c r="P145" s="30"/>
      <c r="Q145" s="30"/>
      <c r="R145" s="30"/>
      <c r="T145" s="30"/>
      <c r="U145" s="30"/>
      <c r="V145" s="27"/>
      <c r="W145" s="17"/>
      <c r="X145" s="9"/>
      <c r="Y145" s="9"/>
      <c r="Z145" s="9"/>
    </row>
    <row r="146" spans="1:26" customFormat="1" ht="12" customHeight="1" outlineLevel="1" x14ac:dyDescent="0.25">
      <c r="A146" s="7"/>
      <c r="B146" s="8"/>
      <c r="C146" s="18"/>
      <c r="D146" s="18"/>
      <c r="E146" s="18"/>
      <c r="F146" s="24"/>
      <c r="G146" s="346" t="str">
        <f>General!G72</f>
        <v>l</v>
      </c>
      <c r="H146" s="525">
        <v>0.9</v>
      </c>
      <c r="I146" s="511">
        <v>0</v>
      </c>
      <c r="J146" s="526">
        <v>1</v>
      </c>
      <c r="K146" s="518"/>
      <c r="L146" s="514"/>
      <c r="M146" s="28"/>
      <c r="P146" s="30"/>
      <c r="Q146" s="30"/>
      <c r="R146" s="30"/>
      <c r="T146" s="30"/>
      <c r="U146" s="30"/>
      <c r="V146" s="27"/>
      <c r="W146" s="17"/>
      <c r="X146" s="9"/>
      <c r="Y146" s="9"/>
      <c r="Z146" s="9"/>
    </row>
    <row r="147" spans="1:26" customFormat="1" ht="12" customHeight="1" outlineLevel="1" x14ac:dyDescent="0.25">
      <c r="A147" s="7"/>
      <c r="B147" s="8"/>
      <c r="C147" s="18"/>
      <c r="D147" s="18"/>
      <c r="E147" s="18"/>
      <c r="F147" s="24"/>
      <c r="G147" s="346" t="str">
        <f>General!G73</f>
        <v>lf</v>
      </c>
      <c r="H147" s="525">
        <v>0.9</v>
      </c>
      <c r="I147" s="511">
        <v>0</v>
      </c>
      <c r="J147" s="526">
        <v>1</v>
      </c>
      <c r="K147" s="518"/>
      <c r="L147" s="514"/>
      <c r="M147" s="28"/>
      <c r="P147" s="30"/>
      <c r="Q147" s="30"/>
      <c r="R147" s="30"/>
      <c r="T147" s="30"/>
      <c r="U147" s="30"/>
      <c r="V147" s="27"/>
      <c r="W147" s="17"/>
      <c r="X147" s="9"/>
      <c r="Y147" s="9"/>
      <c r="Z147" s="9"/>
    </row>
    <row r="148" spans="1:26" customFormat="1" ht="12" customHeight="1" outlineLevel="1" x14ac:dyDescent="0.25">
      <c r="A148" s="7"/>
      <c r="B148" s="8"/>
      <c r="C148" s="18"/>
      <c r="D148" s="18"/>
      <c r="E148" s="18"/>
      <c r="F148" s="24"/>
      <c r="G148" s="346" t="str">
        <f>General!G74</f>
        <v>ms</v>
      </c>
      <c r="H148" s="524">
        <f>0.65*H140+0.35*H146</f>
        <v>0.92599999999999993</v>
      </c>
      <c r="I148" s="511">
        <v>0</v>
      </c>
      <c r="J148" s="526">
        <v>1</v>
      </c>
      <c r="K148" s="518"/>
      <c r="L148" s="514"/>
      <c r="M148" s="28"/>
      <c r="P148" s="30"/>
      <c r="Q148" s="30"/>
      <c r="R148" s="30"/>
      <c r="T148" s="30"/>
      <c r="U148" s="30"/>
      <c r="V148" s="27"/>
      <c r="W148" s="17"/>
      <c r="X148" s="9"/>
      <c r="Y148" s="9"/>
      <c r="Z148" s="9"/>
    </row>
    <row r="149" spans="1:26" customFormat="1" ht="12" customHeight="1" outlineLevel="1" x14ac:dyDescent="0.25">
      <c r="A149" s="7"/>
      <c r="B149" s="8"/>
      <c r="C149" s="18"/>
      <c r="D149" s="18"/>
      <c r="E149" s="18"/>
      <c r="F149" s="24"/>
      <c r="G149" s="346" t="str">
        <f>General!G75</f>
        <v>o</v>
      </c>
      <c r="H149" s="525">
        <v>0.94</v>
      </c>
      <c r="I149" s="511">
        <v>0</v>
      </c>
      <c r="J149" s="526">
        <v>1</v>
      </c>
      <c r="K149" s="518"/>
      <c r="L149" s="514"/>
      <c r="M149" s="28"/>
      <c r="P149" s="30"/>
      <c r="Q149" s="30"/>
      <c r="R149" s="30"/>
      <c r="T149" s="30"/>
      <c r="U149" s="30"/>
      <c r="V149" s="27"/>
      <c r="W149" s="17"/>
      <c r="X149" s="9"/>
      <c r="Y149" s="9"/>
      <c r="Z149" s="9"/>
    </row>
    <row r="150" spans="1:26" customFormat="1" ht="12" customHeight="1" outlineLevel="1" x14ac:dyDescent="0.25">
      <c r="A150" s="7"/>
      <c r="B150" s="8"/>
      <c r="C150" s="18"/>
      <c r="D150" s="18"/>
      <c r="E150" s="18"/>
      <c r="F150" s="24"/>
      <c r="G150" s="346" t="str">
        <f>General!G76</f>
        <v>od</v>
      </c>
      <c r="H150" s="525">
        <v>0.94</v>
      </c>
      <c r="I150" s="511">
        <v>0</v>
      </c>
      <c r="J150" s="526">
        <v>1</v>
      </c>
      <c r="K150" s="518"/>
      <c r="L150" s="514"/>
      <c r="M150" s="28"/>
      <c r="P150" s="30"/>
      <c r="Q150" s="30"/>
      <c r="R150" s="30"/>
      <c r="T150" s="30"/>
      <c r="U150" s="30"/>
      <c r="V150" s="27"/>
      <c r="W150" s="17"/>
      <c r="X150" s="9"/>
      <c r="Y150" s="9"/>
      <c r="Z150" s="9"/>
    </row>
    <row r="151" spans="1:26" customFormat="1" ht="12" customHeight="1" outlineLevel="1" x14ac:dyDescent="0.25">
      <c r="A151" s="7"/>
      <c r="B151" s="8"/>
      <c r="C151" s="18"/>
      <c r="D151" s="18"/>
      <c r="E151" s="18"/>
      <c r="F151" s="24"/>
      <c r="G151" s="346" t="str">
        <f>General!G77</f>
        <v>of</v>
      </c>
      <c r="H151" s="525">
        <v>0.94</v>
      </c>
      <c r="I151" s="511">
        <v>0</v>
      </c>
      <c r="J151" s="526">
        <v>1</v>
      </c>
      <c r="K151" s="518"/>
      <c r="L151" s="514"/>
      <c r="M151" s="28"/>
      <c r="P151" s="30"/>
      <c r="Q151" s="30"/>
      <c r="R151" s="30"/>
      <c r="T151" s="30"/>
      <c r="U151" s="30"/>
      <c r="V151" s="27"/>
      <c r="W151" s="17"/>
      <c r="X151" s="9"/>
      <c r="Y151" s="9"/>
      <c r="Z151" s="9"/>
    </row>
    <row r="152" spans="1:26" customFormat="1" ht="12" customHeight="1" outlineLevel="1" x14ac:dyDescent="0.25">
      <c r="A152" s="7"/>
      <c r="B152" s="8"/>
      <c r="C152" s="18"/>
      <c r="D152" s="18"/>
      <c r="E152" s="18"/>
      <c r="F152" s="24"/>
      <c r="G152" s="346" t="str">
        <f>General!G78</f>
        <v>r</v>
      </c>
      <c r="H152" s="525">
        <v>0.97</v>
      </c>
      <c r="I152" s="511">
        <v>0</v>
      </c>
      <c r="J152" s="526">
        <v>1</v>
      </c>
      <c r="K152" s="518"/>
      <c r="L152" s="514"/>
      <c r="M152" s="28"/>
      <c r="P152" s="30"/>
      <c r="Q152" s="30"/>
      <c r="R152" s="30"/>
      <c r="T152" s="30"/>
      <c r="U152" s="30"/>
      <c r="V152" s="27"/>
      <c r="W152" s="17"/>
      <c r="X152" s="9"/>
      <c r="Y152" s="9"/>
      <c r="Z152" s="9"/>
    </row>
    <row r="153" spans="1:26" customFormat="1" ht="12" customHeight="1" outlineLevel="1" x14ac:dyDescent="0.25">
      <c r="A153" s="7"/>
      <c r="B153" s="8"/>
      <c r="C153" s="18"/>
      <c r="D153" s="18"/>
      <c r="E153" s="18"/>
      <c r="F153" s="24"/>
      <c r="G153" s="346" t="str">
        <f>General!G79</f>
        <v>rd</v>
      </c>
      <c r="H153" s="525">
        <v>0.97</v>
      </c>
      <c r="I153" s="511">
        <v>0</v>
      </c>
      <c r="J153" s="526">
        <v>1</v>
      </c>
      <c r="K153" s="518"/>
      <c r="L153" s="514"/>
      <c r="M153" s="28"/>
      <c r="P153" s="30"/>
      <c r="Q153" s="30"/>
      <c r="R153" s="30"/>
      <c r="T153" s="30"/>
      <c r="U153" s="30"/>
      <c r="V153" s="27"/>
      <c r="W153" s="17"/>
      <c r="X153" s="9"/>
      <c r="Y153" s="9"/>
      <c r="Z153" s="9"/>
    </row>
    <row r="154" spans="1:26" customFormat="1" ht="12" customHeight="1" outlineLevel="1" x14ac:dyDescent="0.25">
      <c r="A154" s="7"/>
      <c r="B154" s="8"/>
      <c r="C154" s="18"/>
      <c r="D154" s="18"/>
      <c r="E154" s="18"/>
      <c r="F154" s="24"/>
      <c r="G154" s="346" t="str">
        <f>General!G80</f>
        <v>v</v>
      </c>
      <c r="H154" s="525">
        <v>0.9</v>
      </c>
      <c r="I154" s="511">
        <v>0</v>
      </c>
      <c r="J154" s="526">
        <v>1</v>
      </c>
      <c r="K154" s="518"/>
      <c r="L154" s="514"/>
      <c r="M154" s="28"/>
      <c r="P154" s="30"/>
      <c r="Q154" s="30"/>
      <c r="R154" s="30"/>
      <c r="T154" s="30"/>
      <c r="U154" s="30"/>
      <c r="V154" s="27"/>
      <c r="W154" s="17"/>
      <c r="X154" s="9"/>
      <c r="Y154" s="9"/>
      <c r="Z154" s="9"/>
    </row>
    <row r="155" spans="1:26" customFormat="1" ht="12" customHeight="1" outlineLevel="1" x14ac:dyDescent="0.25">
      <c r="A155" s="7"/>
      <c r="B155" s="8"/>
      <c r="C155" s="18"/>
      <c r="D155" s="18"/>
      <c r="E155" s="18"/>
      <c r="F155" s="24"/>
      <c r="G155" s="346" t="str">
        <f>General!G81</f>
        <v>w</v>
      </c>
      <c r="H155" s="525">
        <v>0.94</v>
      </c>
      <c r="I155" s="511">
        <v>0</v>
      </c>
      <c r="J155" s="526">
        <v>1</v>
      </c>
      <c r="K155" s="518"/>
      <c r="L155" s="514"/>
      <c r="M155" s="28"/>
      <c r="P155" s="30"/>
      <c r="Q155" s="30"/>
      <c r="R155" s="30"/>
      <c r="T155" s="30"/>
      <c r="U155" s="30"/>
      <c r="V155" s="27"/>
      <c r="W155" s="17"/>
      <c r="X155" s="9"/>
      <c r="Y155" s="9"/>
      <c r="Z155" s="9"/>
    </row>
    <row r="156" spans="1:26" customFormat="1" ht="12" customHeight="1" outlineLevel="1" x14ac:dyDescent="0.25">
      <c r="A156" s="7"/>
      <c r="B156" s="8"/>
      <c r="C156" s="18"/>
      <c r="D156" s="18"/>
      <c r="E156" s="18"/>
      <c r="F156" s="24"/>
      <c r="G156" s="346" t="str">
        <f>General!G82</f>
        <v>wd</v>
      </c>
      <c r="H156" s="525">
        <v>0.94</v>
      </c>
      <c r="I156" s="511">
        <v>0</v>
      </c>
      <c r="J156" s="526">
        <v>1</v>
      </c>
      <c r="K156" s="518"/>
      <c r="L156" s="514"/>
      <c r="M156" s="28"/>
      <c r="P156" s="30"/>
      <c r="Q156" s="30"/>
      <c r="R156" s="30"/>
      <c r="T156" s="30"/>
      <c r="U156" s="30"/>
      <c r="V156" s="27"/>
      <c r="W156" s="17"/>
      <c r="X156" s="9"/>
      <c r="Y156" s="9"/>
      <c r="Z156" s="9"/>
    </row>
    <row r="157" spans="1:26" customFormat="1" ht="12" customHeight="1" outlineLevel="1" x14ac:dyDescent="0.25">
      <c r="A157" s="7"/>
      <c r="B157" s="8"/>
      <c r="C157" s="18"/>
      <c r="D157" s="18"/>
      <c r="E157" s="18"/>
      <c r="F157" s="24"/>
      <c r="G157" s="346" t="str">
        <f>General!G83</f>
        <v>z</v>
      </c>
      <c r="H157" s="525">
        <v>0.97</v>
      </c>
      <c r="I157" s="511">
        <v>0</v>
      </c>
      <c r="J157" s="526">
        <v>1</v>
      </c>
      <c r="K157" s="518"/>
      <c r="L157" s="514"/>
      <c r="M157" s="491"/>
      <c r="P157" s="30"/>
      <c r="Q157" s="30"/>
      <c r="R157" s="30"/>
      <c r="T157" s="30"/>
      <c r="U157" s="30"/>
      <c r="V157" s="27"/>
      <c r="W157" s="17"/>
      <c r="X157" s="9"/>
      <c r="Y157" s="9"/>
      <c r="Z157" s="9"/>
    </row>
    <row r="158" spans="1:26" customFormat="1" ht="12" customHeight="1" outlineLevel="1" x14ac:dyDescent="0.25">
      <c r="A158" s="7"/>
      <c r="B158" s="8"/>
      <c r="C158" s="18"/>
      <c r="D158" s="18"/>
      <c r="E158" s="18"/>
      <c r="F158" s="24"/>
      <c r="G158" s="346" t="str">
        <f>General!G84</f>
        <v>zd</v>
      </c>
      <c r="H158" s="525">
        <v>0.97</v>
      </c>
      <c r="I158" s="511">
        <v>0</v>
      </c>
      <c r="J158" s="526">
        <v>1</v>
      </c>
      <c r="K158" s="518"/>
      <c r="L158" s="514"/>
      <c r="M158" s="30"/>
      <c r="P158" s="30"/>
      <c r="Q158" s="30"/>
      <c r="R158" s="30"/>
      <c r="S158" s="521"/>
      <c r="T158" s="30"/>
      <c r="U158" s="30"/>
      <c r="V158" s="27"/>
      <c r="W158" s="17"/>
      <c r="X158" s="9"/>
      <c r="Y158" s="9"/>
      <c r="Z158" s="9"/>
    </row>
    <row r="159" spans="1:26" customFormat="1" ht="12" customHeight="1" outlineLevel="1" x14ac:dyDescent="0.25">
      <c r="A159" s="7"/>
      <c r="B159" s="8"/>
      <c r="C159" s="18"/>
      <c r="D159" s="18"/>
      <c r="E159" s="18"/>
      <c r="F159" s="27"/>
      <c r="G159" s="27"/>
      <c r="H159" s="27"/>
      <c r="I159" s="27"/>
      <c r="J159" s="27"/>
      <c r="K159" s="27"/>
      <c r="L159" s="514"/>
      <c r="M159" s="27"/>
      <c r="P159" s="30"/>
      <c r="Q159" s="30"/>
      <c r="R159" s="30"/>
      <c r="S159" s="508"/>
      <c r="T159" s="30"/>
      <c r="U159" s="30"/>
      <c r="V159" s="27"/>
      <c r="W159" s="17"/>
      <c r="X159" s="9"/>
      <c r="Y159" s="9"/>
      <c r="Z159" s="9"/>
    </row>
    <row r="160" spans="1:26" customFormat="1" ht="12" customHeight="1" x14ac:dyDescent="0.25">
      <c r="A160" s="7"/>
      <c r="B160" s="8"/>
      <c r="C160" s="18"/>
      <c r="D160" s="18"/>
      <c r="E160" s="18"/>
      <c r="F160" s="27"/>
      <c r="G160" s="479" t="s">
        <v>3026</v>
      </c>
      <c r="H160" s="27"/>
      <c r="I160" s="27"/>
      <c r="J160" s="27"/>
      <c r="K160" s="27"/>
      <c r="L160" s="514"/>
      <c r="M160" s="27"/>
      <c r="P160" s="30"/>
      <c r="Q160" s="30"/>
      <c r="R160" s="30"/>
      <c r="S160" s="508"/>
      <c r="T160" s="30"/>
      <c r="U160" s="30"/>
      <c r="V160" s="27"/>
      <c r="W160" s="17"/>
      <c r="X160" s="9"/>
      <c r="Y160" s="9"/>
      <c r="Z160" s="9"/>
    </row>
    <row r="161" spans="1:26" customFormat="1" ht="12" customHeight="1" outlineLevel="1" x14ac:dyDescent="0.25">
      <c r="A161" s="7"/>
      <c r="B161" s="8"/>
      <c r="C161" s="18"/>
      <c r="D161" s="18"/>
      <c r="E161" s="18"/>
      <c r="F161" s="24"/>
      <c r="H161" s="28" t="s">
        <v>3027</v>
      </c>
      <c r="I161" s="28" t="s">
        <v>3028</v>
      </c>
      <c r="J161" s="28" t="s">
        <v>3029</v>
      </c>
      <c r="L161" s="514"/>
      <c r="O161" s="503"/>
      <c r="P161" s="30"/>
      <c r="Q161" s="30"/>
      <c r="R161" s="30"/>
      <c r="T161" s="30"/>
      <c r="U161" s="30"/>
      <c r="V161" s="27"/>
      <c r="W161" s="17"/>
      <c r="X161" s="9"/>
      <c r="Y161" s="9"/>
      <c r="Z161" s="9"/>
    </row>
    <row r="162" spans="1:26" customFormat="1" ht="12" customHeight="1" outlineLevel="1" x14ac:dyDescent="0.25">
      <c r="A162" s="7"/>
      <c r="B162" s="8"/>
      <c r="C162" s="18"/>
      <c r="D162" s="18"/>
      <c r="E162" s="18"/>
      <c r="F162" s="24"/>
      <c r="G162" s="510" t="str">
        <f>General!G66</f>
        <v>b</v>
      </c>
      <c r="H162" s="527">
        <v>2E-3</v>
      </c>
      <c r="I162" s="528">
        <v>1E-3</v>
      </c>
      <c r="J162" s="529">
        <v>0.1</v>
      </c>
      <c r="L162" s="514"/>
      <c r="M162" s="28"/>
      <c r="O162" s="503"/>
      <c r="P162" s="30"/>
      <c r="Q162" s="30"/>
      <c r="R162" s="30"/>
      <c r="T162" s="30"/>
      <c r="U162" s="30"/>
      <c r="V162" s="27"/>
      <c r="W162" s="17"/>
      <c r="X162" s="9"/>
      <c r="Y162" s="9"/>
      <c r="Z162" s="9"/>
    </row>
    <row r="163" spans="1:26" customFormat="1" ht="12" customHeight="1" outlineLevel="1" x14ac:dyDescent="0.25">
      <c r="A163" s="7"/>
      <c r="B163" s="8"/>
      <c r="C163" s="18"/>
      <c r="D163" s="18"/>
      <c r="E163" s="18"/>
      <c r="F163" s="24"/>
      <c r="G163" s="510" t="str">
        <f>General!G67</f>
        <v>bd</v>
      </c>
      <c r="H163" s="527">
        <v>2E-3</v>
      </c>
      <c r="I163" s="528">
        <v>1E-3</v>
      </c>
      <c r="J163" s="529">
        <v>0.1</v>
      </c>
      <c r="L163" s="514"/>
      <c r="M163" s="28"/>
      <c r="O163" s="503"/>
      <c r="P163" s="30"/>
      <c r="Q163" s="30"/>
      <c r="R163" s="30"/>
      <c r="T163" s="30"/>
      <c r="U163" s="30"/>
      <c r="V163" s="27"/>
      <c r="W163" s="17"/>
      <c r="X163" s="9"/>
      <c r="Y163" s="9"/>
      <c r="Z163" s="9"/>
    </row>
    <row r="164" spans="1:26" customFormat="1" ht="12" customHeight="1" outlineLevel="1" x14ac:dyDescent="0.25">
      <c r="A164" s="7"/>
      <c r="B164" s="8"/>
      <c r="C164" s="18"/>
      <c r="D164" s="18"/>
      <c r="E164" s="18"/>
      <c r="F164" s="24"/>
      <c r="G164" s="510" t="str">
        <f>General!G68</f>
        <v>f</v>
      </c>
      <c r="H164" s="527">
        <v>2E-3</v>
      </c>
      <c r="I164" s="528">
        <v>1E-3</v>
      </c>
      <c r="J164" s="529">
        <v>0.1</v>
      </c>
      <c r="L164" s="514"/>
      <c r="M164" s="28"/>
      <c r="P164" s="30"/>
      <c r="Q164" s="30"/>
      <c r="R164" s="30"/>
      <c r="T164" s="30"/>
      <c r="U164" s="30"/>
      <c r="V164" s="27"/>
      <c r="W164" s="17"/>
      <c r="X164" s="9"/>
      <c r="Y164" s="9"/>
      <c r="Z164" s="9"/>
    </row>
    <row r="165" spans="1:26" customFormat="1" ht="12" customHeight="1" outlineLevel="1" x14ac:dyDescent="0.25">
      <c r="A165" s="7"/>
      <c r="B165" s="8"/>
      <c r="C165" s="18"/>
      <c r="D165" s="18"/>
      <c r="E165" s="18"/>
      <c r="F165" s="24"/>
      <c r="G165" s="510" t="str">
        <f>General!G69</f>
        <v>h</v>
      </c>
      <c r="H165" s="527">
        <v>2E-3</v>
      </c>
      <c r="I165" s="528">
        <v>1E-3</v>
      </c>
      <c r="J165" s="529">
        <v>0.1</v>
      </c>
      <c r="L165" s="514"/>
      <c r="M165" s="28"/>
      <c r="P165" s="30"/>
      <c r="Q165" s="30"/>
      <c r="R165" s="30"/>
      <c r="T165" s="30"/>
      <c r="U165" s="30"/>
      <c r="V165" s="27"/>
      <c r="W165" s="17"/>
      <c r="X165" s="9"/>
      <c r="Y165" s="9"/>
      <c r="Z165" s="9"/>
    </row>
    <row r="166" spans="1:26" customFormat="1" ht="12" customHeight="1" outlineLevel="1" x14ac:dyDescent="0.25">
      <c r="A166" s="7"/>
      <c r="B166" s="8"/>
      <c r="C166" s="18"/>
      <c r="D166" s="18"/>
      <c r="E166" s="18"/>
      <c r="F166" s="24"/>
      <c r="G166" s="510" t="str">
        <f>General!G70</f>
        <v>i</v>
      </c>
      <c r="H166" s="527">
        <v>2E-3</v>
      </c>
      <c r="I166" s="528">
        <v>1E-3</v>
      </c>
      <c r="J166" s="529">
        <v>0.1</v>
      </c>
      <c r="L166" s="514"/>
      <c r="M166" s="28"/>
      <c r="P166" s="30"/>
      <c r="Q166" s="30"/>
      <c r="R166" s="30"/>
      <c r="T166" s="30"/>
      <c r="U166" s="30"/>
      <c r="V166" s="27"/>
      <c r="W166" s="17"/>
      <c r="X166" s="9"/>
      <c r="Y166" s="9"/>
      <c r="Z166" s="9"/>
    </row>
    <row r="167" spans="1:26" customFormat="1" ht="12" customHeight="1" outlineLevel="1" x14ac:dyDescent="0.25">
      <c r="A167" s="7"/>
      <c r="B167" s="8"/>
      <c r="C167" s="18"/>
      <c r="D167" s="18"/>
      <c r="E167" s="18"/>
      <c r="F167" s="24"/>
      <c r="G167" s="510" t="str">
        <f>General!G71</f>
        <v>k</v>
      </c>
      <c r="H167" s="527">
        <v>2E-3</v>
      </c>
      <c r="I167" s="528">
        <v>1E-3</v>
      </c>
      <c r="J167" s="529">
        <v>0.1</v>
      </c>
      <c r="L167" s="514"/>
      <c r="M167" s="28"/>
      <c r="P167" s="30"/>
      <c r="Q167" s="30"/>
      <c r="R167" s="30"/>
      <c r="T167" s="30"/>
      <c r="U167" s="30"/>
      <c r="V167" s="27"/>
      <c r="W167" s="17"/>
      <c r="X167" s="9"/>
      <c r="Y167" s="9"/>
      <c r="Z167" s="9"/>
    </row>
    <row r="168" spans="1:26" customFormat="1" ht="12" customHeight="1" outlineLevel="1" x14ac:dyDescent="0.25">
      <c r="A168" s="7"/>
      <c r="B168" s="8"/>
      <c r="C168" s="18"/>
      <c r="D168" s="18"/>
      <c r="E168" s="18"/>
      <c r="F168" s="24"/>
      <c r="G168" s="510" t="str">
        <f>General!G72</f>
        <v>l</v>
      </c>
      <c r="H168" s="527">
        <v>2E-3</v>
      </c>
      <c r="I168" s="528">
        <v>1E-3</v>
      </c>
      <c r="J168" s="529">
        <v>0.1</v>
      </c>
      <c r="L168" s="514"/>
      <c r="M168" s="28"/>
      <c r="P168" s="30"/>
      <c r="Q168" s="30"/>
      <c r="R168" s="30"/>
      <c r="T168" s="30"/>
      <c r="U168" s="30"/>
      <c r="V168" s="27"/>
      <c r="W168" s="17"/>
      <c r="X168" s="9"/>
      <c r="Y168" s="9"/>
      <c r="Z168" s="9"/>
    </row>
    <row r="169" spans="1:26" customFormat="1" ht="12" customHeight="1" outlineLevel="1" x14ac:dyDescent="0.25">
      <c r="A169" s="7"/>
      <c r="B169" s="8"/>
      <c r="C169" s="18"/>
      <c r="D169" s="18"/>
      <c r="E169" s="18"/>
      <c r="F169" s="24"/>
      <c r="G169" s="510" t="str">
        <f>General!G73</f>
        <v>lf</v>
      </c>
      <c r="H169" s="527">
        <v>2E-3</v>
      </c>
      <c r="I169" s="528">
        <v>1E-3</v>
      </c>
      <c r="J169" s="529">
        <v>0.1</v>
      </c>
      <c r="L169" s="514"/>
      <c r="M169" s="28"/>
      <c r="P169" s="30"/>
      <c r="Q169" s="30"/>
      <c r="R169" s="30"/>
      <c r="T169" s="30"/>
      <c r="U169" s="30"/>
      <c r="V169" s="27"/>
      <c r="W169" s="17"/>
      <c r="X169" s="9"/>
      <c r="Y169" s="9"/>
      <c r="Z169" s="9"/>
    </row>
    <row r="170" spans="1:26" customFormat="1" ht="12" customHeight="1" outlineLevel="1" x14ac:dyDescent="0.25">
      <c r="A170" s="7"/>
      <c r="B170" s="8"/>
      <c r="C170" s="18"/>
      <c r="D170" s="18"/>
      <c r="E170" s="18"/>
      <c r="F170" s="24"/>
      <c r="G170" s="510" t="str">
        <f>General!G74</f>
        <v>ms</v>
      </c>
      <c r="H170" s="527">
        <v>2E-3</v>
      </c>
      <c r="I170" s="528">
        <v>1E-3</v>
      </c>
      <c r="J170" s="529">
        <v>0.1</v>
      </c>
      <c r="L170" s="514"/>
      <c r="M170" s="28"/>
      <c r="P170" s="30"/>
      <c r="Q170" s="30"/>
      <c r="R170" s="30"/>
      <c r="T170" s="30"/>
      <c r="U170" s="30"/>
      <c r="V170" s="27"/>
      <c r="W170" s="17"/>
      <c r="X170" s="9"/>
      <c r="Y170" s="9"/>
      <c r="Z170" s="9"/>
    </row>
    <row r="171" spans="1:26" customFormat="1" ht="12" customHeight="1" outlineLevel="1" x14ac:dyDescent="0.25">
      <c r="A171" s="7"/>
      <c r="B171" s="8"/>
      <c r="C171" s="18"/>
      <c r="D171" s="18"/>
      <c r="E171" s="18"/>
      <c r="F171" s="24"/>
      <c r="G171" s="510" t="str">
        <f>General!G75</f>
        <v>o</v>
      </c>
      <c r="H171" s="527">
        <v>2E-3</v>
      </c>
      <c r="I171" s="528">
        <v>1E-3</v>
      </c>
      <c r="J171" s="529">
        <v>0.1</v>
      </c>
      <c r="L171" s="514"/>
      <c r="M171" s="28"/>
      <c r="P171" s="30"/>
      <c r="Q171" s="30"/>
      <c r="R171" s="30"/>
      <c r="T171" s="30"/>
      <c r="U171" s="30"/>
      <c r="V171" s="27"/>
      <c r="W171" s="17"/>
      <c r="X171" s="9"/>
      <c r="Y171" s="9"/>
      <c r="Z171" s="9"/>
    </row>
    <row r="172" spans="1:26" customFormat="1" ht="12" customHeight="1" outlineLevel="1" x14ac:dyDescent="0.25">
      <c r="A172" s="7"/>
      <c r="B172" s="8"/>
      <c r="C172" s="18"/>
      <c r="D172" s="18"/>
      <c r="E172" s="18"/>
      <c r="F172" s="24"/>
      <c r="G172" s="510" t="str">
        <f>General!G76</f>
        <v>od</v>
      </c>
      <c r="H172" s="527">
        <v>2E-3</v>
      </c>
      <c r="I172" s="528">
        <v>1E-3</v>
      </c>
      <c r="J172" s="529">
        <v>0.1</v>
      </c>
      <c r="L172" s="514"/>
      <c r="M172" s="28"/>
      <c r="P172" s="30"/>
      <c r="Q172" s="30"/>
      <c r="R172" s="30"/>
      <c r="T172" s="30"/>
      <c r="U172" s="30"/>
      <c r="V172" s="27"/>
      <c r="W172" s="17"/>
      <c r="X172" s="9"/>
      <c r="Y172" s="9"/>
      <c r="Z172" s="9"/>
    </row>
    <row r="173" spans="1:26" customFormat="1" ht="12" customHeight="1" outlineLevel="1" x14ac:dyDescent="0.25">
      <c r="A173" s="7"/>
      <c r="B173" s="8"/>
      <c r="C173" s="18"/>
      <c r="D173" s="18"/>
      <c r="E173" s="18"/>
      <c r="F173" s="24"/>
      <c r="G173" s="510" t="str">
        <f>General!G77</f>
        <v>of</v>
      </c>
      <c r="H173" s="527">
        <v>2E-3</v>
      </c>
      <c r="I173" s="528">
        <v>1E-3</v>
      </c>
      <c r="J173" s="529">
        <v>0.1</v>
      </c>
      <c r="L173" s="514"/>
      <c r="M173" s="28"/>
      <c r="P173" s="30"/>
      <c r="Q173" s="30"/>
      <c r="R173" s="30"/>
      <c r="T173" s="30"/>
      <c r="U173" s="30"/>
      <c r="V173" s="27"/>
      <c r="W173" s="17"/>
      <c r="X173" s="9"/>
      <c r="Y173" s="9"/>
      <c r="Z173" s="9"/>
    </row>
    <row r="174" spans="1:26" customFormat="1" ht="12" customHeight="1" outlineLevel="1" x14ac:dyDescent="0.25">
      <c r="A174" s="7"/>
      <c r="B174" s="8"/>
      <c r="C174" s="18"/>
      <c r="D174" s="18"/>
      <c r="E174" s="18"/>
      <c r="F174" s="24"/>
      <c r="G174" s="510" t="str">
        <f>General!G78</f>
        <v>r</v>
      </c>
      <c r="H174" s="527">
        <v>2E-3</v>
      </c>
      <c r="I174" s="528">
        <v>1E-3</v>
      </c>
      <c r="J174" s="529">
        <v>0.1</v>
      </c>
      <c r="L174" s="514"/>
      <c r="M174" s="28"/>
      <c r="P174" s="30"/>
      <c r="Q174" s="30"/>
      <c r="R174" s="30"/>
      <c r="T174" s="30"/>
      <c r="U174" s="30"/>
      <c r="V174" s="27"/>
      <c r="W174" s="17"/>
      <c r="X174" s="9"/>
      <c r="Y174" s="9"/>
      <c r="Z174" s="9"/>
    </row>
    <row r="175" spans="1:26" customFormat="1" ht="12" customHeight="1" outlineLevel="1" x14ac:dyDescent="0.25">
      <c r="A175" s="7"/>
      <c r="B175" s="8"/>
      <c r="C175" s="18"/>
      <c r="D175" s="18"/>
      <c r="E175" s="18"/>
      <c r="F175" s="24"/>
      <c r="G175" s="510" t="str">
        <f>General!G79</f>
        <v>rd</v>
      </c>
      <c r="H175" s="527">
        <v>2E-3</v>
      </c>
      <c r="I175" s="528">
        <v>1E-3</v>
      </c>
      <c r="J175" s="529">
        <v>0.1</v>
      </c>
      <c r="L175" s="514"/>
      <c r="M175" s="28"/>
      <c r="P175" s="30"/>
      <c r="Q175" s="30"/>
      <c r="R175" s="30"/>
      <c r="T175" s="30"/>
      <c r="U175" s="30"/>
      <c r="V175" s="27"/>
      <c r="W175" s="17"/>
      <c r="X175" s="9"/>
      <c r="Y175" s="9"/>
      <c r="Z175" s="9"/>
    </row>
    <row r="176" spans="1:26" customFormat="1" ht="12" customHeight="1" outlineLevel="1" x14ac:dyDescent="0.25">
      <c r="A176" s="7"/>
      <c r="B176" s="8"/>
      <c r="C176" s="18"/>
      <c r="D176" s="18"/>
      <c r="E176" s="18"/>
      <c r="F176" s="24"/>
      <c r="G176" s="510" t="str">
        <f>General!G80</f>
        <v>v</v>
      </c>
      <c r="H176" s="527">
        <v>2E-3</v>
      </c>
      <c r="I176" s="528">
        <v>1E-3</v>
      </c>
      <c r="J176" s="529">
        <v>0.1</v>
      </c>
      <c r="L176" s="514"/>
      <c r="M176" s="28"/>
      <c r="P176" s="30"/>
      <c r="Q176" s="30"/>
      <c r="R176" s="30"/>
      <c r="T176" s="30"/>
      <c r="U176" s="30"/>
      <c r="V176" s="27"/>
      <c r="W176" s="17"/>
      <c r="X176" s="9"/>
      <c r="Y176" s="9"/>
      <c r="Z176" s="9"/>
    </row>
    <row r="177" spans="1:26" customFormat="1" ht="12" customHeight="1" outlineLevel="1" x14ac:dyDescent="0.25">
      <c r="A177" s="7"/>
      <c r="B177" s="8"/>
      <c r="C177" s="18"/>
      <c r="D177" s="18"/>
      <c r="E177" s="18"/>
      <c r="F177" s="24"/>
      <c r="G177" s="510" t="str">
        <f>General!G81</f>
        <v>w</v>
      </c>
      <c r="H177" s="527">
        <v>2E-3</v>
      </c>
      <c r="I177" s="528">
        <v>1E-3</v>
      </c>
      <c r="J177" s="529">
        <v>0.1</v>
      </c>
      <c r="L177" s="514"/>
      <c r="M177" s="28"/>
      <c r="P177" s="30"/>
      <c r="Q177" s="30"/>
      <c r="R177" s="30"/>
      <c r="T177" s="30"/>
      <c r="U177" s="30"/>
      <c r="V177" s="27"/>
      <c r="W177" s="17"/>
      <c r="X177" s="9"/>
      <c r="Y177" s="9"/>
      <c r="Z177" s="9"/>
    </row>
    <row r="178" spans="1:26" customFormat="1" ht="12" customHeight="1" outlineLevel="1" x14ac:dyDescent="0.25">
      <c r="A178" s="7"/>
      <c r="B178" s="8"/>
      <c r="C178" s="18"/>
      <c r="D178" s="18"/>
      <c r="E178" s="18"/>
      <c r="F178" s="24"/>
      <c r="G178" s="510" t="str">
        <f>General!G82</f>
        <v>wd</v>
      </c>
      <c r="H178" s="527">
        <v>2E-3</v>
      </c>
      <c r="I178" s="528">
        <v>1E-3</v>
      </c>
      <c r="J178" s="529">
        <v>0.1</v>
      </c>
      <c r="L178" s="514"/>
      <c r="M178" s="28"/>
      <c r="P178" s="30"/>
      <c r="Q178" s="30"/>
      <c r="R178" s="30"/>
      <c r="T178" s="30"/>
      <c r="U178" s="30"/>
      <c r="V178" s="27"/>
      <c r="W178" s="17"/>
      <c r="X178" s="9"/>
      <c r="Y178" s="9"/>
      <c r="Z178" s="9"/>
    </row>
    <row r="179" spans="1:26" customFormat="1" ht="12" customHeight="1" outlineLevel="1" x14ac:dyDescent="0.25">
      <c r="A179" s="7"/>
      <c r="B179" s="8"/>
      <c r="C179" s="18"/>
      <c r="D179" s="18"/>
      <c r="E179" s="18"/>
      <c r="F179" s="24"/>
      <c r="G179" s="510" t="str">
        <f>General!G83</f>
        <v>z</v>
      </c>
      <c r="H179" s="527">
        <v>2E-3</v>
      </c>
      <c r="I179" s="528">
        <v>1E-3</v>
      </c>
      <c r="J179" s="529">
        <v>0.1</v>
      </c>
      <c r="L179" s="514"/>
      <c r="M179" s="491"/>
      <c r="P179" s="30"/>
      <c r="Q179" s="30"/>
      <c r="R179" s="30"/>
      <c r="T179" s="30"/>
      <c r="U179" s="30"/>
      <c r="V179" s="27"/>
      <c r="W179" s="17"/>
      <c r="X179" s="9"/>
      <c r="Y179" s="9"/>
      <c r="Z179" s="9"/>
    </row>
    <row r="180" spans="1:26" customFormat="1" ht="12" customHeight="1" outlineLevel="1" x14ac:dyDescent="0.25">
      <c r="A180" s="7"/>
      <c r="B180" s="8"/>
      <c r="C180" s="18"/>
      <c r="D180" s="18"/>
      <c r="E180" s="18"/>
      <c r="F180" s="24"/>
      <c r="G180" s="510" t="str">
        <f>General!G84</f>
        <v>zd</v>
      </c>
      <c r="H180" s="527">
        <v>2E-3</v>
      </c>
      <c r="I180" s="528">
        <v>1E-3</v>
      </c>
      <c r="J180" s="529">
        <v>0.1</v>
      </c>
      <c r="L180" s="514"/>
      <c r="M180" s="30"/>
      <c r="P180" s="30"/>
      <c r="Q180" s="30"/>
      <c r="R180" s="30"/>
      <c r="S180" s="521"/>
      <c r="T180" s="30"/>
      <c r="U180" s="30"/>
      <c r="V180" s="27"/>
      <c r="W180" s="17"/>
      <c r="X180" s="9"/>
      <c r="Y180" s="9"/>
      <c r="Z180" s="9"/>
    </row>
    <row r="181" spans="1:26" customFormat="1" ht="12" customHeight="1" outlineLevel="1" x14ac:dyDescent="0.25">
      <c r="A181" s="7"/>
      <c r="B181" s="8"/>
      <c r="C181" s="18"/>
      <c r="D181" s="18"/>
      <c r="E181" s="18"/>
      <c r="F181" s="24"/>
      <c r="G181" s="28"/>
      <c r="H181" s="27"/>
      <c r="I181" s="503"/>
      <c r="J181" s="491"/>
      <c r="K181" s="491"/>
      <c r="L181" s="514"/>
      <c r="M181" s="30"/>
      <c r="N181" s="28"/>
      <c r="P181" s="30"/>
      <c r="Q181" s="30"/>
      <c r="R181" s="30"/>
      <c r="S181" s="521"/>
      <c r="T181" s="30"/>
      <c r="U181" s="30"/>
      <c r="V181" s="27"/>
      <c r="W181" s="17"/>
      <c r="X181" s="9"/>
      <c r="Y181" s="9"/>
      <c r="Z181" s="9"/>
    </row>
    <row r="182" spans="1:26" customFormat="1" ht="12.6" customHeight="1" outlineLevel="1" x14ac:dyDescent="0.25">
      <c r="A182" s="7"/>
      <c r="B182" s="8"/>
      <c r="C182" s="18"/>
      <c r="D182" s="18"/>
      <c r="E182" s="18"/>
      <c r="F182" s="24"/>
      <c r="G182" s="28"/>
      <c r="H182" s="28"/>
      <c r="I182" s="489"/>
      <c r="J182" s="492"/>
      <c r="K182" s="492"/>
      <c r="L182" s="492"/>
      <c r="M182" s="492"/>
      <c r="N182" s="492"/>
      <c r="O182" s="492"/>
      <c r="P182" s="30"/>
      <c r="Q182" s="30"/>
      <c r="R182" s="30"/>
      <c r="S182" s="30"/>
      <c r="T182" s="30"/>
      <c r="U182" s="30"/>
      <c r="V182" s="27"/>
      <c r="W182" s="17"/>
      <c r="X182" s="9"/>
      <c r="Y182" s="9"/>
      <c r="Z182" s="9"/>
    </row>
    <row r="183" spans="1:26" customFormat="1" ht="12" customHeight="1" outlineLevel="1" x14ac:dyDescent="0.25">
      <c r="A183" s="7"/>
      <c r="B183" s="8"/>
      <c r="C183" s="18"/>
      <c r="D183" s="18"/>
      <c r="E183" s="18"/>
      <c r="F183" s="24"/>
      <c r="G183" s="28"/>
      <c r="H183" s="28"/>
      <c r="I183" s="489"/>
      <c r="J183" s="492"/>
      <c r="K183" s="492"/>
      <c r="L183" s="492"/>
      <c r="M183" s="492"/>
      <c r="N183" s="492"/>
      <c r="O183" s="492"/>
      <c r="P183" s="30"/>
      <c r="Q183" s="30"/>
      <c r="R183" s="30"/>
      <c r="S183" s="30"/>
      <c r="T183" s="30"/>
      <c r="U183" s="30"/>
      <c r="V183" s="27"/>
      <c r="W183" s="17"/>
      <c r="X183" s="9"/>
      <c r="Y183" s="9"/>
      <c r="Z183" s="9"/>
    </row>
    <row r="184" spans="1:26" customFormat="1" ht="12" customHeight="1" x14ac:dyDescent="0.25">
      <c r="A184" s="7"/>
      <c r="B184" s="8"/>
      <c r="C184" s="18"/>
      <c r="D184" s="18"/>
      <c r="E184" s="18"/>
      <c r="F184" s="24"/>
      <c r="G184" s="522" t="s">
        <v>3030</v>
      </c>
      <c r="H184" s="28"/>
      <c r="I184" s="489"/>
      <c r="J184" s="492"/>
      <c r="K184" s="492"/>
      <c r="L184" s="492"/>
      <c r="M184" s="492"/>
      <c r="N184" s="492"/>
      <c r="O184" s="492"/>
      <c r="P184" s="30"/>
      <c r="Q184" s="30"/>
      <c r="R184" s="30"/>
      <c r="S184" s="30"/>
      <c r="T184" s="30"/>
      <c r="U184" s="30"/>
      <c r="V184" s="27"/>
      <c r="W184" s="17"/>
      <c r="X184" s="9"/>
      <c r="Y184" s="9"/>
      <c r="Z184" s="9"/>
    </row>
    <row r="185" spans="1:26" customFormat="1" ht="12" customHeight="1" outlineLevel="1" x14ac:dyDescent="0.25">
      <c r="A185" s="7"/>
      <c r="B185" s="8"/>
      <c r="C185" s="18"/>
      <c r="D185" s="18"/>
      <c r="E185" s="18"/>
      <c r="F185" s="24"/>
      <c r="G185" s="28"/>
      <c r="H185" s="24"/>
      <c r="I185" s="530"/>
      <c r="J185" s="531"/>
      <c r="K185" s="531"/>
      <c r="L185" s="532"/>
      <c r="M185" s="531"/>
      <c r="N185" s="531"/>
      <c r="O185" s="531"/>
      <c r="P185" s="35"/>
      <c r="Q185" s="35"/>
      <c r="R185" s="35"/>
      <c r="S185" s="35"/>
      <c r="T185" s="30"/>
      <c r="U185" s="30"/>
      <c r="V185" s="27"/>
      <c r="W185" s="17"/>
      <c r="X185" s="9"/>
      <c r="Y185" s="9"/>
      <c r="Z185" s="9"/>
    </row>
    <row r="186" spans="1:26" customFormat="1" ht="12" customHeight="1" outlineLevel="1" x14ac:dyDescent="0.25">
      <c r="A186" s="7"/>
      <c r="B186" s="8"/>
      <c r="C186" s="18"/>
      <c r="D186" s="18"/>
      <c r="E186" s="18"/>
      <c r="F186" s="24"/>
      <c r="G186" s="28"/>
      <c r="H186" s="533" t="s">
        <v>2289</v>
      </c>
      <c r="I186" s="534" t="s">
        <v>4</v>
      </c>
      <c r="J186" s="534" t="s">
        <v>3031</v>
      </c>
      <c r="K186" s="534" t="s">
        <v>526</v>
      </c>
      <c r="L186" s="535" t="s">
        <v>3032</v>
      </c>
      <c r="M186" s="536" t="s">
        <v>10</v>
      </c>
      <c r="N186" s="536" t="s">
        <v>3033</v>
      </c>
      <c r="O186" s="536" t="s">
        <v>60</v>
      </c>
      <c r="P186" s="537" t="s">
        <v>61</v>
      </c>
      <c r="Q186" s="538" t="s">
        <v>2290</v>
      </c>
      <c r="R186" s="35"/>
      <c r="S186" s="35"/>
      <c r="T186" s="30"/>
      <c r="U186" s="30"/>
      <c r="V186" s="27"/>
      <c r="W186" s="17"/>
      <c r="X186" s="9"/>
      <c r="Y186" s="9"/>
      <c r="Z186" s="9"/>
    </row>
    <row r="187" spans="1:26" customFormat="1" ht="12" customHeight="1" outlineLevel="1" x14ac:dyDescent="0.25">
      <c r="A187" s="7"/>
      <c r="B187" s="8"/>
      <c r="C187" s="18"/>
      <c r="D187" s="18"/>
      <c r="E187" s="18"/>
      <c r="F187" s="24"/>
      <c r="G187" s="28" t="s">
        <v>3034</v>
      </c>
      <c r="H187" s="539">
        <v>80</v>
      </c>
      <c r="I187" s="539">
        <f>H187-5</f>
        <v>75</v>
      </c>
      <c r="J187" s="539">
        <f t="shared" ref="J187:Q187" si="6">I187-5</f>
        <v>70</v>
      </c>
      <c r="K187" s="539">
        <f t="shared" si="6"/>
        <v>65</v>
      </c>
      <c r="L187" s="539">
        <f t="shared" si="6"/>
        <v>60</v>
      </c>
      <c r="M187" s="539">
        <f t="shared" si="6"/>
        <v>55</v>
      </c>
      <c r="N187" s="539">
        <f t="shared" si="6"/>
        <v>50</v>
      </c>
      <c r="O187" s="539">
        <f t="shared" si="6"/>
        <v>45</v>
      </c>
      <c r="P187" s="539">
        <f t="shared" si="6"/>
        <v>40</v>
      </c>
      <c r="Q187" s="539">
        <f t="shared" si="6"/>
        <v>35</v>
      </c>
      <c r="R187" s="35"/>
      <c r="S187" s="35"/>
      <c r="T187" s="30"/>
      <c r="U187" s="30"/>
      <c r="V187" s="27"/>
      <c r="W187" s="17"/>
      <c r="X187" s="9"/>
      <c r="Y187" s="9"/>
      <c r="Z187" s="9"/>
    </row>
    <row r="188" spans="1:26" customFormat="1" ht="12" customHeight="1" outlineLevel="1" x14ac:dyDescent="0.25">
      <c r="A188" s="7"/>
      <c r="B188" s="8"/>
      <c r="C188" s="18"/>
      <c r="D188" s="18"/>
      <c r="E188" s="18"/>
      <c r="F188" s="24"/>
      <c r="G188" s="28" t="s">
        <v>3035</v>
      </c>
      <c r="H188" s="540">
        <v>0.115</v>
      </c>
      <c r="I188" s="541">
        <v>0.1065</v>
      </c>
      <c r="J188" s="527">
        <v>0.10150000000000001</v>
      </c>
      <c r="K188" s="527">
        <v>9.5000000000000001E-2</v>
      </c>
      <c r="L188" s="527">
        <v>8.7999999999999995E-2</v>
      </c>
      <c r="M188" s="527">
        <v>8.2000000000000003E-2</v>
      </c>
      <c r="N188" s="527">
        <v>7.6999999999999999E-2</v>
      </c>
      <c r="O188" s="527">
        <v>7.1199999999999999E-2</v>
      </c>
      <c r="P188" s="542">
        <v>5.9900000000000002E-2</v>
      </c>
      <c r="Q188" s="542">
        <v>5.5E-2</v>
      </c>
      <c r="R188" s="35"/>
      <c r="S188" s="35"/>
      <c r="T188" s="30"/>
      <c r="U188" s="30"/>
      <c r="V188" s="27"/>
      <c r="W188" s="17"/>
      <c r="X188" s="9"/>
      <c r="Y188" s="9"/>
      <c r="Z188" s="9"/>
    </row>
    <row r="189" spans="1:26" customFormat="1" ht="12" customHeight="1" outlineLevel="1" x14ac:dyDescent="0.25">
      <c r="A189" s="7"/>
      <c r="B189" s="8"/>
      <c r="C189" s="18"/>
      <c r="D189" s="18"/>
      <c r="E189" s="18"/>
      <c r="F189" s="24"/>
      <c r="G189" s="28"/>
      <c r="H189" s="28"/>
      <c r="I189" s="489"/>
      <c r="J189" s="492"/>
      <c r="K189" s="492"/>
      <c r="L189" s="492"/>
      <c r="M189" s="492"/>
      <c r="N189" s="492"/>
      <c r="O189" s="492"/>
      <c r="P189" s="30"/>
      <c r="Q189" s="30"/>
      <c r="R189" s="30"/>
      <c r="S189" s="30"/>
      <c r="T189" s="30"/>
      <c r="U189" s="30"/>
      <c r="V189" s="27"/>
      <c r="W189" s="17"/>
      <c r="X189" s="9"/>
      <c r="Y189" s="9"/>
      <c r="Z189" s="9"/>
    </row>
    <row r="190" spans="1:26" customFormat="1" ht="12" customHeight="1" outlineLevel="1" x14ac:dyDescent="0.25">
      <c r="A190" s="7"/>
      <c r="B190" s="8"/>
      <c r="C190" s="18"/>
      <c r="D190" s="18"/>
      <c r="E190" s="18"/>
      <c r="F190" s="24"/>
      <c r="G190" s="28"/>
      <c r="H190" s="28"/>
      <c r="I190" s="489"/>
      <c r="J190" s="492"/>
      <c r="K190" s="492"/>
      <c r="L190" s="492"/>
      <c r="M190" s="492"/>
      <c r="N190" s="492"/>
      <c r="O190" s="492"/>
      <c r="P190" s="30"/>
      <c r="Q190" s="30"/>
      <c r="R190" s="30"/>
      <c r="S190" s="30"/>
      <c r="T190" s="30"/>
      <c r="U190" s="30"/>
      <c r="V190" s="27"/>
      <c r="W190" s="17"/>
      <c r="X190" s="9"/>
      <c r="Y190" s="9"/>
      <c r="Z190" s="9"/>
    </row>
    <row r="191" spans="1:26" customFormat="1" ht="12" customHeight="1" outlineLevel="1" x14ac:dyDescent="0.25">
      <c r="A191" s="7"/>
      <c r="B191" s="8"/>
      <c r="C191" s="18"/>
      <c r="D191" s="18"/>
      <c r="E191" s="18"/>
      <c r="F191" s="24"/>
      <c r="G191" s="28"/>
      <c r="H191" s="28"/>
      <c r="I191" s="489"/>
      <c r="J191" s="492"/>
      <c r="K191" s="492"/>
      <c r="L191" s="492"/>
      <c r="M191" s="492"/>
      <c r="N191" s="492"/>
      <c r="O191" s="492"/>
      <c r="P191" s="30"/>
      <c r="Q191" s="30"/>
      <c r="R191" s="30"/>
      <c r="S191" s="30"/>
      <c r="T191" s="30"/>
      <c r="U191" s="30"/>
      <c r="V191" s="27"/>
      <c r="W191" s="17"/>
      <c r="X191" s="9"/>
      <c r="Y191" s="9"/>
      <c r="Z191" s="9"/>
    </row>
    <row r="192" spans="1:26" customFormat="1" ht="12" customHeight="1" outlineLevel="1" x14ac:dyDescent="0.25">
      <c r="A192" s="7"/>
      <c r="B192" s="8"/>
      <c r="C192" s="18"/>
      <c r="D192" s="18"/>
      <c r="E192" s="18"/>
      <c r="F192" s="24"/>
      <c r="G192" s="28"/>
      <c r="H192" s="28"/>
      <c r="I192" s="489"/>
      <c r="J192" s="492"/>
      <c r="K192" s="492"/>
      <c r="L192" s="492"/>
      <c r="M192" s="492"/>
      <c r="N192" s="492"/>
      <c r="O192" s="492"/>
      <c r="P192" s="30"/>
      <c r="Q192" s="30"/>
      <c r="R192" s="30"/>
      <c r="S192" s="30"/>
      <c r="T192" s="30"/>
      <c r="U192" s="30"/>
      <c r="V192" s="27"/>
      <c r="W192" s="17"/>
      <c r="X192" s="9"/>
      <c r="Y192" s="9"/>
      <c r="Z192" s="9"/>
    </row>
    <row r="193" spans="1:46" customFormat="1" ht="12" customHeight="1" outlineLevel="1" x14ac:dyDescent="0.25">
      <c r="A193" s="7"/>
      <c r="B193" s="8"/>
      <c r="C193" s="18"/>
      <c r="D193" s="18"/>
      <c r="E193" s="18"/>
      <c r="F193" s="24"/>
      <c r="G193" s="28"/>
      <c r="H193" s="28"/>
      <c r="I193" s="489"/>
      <c r="J193" s="492"/>
      <c r="K193" s="492"/>
      <c r="L193" s="492"/>
      <c r="M193" s="492"/>
      <c r="N193" s="492"/>
      <c r="O193" s="492"/>
      <c r="P193" s="30"/>
      <c r="Q193" s="30"/>
      <c r="R193" s="30"/>
      <c r="S193" s="30"/>
      <c r="T193" s="30"/>
      <c r="U193" s="30"/>
      <c r="V193" s="27"/>
      <c r="W193" s="17"/>
      <c r="X193" s="9"/>
      <c r="Y193" s="9"/>
      <c r="Z193" s="9"/>
    </row>
    <row r="194" spans="1:46" customFormat="1" ht="12" customHeight="1" outlineLevel="1" x14ac:dyDescent="0.25">
      <c r="A194" s="7"/>
      <c r="B194" s="8"/>
      <c r="C194" s="18"/>
      <c r="D194" s="18"/>
      <c r="E194" s="18"/>
      <c r="F194" s="543"/>
      <c r="G194" s="28"/>
      <c r="H194" s="28"/>
      <c r="I194" s="489"/>
      <c r="J194" s="491"/>
      <c r="K194" s="491"/>
      <c r="L194" s="491"/>
      <c r="M194" s="491"/>
      <c r="N194" s="491"/>
      <c r="O194" s="491"/>
      <c r="P194" s="30"/>
      <c r="Q194" s="30"/>
      <c r="R194" s="30"/>
      <c r="S194" s="30"/>
      <c r="T194" s="30"/>
      <c r="U194" s="30"/>
      <c r="V194" s="27"/>
      <c r="W194" s="17"/>
      <c r="X194" s="9"/>
      <c r="Y194" s="9"/>
      <c r="Z194" s="9"/>
    </row>
    <row r="195" spans="1:46" customFormat="1" ht="5.0999999999999996" customHeight="1" outlineLevel="1" x14ac:dyDescent="0.25">
      <c r="A195" s="7"/>
      <c r="B195" s="8"/>
      <c r="C195" s="18"/>
      <c r="D195" s="18"/>
      <c r="E195" s="18"/>
      <c r="F195" s="33"/>
      <c r="G195" s="34"/>
      <c r="H195" s="34"/>
      <c r="I195" s="34"/>
      <c r="J195" s="35"/>
      <c r="K195" s="35"/>
      <c r="L195" s="35"/>
      <c r="M195" s="35"/>
      <c r="N195" s="35"/>
      <c r="O195" s="35"/>
      <c r="P195" s="35"/>
      <c r="Q195" s="35"/>
      <c r="R195" s="35"/>
      <c r="S195" s="35"/>
      <c r="T195" s="35"/>
      <c r="U195" s="35"/>
      <c r="V195" s="27"/>
      <c r="W195" s="17"/>
      <c r="X195" s="9"/>
      <c r="Y195" s="9"/>
      <c r="Z195" s="9"/>
    </row>
    <row r="196" spans="1:46" customFormat="1" ht="25.35" customHeight="1" outlineLevel="1" x14ac:dyDescent="0.25">
      <c r="A196" s="7"/>
      <c r="B196" s="8"/>
      <c r="C196" s="36"/>
      <c r="D196" s="36"/>
      <c r="E196" s="36"/>
      <c r="F196" s="36"/>
      <c r="G196" s="37" t="str">
        <f>G82</f>
        <v>STUBBLE PRECALCS</v>
      </c>
      <c r="H196" s="36"/>
      <c r="I196" s="36"/>
      <c r="J196" s="36"/>
      <c r="K196" s="36"/>
      <c r="L196" s="36"/>
      <c r="M196" s="36"/>
      <c r="N196" s="36"/>
      <c r="O196" s="36"/>
      <c r="P196" s="36"/>
      <c r="Q196" s="36"/>
      <c r="R196" s="36"/>
      <c r="S196" s="36"/>
      <c r="T196" s="36"/>
      <c r="U196" s="36"/>
      <c r="V196" s="36"/>
      <c r="W196" s="38" t="s">
        <v>91</v>
      </c>
      <c r="X196" s="9"/>
      <c r="Y196" s="9"/>
      <c r="Z196" s="9"/>
    </row>
    <row r="197" spans="1:46" customFormat="1" ht="12" customHeight="1" outlineLevel="1" x14ac:dyDescent="0.25">
      <c r="A197" s="7"/>
      <c r="B197" s="8"/>
      <c r="C197" s="8"/>
      <c r="D197" s="8"/>
      <c r="E197" s="8"/>
      <c r="F197" s="9"/>
      <c r="G197" s="9"/>
      <c r="H197" s="9"/>
      <c r="I197" s="9"/>
      <c r="J197" s="9"/>
      <c r="K197" s="9"/>
      <c r="L197" s="9"/>
      <c r="M197" s="9"/>
      <c r="N197" s="9"/>
      <c r="O197" s="9"/>
      <c r="P197" s="9"/>
      <c r="Q197" s="9"/>
      <c r="R197" s="9"/>
      <c r="S197" s="9"/>
      <c r="T197" s="9"/>
      <c r="U197" s="9"/>
      <c r="V197" s="9"/>
      <c r="W197" s="9"/>
      <c r="X197" s="9"/>
      <c r="Y197" s="9"/>
      <c r="Z197" s="9"/>
    </row>
    <row r="198" spans="1:46" customFormat="1" ht="12" customHeight="1" outlineLevel="1" x14ac:dyDescent="0.25">
      <c r="A198" s="7"/>
      <c r="B198" s="8"/>
      <c r="C198" s="8"/>
      <c r="D198" s="8"/>
      <c r="E198" s="8"/>
      <c r="F198" s="8"/>
      <c r="G198" s="8"/>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8"/>
      <c r="AS198" s="8"/>
      <c r="AT198" s="8"/>
    </row>
    <row r="199" spans="1:46" customFormat="1" ht="5.0999999999999996" customHeight="1" thickBot="1" x14ac:dyDescent="0.3">
      <c r="A199" s="7"/>
      <c r="B199" s="8"/>
      <c r="C199" s="8"/>
      <c r="D199" s="8"/>
      <c r="E199" s="8"/>
      <c r="F199" s="8"/>
      <c r="G199" s="8"/>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8"/>
      <c r="AS199" s="8"/>
      <c r="AT199" s="8"/>
    </row>
    <row r="200" spans="1:46" customFormat="1" ht="5.0999999999999996" customHeight="1" x14ac:dyDescent="0.25">
      <c r="A200" s="7"/>
      <c r="B200" s="8"/>
      <c r="C200" s="10" t="s">
        <v>86</v>
      </c>
      <c r="D200" s="10"/>
      <c r="E200" s="10"/>
      <c r="F200" s="10"/>
      <c r="G200" s="10"/>
      <c r="H200" s="10"/>
      <c r="I200" s="10"/>
      <c r="J200" s="10"/>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2"/>
      <c r="AR200" s="9"/>
      <c r="AS200" s="9"/>
      <c r="AT200" s="9"/>
    </row>
    <row r="201" spans="1:46" customFormat="1" ht="12" customHeight="1" x14ac:dyDescent="0.25">
      <c r="A201" s="7"/>
      <c r="B201" s="8"/>
      <c r="C201" s="13"/>
      <c r="D201" s="13"/>
      <c r="E201" s="13" t="s">
        <v>87</v>
      </c>
      <c r="F201" s="14"/>
      <c r="G201" s="15" t="s">
        <v>3036</v>
      </c>
      <c r="H201" s="14"/>
      <c r="I201" s="14"/>
      <c r="J201" s="14"/>
      <c r="K201" s="14"/>
      <c r="L201" s="14"/>
      <c r="M201" s="14"/>
      <c r="N201" s="14"/>
      <c r="O201" s="14"/>
      <c r="P201" s="14"/>
      <c r="Q201" s="14"/>
      <c r="R201" s="14"/>
      <c r="S201" s="14"/>
      <c r="T201" s="14"/>
      <c r="U201" s="14"/>
      <c r="V201" s="16"/>
      <c r="W201" s="14"/>
      <c r="X201" s="14"/>
      <c r="Y201" s="14"/>
      <c r="Z201" s="14"/>
      <c r="AA201" s="16"/>
      <c r="AB201" s="16"/>
      <c r="AC201" s="16"/>
      <c r="AD201" s="16"/>
      <c r="AE201" s="14"/>
      <c r="AF201" s="14"/>
      <c r="AG201" s="14"/>
      <c r="AH201" s="14"/>
      <c r="AI201" s="14"/>
      <c r="AJ201" s="14"/>
      <c r="AK201" s="16"/>
      <c r="AL201" s="16"/>
      <c r="AM201" s="16"/>
      <c r="AN201" s="16"/>
      <c r="AO201" s="16"/>
      <c r="AP201" s="16"/>
      <c r="AQ201" s="17"/>
      <c r="AR201" s="9"/>
      <c r="AS201" s="9"/>
      <c r="AT201" s="9"/>
    </row>
    <row r="202" spans="1:46" customFormat="1" ht="12" customHeight="1" outlineLevel="1" x14ac:dyDescent="0.25">
      <c r="A202" s="7"/>
      <c r="B202" s="8"/>
      <c r="C202" s="13"/>
      <c r="D202" s="13"/>
      <c r="E202" s="18"/>
      <c r="F202" s="14"/>
      <c r="G202" s="14" t="s">
        <v>3037</v>
      </c>
      <c r="H202" s="14"/>
      <c r="I202" s="14"/>
      <c r="J202" s="14"/>
      <c r="K202" s="14"/>
      <c r="L202" s="14"/>
      <c r="M202" s="14"/>
      <c r="N202" s="14"/>
      <c r="O202" s="14"/>
      <c r="P202" s="14"/>
      <c r="Q202" s="14"/>
      <c r="R202" s="14"/>
      <c r="S202" s="14"/>
      <c r="T202" s="14"/>
      <c r="U202" s="14"/>
      <c r="V202" s="16"/>
      <c r="W202" s="19"/>
      <c r="X202" s="19"/>
      <c r="Y202" s="19"/>
      <c r="Z202" s="19"/>
      <c r="AA202" s="16"/>
      <c r="AB202" s="16"/>
      <c r="AC202" s="16"/>
      <c r="AD202" s="16"/>
      <c r="AE202" s="14"/>
      <c r="AF202" s="14"/>
      <c r="AG202" s="14"/>
      <c r="AH202" s="14"/>
      <c r="AI202" s="14"/>
      <c r="AJ202" s="14"/>
      <c r="AK202" s="16"/>
      <c r="AL202" s="16"/>
      <c r="AM202" s="16"/>
      <c r="AN202" s="16"/>
      <c r="AO202" s="16"/>
      <c r="AP202" s="16"/>
      <c r="AQ202" s="17"/>
      <c r="AR202" s="9"/>
      <c r="AS202" s="9"/>
      <c r="AT202" s="9"/>
    </row>
    <row r="203" spans="1:46" customFormat="1" ht="12" customHeight="1" outlineLevel="1" x14ac:dyDescent="0.25">
      <c r="A203" s="7"/>
      <c r="B203" s="8"/>
      <c r="C203" s="18"/>
      <c r="D203" s="13"/>
      <c r="E203" s="18"/>
      <c r="F203" s="14"/>
      <c r="G203" s="20"/>
      <c r="H203" s="14"/>
      <c r="I203" s="14"/>
      <c r="J203" s="14"/>
      <c r="K203" s="14"/>
      <c r="L203" s="14"/>
      <c r="M203" s="14"/>
      <c r="N203" s="14"/>
      <c r="O203" s="14"/>
      <c r="P203" s="14"/>
      <c r="Q203" s="14"/>
      <c r="R203" s="14"/>
      <c r="S203" s="14"/>
      <c r="T203" s="14"/>
      <c r="U203" s="14"/>
      <c r="V203" s="16"/>
      <c r="W203" s="19"/>
      <c r="X203" s="19"/>
      <c r="Y203" s="19"/>
      <c r="Z203" s="19"/>
      <c r="AA203" s="16"/>
      <c r="AB203" s="16"/>
      <c r="AC203" s="16"/>
      <c r="AD203" s="16"/>
      <c r="AE203" s="14"/>
      <c r="AF203" s="14"/>
      <c r="AG203" s="14"/>
      <c r="AH203" s="14"/>
      <c r="AI203" s="14"/>
      <c r="AJ203" s="14"/>
      <c r="AK203" s="16"/>
      <c r="AL203" s="16"/>
      <c r="AM203" s="16"/>
      <c r="AN203" s="16"/>
      <c r="AO203" s="16"/>
      <c r="AP203" s="16"/>
      <c r="AQ203" s="17"/>
      <c r="AR203" s="9"/>
      <c r="AS203" s="9"/>
      <c r="AT203" s="9"/>
    </row>
    <row r="204" spans="1:46" customFormat="1" ht="12" customHeight="1" outlineLevel="1" x14ac:dyDescent="0.25">
      <c r="A204" s="7"/>
      <c r="B204" s="8"/>
      <c r="C204" s="394"/>
      <c r="D204" s="13"/>
      <c r="E204" s="18"/>
      <c r="F204" s="14"/>
      <c r="G204" s="488"/>
      <c r="H204" s="14"/>
      <c r="I204" s="14"/>
      <c r="J204" s="14"/>
      <c r="K204" s="14"/>
      <c r="L204" s="14"/>
      <c r="M204" s="14"/>
      <c r="N204" s="14"/>
      <c r="O204" s="14"/>
      <c r="P204" s="14"/>
      <c r="Q204" s="14"/>
      <c r="R204" s="14"/>
      <c r="S204" s="14"/>
      <c r="T204" s="14"/>
      <c r="U204" s="14"/>
      <c r="V204" s="16"/>
      <c r="W204" s="19"/>
      <c r="X204" s="19"/>
      <c r="Y204" s="19"/>
      <c r="Z204" s="19"/>
      <c r="AA204" s="16"/>
      <c r="AB204" s="16"/>
      <c r="AC204" s="16"/>
      <c r="AD204" s="16"/>
      <c r="AE204" s="14"/>
      <c r="AF204" s="14"/>
      <c r="AG204" s="14"/>
      <c r="AH204" s="14"/>
      <c r="AI204" s="14"/>
      <c r="AJ204" s="14"/>
      <c r="AK204" s="16"/>
      <c r="AL204" s="16"/>
      <c r="AM204" s="16"/>
      <c r="AN204" s="16"/>
      <c r="AO204" s="16"/>
      <c r="AP204" s="16"/>
      <c r="AQ204" s="17"/>
      <c r="AR204" s="9"/>
      <c r="AS204" s="9"/>
      <c r="AT204" s="9"/>
    </row>
    <row r="205" spans="1:46" customFormat="1" ht="12" customHeight="1" outlineLevel="1" x14ac:dyDescent="0.25">
      <c r="A205" s="7"/>
      <c r="B205" s="8"/>
      <c r="C205" s="18"/>
      <c r="D205" s="18"/>
      <c r="E205" s="18"/>
      <c r="F205" s="18"/>
      <c r="G205" s="18"/>
      <c r="H205" s="18"/>
      <c r="I205" s="18"/>
      <c r="J205" s="21" t="s">
        <v>3038</v>
      </c>
      <c r="K205" s="21" t="s">
        <v>3039</v>
      </c>
      <c r="L205" s="21" t="s">
        <v>3040</v>
      </c>
      <c r="M205" s="21" t="s">
        <v>3041</v>
      </c>
      <c r="N205" s="21" t="s">
        <v>3042</v>
      </c>
      <c r="O205" s="21" t="s">
        <v>3043</v>
      </c>
      <c r="P205" s="21" t="s">
        <v>3044</v>
      </c>
      <c r="Q205" s="21" t="s">
        <v>3045</v>
      </c>
      <c r="R205" s="21" t="s">
        <v>3046</v>
      </c>
      <c r="S205" s="21" t="s">
        <v>3047</v>
      </c>
      <c r="T205" s="21" t="s">
        <v>3048</v>
      </c>
      <c r="U205" s="21" t="s">
        <v>3049</v>
      </c>
      <c r="V205" s="21" t="s">
        <v>3050</v>
      </c>
      <c r="W205" s="21" t="s">
        <v>3051</v>
      </c>
      <c r="X205" s="21" t="s">
        <v>3790</v>
      </c>
      <c r="Y205" s="21" t="s">
        <v>3791</v>
      </c>
      <c r="Z205" s="21" t="s">
        <v>3052</v>
      </c>
      <c r="AA205" s="21" t="s">
        <v>3053</v>
      </c>
      <c r="AB205" s="21" t="s">
        <v>3054</v>
      </c>
      <c r="AC205" s="21" t="s">
        <v>3055</v>
      </c>
      <c r="AD205" s="21" t="s">
        <v>3056</v>
      </c>
      <c r="AE205" s="21" t="s">
        <v>3057</v>
      </c>
      <c r="AF205" s="21" t="s">
        <v>3058</v>
      </c>
      <c r="AG205" s="21" t="s">
        <v>3059</v>
      </c>
      <c r="AH205" s="21" t="s">
        <v>3060</v>
      </c>
      <c r="AI205" s="21" t="s">
        <v>3061</v>
      </c>
      <c r="AJ205" s="21" t="s">
        <v>3062</v>
      </c>
      <c r="AK205" s="21" t="s">
        <v>3063</v>
      </c>
      <c r="AL205" s="21" t="s">
        <v>3793</v>
      </c>
      <c r="AM205" s="21" t="s">
        <v>3794</v>
      </c>
      <c r="AN205" s="21" t="s">
        <v>3064</v>
      </c>
      <c r="AO205" s="21" t="s">
        <v>3065</v>
      </c>
      <c r="AP205" s="21"/>
      <c r="AQ205" s="17"/>
      <c r="AR205" s="9"/>
      <c r="AS205" s="9"/>
      <c r="AT205" s="9"/>
    </row>
    <row r="206" spans="1:46" customFormat="1" ht="12" customHeight="1" outlineLevel="1" x14ac:dyDescent="0.25">
      <c r="A206" s="7"/>
      <c r="B206" s="8"/>
      <c r="C206" s="18"/>
      <c r="D206" s="18"/>
      <c r="E206" s="18"/>
      <c r="F206" s="18"/>
      <c r="G206" s="18"/>
      <c r="H206" s="18"/>
      <c r="I206" s="18"/>
      <c r="J206" s="544" t="s">
        <v>399</v>
      </c>
      <c r="K206" s="544"/>
      <c r="L206" s="544"/>
      <c r="M206" s="544"/>
      <c r="N206" s="544"/>
      <c r="O206" s="544"/>
      <c r="P206" s="544"/>
      <c r="Q206" s="544"/>
      <c r="R206" s="544" t="s">
        <v>3066</v>
      </c>
      <c r="S206" s="544"/>
      <c r="T206" s="544"/>
      <c r="U206" s="544"/>
      <c r="V206" s="544"/>
      <c r="W206" s="544"/>
      <c r="X206" s="544"/>
      <c r="Y206" s="544"/>
      <c r="Z206" s="544"/>
      <c r="AA206" s="544"/>
      <c r="AB206" s="544"/>
      <c r="AC206" s="544"/>
      <c r="AD206" s="544" t="s">
        <v>400</v>
      </c>
      <c r="AE206" s="544"/>
      <c r="AF206" s="544"/>
      <c r="AG206" s="544"/>
      <c r="AH206" s="544"/>
      <c r="AI206" s="544"/>
      <c r="AJ206" s="544" t="s">
        <v>3067</v>
      </c>
      <c r="AK206" s="544"/>
      <c r="AL206" s="544" t="s">
        <v>3795</v>
      </c>
      <c r="AM206" s="544"/>
      <c r="AN206" s="545"/>
      <c r="AO206" s="545"/>
      <c r="AP206" s="21"/>
      <c r="AQ206" s="17"/>
      <c r="AR206" s="9"/>
      <c r="AS206" s="9"/>
      <c r="AT206" s="9"/>
    </row>
    <row r="207" spans="1:46" customFormat="1" ht="12" customHeight="1" outlineLevel="1" x14ac:dyDescent="0.25">
      <c r="A207" s="7"/>
      <c r="B207" s="8"/>
      <c r="C207" s="18"/>
      <c r="D207" s="18"/>
      <c r="E207" s="18"/>
      <c r="F207" s="18"/>
      <c r="G207" s="18"/>
      <c r="H207" s="18"/>
      <c r="I207" s="18"/>
      <c r="J207" s="546" t="s">
        <v>3068</v>
      </c>
      <c r="K207" s="546" t="s">
        <v>3069</v>
      </c>
      <c r="L207" s="546" t="s">
        <v>3070</v>
      </c>
      <c r="M207" s="546" t="s">
        <v>3070</v>
      </c>
      <c r="N207" s="546" t="s">
        <v>3070</v>
      </c>
      <c r="O207" s="546" t="s">
        <v>3070</v>
      </c>
      <c r="P207" s="546" t="s">
        <v>3070</v>
      </c>
      <c r="Q207" s="546" t="s">
        <v>3071</v>
      </c>
      <c r="R207" s="546" t="s">
        <v>3072</v>
      </c>
      <c r="S207" s="546" t="s">
        <v>3072</v>
      </c>
      <c r="T207" s="546" t="s">
        <v>3073</v>
      </c>
      <c r="U207" s="546" t="s">
        <v>3073</v>
      </c>
      <c r="V207" s="546" t="s">
        <v>3074</v>
      </c>
      <c r="W207" s="546" t="s">
        <v>3074</v>
      </c>
      <c r="X207" s="546" t="s">
        <v>3075</v>
      </c>
      <c r="Y207" s="546" t="s">
        <v>3075</v>
      </c>
      <c r="Z207" s="546" t="s">
        <v>3076</v>
      </c>
      <c r="AA207" s="546" t="s">
        <v>3076</v>
      </c>
      <c r="AB207" s="546" t="s">
        <v>3077</v>
      </c>
      <c r="AC207" s="546" t="s">
        <v>3077</v>
      </c>
      <c r="AD207" s="546" t="s">
        <v>3078</v>
      </c>
      <c r="AE207" s="546" t="s">
        <v>3079</v>
      </c>
      <c r="AF207" s="546" t="s">
        <v>3080</v>
      </c>
      <c r="AG207" s="546" t="s">
        <v>3081</v>
      </c>
      <c r="AH207" s="546" t="s">
        <v>3081</v>
      </c>
      <c r="AI207" s="546" t="s">
        <v>3082</v>
      </c>
      <c r="AJ207" s="545" t="s">
        <v>3083</v>
      </c>
      <c r="AK207" s="545" t="s">
        <v>3083</v>
      </c>
      <c r="AL207" s="545" t="s">
        <v>3796</v>
      </c>
      <c r="AM207" s="545" t="s">
        <v>3797</v>
      </c>
      <c r="AN207" s="545"/>
      <c r="AO207" s="545"/>
      <c r="AP207" s="21"/>
      <c r="AQ207" s="17"/>
      <c r="AR207" s="9"/>
      <c r="AS207" s="9"/>
      <c r="AT207" s="9"/>
    </row>
    <row r="208" spans="1:46" customFormat="1" ht="12" customHeight="1" outlineLevel="1" x14ac:dyDescent="0.25">
      <c r="A208" s="7"/>
      <c r="B208" s="8"/>
      <c r="C208" s="18"/>
      <c r="D208" s="18"/>
      <c r="E208" s="18"/>
      <c r="F208" s="18"/>
      <c r="G208" s="18"/>
      <c r="H208" s="18"/>
      <c r="I208" s="21"/>
      <c r="J208" s="546" t="s">
        <v>3084</v>
      </c>
      <c r="K208" s="546" t="s">
        <v>3084</v>
      </c>
      <c r="L208" s="546" t="s">
        <v>3084</v>
      </c>
      <c r="M208" s="546" t="s">
        <v>3084</v>
      </c>
      <c r="N208" s="546" t="s">
        <v>3084</v>
      </c>
      <c r="O208" s="546" t="s">
        <v>3084</v>
      </c>
      <c r="P208" s="546" t="s">
        <v>3084</v>
      </c>
      <c r="Q208" s="546" t="s">
        <v>3084</v>
      </c>
      <c r="R208" s="546" t="s">
        <v>3085</v>
      </c>
      <c r="S208" s="546" t="s">
        <v>3086</v>
      </c>
      <c r="T208" s="546" t="s">
        <v>3087</v>
      </c>
      <c r="U208" s="546" t="s">
        <v>3088</v>
      </c>
      <c r="V208" s="546" t="s">
        <v>3089</v>
      </c>
      <c r="W208" s="546" t="s">
        <v>3090</v>
      </c>
      <c r="X208" s="546" t="s">
        <v>3091</v>
      </c>
      <c r="Y208" s="546" t="s">
        <v>3092</v>
      </c>
      <c r="Z208" s="546" t="s">
        <v>3093</v>
      </c>
      <c r="AA208" s="546" t="s">
        <v>3084</v>
      </c>
      <c r="AB208" s="546" t="s">
        <v>3093</v>
      </c>
      <c r="AC208" s="546" t="s">
        <v>3084</v>
      </c>
      <c r="AD208" s="546" t="s">
        <v>3094</v>
      </c>
      <c r="AE208" s="546" t="s">
        <v>3094</v>
      </c>
      <c r="AF208" s="546" t="s">
        <v>3094</v>
      </c>
      <c r="AG208" s="546" t="s">
        <v>3094</v>
      </c>
      <c r="AH208" s="546" t="s">
        <v>3095</v>
      </c>
      <c r="AI208" s="546" t="s">
        <v>3094</v>
      </c>
      <c r="AJ208" s="546" t="s">
        <v>3096</v>
      </c>
      <c r="AK208" s="546" t="s">
        <v>3095</v>
      </c>
      <c r="AL208" s="546" t="s">
        <v>3798</v>
      </c>
      <c r="AM208" s="546" t="s">
        <v>3798</v>
      </c>
      <c r="AN208" s="545"/>
      <c r="AO208" s="545"/>
      <c r="AP208" s="21"/>
      <c r="AQ208" s="17"/>
      <c r="AR208" s="9"/>
      <c r="AS208" s="9"/>
      <c r="AT208" s="9"/>
    </row>
    <row r="209" spans="1:46" customFormat="1" ht="5.0999999999999996" customHeight="1" outlineLevel="1" x14ac:dyDescent="0.25">
      <c r="A209" s="7"/>
      <c r="B209" s="8"/>
      <c r="C209" s="18"/>
      <c r="D209" s="18"/>
      <c r="E209" s="18"/>
      <c r="F209" s="18"/>
      <c r="G209" s="18"/>
      <c r="H209" s="18"/>
      <c r="I209" s="18"/>
      <c r="J209" s="546"/>
      <c r="K209" s="546"/>
      <c r="L209" s="546"/>
      <c r="M209" s="546"/>
      <c r="N209" s="546"/>
      <c r="O209" s="546"/>
      <c r="P209" s="546"/>
      <c r="Q209" s="546"/>
      <c r="R209" s="546"/>
      <c r="S209" s="546"/>
      <c r="T209" s="546"/>
      <c r="U209" s="546"/>
      <c r="V209" s="546"/>
      <c r="W209" s="546"/>
      <c r="X209" s="546"/>
      <c r="Y209" s="546"/>
      <c r="Z209" s="546"/>
      <c r="AA209" s="546"/>
      <c r="AB209" s="546"/>
      <c r="AC209" s="546"/>
      <c r="AD209" s="546"/>
      <c r="AE209" s="546"/>
      <c r="AF209" s="546"/>
      <c r="AG209" s="546"/>
      <c r="AH209" s="546"/>
      <c r="AI209" s="546"/>
      <c r="AJ209" s="546"/>
      <c r="AK209" s="546"/>
      <c r="AL209" s="546"/>
      <c r="AM209" s="546"/>
      <c r="AN209" s="546"/>
      <c r="AO209" s="546"/>
      <c r="AP209" s="21"/>
      <c r="AQ209" s="17"/>
      <c r="AR209" s="9"/>
      <c r="AS209" s="9"/>
      <c r="AT209" s="9"/>
    </row>
    <row r="210" spans="1:46" customFormat="1" ht="5.0999999999999996" customHeight="1" outlineLevel="1" x14ac:dyDescent="0.25">
      <c r="A210" s="7"/>
      <c r="B210" s="8"/>
      <c r="C210" s="18"/>
      <c r="D210" s="18"/>
      <c r="E210" s="18"/>
      <c r="F210" s="24"/>
      <c r="G210" s="25"/>
      <c r="H210" s="25"/>
      <c r="I210" s="489"/>
      <c r="J210" s="490"/>
      <c r="K210" s="490"/>
      <c r="L210" s="490"/>
      <c r="M210" s="490"/>
      <c r="N210" s="490"/>
      <c r="O210" s="490"/>
      <c r="P210" s="490"/>
      <c r="Q210" s="490"/>
      <c r="R210" s="490"/>
      <c r="S210" s="490"/>
      <c r="T210" s="490"/>
      <c r="U210" s="490"/>
      <c r="V210" s="490"/>
      <c r="W210" s="490"/>
      <c r="X210" s="490"/>
      <c r="Y210" s="490"/>
      <c r="Z210" s="490"/>
      <c r="AA210" s="490"/>
      <c r="AB210" s="490"/>
      <c r="AC210" s="490"/>
      <c r="AD210" s="490"/>
      <c r="AE210" s="490"/>
      <c r="AF210" s="490"/>
      <c r="AG210" s="490"/>
      <c r="AH210" s="490"/>
      <c r="AI210" s="490"/>
      <c r="AJ210" s="490"/>
      <c r="AK210" s="490"/>
      <c r="AL210" s="490"/>
      <c r="AM210" s="490"/>
      <c r="AN210" s="490"/>
      <c r="AO210" s="490"/>
      <c r="AP210" s="27"/>
      <c r="AQ210" s="17"/>
      <c r="AR210" s="9"/>
      <c r="AS210" s="9"/>
      <c r="AT210" s="9"/>
    </row>
    <row r="211" spans="1:46" customFormat="1" x14ac:dyDescent="0.25">
      <c r="A211" s="7"/>
      <c r="B211" s="8"/>
      <c r="C211" s="18"/>
      <c r="D211" s="18"/>
      <c r="E211" s="18"/>
      <c r="F211" s="24"/>
      <c r="G211" s="547" t="s">
        <v>3097</v>
      </c>
      <c r="H211" s="25"/>
      <c r="I211" s="489"/>
      <c r="J211" s="489"/>
      <c r="K211" s="489"/>
      <c r="L211" s="489"/>
      <c r="M211" s="489"/>
      <c r="N211" s="489"/>
      <c r="O211" s="489"/>
      <c r="P211" s="489"/>
      <c r="Q211" s="489"/>
      <c r="R211" s="489"/>
      <c r="S211" s="489"/>
      <c r="T211" s="489"/>
      <c r="U211" s="489"/>
      <c r="V211" s="489"/>
      <c r="W211" s="489"/>
      <c r="X211" s="489"/>
      <c r="Y211" s="489"/>
      <c r="Z211" s="489"/>
      <c r="AA211" s="489"/>
      <c r="AB211" s="489"/>
      <c r="AC211" s="489"/>
      <c r="AD211" s="489"/>
      <c r="AE211" s="489"/>
      <c r="AF211" s="489"/>
      <c r="AG211" s="489"/>
      <c r="AH211" s="489"/>
      <c r="AI211" s="489"/>
      <c r="AJ211" s="489"/>
      <c r="AK211" s="489"/>
      <c r="AL211" s="490"/>
      <c r="AM211" s="490"/>
      <c r="AN211" s="490"/>
      <c r="AO211" s="490"/>
      <c r="AP211" s="27"/>
      <c r="AQ211" s="17"/>
      <c r="AR211" s="9"/>
      <c r="AS211" s="9"/>
      <c r="AT211" s="9"/>
    </row>
    <row r="212" spans="1:46" customFormat="1" outlineLevel="1" x14ac:dyDescent="0.25">
      <c r="A212" s="7"/>
      <c r="B212" s="8"/>
      <c r="C212" s="18"/>
      <c r="D212" s="18"/>
      <c r="E212" s="18"/>
      <c r="F212" s="24"/>
      <c r="G212" s="25"/>
      <c r="H212" s="25" t="s">
        <v>3098</v>
      </c>
      <c r="I212" s="489"/>
      <c r="J212" s="548" t="b">
        <v>1</v>
      </c>
      <c r="K212" s="548" t="b">
        <v>1</v>
      </c>
      <c r="L212" s="548" t="b">
        <v>1</v>
      </c>
      <c r="M212" s="548" t="b">
        <v>1</v>
      </c>
      <c r="N212" s="548" t="b">
        <v>1</v>
      </c>
      <c r="O212" s="548" t="b">
        <v>1</v>
      </c>
      <c r="P212" s="548" t="b">
        <v>1</v>
      </c>
      <c r="Q212" s="548" t="b">
        <v>1</v>
      </c>
      <c r="R212" s="548" t="b">
        <v>0</v>
      </c>
      <c r="S212" s="548" t="b">
        <v>1</v>
      </c>
      <c r="T212" s="548" t="b">
        <v>0</v>
      </c>
      <c r="U212" s="548" t="b">
        <v>1</v>
      </c>
      <c r="V212" s="548" t="b">
        <v>0</v>
      </c>
      <c r="W212" s="548" t="b">
        <v>1</v>
      </c>
      <c r="X212" s="548" t="b">
        <v>0</v>
      </c>
      <c r="Y212" s="548" t="b">
        <v>1</v>
      </c>
      <c r="Z212" s="548" t="b">
        <v>0</v>
      </c>
      <c r="AA212" s="548" t="b">
        <v>1</v>
      </c>
      <c r="AB212" s="548" t="b">
        <v>0</v>
      </c>
      <c r="AC212" s="548" t="b">
        <v>1</v>
      </c>
      <c r="AD212" s="548" t="b">
        <v>1</v>
      </c>
      <c r="AE212" s="548" t="b">
        <v>1</v>
      </c>
      <c r="AF212" s="548" t="b">
        <v>1</v>
      </c>
      <c r="AG212" s="548" t="b">
        <v>0</v>
      </c>
      <c r="AH212" s="548" t="b">
        <v>0</v>
      </c>
      <c r="AI212" s="548" t="b">
        <v>1</v>
      </c>
      <c r="AJ212" s="548" t="b">
        <v>1</v>
      </c>
      <c r="AK212" s="548" t="b">
        <v>1</v>
      </c>
      <c r="AL212" s="548" t="b">
        <v>1</v>
      </c>
      <c r="AM212" s="548" t="b">
        <v>1</v>
      </c>
      <c r="AN212" s="490"/>
      <c r="AO212" s="490"/>
      <c r="AP212" s="27"/>
      <c r="AQ212" s="17"/>
      <c r="AR212" s="9"/>
      <c r="AS212" s="9"/>
      <c r="AT212" s="9"/>
    </row>
    <row r="213" spans="1:46" customFormat="1" outlineLevel="1" x14ac:dyDescent="0.25">
      <c r="A213" s="7"/>
      <c r="B213" s="8"/>
      <c r="C213" s="18"/>
      <c r="D213" s="18"/>
      <c r="E213" s="18"/>
      <c r="F213" s="24"/>
      <c r="G213" s="25"/>
      <c r="H213" s="25"/>
      <c r="I213" s="489"/>
      <c r="J213" s="489"/>
      <c r="K213" s="489"/>
      <c r="L213" s="489"/>
      <c r="M213" s="489"/>
      <c r="N213" s="489"/>
      <c r="O213" s="489"/>
      <c r="P213" s="489"/>
      <c r="Q213" s="489"/>
      <c r="R213" s="489"/>
      <c r="S213" s="489"/>
      <c r="T213" s="489"/>
      <c r="U213" s="489"/>
      <c r="V213" s="489"/>
      <c r="W213" s="489"/>
      <c r="X213" s="489"/>
      <c r="Y213" s="489"/>
      <c r="Z213" s="489"/>
      <c r="AA213" s="489"/>
      <c r="AB213" s="489"/>
      <c r="AC213" s="489"/>
      <c r="AD213" s="489"/>
      <c r="AE213" s="489"/>
      <c r="AF213" s="489"/>
      <c r="AG213" s="489"/>
      <c r="AH213" s="489"/>
      <c r="AI213" s="489"/>
      <c r="AJ213" s="489"/>
      <c r="AK213" s="489"/>
      <c r="AL213" s="489"/>
      <c r="AM213" s="489"/>
      <c r="AN213" s="490"/>
      <c r="AO213" s="490"/>
      <c r="AP213" s="27"/>
      <c r="AQ213" s="17"/>
      <c r="AR213" s="9"/>
      <c r="AS213" s="9"/>
      <c r="AT213" s="9"/>
    </row>
    <row r="214" spans="1:46" customFormat="1" outlineLevel="1" x14ac:dyDescent="0.25">
      <c r="A214" s="7"/>
      <c r="B214" s="8"/>
      <c r="C214" s="18"/>
      <c r="D214" s="18"/>
      <c r="E214" s="18"/>
      <c r="F214" s="24"/>
      <c r="G214" s="25"/>
      <c r="H214" s="25" t="s">
        <v>3099</v>
      </c>
      <c r="I214" s="489"/>
      <c r="J214" s="549">
        <v>42402</v>
      </c>
      <c r="K214" s="549">
        <v>42374</v>
      </c>
      <c r="L214" s="549">
        <v>39476</v>
      </c>
      <c r="M214" s="549">
        <v>39476</v>
      </c>
      <c r="N214" s="549">
        <v>41687</v>
      </c>
      <c r="O214" s="549">
        <v>42045</v>
      </c>
      <c r="P214" s="549">
        <v>42045</v>
      </c>
      <c r="Q214" s="549">
        <v>42346</v>
      </c>
      <c r="R214" s="549">
        <v>42347</v>
      </c>
      <c r="S214" s="549">
        <v>42347</v>
      </c>
      <c r="T214" s="549">
        <v>42332</v>
      </c>
      <c r="U214" s="549">
        <v>42332</v>
      </c>
      <c r="V214" s="549">
        <v>42430</v>
      </c>
      <c r="W214" s="549">
        <v>42430</v>
      </c>
      <c r="X214" s="549">
        <v>43080</v>
      </c>
      <c r="Y214" s="549">
        <v>43080</v>
      </c>
      <c r="Z214" s="549">
        <v>43089</v>
      </c>
      <c r="AA214" s="549">
        <v>43089</v>
      </c>
      <c r="AB214" s="549">
        <v>43082</v>
      </c>
      <c r="AC214" s="549">
        <v>43082</v>
      </c>
      <c r="AD214" s="549">
        <v>45258</v>
      </c>
      <c r="AE214" s="549">
        <v>45230</v>
      </c>
      <c r="AF214" s="549">
        <v>45246</v>
      </c>
      <c r="AG214" s="549">
        <v>45233</v>
      </c>
      <c r="AH214" s="549">
        <v>45233</v>
      </c>
      <c r="AI214" s="549">
        <v>45250</v>
      </c>
      <c r="AJ214" s="549">
        <v>43820</v>
      </c>
      <c r="AK214" s="549">
        <f>AVERAGE(AD214:AE214)</f>
        <v>45244</v>
      </c>
      <c r="AL214" s="549">
        <v>46375</v>
      </c>
      <c r="AM214" s="549">
        <v>46030</v>
      </c>
      <c r="AN214" s="490"/>
      <c r="AO214" s="490"/>
      <c r="AP214" s="27"/>
      <c r="AQ214" s="17"/>
      <c r="AR214" s="9"/>
      <c r="AS214" s="9"/>
      <c r="AT214" s="9"/>
    </row>
    <row r="215" spans="1:46" customFormat="1" outlineLevel="1" x14ac:dyDescent="0.25">
      <c r="A215" s="7"/>
      <c r="B215" s="8"/>
      <c r="C215" s="18"/>
      <c r="D215" s="18"/>
      <c r="E215" s="18"/>
      <c r="F215" s="24"/>
      <c r="G215" s="25"/>
      <c r="H215" s="25" t="s">
        <v>3099</v>
      </c>
      <c r="I215" s="489"/>
      <c r="J215" s="381">
        <f>MIN(364,INT((J214 - DATE(YEAR(J214),1,1))))</f>
        <v>32</v>
      </c>
      <c r="K215" s="381">
        <f t="shared" ref="K215:AI215" si="7">MIN(364,INT((K214 - DATE(YEAR(K214),1,1))))</f>
        <v>4</v>
      </c>
      <c r="L215" s="381">
        <f t="shared" si="7"/>
        <v>28</v>
      </c>
      <c r="M215" s="381">
        <f t="shared" si="7"/>
        <v>28</v>
      </c>
      <c r="N215" s="381">
        <f t="shared" si="7"/>
        <v>47</v>
      </c>
      <c r="O215" s="381">
        <f t="shared" si="7"/>
        <v>40</v>
      </c>
      <c r="P215" s="381">
        <f t="shared" si="7"/>
        <v>40</v>
      </c>
      <c r="Q215" s="381">
        <f t="shared" si="7"/>
        <v>341</v>
      </c>
      <c r="R215" s="381">
        <f t="shared" si="7"/>
        <v>342</v>
      </c>
      <c r="S215" s="381">
        <f t="shared" si="7"/>
        <v>342</v>
      </c>
      <c r="T215" s="381">
        <f t="shared" si="7"/>
        <v>327</v>
      </c>
      <c r="U215" s="381">
        <f t="shared" si="7"/>
        <v>327</v>
      </c>
      <c r="V215" s="381">
        <f t="shared" si="7"/>
        <v>60</v>
      </c>
      <c r="W215" s="381">
        <f t="shared" si="7"/>
        <v>60</v>
      </c>
      <c r="X215" s="381">
        <f t="shared" si="7"/>
        <v>344</v>
      </c>
      <c r="Y215" s="381">
        <f t="shared" si="7"/>
        <v>344</v>
      </c>
      <c r="Z215" s="381">
        <f t="shared" si="7"/>
        <v>353</v>
      </c>
      <c r="AA215" s="381">
        <f t="shared" si="7"/>
        <v>353</v>
      </c>
      <c r="AB215" s="381">
        <f t="shared" si="7"/>
        <v>346</v>
      </c>
      <c r="AC215" s="381">
        <f t="shared" si="7"/>
        <v>346</v>
      </c>
      <c r="AD215" s="381">
        <f t="shared" si="7"/>
        <v>331</v>
      </c>
      <c r="AE215" s="381">
        <f t="shared" si="7"/>
        <v>303</v>
      </c>
      <c r="AF215" s="381">
        <f t="shared" si="7"/>
        <v>319</v>
      </c>
      <c r="AG215" s="381">
        <f t="shared" si="7"/>
        <v>306</v>
      </c>
      <c r="AH215" s="381">
        <f t="shared" si="7"/>
        <v>306</v>
      </c>
      <c r="AI215" s="381">
        <f t="shared" si="7"/>
        <v>323</v>
      </c>
      <c r="AJ215" s="381">
        <f>MIN(364,INT((AJ214 - DATE(YEAR(AJ214),1,1))))</f>
        <v>354</v>
      </c>
      <c r="AK215" s="381">
        <f t="shared" ref="AK215:AM215" si="8">MIN(364,INT((AK214 - DATE(YEAR(AK214),1,1))))</f>
        <v>317</v>
      </c>
      <c r="AL215" s="381">
        <f t="shared" ref="AL215" si="9">MIN(364,INT((AL214 - DATE(YEAR(AL214),1,1))))</f>
        <v>352</v>
      </c>
      <c r="AM215" s="381">
        <f t="shared" si="8"/>
        <v>7</v>
      </c>
      <c r="AN215" s="490"/>
      <c r="AO215" s="490"/>
      <c r="AP215" s="27"/>
      <c r="AQ215" s="17"/>
      <c r="AR215" s="9"/>
      <c r="AS215" s="9"/>
      <c r="AT215" s="9"/>
    </row>
    <row r="216" spans="1:46" customFormat="1" ht="12" customHeight="1" outlineLevel="1" x14ac:dyDescent="0.25">
      <c r="A216" s="7"/>
      <c r="B216" s="8"/>
      <c r="C216" s="18"/>
      <c r="D216" s="18"/>
      <c r="E216" s="18"/>
      <c r="F216" s="24"/>
      <c r="G216" s="28"/>
      <c r="H216" s="25" t="s">
        <v>3100</v>
      </c>
      <c r="I216" s="489"/>
      <c r="J216" s="550">
        <f>J214-DATE(YEAR(J214)-1,12,1)</f>
        <v>63</v>
      </c>
      <c r="K216" s="550">
        <f t="shared" ref="K216:P216" si="10">K214-DATE(YEAR(K214)-1,12,1)</f>
        <v>35</v>
      </c>
      <c r="L216" s="550">
        <f t="shared" si="10"/>
        <v>59</v>
      </c>
      <c r="M216" s="550">
        <f t="shared" si="10"/>
        <v>59</v>
      </c>
      <c r="N216" s="550">
        <f t="shared" si="10"/>
        <v>78</v>
      </c>
      <c r="O216" s="550">
        <f t="shared" si="10"/>
        <v>71</v>
      </c>
      <c r="P216" s="550">
        <f t="shared" si="10"/>
        <v>71</v>
      </c>
      <c r="Q216" s="550">
        <f>Q214-DATE(YEAR(Q214),12,1)</f>
        <v>7</v>
      </c>
      <c r="R216" s="550">
        <v>8</v>
      </c>
      <c r="S216" s="550">
        <v>8</v>
      </c>
      <c r="T216" s="550">
        <v>0</v>
      </c>
      <c r="U216" s="550">
        <v>0</v>
      </c>
      <c r="V216" s="550">
        <f t="shared" ref="V216:W216" si="11">V214-DATE(2015,12,1)</f>
        <v>91</v>
      </c>
      <c r="W216" s="550">
        <f t="shared" si="11"/>
        <v>91</v>
      </c>
      <c r="X216" s="550">
        <v>11</v>
      </c>
      <c r="Y216" s="550">
        <v>11</v>
      </c>
      <c r="Z216" s="550">
        <v>20</v>
      </c>
      <c r="AA216" s="550">
        <v>20</v>
      </c>
      <c r="AB216" s="550">
        <v>13</v>
      </c>
      <c r="AC216" s="550">
        <v>13</v>
      </c>
      <c r="AD216" s="550">
        <v>0</v>
      </c>
      <c r="AE216" s="550">
        <v>0</v>
      </c>
      <c r="AF216" s="550">
        <v>0</v>
      </c>
      <c r="AG216" s="550">
        <v>0</v>
      </c>
      <c r="AH216" s="550">
        <v>0</v>
      </c>
      <c r="AI216" s="550">
        <v>20</v>
      </c>
      <c r="AJ216" s="550">
        <v>20</v>
      </c>
      <c r="AK216" s="551">
        <f>AVERAGE(AC216:AD216)</f>
        <v>6.5</v>
      </c>
      <c r="AL216" s="550">
        <v>7</v>
      </c>
      <c r="AM216" s="550">
        <v>7</v>
      </c>
      <c r="AN216" s="492"/>
      <c r="AO216" s="492"/>
      <c r="AP216" s="27"/>
      <c r="AQ216" s="17"/>
      <c r="AR216" s="9"/>
      <c r="AS216" s="9"/>
      <c r="AT216" s="9"/>
    </row>
    <row r="217" spans="1:46" customFormat="1" outlineLevel="1" x14ac:dyDescent="0.25">
      <c r="A217" s="7"/>
      <c r="B217" s="8"/>
      <c r="C217" s="18"/>
      <c r="D217" s="18"/>
      <c r="E217" s="18"/>
      <c r="F217" s="24"/>
      <c r="G217" s="25"/>
      <c r="H217" s="25" t="s">
        <v>3101</v>
      </c>
      <c r="I217" s="489"/>
      <c r="J217" s="548">
        <v>9</v>
      </c>
      <c r="K217" s="548">
        <v>9</v>
      </c>
      <c r="L217" s="548">
        <v>9</v>
      </c>
      <c r="M217" s="548">
        <v>9</v>
      </c>
      <c r="N217" s="548">
        <v>9</v>
      </c>
      <c r="O217" s="548">
        <v>9</v>
      </c>
      <c r="P217" s="548">
        <v>9</v>
      </c>
      <c r="Q217" s="548">
        <v>9</v>
      </c>
      <c r="R217" s="548">
        <v>9</v>
      </c>
      <c r="S217" s="548">
        <v>9</v>
      </c>
      <c r="T217" s="548">
        <v>9</v>
      </c>
      <c r="U217" s="548">
        <v>9</v>
      </c>
      <c r="V217" s="548">
        <v>9</v>
      </c>
      <c r="W217" s="548">
        <v>9</v>
      </c>
      <c r="X217" s="548">
        <v>9</v>
      </c>
      <c r="Y217" s="548">
        <v>9</v>
      </c>
      <c r="Z217" s="548">
        <v>9</v>
      </c>
      <c r="AA217" s="548">
        <v>9</v>
      </c>
      <c r="AB217" s="548">
        <v>9</v>
      </c>
      <c r="AC217" s="548">
        <v>9</v>
      </c>
      <c r="AD217" s="548">
        <v>20</v>
      </c>
      <c r="AE217" s="548">
        <v>20</v>
      </c>
      <c r="AF217" s="548">
        <v>20</v>
      </c>
      <c r="AG217" s="548">
        <v>20</v>
      </c>
      <c r="AH217" s="548">
        <v>20</v>
      </c>
      <c r="AI217" s="548">
        <v>20</v>
      </c>
      <c r="AJ217" s="548">
        <v>9</v>
      </c>
      <c r="AK217" s="552">
        <f>INT(AVERAGE(AC217:AD217))</f>
        <v>14</v>
      </c>
      <c r="AL217" s="548">
        <v>9</v>
      </c>
      <c r="AM217" s="548">
        <v>9</v>
      </c>
      <c r="AN217" s="490"/>
      <c r="AO217" s="490"/>
      <c r="AP217" s="27"/>
      <c r="AQ217" s="17"/>
      <c r="AR217" s="9"/>
      <c r="AS217" s="9"/>
      <c r="AT217" s="9"/>
    </row>
    <row r="218" spans="1:46" customFormat="1" outlineLevel="1" x14ac:dyDescent="0.25">
      <c r="A218" s="7"/>
      <c r="B218" s="8"/>
      <c r="C218" s="18"/>
      <c r="D218" s="18"/>
      <c r="E218" s="18"/>
      <c r="F218" s="24"/>
      <c r="G218" s="25"/>
      <c r="H218" s="25" t="s">
        <v>3792</v>
      </c>
      <c r="I218" s="489"/>
      <c r="J218" s="554">
        <v>3</v>
      </c>
      <c r="K218" s="554">
        <v>3</v>
      </c>
      <c r="L218" s="554">
        <v>3</v>
      </c>
      <c r="M218" s="554">
        <v>3</v>
      </c>
      <c r="N218" s="554">
        <v>3</v>
      </c>
      <c r="O218" s="554">
        <v>3</v>
      </c>
      <c r="P218" s="554">
        <v>3</v>
      </c>
      <c r="Q218" s="554">
        <v>3</v>
      </c>
      <c r="R218" s="554">
        <v>3</v>
      </c>
      <c r="S218" s="554">
        <v>3</v>
      </c>
      <c r="T218" s="554">
        <v>3</v>
      </c>
      <c r="U218" s="554">
        <v>3</v>
      </c>
      <c r="V218" s="554">
        <v>3</v>
      </c>
      <c r="W218" s="554">
        <v>3</v>
      </c>
      <c r="X218" s="554">
        <v>3</v>
      </c>
      <c r="Y218" s="554">
        <v>3</v>
      </c>
      <c r="Z218" s="554">
        <v>3</v>
      </c>
      <c r="AA218" s="554">
        <v>3</v>
      </c>
      <c r="AB218" s="554">
        <v>3</v>
      </c>
      <c r="AC218" s="554">
        <v>3</v>
      </c>
      <c r="AD218" s="554">
        <v>0</v>
      </c>
      <c r="AE218" s="554">
        <v>0</v>
      </c>
      <c r="AF218" s="554">
        <v>0</v>
      </c>
      <c r="AG218" s="554">
        <v>0</v>
      </c>
      <c r="AH218" s="554">
        <v>0</v>
      </c>
      <c r="AI218" s="554">
        <v>0</v>
      </c>
      <c r="AJ218" s="554">
        <v>3</v>
      </c>
      <c r="AK218" s="555">
        <f>AVERAGE(AC218:AD218)</f>
        <v>1.5</v>
      </c>
      <c r="AL218" s="554">
        <v>6</v>
      </c>
      <c r="AM218" s="554">
        <v>3</v>
      </c>
      <c r="AN218" s="490"/>
      <c r="AO218" s="490"/>
      <c r="AP218" s="27"/>
      <c r="AQ218" s="17"/>
      <c r="AR218" s="9"/>
      <c r="AS218" s="9"/>
      <c r="AT218" s="9"/>
    </row>
    <row r="219" spans="1:46" customFormat="1" outlineLevel="1" x14ac:dyDescent="0.25">
      <c r="A219" s="7"/>
      <c r="B219" s="8"/>
      <c r="C219" s="18"/>
      <c r="D219" s="18"/>
      <c r="E219" s="18"/>
      <c r="F219" s="24"/>
      <c r="G219" s="25"/>
      <c r="H219" s="25"/>
      <c r="I219" s="489"/>
      <c r="J219" s="490"/>
      <c r="K219" s="490"/>
      <c r="L219" s="490"/>
      <c r="M219" s="490"/>
      <c r="N219" s="490"/>
      <c r="O219" s="490"/>
      <c r="P219" s="490"/>
      <c r="Q219" s="490"/>
      <c r="R219" s="490"/>
      <c r="S219" s="490"/>
      <c r="T219" s="490"/>
      <c r="U219" s="490"/>
      <c r="V219" s="490"/>
      <c r="W219" s="490"/>
      <c r="X219" s="490"/>
      <c r="Y219" s="490"/>
      <c r="Z219" s="490"/>
      <c r="AA219" s="490"/>
      <c r="AB219" s="490"/>
      <c r="AC219" s="490"/>
      <c r="AD219" s="490"/>
      <c r="AE219" s="490"/>
      <c r="AF219" s="490"/>
      <c r="AG219" s="490"/>
      <c r="AH219" s="490"/>
      <c r="AI219" s="490"/>
      <c r="AJ219" s="490"/>
      <c r="AK219" s="490"/>
      <c r="AL219" s="490"/>
      <c r="AM219" s="490"/>
      <c r="AN219" s="490"/>
      <c r="AO219" s="490"/>
      <c r="AP219" s="27"/>
      <c r="AQ219" s="17"/>
      <c r="AR219" s="9"/>
      <c r="AS219" s="9"/>
      <c r="AT219" s="9"/>
    </row>
    <row r="220" spans="1:46" customFormat="1" outlineLevel="1" x14ac:dyDescent="0.25">
      <c r="A220" s="7"/>
      <c r="B220" s="8"/>
      <c r="C220" s="18"/>
      <c r="D220" s="18"/>
      <c r="E220" s="18"/>
      <c r="F220" s="24"/>
      <c r="G220" s="25"/>
      <c r="H220" s="25" t="s">
        <v>3102</v>
      </c>
      <c r="J220" s="553">
        <v>2.16</v>
      </c>
      <c r="K220" s="553">
        <v>3.16</v>
      </c>
      <c r="L220" s="553">
        <v>1.9799999999999989</v>
      </c>
      <c r="M220" s="553">
        <v>3.96</v>
      </c>
      <c r="N220" s="553">
        <v>2.36</v>
      </c>
      <c r="O220" s="553">
        <v>2.4300000000000002</v>
      </c>
      <c r="P220" s="553">
        <v>2.4699999999999998</v>
      </c>
      <c r="Q220" s="553">
        <v>2.2000000000000002</v>
      </c>
      <c r="R220" s="554">
        <v>12</v>
      </c>
      <c r="S220" s="554">
        <v>12</v>
      </c>
      <c r="T220" s="554">
        <v>9</v>
      </c>
      <c r="U220" s="554">
        <v>9</v>
      </c>
      <c r="V220" s="554">
        <v>7</v>
      </c>
      <c r="W220" s="554">
        <v>7</v>
      </c>
      <c r="X220" s="554">
        <v>7.8</v>
      </c>
      <c r="Y220" s="554">
        <v>5.6</v>
      </c>
      <c r="Z220" s="554">
        <v>8.9</v>
      </c>
      <c r="AA220" s="554">
        <v>8.9</v>
      </c>
      <c r="AB220" s="554">
        <v>4.8</v>
      </c>
      <c r="AC220" s="554">
        <v>4.8</v>
      </c>
      <c r="AD220" s="554">
        <v>36</v>
      </c>
      <c r="AE220" s="554">
        <v>41</v>
      </c>
      <c r="AF220" s="554">
        <v>32</v>
      </c>
      <c r="AG220" s="554">
        <v>23</v>
      </c>
      <c r="AH220" s="554">
        <v>23</v>
      </c>
      <c r="AI220" s="554">
        <v>25</v>
      </c>
      <c r="AJ220" s="554">
        <v>7.88</v>
      </c>
      <c r="AK220" s="555">
        <f>AVERAGE(AC220:AD220)</f>
        <v>20.399999999999999</v>
      </c>
      <c r="AL220" s="554">
        <v>11.35</v>
      </c>
      <c r="AM220" s="554">
        <v>10.3</v>
      </c>
      <c r="AN220" s="490"/>
      <c r="AO220" s="490"/>
      <c r="AP220" s="27"/>
      <c r="AQ220" s="17"/>
      <c r="AR220" s="9"/>
      <c r="AS220" s="9"/>
      <c r="AT220" s="9"/>
    </row>
    <row r="221" spans="1:46" customFormat="1" outlineLevel="1" x14ac:dyDescent="0.25">
      <c r="A221" s="7"/>
      <c r="B221" s="8"/>
      <c r="C221" s="18"/>
      <c r="D221" s="18"/>
      <c r="E221" s="18"/>
      <c r="F221" s="24"/>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490"/>
      <c r="AO221" s="490"/>
      <c r="AP221" s="27"/>
      <c r="AQ221" s="17"/>
      <c r="AR221" s="9"/>
      <c r="AS221" s="9"/>
      <c r="AT221" s="9"/>
    </row>
    <row r="222" spans="1:46" customFormat="1" outlineLevel="1" x14ac:dyDescent="0.25">
      <c r="A222" s="7"/>
      <c r="B222" s="8"/>
      <c r="C222" s="18"/>
      <c r="D222" s="18"/>
      <c r="E222" s="18"/>
      <c r="F222" s="24"/>
      <c r="G222" s="25"/>
      <c r="H222" s="25" t="s">
        <v>3103</v>
      </c>
      <c r="I222" s="25"/>
      <c r="J222" s="554" t="s">
        <v>2296</v>
      </c>
      <c r="K222" s="554" t="s">
        <v>2296</v>
      </c>
      <c r="L222" s="554" t="s">
        <v>2296</v>
      </c>
      <c r="M222" s="554" t="s">
        <v>2296</v>
      </c>
      <c r="N222" s="554" t="s">
        <v>2296</v>
      </c>
      <c r="O222" s="554" t="s">
        <v>2296</v>
      </c>
      <c r="P222" s="554" t="s">
        <v>2296</v>
      </c>
      <c r="Q222" s="554" t="s">
        <v>2296</v>
      </c>
      <c r="R222" s="554" t="s">
        <v>3104</v>
      </c>
      <c r="S222" s="554" t="s">
        <v>2296</v>
      </c>
      <c r="T222" s="554" t="s">
        <v>3104</v>
      </c>
      <c r="U222" s="554" t="s">
        <v>2296</v>
      </c>
      <c r="V222" s="554" t="s">
        <v>3104</v>
      </c>
      <c r="W222" s="554" t="s">
        <v>2296</v>
      </c>
      <c r="X222" s="554" t="s">
        <v>3104</v>
      </c>
      <c r="Y222" s="554" t="s">
        <v>2296</v>
      </c>
      <c r="Z222" s="554" t="s">
        <v>3104</v>
      </c>
      <c r="AA222" s="554" t="s">
        <v>2296</v>
      </c>
      <c r="AB222" s="554" t="s">
        <v>3104</v>
      </c>
      <c r="AC222" s="554" t="s">
        <v>2296</v>
      </c>
      <c r="AD222" s="554" t="s">
        <v>2298</v>
      </c>
      <c r="AE222" s="554" t="s">
        <v>2298</v>
      </c>
      <c r="AF222" s="554" t="s">
        <v>2298</v>
      </c>
      <c r="AG222" s="554" t="s">
        <v>2298</v>
      </c>
      <c r="AH222" s="554" t="s">
        <v>2298</v>
      </c>
      <c r="AI222" s="554" t="s">
        <v>2298</v>
      </c>
      <c r="AJ222" s="554" t="s">
        <v>2296</v>
      </c>
      <c r="AK222" s="554" t="s">
        <v>2298</v>
      </c>
      <c r="AL222" s="554" t="s">
        <v>2296</v>
      </c>
      <c r="AM222" s="554" t="s">
        <v>2296</v>
      </c>
      <c r="AN222" s="490"/>
      <c r="AO222" s="490"/>
      <c r="AP222" s="27"/>
      <c r="AQ222" s="17"/>
      <c r="AR222" s="9"/>
      <c r="AS222" s="9"/>
      <c r="AT222" s="9"/>
    </row>
    <row r="223" spans="1:46" customFormat="1" outlineLevel="1" x14ac:dyDescent="0.25">
      <c r="A223" s="7"/>
      <c r="B223" s="8"/>
      <c r="C223" s="18"/>
      <c r="D223" s="18"/>
      <c r="E223" s="18"/>
      <c r="F223" s="24"/>
      <c r="G223" s="25"/>
      <c r="H223" s="25" t="s">
        <v>3105</v>
      </c>
      <c r="I223" s="25"/>
      <c r="J223" s="554" t="s">
        <v>5</v>
      </c>
      <c r="K223" s="554" t="s">
        <v>5</v>
      </c>
      <c r="L223" s="554" t="s">
        <v>5</v>
      </c>
      <c r="M223" s="554" t="s">
        <v>5</v>
      </c>
      <c r="N223" s="554" t="s">
        <v>5</v>
      </c>
      <c r="O223" s="554" t="s">
        <v>5</v>
      </c>
      <c r="P223" s="554" t="s">
        <v>5</v>
      </c>
      <c r="Q223" s="554" t="s">
        <v>5</v>
      </c>
      <c r="R223" s="556" t="s">
        <v>4</v>
      </c>
      <c r="S223" s="556" t="s">
        <v>4</v>
      </c>
      <c r="T223" s="556" t="s">
        <v>8</v>
      </c>
      <c r="U223" s="556" t="s">
        <v>8</v>
      </c>
      <c r="V223" s="556" t="s">
        <v>5</v>
      </c>
      <c r="W223" s="556" t="s">
        <v>5</v>
      </c>
      <c r="X223" s="556" t="s">
        <v>8</v>
      </c>
      <c r="Y223" s="556" t="s">
        <v>8</v>
      </c>
      <c r="Z223" s="556" t="s">
        <v>5</v>
      </c>
      <c r="AA223" s="556" t="s">
        <v>5</v>
      </c>
      <c r="AB223" s="556" t="s">
        <v>5</v>
      </c>
      <c r="AC223" s="556" t="s">
        <v>5</v>
      </c>
      <c r="AD223" s="554" t="s">
        <v>7</v>
      </c>
      <c r="AE223" s="554" t="s">
        <v>7</v>
      </c>
      <c r="AF223" s="554" t="s">
        <v>7</v>
      </c>
      <c r="AG223" s="554" t="s">
        <v>7</v>
      </c>
      <c r="AH223" s="554" t="s">
        <v>72</v>
      </c>
      <c r="AI223" s="554" t="s">
        <v>7</v>
      </c>
      <c r="AJ223" s="554" t="s">
        <v>7</v>
      </c>
      <c r="AK223" s="554" t="s">
        <v>72</v>
      </c>
      <c r="AL223" s="554" t="s">
        <v>4</v>
      </c>
      <c r="AM223" s="554" t="s">
        <v>4</v>
      </c>
      <c r="AN223" s="490"/>
      <c r="AO223" s="490"/>
      <c r="AP223" s="27"/>
      <c r="AQ223" s="17"/>
      <c r="AR223" s="9"/>
      <c r="AS223" s="9"/>
      <c r="AT223" s="9"/>
    </row>
    <row r="224" spans="1:46" customFormat="1" ht="14.45" customHeight="1" outlineLevel="1" x14ac:dyDescent="0.25">
      <c r="A224" s="7"/>
      <c r="B224" s="8"/>
      <c r="C224" s="18"/>
      <c r="D224" s="18"/>
      <c r="E224" s="18"/>
      <c r="F224" s="24"/>
      <c r="G224" s="25"/>
      <c r="H224" s="557" t="s">
        <v>3106</v>
      </c>
      <c r="I224" s="25"/>
      <c r="J224" s="558">
        <v>2520</v>
      </c>
      <c r="K224" s="558">
        <v>1470</v>
      </c>
      <c r="L224" s="558">
        <v>1660</v>
      </c>
      <c r="M224" s="558">
        <v>1660</v>
      </c>
      <c r="N224" s="558">
        <v>2690</v>
      </c>
      <c r="O224" s="558">
        <v>2110</v>
      </c>
      <c r="P224" s="558">
        <v>2110</v>
      </c>
      <c r="Q224" s="558">
        <v>2520</v>
      </c>
      <c r="R224" s="558">
        <v>3000</v>
      </c>
      <c r="S224" s="558">
        <v>3000</v>
      </c>
      <c r="T224" s="558">
        <v>2000</v>
      </c>
      <c r="U224" s="558">
        <v>2000</v>
      </c>
      <c r="V224" s="558">
        <v>2100</v>
      </c>
      <c r="W224" s="558">
        <v>2100</v>
      </c>
      <c r="X224" s="558">
        <v>1600</v>
      </c>
      <c r="Y224" s="558">
        <v>1150</v>
      </c>
      <c r="Z224" s="558">
        <v>3000</v>
      </c>
      <c r="AA224" s="558">
        <v>3000</v>
      </c>
      <c r="AB224" s="558">
        <v>3000</v>
      </c>
      <c r="AC224" s="558">
        <v>3000</v>
      </c>
      <c r="AD224" s="558"/>
      <c r="AE224" s="558"/>
      <c r="AF224" s="558"/>
      <c r="AG224" s="558"/>
      <c r="AH224" s="558"/>
      <c r="AI224" s="558"/>
      <c r="AJ224" s="558">
        <v>2000</v>
      </c>
      <c r="AK224" s="558"/>
      <c r="AL224" s="558">
        <v>5120</v>
      </c>
      <c r="AM224" s="558">
        <v>5600</v>
      </c>
      <c r="AN224" s="490"/>
      <c r="AO224" s="490"/>
      <c r="AP224" s="27"/>
      <c r="AQ224" s="17"/>
      <c r="AR224" s="9"/>
      <c r="AS224" s="9"/>
      <c r="AT224" s="9"/>
    </row>
    <row r="225" spans="1:46" customFormat="1" outlineLevel="1" x14ac:dyDescent="0.25">
      <c r="A225" s="7"/>
      <c r="B225" s="8"/>
      <c r="C225" s="18"/>
      <c r="D225" s="18"/>
      <c r="E225" s="18"/>
      <c r="F225" s="24"/>
      <c r="G225" s="25"/>
      <c r="H225" s="559" t="s">
        <v>3107</v>
      </c>
      <c r="I225" s="560"/>
      <c r="J225" s="561">
        <f>J224/VLOOKUP(J$223,$G$140:$H$158,2)</f>
        <v>2680.8510638297876</v>
      </c>
      <c r="K225" s="561">
        <f t="shared" ref="K225:S225" si="12">K224/VLOOKUP(K$223,$G$140:$H$158,2)</f>
        <v>1563.8297872340427</v>
      </c>
      <c r="L225" s="561">
        <f t="shared" si="12"/>
        <v>1765.9574468085107</v>
      </c>
      <c r="M225" s="561">
        <f t="shared" si="12"/>
        <v>1765.9574468085107</v>
      </c>
      <c r="N225" s="561">
        <f t="shared" si="12"/>
        <v>2861.7021276595747</v>
      </c>
      <c r="O225" s="561">
        <f t="shared" si="12"/>
        <v>2244.6808510638298</v>
      </c>
      <c r="P225" s="561">
        <f t="shared" si="12"/>
        <v>2244.6808510638298</v>
      </c>
      <c r="Q225" s="561">
        <f t="shared" si="12"/>
        <v>2680.8510638297876</v>
      </c>
      <c r="R225" s="561">
        <f t="shared" si="12"/>
        <v>3191.489361702128</v>
      </c>
      <c r="S225" s="561">
        <f t="shared" si="12"/>
        <v>3191.489361702128</v>
      </c>
      <c r="T225" s="561">
        <f>T224/VLOOKUP(T$223,$G$140:$H$158,2)</f>
        <v>2061.855670103093</v>
      </c>
      <c r="U225" s="561">
        <f t="shared" ref="U225:AC225" si="13">U224/VLOOKUP(U$223,$G$140:$H$158,2)</f>
        <v>2061.855670103093</v>
      </c>
      <c r="V225" s="561">
        <f t="shared" si="13"/>
        <v>2234.0425531914893</v>
      </c>
      <c r="W225" s="561">
        <f t="shared" si="13"/>
        <v>2234.0425531914893</v>
      </c>
      <c r="X225" s="561">
        <f t="shared" si="13"/>
        <v>1649.4845360824743</v>
      </c>
      <c r="Y225" s="561">
        <f t="shared" si="13"/>
        <v>1185.5670103092784</v>
      </c>
      <c r="Z225" s="561">
        <f t="shared" si="13"/>
        <v>3191.489361702128</v>
      </c>
      <c r="AA225" s="561">
        <f t="shared" si="13"/>
        <v>3191.489361702128</v>
      </c>
      <c r="AB225" s="561">
        <f t="shared" si="13"/>
        <v>3191.489361702128</v>
      </c>
      <c r="AC225" s="561">
        <f t="shared" si="13"/>
        <v>3191.489361702128</v>
      </c>
      <c r="AD225" s="556">
        <f>AVERAGE(1700/0.95,3460)</f>
        <v>2624.7368421052633</v>
      </c>
      <c r="AE225" s="556">
        <f>AVERAGE(1750/0.95,2288)</f>
        <v>2065.0526315789475</v>
      </c>
      <c r="AF225" s="556">
        <f>AVERAGE(1700/0.95,1373)</f>
        <v>1581.2368421052633</v>
      </c>
      <c r="AG225" s="556">
        <f>AVERAGE(1800/0.95,4500)</f>
        <v>3197.3684210526317</v>
      </c>
      <c r="AH225" s="556">
        <f>AVERAGE(2800/0.95,4032)</f>
        <v>3489.6842105263158</v>
      </c>
      <c r="AI225" s="556">
        <f>AVERAGE(1800/0.95,2280)</f>
        <v>2087.3684210526317</v>
      </c>
      <c r="AJ225" s="561">
        <f>AJ224/VLOOKUP(AJ$223,$G$140:$H$158,2)</f>
        <v>2222.2222222222222</v>
      </c>
      <c r="AK225" s="556">
        <f t="shared" ref="AK225" si="14">AVERAGE(2800/0.95,4032)</f>
        <v>3489.6842105263158</v>
      </c>
      <c r="AL225" s="561">
        <f t="shared" ref="AL225:AM225" si="15">AL224/VLOOKUP(AL$223,$G$140:$H$158,2)</f>
        <v>5446.8085106382978</v>
      </c>
      <c r="AM225" s="561">
        <f t="shared" si="15"/>
        <v>5957.4468085106382</v>
      </c>
      <c r="AN225" s="490"/>
      <c r="AO225" s="490"/>
      <c r="AP225" s="27"/>
      <c r="AQ225" s="17"/>
      <c r="AR225" s="9"/>
      <c r="AS225" s="9"/>
      <c r="AT225" s="9"/>
    </row>
    <row r="226" spans="1:46" customFormat="1" x14ac:dyDescent="0.25">
      <c r="A226" s="7"/>
      <c r="B226" s="8"/>
      <c r="C226" s="18"/>
      <c r="D226" s="18"/>
      <c r="E226" s="18"/>
      <c r="F226" s="24"/>
      <c r="G226" s="547" t="s">
        <v>3108</v>
      </c>
      <c r="H226" s="25"/>
      <c r="I226" s="489"/>
      <c r="J226" s="489"/>
      <c r="K226" s="489"/>
      <c r="L226" s="489"/>
      <c r="M226" s="489"/>
      <c r="N226" s="489"/>
      <c r="O226" s="489"/>
      <c r="P226" s="489"/>
      <c r="Q226" s="489"/>
      <c r="R226" s="489"/>
      <c r="S226" s="489"/>
      <c r="T226" s="489"/>
      <c r="U226" s="489"/>
      <c r="V226" s="489"/>
      <c r="W226" s="489"/>
      <c r="X226" s="489"/>
      <c r="Y226" s="489"/>
      <c r="Z226" s="489"/>
      <c r="AA226" s="489"/>
      <c r="AB226" s="489"/>
      <c r="AC226" s="489"/>
      <c r="AD226" s="489"/>
      <c r="AE226" s="489"/>
      <c r="AF226" s="489"/>
      <c r="AG226" s="489"/>
      <c r="AH226" s="489"/>
      <c r="AI226" s="489"/>
      <c r="AJ226" s="489"/>
      <c r="AK226" s="489"/>
      <c r="AL226" s="489"/>
      <c r="AM226" s="489"/>
      <c r="AN226" s="490"/>
      <c r="AO226" s="490"/>
      <c r="AP226" s="27"/>
      <c r="AQ226" s="17"/>
      <c r="AR226" s="9"/>
      <c r="AS226" s="9"/>
      <c r="AT226" s="9"/>
    </row>
    <row r="227" spans="1:46" customFormat="1" outlineLevel="1" x14ac:dyDescent="0.25">
      <c r="A227" s="7"/>
      <c r="B227" s="8"/>
      <c r="C227" s="18"/>
      <c r="D227" s="18"/>
      <c r="E227" s="18"/>
      <c r="F227" s="24"/>
      <c r="G227" s="25"/>
      <c r="H227" s="25" t="s">
        <v>3276</v>
      </c>
      <c r="I227" s="489"/>
      <c r="J227" s="554">
        <v>60</v>
      </c>
      <c r="K227" s="554">
        <v>70</v>
      </c>
      <c r="L227" s="554">
        <v>60</v>
      </c>
      <c r="M227" s="554">
        <v>60</v>
      </c>
      <c r="N227" s="554">
        <v>60</v>
      </c>
      <c r="O227" s="554">
        <v>60</v>
      </c>
      <c r="P227" s="554">
        <v>60</v>
      </c>
      <c r="Q227" s="554">
        <v>60</v>
      </c>
      <c r="R227" s="554">
        <v>70</v>
      </c>
      <c r="S227" s="554">
        <v>70</v>
      </c>
      <c r="T227" s="554">
        <v>50</v>
      </c>
      <c r="U227" s="554">
        <v>50</v>
      </c>
      <c r="V227" s="554">
        <v>50</v>
      </c>
      <c r="W227" s="554">
        <v>50</v>
      </c>
      <c r="X227" s="554">
        <v>60</v>
      </c>
      <c r="Y227" s="554">
        <v>65</v>
      </c>
      <c r="Z227" s="554">
        <v>60</v>
      </c>
      <c r="AA227" s="554">
        <v>60</v>
      </c>
      <c r="AB227" s="554">
        <v>60</v>
      </c>
      <c r="AC227" s="554">
        <v>60</v>
      </c>
      <c r="AD227" s="554">
        <v>60</v>
      </c>
      <c r="AE227" s="554">
        <v>60</v>
      </c>
      <c r="AF227" s="554">
        <v>60</v>
      </c>
      <c r="AG227" s="554">
        <v>60</v>
      </c>
      <c r="AH227" s="554">
        <v>60</v>
      </c>
      <c r="AI227" s="554">
        <v>60</v>
      </c>
      <c r="AJ227" s="554">
        <v>60</v>
      </c>
      <c r="AK227" s="555">
        <f t="shared" ref="AK227:AK232" si="16">AVERAGE(AC227:AD227)</f>
        <v>60</v>
      </c>
      <c r="AL227" s="554">
        <v>60</v>
      </c>
      <c r="AM227" s="554">
        <v>60</v>
      </c>
      <c r="AN227" s="490"/>
      <c r="AO227" s="490"/>
      <c r="AP227" s="27"/>
      <c r="AQ227" s="17"/>
      <c r="AR227" s="9"/>
      <c r="AS227" s="9"/>
      <c r="AT227" s="9"/>
    </row>
    <row r="228" spans="1:46" customFormat="1" outlineLevel="1" x14ac:dyDescent="0.25">
      <c r="A228" s="7"/>
      <c r="B228" s="8"/>
      <c r="C228" s="18"/>
      <c r="D228" s="18"/>
      <c r="E228" s="18"/>
      <c r="F228" s="24"/>
      <c r="G228" s="25"/>
      <c r="H228" s="25" t="s">
        <v>3109</v>
      </c>
      <c r="I228" s="489"/>
      <c r="J228" s="554">
        <v>3</v>
      </c>
      <c r="K228" s="554">
        <v>3</v>
      </c>
      <c r="L228" s="554">
        <v>3</v>
      </c>
      <c r="M228" s="554">
        <v>3</v>
      </c>
      <c r="N228" s="554">
        <v>3</v>
      </c>
      <c r="O228" s="554">
        <v>3</v>
      </c>
      <c r="P228" s="554">
        <v>3</v>
      </c>
      <c r="Q228" s="554">
        <v>3</v>
      </c>
      <c r="R228" s="554">
        <v>3</v>
      </c>
      <c r="S228" s="554">
        <v>3</v>
      </c>
      <c r="T228" s="554">
        <v>3</v>
      </c>
      <c r="U228" s="554">
        <v>3</v>
      </c>
      <c r="V228" s="554">
        <v>3</v>
      </c>
      <c r="W228" s="554">
        <v>3</v>
      </c>
      <c r="X228" s="554">
        <v>3</v>
      </c>
      <c r="Y228" s="554">
        <v>3</v>
      </c>
      <c r="Z228" s="554">
        <v>3</v>
      </c>
      <c r="AA228" s="554">
        <v>3</v>
      </c>
      <c r="AB228" s="554">
        <v>3</v>
      </c>
      <c r="AC228" s="554">
        <v>3</v>
      </c>
      <c r="AD228" s="554">
        <v>1.2</v>
      </c>
      <c r="AE228" s="554">
        <v>1.2</v>
      </c>
      <c r="AF228" s="554">
        <v>1.2</v>
      </c>
      <c r="AG228" s="554">
        <v>1.2</v>
      </c>
      <c r="AH228" s="554">
        <v>1.2</v>
      </c>
      <c r="AI228" s="554">
        <v>1.2</v>
      </c>
      <c r="AJ228" s="554">
        <v>3</v>
      </c>
      <c r="AK228" s="555">
        <f>AVERAGE(AC228:AD228)</f>
        <v>2.1</v>
      </c>
      <c r="AL228" s="554">
        <v>1.2</v>
      </c>
      <c r="AM228" s="554">
        <v>1.2</v>
      </c>
      <c r="AN228" s="490"/>
      <c r="AO228" s="490"/>
      <c r="AP228" s="27"/>
      <c r="AQ228" s="17"/>
      <c r="AR228" s="9"/>
      <c r="AS228" s="9"/>
      <c r="AT228" s="9"/>
    </row>
    <row r="229" spans="1:46" customFormat="1" outlineLevel="1" x14ac:dyDescent="0.25">
      <c r="A229" s="7"/>
      <c r="B229" s="8"/>
      <c r="C229" s="18"/>
      <c r="D229" s="18"/>
      <c r="E229" s="18"/>
      <c r="F229" s="24"/>
      <c r="G229" s="25"/>
      <c r="H229" s="25" t="s">
        <v>3110</v>
      </c>
      <c r="I229" s="489"/>
      <c r="J229" s="554">
        <v>21</v>
      </c>
      <c r="K229" s="554">
        <v>21</v>
      </c>
      <c r="L229" s="554">
        <v>21</v>
      </c>
      <c r="M229" s="554">
        <v>21</v>
      </c>
      <c r="N229" s="554">
        <v>21</v>
      </c>
      <c r="O229" s="554">
        <v>21</v>
      </c>
      <c r="P229" s="554">
        <v>21</v>
      </c>
      <c r="Q229" s="554">
        <v>21</v>
      </c>
      <c r="R229" s="554">
        <v>21</v>
      </c>
      <c r="S229" s="554">
        <v>21</v>
      </c>
      <c r="T229" s="554">
        <v>21</v>
      </c>
      <c r="U229" s="554">
        <v>21</v>
      </c>
      <c r="V229" s="554">
        <v>21</v>
      </c>
      <c r="W229" s="554">
        <v>21</v>
      </c>
      <c r="X229" s="554">
        <v>21</v>
      </c>
      <c r="Y229" s="554">
        <v>21</v>
      </c>
      <c r="Z229" s="554">
        <v>21</v>
      </c>
      <c r="AA229" s="554">
        <v>21</v>
      </c>
      <c r="AB229" s="554">
        <v>21</v>
      </c>
      <c r="AC229" s="554">
        <v>21</v>
      </c>
      <c r="AD229" s="554">
        <v>25</v>
      </c>
      <c r="AE229" s="554">
        <v>21</v>
      </c>
      <c r="AF229" s="554">
        <v>21</v>
      </c>
      <c r="AG229" s="554">
        <v>21</v>
      </c>
      <c r="AH229" s="554">
        <v>21</v>
      </c>
      <c r="AI229" s="554">
        <v>25</v>
      </c>
      <c r="AJ229" s="554">
        <v>21</v>
      </c>
      <c r="AK229" s="555">
        <f t="shared" si="16"/>
        <v>23</v>
      </c>
      <c r="AL229" s="554">
        <v>21</v>
      </c>
      <c r="AM229" s="554">
        <v>21</v>
      </c>
      <c r="AN229" s="490"/>
      <c r="AO229" s="490"/>
      <c r="AP229" s="27"/>
      <c r="AQ229" s="17"/>
      <c r="AR229" s="9"/>
      <c r="AS229" s="9"/>
      <c r="AT229" s="9"/>
    </row>
    <row r="230" spans="1:46" customFormat="1" outlineLevel="1" x14ac:dyDescent="0.25">
      <c r="A230" s="7"/>
      <c r="B230" s="8"/>
      <c r="C230" s="18"/>
      <c r="D230" s="18"/>
      <c r="E230" s="18"/>
      <c r="F230" s="24"/>
      <c r="G230" s="25"/>
      <c r="H230" s="25" t="s">
        <v>3111</v>
      </c>
      <c r="I230" s="489"/>
      <c r="J230" s="554">
        <v>5</v>
      </c>
      <c r="K230" s="554">
        <v>5</v>
      </c>
      <c r="L230" s="554">
        <v>5</v>
      </c>
      <c r="M230" s="554">
        <v>5</v>
      </c>
      <c r="N230" s="554">
        <v>5</v>
      </c>
      <c r="O230" s="554">
        <v>5</v>
      </c>
      <c r="P230" s="554">
        <v>5</v>
      </c>
      <c r="Q230" s="554">
        <v>5</v>
      </c>
      <c r="R230" s="554">
        <v>5</v>
      </c>
      <c r="S230" s="554">
        <v>5</v>
      </c>
      <c r="T230" s="554">
        <v>5</v>
      </c>
      <c r="U230" s="554">
        <v>5</v>
      </c>
      <c r="V230" s="554">
        <v>5</v>
      </c>
      <c r="W230" s="554">
        <v>5</v>
      </c>
      <c r="X230" s="554">
        <v>5</v>
      </c>
      <c r="Y230" s="554">
        <v>5</v>
      </c>
      <c r="Z230" s="554">
        <v>5</v>
      </c>
      <c r="AA230" s="554">
        <v>5</v>
      </c>
      <c r="AB230" s="554">
        <v>5</v>
      </c>
      <c r="AC230" s="554">
        <v>5</v>
      </c>
      <c r="AD230" s="554">
        <v>2.5</v>
      </c>
      <c r="AE230" s="554">
        <v>2.5</v>
      </c>
      <c r="AF230" s="554">
        <v>2.5</v>
      </c>
      <c r="AG230" s="554">
        <v>2.5</v>
      </c>
      <c r="AH230" s="554">
        <v>2.5</v>
      </c>
      <c r="AI230" s="554">
        <v>2.5</v>
      </c>
      <c r="AJ230" s="554">
        <v>5</v>
      </c>
      <c r="AK230" s="555">
        <f t="shared" si="16"/>
        <v>3.75</v>
      </c>
      <c r="AL230" s="554">
        <v>2.5</v>
      </c>
      <c r="AM230" s="554">
        <v>2.5</v>
      </c>
      <c r="AN230" s="490"/>
      <c r="AO230" s="490"/>
      <c r="AP230" s="27"/>
      <c r="AQ230" s="17"/>
      <c r="AR230" s="9"/>
      <c r="AS230" s="9"/>
      <c r="AT230" s="9"/>
    </row>
    <row r="231" spans="1:46" customFormat="1" ht="15" customHeight="1" outlineLevel="1" x14ac:dyDescent="0.25">
      <c r="A231" s="7"/>
      <c r="B231" s="8"/>
      <c r="C231" s="18"/>
      <c r="D231" s="18"/>
      <c r="E231" s="18"/>
      <c r="F231" s="24"/>
      <c r="G231" s="25"/>
      <c r="H231" s="25" t="s">
        <v>3112</v>
      </c>
      <c r="I231" s="631" t="s">
        <v>3113</v>
      </c>
      <c r="J231" s="562">
        <v>0.25</v>
      </c>
      <c r="K231" s="562">
        <v>0.15</v>
      </c>
      <c r="L231" s="562">
        <v>0.15</v>
      </c>
      <c r="M231" s="562">
        <v>0.15</v>
      </c>
      <c r="N231" s="562">
        <v>0.15</v>
      </c>
      <c r="O231" s="562">
        <v>0.15</v>
      </c>
      <c r="P231" s="562">
        <v>0.15</v>
      </c>
      <c r="Q231" s="562">
        <v>0.15</v>
      </c>
      <c r="R231" s="562">
        <v>0.15</v>
      </c>
      <c r="S231" s="562">
        <v>0.15</v>
      </c>
      <c r="T231" s="562">
        <v>0.15</v>
      </c>
      <c r="U231" s="562">
        <v>0.15</v>
      </c>
      <c r="V231" s="562">
        <v>0.15</v>
      </c>
      <c r="W231" s="562">
        <v>0.15</v>
      </c>
      <c r="X231" s="562">
        <v>0.15</v>
      </c>
      <c r="Y231" s="562">
        <v>0.15</v>
      </c>
      <c r="Z231" s="562">
        <v>0.15</v>
      </c>
      <c r="AA231" s="562">
        <v>0.15</v>
      </c>
      <c r="AB231" s="562">
        <v>0.15</v>
      </c>
      <c r="AC231" s="562">
        <v>0.15</v>
      </c>
      <c r="AD231" s="562">
        <v>0.15</v>
      </c>
      <c r="AE231" s="562">
        <v>0.15</v>
      </c>
      <c r="AF231" s="562">
        <v>0.15</v>
      </c>
      <c r="AG231" s="562">
        <v>0.15</v>
      </c>
      <c r="AH231" s="562">
        <v>0.15</v>
      </c>
      <c r="AI231" s="562">
        <v>0.15</v>
      </c>
      <c r="AJ231" s="562">
        <v>0.15</v>
      </c>
      <c r="AK231" s="563">
        <f t="shared" si="16"/>
        <v>0.15</v>
      </c>
      <c r="AL231" s="562">
        <v>0.15</v>
      </c>
      <c r="AM231" s="562">
        <v>0.15</v>
      </c>
      <c r="AN231" s="490"/>
      <c r="AO231" s="490"/>
      <c r="AP231" s="27"/>
      <c r="AQ231" s="17"/>
      <c r="AR231" s="9"/>
      <c r="AS231" s="9"/>
      <c r="AT231" s="9"/>
    </row>
    <row r="232" spans="1:46" customFormat="1" outlineLevel="1" x14ac:dyDescent="0.25">
      <c r="A232" s="7"/>
      <c r="B232" s="8"/>
      <c r="C232" s="18"/>
      <c r="D232" s="18"/>
      <c r="E232" s="18"/>
      <c r="F232" s="24"/>
      <c r="G232" s="25"/>
      <c r="H232" s="25" t="s">
        <v>3114</v>
      </c>
      <c r="I232" s="631"/>
      <c r="J232" s="563">
        <f>(1-J231)*Parameters!$V$403</f>
        <v>9.7042513863216273E-2</v>
      </c>
      <c r="K232" s="563">
        <f>(1-K231)*Parameters!$V$403</f>
        <v>0.10998151571164509</v>
      </c>
      <c r="L232" s="563">
        <f>(1-L231)*Parameters!$V$403</f>
        <v>0.10998151571164509</v>
      </c>
      <c r="M232" s="563">
        <f>(1-M231)*Parameters!$V$403</f>
        <v>0.10998151571164509</v>
      </c>
      <c r="N232" s="563">
        <f>(1-N231)*Parameters!$V$403</f>
        <v>0.10998151571164509</v>
      </c>
      <c r="O232" s="563">
        <f>(1-O231)*Parameters!$V$403</f>
        <v>0.10998151571164509</v>
      </c>
      <c r="P232" s="563">
        <f>(1-P231)*Parameters!$V$403</f>
        <v>0.10998151571164509</v>
      </c>
      <c r="Q232" s="563">
        <f>(1-Q231)*Parameters!$V$403</f>
        <v>0.10998151571164509</v>
      </c>
      <c r="R232" s="563">
        <f>(1-R231)*Parameters!$V$403</f>
        <v>0.10998151571164509</v>
      </c>
      <c r="S232" s="563">
        <f>(1-S231)*Parameters!$V$403</f>
        <v>0.10998151571164509</v>
      </c>
      <c r="T232" s="563">
        <f>(1-T231)*Parameters!$V$403</f>
        <v>0.10998151571164509</v>
      </c>
      <c r="U232" s="563">
        <f>(1-U231)*Parameters!$V$403</f>
        <v>0.10998151571164509</v>
      </c>
      <c r="V232" s="563">
        <f>(1-V231)*Parameters!$V$403</f>
        <v>0.10998151571164509</v>
      </c>
      <c r="W232" s="563">
        <f>(1-W231)*Parameters!$V$403</f>
        <v>0.10998151571164509</v>
      </c>
      <c r="X232" s="563">
        <f>(1-X231)*Parameters!$V$403</f>
        <v>0.10998151571164509</v>
      </c>
      <c r="Y232" s="563">
        <f>(1-Y231)*Parameters!$V$403</f>
        <v>0.10998151571164509</v>
      </c>
      <c r="Z232" s="563">
        <f>(1-Z231)*Parameters!$V$403</f>
        <v>0.10998151571164509</v>
      </c>
      <c r="AA232" s="563">
        <f>(1-AA231)*Parameters!$V$403</f>
        <v>0.10998151571164509</v>
      </c>
      <c r="AB232" s="563">
        <f>(1-AB231)*Parameters!$V$403</f>
        <v>0.10998151571164509</v>
      </c>
      <c r="AC232" s="563">
        <f>(1-AC231)*Parameters!$V$403</f>
        <v>0.10998151571164509</v>
      </c>
      <c r="AD232" s="563">
        <f>(1-AD231)*Parameters!$V$403</f>
        <v>0.10998151571164509</v>
      </c>
      <c r="AE232" s="563">
        <f>(1-AE231)*Parameters!$V$403</f>
        <v>0.10998151571164509</v>
      </c>
      <c r="AF232" s="563">
        <f>(1-AF231)*Parameters!$V$403</f>
        <v>0.10998151571164509</v>
      </c>
      <c r="AG232" s="563">
        <f>(1-AG231)*Parameters!$V$403</f>
        <v>0.10998151571164509</v>
      </c>
      <c r="AH232" s="563">
        <f>(1-AH231)*Parameters!$V$403</f>
        <v>0.10998151571164509</v>
      </c>
      <c r="AI232" s="563">
        <f>(1-AI231)*Parameters!$V$403</f>
        <v>0.10998151571164509</v>
      </c>
      <c r="AJ232" s="563">
        <f>(1-AJ231)*Parameters!$V$403</f>
        <v>0.10998151571164509</v>
      </c>
      <c r="AK232" s="563">
        <f t="shared" si="16"/>
        <v>0.10998151571164509</v>
      </c>
      <c r="AL232" s="563">
        <f>(1-AL231)*Parameters!$V$403</f>
        <v>0.10998151571164509</v>
      </c>
      <c r="AM232" s="563">
        <f>(1-AM231)*Parameters!$V$403</f>
        <v>0.10998151571164509</v>
      </c>
      <c r="AN232" s="490"/>
      <c r="AO232" s="490"/>
      <c r="AP232" s="27"/>
      <c r="AQ232" s="17"/>
      <c r="AR232" s="9"/>
      <c r="AS232" s="9"/>
      <c r="AT232" s="9"/>
    </row>
    <row r="233" spans="1:46" customFormat="1" outlineLevel="1" x14ac:dyDescent="0.25">
      <c r="A233" s="7"/>
      <c r="B233" s="8"/>
      <c r="C233" s="18"/>
      <c r="D233" s="18"/>
      <c r="E233" s="18"/>
      <c r="F233" s="24"/>
      <c r="G233" s="25"/>
      <c r="H233" s="25" t="s">
        <v>3115</v>
      </c>
      <c r="I233" s="631"/>
      <c r="J233" s="563">
        <f>1-SUM(J231:J232)</f>
        <v>0.65295748613678373</v>
      </c>
      <c r="K233" s="563">
        <f t="shared" ref="K233:Q233" si="17">1-SUM(K231:K232)</f>
        <v>0.74001848428835493</v>
      </c>
      <c r="L233" s="563">
        <f t="shared" si="17"/>
        <v>0.74001848428835493</v>
      </c>
      <c r="M233" s="563">
        <f t="shared" si="17"/>
        <v>0.74001848428835493</v>
      </c>
      <c r="N233" s="563">
        <f t="shared" si="17"/>
        <v>0.74001848428835493</v>
      </c>
      <c r="O233" s="563">
        <f t="shared" si="17"/>
        <v>0.74001848428835493</v>
      </c>
      <c r="P233" s="563">
        <f t="shared" si="17"/>
        <v>0.74001848428835493</v>
      </c>
      <c r="Q233" s="563">
        <f t="shared" si="17"/>
        <v>0.74001848428835493</v>
      </c>
      <c r="R233" s="563">
        <f t="shared" ref="R233:AI233" si="18">1-SUM(R231:R232)</f>
        <v>0.74001848428835493</v>
      </c>
      <c r="S233" s="563">
        <f t="shared" si="18"/>
        <v>0.74001848428835493</v>
      </c>
      <c r="T233" s="563">
        <f t="shared" si="18"/>
        <v>0.74001848428835493</v>
      </c>
      <c r="U233" s="563">
        <f t="shared" si="18"/>
        <v>0.74001848428835493</v>
      </c>
      <c r="V233" s="563">
        <f t="shared" si="18"/>
        <v>0.74001848428835493</v>
      </c>
      <c r="W233" s="563">
        <f t="shared" si="18"/>
        <v>0.74001848428835493</v>
      </c>
      <c r="X233" s="563">
        <f t="shared" si="18"/>
        <v>0.74001848428835493</v>
      </c>
      <c r="Y233" s="563">
        <f t="shared" si="18"/>
        <v>0.74001848428835493</v>
      </c>
      <c r="Z233" s="563">
        <f t="shared" si="18"/>
        <v>0.74001848428835493</v>
      </c>
      <c r="AA233" s="563">
        <f t="shared" si="18"/>
        <v>0.74001848428835493</v>
      </c>
      <c r="AB233" s="563">
        <f t="shared" si="18"/>
        <v>0.74001848428835493</v>
      </c>
      <c r="AC233" s="563">
        <f t="shared" si="18"/>
        <v>0.74001848428835493</v>
      </c>
      <c r="AD233" s="563">
        <f t="shared" si="18"/>
        <v>0.74001848428835493</v>
      </c>
      <c r="AE233" s="563">
        <f t="shared" si="18"/>
        <v>0.74001848428835493</v>
      </c>
      <c r="AF233" s="563">
        <f t="shared" si="18"/>
        <v>0.74001848428835493</v>
      </c>
      <c r="AG233" s="563">
        <f t="shared" si="18"/>
        <v>0.74001848428835493</v>
      </c>
      <c r="AH233" s="563">
        <f t="shared" si="18"/>
        <v>0.74001848428835493</v>
      </c>
      <c r="AI233" s="563">
        <f t="shared" si="18"/>
        <v>0.74001848428835493</v>
      </c>
      <c r="AJ233" s="563">
        <f>1-SUM(AJ231:AJ232)</f>
        <v>0.74001848428835493</v>
      </c>
      <c r="AK233" s="563">
        <f t="shared" ref="AK233:AM233" si="19">1-SUM(AK231:AK232)</f>
        <v>0.74001848428835493</v>
      </c>
      <c r="AL233" s="563">
        <f t="shared" si="19"/>
        <v>0.74001848428835493</v>
      </c>
      <c r="AM233" s="563">
        <f t="shared" si="19"/>
        <v>0.74001848428835493</v>
      </c>
      <c r="AN233" s="490"/>
      <c r="AO233" s="490"/>
      <c r="AP233" s="27"/>
      <c r="AQ233" s="17"/>
      <c r="AR233" s="9"/>
      <c r="AS233" s="9"/>
      <c r="AT233" s="9"/>
    </row>
    <row r="234" spans="1:46" customFormat="1" outlineLevel="1" x14ac:dyDescent="0.25">
      <c r="A234" s="7"/>
      <c r="B234" s="8"/>
      <c r="C234" s="18"/>
      <c r="D234" s="18"/>
      <c r="E234" s="18"/>
      <c r="F234" s="24"/>
      <c r="G234" s="25"/>
      <c r="H234" s="25" t="s">
        <v>3116</v>
      </c>
      <c r="I234" s="489"/>
      <c r="J234" s="564">
        <v>0</v>
      </c>
      <c r="K234" s="564">
        <v>0</v>
      </c>
      <c r="L234" s="564">
        <v>0</v>
      </c>
      <c r="M234" s="564">
        <v>0</v>
      </c>
      <c r="N234" s="564">
        <v>0</v>
      </c>
      <c r="O234" s="564">
        <v>0</v>
      </c>
      <c r="P234" s="564">
        <v>0</v>
      </c>
      <c r="Q234" s="564">
        <v>0</v>
      </c>
      <c r="R234" s="564">
        <v>0</v>
      </c>
      <c r="S234" s="564">
        <v>0</v>
      </c>
      <c r="T234" s="564">
        <v>0</v>
      </c>
      <c r="U234" s="564">
        <v>0</v>
      </c>
      <c r="V234" s="564">
        <v>0</v>
      </c>
      <c r="W234" s="564">
        <v>0</v>
      </c>
      <c r="X234" s="564">
        <v>0</v>
      </c>
      <c r="Y234" s="564">
        <v>0</v>
      </c>
      <c r="Z234" s="564">
        <v>0</v>
      </c>
      <c r="AA234" s="564">
        <v>0</v>
      </c>
      <c r="AB234" s="564">
        <v>0</v>
      </c>
      <c r="AC234" s="564">
        <v>0</v>
      </c>
      <c r="AD234" s="564">
        <v>0</v>
      </c>
      <c r="AE234" s="564">
        <v>0</v>
      </c>
      <c r="AF234" s="564">
        <v>0</v>
      </c>
      <c r="AG234" s="564">
        <v>0</v>
      </c>
      <c r="AH234" s="564">
        <v>0</v>
      </c>
      <c r="AI234" s="564">
        <v>0</v>
      </c>
      <c r="AJ234" s="564">
        <v>0</v>
      </c>
      <c r="AK234" s="565">
        <f>AVERAGE(AC234:AD234)</f>
        <v>0</v>
      </c>
      <c r="AL234" s="564">
        <v>0</v>
      </c>
      <c r="AM234" s="564">
        <v>0</v>
      </c>
      <c r="AN234" s="490"/>
      <c r="AO234" s="490"/>
      <c r="AP234" s="27"/>
      <c r="AQ234" s="17"/>
      <c r="AR234" s="9"/>
      <c r="AS234" s="9"/>
      <c r="AT234" s="9"/>
    </row>
    <row r="235" spans="1:46" customFormat="1" outlineLevel="1" x14ac:dyDescent="0.25">
      <c r="A235" s="7"/>
      <c r="B235" s="8"/>
      <c r="C235" s="18"/>
      <c r="D235" s="18"/>
      <c r="E235" s="18"/>
      <c r="F235" s="24"/>
      <c r="G235" s="25"/>
      <c r="H235" s="25" t="s">
        <v>3117</v>
      </c>
      <c r="I235" s="489"/>
      <c r="J235" s="564">
        <v>10</v>
      </c>
      <c r="K235" s="564">
        <v>10</v>
      </c>
      <c r="L235" s="564">
        <v>10</v>
      </c>
      <c r="M235" s="564">
        <v>10</v>
      </c>
      <c r="N235" s="564">
        <v>10</v>
      </c>
      <c r="O235" s="564">
        <v>10</v>
      </c>
      <c r="P235" s="564">
        <v>10</v>
      </c>
      <c r="Q235" s="564">
        <v>10</v>
      </c>
      <c r="R235" s="564">
        <v>10</v>
      </c>
      <c r="S235" s="564">
        <v>10</v>
      </c>
      <c r="T235" s="564">
        <v>10</v>
      </c>
      <c r="U235" s="564">
        <v>10</v>
      </c>
      <c r="V235" s="564">
        <v>10</v>
      </c>
      <c r="W235" s="564">
        <v>10</v>
      </c>
      <c r="X235" s="564">
        <v>10</v>
      </c>
      <c r="Y235" s="564">
        <v>10</v>
      </c>
      <c r="Z235" s="564">
        <v>10</v>
      </c>
      <c r="AA235" s="564">
        <v>10</v>
      </c>
      <c r="AB235" s="564">
        <v>10</v>
      </c>
      <c r="AC235" s="564">
        <v>10</v>
      </c>
      <c r="AD235" s="564">
        <v>12</v>
      </c>
      <c r="AE235" s="564">
        <v>12</v>
      </c>
      <c r="AF235" s="564">
        <v>12</v>
      </c>
      <c r="AG235" s="564">
        <v>12</v>
      </c>
      <c r="AH235" s="564">
        <v>12</v>
      </c>
      <c r="AI235" s="564">
        <v>12</v>
      </c>
      <c r="AJ235" s="564">
        <v>10</v>
      </c>
      <c r="AK235" s="565">
        <f>AVERAGE(AC235:AD235)</f>
        <v>11</v>
      </c>
      <c r="AL235" s="564">
        <v>10</v>
      </c>
      <c r="AM235" s="564">
        <v>10</v>
      </c>
      <c r="AN235" s="490"/>
      <c r="AO235" s="490"/>
      <c r="AP235" s="27"/>
      <c r="AQ235" s="17"/>
      <c r="AR235" s="9"/>
      <c r="AS235" s="9"/>
      <c r="AT235" s="9"/>
    </row>
    <row r="236" spans="1:46" customFormat="1" outlineLevel="1" x14ac:dyDescent="0.25">
      <c r="A236" s="7"/>
      <c r="B236" s="8"/>
      <c r="C236" s="18"/>
      <c r="D236" s="18"/>
      <c r="E236" s="18"/>
      <c r="F236" s="24"/>
      <c r="G236" s="25"/>
      <c r="H236" s="25"/>
      <c r="I236" s="489"/>
      <c r="J236" s="489"/>
      <c r="K236" s="489"/>
      <c r="L236" s="489"/>
      <c r="M236" s="489"/>
      <c r="N236" s="489"/>
      <c r="O236" s="489"/>
      <c r="P236" s="489"/>
      <c r="Q236" s="489"/>
      <c r="R236" s="489"/>
      <c r="S236" s="489"/>
      <c r="T236" s="489"/>
      <c r="U236" s="489"/>
      <c r="V236" s="489"/>
      <c r="W236" s="489"/>
      <c r="X236" s="489"/>
      <c r="Y236" s="489"/>
      <c r="Z236" s="489"/>
      <c r="AA236" s="489"/>
      <c r="AB236" s="489"/>
      <c r="AC236" s="489"/>
      <c r="AD236" s="489"/>
      <c r="AE236" s="489"/>
      <c r="AF236" s="489"/>
      <c r="AG236" s="489"/>
      <c r="AH236" s="489"/>
      <c r="AI236" s="489"/>
      <c r="AJ236" s="489"/>
      <c r="AK236" s="489"/>
      <c r="AL236" s="489"/>
      <c r="AM236" s="489"/>
      <c r="AN236" s="490"/>
      <c r="AO236" s="490"/>
      <c r="AP236" s="27"/>
      <c r="AQ236" s="17"/>
      <c r="AR236" s="9"/>
      <c r="AS236" s="9"/>
      <c r="AT236" s="9"/>
    </row>
    <row r="237" spans="1:46" customFormat="1" outlineLevel="1" x14ac:dyDescent="0.25">
      <c r="A237" s="7"/>
      <c r="B237" s="8"/>
      <c r="C237" s="18"/>
      <c r="D237" s="18"/>
      <c r="E237" s="18"/>
      <c r="F237" s="24"/>
      <c r="G237" s="25"/>
      <c r="H237" s="25" t="s">
        <v>3118</v>
      </c>
      <c r="I237" s="489"/>
      <c r="J237" s="564" t="b">
        <v>1</v>
      </c>
      <c r="K237" s="564" t="b">
        <v>1</v>
      </c>
      <c r="L237" s="564" t="b">
        <v>1</v>
      </c>
      <c r="M237" s="564" t="b">
        <v>1</v>
      </c>
      <c r="N237" s="564" t="b">
        <v>1</v>
      </c>
      <c r="O237" s="564" t="b">
        <v>1</v>
      </c>
      <c r="P237" s="564" t="b">
        <v>1</v>
      </c>
      <c r="Q237" s="564" t="b">
        <v>1</v>
      </c>
      <c r="R237" s="564" t="b">
        <v>1</v>
      </c>
      <c r="S237" s="564" t="b">
        <v>1</v>
      </c>
      <c r="T237" s="564" t="b">
        <v>1</v>
      </c>
      <c r="U237" s="564" t="b">
        <v>1</v>
      </c>
      <c r="V237" s="564" t="b">
        <v>1</v>
      </c>
      <c r="W237" s="564" t="b">
        <v>1</v>
      </c>
      <c r="X237" s="564" t="b">
        <v>1</v>
      </c>
      <c r="Y237" s="564" t="b">
        <v>1</v>
      </c>
      <c r="Z237" s="564" t="b">
        <v>1</v>
      </c>
      <c r="AA237" s="564" t="b">
        <v>1</v>
      </c>
      <c r="AB237" s="564" t="b">
        <v>1</v>
      </c>
      <c r="AC237" s="564" t="b">
        <v>1</v>
      </c>
      <c r="AD237" s="564" t="b">
        <v>1</v>
      </c>
      <c r="AE237" s="564" t="b">
        <v>1</v>
      </c>
      <c r="AF237" s="564" t="b">
        <v>1</v>
      </c>
      <c r="AG237" s="564" t="b">
        <v>1</v>
      </c>
      <c r="AH237" s="564" t="b">
        <v>1</v>
      </c>
      <c r="AI237" s="564" t="b">
        <v>1</v>
      </c>
      <c r="AJ237" s="564" t="b">
        <v>1</v>
      </c>
      <c r="AK237" s="564" t="b">
        <v>1</v>
      </c>
      <c r="AL237" s="564" t="b">
        <v>1</v>
      </c>
      <c r="AM237" s="564" t="b">
        <v>1</v>
      </c>
      <c r="AN237" s="490"/>
      <c r="AO237" s="490"/>
      <c r="AP237" s="27"/>
      <c r="AQ237" s="17"/>
      <c r="AR237" s="9"/>
      <c r="AS237" s="9"/>
      <c r="AT237" s="9"/>
    </row>
    <row r="238" spans="1:46" customFormat="1" outlineLevel="1" x14ac:dyDescent="0.25">
      <c r="A238" s="7"/>
      <c r="B238" s="8"/>
      <c r="C238" s="18"/>
      <c r="D238" s="18"/>
      <c r="E238" s="18"/>
      <c r="F238" s="24"/>
      <c r="G238" s="25"/>
      <c r="H238" s="25" t="s">
        <v>3119</v>
      </c>
      <c r="I238" s="489"/>
      <c r="J238" s="565" t="b">
        <f>NOT(J237)</f>
        <v>0</v>
      </c>
      <c r="K238" s="565" t="b">
        <f t="shared" ref="K238:AI238" si="20">NOT(K237)</f>
        <v>0</v>
      </c>
      <c r="L238" s="565" t="b">
        <f t="shared" si="20"/>
        <v>0</v>
      </c>
      <c r="M238" s="565" t="b">
        <f t="shared" si="20"/>
        <v>0</v>
      </c>
      <c r="N238" s="565" t="b">
        <f t="shared" si="20"/>
        <v>0</v>
      </c>
      <c r="O238" s="565" t="b">
        <f t="shared" si="20"/>
        <v>0</v>
      </c>
      <c r="P238" s="565" t="b">
        <f t="shared" si="20"/>
        <v>0</v>
      </c>
      <c r="Q238" s="565" t="b">
        <f t="shared" si="20"/>
        <v>0</v>
      </c>
      <c r="R238" s="565" t="b">
        <f t="shared" si="20"/>
        <v>0</v>
      </c>
      <c r="S238" s="565" t="b">
        <f t="shared" si="20"/>
        <v>0</v>
      </c>
      <c r="T238" s="565" t="b">
        <f t="shared" si="20"/>
        <v>0</v>
      </c>
      <c r="U238" s="565" t="b">
        <f t="shared" si="20"/>
        <v>0</v>
      </c>
      <c r="V238" s="565" t="b">
        <f t="shared" si="20"/>
        <v>0</v>
      </c>
      <c r="W238" s="565" t="b">
        <f t="shared" si="20"/>
        <v>0</v>
      </c>
      <c r="X238" s="565" t="b">
        <f t="shared" si="20"/>
        <v>0</v>
      </c>
      <c r="Y238" s="565" t="b">
        <f t="shared" si="20"/>
        <v>0</v>
      </c>
      <c r="Z238" s="565" t="b">
        <f t="shared" si="20"/>
        <v>0</v>
      </c>
      <c r="AA238" s="565" t="b">
        <f t="shared" si="20"/>
        <v>0</v>
      </c>
      <c r="AB238" s="565" t="b">
        <f t="shared" si="20"/>
        <v>0</v>
      </c>
      <c r="AC238" s="565" t="b">
        <f t="shared" si="20"/>
        <v>0</v>
      </c>
      <c r="AD238" s="565" t="b">
        <f t="shared" si="20"/>
        <v>0</v>
      </c>
      <c r="AE238" s="565" t="b">
        <f t="shared" si="20"/>
        <v>0</v>
      </c>
      <c r="AF238" s="565" t="b">
        <f t="shared" si="20"/>
        <v>0</v>
      </c>
      <c r="AG238" s="565" t="b">
        <f t="shared" si="20"/>
        <v>0</v>
      </c>
      <c r="AH238" s="565" t="b">
        <f t="shared" si="20"/>
        <v>0</v>
      </c>
      <c r="AI238" s="565" t="b">
        <f t="shared" si="20"/>
        <v>0</v>
      </c>
      <c r="AJ238" s="565" t="b">
        <f>NOT(AJ237)</f>
        <v>0</v>
      </c>
      <c r="AK238" s="565" t="b">
        <f t="shared" ref="AK238:AM238" si="21">NOT(AK237)</f>
        <v>0</v>
      </c>
      <c r="AL238" s="565" t="b">
        <f t="shared" ref="AL238" si="22">NOT(AL237)</f>
        <v>0</v>
      </c>
      <c r="AM238" s="565" t="b">
        <f t="shared" si="21"/>
        <v>0</v>
      </c>
      <c r="AN238" s="490"/>
      <c r="AO238" s="490"/>
      <c r="AP238" s="27"/>
      <c r="AQ238" s="17"/>
      <c r="AR238" s="9"/>
      <c r="AS238" s="9"/>
      <c r="AT238" s="9"/>
    </row>
    <row r="239" spans="1:46" customFormat="1" outlineLevel="1" x14ac:dyDescent="0.25">
      <c r="A239" s="7"/>
      <c r="B239" s="8"/>
      <c r="C239" s="18"/>
      <c r="D239" s="18"/>
      <c r="E239" s="18"/>
      <c r="F239" s="24"/>
      <c r="G239" s="25"/>
      <c r="H239" s="25"/>
      <c r="I239" s="489"/>
      <c r="J239" s="489"/>
      <c r="K239" s="489"/>
      <c r="L239" s="489"/>
      <c r="M239" s="489"/>
      <c r="N239" s="489"/>
      <c r="O239" s="489"/>
      <c r="P239" s="489"/>
      <c r="Q239" s="489"/>
      <c r="R239" s="489"/>
      <c r="S239" s="489"/>
      <c r="T239" s="489"/>
      <c r="U239" s="489"/>
      <c r="V239" s="489"/>
      <c r="W239" s="489"/>
      <c r="X239" s="489"/>
      <c r="Y239" s="489"/>
      <c r="Z239" s="489"/>
      <c r="AA239" s="489"/>
      <c r="AB239" s="489"/>
      <c r="AC239" s="489"/>
      <c r="AD239" s="489"/>
      <c r="AE239" s="489"/>
      <c r="AF239" s="489"/>
      <c r="AG239" s="489"/>
      <c r="AH239" s="489"/>
      <c r="AI239" s="489"/>
      <c r="AJ239" s="489"/>
      <c r="AK239" s="489"/>
      <c r="AL239" s="489"/>
      <c r="AM239" s="489"/>
      <c r="AN239" s="490"/>
      <c r="AO239" s="490"/>
      <c r="AP239" s="27"/>
      <c r="AQ239" s="17"/>
      <c r="AR239" s="9"/>
      <c r="AS239" s="9"/>
      <c r="AT239" s="9"/>
    </row>
    <row r="240" spans="1:46" customFormat="1" outlineLevel="1" x14ac:dyDescent="0.25">
      <c r="A240" s="7"/>
      <c r="B240" s="8"/>
      <c r="C240" s="18"/>
      <c r="D240" s="18"/>
      <c r="E240" s="18"/>
      <c r="F240" s="24"/>
      <c r="G240" s="25"/>
      <c r="H240" s="25" t="s">
        <v>3120</v>
      </c>
      <c r="I240" s="16" t="s">
        <v>3121</v>
      </c>
      <c r="J240" s="554">
        <v>1</v>
      </c>
      <c r="K240" s="554">
        <v>1</v>
      </c>
      <c r="L240" s="554">
        <v>1</v>
      </c>
      <c r="M240" s="554">
        <v>1</v>
      </c>
      <c r="N240" s="554">
        <v>1</v>
      </c>
      <c r="O240" s="554">
        <v>1</v>
      </c>
      <c r="P240" s="554">
        <v>1</v>
      </c>
      <c r="Q240" s="554">
        <v>1</v>
      </c>
      <c r="R240" s="554">
        <v>1</v>
      </c>
      <c r="S240" s="554">
        <v>1</v>
      </c>
      <c r="T240" s="554">
        <v>1</v>
      </c>
      <c r="U240" s="554">
        <v>1</v>
      </c>
      <c r="V240" s="554">
        <v>1</v>
      </c>
      <c r="W240" s="554">
        <v>1</v>
      </c>
      <c r="X240" s="554">
        <v>1</v>
      </c>
      <c r="Y240" s="554">
        <v>1</v>
      </c>
      <c r="Z240" s="554">
        <v>1</v>
      </c>
      <c r="AA240" s="554">
        <v>1</v>
      </c>
      <c r="AB240" s="554">
        <v>1</v>
      </c>
      <c r="AC240" s="554">
        <v>1</v>
      </c>
      <c r="AD240" s="554">
        <v>1</v>
      </c>
      <c r="AE240" s="554">
        <v>1</v>
      </c>
      <c r="AF240" s="554">
        <v>1</v>
      </c>
      <c r="AG240" s="554">
        <v>1</v>
      </c>
      <c r="AH240" s="554">
        <v>1</v>
      </c>
      <c r="AI240" s="554">
        <v>1</v>
      </c>
      <c r="AJ240" s="554">
        <v>1</v>
      </c>
      <c r="AK240" s="554">
        <v>1</v>
      </c>
      <c r="AL240" s="554">
        <v>1</v>
      </c>
      <c r="AM240" s="554">
        <v>1</v>
      </c>
      <c r="AN240" s="490"/>
      <c r="AO240" s="490"/>
      <c r="AP240" s="27"/>
      <c r="AQ240" s="17"/>
      <c r="AR240" s="9"/>
      <c r="AS240" s="9"/>
      <c r="AT240" s="9"/>
    </row>
    <row r="241" spans="1:46" customFormat="1" outlineLevel="1" x14ac:dyDescent="0.25">
      <c r="A241" s="7"/>
      <c r="B241" s="8"/>
      <c r="C241" s="18"/>
      <c r="D241" s="18"/>
      <c r="E241" s="18"/>
      <c r="F241" s="24"/>
      <c r="G241" s="25"/>
      <c r="H241" s="25"/>
      <c r="I241" s="566" t="s">
        <v>3122</v>
      </c>
      <c r="J241" s="554">
        <v>0</v>
      </c>
      <c r="K241" s="554">
        <v>0</v>
      </c>
      <c r="L241" s="554">
        <v>0</v>
      </c>
      <c r="M241" s="554">
        <v>0</v>
      </c>
      <c r="N241" s="554">
        <v>0</v>
      </c>
      <c r="O241" s="554">
        <v>0</v>
      </c>
      <c r="P241" s="554">
        <v>0</v>
      </c>
      <c r="Q241" s="554">
        <v>0</v>
      </c>
      <c r="R241" s="554">
        <v>0</v>
      </c>
      <c r="S241" s="554">
        <v>0</v>
      </c>
      <c r="T241" s="554">
        <v>0</v>
      </c>
      <c r="U241" s="554">
        <v>0</v>
      </c>
      <c r="V241" s="554">
        <v>0</v>
      </c>
      <c r="W241" s="554">
        <v>0</v>
      </c>
      <c r="X241" s="554">
        <v>0</v>
      </c>
      <c r="Y241" s="554">
        <v>0</v>
      </c>
      <c r="Z241" s="554">
        <v>0</v>
      </c>
      <c r="AA241" s="554">
        <v>0</v>
      </c>
      <c r="AB241" s="554">
        <v>0</v>
      </c>
      <c r="AC241" s="554">
        <v>0</v>
      </c>
      <c r="AD241" s="554">
        <v>0</v>
      </c>
      <c r="AE241" s="554">
        <v>0</v>
      </c>
      <c r="AF241" s="554">
        <v>0</v>
      </c>
      <c r="AG241" s="554">
        <v>0</v>
      </c>
      <c r="AH241" s="554">
        <v>0</v>
      </c>
      <c r="AI241" s="554">
        <v>0</v>
      </c>
      <c r="AJ241" s="554">
        <v>0</v>
      </c>
      <c r="AK241" s="554">
        <v>0</v>
      </c>
      <c r="AL241" s="554">
        <v>0</v>
      </c>
      <c r="AM241" s="554">
        <v>0</v>
      </c>
      <c r="AN241" s="490"/>
      <c r="AO241" s="490"/>
      <c r="AP241" s="27"/>
      <c r="AQ241" s="17"/>
      <c r="AR241" s="9"/>
      <c r="AS241" s="9"/>
      <c r="AT241" s="9"/>
    </row>
    <row r="242" spans="1:46" customFormat="1" outlineLevel="1" x14ac:dyDescent="0.25">
      <c r="A242" s="7"/>
      <c r="B242" s="8"/>
      <c r="C242" s="18"/>
      <c r="D242" s="18"/>
      <c r="E242" s="18"/>
      <c r="F242" s="24"/>
      <c r="G242" s="25"/>
      <c r="H242" s="25"/>
      <c r="I242" s="566" t="s">
        <v>3123</v>
      </c>
      <c r="J242" s="554">
        <v>0</v>
      </c>
      <c r="K242" s="554">
        <v>0</v>
      </c>
      <c r="L242" s="554">
        <v>0</v>
      </c>
      <c r="M242" s="554">
        <v>0</v>
      </c>
      <c r="N242" s="554">
        <v>0</v>
      </c>
      <c r="O242" s="554">
        <v>0</v>
      </c>
      <c r="P242" s="554">
        <v>0</v>
      </c>
      <c r="Q242" s="554">
        <v>0</v>
      </c>
      <c r="R242" s="554">
        <v>0</v>
      </c>
      <c r="S242" s="554">
        <v>0</v>
      </c>
      <c r="T242" s="554">
        <v>0</v>
      </c>
      <c r="U242" s="554">
        <v>0</v>
      </c>
      <c r="V242" s="554">
        <v>0</v>
      </c>
      <c r="W242" s="554">
        <v>0</v>
      </c>
      <c r="X242" s="554">
        <v>0</v>
      </c>
      <c r="Y242" s="554">
        <v>0</v>
      </c>
      <c r="Z242" s="554">
        <v>0</v>
      </c>
      <c r="AA242" s="554">
        <v>0</v>
      </c>
      <c r="AB242" s="554">
        <v>0</v>
      </c>
      <c r="AC242" s="554">
        <v>0</v>
      </c>
      <c r="AD242" s="554">
        <v>0</v>
      </c>
      <c r="AE242" s="554">
        <v>0</v>
      </c>
      <c r="AF242" s="554">
        <v>0</v>
      </c>
      <c r="AG242" s="554">
        <v>0</v>
      </c>
      <c r="AH242" s="554">
        <v>0</v>
      </c>
      <c r="AI242" s="554">
        <v>0</v>
      </c>
      <c r="AJ242" s="554">
        <v>0</v>
      </c>
      <c r="AK242" s="554">
        <v>0</v>
      </c>
      <c r="AL242" s="554">
        <v>0</v>
      </c>
      <c r="AM242" s="554">
        <v>0</v>
      </c>
      <c r="AN242" s="490"/>
      <c r="AO242" s="490"/>
      <c r="AP242" s="27"/>
      <c r="AQ242" s="17"/>
      <c r="AR242" s="9"/>
      <c r="AS242" s="9"/>
      <c r="AT242" s="9"/>
    </row>
    <row r="243" spans="1:46" customFormat="1" outlineLevel="1" x14ac:dyDescent="0.25">
      <c r="A243" s="7"/>
      <c r="B243" s="8"/>
      <c r="C243" s="18"/>
      <c r="D243" s="18"/>
      <c r="E243" s="18"/>
      <c r="F243" s="24"/>
      <c r="G243" s="25"/>
      <c r="H243" s="25"/>
      <c r="I243" s="566" t="s">
        <v>3124</v>
      </c>
      <c r="J243" s="554">
        <v>0</v>
      </c>
      <c r="K243" s="554">
        <v>0</v>
      </c>
      <c r="L243" s="554">
        <v>0</v>
      </c>
      <c r="M243" s="554">
        <v>0</v>
      </c>
      <c r="N243" s="554">
        <v>0</v>
      </c>
      <c r="O243" s="554">
        <v>0</v>
      </c>
      <c r="P243" s="554">
        <v>0</v>
      </c>
      <c r="Q243" s="554">
        <v>0</v>
      </c>
      <c r="R243" s="554">
        <v>0</v>
      </c>
      <c r="S243" s="554">
        <v>0</v>
      </c>
      <c r="T243" s="554">
        <v>0</v>
      </c>
      <c r="U243" s="554">
        <v>0</v>
      </c>
      <c r="V243" s="554">
        <v>0</v>
      </c>
      <c r="W243" s="554">
        <v>0</v>
      </c>
      <c r="X243" s="554">
        <v>0</v>
      </c>
      <c r="Y243" s="554">
        <v>0</v>
      </c>
      <c r="Z243" s="554">
        <v>0</v>
      </c>
      <c r="AA243" s="554">
        <v>0</v>
      </c>
      <c r="AB243" s="554">
        <v>0</v>
      </c>
      <c r="AC243" s="554">
        <v>0</v>
      </c>
      <c r="AD243" s="554">
        <v>0</v>
      </c>
      <c r="AE243" s="554">
        <v>0</v>
      </c>
      <c r="AF243" s="554">
        <v>0</v>
      </c>
      <c r="AG243" s="554">
        <v>0</v>
      </c>
      <c r="AH243" s="554">
        <v>0</v>
      </c>
      <c r="AI243" s="554">
        <v>0</v>
      </c>
      <c r="AJ243" s="554">
        <v>0</v>
      </c>
      <c r="AK243" s="554">
        <v>0</v>
      </c>
      <c r="AL243" s="554">
        <v>0</v>
      </c>
      <c r="AM243" s="554">
        <v>0</v>
      </c>
      <c r="AN243" s="490"/>
      <c r="AO243" s="490"/>
      <c r="AP243" s="27"/>
      <c r="AQ243" s="17"/>
      <c r="AR243" s="9"/>
      <c r="AS243" s="9"/>
      <c r="AT243" s="9"/>
    </row>
    <row r="244" spans="1:46" customFormat="1" outlineLevel="1" x14ac:dyDescent="0.25">
      <c r="A244" s="7"/>
      <c r="B244" s="8"/>
      <c r="C244" s="18"/>
      <c r="D244" s="18"/>
      <c r="E244" s="18"/>
      <c r="F244" s="24"/>
      <c r="G244" s="25"/>
      <c r="H244" s="25"/>
      <c r="I244" s="566" t="s">
        <v>3125</v>
      </c>
      <c r="J244" s="554">
        <v>0</v>
      </c>
      <c r="K244" s="554">
        <v>0</v>
      </c>
      <c r="L244" s="554">
        <v>0</v>
      </c>
      <c r="M244" s="554">
        <v>0</v>
      </c>
      <c r="N244" s="554">
        <v>0</v>
      </c>
      <c r="O244" s="554">
        <v>0</v>
      </c>
      <c r="P244" s="554">
        <v>0</v>
      </c>
      <c r="Q244" s="554">
        <v>0</v>
      </c>
      <c r="R244" s="554">
        <v>0</v>
      </c>
      <c r="S244" s="554">
        <v>0</v>
      </c>
      <c r="T244" s="554">
        <v>0</v>
      </c>
      <c r="U244" s="554">
        <v>0</v>
      </c>
      <c r="V244" s="554">
        <v>0</v>
      </c>
      <c r="W244" s="554">
        <v>0</v>
      </c>
      <c r="X244" s="554">
        <v>0</v>
      </c>
      <c r="Y244" s="554">
        <v>0</v>
      </c>
      <c r="Z244" s="554">
        <v>0</v>
      </c>
      <c r="AA244" s="554">
        <v>0</v>
      </c>
      <c r="AB244" s="554">
        <v>0</v>
      </c>
      <c r="AC244" s="554">
        <v>0</v>
      </c>
      <c r="AD244" s="554">
        <v>0</v>
      </c>
      <c r="AE244" s="554">
        <v>0</v>
      </c>
      <c r="AF244" s="554">
        <v>0</v>
      </c>
      <c r="AG244" s="554">
        <v>0</v>
      </c>
      <c r="AH244" s="554">
        <v>0</v>
      </c>
      <c r="AI244" s="554">
        <v>0</v>
      </c>
      <c r="AJ244" s="554">
        <v>0</v>
      </c>
      <c r="AK244" s="554">
        <v>0</v>
      </c>
      <c r="AL244" s="554">
        <v>0</v>
      </c>
      <c r="AM244" s="554">
        <v>0</v>
      </c>
      <c r="AN244" s="490"/>
      <c r="AO244" s="490"/>
      <c r="AP244" s="27"/>
      <c r="AQ244" s="17"/>
      <c r="AR244" s="9"/>
      <c r="AS244" s="9"/>
      <c r="AT244" s="9"/>
    </row>
    <row r="245" spans="1:46" customFormat="1" outlineLevel="1" x14ac:dyDescent="0.25">
      <c r="A245" s="7"/>
      <c r="B245" s="8"/>
      <c r="C245" s="18"/>
      <c r="D245" s="18"/>
      <c r="E245" s="18"/>
      <c r="F245" s="24"/>
      <c r="G245" s="25"/>
      <c r="H245" s="25"/>
      <c r="I245" s="566" t="s">
        <v>3126</v>
      </c>
      <c r="J245" s="554">
        <v>0</v>
      </c>
      <c r="K245" s="554">
        <v>0</v>
      </c>
      <c r="L245" s="554">
        <v>0</v>
      </c>
      <c r="M245" s="554">
        <v>0</v>
      </c>
      <c r="N245" s="554">
        <v>0</v>
      </c>
      <c r="O245" s="554">
        <v>0</v>
      </c>
      <c r="P245" s="554">
        <v>0</v>
      </c>
      <c r="Q245" s="554">
        <v>0</v>
      </c>
      <c r="R245" s="554">
        <v>0</v>
      </c>
      <c r="S245" s="554">
        <v>0</v>
      </c>
      <c r="T245" s="554">
        <v>0</v>
      </c>
      <c r="U245" s="554">
        <v>0</v>
      </c>
      <c r="V245" s="554">
        <v>0</v>
      </c>
      <c r="W245" s="554">
        <v>0</v>
      </c>
      <c r="X245" s="554">
        <v>0</v>
      </c>
      <c r="Y245" s="554">
        <v>0</v>
      </c>
      <c r="Z245" s="554">
        <v>0</v>
      </c>
      <c r="AA245" s="554">
        <v>0</v>
      </c>
      <c r="AB245" s="554">
        <v>0</v>
      </c>
      <c r="AC245" s="554">
        <v>0</v>
      </c>
      <c r="AD245" s="554">
        <v>0</v>
      </c>
      <c r="AE245" s="554">
        <v>0</v>
      </c>
      <c r="AF245" s="554">
        <v>0</v>
      </c>
      <c r="AG245" s="554">
        <v>0</v>
      </c>
      <c r="AH245" s="554">
        <v>0</v>
      </c>
      <c r="AI245" s="554">
        <v>0</v>
      </c>
      <c r="AJ245" s="554">
        <v>0</v>
      </c>
      <c r="AK245" s="554">
        <v>0</v>
      </c>
      <c r="AL245" s="554">
        <v>0</v>
      </c>
      <c r="AM245" s="554">
        <v>0</v>
      </c>
      <c r="AN245" s="490"/>
      <c r="AO245" s="490"/>
      <c r="AP245" s="27"/>
      <c r="AQ245" s="17"/>
      <c r="AR245" s="9"/>
      <c r="AS245" s="9"/>
      <c r="AT245" s="9"/>
    </row>
    <row r="246" spans="1:46" customFormat="1" outlineLevel="1" x14ac:dyDescent="0.25">
      <c r="A246" s="7"/>
      <c r="B246" s="8"/>
      <c r="C246" s="18"/>
      <c r="D246" s="18"/>
      <c r="E246" s="18"/>
      <c r="F246" s="24"/>
      <c r="G246" s="25"/>
      <c r="H246" s="25"/>
      <c r="I246" s="566" t="s">
        <v>3127</v>
      </c>
      <c r="J246" s="554">
        <v>0</v>
      </c>
      <c r="K246" s="554">
        <v>0</v>
      </c>
      <c r="L246" s="554">
        <v>0</v>
      </c>
      <c r="M246" s="554">
        <v>0</v>
      </c>
      <c r="N246" s="554">
        <v>0</v>
      </c>
      <c r="O246" s="554">
        <v>0</v>
      </c>
      <c r="P246" s="554">
        <v>0</v>
      </c>
      <c r="Q246" s="554">
        <v>0</v>
      </c>
      <c r="R246" s="554">
        <v>0</v>
      </c>
      <c r="S246" s="554">
        <v>0</v>
      </c>
      <c r="T246" s="554">
        <v>0</v>
      </c>
      <c r="U246" s="554">
        <v>0</v>
      </c>
      <c r="V246" s="554">
        <v>0</v>
      </c>
      <c r="W246" s="554">
        <v>0</v>
      </c>
      <c r="X246" s="554">
        <v>0</v>
      </c>
      <c r="Y246" s="554">
        <v>0</v>
      </c>
      <c r="Z246" s="554">
        <v>0</v>
      </c>
      <c r="AA246" s="554">
        <v>0</v>
      </c>
      <c r="AB246" s="554">
        <v>0</v>
      </c>
      <c r="AC246" s="554">
        <v>0</v>
      </c>
      <c r="AD246" s="554">
        <v>0</v>
      </c>
      <c r="AE246" s="554">
        <v>0</v>
      </c>
      <c r="AF246" s="554">
        <v>0</v>
      </c>
      <c r="AG246" s="554">
        <v>0</v>
      </c>
      <c r="AH246" s="554">
        <v>0</v>
      </c>
      <c r="AI246" s="554">
        <v>0</v>
      </c>
      <c r="AJ246" s="554">
        <v>0</v>
      </c>
      <c r="AK246" s="554">
        <v>0</v>
      </c>
      <c r="AL246" s="554">
        <v>0</v>
      </c>
      <c r="AM246" s="554">
        <v>0</v>
      </c>
      <c r="AN246" s="490"/>
      <c r="AO246" s="490"/>
      <c r="AP246" s="27"/>
      <c r="AQ246" s="17"/>
      <c r="AR246" s="9"/>
      <c r="AS246" s="9"/>
      <c r="AT246" s="9"/>
    </row>
    <row r="247" spans="1:46" customFormat="1" outlineLevel="1" x14ac:dyDescent="0.25">
      <c r="A247" s="7"/>
      <c r="B247" s="8"/>
      <c r="C247" s="18"/>
      <c r="D247" s="18"/>
      <c r="E247" s="18"/>
      <c r="F247" s="24"/>
      <c r="G247" s="25"/>
      <c r="H247" s="25"/>
      <c r="I247" s="566" t="s">
        <v>3128</v>
      </c>
      <c r="J247" s="554">
        <v>0</v>
      </c>
      <c r="K247" s="554">
        <v>0</v>
      </c>
      <c r="L247" s="554">
        <v>0</v>
      </c>
      <c r="M247" s="554">
        <v>0</v>
      </c>
      <c r="N247" s="554">
        <v>0</v>
      </c>
      <c r="O247" s="554">
        <v>0</v>
      </c>
      <c r="P247" s="554">
        <v>0</v>
      </c>
      <c r="Q247" s="554">
        <v>0</v>
      </c>
      <c r="R247" s="554">
        <v>0</v>
      </c>
      <c r="S247" s="554">
        <v>0</v>
      </c>
      <c r="T247" s="554">
        <v>0</v>
      </c>
      <c r="U247" s="554">
        <v>0</v>
      </c>
      <c r="V247" s="554">
        <v>0</v>
      </c>
      <c r="W247" s="554">
        <v>0</v>
      </c>
      <c r="X247" s="554">
        <v>0</v>
      </c>
      <c r="Y247" s="554">
        <v>0</v>
      </c>
      <c r="Z247" s="554">
        <v>0</v>
      </c>
      <c r="AA247" s="554">
        <v>0</v>
      </c>
      <c r="AB247" s="554">
        <v>0</v>
      </c>
      <c r="AC247" s="554">
        <v>0</v>
      </c>
      <c r="AD247" s="554">
        <v>0</v>
      </c>
      <c r="AE247" s="554">
        <v>0</v>
      </c>
      <c r="AF247" s="554">
        <v>0</v>
      </c>
      <c r="AG247" s="554">
        <v>0</v>
      </c>
      <c r="AH247" s="554">
        <v>0</v>
      </c>
      <c r="AI247" s="554">
        <v>0</v>
      </c>
      <c r="AJ247" s="554">
        <v>0</v>
      </c>
      <c r="AK247" s="554">
        <v>0</v>
      </c>
      <c r="AL247" s="554">
        <v>0</v>
      </c>
      <c r="AM247" s="554">
        <v>0</v>
      </c>
      <c r="AN247" s="490"/>
      <c r="AO247" s="490"/>
      <c r="AP247" s="27"/>
      <c r="AQ247" s="17"/>
      <c r="AR247" s="9"/>
      <c r="AS247" s="9"/>
      <c r="AT247" s="9"/>
    </row>
    <row r="248" spans="1:46" customFormat="1" outlineLevel="1" x14ac:dyDescent="0.25">
      <c r="A248" s="7"/>
      <c r="B248" s="8"/>
      <c r="C248" s="18"/>
      <c r="D248" s="18"/>
      <c r="E248" s="18"/>
      <c r="F248" s="24"/>
      <c r="G248" s="25"/>
      <c r="H248" s="25"/>
      <c r="I248" s="566" t="s">
        <v>3129</v>
      </c>
      <c r="J248" s="554">
        <v>0</v>
      </c>
      <c r="K248" s="554">
        <v>0</v>
      </c>
      <c r="L248" s="554">
        <v>0</v>
      </c>
      <c r="M248" s="554">
        <v>0</v>
      </c>
      <c r="N248" s="554">
        <v>0</v>
      </c>
      <c r="O248" s="554">
        <v>0</v>
      </c>
      <c r="P248" s="554">
        <v>0</v>
      </c>
      <c r="Q248" s="554">
        <v>0</v>
      </c>
      <c r="R248" s="554">
        <v>0</v>
      </c>
      <c r="S248" s="554">
        <v>0</v>
      </c>
      <c r="T248" s="554">
        <v>0</v>
      </c>
      <c r="U248" s="554">
        <v>0</v>
      </c>
      <c r="V248" s="554">
        <v>0</v>
      </c>
      <c r="W248" s="554">
        <v>0</v>
      </c>
      <c r="X248" s="554">
        <v>0</v>
      </c>
      <c r="Y248" s="554">
        <v>0</v>
      </c>
      <c r="Z248" s="554">
        <v>0</v>
      </c>
      <c r="AA248" s="554">
        <v>0</v>
      </c>
      <c r="AB248" s="554">
        <v>0</v>
      </c>
      <c r="AC248" s="554">
        <v>0</v>
      </c>
      <c r="AD248" s="554">
        <v>0</v>
      </c>
      <c r="AE248" s="554">
        <v>0</v>
      </c>
      <c r="AF248" s="554">
        <v>0</v>
      </c>
      <c r="AG248" s="554">
        <v>0</v>
      </c>
      <c r="AH248" s="554">
        <v>0</v>
      </c>
      <c r="AI248" s="554">
        <v>0</v>
      </c>
      <c r="AJ248" s="554">
        <v>0</v>
      </c>
      <c r="AK248" s="554">
        <v>0</v>
      </c>
      <c r="AL248" s="554">
        <v>0</v>
      </c>
      <c r="AM248" s="554">
        <v>0</v>
      </c>
      <c r="AN248" s="490"/>
      <c r="AO248" s="490"/>
      <c r="AP248" s="27"/>
      <c r="AQ248" s="17"/>
      <c r="AR248" s="9"/>
      <c r="AS248" s="9"/>
      <c r="AT248" s="9"/>
    </row>
    <row r="249" spans="1:46" customFormat="1" outlineLevel="1" x14ac:dyDescent="0.25">
      <c r="A249" s="7"/>
      <c r="B249" s="8"/>
      <c r="C249" s="18"/>
      <c r="D249" s="18"/>
      <c r="E249" s="18"/>
      <c r="F249" s="24"/>
      <c r="G249" s="25"/>
      <c r="H249" s="25"/>
      <c r="I249" s="566" t="s">
        <v>3130</v>
      </c>
      <c r="J249" s="554">
        <v>0</v>
      </c>
      <c r="K249" s="554">
        <v>0</v>
      </c>
      <c r="L249" s="554">
        <v>0</v>
      </c>
      <c r="M249" s="554">
        <v>0</v>
      </c>
      <c r="N249" s="554">
        <v>0</v>
      </c>
      <c r="O249" s="554">
        <v>0</v>
      </c>
      <c r="P249" s="554">
        <v>0</v>
      </c>
      <c r="Q249" s="554">
        <v>0</v>
      </c>
      <c r="R249" s="554">
        <v>0</v>
      </c>
      <c r="S249" s="554">
        <v>0</v>
      </c>
      <c r="T249" s="554">
        <v>0</v>
      </c>
      <c r="U249" s="554">
        <v>0</v>
      </c>
      <c r="V249" s="554">
        <v>0</v>
      </c>
      <c r="W249" s="554">
        <v>0</v>
      </c>
      <c r="X249" s="554">
        <v>0</v>
      </c>
      <c r="Y249" s="554">
        <v>0</v>
      </c>
      <c r="Z249" s="554">
        <v>0</v>
      </c>
      <c r="AA249" s="554">
        <v>0</v>
      </c>
      <c r="AB249" s="554">
        <v>0</v>
      </c>
      <c r="AC249" s="554">
        <v>0</v>
      </c>
      <c r="AD249" s="554">
        <v>0</v>
      </c>
      <c r="AE249" s="554">
        <v>0</v>
      </c>
      <c r="AF249" s="554">
        <v>0</v>
      </c>
      <c r="AG249" s="554">
        <v>0</v>
      </c>
      <c r="AH249" s="554">
        <v>0</v>
      </c>
      <c r="AI249" s="554">
        <v>0</v>
      </c>
      <c r="AJ249" s="554">
        <v>0</v>
      </c>
      <c r="AK249" s="554">
        <v>0</v>
      </c>
      <c r="AL249" s="554">
        <v>0</v>
      </c>
      <c r="AM249" s="554">
        <v>0</v>
      </c>
      <c r="AN249" s="490"/>
      <c r="AO249" s="490"/>
      <c r="AP249" s="27"/>
      <c r="AQ249" s="17"/>
      <c r="AR249" s="9"/>
      <c r="AS249" s="9"/>
      <c r="AT249" s="9"/>
    </row>
    <row r="250" spans="1:46" customFormat="1" outlineLevel="1" x14ac:dyDescent="0.25">
      <c r="A250" s="7"/>
      <c r="B250" s="8"/>
      <c r="C250" s="18"/>
      <c r="D250" s="18"/>
      <c r="E250" s="18"/>
      <c r="F250" s="24"/>
      <c r="G250" s="25"/>
      <c r="H250" s="25"/>
      <c r="I250" s="566" t="s">
        <v>3131</v>
      </c>
      <c r="J250" s="554">
        <v>0</v>
      </c>
      <c r="K250" s="554">
        <v>0</v>
      </c>
      <c r="L250" s="554">
        <v>0</v>
      </c>
      <c r="M250" s="554">
        <v>0</v>
      </c>
      <c r="N250" s="554">
        <v>0</v>
      </c>
      <c r="O250" s="554">
        <v>0</v>
      </c>
      <c r="P250" s="554">
        <v>0</v>
      </c>
      <c r="Q250" s="554">
        <v>0</v>
      </c>
      <c r="R250" s="554">
        <v>0</v>
      </c>
      <c r="S250" s="554">
        <v>0</v>
      </c>
      <c r="T250" s="554">
        <v>0</v>
      </c>
      <c r="U250" s="554">
        <v>0</v>
      </c>
      <c r="V250" s="554">
        <v>0</v>
      </c>
      <c r="W250" s="554">
        <v>0</v>
      </c>
      <c r="X250" s="554">
        <v>0</v>
      </c>
      <c r="Y250" s="554">
        <v>0</v>
      </c>
      <c r="Z250" s="554">
        <v>0</v>
      </c>
      <c r="AA250" s="554">
        <v>0</v>
      </c>
      <c r="AB250" s="554">
        <v>0</v>
      </c>
      <c r="AC250" s="554">
        <v>0</v>
      </c>
      <c r="AD250" s="554">
        <v>0</v>
      </c>
      <c r="AE250" s="554">
        <v>0</v>
      </c>
      <c r="AF250" s="554">
        <v>0</v>
      </c>
      <c r="AG250" s="554">
        <v>0</v>
      </c>
      <c r="AH250" s="554">
        <v>0</v>
      </c>
      <c r="AI250" s="554">
        <v>0</v>
      </c>
      <c r="AJ250" s="554">
        <v>0</v>
      </c>
      <c r="AK250" s="554">
        <v>0</v>
      </c>
      <c r="AL250" s="554">
        <v>0</v>
      </c>
      <c r="AM250" s="554">
        <v>0</v>
      </c>
      <c r="AN250" s="490"/>
      <c r="AO250" s="490"/>
      <c r="AP250" s="27"/>
      <c r="AQ250" s="17"/>
      <c r="AR250" s="9"/>
      <c r="AS250" s="9"/>
      <c r="AT250" s="9"/>
    </row>
    <row r="251" spans="1:46" customFormat="1" outlineLevel="1" x14ac:dyDescent="0.25">
      <c r="A251" s="7"/>
      <c r="B251" s="8"/>
      <c r="C251" s="18"/>
      <c r="D251" s="18"/>
      <c r="E251" s="18"/>
      <c r="F251" s="24"/>
      <c r="G251" s="25"/>
      <c r="H251" s="25"/>
      <c r="J251" s="490"/>
      <c r="K251" s="490"/>
      <c r="L251" s="490"/>
      <c r="M251" s="490"/>
      <c r="N251" s="490"/>
      <c r="O251" s="490"/>
      <c r="P251" s="490"/>
      <c r="Q251" s="490"/>
      <c r="R251" s="490"/>
      <c r="S251" s="490"/>
      <c r="T251" s="490"/>
      <c r="U251" s="490"/>
      <c r="V251" s="490"/>
      <c r="W251" s="490"/>
      <c r="X251" s="490"/>
      <c r="Y251" s="490"/>
      <c r="Z251" s="490"/>
      <c r="AA251" s="490"/>
      <c r="AB251" s="490"/>
      <c r="AC251" s="490"/>
      <c r="AD251" s="490"/>
      <c r="AE251" s="490"/>
      <c r="AF251" s="490"/>
      <c r="AG251" s="490"/>
      <c r="AH251" s="490"/>
      <c r="AI251" s="490"/>
      <c r="AJ251" s="490"/>
      <c r="AK251" s="490"/>
      <c r="AL251" s="490"/>
      <c r="AM251" s="490"/>
      <c r="AN251" s="490"/>
      <c r="AO251" s="490"/>
      <c r="AP251" s="27"/>
      <c r="AQ251" s="17"/>
      <c r="AR251" s="9"/>
      <c r="AS251" s="9"/>
      <c r="AT251" s="9"/>
    </row>
    <row r="252" spans="1:46" customFormat="1" outlineLevel="1" x14ac:dyDescent="0.25">
      <c r="A252" s="7"/>
      <c r="B252" s="8"/>
      <c r="C252" s="18"/>
      <c r="D252" s="18"/>
      <c r="E252" s="18"/>
      <c r="F252" s="24"/>
      <c r="G252" s="25"/>
      <c r="H252" s="25" t="s">
        <v>3132</v>
      </c>
      <c r="I252" s="566" t="s">
        <v>3123</v>
      </c>
      <c r="J252" s="554">
        <v>0</v>
      </c>
      <c r="K252" s="554">
        <v>0</v>
      </c>
      <c r="L252" s="554">
        <v>0</v>
      </c>
      <c r="M252" s="554">
        <v>0</v>
      </c>
      <c r="N252" s="554">
        <v>0</v>
      </c>
      <c r="O252" s="554">
        <v>0</v>
      </c>
      <c r="P252" s="554">
        <v>0</v>
      </c>
      <c r="Q252" s="554">
        <v>0</v>
      </c>
      <c r="R252" s="554">
        <v>0</v>
      </c>
      <c r="S252" s="554">
        <v>0</v>
      </c>
      <c r="T252" s="554">
        <v>0</v>
      </c>
      <c r="U252" s="554">
        <v>0</v>
      </c>
      <c r="V252" s="554">
        <v>0</v>
      </c>
      <c r="W252" s="554">
        <v>0</v>
      </c>
      <c r="X252" s="554">
        <v>0</v>
      </c>
      <c r="Y252" s="554">
        <v>0</v>
      </c>
      <c r="Z252" s="554">
        <v>0</v>
      </c>
      <c r="AA252" s="554">
        <v>0</v>
      </c>
      <c r="AB252" s="554">
        <v>0</v>
      </c>
      <c r="AC252" s="554">
        <v>0</v>
      </c>
      <c r="AD252" s="554">
        <v>0.4</v>
      </c>
      <c r="AE252" s="554">
        <v>0.5</v>
      </c>
      <c r="AF252" s="554">
        <v>0.5</v>
      </c>
      <c r="AG252" s="554">
        <v>0.5</v>
      </c>
      <c r="AH252" s="554">
        <v>0.5</v>
      </c>
      <c r="AI252" s="554">
        <v>0.4</v>
      </c>
      <c r="AJ252" s="554">
        <v>0</v>
      </c>
      <c r="AK252" s="554">
        <v>0.4</v>
      </c>
      <c r="AL252" s="554">
        <v>0.4</v>
      </c>
      <c r="AM252" s="554">
        <v>0.4</v>
      </c>
      <c r="AN252" s="490"/>
      <c r="AO252" s="490"/>
      <c r="AP252" s="27"/>
      <c r="AQ252" s="17"/>
      <c r="AR252" s="9"/>
      <c r="AS252" s="9"/>
      <c r="AT252" s="9"/>
    </row>
    <row r="253" spans="1:46" customFormat="1" outlineLevel="1" x14ac:dyDescent="0.25">
      <c r="A253" s="7"/>
      <c r="B253" s="8"/>
      <c r="C253" s="18"/>
      <c r="D253" s="18"/>
      <c r="E253" s="18"/>
      <c r="F253" s="24"/>
      <c r="G253" s="25"/>
      <c r="H253" s="25"/>
      <c r="I253" s="566" t="s">
        <v>3124</v>
      </c>
      <c r="J253" s="554">
        <v>0</v>
      </c>
      <c r="K253" s="554">
        <v>0</v>
      </c>
      <c r="L253" s="554">
        <v>0</v>
      </c>
      <c r="M253" s="554">
        <v>0</v>
      </c>
      <c r="N253" s="554">
        <v>0</v>
      </c>
      <c r="O253" s="554">
        <v>0</v>
      </c>
      <c r="P253" s="554">
        <v>0</v>
      </c>
      <c r="Q253" s="554">
        <v>0</v>
      </c>
      <c r="R253" s="554">
        <v>0</v>
      </c>
      <c r="S253" s="554">
        <v>0</v>
      </c>
      <c r="T253" s="554">
        <v>0</v>
      </c>
      <c r="U253" s="554">
        <v>0</v>
      </c>
      <c r="V253" s="554">
        <v>0</v>
      </c>
      <c r="W253" s="554">
        <v>0</v>
      </c>
      <c r="X253" s="554">
        <v>0</v>
      </c>
      <c r="Y253" s="554">
        <v>0</v>
      </c>
      <c r="Z253" s="554">
        <v>0</v>
      </c>
      <c r="AA253" s="554">
        <v>0</v>
      </c>
      <c r="AB253" s="554">
        <v>0</v>
      </c>
      <c r="AC253" s="554">
        <v>0</v>
      </c>
      <c r="AD253" s="554">
        <v>0.5</v>
      </c>
      <c r="AE253" s="554">
        <v>0.4</v>
      </c>
      <c r="AF253" s="554">
        <v>0.4</v>
      </c>
      <c r="AG253" s="554">
        <v>0.4</v>
      </c>
      <c r="AH253" s="554">
        <v>0.4</v>
      </c>
      <c r="AI253" s="554">
        <v>0.5</v>
      </c>
      <c r="AJ253" s="554">
        <v>0</v>
      </c>
      <c r="AK253" s="554">
        <v>0.5</v>
      </c>
      <c r="AL253" s="554">
        <v>0.5</v>
      </c>
      <c r="AM253" s="554">
        <v>0.5</v>
      </c>
      <c r="AN253" s="490"/>
      <c r="AO253" s="490"/>
      <c r="AP253" s="27"/>
      <c r="AQ253" s="17"/>
      <c r="AR253" s="9"/>
      <c r="AS253" s="9"/>
      <c r="AT253" s="9"/>
    </row>
    <row r="254" spans="1:46" customFormat="1" outlineLevel="1" x14ac:dyDescent="0.25">
      <c r="A254" s="7"/>
      <c r="B254" s="8"/>
      <c r="C254" s="18"/>
      <c r="D254" s="18"/>
      <c r="E254" s="18"/>
      <c r="F254" s="24"/>
      <c r="G254" s="25"/>
      <c r="H254" s="25"/>
      <c r="I254" s="566" t="s">
        <v>3125</v>
      </c>
      <c r="J254" s="554">
        <v>0</v>
      </c>
      <c r="K254" s="554">
        <v>0</v>
      </c>
      <c r="L254" s="554">
        <v>0</v>
      </c>
      <c r="M254" s="554">
        <v>0</v>
      </c>
      <c r="N254" s="554">
        <v>0</v>
      </c>
      <c r="O254" s="554">
        <v>0</v>
      </c>
      <c r="P254" s="554">
        <v>0</v>
      </c>
      <c r="Q254" s="554">
        <v>0</v>
      </c>
      <c r="R254" s="554">
        <v>0</v>
      </c>
      <c r="S254" s="554">
        <v>0</v>
      </c>
      <c r="T254" s="554">
        <v>0</v>
      </c>
      <c r="U254" s="554">
        <v>0</v>
      </c>
      <c r="V254" s="554">
        <v>0</v>
      </c>
      <c r="W254" s="554">
        <v>0</v>
      </c>
      <c r="X254" s="554">
        <v>0</v>
      </c>
      <c r="Y254" s="554">
        <v>0</v>
      </c>
      <c r="Z254" s="554">
        <v>0</v>
      </c>
      <c r="AA254" s="554">
        <v>0</v>
      </c>
      <c r="AB254" s="554">
        <v>0</v>
      </c>
      <c r="AC254" s="554">
        <v>0</v>
      </c>
      <c r="AD254" s="554">
        <v>0</v>
      </c>
      <c r="AE254" s="554">
        <v>0</v>
      </c>
      <c r="AF254" s="554">
        <v>0</v>
      </c>
      <c r="AG254" s="554">
        <v>0</v>
      </c>
      <c r="AH254" s="554">
        <v>0</v>
      </c>
      <c r="AI254" s="554">
        <v>0</v>
      </c>
      <c r="AJ254" s="554">
        <v>0</v>
      </c>
      <c r="AK254" s="554">
        <v>0</v>
      </c>
      <c r="AL254" s="554">
        <v>0</v>
      </c>
      <c r="AM254" s="554">
        <v>0</v>
      </c>
      <c r="AN254" s="490"/>
      <c r="AO254" s="490"/>
      <c r="AP254" s="27"/>
      <c r="AQ254" s="17"/>
      <c r="AR254" s="9"/>
      <c r="AS254" s="9"/>
      <c r="AT254" s="9"/>
    </row>
    <row r="255" spans="1:46" customFormat="1" outlineLevel="1" x14ac:dyDescent="0.25">
      <c r="A255" s="7"/>
      <c r="B255" s="8"/>
      <c r="C255" s="18"/>
      <c r="D255" s="18"/>
      <c r="E255" s="18"/>
      <c r="F255" s="24"/>
      <c r="G255" s="25"/>
      <c r="H255" s="25"/>
      <c r="I255" s="566" t="s">
        <v>3126</v>
      </c>
      <c r="J255" s="554">
        <v>0</v>
      </c>
      <c r="K255" s="554">
        <v>0</v>
      </c>
      <c r="L255" s="554">
        <v>0</v>
      </c>
      <c r="M255" s="554">
        <v>0</v>
      </c>
      <c r="N255" s="554">
        <v>0</v>
      </c>
      <c r="O255" s="554">
        <v>0</v>
      </c>
      <c r="P255" s="554">
        <v>0</v>
      </c>
      <c r="Q255" s="554">
        <v>0</v>
      </c>
      <c r="R255" s="554">
        <v>0</v>
      </c>
      <c r="S255" s="554">
        <v>0</v>
      </c>
      <c r="T255" s="554">
        <v>0</v>
      </c>
      <c r="U255" s="554">
        <v>0</v>
      </c>
      <c r="V255" s="554">
        <v>0</v>
      </c>
      <c r="W255" s="554">
        <v>0</v>
      </c>
      <c r="X255" s="554">
        <v>0</v>
      </c>
      <c r="Y255" s="554">
        <v>0</v>
      </c>
      <c r="Z255" s="554">
        <v>0</v>
      </c>
      <c r="AA255" s="554">
        <v>0</v>
      </c>
      <c r="AB255" s="554">
        <v>0</v>
      </c>
      <c r="AC255" s="554">
        <v>0</v>
      </c>
      <c r="AD255" s="554">
        <v>0.1</v>
      </c>
      <c r="AE255" s="554">
        <v>0.1</v>
      </c>
      <c r="AF255" s="554">
        <v>0.1</v>
      </c>
      <c r="AG255" s="554">
        <v>0.1</v>
      </c>
      <c r="AH255" s="554">
        <v>0.1</v>
      </c>
      <c r="AI255" s="554">
        <v>0.1</v>
      </c>
      <c r="AJ255" s="554">
        <v>0</v>
      </c>
      <c r="AK255" s="554">
        <v>0.1</v>
      </c>
      <c r="AL255" s="554">
        <v>0.1</v>
      </c>
      <c r="AM255" s="554">
        <v>0.1</v>
      </c>
      <c r="AN255" s="490"/>
      <c r="AO255" s="490"/>
      <c r="AP255" s="27"/>
      <c r="AQ255" s="17"/>
      <c r="AR255" s="9"/>
      <c r="AS255" s="9"/>
      <c r="AT255" s="9"/>
    </row>
    <row r="256" spans="1:46" customFormat="1" outlineLevel="1" x14ac:dyDescent="0.25">
      <c r="A256" s="7"/>
      <c r="B256" s="8"/>
      <c r="C256" s="18"/>
      <c r="D256" s="18"/>
      <c r="E256" s="18"/>
      <c r="F256" s="24"/>
      <c r="G256" s="25"/>
      <c r="H256" s="25"/>
      <c r="I256" s="566" t="s">
        <v>3127</v>
      </c>
      <c r="J256" s="554">
        <v>0</v>
      </c>
      <c r="K256" s="554">
        <v>0</v>
      </c>
      <c r="L256" s="554">
        <v>0</v>
      </c>
      <c r="M256" s="554">
        <v>0</v>
      </c>
      <c r="N256" s="554">
        <v>0</v>
      </c>
      <c r="O256" s="554">
        <v>0</v>
      </c>
      <c r="P256" s="554">
        <v>0</v>
      </c>
      <c r="Q256" s="554">
        <v>0</v>
      </c>
      <c r="R256" s="554">
        <v>0</v>
      </c>
      <c r="S256" s="554">
        <v>0</v>
      </c>
      <c r="T256" s="554">
        <v>0</v>
      </c>
      <c r="U256" s="554">
        <v>0</v>
      </c>
      <c r="V256" s="554">
        <v>0</v>
      </c>
      <c r="W256" s="554">
        <v>0</v>
      </c>
      <c r="X256" s="554">
        <v>0</v>
      </c>
      <c r="Y256" s="554">
        <v>0</v>
      </c>
      <c r="Z256" s="554">
        <v>0</v>
      </c>
      <c r="AA256" s="554">
        <v>0</v>
      </c>
      <c r="AB256" s="554">
        <v>0</v>
      </c>
      <c r="AC256" s="554">
        <v>0</v>
      </c>
      <c r="AD256" s="554">
        <v>0</v>
      </c>
      <c r="AE256" s="554">
        <v>0</v>
      </c>
      <c r="AF256" s="554">
        <v>0</v>
      </c>
      <c r="AG256" s="554">
        <v>0</v>
      </c>
      <c r="AH256" s="554">
        <v>0</v>
      </c>
      <c r="AI256" s="554">
        <v>0</v>
      </c>
      <c r="AJ256" s="554">
        <v>0</v>
      </c>
      <c r="AK256" s="554">
        <v>0</v>
      </c>
      <c r="AL256" s="554">
        <v>0</v>
      </c>
      <c r="AM256" s="554">
        <v>0</v>
      </c>
      <c r="AN256" s="490"/>
      <c r="AO256" s="490"/>
      <c r="AP256" s="27"/>
      <c r="AQ256" s="17"/>
      <c r="AR256" s="9"/>
      <c r="AS256" s="9"/>
      <c r="AT256" s="9"/>
    </row>
    <row r="257" spans="1:46" customFormat="1" outlineLevel="1" x14ac:dyDescent="0.25">
      <c r="A257" s="7"/>
      <c r="B257" s="8"/>
      <c r="C257" s="18"/>
      <c r="D257" s="18"/>
      <c r="E257" s="18"/>
      <c r="F257" s="24"/>
      <c r="G257" s="25"/>
      <c r="H257" s="25"/>
      <c r="I257" s="566" t="s">
        <v>3128</v>
      </c>
      <c r="J257" s="554">
        <v>0</v>
      </c>
      <c r="K257" s="554">
        <v>0</v>
      </c>
      <c r="L257" s="554">
        <v>0</v>
      </c>
      <c r="M257" s="554">
        <v>0</v>
      </c>
      <c r="N257" s="554">
        <v>0</v>
      </c>
      <c r="O257" s="554">
        <v>0</v>
      </c>
      <c r="P257" s="554">
        <v>0</v>
      </c>
      <c r="Q257" s="554">
        <v>0</v>
      </c>
      <c r="R257" s="554">
        <v>0</v>
      </c>
      <c r="S257" s="554">
        <v>0</v>
      </c>
      <c r="T257" s="554">
        <v>0</v>
      </c>
      <c r="U257" s="554">
        <v>0</v>
      </c>
      <c r="V257" s="554">
        <v>0</v>
      </c>
      <c r="W257" s="554">
        <v>0</v>
      </c>
      <c r="X257" s="554">
        <v>0</v>
      </c>
      <c r="Y257" s="554">
        <v>0</v>
      </c>
      <c r="Z257" s="554">
        <v>0</v>
      </c>
      <c r="AA257" s="554">
        <v>0</v>
      </c>
      <c r="AB257" s="554">
        <v>0</v>
      </c>
      <c r="AC257" s="554">
        <v>0</v>
      </c>
      <c r="AD257" s="554">
        <v>0</v>
      </c>
      <c r="AE257" s="554">
        <v>0</v>
      </c>
      <c r="AF257" s="554">
        <v>0</v>
      </c>
      <c r="AG257" s="554">
        <v>0</v>
      </c>
      <c r="AH257" s="554">
        <v>0</v>
      </c>
      <c r="AI257" s="554">
        <v>0</v>
      </c>
      <c r="AJ257" s="554">
        <v>0</v>
      </c>
      <c r="AK257" s="554">
        <v>0</v>
      </c>
      <c r="AL257" s="554">
        <v>0</v>
      </c>
      <c r="AM257" s="554">
        <v>0</v>
      </c>
      <c r="AN257" s="490"/>
      <c r="AO257" s="490"/>
      <c r="AP257" s="27"/>
      <c r="AQ257" s="17"/>
      <c r="AR257" s="9"/>
      <c r="AS257" s="9"/>
      <c r="AT257" s="9"/>
    </row>
    <row r="258" spans="1:46" customFormat="1" outlineLevel="1" x14ac:dyDescent="0.25">
      <c r="A258" s="7"/>
      <c r="B258" s="8"/>
      <c r="C258" s="18"/>
      <c r="D258" s="18"/>
      <c r="E258" s="18"/>
      <c r="F258" s="24"/>
      <c r="G258" s="25"/>
      <c r="H258" s="25"/>
      <c r="I258" s="489"/>
      <c r="J258" s="489"/>
      <c r="K258" s="489"/>
      <c r="L258" s="489"/>
      <c r="M258" s="489"/>
      <c r="N258" s="489"/>
      <c r="O258" s="489"/>
      <c r="P258" s="489"/>
      <c r="Q258" s="489"/>
      <c r="R258" s="489"/>
      <c r="S258" s="489"/>
      <c r="T258" s="489"/>
      <c r="U258" s="489"/>
      <c r="V258" s="489"/>
      <c r="W258" s="489"/>
      <c r="X258" s="489"/>
      <c r="Y258" s="489"/>
      <c r="Z258" s="489"/>
      <c r="AA258" s="489"/>
      <c r="AB258" s="489"/>
      <c r="AC258" s="489"/>
      <c r="AD258" s="489"/>
      <c r="AE258" s="489"/>
      <c r="AF258" s="489"/>
      <c r="AG258" s="489"/>
      <c r="AH258" s="489"/>
      <c r="AI258" s="489"/>
      <c r="AJ258" s="489"/>
      <c r="AK258" s="489"/>
      <c r="AL258" s="489"/>
      <c r="AM258" s="489"/>
      <c r="AN258" s="490"/>
      <c r="AO258" s="490"/>
      <c r="AP258" s="27"/>
      <c r="AQ258" s="17"/>
      <c r="AR258" s="9"/>
      <c r="AS258" s="9"/>
      <c r="AT258" s="9"/>
    </row>
    <row r="259" spans="1:46" customFormat="1" x14ac:dyDescent="0.25">
      <c r="A259" s="7"/>
      <c r="B259" s="8"/>
      <c r="C259" s="18"/>
      <c r="D259" s="18"/>
      <c r="E259" s="18"/>
      <c r="F259" s="24"/>
      <c r="G259" s="547" t="s">
        <v>3133</v>
      </c>
      <c r="H259" s="25"/>
      <c r="I259" s="489"/>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490"/>
      <c r="AO259" s="490"/>
      <c r="AP259" s="27"/>
      <c r="AQ259" s="17"/>
      <c r="AR259" s="9"/>
      <c r="AS259" s="9"/>
      <c r="AT259" s="9"/>
    </row>
    <row r="260" spans="1:46" customFormat="1" outlineLevel="1" x14ac:dyDescent="0.25">
      <c r="A260" s="7"/>
      <c r="B260" s="8"/>
      <c r="C260" s="18"/>
      <c r="D260" s="18"/>
      <c r="E260" s="18"/>
      <c r="F260" s="24"/>
      <c r="G260" s="25"/>
      <c r="H260" s="25" t="s">
        <v>3134</v>
      </c>
      <c r="I260" s="489"/>
      <c r="J260" s="564">
        <v>0</v>
      </c>
      <c r="K260" s="564">
        <v>0</v>
      </c>
      <c r="L260" s="564">
        <v>0</v>
      </c>
      <c r="M260" s="564">
        <v>0</v>
      </c>
      <c r="N260" s="564">
        <v>0</v>
      </c>
      <c r="O260" s="564">
        <v>0</v>
      </c>
      <c r="P260" s="564">
        <v>0</v>
      </c>
      <c r="Q260" s="564">
        <v>0</v>
      </c>
      <c r="R260" s="564">
        <v>0</v>
      </c>
      <c r="S260" s="564">
        <v>0</v>
      </c>
      <c r="T260" s="564">
        <v>0</v>
      </c>
      <c r="U260" s="564">
        <v>0</v>
      </c>
      <c r="V260" s="564">
        <v>0</v>
      </c>
      <c r="W260" s="564">
        <v>0</v>
      </c>
      <c r="X260" s="564">
        <v>0</v>
      </c>
      <c r="Y260" s="564">
        <v>0</v>
      </c>
      <c r="Z260" s="564">
        <v>0</v>
      </c>
      <c r="AA260" s="564">
        <v>0</v>
      </c>
      <c r="AB260" s="564">
        <v>0</v>
      </c>
      <c r="AC260" s="564">
        <v>0</v>
      </c>
      <c r="AD260" s="564">
        <v>0</v>
      </c>
      <c r="AE260" s="564">
        <v>0</v>
      </c>
      <c r="AF260" s="564">
        <v>0</v>
      </c>
      <c r="AG260" s="564">
        <v>0</v>
      </c>
      <c r="AH260" s="564">
        <v>0</v>
      </c>
      <c r="AI260" s="564">
        <v>0</v>
      </c>
      <c r="AJ260" s="564">
        <v>0</v>
      </c>
      <c r="AK260" s="564">
        <v>0</v>
      </c>
      <c r="AL260" s="564">
        <v>0</v>
      </c>
      <c r="AM260" s="564">
        <v>0</v>
      </c>
      <c r="AN260" s="490"/>
      <c r="AO260" s="490"/>
      <c r="AP260" s="27"/>
      <c r="AQ260" s="17"/>
      <c r="AR260" s="9"/>
      <c r="AS260" s="9"/>
      <c r="AT260" s="9"/>
    </row>
    <row r="261" spans="1:46" customFormat="1" outlineLevel="1" x14ac:dyDescent="0.25">
      <c r="A261" s="7"/>
      <c r="B261" s="8"/>
      <c r="C261" s="18"/>
      <c r="D261" s="18"/>
      <c r="E261" s="18"/>
      <c r="F261" s="24"/>
      <c r="G261" s="25"/>
      <c r="H261" s="25" t="s">
        <v>3109</v>
      </c>
      <c r="I261" s="489"/>
      <c r="J261" s="564">
        <v>0</v>
      </c>
      <c r="K261" s="564">
        <v>0</v>
      </c>
      <c r="L261" s="564">
        <v>0</v>
      </c>
      <c r="M261" s="564">
        <v>0</v>
      </c>
      <c r="N261" s="564">
        <v>0</v>
      </c>
      <c r="O261" s="564">
        <v>0</v>
      </c>
      <c r="P261" s="564">
        <v>0</v>
      </c>
      <c r="Q261" s="564">
        <v>0</v>
      </c>
      <c r="R261" s="564">
        <v>0</v>
      </c>
      <c r="S261" s="564">
        <v>0</v>
      </c>
      <c r="T261" s="564">
        <v>0</v>
      </c>
      <c r="U261" s="564">
        <v>0</v>
      </c>
      <c r="V261" s="564">
        <v>0</v>
      </c>
      <c r="W261" s="564">
        <v>0</v>
      </c>
      <c r="X261" s="564">
        <v>0</v>
      </c>
      <c r="Y261" s="564">
        <v>0</v>
      </c>
      <c r="Z261" s="564">
        <v>0</v>
      </c>
      <c r="AA261" s="564">
        <v>0</v>
      </c>
      <c r="AB261" s="564">
        <v>0</v>
      </c>
      <c r="AC261" s="564">
        <v>0</v>
      </c>
      <c r="AD261" s="564">
        <v>0</v>
      </c>
      <c r="AE261" s="564">
        <v>0</v>
      </c>
      <c r="AF261" s="564">
        <v>0</v>
      </c>
      <c r="AG261" s="564">
        <v>0</v>
      </c>
      <c r="AH261" s="564">
        <v>0</v>
      </c>
      <c r="AI261" s="564">
        <v>0</v>
      </c>
      <c r="AJ261" s="564">
        <v>0</v>
      </c>
      <c r="AK261" s="564">
        <v>0</v>
      </c>
      <c r="AL261" s="564">
        <v>0</v>
      </c>
      <c r="AM261" s="564">
        <v>0</v>
      </c>
      <c r="AN261" s="490"/>
      <c r="AO261" s="490"/>
      <c r="AP261" s="27"/>
      <c r="AQ261" s="17"/>
      <c r="AR261" s="9"/>
      <c r="AS261" s="9"/>
      <c r="AT261" s="9"/>
    </row>
    <row r="262" spans="1:46" customFormat="1" outlineLevel="1" x14ac:dyDescent="0.25">
      <c r="A262" s="7"/>
      <c r="B262" s="8"/>
      <c r="C262" s="18"/>
      <c r="D262" s="18"/>
      <c r="E262" s="18"/>
      <c r="F262" s="24"/>
      <c r="G262" s="25"/>
      <c r="H262" s="25" t="s">
        <v>3110</v>
      </c>
      <c r="I262" s="489"/>
      <c r="J262" s="548">
        <v>0</v>
      </c>
      <c r="K262" s="548">
        <v>0</v>
      </c>
      <c r="L262" s="548">
        <v>0</v>
      </c>
      <c r="M262" s="548">
        <v>0</v>
      </c>
      <c r="N262" s="548">
        <v>0</v>
      </c>
      <c r="O262" s="548">
        <v>0</v>
      </c>
      <c r="P262" s="548">
        <v>0</v>
      </c>
      <c r="Q262" s="548">
        <v>0</v>
      </c>
      <c r="R262" s="548">
        <v>0</v>
      </c>
      <c r="S262" s="548">
        <v>0</v>
      </c>
      <c r="T262" s="548">
        <v>0</v>
      </c>
      <c r="U262" s="548">
        <v>0</v>
      </c>
      <c r="V262" s="548">
        <v>0</v>
      </c>
      <c r="W262" s="548">
        <v>0</v>
      </c>
      <c r="X262" s="548">
        <v>0</v>
      </c>
      <c r="Y262" s="548">
        <v>0</v>
      </c>
      <c r="Z262" s="548">
        <v>0</v>
      </c>
      <c r="AA262" s="548">
        <v>0</v>
      </c>
      <c r="AB262" s="548">
        <v>0</v>
      </c>
      <c r="AC262" s="548">
        <v>0</v>
      </c>
      <c r="AD262" s="548">
        <v>0</v>
      </c>
      <c r="AE262" s="548">
        <v>0</v>
      </c>
      <c r="AF262" s="548">
        <v>0</v>
      </c>
      <c r="AG262" s="548">
        <v>0</v>
      </c>
      <c r="AH262" s="548">
        <v>0</v>
      </c>
      <c r="AI262" s="548">
        <v>0</v>
      </c>
      <c r="AJ262" s="548">
        <v>0</v>
      </c>
      <c r="AK262" s="548">
        <v>0</v>
      </c>
      <c r="AL262" s="548">
        <v>0</v>
      </c>
      <c r="AM262" s="548">
        <v>0</v>
      </c>
      <c r="AN262" s="490"/>
      <c r="AO262" s="490"/>
      <c r="AP262" s="27"/>
      <c r="AQ262" s="17"/>
      <c r="AR262" s="9"/>
      <c r="AS262" s="9"/>
      <c r="AT262" s="9"/>
    </row>
    <row r="263" spans="1:46" customFormat="1" outlineLevel="1" x14ac:dyDescent="0.25">
      <c r="A263" s="7"/>
      <c r="B263" s="8"/>
      <c r="C263" s="18"/>
      <c r="D263" s="18"/>
      <c r="E263" s="18"/>
      <c r="F263" s="24"/>
      <c r="G263" s="25"/>
      <c r="H263" s="25" t="s">
        <v>3135</v>
      </c>
      <c r="I263" s="489"/>
      <c r="J263" s="564">
        <v>0</v>
      </c>
      <c r="K263" s="564">
        <v>0</v>
      </c>
      <c r="L263" s="564">
        <v>0</v>
      </c>
      <c r="M263" s="564">
        <v>0</v>
      </c>
      <c r="N263" s="564">
        <v>0</v>
      </c>
      <c r="O263" s="564">
        <v>0</v>
      </c>
      <c r="P263" s="564">
        <v>0</v>
      </c>
      <c r="Q263" s="564">
        <v>0</v>
      </c>
      <c r="R263" s="564">
        <v>0</v>
      </c>
      <c r="S263" s="564">
        <v>0</v>
      </c>
      <c r="T263" s="564">
        <v>0</v>
      </c>
      <c r="U263" s="564">
        <v>0</v>
      </c>
      <c r="V263" s="564">
        <v>0</v>
      </c>
      <c r="W263" s="564">
        <v>0</v>
      </c>
      <c r="X263" s="564">
        <v>0</v>
      </c>
      <c r="Y263" s="564">
        <v>0</v>
      </c>
      <c r="Z263" s="564">
        <v>0</v>
      </c>
      <c r="AA263" s="564">
        <v>0</v>
      </c>
      <c r="AB263" s="564">
        <v>0</v>
      </c>
      <c r="AC263" s="564">
        <v>0</v>
      </c>
      <c r="AD263" s="564">
        <v>0</v>
      </c>
      <c r="AE263" s="564">
        <v>0</v>
      </c>
      <c r="AF263" s="564">
        <v>0</v>
      </c>
      <c r="AG263" s="564">
        <v>0</v>
      </c>
      <c r="AH263" s="564">
        <v>0</v>
      </c>
      <c r="AI263" s="564">
        <v>0</v>
      </c>
      <c r="AJ263" s="564">
        <v>0</v>
      </c>
      <c r="AK263" s="564">
        <v>0</v>
      </c>
      <c r="AL263" s="564">
        <v>0</v>
      </c>
      <c r="AM263" s="564">
        <v>0</v>
      </c>
      <c r="AN263" s="490"/>
      <c r="AO263" s="490"/>
      <c r="AP263" s="27"/>
      <c r="AQ263" s="17"/>
      <c r="AR263" s="9"/>
      <c r="AS263" s="9"/>
      <c r="AT263" s="9"/>
    </row>
    <row r="264" spans="1:46" customFormat="1" ht="15" customHeight="1" outlineLevel="1" x14ac:dyDescent="0.25">
      <c r="A264" s="7"/>
      <c r="B264" s="8"/>
      <c r="C264" s="18"/>
      <c r="D264" s="18"/>
      <c r="E264" s="18"/>
      <c r="F264" s="24"/>
      <c r="G264" s="25"/>
      <c r="H264" s="25" t="s">
        <v>3112</v>
      </c>
      <c r="I264" s="631"/>
      <c r="J264" s="562">
        <v>0.11</v>
      </c>
      <c r="K264" s="562">
        <v>0.11</v>
      </c>
      <c r="L264" s="562">
        <v>0.11</v>
      </c>
      <c r="M264" s="562">
        <v>0.11</v>
      </c>
      <c r="N264" s="562">
        <v>0.11</v>
      </c>
      <c r="O264" s="562">
        <v>0.11</v>
      </c>
      <c r="P264" s="562">
        <v>0.11</v>
      </c>
      <c r="Q264" s="562">
        <v>0.11</v>
      </c>
      <c r="R264" s="562">
        <v>0.11</v>
      </c>
      <c r="S264" s="562">
        <v>0.11</v>
      </c>
      <c r="T264" s="562">
        <v>0.11</v>
      </c>
      <c r="U264" s="562">
        <v>0.11</v>
      </c>
      <c r="V264" s="562">
        <v>0.11</v>
      </c>
      <c r="W264" s="562">
        <v>0.11</v>
      </c>
      <c r="X264" s="562">
        <v>0.11</v>
      </c>
      <c r="Y264" s="562">
        <v>0.11</v>
      </c>
      <c r="Z264" s="562">
        <v>0.11</v>
      </c>
      <c r="AA264" s="562">
        <v>0.11</v>
      </c>
      <c r="AB264" s="562">
        <v>0.11</v>
      </c>
      <c r="AC264" s="562">
        <v>0.11</v>
      </c>
      <c r="AD264" s="562">
        <v>0.11</v>
      </c>
      <c r="AE264" s="562">
        <v>0.11</v>
      </c>
      <c r="AF264" s="562">
        <v>0.11</v>
      </c>
      <c r="AG264" s="562">
        <v>0.11</v>
      </c>
      <c r="AH264" s="562">
        <v>0.11</v>
      </c>
      <c r="AI264" s="562">
        <v>0.11</v>
      </c>
      <c r="AJ264" s="562">
        <v>0.11</v>
      </c>
      <c r="AK264" s="562">
        <v>0.11</v>
      </c>
      <c r="AL264" s="562">
        <v>0.11</v>
      </c>
      <c r="AM264" s="562">
        <v>0.11</v>
      </c>
      <c r="AN264" s="490"/>
      <c r="AO264" s="490"/>
      <c r="AP264" s="27"/>
      <c r="AQ264" s="17"/>
      <c r="AR264" s="9"/>
      <c r="AS264" s="9"/>
      <c r="AT264" s="9"/>
    </row>
    <row r="265" spans="1:46" customFormat="1" outlineLevel="1" x14ac:dyDescent="0.25">
      <c r="A265" s="7"/>
      <c r="B265" s="8"/>
      <c r="C265" s="18"/>
      <c r="D265" s="18"/>
      <c r="E265" s="18"/>
      <c r="F265" s="24"/>
      <c r="G265" s="25"/>
      <c r="H265" s="25" t="s">
        <v>3114</v>
      </c>
      <c r="I265" s="631"/>
      <c r="J265" s="563">
        <f>(1-J264)*Parameters!$V$403</f>
        <v>0.11515711645101664</v>
      </c>
      <c r="K265" s="563">
        <f>(1-K264)*Parameters!$V$403</f>
        <v>0.11515711645101664</v>
      </c>
      <c r="L265" s="563">
        <f>(1-L264)*Parameters!$V$403</f>
        <v>0.11515711645101664</v>
      </c>
      <c r="M265" s="563">
        <f>(1-M264)*Parameters!$V$403</f>
        <v>0.11515711645101664</v>
      </c>
      <c r="N265" s="563">
        <f>(1-N264)*Parameters!$V$403</f>
        <v>0.11515711645101664</v>
      </c>
      <c r="O265" s="563">
        <f>(1-O264)*Parameters!$V$403</f>
        <v>0.11515711645101664</v>
      </c>
      <c r="P265" s="563">
        <f>(1-P264)*Parameters!$V$403</f>
        <v>0.11515711645101664</v>
      </c>
      <c r="Q265" s="563">
        <f>(1-Q264)*Parameters!$V$403</f>
        <v>0.11515711645101664</v>
      </c>
      <c r="R265" s="563">
        <f>(1-R264)*Parameters!$V$403</f>
        <v>0.11515711645101664</v>
      </c>
      <c r="S265" s="563">
        <f>(1-S264)*Parameters!$V$403</f>
        <v>0.11515711645101664</v>
      </c>
      <c r="T265" s="563">
        <f>(1-T264)*Parameters!$V$403</f>
        <v>0.11515711645101664</v>
      </c>
      <c r="U265" s="563">
        <f>(1-U264)*Parameters!$V$403</f>
        <v>0.11515711645101664</v>
      </c>
      <c r="V265" s="563">
        <f>(1-V264)*Parameters!$V$403</f>
        <v>0.11515711645101664</v>
      </c>
      <c r="W265" s="563">
        <f>(1-W264)*Parameters!$V$403</f>
        <v>0.11515711645101664</v>
      </c>
      <c r="X265" s="563">
        <f>(1-X264)*Parameters!$V$403</f>
        <v>0.11515711645101664</v>
      </c>
      <c r="Y265" s="563">
        <f>(1-Y264)*Parameters!$V$403</f>
        <v>0.11515711645101664</v>
      </c>
      <c r="Z265" s="563">
        <f>(1-Z264)*Parameters!$V$403</f>
        <v>0.11515711645101664</v>
      </c>
      <c r="AA265" s="563">
        <f>(1-AA264)*Parameters!$V$403</f>
        <v>0.11515711645101664</v>
      </c>
      <c r="AB265" s="563">
        <f>(1-AB264)*Parameters!$V$403</f>
        <v>0.11515711645101664</v>
      </c>
      <c r="AC265" s="563">
        <f>(1-AC264)*Parameters!$V$403</f>
        <v>0.11515711645101664</v>
      </c>
      <c r="AD265" s="563">
        <f>(1-AD264)*Parameters!$V$403</f>
        <v>0.11515711645101664</v>
      </c>
      <c r="AE265" s="563">
        <f>(1-AE264)*Parameters!$V$403</f>
        <v>0.11515711645101664</v>
      </c>
      <c r="AF265" s="563">
        <f>(1-AF264)*Parameters!$V$403</f>
        <v>0.11515711645101664</v>
      </c>
      <c r="AG265" s="563">
        <f>(1-AG264)*Parameters!$V$403</f>
        <v>0.11515711645101664</v>
      </c>
      <c r="AH265" s="563">
        <f>(1-AH264)*Parameters!$V$403</f>
        <v>0.11515711645101664</v>
      </c>
      <c r="AI265" s="563">
        <f>(1-AI264)*Parameters!$V$403</f>
        <v>0.11515711645101664</v>
      </c>
      <c r="AJ265" s="563">
        <f>(1-AJ264)*Parameters!$V$403</f>
        <v>0.11515711645101664</v>
      </c>
      <c r="AK265" s="563">
        <f>(1-AK264)*Parameters!$V$403</f>
        <v>0.11515711645101664</v>
      </c>
      <c r="AL265" s="563">
        <f>(1-AL264)*Parameters!$V$403</f>
        <v>0.11515711645101664</v>
      </c>
      <c r="AM265" s="563">
        <f>(1-AM264)*Parameters!$V$403</f>
        <v>0.11515711645101664</v>
      </c>
      <c r="AN265" s="490"/>
      <c r="AO265" s="490"/>
      <c r="AP265" s="27"/>
      <c r="AQ265" s="17"/>
      <c r="AR265" s="9"/>
      <c r="AS265" s="9"/>
      <c r="AT265" s="9"/>
    </row>
    <row r="266" spans="1:46" customFormat="1" outlineLevel="1" x14ac:dyDescent="0.25">
      <c r="A266" s="7"/>
      <c r="B266" s="8"/>
      <c r="C266" s="18"/>
      <c r="D266" s="18"/>
      <c r="E266" s="18"/>
      <c r="F266" s="24"/>
      <c r="G266" s="25"/>
      <c r="H266" s="25" t="s">
        <v>3115</v>
      </c>
      <c r="I266" s="631"/>
      <c r="J266" s="563">
        <f>1-SUM(J264:J265)</f>
        <v>0.77484288354898334</v>
      </c>
      <c r="K266" s="563">
        <f t="shared" ref="K266:AI266" si="23">1-SUM(K264:K265)</f>
        <v>0.77484288354898334</v>
      </c>
      <c r="L266" s="563">
        <f t="shared" si="23"/>
        <v>0.77484288354898334</v>
      </c>
      <c r="M266" s="563">
        <f t="shared" si="23"/>
        <v>0.77484288354898334</v>
      </c>
      <c r="N266" s="563">
        <f t="shared" si="23"/>
        <v>0.77484288354898334</v>
      </c>
      <c r="O266" s="563">
        <f t="shared" si="23"/>
        <v>0.77484288354898334</v>
      </c>
      <c r="P266" s="563">
        <f t="shared" si="23"/>
        <v>0.77484288354898334</v>
      </c>
      <c r="Q266" s="563">
        <f t="shared" si="23"/>
        <v>0.77484288354898334</v>
      </c>
      <c r="R266" s="563">
        <f t="shared" si="23"/>
        <v>0.77484288354898334</v>
      </c>
      <c r="S266" s="563">
        <f t="shared" si="23"/>
        <v>0.77484288354898334</v>
      </c>
      <c r="T266" s="563">
        <f t="shared" si="23"/>
        <v>0.77484288354898334</v>
      </c>
      <c r="U266" s="563">
        <f t="shared" si="23"/>
        <v>0.77484288354898334</v>
      </c>
      <c r="V266" s="563">
        <f t="shared" si="23"/>
        <v>0.77484288354898334</v>
      </c>
      <c r="W266" s="563">
        <f t="shared" si="23"/>
        <v>0.77484288354898334</v>
      </c>
      <c r="X266" s="563">
        <f t="shared" si="23"/>
        <v>0.77484288354898334</v>
      </c>
      <c r="Y266" s="563">
        <f t="shared" si="23"/>
        <v>0.77484288354898334</v>
      </c>
      <c r="Z266" s="563">
        <f t="shared" si="23"/>
        <v>0.77484288354898334</v>
      </c>
      <c r="AA266" s="563">
        <f t="shared" si="23"/>
        <v>0.77484288354898334</v>
      </c>
      <c r="AB266" s="563">
        <f t="shared" si="23"/>
        <v>0.77484288354898334</v>
      </c>
      <c r="AC266" s="563">
        <f t="shared" si="23"/>
        <v>0.77484288354898334</v>
      </c>
      <c r="AD266" s="563">
        <f t="shared" si="23"/>
        <v>0.77484288354898334</v>
      </c>
      <c r="AE266" s="563">
        <f t="shared" si="23"/>
        <v>0.77484288354898334</v>
      </c>
      <c r="AF266" s="563">
        <f t="shared" si="23"/>
        <v>0.77484288354898334</v>
      </c>
      <c r="AG266" s="563">
        <f t="shared" si="23"/>
        <v>0.77484288354898334</v>
      </c>
      <c r="AH266" s="563">
        <f t="shared" si="23"/>
        <v>0.77484288354898334</v>
      </c>
      <c r="AI266" s="563">
        <f t="shared" si="23"/>
        <v>0.77484288354898334</v>
      </c>
      <c r="AJ266" s="563">
        <f>1-SUM(AJ264:AJ265)</f>
        <v>0.77484288354898334</v>
      </c>
      <c r="AK266" s="563">
        <f t="shared" ref="AK266:AM266" si="24">1-SUM(AK264:AK265)</f>
        <v>0.77484288354898334</v>
      </c>
      <c r="AL266" s="563">
        <f t="shared" ref="AL266" si="25">1-SUM(AL264:AL265)</f>
        <v>0.77484288354898334</v>
      </c>
      <c r="AM266" s="563">
        <f t="shared" si="24"/>
        <v>0.77484288354898334</v>
      </c>
      <c r="AN266" s="490"/>
      <c r="AO266" s="490"/>
      <c r="AP266" s="27"/>
      <c r="AQ266" s="17"/>
      <c r="AR266" s="9"/>
      <c r="AS266" s="9"/>
      <c r="AT266" s="9"/>
    </row>
    <row r="267" spans="1:46" customFormat="1" outlineLevel="1" x14ac:dyDescent="0.25">
      <c r="A267" s="7"/>
      <c r="B267" s="8"/>
      <c r="C267" s="18"/>
      <c r="D267" s="18"/>
      <c r="E267" s="18"/>
      <c r="F267" s="24"/>
      <c r="G267" s="547"/>
      <c r="H267" s="25"/>
      <c r="I267" s="489"/>
      <c r="J267" s="490"/>
      <c r="K267" s="490"/>
      <c r="L267" s="490"/>
      <c r="M267" s="490"/>
      <c r="N267" s="490"/>
      <c r="O267" s="490"/>
      <c r="P267" s="490"/>
      <c r="Q267" s="490"/>
      <c r="R267" s="490"/>
      <c r="S267" s="490"/>
      <c r="T267" s="490"/>
      <c r="U267" s="490"/>
      <c r="V267" s="490"/>
      <c r="W267" s="490"/>
      <c r="X267" s="490"/>
      <c r="Y267" s="490"/>
      <c r="Z267" s="490"/>
      <c r="AA267" s="490"/>
      <c r="AB267" s="490"/>
      <c r="AC267" s="490"/>
      <c r="AD267" s="490"/>
      <c r="AE267" s="490"/>
      <c r="AF267" s="490"/>
      <c r="AG267" s="490"/>
      <c r="AH267" s="490"/>
      <c r="AI267" s="490"/>
      <c r="AJ267" s="490"/>
      <c r="AK267" s="490"/>
      <c r="AL267" s="490"/>
      <c r="AM267" s="490"/>
      <c r="AN267" s="490"/>
      <c r="AO267" s="490"/>
      <c r="AP267" s="27"/>
      <c r="AQ267" s="17"/>
      <c r="AR267" s="9"/>
      <c r="AS267" s="9"/>
      <c r="AT267" s="9"/>
    </row>
    <row r="268" spans="1:46" customFormat="1" outlineLevel="1" x14ac:dyDescent="0.25">
      <c r="A268" s="7"/>
      <c r="B268" s="8"/>
      <c r="C268" s="18"/>
      <c r="D268" s="18"/>
      <c r="E268" s="18"/>
      <c r="F268" s="24"/>
      <c r="G268" s="547"/>
      <c r="H268" s="25"/>
      <c r="I268" s="489"/>
      <c r="J268" s="490"/>
      <c r="K268" s="490"/>
      <c r="L268" s="490"/>
      <c r="M268" s="490"/>
      <c r="N268" s="490"/>
      <c r="O268" s="490"/>
      <c r="P268" s="490"/>
      <c r="Q268" s="490"/>
      <c r="R268" s="490"/>
      <c r="S268" s="490"/>
      <c r="T268" s="490"/>
      <c r="U268" s="490"/>
      <c r="V268" s="490"/>
      <c r="W268" s="490"/>
      <c r="X268" s="490"/>
      <c r="Y268" s="490"/>
      <c r="Z268" s="490"/>
      <c r="AA268" s="490"/>
      <c r="AB268" s="490"/>
      <c r="AC268" s="490"/>
      <c r="AD268" s="490"/>
      <c r="AE268" s="490"/>
      <c r="AF268" s="490"/>
      <c r="AG268" s="490"/>
      <c r="AH268" s="490"/>
      <c r="AI268" s="490"/>
      <c r="AJ268" s="490"/>
      <c r="AK268" s="490"/>
      <c r="AL268" s="490"/>
      <c r="AM268" s="490"/>
      <c r="AN268" s="490"/>
      <c r="AO268" s="490"/>
      <c r="AP268" s="27"/>
      <c r="AQ268" s="17"/>
      <c r="AR268" s="9"/>
      <c r="AS268" s="9"/>
      <c r="AT268" s="9"/>
    </row>
    <row r="269" spans="1:46" customFormat="1" x14ac:dyDescent="0.25">
      <c r="A269" s="7"/>
      <c r="B269" s="8"/>
      <c r="C269" s="18"/>
      <c r="D269" s="18"/>
      <c r="E269" s="18"/>
      <c r="F269" s="24"/>
      <c r="G269" s="547" t="s">
        <v>3136</v>
      </c>
      <c r="H269" s="25"/>
      <c r="I269" s="489"/>
      <c r="J269" s="490"/>
      <c r="K269" s="490"/>
      <c r="L269" s="490"/>
      <c r="M269" s="490"/>
      <c r="N269" s="490"/>
      <c r="O269" s="490"/>
      <c r="P269" s="490"/>
      <c r="Q269" s="490"/>
      <c r="R269" s="490"/>
      <c r="S269" s="490"/>
      <c r="T269" s="490"/>
      <c r="U269" s="490"/>
      <c r="V269" s="490"/>
      <c r="W269" s="490"/>
      <c r="X269" s="490"/>
      <c r="Y269" s="490"/>
      <c r="Z269" s="490"/>
      <c r="AA269" s="490"/>
      <c r="AB269" s="490"/>
      <c r="AC269" s="490"/>
      <c r="AD269" s="490"/>
      <c r="AE269" s="490"/>
      <c r="AF269" s="490"/>
      <c r="AG269" s="490"/>
      <c r="AH269" s="490"/>
      <c r="AI269" s="490"/>
      <c r="AJ269" s="490"/>
      <c r="AK269" s="490"/>
      <c r="AL269" s="490"/>
      <c r="AM269" s="490"/>
      <c r="AN269" s="490"/>
      <c r="AO269" s="490"/>
      <c r="AP269" s="27"/>
      <c r="AQ269" s="17"/>
      <c r="AR269" s="9"/>
      <c r="AS269" s="9"/>
      <c r="AT269" s="9"/>
    </row>
    <row r="270" spans="1:46" customFormat="1" ht="12" customHeight="1" outlineLevel="1" x14ac:dyDescent="0.25">
      <c r="A270" s="7"/>
      <c r="B270" s="8"/>
      <c r="C270" s="18"/>
      <c r="D270" s="18"/>
      <c r="E270" s="18"/>
      <c r="F270" s="24"/>
      <c r="H270" s="503" t="s">
        <v>3137</v>
      </c>
      <c r="I270" s="503"/>
      <c r="J270" s="490"/>
      <c r="K270" s="490"/>
      <c r="L270" s="490"/>
      <c r="M270" s="490"/>
      <c r="N270" s="490"/>
      <c r="O270" s="490"/>
      <c r="P270" s="490"/>
      <c r="Q270" s="490"/>
      <c r="R270" s="490"/>
      <c r="S270" s="490"/>
      <c r="T270" s="490"/>
      <c r="U270" s="490"/>
      <c r="V270" s="490"/>
      <c r="W270" s="490"/>
      <c r="X270" s="490"/>
      <c r="Y270" s="490"/>
      <c r="Z270" s="490"/>
      <c r="AA270" s="490"/>
      <c r="AB270" s="490"/>
      <c r="AC270" s="490"/>
      <c r="AD270" s="490"/>
      <c r="AE270" s="490"/>
      <c r="AF270" s="490"/>
      <c r="AG270" s="490"/>
      <c r="AH270" s="490"/>
      <c r="AI270" s="490"/>
      <c r="AJ270" s="490"/>
      <c r="AK270" s="490"/>
      <c r="AL270" s="490"/>
      <c r="AM270" s="490"/>
      <c r="AN270" s="491"/>
      <c r="AO270" s="491"/>
      <c r="AP270" s="27"/>
      <c r="AQ270" s="17"/>
      <c r="AR270" s="9"/>
      <c r="AS270" s="9"/>
      <c r="AT270" s="9"/>
    </row>
    <row r="271" spans="1:46" customFormat="1" ht="12" customHeight="1" outlineLevel="1" x14ac:dyDescent="0.25">
      <c r="A271" s="7"/>
      <c r="B271" s="8"/>
      <c r="C271" s="18"/>
      <c r="D271" s="18"/>
      <c r="E271" s="18"/>
      <c r="F271" s="24"/>
      <c r="H271" s="503"/>
      <c r="I271" s="491" t="s">
        <v>3138</v>
      </c>
      <c r="J271" s="567">
        <v>1</v>
      </c>
      <c r="K271" s="567">
        <v>1</v>
      </c>
      <c r="L271" s="567">
        <v>1</v>
      </c>
      <c r="M271" s="567">
        <v>1</v>
      </c>
      <c r="N271" s="567">
        <v>1</v>
      </c>
      <c r="O271" s="567">
        <v>1</v>
      </c>
      <c r="P271" s="567">
        <v>1</v>
      </c>
      <c r="Q271" s="567">
        <v>1</v>
      </c>
      <c r="R271" s="567">
        <v>1</v>
      </c>
      <c r="S271" s="567">
        <v>1</v>
      </c>
      <c r="T271" s="567">
        <v>1</v>
      </c>
      <c r="U271" s="567">
        <v>1</v>
      </c>
      <c r="V271" s="567">
        <v>1</v>
      </c>
      <c r="W271" s="567">
        <v>1</v>
      </c>
      <c r="X271" s="567">
        <v>1</v>
      </c>
      <c r="Y271" s="567">
        <v>1</v>
      </c>
      <c r="Z271" s="567">
        <v>1</v>
      </c>
      <c r="AA271" s="567">
        <v>1</v>
      </c>
      <c r="AB271" s="567">
        <v>1</v>
      </c>
      <c r="AC271" s="567">
        <v>1</v>
      </c>
      <c r="AD271" s="567">
        <v>1</v>
      </c>
      <c r="AE271" s="567">
        <v>1</v>
      </c>
      <c r="AF271" s="567">
        <v>1</v>
      </c>
      <c r="AG271" s="567">
        <v>1</v>
      </c>
      <c r="AH271" s="567">
        <v>1</v>
      </c>
      <c r="AI271" s="567">
        <v>1</v>
      </c>
      <c r="AJ271" s="567">
        <v>1</v>
      </c>
      <c r="AK271" s="567">
        <v>1</v>
      </c>
      <c r="AL271" s="567">
        <v>1</v>
      </c>
      <c r="AM271" s="567">
        <v>1</v>
      </c>
      <c r="AN271" s="490"/>
      <c r="AO271" s="490"/>
      <c r="AP271" s="27"/>
      <c r="AQ271" s="17"/>
      <c r="AR271" s="9"/>
      <c r="AS271" s="9"/>
      <c r="AT271" s="9"/>
    </row>
    <row r="272" spans="1:46" customFormat="1" ht="12" customHeight="1" outlineLevel="1" x14ac:dyDescent="0.25">
      <c r="A272" s="7"/>
      <c r="B272" s="8"/>
      <c r="C272" s="18"/>
      <c r="D272" s="18"/>
      <c r="E272" s="18"/>
      <c r="F272" s="24"/>
      <c r="H272" s="503"/>
      <c r="I272" s="491" t="s">
        <v>3139</v>
      </c>
      <c r="J272" s="567">
        <v>6</v>
      </c>
      <c r="K272" s="567">
        <v>6</v>
      </c>
      <c r="L272" s="567">
        <v>6</v>
      </c>
      <c r="M272" s="567">
        <v>6</v>
      </c>
      <c r="N272" s="567">
        <v>6</v>
      </c>
      <c r="O272" s="567">
        <v>6</v>
      </c>
      <c r="P272" s="567">
        <v>6</v>
      </c>
      <c r="Q272" s="567">
        <v>6</v>
      </c>
      <c r="R272" s="567">
        <v>6</v>
      </c>
      <c r="S272" s="567">
        <v>6</v>
      </c>
      <c r="T272" s="567">
        <v>6</v>
      </c>
      <c r="U272" s="567">
        <v>6</v>
      </c>
      <c r="V272" s="567">
        <v>6</v>
      </c>
      <c r="W272" s="567">
        <v>6</v>
      </c>
      <c r="X272" s="567">
        <v>6</v>
      </c>
      <c r="Y272" s="567">
        <v>6</v>
      </c>
      <c r="Z272" s="567">
        <v>6</v>
      </c>
      <c r="AA272" s="567">
        <v>6</v>
      </c>
      <c r="AB272" s="567">
        <v>6</v>
      </c>
      <c r="AC272" s="567">
        <v>6</v>
      </c>
      <c r="AD272" s="567">
        <v>6</v>
      </c>
      <c r="AE272" s="567">
        <v>6</v>
      </c>
      <c r="AF272" s="567">
        <v>6</v>
      </c>
      <c r="AG272" s="567">
        <v>6</v>
      </c>
      <c r="AH272" s="567">
        <v>6</v>
      </c>
      <c r="AI272" s="567">
        <v>6</v>
      </c>
      <c r="AJ272" s="567">
        <v>6</v>
      </c>
      <c r="AK272" s="567">
        <v>6</v>
      </c>
      <c r="AL272" s="567">
        <v>6</v>
      </c>
      <c r="AM272" s="567">
        <v>6</v>
      </c>
      <c r="AN272" s="490"/>
      <c r="AO272" s="490"/>
      <c r="AP272" s="27"/>
      <c r="AQ272" s="17"/>
      <c r="AR272" s="9"/>
      <c r="AS272" s="9"/>
      <c r="AT272" s="9"/>
    </row>
    <row r="273" spans="1:46" customFormat="1" ht="12" customHeight="1" outlineLevel="1" x14ac:dyDescent="0.25">
      <c r="A273" s="7"/>
      <c r="B273" s="8"/>
      <c r="C273" s="18"/>
      <c r="D273" s="18"/>
      <c r="E273" s="18"/>
      <c r="F273" s="24"/>
      <c r="H273" s="503"/>
      <c r="I273" s="491" t="s">
        <v>3140</v>
      </c>
      <c r="J273" s="567">
        <v>7</v>
      </c>
      <c r="K273" s="567">
        <v>7</v>
      </c>
      <c r="L273" s="567">
        <v>7</v>
      </c>
      <c r="M273" s="567">
        <v>7</v>
      </c>
      <c r="N273" s="567">
        <v>7</v>
      </c>
      <c r="O273" s="567">
        <v>7</v>
      </c>
      <c r="P273" s="567">
        <v>7</v>
      </c>
      <c r="Q273" s="567">
        <v>7</v>
      </c>
      <c r="R273" s="567">
        <v>7</v>
      </c>
      <c r="S273" s="567">
        <v>7</v>
      </c>
      <c r="T273" s="567">
        <v>7</v>
      </c>
      <c r="U273" s="567">
        <v>7</v>
      </c>
      <c r="V273" s="567">
        <v>7</v>
      </c>
      <c r="W273" s="567">
        <v>7</v>
      </c>
      <c r="X273" s="567">
        <v>7</v>
      </c>
      <c r="Y273" s="567">
        <v>7</v>
      </c>
      <c r="Z273" s="567">
        <v>7</v>
      </c>
      <c r="AA273" s="567">
        <v>7</v>
      </c>
      <c r="AB273" s="567">
        <v>7</v>
      </c>
      <c r="AC273" s="567">
        <v>7</v>
      </c>
      <c r="AD273" s="567">
        <v>7</v>
      </c>
      <c r="AE273" s="567">
        <v>7</v>
      </c>
      <c r="AF273" s="567">
        <v>7</v>
      </c>
      <c r="AG273" s="567">
        <v>7</v>
      </c>
      <c r="AH273" s="567">
        <v>7</v>
      </c>
      <c r="AI273" s="567">
        <v>7</v>
      </c>
      <c r="AJ273" s="567">
        <v>7</v>
      </c>
      <c r="AK273" s="567">
        <v>7</v>
      </c>
      <c r="AL273" s="567">
        <v>7</v>
      </c>
      <c r="AM273" s="567">
        <v>7</v>
      </c>
      <c r="AN273" s="490"/>
      <c r="AO273" s="490"/>
      <c r="AP273" s="27"/>
      <c r="AQ273" s="17"/>
      <c r="AR273" s="9"/>
      <c r="AS273" s="9"/>
      <c r="AT273" s="9"/>
    </row>
    <row r="274" spans="1:46" customFormat="1" ht="12" customHeight="1" outlineLevel="1" x14ac:dyDescent="0.25">
      <c r="A274" s="7"/>
      <c r="B274" s="8"/>
      <c r="C274" s="18"/>
      <c r="D274" s="18"/>
      <c r="E274" s="18"/>
      <c r="F274" s="24"/>
      <c r="H274" s="503"/>
      <c r="I274" s="503"/>
      <c r="J274" s="568"/>
      <c r="K274" s="568"/>
      <c r="L274" s="568"/>
      <c r="M274" s="568"/>
      <c r="N274" s="568"/>
      <c r="O274" s="568"/>
      <c r="P274" s="568"/>
      <c r="Q274" s="568"/>
      <c r="R274" s="568"/>
      <c r="S274" s="568"/>
      <c r="T274" s="568"/>
      <c r="U274" s="568"/>
      <c r="V274" s="568"/>
      <c r="W274" s="568"/>
      <c r="X274" s="568"/>
      <c r="Y274" s="568"/>
      <c r="Z274" s="568"/>
      <c r="AA274" s="568"/>
      <c r="AB274" s="568"/>
      <c r="AC274" s="568"/>
      <c r="AD274" s="568"/>
      <c r="AE274" s="568"/>
      <c r="AF274" s="568"/>
      <c r="AG274" s="568"/>
      <c r="AH274" s="568"/>
      <c r="AI274" s="568"/>
      <c r="AJ274" s="568"/>
      <c r="AK274" s="568"/>
      <c r="AL274" s="568"/>
      <c r="AM274" s="568"/>
      <c r="AN274" s="490"/>
      <c r="AO274" s="490"/>
      <c r="AP274" s="27"/>
      <c r="AQ274" s="17"/>
      <c r="AR274" s="9"/>
      <c r="AS274" s="9"/>
      <c r="AT274" s="9"/>
    </row>
    <row r="275" spans="1:46" customFormat="1" ht="12" customHeight="1" outlineLevel="1" x14ac:dyDescent="0.25">
      <c r="A275" s="7"/>
      <c r="B275" s="8"/>
      <c r="C275" s="18"/>
      <c r="D275" s="18"/>
      <c r="E275" s="18"/>
      <c r="F275" s="24"/>
      <c r="H275" s="503" t="s">
        <v>3141</v>
      </c>
      <c r="I275" s="503"/>
      <c r="J275" s="490"/>
      <c r="K275" s="490"/>
      <c r="L275" s="490"/>
      <c r="M275" s="490"/>
      <c r="N275" s="490"/>
      <c r="O275" s="490"/>
      <c r="P275" s="490"/>
      <c r="Q275" s="490"/>
      <c r="R275" s="490"/>
      <c r="S275" s="490"/>
      <c r="T275" s="490"/>
      <c r="U275" s="490"/>
      <c r="V275" s="490"/>
      <c r="W275" s="490"/>
      <c r="X275" s="490"/>
      <c r="Y275" s="490"/>
      <c r="Z275" s="490"/>
      <c r="AA275" s="490"/>
      <c r="AB275" s="490"/>
      <c r="AC275" s="490"/>
      <c r="AD275" s="490"/>
      <c r="AE275" s="490"/>
      <c r="AF275" s="490"/>
      <c r="AG275" s="490"/>
      <c r="AH275" s="490"/>
      <c r="AI275" s="490"/>
      <c r="AJ275" s="490"/>
      <c r="AK275" s="490"/>
      <c r="AL275" s="490"/>
      <c r="AM275" s="490"/>
      <c r="AN275" s="490"/>
      <c r="AO275" s="490"/>
      <c r="AP275" s="27"/>
      <c r="AQ275" s="17"/>
      <c r="AR275" s="9"/>
      <c r="AS275" s="9"/>
      <c r="AT275" s="9"/>
    </row>
    <row r="276" spans="1:46" customFormat="1" ht="12" customHeight="1" outlineLevel="1" x14ac:dyDescent="0.25">
      <c r="A276" s="7"/>
      <c r="B276" s="8"/>
      <c r="C276" s="18"/>
      <c r="D276" s="18"/>
      <c r="E276" s="18"/>
      <c r="F276" s="24"/>
      <c r="I276" s="491" t="s">
        <v>2769</v>
      </c>
      <c r="J276" s="569" t="b">
        <v>1</v>
      </c>
      <c r="K276" s="569" t="b">
        <v>1</v>
      </c>
      <c r="L276" s="569" t="b">
        <v>1</v>
      </c>
      <c r="M276" s="569" t="b">
        <v>1</v>
      </c>
      <c r="N276" s="569" t="b">
        <v>1</v>
      </c>
      <c r="O276" s="569" t="b">
        <v>1</v>
      </c>
      <c r="P276" s="569" t="b">
        <v>1</v>
      </c>
      <c r="Q276" s="569" t="b">
        <v>1</v>
      </c>
      <c r="R276" s="569" t="b">
        <v>1</v>
      </c>
      <c r="S276" s="569" t="b">
        <v>1</v>
      </c>
      <c r="T276" s="569" t="b">
        <v>1</v>
      </c>
      <c r="U276" s="569" t="b">
        <v>1</v>
      </c>
      <c r="V276" s="569" t="b">
        <v>1</v>
      </c>
      <c r="W276" s="569" t="b">
        <v>1</v>
      </c>
      <c r="X276" s="569" t="b">
        <v>1</v>
      </c>
      <c r="Y276" s="569" t="b">
        <v>1</v>
      </c>
      <c r="Z276" s="569" t="b">
        <v>1</v>
      </c>
      <c r="AA276" s="569" t="b">
        <v>1</v>
      </c>
      <c r="AB276" s="569" t="b">
        <v>1</v>
      </c>
      <c r="AC276" s="569" t="b">
        <v>1</v>
      </c>
      <c r="AD276" s="569" t="b">
        <v>0</v>
      </c>
      <c r="AE276" s="569" t="b">
        <v>1</v>
      </c>
      <c r="AF276" s="569" t="b">
        <v>1</v>
      </c>
      <c r="AG276" s="569" t="b">
        <v>1</v>
      </c>
      <c r="AH276" s="569" t="b">
        <v>1</v>
      </c>
      <c r="AI276" s="569" t="b">
        <v>0</v>
      </c>
      <c r="AJ276" s="569" t="b">
        <v>1</v>
      </c>
      <c r="AK276" s="569" t="b">
        <v>1</v>
      </c>
      <c r="AL276" s="569" t="b">
        <v>1</v>
      </c>
      <c r="AM276" s="569" t="b">
        <v>1</v>
      </c>
      <c r="AN276" s="490"/>
      <c r="AO276" s="490"/>
      <c r="AP276" s="27"/>
      <c r="AQ276" s="17"/>
      <c r="AR276" s="9"/>
      <c r="AS276" s="9"/>
      <c r="AT276" s="9"/>
    </row>
    <row r="277" spans="1:46" customFormat="1" ht="12" customHeight="1" outlineLevel="1" x14ac:dyDescent="0.25">
      <c r="A277" s="7"/>
      <c r="B277" s="8"/>
      <c r="C277" s="18"/>
      <c r="D277" s="18"/>
      <c r="E277" s="18"/>
      <c r="F277" s="24"/>
      <c r="G277" s="503"/>
      <c r="H277" s="503"/>
      <c r="I277" s="491" t="s">
        <v>2770</v>
      </c>
      <c r="J277" s="569" t="b">
        <v>0</v>
      </c>
      <c r="K277" s="569" t="b">
        <v>0</v>
      </c>
      <c r="L277" s="569" t="b">
        <v>0</v>
      </c>
      <c r="M277" s="569" t="b">
        <v>0</v>
      </c>
      <c r="N277" s="569" t="b">
        <v>0</v>
      </c>
      <c r="O277" s="569" t="b">
        <v>0</v>
      </c>
      <c r="P277" s="569" t="b">
        <v>0</v>
      </c>
      <c r="Q277" s="569" t="b">
        <v>0</v>
      </c>
      <c r="R277" s="569" t="b">
        <v>0</v>
      </c>
      <c r="S277" s="569" t="b">
        <v>0</v>
      </c>
      <c r="T277" s="569" t="b">
        <v>0</v>
      </c>
      <c r="U277" s="569" t="b">
        <v>0</v>
      </c>
      <c r="V277" s="569" t="b">
        <v>0</v>
      </c>
      <c r="W277" s="569" t="b">
        <v>0</v>
      </c>
      <c r="X277" s="569" t="b">
        <v>0</v>
      </c>
      <c r="Y277" s="569" t="b">
        <v>0</v>
      </c>
      <c r="Z277" s="569" t="b">
        <v>0</v>
      </c>
      <c r="AA277" s="569" t="b">
        <v>0</v>
      </c>
      <c r="AB277" s="569" t="b">
        <v>0</v>
      </c>
      <c r="AC277" s="569" t="b">
        <v>0</v>
      </c>
      <c r="AD277" s="569" t="b">
        <v>0</v>
      </c>
      <c r="AE277" s="569" t="b">
        <v>0</v>
      </c>
      <c r="AF277" s="569" t="b">
        <v>0</v>
      </c>
      <c r="AG277" s="569" t="b">
        <v>0</v>
      </c>
      <c r="AH277" s="569" t="b">
        <v>0</v>
      </c>
      <c r="AI277" s="569" t="b">
        <v>0</v>
      </c>
      <c r="AJ277" s="569" t="b">
        <v>0</v>
      </c>
      <c r="AK277" s="569" t="b">
        <v>0</v>
      </c>
      <c r="AL277" s="569" t="b">
        <v>0</v>
      </c>
      <c r="AM277" s="569" t="b">
        <v>0</v>
      </c>
      <c r="AN277" s="490"/>
      <c r="AO277" s="490"/>
      <c r="AP277" s="27"/>
      <c r="AQ277" s="17"/>
      <c r="AR277" s="9"/>
      <c r="AS277" s="9"/>
      <c r="AT277" s="9"/>
    </row>
    <row r="278" spans="1:46" customFormat="1" ht="12" customHeight="1" outlineLevel="1" x14ac:dyDescent="0.25">
      <c r="A278" s="7"/>
      <c r="B278" s="8"/>
      <c r="C278" s="18"/>
      <c r="D278" s="18"/>
      <c r="E278" s="18"/>
      <c r="F278" s="24"/>
      <c r="H278" s="503"/>
      <c r="I278" s="491" t="s">
        <v>2771</v>
      </c>
      <c r="J278" s="569" t="b">
        <v>0</v>
      </c>
      <c r="K278" s="569" t="b">
        <v>0</v>
      </c>
      <c r="L278" s="569" t="b">
        <v>0</v>
      </c>
      <c r="M278" s="569" t="b">
        <v>0</v>
      </c>
      <c r="N278" s="569" t="b">
        <v>0</v>
      </c>
      <c r="O278" s="569" t="b">
        <v>0</v>
      </c>
      <c r="P278" s="569" t="b">
        <v>0</v>
      </c>
      <c r="Q278" s="569" t="b">
        <v>0</v>
      </c>
      <c r="R278" s="569" t="b">
        <v>0</v>
      </c>
      <c r="S278" s="569" t="b">
        <v>0</v>
      </c>
      <c r="T278" s="569" t="b">
        <v>0</v>
      </c>
      <c r="U278" s="569" t="b">
        <v>0</v>
      </c>
      <c r="V278" s="569" t="b">
        <v>0</v>
      </c>
      <c r="W278" s="569" t="b">
        <v>0</v>
      </c>
      <c r="X278" s="569" t="b">
        <v>0</v>
      </c>
      <c r="Y278" s="569" t="b">
        <v>0</v>
      </c>
      <c r="Z278" s="569" t="b">
        <v>0</v>
      </c>
      <c r="AA278" s="569" t="b">
        <v>0</v>
      </c>
      <c r="AB278" s="569" t="b">
        <v>0</v>
      </c>
      <c r="AC278" s="569" t="b">
        <v>0</v>
      </c>
      <c r="AD278" s="569" t="b">
        <v>1</v>
      </c>
      <c r="AE278" s="569" t="b">
        <v>0</v>
      </c>
      <c r="AF278" s="569" t="b">
        <v>0</v>
      </c>
      <c r="AG278" s="569" t="b">
        <v>0</v>
      </c>
      <c r="AH278" s="569" t="b">
        <v>0</v>
      </c>
      <c r="AI278" s="569" t="b">
        <v>1</v>
      </c>
      <c r="AJ278" s="569" t="b">
        <v>0</v>
      </c>
      <c r="AK278" s="569" t="b">
        <v>0</v>
      </c>
      <c r="AL278" s="569" t="b">
        <v>0</v>
      </c>
      <c r="AM278" s="569" t="b">
        <v>0</v>
      </c>
      <c r="AN278" s="490"/>
      <c r="AO278" s="490"/>
      <c r="AP278" s="27"/>
      <c r="AQ278" s="17"/>
      <c r="AR278" s="9"/>
      <c r="AS278" s="9"/>
      <c r="AT278" s="9"/>
    </row>
    <row r="279" spans="1:46" customFormat="1" ht="12" customHeight="1" outlineLevel="1" x14ac:dyDescent="0.25">
      <c r="A279" s="7"/>
      <c r="B279" s="8"/>
      <c r="C279" s="18"/>
      <c r="D279" s="18"/>
      <c r="E279" s="18"/>
      <c r="F279" s="24"/>
      <c r="G279" s="503"/>
      <c r="H279" s="503"/>
      <c r="I279" s="491" t="s">
        <v>2772</v>
      </c>
      <c r="J279" s="569" t="b">
        <v>0</v>
      </c>
      <c r="K279" s="569" t="b">
        <v>0</v>
      </c>
      <c r="L279" s="569" t="b">
        <v>0</v>
      </c>
      <c r="M279" s="569" t="b">
        <v>0</v>
      </c>
      <c r="N279" s="569" t="b">
        <v>0</v>
      </c>
      <c r="O279" s="569" t="b">
        <v>0</v>
      </c>
      <c r="P279" s="569" t="b">
        <v>0</v>
      </c>
      <c r="Q279" s="569" t="b">
        <v>0</v>
      </c>
      <c r="R279" s="569" t="b">
        <v>0</v>
      </c>
      <c r="S279" s="569" t="b">
        <v>0</v>
      </c>
      <c r="T279" s="569" t="b">
        <v>0</v>
      </c>
      <c r="U279" s="569" t="b">
        <v>0</v>
      </c>
      <c r="V279" s="569" t="b">
        <v>0</v>
      </c>
      <c r="W279" s="569" t="b">
        <v>0</v>
      </c>
      <c r="X279" s="569" t="b">
        <v>0</v>
      </c>
      <c r="Y279" s="569" t="b">
        <v>0</v>
      </c>
      <c r="Z279" s="569" t="b">
        <v>0</v>
      </c>
      <c r="AA279" s="569" t="b">
        <v>0</v>
      </c>
      <c r="AB279" s="569" t="b">
        <v>0</v>
      </c>
      <c r="AC279" s="569" t="b">
        <v>0</v>
      </c>
      <c r="AD279" s="569" t="b">
        <v>0</v>
      </c>
      <c r="AE279" s="569" t="b">
        <v>0</v>
      </c>
      <c r="AF279" s="569" t="b">
        <v>0</v>
      </c>
      <c r="AG279" s="569" t="b">
        <v>0</v>
      </c>
      <c r="AH279" s="569" t="b">
        <v>0</v>
      </c>
      <c r="AI279" s="569" t="b">
        <v>0</v>
      </c>
      <c r="AJ279" s="569" t="b">
        <v>0</v>
      </c>
      <c r="AK279" s="569" t="b">
        <v>0</v>
      </c>
      <c r="AL279" s="569" t="b">
        <v>0</v>
      </c>
      <c r="AM279" s="569" t="b">
        <v>0</v>
      </c>
      <c r="AN279" s="492"/>
      <c r="AO279" s="492"/>
      <c r="AP279" s="27"/>
      <c r="AQ279" s="17"/>
      <c r="AR279" s="9"/>
      <c r="AS279" s="9"/>
      <c r="AT279" s="9"/>
    </row>
    <row r="280" spans="1:46" customFormat="1" ht="12" customHeight="1" outlineLevel="1" x14ac:dyDescent="0.25">
      <c r="A280" s="7"/>
      <c r="B280" s="8"/>
      <c r="C280" s="18"/>
      <c r="D280" s="18"/>
      <c r="E280" s="18"/>
      <c r="F280" s="24"/>
      <c r="G280" s="503"/>
      <c r="H280" s="503"/>
      <c r="I280" s="503"/>
      <c r="J280" s="492"/>
      <c r="K280" s="492"/>
      <c r="L280" s="492"/>
      <c r="M280" s="492"/>
      <c r="N280" s="492"/>
      <c r="O280" s="492"/>
      <c r="P280" s="492"/>
      <c r="Q280" s="492"/>
      <c r="R280" s="492"/>
      <c r="S280" s="492"/>
      <c r="T280" s="492"/>
      <c r="U280" s="492"/>
      <c r="V280" s="492"/>
      <c r="W280" s="492"/>
      <c r="X280" s="492"/>
      <c r="Y280" s="492"/>
      <c r="Z280" s="492"/>
      <c r="AA280" s="492"/>
      <c r="AB280" s="492"/>
      <c r="AC280" s="492"/>
      <c r="AD280" s="492"/>
      <c r="AE280" s="492"/>
      <c r="AF280" s="492"/>
      <c r="AG280" s="492"/>
      <c r="AH280" s="492"/>
      <c r="AI280" s="492"/>
      <c r="AJ280" s="492"/>
      <c r="AK280" s="492"/>
      <c r="AL280" s="492"/>
      <c r="AM280" s="492"/>
      <c r="AN280" s="492"/>
      <c r="AO280" s="492"/>
      <c r="AP280" s="27"/>
      <c r="AQ280" s="17"/>
      <c r="AR280" s="9"/>
      <c r="AS280" s="9"/>
      <c r="AT280" s="9"/>
    </row>
    <row r="281" spans="1:46" customFormat="1" ht="12" customHeight="1" x14ac:dyDescent="0.25">
      <c r="A281" s="7"/>
      <c r="B281" s="8"/>
      <c r="C281" s="18"/>
      <c r="D281" s="18"/>
      <c r="E281" s="18"/>
      <c r="F281" s="24"/>
      <c r="G281" s="570" t="s">
        <v>3142</v>
      </c>
      <c r="H281" s="503"/>
      <c r="I281" s="503"/>
      <c r="J281" s="492"/>
      <c r="K281" s="492"/>
      <c r="L281" s="492"/>
      <c r="M281" s="492"/>
      <c r="N281" s="492"/>
      <c r="O281" s="492"/>
      <c r="P281" s="492"/>
      <c r="Q281" s="492"/>
      <c r="R281" s="492"/>
      <c r="S281" s="492"/>
      <c r="T281" s="492"/>
      <c r="U281" s="492"/>
      <c r="V281" s="492"/>
      <c r="W281" s="492"/>
      <c r="X281" s="492"/>
      <c r="Y281" s="492"/>
      <c r="Z281" s="492"/>
      <c r="AA281" s="492"/>
      <c r="AB281" s="492"/>
      <c r="AC281" s="492"/>
      <c r="AD281" s="492"/>
      <c r="AE281" s="492"/>
      <c r="AF281" s="492"/>
      <c r="AG281" s="492"/>
      <c r="AH281" s="492"/>
      <c r="AI281" s="492"/>
      <c r="AJ281" s="492"/>
      <c r="AK281" s="492"/>
      <c r="AL281" s="492"/>
      <c r="AM281" s="492"/>
      <c r="AN281" s="492"/>
      <c r="AO281" s="492"/>
      <c r="AP281" s="27"/>
      <c r="AQ281" s="17"/>
      <c r="AR281" s="9"/>
      <c r="AS281" s="9"/>
      <c r="AT281" s="9"/>
    </row>
    <row r="282" spans="1:46" customFormat="1" ht="12" customHeight="1" outlineLevel="1" x14ac:dyDescent="0.25">
      <c r="A282" s="7"/>
      <c r="B282" s="8"/>
      <c r="C282" s="18"/>
      <c r="D282" s="18"/>
      <c r="E282" s="18"/>
      <c r="F282" s="24"/>
      <c r="G282" s="503"/>
      <c r="H282" s="503" t="s">
        <v>3143</v>
      </c>
      <c r="I282" s="503"/>
      <c r="J282" s="571">
        <v>43617</v>
      </c>
      <c r="K282" s="571">
        <v>43617</v>
      </c>
      <c r="L282" s="571">
        <v>43617</v>
      </c>
      <c r="M282" s="571">
        <v>43617</v>
      </c>
      <c r="N282" s="571">
        <v>43617</v>
      </c>
      <c r="O282" s="571">
        <v>43617</v>
      </c>
      <c r="P282" s="571">
        <v>43617</v>
      </c>
      <c r="Q282" s="571">
        <v>43617</v>
      </c>
      <c r="R282" s="571">
        <v>43617</v>
      </c>
      <c r="S282" s="571">
        <v>43617</v>
      </c>
      <c r="T282" s="571">
        <v>43617</v>
      </c>
      <c r="U282" s="571">
        <v>43617</v>
      </c>
      <c r="V282" s="571">
        <v>43617</v>
      </c>
      <c r="W282" s="571">
        <v>43617</v>
      </c>
      <c r="X282" s="571">
        <v>43617</v>
      </c>
      <c r="Y282" s="571">
        <v>43617</v>
      </c>
      <c r="Z282" s="571">
        <v>43617</v>
      </c>
      <c r="AA282" s="571">
        <v>43617</v>
      </c>
      <c r="AB282" s="571">
        <v>43617</v>
      </c>
      <c r="AC282" s="571">
        <v>43617</v>
      </c>
      <c r="AD282" s="571">
        <v>43617</v>
      </c>
      <c r="AE282" s="571">
        <v>43617</v>
      </c>
      <c r="AF282" s="571">
        <v>43617</v>
      </c>
      <c r="AG282" s="571">
        <v>43617</v>
      </c>
      <c r="AH282" s="571">
        <v>43617</v>
      </c>
      <c r="AI282" s="571">
        <v>43617</v>
      </c>
      <c r="AJ282" s="571">
        <v>43617</v>
      </c>
      <c r="AK282" s="571">
        <v>43617</v>
      </c>
      <c r="AL282" s="571">
        <v>43617</v>
      </c>
      <c r="AM282" s="571">
        <v>43617</v>
      </c>
      <c r="AN282" s="492"/>
      <c r="AO282" s="492"/>
      <c r="AP282" s="27"/>
      <c r="AQ282" s="17"/>
      <c r="AR282" s="9"/>
      <c r="AS282" s="9"/>
      <c r="AT282" s="9"/>
    </row>
    <row r="283" spans="1:46" customFormat="1" ht="12" customHeight="1" outlineLevel="1" x14ac:dyDescent="0.25">
      <c r="A283" s="7"/>
      <c r="B283" s="8"/>
      <c r="C283" s="18"/>
      <c r="D283" s="18"/>
      <c r="E283" s="18"/>
      <c r="F283" s="24"/>
      <c r="G283" s="503"/>
      <c r="H283" s="503"/>
      <c r="I283" s="558">
        <v>2019</v>
      </c>
      <c r="J283" s="572">
        <f>MIN(364,INT((J282 - DATE(YEAR(J282),1,1))))+364*(YEAR(J282)-$I283)</f>
        <v>151</v>
      </c>
      <c r="K283" s="572">
        <f t="shared" ref="K283:AJ283" si="26">MIN(364,INT((K282 - DATE(YEAR(K282),1,1))))+364*(YEAR(K282)-$I283)</f>
        <v>151</v>
      </c>
      <c r="L283" s="572">
        <f t="shared" si="26"/>
        <v>151</v>
      </c>
      <c r="M283" s="572">
        <f t="shared" si="26"/>
        <v>151</v>
      </c>
      <c r="N283" s="572">
        <f t="shared" si="26"/>
        <v>151</v>
      </c>
      <c r="O283" s="572">
        <f t="shared" si="26"/>
        <v>151</v>
      </c>
      <c r="P283" s="572">
        <f t="shared" si="26"/>
        <v>151</v>
      </c>
      <c r="Q283" s="572">
        <f t="shared" si="26"/>
        <v>151</v>
      </c>
      <c r="R283" s="572">
        <f t="shared" si="26"/>
        <v>151</v>
      </c>
      <c r="S283" s="572">
        <f t="shared" si="26"/>
        <v>151</v>
      </c>
      <c r="T283" s="572">
        <f t="shared" si="26"/>
        <v>151</v>
      </c>
      <c r="U283" s="572">
        <f t="shared" si="26"/>
        <v>151</v>
      </c>
      <c r="V283" s="572">
        <f t="shared" si="26"/>
        <v>151</v>
      </c>
      <c r="W283" s="572">
        <f t="shared" si="26"/>
        <v>151</v>
      </c>
      <c r="X283" s="572">
        <f t="shared" si="26"/>
        <v>151</v>
      </c>
      <c r="Y283" s="572">
        <f t="shared" si="26"/>
        <v>151</v>
      </c>
      <c r="Z283" s="572">
        <f t="shared" si="26"/>
        <v>151</v>
      </c>
      <c r="AA283" s="572">
        <f t="shared" si="26"/>
        <v>151</v>
      </c>
      <c r="AB283" s="572">
        <f t="shared" si="26"/>
        <v>151</v>
      </c>
      <c r="AC283" s="572">
        <f t="shared" si="26"/>
        <v>151</v>
      </c>
      <c r="AD283" s="572">
        <f t="shared" si="26"/>
        <v>151</v>
      </c>
      <c r="AE283" s="572">
        <f t="shared" si="26"/>
        <v>151</v>
      </c>
      <c r="AF283" s="572">
        <f t="shared" si="26"/>
        <v>151</v>
      </c>
      <c r="AG283" s="572">
        <f t="shared" si="26"/>
        <v>151</v>
      </c>
      <c r="AH283" s="572">
        <f t="shared" si="26"/>
        <v>151</v>
      </c>
      <c r="AI283" s="572">
        <f t="shared" si="26"/>
        <v>151</v>
      </c>
      <c r="AJ283" s="572">
        <f t="shared" si="26"/>
        <v>151</v>
      </c>
      <c r="AK283" s="572">
        <f t="shared" ref="AK283:AM283" si="27">MIN(364,INT((AK282 - DATE(YEAR(AK282),1,1))))+364*(YEAR(AK282)-$I283)</f>
        <v>151</v>
      </c>
      <c r="AL283" s="572">
        <f t="shared" ref="AL283" si="28">MIN(364,INT((AL282 - DATE(YEAR(AL282),1,1))))+364*(YEAR(AL282)-$I283)</f>
        <v>151</v>
      </c>
      <c r="AM283" s="572">
        <f t="shared" si="27"/>
        <v>151</v>
      </c>
      <c r="AN283" s="492"/>
      <c r="AO283" s="492"/>
      <c r="AP283" s="27"/>
      <c r="AQ283" s="17"/>
      <c r="AR283" s="9"/>
      <c r="AS283" s="9"/>
      <c r="AT283" s="9"/>
    </row>
    <row r="284" spans="1:46" customFormat="1" outlineLevel="1" x14ac:dyDescent="0.25">
      <c r="A284" s="7"/>
      <c r="B284" s="8"/>
      <c r="C284" s="18"/>
      <c r="D284" s="18"/>
      <c r="E284" s="18"/>
      <c r="F284" s="24"/>
      <c r="G284" s="503"/>
      <c r="H284" s="503" t="s">
        <v>3144</v>
      </c>
      <c r="I284" s="503"/>
      <c r="J284" s="571">
        <v>43466</v>
      </c>
      <c r="K284" s="571">
        <v>43466</v>
      </c>
      <c r="L284" s="571">
        <v>43466</v>
      </c>
      <c r="M284" s="571">
        <v>43466</v>
      </c>
      <c r="N284" s="571">
        <v>43466</v>
      </c>
      <c r="O284" s="571">
        <v>43466</v>
      </c>
      <c r="P284" s="571">
        <v>43466</v>
      </c>
      <c r="Q284" s="571">
        <v>43466</v>
      </c>
      <c r="R284" s="571">
        <v>43466</v>
      </c>
      <c r="S284" s="571">
        <v>43466</v>
      </c>
      <c r="T284" s="571">
        <v>43466</v>
      </c>
      <c r="U284" s="571">
        <v>43466</v>
      </c>
      <c r="V284" s="571">
        <v>43466</v>
      </c>
      <c r="W284" s="571">
        <v>43466</v>
      </c>
      <c r="X284" s="571">
        <v>43466</v>
      </c>
      <c r="Y284" s="571">
        <v>43466</v>
      </c>
      <c r="Z284" s="571">
        <v>43466</v>
      </c>
      <c r="AA284" s="571">
        <v>43466</v>
      </c>
      <c r="AB284" s="571">
        <v>43466</v>
      </c>
      <c r="AC284" s="571">
        <v>43466</v>
      </c>
      <c r="AD284" s="571">
        <v>43506</v>
      </c>
      <c r="AE284" s="571">
        <v>43506</v>
      </c>
      <c r="AF284" s="571">
        <v>43506</v>
      </c>
      <c r="AG284" s="571">
        <v>43506</v>
      </c>
      <c r="AH284" s="571">
        <v>43506</v>
      </c>
      <c r="AI284" s="571">
        <v>43506</v>
      </c>
      <c r="AJ284" s="571">
        <v>43466</v>
      </c>
      <c r="AK284" s="571">
        <v>43506</v>
      </c>
      <c r="AL284" s="571">
        <v>43466</v>
      </c>
      <c r="AM284" s="571">
        <v>43466</v>
      </c>
      <c r="AN284" s="492"/>
      <c r="AO284" s="492"/>
      <c r="AP284" s="27"/>
      <c r="AQ284" s="17"/>
      <c r="AR284" s="9"/>
      <c r="AS284" s="9"/>
      <c r="AT284" s="9"/>
    </row>
    <row r="285" spans="1:46" customFormat="1" ht="12" customHeight="1" outlineLevel="1" x14ac:dyDescent="0.25">
      <c r="A285" s="7"/>
      <c r="B285" s="8"/>
      <c r="C285" s="18"/>
      <c r="D285" s="18"/>
      <c r="E285" s="18"/>
      <c r="F285" s="24"/>
      <c r="G285" s="503"/>
      <c r="H285" s="503"/>
      <c r="I285" s="506">
        <f>I283</f>
        <v>2019</v>
      </c>
      <c r="J285" s="572">
        <f>MIN(364,INT((J284 - DATE(YEAR(J284),1,1))))+364*(YEAR(J284)-$I285)</f>
        <v>0</v>
      </c>
      <c r="K285" s="572">
        <f t="shared" ref="K285:AJ285" si="29">MIN(364,INT((K284 - DATE(YEAR(K284),1,1))))+364*(YEAR(K284)-$I285)</f>
        <v>0</v>
      </c>
      <c r="L285" s="572">
        <f t="shared" si="29"/>
        <v>0</v>
      </c>
      <c r="M285" s="572">
        <f t="shared" si="29"/>
        <v>0</v>
      </c>
      <c r="N285" s="572">
        <f t="shared" si="29"/>
        <v>0</v>
      </c>
      <c r="O285" s="572">
        <f t="shared" si="29"/>
        <v>0</v>
      </c>
      <c r="P285" s="572">
        <f t="shared" si="29"/>
        <v>0</v>
      </c>
      <c r="Q285" s="572">
        <f t="shared" si="29"/>
        <v>0</v>
      </c>
      <c r="R285" s="572">
        <f t="shared" si="29"/>
        <v>0</v>
      </c>
      <c r="S285" s="572">
        <f t="shared" si="29"/>
        <v>0</v>
      </c>
      <c r="T285" s="572">
        <f t="shared" si="29"/>
        <v>0</v>
      </c>
      <c r="U285" s="572">
        <f t="shared" si="29"/>
        <v>0</v>
      </c>
      <c r="V285" s="572">
        <f t="shared" si="29"/>
        <v>0</v>
      </c>
      <c r="W285" s="572">
        <f t="shared" si="29"/>
        <v>0</v>
      </c>
      <c r="X285" s="572">
        <f t="shared" si="29"/>
        <v>0</v>
      </c>
      <c r="Y285" s="572">
        <f t="shared" si="29"/>
        <v>0</v>
      </c>
      <c r="Z285" s="572">
        <f t="shared" si="29"/>
        <v>0</v>
      </c>
      <c r="AA285" s="572">
        <f t="shared" si="29"/>
        <v>0</v>
      </c>
      <c r="AB285" s="572">
        <f t="shared" si="29"/>
        <v>0</v>
      </c>
      <c r="AC285" s="572">
        <f t="shared" si="29"/>
        <v>0</v>
      </c>
      <c r="AD285" s="572">
        <f t="shared" si="29"/>
        <v>40</v>
      </c>
      <c r="AE285" s="572">
        <f t="shared" si="29"/>
        <v>40</v>
      </c>
      <c r="AF285" s="572">
        <f t="shared" si="29"/>
        <v>40</v>
      </c>
      <c r="AG285" s="572">
        <f t="shared" si="29"/>
        <v>40</v>
      </c>
      <c r="AH285" s="572">
        <f t="shared" si="29"/>
        <v>40</v>
      </c>
      <c r="AI285" s="572">
        <f t="shared" si="29"/>
        <v>40</v>
      </c>
      <c r="AJ285" s="572">
        <f t="shared" si="29"/>
        <v>0</v>
      </c>
      <c r="AK285" s="572">
        <f t="shared" ref="AK285:AM285" si="30">MIN(364,INT((AK284 - DATE(YEAR(AK284),1,1))))+364*(YEAR(AK284)-$I285)</f>
        <v>40</v>
      </c>
      <c r="AL285" s="572">
        <f t="shared" ref="AL285" si="31">MIN(364,INT((AL284 - DATE(YEAR(AL284),1,1))))+364*(YEAR(AL284)-$I285)</f>
        <v>0</v>
      </c>
      <c r="AM285" s="572">
        <f t="shared" si="30"/>
        <v>0</v>
      </c>
      <c r="AN285" s="492"/>
      <c r="AO285" s="492"/>
      <c r="AP285" s="27"/>
      <c r="AQ285" s="17"/>
      <c r="AR285" s="9"/>
      <c r="AS285" s="9"/>
      <c r="AT285" s="9"/>
    </row>
    <row r="286" spans="1:46" customFormat="1" ht="12" customHeight="1" outlineLevel="1" x14ac:dyDescent="0.25">
      <c r="A286" s="7"/>
      <c r="B286" s="8"/>
      <c r="C286" s="18"/>
      <c r="D286" s="18"/>
      <c r="E286" s="18"/>
      <c r="F286" s="24"/>
      <c r="G286" s="503"/>
      <c r="H286" s="503"/>
      <c r="I286" s="503"/>
      <c r="J286" s="492"/>
      <c r="K286" s="492"/>
      <c r="L286" s="492"/>
      <c r="M286" s="492"/>
      <c r="N286" s="492"/>
      <c r="O286" s="492"/>
      <c r="P286" s="492"/>
      <c r="Q286" s="492"/>
      <c r="R286" s="492"/>
      <c r="S286" s="492"/>
      <c r="T286" s="492"/>
      <c r="U286" s="492"/>
      <c r="V286" s="492"/>
      <c r="W286" s="492"/>
      <c r="X286" s="492"/>
      <c r="Y286" s="492"/>
      <c r="Z286" s="492"/>
      <c r="AA286" s="492"/>
      <c r="AB286" s="492"/>
      <c r="AC286" s="492"/>
      <c r="AD286" s="492"/>
      <c r="AE286" s="492"/>
      <c r="AF286" s="492"/>
      <c r="AG286" s="492"/>
      <c r="AH286" s="492"/>
      <c r="AI286" s="492"/>
      <c r="AJ286" s="492"/>
      <c r="AK286" s="492"/>
      <c r="AL286" s="492"/>
      <c r="AM286" s="492"/>
      <c r="AN286" s="492"/>
      <c r="AO286" s="492"/>
      <c r="AP286" s="27"/>
      <c r="AQ286" s="17"/>
      <c r="AR286" s="9"/>
      <c r="AS286" s="9"/>
      <c r="AT286" s="9"/>
    </row>
    <row r="287" spans="1:46" customFormat="1" ht="12" customHeight="1" outlineLevel="1" x14ac:dyDescent="0.25">
      <c r="A287" s="7"/>
      <c r="B287" s="8"/>
      <c r="C287" s="18"/>
      <c r="D287" s="18"/>
      <c r="E287" s="18"/>
      <c r="F287" s="24"/>
      <c r="G287" s="503"/>
      <c r="H287" s="503"/>
      <c r="I287" s="503"/>
      <c r="J287" s="492"/>
      <c r="K287" s="492"/>
      <c r="L287" s="492"/>
      <c r="M287" s="492"/>
      <c r="N287" s="492"/>
      <c r="O287" s="492"/>
      <c r="P287" s="492"/>
      <c r="Q287" s="492"/>
      <c r="R287" s="492"/>
      <c r="S287" s="492"/>
      <c r="T287" s="492"/>
      <c r="U287" s="492"/>
      <c r="V287" s="492"/>
      <c r="W287" s="492"/>
      <c r="X287" s="492"/>
      <c r="Y287" s="492"/>
      <c r="Z287" s="492"/>
      <c r="AA287" s="492"/>
      <c r="AB287" s="492"/>
      <c r="AC287" s="492"/>
      <c r="AD287" s="492"/>
      <c r="AE287" s="492"/>
      <c r="AF287" s="492"/>
      <c r="AG287" s="492"/>
      <c r="AH287" s="492"/>
      <c r="AI287" s="492"/>
      <c r="AJ287" s="492"/>
      <c r="AK287" s="492"/>
      <c r="AL287" s="492"/>
      <c r="AM287" s="492"/>
      <c r="AN287" s="492"/>
      <c r="AO287" s="492"/>
      <c r="AP287" s="27"/>
      <c r="AQ287" s="17"/>
      <c r="AR287" s="9"/>
      <c r="AS287" s="9"/>
      <c r="AT287" s="9"/>
    </row>
    <row r="288" spans="1:46" customFormat="1" ht="12" customHeight="1" x14ac:dyDescent="0.25">
      <c r="A288" s="7"/>
      <c r="B288" s="8"/>
      <c r="C288" s="18"/>
      <c r="D288" s="18"/>
      <c r="E288" s="18"/>
      <c r="F288" s="24"/>
      <c r="G288" s="570" t="s">
        <v>3145</v>
      </c>
      <c r="H288" s="503"/>
      <c r="I288" s="503"/>
      <c r="J288" s="492"/>
      <c r="K288" s="492"/>
      <c r="L288" s="492"/>
      <c r="M288" s="492"/>
      <c r="N288" s="492"/>
      <c r="O288" s="492"/>
      <c r="P288" s="492"/>
      <c r="Q288" s="492"/>
      <c r="R288" s="492"/>
      <c r="S288" s="492"/>
      <c r="T288" s="492"/>
      <c r="U288" s="492"/>
      <c r="V288" s="492"/>
      <c r="W288" s="492"/>
      <c r="X288" s="492"/>
      <c r="Y288" s="492"/>
      <c r="Z288" s="492"/>
      <c r="AA288" s="492"/>
      <c r="AB288" s="492"/>
      <c r="AC288" s="492"/>
      <c r="AD288" s="492"/>
      <c r="AE288" s="492"/>
      <c r="AF288" s="492"/>
      <c r="AG288" s="492"/>
      <c r="AH288" s="492"/>
      <c r="AI288" s="492"/>
      <c r="AJ288" s="492"/>
      <c r="AK288" s="492"/>
      <c r="AL288" s="492"/>
      <c r="AM288" s="492"/>
      <c r="AN288" s="492"/>
      <c r="AO288" s="492"/>
      <c r="AP288" s="27"/>
      <c r="AQ288" s="17"/>
      <c r="AR288" s="9"/>
      <c r="AS288" s="9"/>
      <c r="AT288" s="9"/>
    </row>
    <row r="289" spans="1:46" customFormat="1" ht="12" customHeight="1" outlineLevel="1" x14ac:dyDescent="0.25">
      <c r="A289" s="7"/>
      <c r="B289" s="8"/>
      <c r="C289" s="18"/>
      <c r="D289" s="18"/>
      <c r="E289" s="18"/>
      <c r="F289" s="24"/>
      <c r="G289" s="503"/>
      <c r="H289" s="503" t="s">
        <v>3146</v>
      </c>
      <c r="I289" s="503"/>
      <c r="J289" s="573">
        <v>3.4</v>
      </c>
      <c r="K289" s="573">
        <v>3.4</v>
      </c>
      <c r="L289" s="573">
        <v>3.4</v>
      </c>
      <c r="M289" s="573">
        <v>3.4</v>
      </c>
      <c r="N289" s="573">
        <v>3.4</v>
      </c>
      <c r="O289" s="573">
        <v>3.4</v>
      </c>
      <c r="P289" s="573">
        <v>3.4</v>
      </c>
      <c r="Q289" s="573">
        <v>3.4</v>
      </c>
      <c r="R289" s="573">
        <v>3.4</v>
      </c>
      <c r="S289" s="573">
        <v>3.4</v>
      </c>
      <c r="T289" s="573">
        <v>3.4</v>
      </c>
      <c r="U289" s="573">
        <v>3.4</v>
      </c>
      <c r="V289" s="573">
        <v>3.4</v>
      </c>
      <c r="W289" s="573">
        <v>3.4</v>
      </c>
      <c r="X289" s="573">
        <v>3.4</v>
      </c>
      <c r="Y289" s="573">
        <v>3.4</v>
      </c>
      <c r="Z289" s="573">
        <v>3.4</v>
      </c>
      <c r="AA289" s="573">
        <v>3.4</v>
      </c>
      <c r="AB289" s="573">
        <v>3.4</v>
      </c>
      <c r="AC289" s="573">
        <v>3.4</v>
      </c>
      <c r="AD289" s="573">
        <v>3.4</v>
      </c>
      <c r="AE289" s="573">
        <v>3.4</v>
      </c>
      <c r="AF289" s="573">
        <v>3.4</v>
      </c>
      <c r="AG289" s="573">
        <v>3.4</v>
      </c>
      <c r="AH289" s="573">
        <v>3.4</v>
      </c>
      <c r="AI289" s="573">
        <v>3.4</v>
      </c>
      <c r="AJ289" s="573">
        <v>3.4</v>
      </c>
      <c r="AK289" s="551">
        <f>AVERAGE(AB289:AC289)</f>
        <v>3.4</v>
      </c>
      <c r="AL289" s="573">
        <v>3.4</v>
      </c>
      <c r="AM289" s="573">
        <v>3.4</v>
      </c>
      <c r="AN289" s="492"/>
      <c r="AO289" s="492"/>
      <c r="AP289" s="27"/>
      <c r="AQ289" s="17"/>
      <c r="AR289" s="9"/>
      <c r="AS289" s="9"/>
      <c r="AT289" s="9"/>
    </row>
    <row r="290" spans="1:46" customFormat="1" ht="12" customHeight="1" outlineLevel="1" x14ac:dyDescent="0.25">
      <c r="A290" s="7"/>
      <c r="B290" s="8"/>
      <c r="C290" s="18"/>
      <c r="D290" s="18"/>
      <c r="E290" s="18"/>
      <c r="F290" s="24"/>
      <c r="G290" s="503"/>
      <c r="H290" s="503" t="s">
        <v>3147</v>
      </c>
      <c r="I290" s="503"/>
      <c r="J290" s="573">
        <v>0</v>
      </c>
      <c r="K290" s="573">
        <v>0</v>
      </c>
      <c r="L290" s="573">
        <v>0</v>
      </c>
      <c r="M290" s="573">
        <v>0</v>
      </c>
      <c r="N290" s="573">
        <v>0</v>
      </c>
      <c r="O290" s="573">
        <v>0</v>
      </c>
      <c r="P290" s="573">
        <v>0</v>
      </c>
      <c r="Q290" s="573">
        <v>0</v>
      </c>
      <c r="R290" s="573">
        <v>15.4</v>
      </c>
      <c r="S290" s="573">
        <v>15.4</v>
      </c>
      <c r="T290" s="573">
        <v>15.4</v>
      </c>
      <c r="U290" s="573">
        <v>15.4</v>
      </c>
      <c r="V290" s="573">
        <v>15.4</v>
      </c>
      <c r="W290" s="573">
        <v>15.4</v>
      </c>
      <c r="X290" s="573">
        <v>15.4</v>
      </c>
      <c r="Y290" s="573">
        <v>15.4</v>
      </c>
      <c r="Z290" s="573">
        <v>15.4</v>
      </c>
      <c r="AA290" s="573">
        <v>15.4</v>
      </c>
      <c r="AB290" s="573">
        <v>15.4</v>
      </c>
      <c r="AC290" s="573">
        <v>15.4</v>
      </c>
      <c r="AD290" s="573">
        <v>0</v>
      </c>
      <c r="AE290" s="573">
        <v>0</v>
      </c>
      <c r="AF290" s="573">
        <v>0</v>
      </c>
      <c r="AG290" s="573">
        <v>0</v>
      </c>
      <c r="AH290" s="573">
        <v>0</v>
      </c>
      <c r="AI290" s="573">
        <v>0</v>
      </c>
      <c r="AJ290" s="573">
        <v>15.4</v>
      </c>
      <c r="AK290" s="551">
        <f>AVERAGE(AB290:AC290)</f>
        <v>15.4</v>
      </c>
      <c r="AL290" s="573">
        <v>0</v>
      </c>
      <c r="AM290" s="573">
        <v>0</v>
      </c>
      <c r="AN290" s="492"/>
      <c r="AO290" s="492"/>
      <c r="AP290" s="27"/>
      <c r="AQ290" s="17"/>
      <c r="AR290" s="9"/>
      <c r="AS290" s="9"/>
      <c r="AT290" s="9"/>
    </row>
    <row r="291" spans="1:46" customFormat="1" ht="12" customHeight="1" outlineLevel="1" x14ac:dyDescent="0.25">
      <c r="A291" s="7"/>
      <c r="B291" s="8"/>
      <c r="C291" s="18"/>
      <c r="D291" s="18"/>
      <c r="E291" s="18"/>
      <c r="F291" s="24"/>
      <c r="G291" s="503"/>
      <c r="H291" s="503" t="s">
        <v>3148</v>
      </c>
      <c r="I291" s="503"/>
      <c r="J291" s="573">
        <v>29.4</v>
      </c>
      <c r="K291" s="573">
        <v>29.4</v>
      </c>
      <c r="L291" s="573">
        <v>29.4</v>
      </c>
      <c r="M291" s="573">
        <v>29.4</v>
      </c>
      <c r="N291" s="573">
        <v>29.4</v>
      </c>
      <c r="O291" s="573">
        <v>29.4</v>
      </c>
      <c r="P291" s="573">
        <v>29.4</v>
      </c>
      <c r="Q291" s="573">
        <v>29.4</v>
      </c>
      <c r="R291" s="573">
        <v>29.4</v>
      </c>
      <c r="S291" s="573">
        <v>29.4</v>
      </c>
      <c r="T291" s="573">
        <v>29.4</v>
      </c>
      <c r="U291" s="573">
        <v>29.4</v>
      </c>
      <c r="V291" s="573">
        <v>29.4</v>
      </c>
      <c r="W291" s="573">
        <v>29.4</v>
      </c>
      <c r="X291" s="573">
        <v>29.4</v>
      </c>
      <c r="Y291" s="573">
        <v>29.4</v>
      </c>
      <c r="Z291" s="573">
        <v>29.4</v>
      </c>
      <c r="AA291" s="573">
        <v>29.4</v>
      </c>
      <c r="AB291" s="573">
        <v>29.4</v>
      </c>
      <c r="AC291" s="573">
        <v>29.4</v>
      </c>
      <c r="AD291" s="573">
        <v>29.4</v>
      </c>
      <c r="AE291" s="573">
        <v>29.4</v>
      </c>
      <c r="AF291" s="573">
        <v>29.4</v>
      </c>
      <c r="AG291" s="573">
        <v>29.4</v>
      </c>
      <c r="AH291" s="573">
        <v>29.4</v>
      </c>
      <c r="AI291" s="573">
        <v>29.4</v>
      </c>
      <c r="AJ291" s="573">
        <v>29.4</v>
      </c>
      <c r="AK291" s="551">
        <f>AVERAGE(AB291:AC291)</f>
        <v>29.4</v>
      </c>
      <c r="AL291" s="573">
        <v>29.4</v>
      </c>
      <c r="AM291" s="573">
        <v>29.4</v>
      </c>
      <c r="AN291" s="504"/>
      <c r="AO291" s="504"/>
      <c r="AP291" s="27"/>
      <c r="AQ291" s="17"/>
      <c r="AR291" s="9"/>
      <c r="AS291" s="9"/>
      <c r="AT291" s="9"/>
    </row>
    <row r="292" spans="1:46" customFormat="1" ht="12" customHeight="1" outlineLevel="1" x14ac:dyDescent="0.25">
      <c r="A292" s="7"/>
      <c r="B292" s="8"/>
      <c r="C292" s="18"/>
      <c r="D292" s="18"/>
      <c r="E292" s="18"/>
      <c r="F292" s="24"/>
      <c r="G292" s="503"/>
      <c r="H292" s="503" t="s">
        <v>3149</v>
      </c>
      <c r="I292" s="503"/>
      <c r="J292" s="573">
        <v>13.1</v>
      </c>
      <c r="K292" s="573">
        <v>13.1</v>
      </c>
      <c r="L292" s="573">
        <v>13.1</v>
      </c>
      <c r="M292" s="573">
        <v>13.1</v>
      </c>
      <c r="N292" s="573">
        <v>13.1</v>
      </c>
      <c r="O292" s="573">
        <v>13.1</v>
      </c>
      <c r="P292" s="573">
        <v>13.1</v>
      </c>
      <c r="Q292" s="573">
        <v>13.1</v>
      </c>
      <c r="R292" s="573">
        <v>13.1</v>
      </c>
      <c r="S292" s="573">
        <v>13.1</v>
      </c>
      <c r="T292" s="573">
        <v>13.1</v>
      </c>
      <c r="U292" s="573">
        <v>13.1</v>
      </c>
      <c r="V292" s="573">
        <v>13.1</v>
      </c>
      <c r="W292" s="573">
        <v>13.1</v>
      </c>
      <c r="X292" s="573">
        <v>13.1</v>
      </c>
      <c r="Y292" s="573">
        <v>13.1</v>
      </c>
      <c r="Z292" s="573">
        <v>13.1</v>
      </c>
      <c r="AA292" s="573">
        <v>13.1</v>
      </c>
      <c r="AB292" s="573">
        <v>13.1</v>
      </c>
      <c r="AC292" s="573">
        <v>13.1</v>
      </c>
      <c r="AD292" s="573">
        <v>13.1</v>
      </c>
      <c r="AE292" s="573">
        <v>13.1</v>
      </c>
      <c r="AF292" s="573">
        <v>13.1</v>
      </c>
      <c r="AG292" s="573">
        <v>13.1</v>
      </c>
      <c r="AH292" s="573">
        <v>13.1</v>
      </c>
      <c r="AI292" s="573">
        <v>13.1</v>
      </c>
      <c r="AJ292" s="573">
        <v>13.1</v>
      </c>
      <c r="AK292" s="551">
        <f>AVERAGE(AB292:AC292)</f>
        <v>13.1</v>
      </c>
      <c r="AL292" s="573">
        <v>13.1</v>
      </c>
      <c r="AM292" s="573">
        <v>13.1</v>
      </c>
      <c r="AN292" s="491"/>
      <c r="AO292" s="491"/>
      <c r="AP292" s="27"/>
      <c r="AQ292" s="17"/>
      <c r="AR292" s="9"/>
      <c r="AS292" s="9"/>
      <c r="AT292" s="9"/>
    </row>
    <row r="293" spans="1:46" customFormat="1" ht="12" customHeight="1" outlineLevel="1" x14ac:dyDescent="0.25">
      <c r="A293" s="7"/>
      <c r="B293" s="8"/>
      <c r="C293" s="18"/>
      <c r="D293" s="18"/>
      <c r="E293" s="18"/>
      <c r="F293" s="24"/>
      <c r="G293" s="503"/>
      <c r="H293" s="503" t="s">
        <v>3150</v>
      </c>
      <c r="I293" s="503"/>
      <c r="J293" s="573">
        <v>21.25</v>
      </c>
      <c r="K293" s="573">
        <v>21.25</v>
      </c>
      <c r="L293" s="573">
        <v>21.25</v>
      </c>
      <c r="M293" s="573">
        <v>21.25</v>
      </c>
      <c r="N293" s="573">
        <v>21.25</v>
      </c>
      <c r="O293" s="573">
        <v>21.25</v>
      </c>
      <c r="P293" s="573">
        <v>21.25</v>
      </c>
      <c r="Q293" s="573">
        <v>21.25</v>
      </c>
      <c r="R293" s="573">
        <v>21.25</v>
      </c>
      <c r="S293" s="573">
        <v>21.25</v>
      </c>
      <c r="T293" s="573">
        <v>21.25</v>
      </c>
      <c r="U293" s="573">
        <v>21.25</v>
      </c>
      <c r="V293" s="573">
        <v>21.25</v>
      </c>
      <c r="W293" s="573">
        <v>21.25</v>
      </c>
      <c r="X293" s="573">
        <v>21.25</v>
      </c>
      <c r="Y293" s="573">
        <v>21.25</v>
      </c>
      <c r="Z293" s="573">
        <v>21.25</v>
      </c>
      <c r="AA293" s="573">
        <v>21.25</v>
      </c>
      <c r="AB293" s="573">
        <v>21.25</v>
      </c>
      <c r="AC293" s="573">
        <v>21.25</v>
      </c>
      <c r="AD293" s="573">
        <v>21.25</v>
      </c>
      <c r="AE293" s="573">
        <v>21.25</v>
      </c>
      <c r="AF293" s="573">
        <v>21.25</v>
      </c>
      <c r="AG293" s="573">
        <v>21.25</v>
      </c>
      <c r="AH293" s="573">
        <v>21.25</v>
      </c>
      <c r="AI293" s="573">
        <v>21.25</v>
      </c>
      <c r="AJ293" s="573">
        <v>21.25</v>
      </c>
      <c r="AK293" s="551">
        <f>AVERAGE(AB293:AC293)</f>
        <v>21.25</v>
      </c>
      <c r="AL293" s="573">
        <v>21.25</v>
      </c>
      <c r="AM293" s="573">
        <v>21.25</v>
      </c>
      <c r="AN293" s="492"/>
      <c r="AO293" s="492"/>
      <c r="AP293" s="27"/>
      <c r="AQ293" s="17"/>
      <c r="AR293" s="9"/>
      <c r="AS293" s="9"/>
      <c r="AT293" s="9"/>
    </row>
    <row r="294" spans="1:46" customFormat="1" ht="12" customHeight="1" outlineLevel="1" x14ac:dyDescent="0.25">
      <c r="A294" s="7"/>
      <c r="B294" s="8"/>
      <c r="C294" s="18"/>
      <c r="D294" s="18"/>
      <c r="E294" s="18"/>
      <c r="F294" s="24"/>
      <c r="G294" s="503"/>
      <c r="H294" s="503"/>
      <c r="I294" s="503"/>
      <c r="J294" s="492"/>
      <c r="K294" s="492"/>
      <c r="L294" s="492"/>
      <c r="M294" s="492"/>
      <c r="N294" s="492"/>
      <c r="O294" s="492"/>
      <c r="P294" s="492"/>
      <c r="Q294" s="492"/>
      <c r="R294" s="492"/>
      <c r="S294" s="492"/>
      <c r="T294" s="492"/>
      <c r="U294" s="492"/>
      <c r="V294" s="492"/>
      <c r="W294" s="492"/>
      <c r="X294" s="492"/>
      <c r="Y294" s="492"/>
      <c r="Z294" s="492"/>
      <c r="AA294" s="492"/>
      <c r="AB294" s="492"/>
      <c r="AC294" s="492"/>
      <c r="AD294" s="492"/>
      <c r="AE294" s="492"/>
      <c r="AF294" s="492"/>
      <c r="AG294" s="492"/>
      <c r="AH294" s="492"/>
      <c r="AI294" s="492"/>
      <c r="AJ294" s="492"/>
      <c r="AK294" s="492"/>
      <c r="AL294" s="492"/>
      <c r="AM294" s="492"/>
      <c r="AN294" s="492"/>
      <c r="AO294" s="492"/>
      <c r="AP294" s="27"/>
      <c r="AQ294" s="17"/>
      <c r="AR294" s="9"/>
      <c r="AS294" s="9"/>
      <c r="AT294" s="9"/>
    </row>
    <row r="295" spans="1:46" customFormat="1" ht="12" customHeight="1" outlineLevel="1" x14ac:dyDescent="0.25">
      <c r="A295" s="7"/>
      <c r="B295" s="8"/>
      <c r="C295" s="18"/>
      <c r="D295" s="18"/>
      <c r="E295" s="18"/>
      <c r="F295" s="24"/>
      <c r="G295" s="25"/>
      <c r="H295" s="28"/>
      <c r="I295" s="503"/>
      <c r="J295" s="492"/>
      <c r="K295" s="492"/>
      <c r="L295" s="492"/>
      <c r="M295" s="492"/>
      <c r="N295" s="492"/>
      <c r="O295" s="492"/>
      <c r="P295" s="492"/>
      <c r="Q295" s="492"/>
      <c r="R295" s="492"/>
      <c r="S295" s="492"/>
      <c r="T295" s="492"/>
      <c r="U295" s="492"/>
      <c r="V295" s="492"/>
      <c r="W295" s="492"/>
      <c r="X295" s="492"/>
      <c r="Y295" s="492"/>
      <c r="Z295" s="492"/>
      <c r="AA295" s="492"/>
      <c r="AB295" s="492"/>
      <c r="AC295" s="492"/>
      <c r="AD295" s="492"/>
      <c r="AE295" s="492"/>
      <c r="AF295" s="492"/>
      <c r="AG295" s="492"/>
      <c r="AH295" s="492"/>
      <c r="AI295" s="492"/>
      <c r="AJ295" s="492"/>
      <c r="AK295" s="492"/>
      <c r="AL295" s="492"/>
      <c r="AM295" s="492"/>
      <c r="AN295" s="492"/>
      <c r="AO295" s="492"/>
      <c r="AP295" s="27"/>
      <c r="AQ295" s="17"/>
      <c r="AR295" s="9"/>
      <c r="AS295" s="9"/>
      <c r="AT295" s="9"/>
    </row>
    <row r="296" spans="1:46" customFormat="1" ht="12" customHeight="1" x14ac:dyDescent="0.25">
      <c r="A296" s="7"/>
      <c r="B296" s="8"/>
      <c r="C296" s="18"/>
      <c r="D296" s="18"/>
      <c r="E296" s="18"/>
      <c r="F296" s="24"/>
      <c r="G296" s="547" t="s">
        <v>3151</v>
      </c>
      <c r="H296" s="28"/>
      <c r="I296" s="574"/>
      <c r="J296" s="496"/>
      <c r="K296" s="496"/>
      <c r="L296" s="496"/>
      <c r="M296" s="496"/>
      <c r="N296" s="496"/>
      <c r="O296" s="496"/>
      <c r="P296" s="496"/>
      <c r="Q296" s="496"/>
      <c r="R296" s="496"/>
      <c r="S296" s="496"/>
      <c r="T296" s="496"/>
      <c r="U296" s="496"/>
      <c r="V296" s="496"/>
      <c r="W296" s="496"/>
      <c r="X296" s="496"/>
      <c r="Y296" s="496"/>
      <c r="Z296" s="496"/>
      <c r="AA296" s="496"/>
      <c r="AB296" s="496"/>
      <c r="AC296" s="496"/>
      <c r="AD296" s="496"/>
      <c r="AE296" s="496"/>
      <c r="AF296" s="496"/>
      <c r="AG296" s="496"/>
      <c r="AH296" s="496"/>
      <c r="AI296" s="496"/>
      <c r="AJ296" s="496"/>
      <c r="AK296" s="496"/>
      <c r="AL296" s="496"/>
      <c r="AM296" s="496"/>
      <c r="AN296" s="492"/>
      <c r="AO296" s="492"/>
      <c r="AP296" s="27"/>
      <c r="AQ296" s="17"/>
      <c r="AR296" s="9"/>
      <c r="AS296" s="9"/>
      <c r="AT296" s="9"/>
    </row>
    <row r="297" spans="1:46" customFormat="1" ht="12" customHeight="1" outlineLevel="1" x14ac:dyDescent="0.25">
      <c r="A297" s="7"/>
      <c r="B297" s="8"/>
      <c r="C297" s="18"/>
      <c r="D297" s="18"/>
      <c r="E297" s="18"/>
      <c r="F297" s="24"/>
      <c r="G297" s="25"/>
      <c r="H297" s="28" t="s">
        <v>2341</v>
      </c>
      <c r="I297" s="574"/>
      <c r="J297" s="575">
        <v>3000</v>
      </c>
      <c r="K297" s="575">
        <v>3000</v>
      </c>
      <c r="L297" s="575">
        <v>3000</v>
      </c>
      <c r="M297" s="575">
        <v>3000</v>
      </c>
      <c r="N297" s="575">
        <v>3000</v>
      </c>
      <c r="O297" s="575">
        <v>3000</v>
      </c>
      <c r="P297" s="575">
        <v>3000</v>
      </c>
      <c r="Q297" s="575">
        <v>3000</v>
      </c>
      <c r="R297" s="575">
        <v>3000</v>
      </c>
      <c r="S297" s="575">
        <v>3000</v>
      </c>
      <c r="T297" s="575">
        <v>3000</v>
      </c>
      <c r="U297" s="575">
        <v>3000</v>
      </c>
      <c r="V297" s="575">
        <v>3000</v>
      </c>
      <c r="W297" s="575">
        <v>3000</v>
      </c>
      <c r="X297" s="575">
        <v>3000</v>
      </c>
      <c r="Y297" s="575">
        <v>3000</v>
      </c>
      <c r="Z297" s="575">
        <v>3000</v>
      </c>
      <c r="AA297" s="575">
        <v>3000</v>
      </c>
      <c r="AB297" s="575">
        <v>3000</v>
      </c>
      <c r="AC297" s="575">
        <v>3000</v>
      </c>
      <c r="AD297" s="575">
        <v>3000</v>
      </c>
      <c r="AE297" s="575">
        <v>3000</v>
      </c>
      <c r="AF297" s="575">
        <v>3000</v>
      </c>
      <c r="AG297" s="575">
        <v>3000</v>
      </c>
      <c r="AH297" s="575">
        <v>3000</v>
      </c>
      <c r="AI297" s="575">
        <v>3000</v>
      </c>
      <c r="AJ297" s="575">
        <v>3000</v>
      </c>
      <c r="AK297" s="575">
        <v>3000</v>
      </c>
      <c r="AL297" s="575">
        <v>3000</v>
      </c>
      <c r="AM297" s="575">
        <v>3000</v>
      </c>
      <c r="AN297" s="492"/>
      <c r="AO297" s="492"/>
      <c r="AP297" s="27"/>
      <c r="AQ297" s="17"/>
      <c r="AR297" s="9"/>
      <c r="AS297" s="492" t="s">
        <v>3152</v>
      </c>
      <c r="AT297" s="9"/>
    </row>
    <row r="298" spans="1:46" customFormat="1" ht="12" customHeight="1" outlineLevel="1" x14ac:dyDescent="0.25">
      <c r="A298" s="7"/>
      <c r="B298" s="8"/>
      <c r="C298" s="18"/>
      <c r="D298" s="18"/>
      <c r="E298" s="18"/>
      <c r="F298" s="24"/>
      <c r="G298" s="25"/>
      <c r="H298" s="41" t="s">
        <v>3153</v>
      </c>
      <c r="I298" s="576" t="s">
        <v>3154</v>
      </c>
      <c r="J298" s="575">
        <v>0</v>
      </c>
      <c r="K298" s="575">
        <v>0</v>
      </c>
      <c r="L298" s="575">
        <v>0</v>
      </c>
      <c r="M298" s="575">
        <v>0</v>
      </c>
      <c r="N298" s="575">
        <v>0</v>
      </c>
      <c r="O298" s="575">
        <v>0</v>
      </c>
      <c r="P298" s="575">
        <v>0</v>
      </c>
      <c r="Q298" s="575">
        <v>0</v>
      </c>
      <c r="R298" s="575">
        <v>0.25</v>
      </c>
      <c r="S298" s="575">
        <v>0.25</v>
      </c>
      <c r="T298" s="575">
        <v>0.25</v>
      </c>
      <c r="U298" s="575">
        <v>0.25</v>
      </c>
      <c r="V298" s="575">
        <v>0.25</v>
      </c>
      <c r="W298" s="575">
        <v>0.25</v>
      </c>
      <c r="X298" s="575">
        <v>0.32</v>
      </c>
      <c r="Y298" s="575">
        <v>0.32</v>
      </c>
      <c r="Z298" s="575">
        <v>0.25</v>
      </c>
      <c r="AA298" s="575">
        <v>0.25</v>
      </c>
      <c r="AB298" s="575">
        <v>0.17</v>
      </c>
      <c r="AC298" s="575">
        <v>0.17</v>
      </c>
      <c r="AD298" s="575">
        <v>0</v>
      </c>
      <c r="AE298" s="575">
        <v>0</v>
      </c>
      <c r="AF298" s="575">
        <v>0</v>
      </c>
      <c r="AG298" s="575">
        <v>0</v>
      </c>
      <c r="AH298" s="575">
        <v>0</v>
      </c>
      <c r="AI298" s="575">
        <v>0</v>
      </c>
      <c r="AJ298" s="575">
        <v>0.25</v>
      </c>
      <c r="AK298" s="575">
        <v>0</v>
      </c>
      <c r="AL298" s="575">
        <v>0</v>
      </c>
      <c r="AM298" s="575">
        <v>0</v>
      </c>
      <c r="AN298" s="492"/>
      <c r="AO298" s="492"/>
      <c r="AP298" s="27"/>
      <c r="AQ298" s="17"/>
      <c r="AR298" s="9"/>
      <c r="AS298" s="577">
        <f>AI214</f>
        <v>45250</v>
      </c>
      <c r="AT298" s="9"/>
    </row>
    <row r="299" spans="1:46" customFormat="1" ht="12" customHeight="1" outlineLevel="1" x14ac:dyDescent="0.25">
      <c r="A299" s="7"/>
      <c r="B299" s="8"/>
      <c r="C299" s="18"/>
      <c r="D299" s="18"/>
      <c r="E299" s="18"/>
      <c r="F299" s="24"/>
      <c r="G299" s="25"/>
      <c r="H299" s="28"/>
      <c r="I299" s="576" t="s">
        <v>3155</v>
      </c>
      <c r="J299" s="575">
        <v>0</v>
      </c>
      <c r="K299" s="575">
        <v>0</v>
      </c>
      <c r="L299" s="575">
        <v>0</v>
      </c>
      <c r="M299" s="575">
        <v>0</v>
      </c>
      <c r="N299" s="575">
        <v>0</v>
      </c>
      <c r="O299" s="575">
        <v>0</v>
      </c>
      <c r="P299" s="575">
        <v>0</v>
      </c>
      <c r="Q299" s="575">
        <v>0</v>
      </c>
      <c r="R299" s="575">
        <v>0.25</v>
      </c>
      <c r="S299" s="575">
        <v>0.25</v>
      </c>
      <c r="T299" s="575">
        <v>0.25</v>
      </c>
      <c r="U299" s="575">
        <v>0.25</v>
      </c>
      <c r="V299" s="575">
        <v>0.25</v>
      </c>
      <c r="W299" s="575">
        <v>0.25</v>
      </c>
      <c r="X299" s="575">
        <v>0.32</v>
      </c>
      <c r="Y299" s="575">
        <v>0.32</v>
      </c>
      <c r="Z299" s="575">
        <v>0.25</v>
      </c>
      <c r="AA299" s="575">
        <v>0.25</v>
      </c>
      <c r="AB299" s="575">
        <v>0.17</v>
      </c>
      <c r="AC299" s="575">
        <v>0.17</v>
      </c>
      <c r="AD299" s="575">
        <v>0</v>
      </c>
      <c r="AE299" s="575">
        <v>0</v>
      </c>
      <c r="AF299" s="575">
        <v>0</v>
      </c>
      <c r="AG299" s="578">
        <f>300/919/7</f>
        <v>4.6634540649774604E-2</v>
      </c>
      <c r="AH299" s="578">
        <f>300/746/7</f>
        <v>5.7449253159708925E-2</v>
      </c>
      <c r="AI299" s="575">
        <v>0</v>
      </c>
      <c r="AJ299" s="575">
        <v>0</v>
      </c>
      <c r="AK299" s="575">
        <v>0</v>
      </c>
      <c r="AL299" s="575">
        <v>0</v>
      </c>
      <c r="AM299" s="575">
        <v>0</v>
      </c>
      <c r="AN299" s="492"/>
      <c r="AO299" s="492"/>
      <c r="AP299" s="27"/>
      <c r="AQ299" s="17"/>
      <c r="AR299" s="9"/>
      <c r="AS299" s="577">
        <f>AS298+7</f>
        <v>45257</v>
      </c>
      <c r="AT299" s="9"/>
    </row>
    <row r="300" spans="1:46" customFormat="1" ht="12" customHeight="1" outlineLevel="1" x14ac:dyDescent="0.25">
      <c r="A300" s="7"/>
      <c r="B300" s="8"/>
      <c r="C300" s="18"/>
      <c r="D300" s="18"/>
      <c r="E300" s="18"/>
      <c r="F300" s="24"/>
      <c r="G300" s="25"/>
      <c r="H300" s="28"/>
      <c r="I300" s="576" t="s">
        <v>3156</v>
      </c>
      <c r="J300" s="575">
        <v>0</v>
      </c>
      <c r="K300" s="575">
        <v>0</v>
      </c>
      <c r="L300" s="575">
        <v>0</v>
      </c>
      <c r="M300" s="575">
        <v>0</v>
      </c>
      <c r="N300" s="575">
        <v>0</v>
      </c>
      <c r="O300" s="575">
        <v>0</v>
      </c>
      <c r="P300" s="575">
        <v>0</v>
      </c>
      <c r="Q300" s="575">
        <v>0</v>
      </c>
      <c r="R300" s="575">
        <v>0.25</v>
      </c>
      <c r="S300" s="575">
        <v>0.25</v>
      </c>
      <c r="T300" s="575">
        <v>0.25</v>
      </c>
      <c r="U300" s="575">
        <v>0.25</v>
      </c>
      <c r="V300" s="575">
        <v>0.25</v>
      </c>
      <c r="W300" s="575">
        <v>0.25</v>
      </c>
      <c r="X300" s="575">
        <v>0.32</v>
      </c>
      <c r="Y300" s="575">
        <v>0.32</v>
      </c>
      <c r="Z300" s="575">
        <v>0.25</v>
      </c>
      <c r="AA300" s="575">
        <v>0.25</v>
      </c>
      <c r="AB300" s="575">
        <v>0.17</v>
      </c>
      <c r="AC300" s="575">
        <v>0.17</v>
      </c>
      <c r="AD300" s="575">
        <v>0</v>
      </c>
      <c r="AE300" s="575">
        <v>0</v>
      </c>
      <c r="AF300" s="575">
        <v>0</v>
      </c>
      <c r="AG300" s="575">
        <v>0</v>
      </c>
      <c r="AH300" s="578">
        <f t="shared" ref="AH300" si="32">300/746/7</f>
        <v>5.7449253159708925E-2</v>
      </c>
      <c r="AI300" s="575">
        <v>0</v>
      </c>
      <c r="AJ300" s="575">
        <v>0</v>
      </c>
      <c r="AK300" s="575">
        <v>0</v>
      </c>
      <c r="AL300" s="575">
        <v>0</v>
      </c>
      <c r="AM300" s="575">
        <v>0</v>
      </c>
      <c r="AN300" s="492"/>
      <c r="AO300" s="492"/>
      <c r="AP300" s="27"/>
      <c r="AQ300" s="17"/>
      <c r="AR300" s="9"/>
      <c r="AS300" s="577">
        <f t="shared" ref="AS300:AS313" si="33">AS299+7</f>
        <v>45264</v>
      </c>
      <c r="AT300" s="9"/>
    </row>
    <row r="301" spans="1:46" customFormat="1" ht="12" customHeight="1" outlineLevel="1" x14ac:dyDescent="0.25">
      <c r="A301" s="7"/>
      <c r="B301" s="8"/>
      <c r="C301" s="18"/>
      <c r="D301" s="18"/>
      <c r="E301" s="18"/>
      <c r="F301" s="24"/>
      <c r="G301" s="25"/>
      <c r="H301" s="28"/>
      <c r="I301" s="576" t="s">
        <v>3157</v>
      </c>
      <c r="J301" s="575">
        <v>0</v>
      </c>
      <c r="K301" s="575">
        <v>0</v>
      </c>
      <c r="L301" s="575">
        <v>0</v>
      </c>
      <c r="M301" s="575">
        <v>0</v>
      </c>
      <c r="N301" s="575">
        <v>0</v>
      </c>
      <c r="O301" s="575">
        <v>0</v>
      </c>
      <c r="P301" s="575">
        <v>0</v>
      </c>
      <c r="Q301" s="575">
        <v>0</v>
      </c>
      <c r="R301" s="575">
        <v>0.25</v>
      </c>
      <c r="S301" s="575">
        <v>0.25</v>
      </c>
      <c r="T301" s="575">
        <v>0.25</v>
      </c>
      <c r="U301" s="575">
        <v>0.25</v>
      </c>
      <c r="V301" s="575">
        <v>0.25</v>
      </c>
      <c r="W301" s="575">
        <v>0.25</v>
      </c>
      <c r="X301" s="575">
        <v>0.32</v>
      </c>
      <c r="Y301" s="575">
        <v>0.32</v>
      </c>
      <c r="Z301" s="575">
        <v>0.25</v>
      </c>
      <c r="AA301" s="575">
        <v>0.25</v>
      </c>
      <c r="AB301" s="575">
        <v>0.17</v>
      </c>
      <c r="AC301" s="575">
        <v>0.17</v>
      </c>
      <c r="AD301" s="575">
        <v>0</v>
      </c>
      <c r="AE301" s="575">
        <v>0</v>
      </c>
      <c r="AF301" s="575">
        <v>0</v>
      </c>
      <c r="AG301" s="578">
        <f>300/919/7</f>
        <v>4.6634540649774604E-2</v>
      </c>
      <c r="AH301" s="578">
        <f>320/746/7</f>
        <v>6.1279203370356188E-2</v>
      </c>
      <c r="AI301" s="575">
        <v>0</v>
      </c>
      <c r="AJ301" s="575">
        <v>0</v>
      </c>
      <c r="AK301" s="575">
        <v>0</v>
      </c>
      <c r="AL301" s="575">
        <v>0</v>
      </c>
      <c r="AM301" s="575">
        <v>0</v>
      </c>
      <c r="AN301" s="492"/>
      <c r="AO301" s="492"/>
      <c r="AP301" s="27"/>
      <c r="AQ301" s="17"/>
      <c r="AR301" s="9"/>
      <c r="AS301" s="577">
        <f t="shared" si="33"/>
        <v>45271</v>
      </c>
      <c r="AT301" s="9"/>
    </row>
    <row r="302" spans="1:46" customFormat="1" ht="12" customHeight="1" outlineLevel="1" x14ac:dyDescent="0.25">
      <c r="A302" s="7"/>
      <c r="B302" s="8"/>
      <c r="C302" s="18"/>
      <c r="D302" s="18"/>
      <c r="E302" s="18"/>
      <c r="F302" s="24"/>
      <c r="G302" s="25"/>
      <c r="H302" s="28"/>
      <c r="I302" s="576" t="s">
        <v>3158</v>
      </c>
      <c r="J302" s="575">
        <v>0</v>
      </c>
      <c r="K302" s="575">
        <v>0</v>
      </c>
      <c r="L302" s="575">
        <v>0</v>
      </c>
      <c r="M302" s="575">
        <v>0</v>
      </c>
      <c r="N302" s="575">
        <v>0</v>
      </c>
      <c r="O302" s="575">
        <v>0</v>
      </c>
      <c r="P302" s="575">
        <v>0</v>
      </c>
      <c r="Q302" s="575">
        <v>0</v>
      </c>
      <c r="R302" s="575">
        <v>0.25</v>
      </c>
      <c r="S302" s="575">
        <v>0.25</v>
      </c>
      <c r="T302" s="575">
        <v>0.25</v>
      </c>
      <c r="U302" s="575">
        <v>0.25</v>
      </c>
      <c r="V302" s="575">
        <v>0.25</v>
      </c>
      <c r="W302" s="575">
        <v>0.25</v>
      </c>
      <c r="X302" s="575">
        <v>0.32</v>
      </c>
      <c r="Y302" s="575">
        <v>0.32</v>
      </c>
      <c r="Z302" s="575">
        <v>0.25</v>
      </c>
      <c r="AA302" s="575">
        <v>0.25</v>
      </c>
      <c r="AB302" s="575">
        <v>0.17</v>
      </c>
      <c r="AC302" s="575">
        <v>0.17</v>
      </c>
      <c r="AD302" s="575">
        <v>0</v>
      </c>
      <c r="AE302" s="575">
        <v>0</v>
      </c>
      <c r="AF302" s="575">
        <v>0</v>
      </c>
      <c r="AG302" s="578">
        <f>400/919/7</f>
        <v>6.2179387533032801E-2</v>
      </c>
      <c r="AH302" s="578">
        <f>350/746/7</f>
        <v>6.7024128686327081E-2</v>
      </c>
      <c r="AI302" s="578">
        <f>200/294/7</f>
        <v>9.718172983479105E-2</v>
      </c>
      <c r="AJ302" s="575">
        <v>0</v>
      </c>
      <c r="AK302" s="575">
        <v>0</v>
      </c>
      <c r="AL302" s="575">
        <v>0</v>
      </c>
      <c r="AM302" s="575">
        <v>0</v>
      </c>
      <c r="AN302" s="492"/>
      <c r="AO302" s="492"/>
      <c r="AP302" s="27"/>
      <c r="AQ302" s="17"/>
      <c r="AR302" s="9"/>
      <c r="AS302" s="577">
        <f t="shared" si="33"/>
        <v>45278</v>
      </c>
      <c r="AT302" s="9"/>
    </row>
    <row r="303" spans="1:46" customFormat="1" ht="12" customHeight="1" outlineLevel="1" x14ac:dyDescent="0.25">
      <c r="A303" s="7"/>
      <c r="B303" s="8"/>
      <c r="C303" s="18"/>
      <c r="D303" s="18"/>
      <c r="E303" s="18"/>
      <c r="F303" s="24"/>
      <c r="G303" s="25"/>
      <c r="H303" s="28"/>
      <c r="I303" s="576" t="s">
        <v>3159</v>
      </c>
      <c r="J303" s="575">
        <v>0</v>
      </c>
      <c r="K303" s="575">
        <v>0</v>
      </c>
      <c r="L303" s="575">
        <v>0</v>
      </c>
      <c r="M303" s="575">
        <v>0</v>
      </c>
      <c r="N303" s="575">
        <v>0</v>
      </c>
      <c r="O303" s="575">
        <v>0</v>
      </c>
      <c r="P303" s="575">
        <v>0</v>
      </c>
      <c r="Q303" s="575">
        <v>0</v>
      </c>
      <c r="R303" s="575">
        <v>0.25</v>
      </c>
      <c r="S303" s="575">
        <v>0.25</v>
      </c>
      <c r="T303" s="575">
        <v>0.25</v>
      </c>
      <c r="U303" s="575">
        <v>0.25</v>
      </c>
      <c r="V303" s="575">
        <v>0.25</v>
      </c>
      <c r="W303" s="575">
        <v>0.25</v>
      </c>
      <c r="X303" s="575">
        <v>0.32</v>
      </c>
      <c r="Y303" s="575">
        <v>0.32</v>
      </c>
      <c r="Z303" s="575">
        <v>0.25</v>
      </c>
      <c r="AA303" s="575">
        <v>0.25</v>
      </c>
      <c r="AB303" s="575">
        <v>0.17</v>
      </c>
      <c r="AC303" s="575">
        <v>0.17</v>
      </c>
      <c r="AD303" s="575">
        <v>0</v>
      </c>
      <c r="AE303" s="575">
        <v>0</v>
      </c>
      <c r="AF303" s="575">
        <v>0</v>
      </c>
      <c r="AG303" s="575">
        <v>0</v>
      </c>
      <c r="AH303" s="578">
        <f t="shared" ref="AH303:AH308" si="34">350/746/7</f>
        <v>6.7024128686327081E-2</v>
      </c>
      <c r="AI303" s="575">
        <v>0</v>
      </c>
      <c r="AJ303" s="575">
        <v>0</v>
      </c>
      <c r="AK303" s="575">
        <v>0</v>
      </c>
      <c r="AL303" s="575">
        <v>0</v>
      </c>
      <c r="AM303" s="575">
        <v>0</v>
      </c>
      <c r="AN303" s="492"/>
      <c r="AO303" s="492"/>
      <c r="AP303" s="27"/>
      <c r="AQ303" s="17"/>
      <c r="AR303" s="9"/>
      <c r="AS303" s="577">
        <f t="shared" si="33"/>
        <v>45285</v>
      </c>
      <c r="AT303" s="9"/>
    </row>
    <row r="304" spans="1:46" customFormat="1" ht="12" customHeight="1" outlineLevel="1" x14ac:dyDescent="0.25">
      <c r="A304" s="7"/>
      <c r="B304" s="8"/>
      <c r="C304" s="18"/>
      <c r="D304" s="18"/>
      <c r="E304" s="18"/>
      <c r="F304" s="24"/>
      <c r="G304" s="25"/>
      <c r="H304" s="28"/>
      <c r="I304" s="576" t="s">
        <v>3160</v>
      </c>
      <c r="J304" s="575">
        <v>0</v>
      </c>
      <c r="K304" s="575">
        <v>0</v>
      </c>
      <c r="L304" s="575">
        <v>0</v>
      </c>
      <c r="M304" s="575">
        <v>0</v>
      </c>
      <c r="N304" s="575">
        <v>0</v>
      </c>
      <c r="O304" s="575">
        <v>0</v>
      </c>
      <c r="P304" s="575">
        <v>0</v>
      </c>
      <c r="Q304" s="575">
        <v>0</v>
      </c>
      <c r="R304" s="575">
        <v>0.25</v>
      </c>
      <c r="S304" s="575">
        <v>0.25</v>
      </c>
      <c r="T304" s="575">
        <v>0.25</v>
      </c>
      <c r="U304" s="575">
        <v>0.25</v>
      </c>
      <c r="V304" s="575">
        <v>0.25</v>
      </c>
      <c r="W304" s="575">
        <v>0.25</v>
      </c>
      <c r="X304" s="575">
        <v>0.32</v>
      </c>
      <c r="Y304" s="575">
        <v>0.32</v>
      </c>
      <c r="Z304" s="575">
        <v>0.25</v>
      </c>
      <c r="AA304" s="575">
        <v>0.25</v>
      </c>
      <c r="AB304" s="575">
        <v>0.17</v>
      </c>
      <c r="AC304" s="575">
        <v>0.17</v>
      </c>
      <c r="AD304" s="575">
        <v>0</v>
      </c>
      <c r="AE304" s="575">
        <v>0</v>
      </c>
      <c r="AF304" s="575">
        <v>0</v>
      </c>
      <c r="AG304" s="575">
        <v>0</v>
      </c>
      <c r="AH304" s="578">
        <f t="shared" si="34"/>
        <v>6.7024128686327081E-2</v>
      </c>
      <c r="AI304" s="575">
        <v>0</v>
      </c>
      <c r="AJ304" s="575">
        <v>0</v>
      </c>
      <c r="AK304" s="575">
        <v>0</v>
      </c>
      <c r="AL304" s="575">
        <v>0</v>
      </c>
      <c r="AM304" s="575">
        <v>0</v>
      </c>
      <c r="AN304" s="492"/>
      <c r="AO304" s="492"/>
      <c r="AP304" s="27"/>
      <c r="AQ304" s="17"/>
      <c r="AR304" s="9"/>
      <c r="AS304" s="577">
        <f t="shared" si="33"/>
        <v>45292</v>
      </c>
      <c r="AT304" s="9"/>
    </row>
    <row r="305" spans="1:46" customFormat="1" ht="12" customHeight="1" outlineLevel="1" x14ac:dyDescent="0.25">
      <c r="A305" s="7"/>
      <c r="B305" s="8"/>
      <c r="C305" s="18"/>
      <c r="D305" s="18"/>
      <c r="E305" s="18"/>
      <c r="F305" s="24"/>
      <c r="G305" s="25"/>
      <c r="H305" s="28"/>
      <c r="I305" s="576" t="s">
        <v>3161</v>
      </c>
      <c r="J305" s="575">
        <v>0</v>
      </c>
      <c r="K305" s="575">
        <v>0</v>
      </c>
      <c r="L305" s="575">
        <v>0</v>
      </c>
      <c r="M305" s="575">
        <v>0</v>
      </c>
      <c r="N305" s="575">
        <v>0</v>
      </c>
      <c r="O305" s="575">
        <v>0</v>
      </c>
      <c r="P305" s="575">
        <v>0</v>
      </c>
      <c r="Q305" s="575">
        <v>0</v>
      </c>
      <c r="R305" s="575">
        <v>0.25</v>
      </c>
      <c r="S305" s="575">
        <v>0.25</v>
      </c>
      <c r="T305" s="575">
        <v>0.25</v>
      </c>
      <c r="U305" s="575">
        <v>0.25</v>
      </c>
      <c r="V305" s="575">
        <v>0.25</v>
      </c>
      <c r="W305" s="575">
        <v>0.25</v>
      </c>
      <c r="X305" s="575">
        <v>0.32</v>
      </c>
      <c r="Y305" s="575">
        <v>0.32</v>
      </c>
      <c r="Z305" s="575">
        <v>0.25</v>
      </c>
      <c r="AA305" s="575">
        <v>0.25</v>
      </c>
      <c r="AB305" s="575">
        <v>0.17</v>
      </c>
      <c r="AC305" s="575">
        <v>0.17</v>
      </c>
      <c r="AD305" s="575">
        <v>0</v>
      </c>
      <c r="AE305" s="575">
        <v>0</v>
      </c>
      <c r="AF305" s="575">
        <v>0</v>
      </c>
      <c r="AG305" s="575">
        <v>0</v>
      </c>
      <c r="AH305" s="578">
        <f t="shared" si="34"/>
        <v>6.7024128686327081E-2</v>
      </c>
      <c r="AI305" s="575">
        <v>0</v>
      </c>
      <c r="AJ305" s="575">
        <v>0</v>
      </c>
      <c r="AK305" s="575">
        <v>0</v>
      </c>
      <c r="AL305" s="575">
        <v>0</v>
      </c>
      <c r="AM305" s="575">
        <v>0</v>
      </c>
      <c r="AN305" s="492"/>
      <c r="AO305" s="492"/>
      <c r="AP305" s="27"/>
      <c r="AQ305" s="17"/>
      <c r="AR305" s="9"/>
      <c r="AS305" s="577">
        <f t="shared" si="33"/>
        <v>45299</v>
      </c>
      <c r="AT305" s="9"/>
    </row>
    <row r="306" spans="1:46" customFormat="1" ht="12" customHeight="1" outlineLevel="1" x14ac:dyDescent="0.25">
      <c r="A306" s="7"/>
      <c r="B306" s="8"/>
      <c r="C306" s="18"/>
      <c r="D306" s="18"/>
      <c r="E306" s="18"/>
      <c r="F306" s="24"/>
      <c r="G306" s="25"/>
      <c r="H306" s="28"/>
      <c r="I306" s="576" t="s">
        <v>3162</v>
      </c>
      <c r="J306" s="575">
        <v>0</v>
      </c>
      <c r="K306" s="575">
        <v>0</v>
      </c>
      <c r="L306" s="575">
        <v>0</v>
      </c>
      <c r="M306" s="575">
        <v>0</v>
      </c>
      <c r="N306" s="575">
        <v>0</v>
      </c>
      <c r="O306" s="575">
        <v>0</v>
      </c>
      <c r="P306" s="575">
        <v>0</v>
      </c>
      <c r="Q306" s="575">
        <v>0</v>
      </c>
      <c r="R306" s="575">
        <v>0.25</v>
      </c>
      <c r="S306" s="575">
        <v>0.25</v>
      </c>
      <c r="T306" s="575">
        <v>0.25</v>
      </c>
      <c r="U306" s="575">
        <v>0.25</v>
      </c>
      <c r="V306" s="575">
        <v>0.25</v>
      </c>
      <c r="W306" s="575">
        <v>0.25</v>
      </c>
      <c r="X306" s="575">
        <v>0.32</v>
      </c>
      <c r="Y306" s="575">
        <v>0.32</v>
      </c>
      <c r="Z306" s="575">
        <v>0.25</v>
      </c>
      <c r="AA306" s="575">
        <v>0.25</v>
      </c>
      <c r="AB306" s="575">
        <v>0.17</v>
      </c>
      <c r="AC306" s="575">
        <v>0.17</v>
      </c>
      <c r="AD306" s="575">
        <v>0</v>
      </c>
      <c r="AE306" s="575">
        <v>0</v>
      </c>
      <c r="AF306" s="575">
        <v>0</v>
      </c>
      <c r="AG306" s="575">
        <v>0</v>
      </c>
      <c r="AH306" s="578">
        <f t="shared" si="34"/>
        <v>6.7024128686327081E-2</v>
      </c>
      <c r="AI306" s="575">
        <v>0</v>
      </c>
      <c r="AJ306" s="575">
        <v>0</v>
      </c>
      <c r="AK306" s="575">
        <v>0</v>
      </c>
      <c r="AL306" s="575">
        <v>0</v>
      </c>
      <c r="AM306" s="575">
        <v>0</v>
      </c>
      <c r="AN306" s="492"/>
      <c r="AO306" s="492"/>
      <c r="AP306" s="27"/>
      <c r="AQ306" s="17"/>
      <c r="AR306" s="9"/>
      <c r="AS306" s="577">
        <f t="shared" si="33"/>
        <v>45306</v>
      </c>
      <c r="AT306" s="9"/>
    </row>
    <row r="307" spans="1:46" customFormat="1" ht="12" customHeight="1" outlineLevel="1" x14ac:dyDescent="0.25">
      <c r="A307" s="7"/>
      <c r="B307" s="8"/>
      <c r="C307" s="18"/>
      <c r="D307" s="18"/>
      <c r="E307" s="18"/>
      <c r="F307" s="24"/>
      <c r="G307" s="25"/>
      <c r="H307" s="28"/>
      <c r="I307" s="576" t="s">
        <v>3163</v>
      </c>
      <c r="J307" s="575">
        <v>0</v>
      </c>
      <c r="K307" s="575">
        <v>0</v>
      </c>
      <c r="L307" s="575">
        <v>0</v>
      </c>
      <c r="M307" s="575">
        <v>0</v>
      </c>
      <c r="N307" s="575">
        <v>0</v>
      </c>
      <c r="O307" s="575">
        <v>0</v>
      </c>
      <c r="P307" s="575">
        <v>0</v>
      </c>
      <c r="Q307" s="575">
        <v>0</v>
      </c>
      <c r="R307" s="575">
        <v>0.25</v>
      </c>
      <c r="S307" s="575">
        <v>0.25</v>
      </c>
      <c r="T307" s="575">
        <v>0.25</v>
      </c>
      <c r="U307" s="575">
        <v>0.25</v>
      </c>
      <c r="V307" s="575">
        <v>0.25</v>
      </c>
      <c r="W307" s="575">
        <v>0.25</v>
      </c>
      <c r="X307" s="575">
        <v>0.32</v>
      </c>
      <c r="Y307" s="575">
        <v>0.32</v>
      </c>
      <c r="Z307" s="575">
        <v>0.25</v>
      </c>
      <c r="AA307" s="575">
        <v>0.25</v>
      </c>
      <c r="AB307" s="575">
        <v>0.17</v>
      </c>
      <c r="AC307" s="575">
        <v>0.17</v>
      </c>
      <c r="AD307" s="575">
        <v>0</v>
      </c>
      <c r="AE307" s="575">
        <v>0</v>
      </c>
      <c r="AF307" s="575">
        <v>0</v>
      </c>
      <c r="AG307" s="575">
        <v>0</v>
      </c>
      <c r="AH307" s="578">
        <f t="shared" si="34"/>
        <v>6.7024128686327081E-2</v>
      </c>
      <c r="AI307" s="575">
        <v>0</v>
      </c>
      <c r="AJ307" s="575">
        <v>0</v>
      </c>
      <c r="AK307" s="575">
        <v>0</v>
      </c>
      <c r="AL307" s="575">
        <v>0</v>
      </c>
      <c r="AM307" s="575">
        <v>0</v>
      </c>
      <c r="AN307" s="492"/>
      <c r="AO307" s="492"/>
      <c r="AP307" s="27"/>
      <c r="AQ307" s="17"/>
      <c r="AR307" s="9"/>
      <c r="AS307" s="577">
        <f t="shared" si="33"/>
        <v>45313</v>
      </c>
      <c r="AT307" s="9"/>
    </row>
    <row r="308" spans="1:46" customFormat="1" ht="12" customHeight="1" outlineLevel="1" x14ac:dyDescent="0.25">
      <c r="A308" s="7"/>
      <c r="B308" s="8"/>
      <c r="C308" s="18"/>
      <c r="D308" s="18"/>
      <c r="E308" s="18"/>
      <c r="F308" s="24"/>
      <c r="G308" s="25"/>
      <c r="H308" s="28"/>
      <c r="I308" s="576" t="s">
        <v>3164</v>
      </c>
      <c r="J308" s="575">
        <v>0</v>
      </c>
      <c r="K308" s="575">
        <v>0</v>
      </c>
      <c r="L308" s="575">
        <v>0</v>
      </c>
      <c r="M308" s="575">
        <v>0</v>
      </c>
      <c r="N308" s="575">
        <v>0</v>
      </c>
      <c r="O308" s="575">
        <v>0</v>
      </c>
      <c r="P308" s="575">
        <v>0</v>
      </c>
      <c r="Q308" s="575">
        <v>0</v>
      </c>
      <c r="R308" s="575">
        <v>0.25</v>
      </c>
      <c r="S308" s="575">
        <v>0.25</v>
      </c>
      <c r="T308" s="575">
        <v>0.25</v>
      </c>
      <c r="U308" s="575">
        <v>0.25</v>
      </c>
      <c r="V308" s="575">
        <v>0.25</v>
      </c>
      <c r="W308" s="575">
        <v>0.25</v>
      </c>
      <c r="X308" s="575">
        <v>0.32</v>
      </c>
      <c r="Y308" s="575">
        <v>0.32</v>
      </c>
      <c r="Z308" s="575">
        <v>0.25</v>
      </c>
      <c r="AA308" s="575">
        <v>0.25</v>
      </c>
      <c r="AB308" s="575">
        <v>0.17</v>
      </c>
      <c r="AC308" s="575">
        <v>0.17</v>
      </c>
      <c r="AD308" s="575">
        <v>0</v>
      </c>
      <c r="AE308" s="575">
        <v>0</v>
      </c>
      <c r="AF308" s="575">
        <v>0</v>
      </c>
      <c r="AG308" s="575">
        <v>0</v>
      </c>
      <c r="AH308" s="578">
        <f t="shared" si="34"/>
        <v>6.7024128686327081E-2</v>
      </c>
      <c r="AI308" s="575">
        <v>0</v>
      </c>
      <c r="AJ308" s="575">
        <v>0</v>
      </c>
      <c r="AK308" s="575">
        <v>0</v>
      </c>
      <c r="AL308" s="575">
        <v>0</v>
      </c>
      <c r="AM308" s="575">
        <v>0</v>
      </c>
      <c r="AN308" s="492"/>
      <c r="AO308" s="492"/>
      <c r="AP308" s="27"/>
      <c r="AQ308" s="17"/>
      <c r="AR308" s="9"/>
      <c r="AS308" s="577">
        <f t="shared" si="33"/>
        <v>45320</v>
      </c>
      <c r="AT308" s="9"/>
    </row>
    <row r="309" spans="1:46" customFormat="1" ht="12" customHeight="1" outlineLevel="1" x14ac:dyDescent="0.25">
      <c r="A309" s="7"/>
      <c r="B309" s="8"/>
      <c r="C309" s="18"/>
      <c r="D309" s="18"/>
      <c r="E309" s="18"/>
      <c r="F309" s="24"/>
      <c r="G309" s="25"/>
      <c r="H309" s="28"/>
      <c r="I309" s="576" t="s">
        <v>3165</v>
      </c>
      <c r="J309" s="575">
        <v>0</v>
      </c>
      <c r="K309" s="575">
        <v>0</v>
      </c>
      <c r="L309" s="575">
        <v>0</v>
      </c>
      <c r="M309" s="575">
        <v>0</v>
      </c>
      <c r="N309" s="575">
        <v>0</v>
      </c>
      <c r="O309" s="575">
        <v>0</v>
      </c>
      <c r="P309" s="575">
        <v>0</v>
      </c>
      <c r="Q309" s="575">
        <v>0</v>
      </c>
      <c r="R309" s="575">
        <v>0.25</v>
      </c>
      <c r="S309" s="575">
        <v>0.25</v>
      </c>
      <c r="T309" s="575">
        <v>0.25</v>
      </c>
      <c r="U309" s="575">
        <v>0.25</v>
      </c>
      <c r="V309" s="575">
        <v>0.25</v>
      </c>
      <c r="W309" s="575">
        <v>0.25</v>
      </c>
      <c r="X309" s="575">
        <v>0.32</v>
      </c>
      <c r="Y309" s="575">
        <v>0.32</v>
      </c>
      <c r="Z309" s="575">
        <v>0.25</v>
      </c>
      <c r="AA309" s="575">
        <v>0.25</v>
      </c>
      <c r="AB309" s="575">
        <v>0.17</v>
      </c>
      <c r="AC309" s="575">
        <v>0.17</v>
      </c>
      <c r="AD309" s="575">
        <v>0</v>
      </c>
      <c r="AE309" s="575">
        <v>0</v>
      </c>
      <c r="AF309" s="575">
        <v>0</v>
      </c>
      <c r="AG309" s="578">
        <f>400/919/7</f>
        <v>6.2179387533032801E-2</v>
      </c>
      <c r="AH309" s="578">
        <f>400/746/7</f>
        <v>7.6599004212945229E-2</v>
      </c>
      <c r="AI309" s="578">
        <f>200/294/7</f>
        <v>9.718172983479105E-2</v>
      </c>
      <c r="AJ309" s="575">
        <v>0</v>
      </c>
      <c r="AK309" s="575">
        <v>0</v>
      </c>
      <c r="AL309" s="575">
        <v>0</v>
      </c>
      <c r="AM309" s="575">
        <v>0</v>
      </c>
      <c r="AN309" s="492"/>
      <c r="AO309" s="492"/>
      <c r="AP309" s="492"/>
      <c r="AQ309" s="17"/>
      <c r="AR309" s="9"/>
      <c r="AS309" s="577">
        <f t="shared" si="33"/>
        <v>45327</v>
      </c>
      <c r="AT309" s="9"/>
    </row>
    <row r="310" spans="1:46" customFormat="1" ht="12" customHeight="1" outlineLevel="1" x14ac:dyDescent="0.25">
      <c r="A310" s="7"/>
      <c r="B310" s="8"/>
      <c r="C310" s="18"/>
      <c r="D310" s="18"/>
      <c r="E310" s="18"/>
      <c r="F310" s="24"/>
      <c r="G310" s="25"/>
      <c r="H310" s="28"/>
      <c r="I310" s="576" t="s">
        <v>3166</v>
      </c>
      <c r="J310" s="575">
        <v>0</v>
      </c>
      <c r="K310" s="575">
        <v>0</v>
      </c>
      <c r="L310" s="575">
        <v>0</v>
      </c>
      <c r="M310" s="575">
        <v>0</v>
      </c>
      <c r="N310" s="575">
        <v>0</v>
      </c>
      <c r="O310" s="575">
        <v>0</v>
      </c>
      <c r="P310" s="575">
        <v>0</v>
      </c>
      <c r="Q310" s="575">
        <v>0</v>
      </c>
      <c r="R310" s="575">
        <v>0.25</v>
      </c>
      <c r="S310" s="575">
        <v>0.25</v>
      </c>
      <c r="T310" s="575">
        <v>0.25</v>
      </c>
      <c r="U310" s="575">
        <v>0.25</v>
      </c>
      <c r="V310" s="575">
        <v>0.25</v>
      </c>
      <c r="W310" s="575">
        <v>0.25</v>
      </c>
      <c r="X310" s="575">
        <v>0.32</v>
      </c>
      <c r="Y310" s="575">
        <v>0.32</v>
      </c>
      <c r="Z310" s="575">
        <v>0.25</v>
      </c>
      <c r="AA310" s="575">
        <v>0.25</v>
      </c>
      <c r="AB310" s="575">
        <v>0.17</v>
      </c>
      <c r="AC310" s="575">
        <v>0.17</v>
      </c>
      <c r="AD310" s="575">
        <v>0</v>
      </c>
      <c r="AE310" s="575">
        <v>0</v>
      </c>
      <c r="AF310" s="575">
        <v>0</v>
      </c>
      <c r="AG310" s="575">
        <v>0</v>
      </c>
      <c r="AH310" s="578">
        <f t="shared" ref="AH310:AH317" si="35">400/746/7</f>
        <v>7.6599004212945229E-2</v>
      </c>
      <c r="AI310" s="575">
        <v>0</v>
      </c>
      <c r="AJ310" s="575">
        <v>0</v>
      </c>
      <c r="AK310" s="575">
        <v>0</v>
      </c>
      <c r="AL310" s="575">
        <v>0</v>
      </c>
      <c r="AM310" s="575">
        <v>0</v>
      </c>
      <c r="AN310" s="492"/>
      <c r="AO310" s="492"/>
      <c r="AP310" s="492"/>
      <c r="AQ310" s="17"/>
      <c r="AR310" s="9"/>
      <c r="AS310" s="577">
        <f t="shared" si="33"/>
        <v>45334</v>
      </c>
      <c r="AT310" s="9"/>
    </row>
    <row r="311" spans="1:46" customFormat="1" ht="12" customHeight="1" outlineLevel="1" x14ac:dyDescent="0.25">
      <c r="A311" s="7"/>
      <c r="B311" s="8"/>
      <c r="C311" s="18"/>
      <c r="D311" s="18"/>
      <c r="E311" s="18"/>
      <c r="F311" s="24"/>
      <c r="G311" s="25"/>
      <c r="H311" s="28"/>
      <c r="I311" s="576" t="s">
        <v>3167</v>
      </c>
      <c r="J311" s="575">
        <v>0</v>
      </c>
      <c r="K311" s="575">
        <v>0</v>
      </c>
      <c r="L311" s="575">
        <v>0</v>
      </c>
      <c r="M311" s="575">
        <v>0</v>
      </c>
      <c r="N311" s="575">
        <v>0</v>
      </c>
      <c r="O311" s="575">
        <v>0</v>
      </c>
      <c r="P311" s="575">
        <v>0</v>
      </c>
      <c r="Q311" s="575">
        <v>0</v>
      </c>
      <c r="R311" s="575">
        <v>0.25</v>
      </c>
      <c r="S311" s="575">
        <v>0.25</v>
      </c>
      <c r="T311" s="575">
        <v>0.25</v>
      </c>
      <c r="U311" s="575">
        <v>0.25</v>
      </c>
      <c r="V311" s="575">
        <v>0.25</v>
      </c>
      <c r="W311" s="575">
        <v>0.25</v>
      </c>
      <c r="X311" s="575">
        <v>0.32</v>
      </c>
      <c r="Y311" s="575">
        <v>0.32</v>
      </c>
      <c r="Z311" s="575">
        <v>0.25</v>
      </c>
      <c r="AA311" s="575">
        <v>0.25</v>
      </c>
      <c r="AB311" s="575">
        <v>0.17</v>
      </c>
      <c r="AC311" s="575">
        <v>0.17</v>
      </c>
      <c r="AD311" s="575">
        <v>0</v>
      </c>
      <c r="AE311" s="575">
        <v>0</v>
      </c>
      <c r="AF311" s="575">
        <v>0</v>
      </c>
      <c r="AG311" s="575">
        <v>0</v>
      </c>
      <c r="AH311" s="578">
        <f t="shared" si="35"/>
        <v>7.6599004212945229E-2</v>
      </c>
      <c r="AI311" s="575">
        <v>0</v>
      </c>
      <c r="AJ311" s="575">
        <v>0</v>
      </c>
      <c r="AK311" s="575">
        <v>0</v>
      </c>
      <c r="AL311" s="575">
        <v>0</v>
      </c>
      <c r="AM311" s="575">
        <v>0</v>
      </c>
      <c r="AN311" s="492"/>
      <c r="AO311" s="492"/>
      <c r="AP311" s="492"/>
      <c r="AQ311" s="17"/>
      <c r="AR311" s="9"/>
      <c r="AS311" s="577">
        <f t="shared" si="33"/>
        <v>45341</v>
      </c>
      <c r="AT311" s="9"/>
    </row>
    <row r="312" spans="1:46" customFormat="1" ht="12" customHeight="1" outlineLevel="1" x14ac:dyDescent="0.25">
      <c r="A312" s="7"/>
      <c r="B312" s="8"/>
      <c r="C312" s="18"/>
      <c r="D312" s="18"/>
      <c r="E312" s="18"/>
      <c r="F312" s="24"/>
      <c r="G312" s="25"/>
      <c r="H312" s="28"/>
      <c r="I312" s="576" t="s">
        <v>3168</v>
      </c>
      <c r="J312" s="575">
        <v>0</v>
      </c>
      <c r="K312" s="575">
        <v>0</v>
      </c>
      <c r="L312" s="575">
        <v>0</v>
      </c>
      <c r="M312" s="575">
        <v>0</v>
      </c>
      <c r="N312" s="575">
        <v>0</v>
      </c>
      <c r="O312" s="575">
        <v>0</v>
      </c>
      <c r="P312" s="575">
        <v>0</v>
      </c>
      <c r="Q312" s="575">
        <v>0</v>
      </c>
      <c r="R312" s="575">
        <v>0.25</v>
      </c>
      <c r="S312" s="575">
        <v>0.25</v>
      </c>
      <c r="T312" s="575">
        <v>0.25</v>
      </c>
      <c r="U312" s="575">
        <v>0.25</v>
      </c>
      <c r="V312" s="575">
        <v>0.25</v>
      </c>
      <c r="W312" s="575">
        <v>0.25</v>
      </c>
      <c r="X312" s="575">
        <v>0.32</v>
      </c>
      <c r="Y312" s="575">
        <v>0.32</v>
      </c>
      <c r="Z312" s="575">
        <v>0.25</v>
      </c>
      <c r="AA312" s="575">
        <v>0.25</v>
      </c>
      <c r="AB312" s="575">
        <v>0.17</v>
      </c>
      <c r="AC312" s="575">
        <v>0.17</v>
      </c>
      <c r="AD312" s="575">
        <v>0</v>
      </c>
      <c r="AE312" s="575">
        <v>0</v>
      </c>
      <c r="AF312" s="575">
        <v>0</v>
      </c>
      <c r="AG312" s="575">
        <v>0</v>
      </c>
      <c r="AH312" s="578">
        <f t="shared" si="35"/>
        <v>7.6599004212945229E-2</v>
      </c>
      <c r="AI312" s="575">
        <v>0</v>
      </c>
      <c r="AJ312" s="575">
        <v>0</v>
      </c>
      <c r="AK312" s="575">
        <v>0</v>
      </c>
      <c r="AL312" s="575">
        <v>0</v>
      </c>
      <c r="AM312" s="575">
        <v>0</v>
      </c>
      <c r="AN312" s="492"/>
      <c r="AO312" s="492"/>
      <c r="AP312" s="492"/>
      <c r="AQ312" s="17"/>
      <c r="AR312" s="9"/>
      <c r="AS312" s="577">
        <f t="shared" si="33"/>
        <v>45348</v>
      </c>
      <c r="AT312" s="9"/>
    </row>
    <row r="313" spans="1:46" customFormat="1" ht="12" customHeight="1" outlineLevel="1" x14ac:dyDescent="0.25">
      <c r="A313" s="7"/>
      <c r="B313" s="8"/>
      <c r="C313" s="18"/>
      <c r="D313" s="18"/>
      <c r="E313" s="18"/>
      <c r="F313" s="24"/>
      <c r="G313" s="25"/>
      <c r="H313" s="28"/>
      <c r="I313" s="576" t="s">
        <v>3169</v>
      </c>
      <c r="J313" s="575">
        <v>0</v>
      </c>
      <c r="K313" s="575">
        <v>0</v>
      </c>
      <c r="L313" s="575">
        <v>0</v>
      </c>
      <c r="M313" s="575">
        <v>0</v>
      </c>
      <c r="N313" s="575">
        <v>0</v>
      </c>
      <c r="O313" s="575">
        <v>0</v>
      </c>
      <c r="P313" s="575">
        <v>0</v>
      </c>
      <c r="Q313" s="575">
        <v>0</v>
      </c>
      <c r="R313" s="575">
        <v>0.25</v>
      </c>
      <c r="S313" s="575">
        <v>0.25</v>
      </c>
      <c r="T313" s="575">
        <v>0.25</v>
      </c>
      <c r="U313" s="575">
        <v>0.25</v>
      </c>
      <c r="V313" s="575">
        <v>0.25</v>
      </c>
      <c r="W313" s="575">
        <v>0.25</v>
      </c>
      <c r="X313" s="575">
        <v>0.32</v>
      </c>
      <c r="Y313" s="575">
        <v>0.32</v>
      </c>
      <c r="Z313" s="575">
        <v>0.25</v>
      </c>
      <c r="AA313" s="575">
        <v>0.25</v>
      </c>
      <c r="AB313" s="575">
        <v>0.17</v>
      </c>
      <c r="AC313" s="575">
        <v>0.17</v>
      </c>
      <c r="AD313" s="575">
        <v>0</v>
      </c>
      <c r="AE313" s="575">
        <v>0</v>
      </c>
      <c r="AF313" s="575">
        <v>0</v>
      </c>
      <c r="AG313" s="575">
        <v>0</v>
      </c>
      <c r="AH313" s="578">
        <f t="shared" si="35"/>
        <v>7.6599004212945229E-2</v>
      </c>
      <c r="AI313" s="575">
        <v>0</v>
      </c>
      <c r="AJ313" s="575">
        <v>0</v>
      </c>
      <c r="AK313" s="575">
        <v>0</v>
      </c>
      <c r="AL313" s="575">
        <v>0</v>
      </c>
      <c r="AM313" s="575">
        <v>0</v>
      </c>
      <c r="AN313" s="492"/>
      <c r="AO313" s="492"/>
      <c r="AP313" s="27"/>
      <c r="AQ313" s="17"/>
      <c r="AR313" s="9"/>
      <c r="AS313" s="577">
        <f t="shared" si="33"/>
        <v>45355</v>
      </c>
      <c r="AT313" s="9"/>
    </row>
    <row r="314" spans="1:46" customFormat="1" ht="12" customHeight="1" outlineLevel="1" x14ac:dyDescent="0.25">
      <c r="A314" s="7"/>
      <c r="B314" s="8"/>
      <c r="C314" s="18"/>
      <c r="D314" s="18"/>
      <c r="E314" s="18"/>
      <c r="F314" s="24"/>
      <c r="G314" s="25"/>
      <c r="H314" s="28"/>
      <c r="I314" s="576" t="s">
        <v>3170</v>
      </c>
      <c r="J314" s="575">
        <v>0</v>
      </c>
      <c r="K314" s="575">
        <v>0</v>
      </c>
      <c r="L314" s="575">
        <v>0</v>
      </c>
      <c r="M314" s="575">
        <v>0</v>
      </c>
      <c r="N314" s="575">
        <v>0</v>
      </c>
      <c r="O314" s="575">
        <v>0</v>
      </c>
      <c r="P314" s="575">
        <v>0</v>
      </c>
      <c r="Q314" s="575">
        <v>0</v>
      </c>
      <c r="R314" s="575">
        <v>0.25</v>
      </c>
      <c r="S314" s="575">
        <v>0.25</v>
      </c>
      <c r="T314" s="575">
        <v>0.25</v>
      </c>
      <c r="U314" s="575">
        <v>0.25</v>
      </c>
      <c r="V314" s="575">
        <v>0.25</v>
      </c>
      <c r="W314" s="575">
        <v>0.25</v>
      </c>
      <c r="X314" s="575">
        <v>0.32</v>
      </c>
      <c r="Y314" s="575">
        <v>0.32</v>
      </c>
      <c r="Z314" s="575">
        <v>0.25</v>
      </c>
      <c r="AA314" s="575">
        <v>0.25</v>
      </c>
      <c r="AB314" s="575">
        <v>0.17</v>
      </c>
      <c r="AC314" s="575">
        <v>0.17</v>
      </c>
      <c r="AD314" s="575">
        <v>0</v>
      </c>
      <c r="AE314" s="575">
        <v>0</v>
      </c>
      <c r="AF314" s="575">
        <v>0</v>
      </c>
      <c r="AG314" s="575">
        <v>0</v>
      </c>
      <c r="AH314" s="578">
        <f t="shared" si="35"/>
        <v>7.6599004212945229E-2</v>
      </c>
      <c r="AI314" s="575">
        <v>0</v>
      </c>
      <c r="AJ314" s="575">
        <v>0</v>
      </c>
      <c r="AK314" s="575">
        <v>0</v>
      </c>
      <c r="AL314" s="575">
        <v>0</v>
      </c>
      <c r="AM314" s="575">
        <v>0</v>
      </c>
      <c r="AN314" s="492"/>
      <c r="AO314" s="492"/>
      <c r="AP314" s="27"/>
      <c r="AQ314" s="17"/>
      <c r="AR314" s="9"/>
      <c r="AS314" s="577">
        <f t="shared" ref="AS314:AS316" si="36">AS310+7</f>
        <v>45341</v>
      </c>
      <c r="AT314" s="9"/>
    </row>
    <row r="315" spans="1:46" customFormat="1" ht="12" customHeight="1" outlineLevel="1" x14ac:dyDescent="0.25">
      <c r="A315" s="7"/>
      <c r="B315" s="8"/>
      <c r="C315" s="18"/>
      <c r="D315" s="18"/>
      <c r="E315" s="18"/>
      <c r="F315" s="24"/>
      <c r="G315" s="25"/>
      <c r="H315" s="28"/>
      <c r="I315" s="576" t="s">
        <v>3171</v>
      </c>
      <c r="J315" s="575">
        <v>0</v>
      </c>
      <c r="K315" s="575">
        <v>0</v>
      </c>
      <c r="L315" s="575">
        <v>0</v>
      </c>
      <c r="M315" s="575">
        <v>0</v>
      </c>
      <c r="N315" s="575">
        <v>0</v>
      </c>
      <c r="O315" s="575">
        <v>0</v>
      </c>
      <c r="P315" s="575">
        <v>0</v>
      </c>
      <c r="Q315" s="575">
        <v>0</v>
      </c>
      <c r="R315" s="575">
        <v>0.25</v>
      </c>
      <c r="S315" s="575">
        <v>0.25</v>
      </c>
      <c r="T315" s="575">
        <v>0.25</v>
      </c>
      <c r="U315" s="575">
        <v>0.25</v>
      </c>
      <c r="V315" s="575">
        <v>0.25</v>
      </c>
      <c r="W315" s="575">
        <v>0.25</v>
      </c>
      <c r="X315" s="575">
        <v>0.32</v>
      </c>
      <c r="Y315" s="575">
        <v>0.32</v>
      </c>
      <c r="Z315" s="575">
        <v>0.25</v>
      </c>
      <c r="AA315" s="575">
        <v>0.25</v>
      </c>
      <c r="AB315" s="575">
        <v>0.17</v>
      </c>
      <c r="AC315" s="575">
        <v>0.17</v>
      </c>
      <c r="AD315" s="575">
        <v>0</v>
      </c>
      <c r="AE315" s="575">
        <v>0</v>
      </c>
      <c r="AF315" s="575">
        <v>0</v>
      </c>
      <c r="AG315" s="575">
        <v>0</v>
      </c>
      <c r="AH315" s="578">
        <f t="shared" si="35"/>
        <v>7.6599004212945229E-2</v>
      </c>
      <c r="AI315" s="575">
        <v>0</v>
      </c>
      <c r="AJ315" s="575">
        <v>0</v>
      </c>
      <c r="AK315" s="575">
        <v>0</v>
      </c>
      <c r="AL315" s="575">
        <v>0</v>
      </c>
      <c r="AM315" s="575">
        <v>0</v>
      </c>
      <c r="AN315" s="492"/>
      <c r="AO315" s="492"/>
      <c r="AP315" s="27"/>
      <c r="AQ315" s="17"/>
      <c r="AR315" s="9"/>
      <c r="AS315" s="577">
        <f t="shared" si="36"/>
        <v>45348</v>
      </c>
      <c r="AT315" s="9"/>
    </row>
    <row r="316" spans="1:46" customFormat="1" ht="12" customHeight="1" outlineLevel="1" x14ac:dyDescent="0.25">
      <c r="A316" s="7"/>
      <c r="B316" s="8"/>
      <c r="C316" s="18"/>
      <c r="D316" s="18"/>
      <c r="E316" s="18"/>
      <c r="F316" s="24"/>
      <c r="G316" s="25"/>
      <c r="H316" s="28"/>
      <c r="I316" s="576" t="s">
        <v>3172</v>
      </c>
      <c r="J316" s="575">
        <v>0</v>
      </c>
      <c r="K316" s="575">
        <v>0</v>
      </c>
      <c r="L316" s="575">
        <v>0</v>
      </c>
      <c r="M316" s="575">
        <v>0</v>
      </c>
      <c r="N316" s="575">
        <v>0</v>
      </c>
      <c r="O316" s="575">
        <v>0</v>
      </c>
      <c r="P316" s="575">
        <v>0</v>
      </c>
      <c r="Q316" s="575">
        <v>0</v>
      </c>
      <c r="R316" s="575">
        <v>0.25</v>
      </c>
      <c r="S316" s="575">
        <v>0.25</v>
      </c>
      <c r="T316" s="575">
        <v>0.25</v>
      </c>
      <c r="U316" s="575">
        <v>0.25</v>
      </c>
      <c r="V316" s="575">
        <v>0.25</v>
      </c>
      <c r="W316" s="575">
        <v>0.25</v>
      </c>
      <c r="X316" s="575">
        <v>0.32</v>
      </c>
      <c r="Y316" s="575">
        <v>0.32</v>
      </c>
      <c r="Z316" s="575">
        <v>0.25</v>
      </c>
      <c r="AA316" s="575">
        <v>0.25</v>
      </c>
      <c r="AB316" s="575">
        <v>0.17</v>
      </c>
      <c r="AC316" s="575">
        <v>0.17</v>
      </c>
      <c r="AD316" s="575">
        <v>0</v>
      </c>
      <c r="AE316" s="575">
        <v>0</v>
      </c>
      <c r="AF316" s="575">
        <v>0</v>
      </c>
      <c r="AG316" s="575">
        <v>0</v>
      </c>
      <c r="AH316" s="578">
        <f t="shared" si="35"/>
        <v>7.6599004212945229E-2</v>
      </c>
      <c r="AI316" s="575">
        <v>0</v>
      </c>
      <c r="AJ316" s="575">
        <v>0</v>
      </c>
      <c r="AK316" s="575">
        <v>0</v>
      </c>
      <c r="AL316" s="575">
        <v>0</v>
      </c>
      <c r="AM316" s="575">
        <v>0</v>
      </c>
      <c r="AN316" s="492"/>
      <c r="AO316" s="492"/>
      <c r="AP316" s="27"/>
      <c r="AQ316" s="17"/>
      <c r="AR316" s="9"/>
      <c r="AS316" s="577">
        <f t="shared" si="36"/>
        <v>45355</v>
      </c>
      <c r="AT316" s="9"/>
    </row>
    <row r="317" spans="1:46" customFormat="1" ht="12" customHeight="1" outlineLevel="1" x14ac:dyDescent="0.25">
      <c r="A317" s="7"/>
      <c r="B317" s="8"/>
      <c r="C317" s="18"/>
      <c r="D317" s="18"/>
      <c r="E317" s="18"/>
      <c r="F317" s="24"/>
      <c r="G317" s="25"/>
      <c r="H317" s="28"/>
      <c r="I317" s="576" t="s">
        <v>3173</v>
      </c>
      <c r="J317" s="575">
        <v>0</v>
      </c>
      <c r="K317" s="575">
        <v>0</v>
      </c>
      <c r="L317" s="575">
        <v>0</v>
      </c>
      <c r="M317" s="575">
        <v>0</v>
      </c>
      <c r="N317" s="575">
        <v>0</v>
      </c>
      <c r="O317" s="575">
        <v>0</v>
      </c>
      <c r="P317" s="575">
        <v>0</v>
      </c>
      <c r="Q317" s="575">
        <v>0</v>
      </c>
      <c r="R317" s="575">
        <v>0.25</v>
      </c>
      <c r="S317" s="575">
        <v>0.25</v>
      </c>
      <c r="T317" s="575">
        <v>0.25</v>
      </c>
      <c r="U317" s="575">
        <v>0.25</v>
      </c>
      <c r="V317" s="575">
        <v>0.25</v>
      </c>
      <c r="W317" s="575">
        <v>0.25</v>
      </c>
      <c r="X317" s="575">
        <v>0.32</v>
      </c>
      <c r="Y317" s="575">
        <v>0.32</v>
      </c>
      <c r="Z317" s="575">
        <v>0.25</v>
      </c>
      <c r="AA317" s="575">
        <v>0.25</v>
      </c>
      <c r="AB317" s="575">
        <v>0.17</v>
      </c>
      <c r="AC317" s="575">
        <v>0.17</v>
      </c>
      <c r="AD317" s="575">
        <v>0</v>
      </c>
      <c r="AE317" s="575">
        <v>0</v>
      </c>
      <c r="AF317" s="575">
        <v>0</v>
      </c>
      <c r="AG317" s="575">
        <v>0</v>
      </c>
      <c r="AH317" s="578">
        <f t="shared" si="35"/>
        <v>7.6599004212945229E-2</v>
      </c>
      <c r="AI317" s="575">
        <v>0</v>
      </c>
      <c r="AJ317" s="575">
        <v>0</v>
      </c>
      <c r="AK317" s="575">
        <v>0</v>
      </c>
      <c r="AL317" s="575">
        <v>0</v>
      </c>
      <c r="AM317" s="575">
        <v>0</v>
      </c>
      <c r="AN317" s="492"/>
      <c r="AO317" s="492"/>
      <c r="AP317" s="27"/>
      <c r="AQ317" s="17"/>
      <c r="AR317" s="9"/>
      <c r="AS317" s="577">
        <f t="shared" ref="AS317" si="37">AS303+7</f>
        <v>45292</v>
      </c>
      <c r="AT317" s="9"/>
    </row>
    <row r="318" spans="1:46" customFormat="1" ht="12" customHeight="1" outlineLevel="1" x14ac:dyDescent="0.25">
      <c r="A318" s="7"/>
      <c r="B318" s="8"/>
      <c r="C318" s="18"/>
      <c r="D318" s="18"/>
      <c r="E318" s="18"/>
      <c r="F318" s="24"/>
      <c r="G318" s="25"/>
      <c r="H318" s="28"/>
      <c r="I318" s="574"/>
      <c r="J318" s="496"/>
      <c r="K318" s="492"/>
      <c r="L318" s="492"/>
      <c r="M318" s="492"/>
      <c r="N318" s="492"/>
      <c r="O318" s="492"/>
      <c r="P318" s="492"/>
      <c r="Q318" s="492"/>
      <c r="R318" s="492"/>
      <c r="S318" s="492"/>
      <c r="T318" s="492"/>
      <c r="U318" s="492"/>
      <c r="V318" s="492"/>
      <c r="W318" s="492"/>
      <c r="X318" s="492"/>
      <c r="Y318" s="492"/>
      <c r="Z318" s="492"/>
      <c r="AA318" s="492"/>
      <c r="AB318" s="492"/>
      <c r="AC318" s="492"/>
      <c r="AD318" s="492"/>
      <c r="AE318" s="492"/>
      <c r="AF318" s="492"/>
      <c r="AG318" s="492"/>
      <c r="AH318" s="492"/>
      <c r="AI318" s="492"/>
      <c r="AJ318" s="492"/>
      <c r="AK318" s="492"/>
      <c r="AL318" s="492"/>
      <c r="AM318" s="492"/>
      <c r="AN318" s="492"/>
      <c r="AO318" s="492"/>
      <c r="AP318" s="27"/>
      <c r="AQ318" s="17"/>
      <c r="AR318" s="9"/>
      <c r="AS318" s="9"/>
      <c r="AT318" s="9"/>
    </row>
    <row r="319" spans="1:46" customFormat="1" ht="12" customHeight="1" outlineLevel="1" x14ac:dyDescent="0.25">
      <c r="A319" s="7"/>
      <c r="B319" s="8"/>
      <c r="C319" s="18"/>
      <c r="D319" s="18"/>
      <c r="E319" s="18"/>
      <c r="F319" s="24"/>
      <c r="G319" s="25"/>
      <c r="H319" s="28"/>
      <c r="I319" s="574"/>
      <c r="J319" s="496"/>
      <c r="K319" s="492"/>
      <c r="L319" s="492"/>
      <c r="M319" s="492"/>
      <c r="N319" s="492"/>
      <c r="O319" s="492"/>
      <c r="P319" s="492"/>
      <c r="Q319" s="492"/>
      <c r="R319" s="492"/>
      <c r="S319" s="492"/>
      <c r="T319" s="492"/>
      <c r="U319" s="492"/>
      <c r="V319" s="492"/>
      <c r="W319" s="492"/>
      <c r="X319" s="492"/>
      <c r="Y319" s="492"/>
      <c r="Z319" s="492"/>
      <c r="AA319" s="492"/>
      <c r="AB319" s="492"/>
      <c r="AC319" s="492"/>
      <c r="AD319" s="492"/>
      <c r="AE319" s="492"/>
      <c r="AF319" s="492"/>
      <c r="AG319" s="492"/>
      <c r="AH319" s="492"/>
      <c r="AI319" s="492"/>
      <c r="AJ319" s="492"/>
      <c r="AK319" s="492"/>
      <c r="AL319" s="492"/>
      <c r="AM319" s="492"/>
      <c r="AN319" s="492"/>
      <c r="AO319" s="492"/>
      <c r="AP319" s="27"/>
      <c r="AQ319" s="17"/>
      <c r="AR319" s="9"/>
      <c r="AS319" s="9"/>
      <c r="AT319" s="9"/>
    </row>
    <row r="320" spans="1:46" customFormat="1" ht="12" customHeight="1" outlineLevel="1" x14ac:dyDescent="0.25">
      <c r="A320" s="7"/>
      <c r="B320" s="8"/>
      <c r="C320" s="18"/>
      <c r="D320" s="18"/>
      <c r="E320" s="18"/>
      <c r="F320" s="24"/>
      <c r="G320" s="25"/>
      <c r="H320" s="28"/>
      <c r="I320" s="574"/>
      <c r="J320" s="496"/>
      <c r="K320" s="492"/>
      <c r="L320" s="492"/>
      <c r="M320" s="492"/>
      <c r="N320" s="492"/>
      <c r="O320" s="492"/>
      <c r="P320" s="492"/>
      <c r="Q320" s="492"/>
      <c r="R320" s="492"/>
      <c r="S320" s="492"/>
      <c r="T320" s="492"/>
      <c r="U320" s="492"/>
      <c r="V320" s="492"/>
      <c r="W320" s="492"/>
      <c r="X320" s="492"/>
      <c r="Y320" s="492"/>
      <c r="Z320" s="492"/>
      <c r="AA320" s="492"/>
      <c r="AB320" s="492"/>
      <c r="AC320" s="492"/>
      <c r="AD320" s="492"/>
      <c r="AE320" s="492"/>
      <c r="AF320" s="492"/>
      <c r="AG320" s="492"/>
      <c r="AH320" s="492"/>
      <c r="AI320" s="492"/>
      <c r="AJ320" s="492"/>
      <c r="AK320" s="492"/>
      <c r="AL320" s="492"/>
      <c r="AM320" s="492"/>
      <c r="AN320" s="492"/>
      <c r="AO320" s="492"/>
      <c r="AP320" s="27"/>
      <c r="AQ320" s="17"/>
      <c r="AR320" s="9"/>
      <c r="AS320" s="9"/>
      <c r="AT320" s="9"/>
    </row>
    <row r="321" spans="1:46" customFormat="1" ht="12" customHeight="1" x14ac:dyDescent="0.25">
      <c r="A321" s="7"/>
      <c r="B321" s="8"/>
      <c r="C321" s="18"/>
      <c r="D321" s="18"/>
      <c r="E321" s="18"/>
      <c r="F321" s="24"/>
      <c r="G321" s="547" t="s">
        <v>3174</v>
      </c>
      <c r="H321" s="28"/>
      <c r="I321" s="579" t="s">
        <v>3175</v>
      </c>
      <c r="J321" s="580"/>
      <c r="K321" s="580"/>
      <c r="L321" s="580"/>
      <c r="M321" s="580"/>
      <c r="N321" s="580"/>
      <c r="O321" s="580"/>
      <c r="P321" s="580"/>
      <c r="Q321" s="580"/>
      <c r="R321" s="580"/>
      <c r="S321" s="580"/>
      <c r="T321" s="580"/>
      <c r="U321" s="580"/>
      <c r="V321" s="580"/>
      <c r="W321" s="580"/>
      <c r="X321" s="580"/>
      <c r="Y321" s="580"/>
      <c r="Z321" s="580"/>
      <c r="AA321" s="580"/>
      <c r="AB321" s="580"/>
      <c r="AC321" s="580"/>
      <c r="AD321" s="580"/>
      <c r="AE321" s="580"/>
      <c r="AF321" s="580"/>
      <c r="AG321" s="580"/>
      <c r="AH321" s="580"/>
      <c r="AI321" s="580"/>
      <c r="AJ321" s="580"/>
      <c r="AK321" s="580"/>
      <c r="AL321" s="580"/>
      <c r="AM321" s="580"/>
      <c r="AN321" s="492"/>
      <c r="AO321" s="492"/>
      <c r="AP321" s="30"/>
      <c r="AQ321" s="17"/>
      <c r="AR321" s="9"/>
      <c r="AS321" s="9"/>
      <c r="AT321" s="9"/>
    </row>
    <row r="322" spans="1:46" customFormat="1" ht="12" customHeight="1" x14ac:dyDescent="0.25">
      <c r="A322" s="7"/>
      <c r="B322" s="8"/>
      <c r="C322" s="18"/>
      <c r="D322" s="18"/>
      <c r="E322" s="18"/>
      <c r="F322" s="24"/>
      <c r="G322" s="547"/>
      <c r="H322" s="28"/>
      <c r="I322" s="581" t="s">
        <v>2289</v>
      </c>
      <c r="J322" s="582">
        <v>-6.9627386801849749</v>
      </c>
      <c r="K322" s="582">
        <v>-6.0156524915318768</v>
      </c>
      <c r="L322" s="582">
        <v>-16.045410093859722</v>
      </c>
      <c r="M322" s="582">
        <v>-13.509425240701901</v>
      </c>
      <c r="N322" s="582">
        <v>-8.217437489547061</v>
      </c>
      <c r="O322" s="582">
        <v>-8.1062270014987341</v>
      </c>
      <c r="P322" s="582">
        <v>-9.482552648879734</v>
      </c>
      <c r="Q322" s="582">
        <v>-29.071825012886912</v>
      </c>
      <c r="R322" s="582">
        <v>-0.59944361589410566</v>
      </c>
      <c r="S322" s="582">
        <v>-0.61199740889712317</v>
      </c>
      <c r="T322" s="582">
        <v>-0.65906310885294273</v>
      </c>
      <c r="U322" s="582">
        <v>-0.87644073372921349</v>
      </c>
      <c r="V322" s="582">
        <v>-1.3770690462419783</v>
      </c>
      <c r="W322" s="582">
        <v>-1.3560129446174805</v>
      </c>
      <c r="X322" s="582">
        <v>-0.92867167621956725</v>
      </c>
      <c r="Y322" s="582">
        <v>-1.3602142818907355</v>
      </c>
      <c r="Z322" s="582">
        <v>-0.62160661264888861</v>
      </c>
      <c r="AA322" s="582">
        <v>-0.8383353549900725</v>
      </c>
      <c r="AB322" s="582">
        <v>-1.7548717127396745</v>
      </c>
      <c r="AC322" s="582">
        <v>-2.1273556936201503</v>
      </c>
      <c r="AD322" s="582">
        <v>-2.1242128702581558E-2</v>
      </c>
      <c r="AE322" s="582">
        <v>-8.4945043615853727E-3</v>
      </c>
      <c r="AF322" s="582">
        <v>-8.5106530236712993E-3</v>
      </c>
      <c r="AG322" s="582">
        <v>-1.3786513769950051E-3</v>
      </c>
      <c r="AH322" s="582">
        <v>-7.02529466445438E-3</v>
      </c>
      <c r="AI322" s="582">
        <v>-4.1707721917420511E-2</v>
      </c>
      <c r="AJ322" s="582">
        <v>-0.91743119266055029</v>
      </c>
      <c r="AK322" s="582">
        <v>-5.6250000000000007E-3</v>
      </c>
      <c r="AL322" s="582">
        <v>-0.21101221843119239</v>
      </c>
      <c r="AM322" s="582">
        <v>-0.26855493877561865</v>
      </c>
      <c r="AN322" s="492"/>
      <c r="AO322" s="492"/>
      <c r="AP322" s="30"/>
      <c r="AQ322" s="17"/>
      <c r="AR322" s="9"/>
      <c r="AS322" s="9"/>
      <c r="AT322" s="9"/>
    </row>
    <row r="323" spans="1:46" customFormat="1" ht="12" customHeight="1" x14ac:dyDescent="0.25">
      <c r="A323" s="7"/>
      <c r="B323" s="8"/>
      <c r="C323" s="18"/>
      <c r="D323" s="18"/>
      <c r="E323" s="18"/>
      <c r="F323" s="24"/>
      <c r="G323" s="547"/>
      <c r="H323" s="28"/>
      <c r="I323" s="581" t="s">
        <v>4</v>
      </c>
      <c r="J323" s="583">
        <v>9.5708365331199214</v>
      </c>
      <c r="K323" s="583">
        <v>1.7972582134700135</v>
      </c>
      <c r="L323" s="583">
        <v>22.081968506219848</v>
      </c>
      <c r="M323" s="583">
        <v>18.236823192583859</v>
      </c>
      <c r="N323" s="583">
        <v>13.190271921056231</v>
      </c>
      <c r="O323" s="583">
        <v>7.8646590587758345</v>
      </c>
      <c r="P323" s="583">
        <v>10.377099619701518</v>
      </c>
      <c r="Q323" s="583">
        <v>22.10808785732327</v>
      </c>
      <c r="R323" s="583">
        <v>2.6419333894920047</v>
      </c>
      <c r="S323" s="583">
        <v>2.4899601010193639</v>
      </c>
      <c r="T323" s="583">
        <v>3.870826729788083</v>
      </c>
      <c r="U323" s="583">
        <v>4.0603762059598081</v>
      </c>
      <c r="V323" s="583">
        <v>4.7746394921672541</v>
      </c>
      <c r="W323" s="583">
        <v>3.9801927778750463</v>
      </c>
      <c r="X323" s="583">
        <v>3.2883889884288755</v>
      </c>
      <c r="Y323" s="583">
        <v>2.6959793962187328</v>
      </c>
      <c r="Z323" s="583">
        <v>2.3382915404356464</v>
      </c>
      <c r="AA323" s="583">
        <v>2.8219967504577319</v>
      </c>
      <c r="AB323" s="583">
        <v>3.9816543979886445</v>
      </c>
      <c r="AC323" s="583">
        <v>4.0854043022969995</v>
      </c>
      <c r="AD323" s="583">
        <v>0.801804515337185</v>
      </c>
      <c r="AE323" s="583">
        <v>0.63059509399466851</v>
      </c>
      <c r="AF323" s="583">
        <v>0.54513927385769101</v>
      </c>
      <c r="AG323" s="583">
        <v>0.65046740143494564</v>
      </c>
      <c r="AH323" s="583">
        <v>0.70144286673170986</v>
      </c>
      <c r="AI323" s="583">
        <v>1.0801013946492328</v>
      </c>
      <c r="AJ323" s="583">
        <v>3.6697247706422016</v>
      </c>
      <c r="AK323" s="583">
        <v>0.45000000000000007</v>
      </c>
      <c r="AL323" s="582">
        <v>1.0736227173920649</v>
      </c>
      <c r="AM323" s="582">
        <v>1.0363156683980159</v>
      </c>
      <c r="AN323" s="492"/>
      <c r="AO323" s="492"/>
      <c r="AP323" s="30"/>
      <c r="AQ323" s="17"/>
      <c r="AR323" s="9"/>
      <c r="AS323" s="9"/>
      <c r="AT323" s="9"/>
    </row>
    <row r="324" spans="1:46" customFormat="1" ht="12" customHeight="1" x14ac:dyDescent="0.25">
      <c r="A324" s="7"/>
      <c r="B324" s="8"/>
      <c r="C324" s="18"/>
      <c r="D324" s="18"/>
      <c r="E324" s="18"/>
      <c r="F324" s="24"/>
      <c r="G324" s="547"/>
      <c r="H324" s="28"/>
      <c r="I324" s="581" t="s">
        <v>3031</v>
      </c>
      <c r="J324" s="525">
        <v>56.100917431192656</v>
      </c>
      <c r="K324" s="525">
        <v>69.159021406727831</v>
      </c>
      <c r="L324" s="525">
        <v>53.794182071775069</v>
      </c>
      <c r="M324" s="525">
        <v>53.592149982469323</v>
      </c>
      <c r="N324" s="525">
        <v>50.094328742239497</v>
      </c>
      <c r="O324" s="525">
        <v>51.371537789427705</v>
      </c>
      <c r="P324" s="525">
        <v>51.259458278724338</v>
      </c>
      <c r="Q324" s="525">
        <v>55.107033639143737</v>
      </c>
      <c r="R324" s="525">
        <v>67.448488494510443</v>
      </c>
      <c r="S324" s="525">
        <v>67.182017640865936</v>
      </c>
      <c r="T324" s="525">
        <v>45.458958226107704</v>
      </c>
      <c r="U324" s="525">
        <v>44.749882809884156</v>
      </c>
      <c r="V324" s="525">
        <v>41.743119266055054</v>
      </c>
      <c r="W324" s="525">
        <v>41.743119266055054</v>
      </c>
      <c r="X324" s="525">
        <v>59.834862385321088</v>
      </c>
      <c r="Y324" s="525">
        <v>62.440366972477065</v>
      </c>
      <c r="Z324" s="525">
        <v>53.522935779816514</v>
      </c>
      <c r="AA324" s="525">
        <v>54.669724770642205</v>
      </c>
      <c r="AB324" s="525">
        <v>55.522935779816514</v>
      </c>
      <c r="AC324" s="525">
        <v>55.247706422018339</v>
      </c>
      <c r="AD324" s="525">
        <v>29.494055320716754</v>
      </c>
      <c r="AE324" s="525">
        <v>19.465154120592853</v>
      </c>
      <c r="AF324" s="525">
        <v>21.245396267638498</v>
      </c>
      <c r="AG324" s="525">
        <v>25.883536587765462</v>
      </c>
      <c r="AH324" s="525">
        <v>23.974921210037252</v>
      </c>
      <c r="AI324" s="525">
        <v>34.220183486238533</v>
      </c>
      <c r="AJ324" s="525">
        <v>53.876685566849588</v>
      </c>
      <c r="AK324" s="525">
        <v>21.2</v>
      </c>
      <c r="AL324" s="582">
        <v>53.010615245450651</v>
      </c>
      <c r="AM324" s="582">
        <v>55.117802314323903</v>
      </c>
      <c r="AN324" s="492"/>
      <c r="AO324" s="492"/>
      <c r="AP324" s="30"/>
      <c r="AQ324" s="17"/>
      <c r="AR324" s="9"/>
      <c r="AS324" s="9"/>
      <c r="AT324" s="9"/>
    </row>
    <row r="325" spans="1:46" customFormat="1" ht="12" customHeight="1" x14ac:dyDescent="0.25">
      <c r="A325" s="7"/>
      <c r="B325" s="8"/>
      <c r="C325" s="18"/>
      <c r="D325" s="18"/>
      <c r="E325" s="18"/>
      <c r="F325" s="24"/>
      <c r="G325" s="547"/>
      <c r="H325" s="28"/>
      <c r="I325" s="576"/>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492"/>
      <c r="AO325" s="492"/>
      <c r="AP325" s="30"/>
      <c r="AQ325" s="17"/>
      <c r="AR325" s="9"/>
      <c r="AS325" s="9"/>
      <c r="AT325" s="9"/>
    </row>
    <row r="326" spans="1:46" customFormat="1" ht="12" customHeight="1" x14ac:dyDescent="0.25">
      <c r="A326" s="7"/>
      <c r="B326" s="8"/>
      <c r="C326" s="18"/>
      <c r="D326" s="18"/>
      <c r="E326" s="18"/>
      <c r="F326" s="24"/>
      <c r="G326" s="584" t="s">
        <v>3176</v>
      </c>
      <c r="H326" s="28"/>
      <c r="I326" s="28"/>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492"/>
      <c r="AO326" s="492"/>
      <c r="AP326" s="30"/>
      <c r="AQ326" s="17"/>
      <c r="AR326" s="9"/>
      <c r="AS326" s="9"/>
      <c r="AT326" s="9"/>
    </row>
    <row r="327" spans="1:46" customFormat="1" ht="12" customHeight="1" outlineLevel="1" x14ac:dyDescent="0.25">
      <c r="A327" s="7"/>
      <c r="B327" s="8"/>
      <c r="C327" s="18">
        <v>0</v>
      </c>
      <c r="D327" s="18"/>
      <c r="E327" s="18"/>
      <c r="F327" s="24"/>
      <c r="G327" s="547"/>
      <c r="H327" s="25" t="s">
        <v>2296</v>
      </c>
      <c r="I327" s="510" t="str">
        <f>General!G66</f>
        <v>b</v>
      </c>
      <c r="J327" s="582"/>
      <c r="K327" s="582"/>
      <c r="L327" s="582"/>
      <c r="M327" s="582"/>
      <c r="N327" s="582"/>
      <c r="O327" s="582"/>
      <c r="P327" s="582"/>
      <c r="Q327" s="582"/>
      <c r="R327" s="582"/>
      <c r="S327" s="582" t="b">
        <v>1</v>
      </c>
      <c r="T327" s="582"/>
      <c r="U327" s="582"/>
      <c r="V327" s="582"/>
      <c r="W327" s="582"/>
      <c r="X327" s="582"/>
      <c r="Y327" s="582"/>
      <c r="Z327" s="582"/>
      <c r="AA327" s="582"/>
      <c r="AB327" s="582"/>
      <c r="AC327" s="582"/>
      <c r="AD327" s="582"/>
      <c r="AE327" s="582"/>
      <c r="AF327" s="582"/>
      <c r="AG327" s="582"/>
      <c r="AH327" s="582"/>
      <c r="AI327" s="582"/>
      <c r="AJ327" s="582"/>
      <c r="AK327" s="582"/>
      <c r="AL327" s="582" t="b">
        <v>1</v>
      </c>
      <c r="AM327" s="582" t="b">
        <v>1</v>
      </c>
      <c r="AN327" s="492"/>
      <c r="AO327" s="492"/>
      <c r="AP327" s="30" t="b">
        <f t="shared" ref="AP327:AP334" si="38">OR(J327:AM327)</f>
        <v>1</v>
      </c>
      <c r="AQ327" s="17"/>
      <c r="AR327" s="9"/>
      <c r="AS327" s="9"/>
      <c r="AT327" s="9"/>
    </row>
    <row r="328" spans="1:46" customFormat="1" ht="12" customHeight="1" outlineLevel="1" x14ac:dyDescent="0.25">
      <c r="A328" s="7"/>
      <c r="B328" s="8"/>
      <c r="C328" s="18"/>
      <c r="D328" s="18"/>
      <c r="E328" s="18"/>
      <c r="F328" s="24"/>
      <c r="G328" s="547"/>
      <c r="H328" s="25"/>
      <c r="I328" s="510" t="str">
        <f>General!G67</f>
        <v>bd</v>
      </c>
      <c r="J328" s="582"/>
      <c r="K328" s="582"/>
      <c r="L328" s="582"/>
      <c r="M328" s="582"/>
      <c r="N328" s="582"/>
      <c r="O328" s="582"/>
      <c r="P328" s="582"/>
      <c r="Q328" s="582"/>
      <c r="R328" s="582"/>
      <c r="S328" s="582" t="b">
        <v>1</v>
      </c>
      <c r="T328" s="582"/>
      <c r="U328" s="582"/>
      <c r="V328" s="582"/>
      <c r="W328" s="582"/>
      <c r="X328" s="582"/>
      <c r="Y328" s="582"/>
      <c r="Z328" s="582"/>
      <c r="AA328" s="582"/>
      <c r="AB328" s="582"/>
      <c r="AC328" s="582"/>
      <c r="AD328" s="582"/>
      <c r="AE328" s="582"/>
      <c r="AF328" s="582"/>
      <c r="AG328" s="582"/>
      <c r="AH328" s="582"/>
      <c r="AI328" s="582"/>
      <c r="AJ328" s="582"/>
      <c r="AK328" s="582"/>
      <c r="AL328" s="582" t="b">
        <v>1</v>
      </c>
      <c r="AM328" s="582" t="b">
        <v>1</v>
      </c>
      <c r="AN328" s="492"/>
      <c r="AO328" s="492"/>
      <c r="AP328" s="30" t="b">
        <f t="shared" si="38"/>
        <v>1</v>
      </c>
      <c r="AQ328" s="17"/>
      <c r="AR328" s="9"/>
      <c r="AS328" s="9"/>
      <c r="AT328" s="9"/>
    </row>
    <row r="329" spans="1:46" customFormat="1" ht="12" customHeight="1" outlineLevel="1" x14ac:dyDescent="0.25">
      <c r="A329" s="7"/>
      <c r="B329" s="8"/>
      <c r="C329" s="18"/>
      <c r="D329" s="18"/>
      <c r="E329" s="18"/>
      <c r="F329" s="24"/>
      <c r="G329" s="547"/>
      <c r="H329" s="25"/>
      <c r="I329" s="510" t="str">
        <f>General!G68</f>
        <v>f</v>
      </c>
      <c r="J329" s="582"/>
      <c r="K329" s="582"/>
      <c r="L329" s="582"/>
      <c r="M329" s="582"/>
      <c r="N329" s="582"/>
      <c r="O329" s="582"/>
      <c r="P329" s="582"/>
      <c r="Q329" s="582"/>
      <c r="R329" s="582"/>
      <c r="S329" s="582"/>
      <c r="T329" s="582"/>
      <c r="U329" s="582"/>
      <c r="V329" s="582"/>
      <c r="W329" s="582"/>
      <c r="X329" s="582"/>
      <c r="Y329" s="582"/>
      <c r="Z329" s="582"/>
      <c r="AA329" s="582"/>
      <c r="AB329" s="582"/>
      <c r="AC329" s="582"/>
      <c r="AD329" s="582"/>
      <c r="AE329" s="582"/>
      <c r="AF329" s="582"/>
      <c r="AG329" s="582"/>
      <c r="AH329" s="582"/>
      <c r="AI329" s="582"/>
      <c r="AJ329" s="582" t="b">
        <v>1</v>
      </c>
      <c r="AK329" s="582"/>
      <c r="AL329" s="582"/>
      <c r="AM329" s="582"/>
      <c r="AN329" s="492"/>
      <c r="AO329" s="492"/>
      <c r="AP329" s="30" t="b">
        <f t="shared" si="38"/>
        <v>1</v>
      </c>
      <c r="AQ329" s="17"/>
      <c r="AR329" s="9"/>
      <c r="AS329" s="9"/>
      <c r="AT329" s="9"/>
    </row>
    <row r="330" spans="1:46" customFormat="1" ht="12" customHeight="1" outlineLevel="1" x14ac:dyDescent="0.25">
      <c r="A330" s="7"/>
      <c r="B330" s="8"/>
      <c r="C330" s="18"/>
      <c r="D330" s="18"/>
      <c r="E330" s="18"/>
      <c r="F330" s="24"/>
      <c r="G330" s="547"/>
      <c r="H330" s="25"/>
      <c r="I330" s="510" t="str">
        <f>General!G69</f>
        <v>h</v>
      </c>
      <c r="J330" s="582"/>
      <c r="K330" s="582"/>
      <c r="L330" s="582"/>
      <c r="M330" s="582"/>
      <c r="N330" s="582"/>
      <c r="O330" s="582"/>
      <c r="P330" s="582"/>
      <c r="Q330" s="582"/>
      <c r="R330" s="582"/>
      <c r="S330" s="582" t="b">
        <v>1</v>
      </c>
      <c r="T330" s="582"/>
      <c r="U330" s="582"/>
      <c r="V330" s="582"/>
      <c r="W330" s="582" t="b">
        <v>1</v>
      </c>
      <c r="X330" s="582"/>
      <c r="Y330" s="582"/>
      <c r="Z330" s="582"/>
      <c r="AA330" s="582" t="b">
        <v>1</v>
      </c>
      <c r="AB330" s="582"/>
      <c r="AC330" s="582" t="b">
        <v>1</v>
      </c>
      <c r="AD330" s="582"/>
      <c r="AE330" s="582"/>
      <c r="AF330" s="582"/>
      <c r="AG330" s="582"/>
      <c r="AH330" s="582"/>
      <c r="AI330" s="582"/>
      <c r="AJ330" s="582"/>
      <c r="AK330" s="582"/>
      <c r="AL330" s="582"/>
      <c r="AM330" s="582"/>
      <c r="AN330" s="492"/>
      <c r="AO330" s="492"/>
      <c r="AP330" s="30" t="b">
        <f t="shared" si="38"/>
        <v>1</v>
      </c>
      <c r="AQ330" s="17"/>
      <c r="AR330" s="9"/>
      <c r="AS330" s="9"/>
      <c r="AT330" s="9"/>
    </row>
    <row r="331" spans="1:46" customFormat="1" ht="12" customHeight="1" outlineLevel="1" x14ac:dyDescent="0.25">
      <c r="A331" s="7"/>
      <c r="B331" s="8"/>
      <c r="C331" s="18"/>
      <c r="D331" s="18"/>
      <c r="E331" s="18"/>
      <c r="F331" s="24"/>
      <c r="G331" s="547"/>
      <c r="H331" s="25"/>
      <c r="I331" s="510" t="str">
        <f>General!G70</f>
        <v>i</v>
      </c>
      <c r="J331" s="582"/>
      <c r="K331" s="582"/>
      <c r="L331" s="582"/>
      <c r="M331" s="582"/>
      <c r="N331" s="582"/>
      <c r="O331" s="582"/>
      <c r="P331" s="582"/>
      <c r="Q331" s="582"/>
      <c r="R331" s="582"/>
      <c r="S331" s="582"/>
      <c r="T331" s="582"/>
      <c r="U331" s="582"/>
      <c r="V331" s="582"/>
      <c r="W331" s="582"/>
      <c r="X331" s="582"/>
      <c r="Y331" s="582"/>
      <c r="Z331" s="582"/>
      <c r="AA331" s="582"/>
      <c r="AB331" s="582"/>
      <c r="AC331" s="582"/>
      <c r="AD331" s="582"/>
      <c r="AE331" s="582"/>
      <c r="AF331" s="582"/>
      <c r="AG331" s="582"/>
      <c r="AH331" s="582"/>
      <c r="AI331" s="582"/>
      <c r="AJ331" s="582" t="b">
        <v>1</v>
      </c>
      <c r="AK331" s="582"/>
      <c r="AL331" s="582"/>
      <c r="AM331" s="582"/>
      <c r="AN331" s="492"/>
      <c r="AO331" s="492"/>
      <c r="AP331" s="30" t="b">
        <f t="shared" si="38"/>
        <v>1</v>
      </c>
      <c r="AQ331" s="17"/>
      <c r="AR331" s="9"/>
      <c r="AS331" s="9"/>
      <c r="AT331" s="9"/>
    </row>
    <row r="332" spans="1:46" customFormat="1" ht="12" customHeight="1" outlineLevel="1" x14ac:dyDescent="0.25">
      <c r="A332" s="7"/>
      <c r="B332" s="8"/>
      <c r="C332" s="18"/>
      <c r="D332" s="18"/>
      <c r="E332" s="18"/>
      <c r="F332" s="24"/>
      <c r="G332" s="547"/>
      <c r="H332" s="25"/>
      <c r="I332" s="510" t="str">
        <f>General!G71</f>
        <v>k</v>
      </c>
      <c r="J332" s="582"/>
      <c r="K332" s="582"/>
      <c r="L332" s="582"/>
      <c r="M332" s="582"/>
      <c r="N332" s="582"/>
      <c r="O332" s="582"/>
      <c r="P332" s="582"/>
      <c r="Q332" s="582"/>
      <c r="R332" s="582"/>
      <c r="S332" s="582"/>
      <c r="T332" s="582"/>
      <c r="U332" s="582"/>
      <c r="V332" s="582"/>
      <c r="W332" s="582"/>
      <c r="X332" s="582"/>
      <c r="Y332" s="582"/>
      <c r="Z332" s="582"/>
      <c r="AA332" s="582"/>
      <c r="AB332" s="582"/>
      <c r="AC332" s="582"/>
      <c r="AD332" s="582"/>
      <c r="AE332" s="582"/>
      <c r="AF332" s="582"/>
      <c r="AG332" s="582"/>
      <c r="AH332" s="582"/>
      <c r="AI332" s="582"/>
      <c r="AJ332" s="582" t="b">
        <v>1</v>
      </c>
      <c r="AK332" s="582"/>
      <c r="AL332" s="582"/>
      <c r="AM332" s="582"/>
      <c r="AN332" s="492"/>
      <c r="AO332" s="492"/>
      <c r="AP332" s="30" t="b">
        <f t="shared" si="38"/>
        <v>1</v>
      </c>
      <c r="AQ332" s="17"/>
      <c r="AR332" s="9"/>
      <c r="AS332" s="9"/>
      <c r="AT332" s="9"/>
    </row>
    <row r="333" spans="1:46" customFormat="1" ht="12" customHeight="1" outlineLevel="1" x14ac:dyDescent="0.25">
      <c r="A333" s="7"/>
      <c r="B333" s="8"/>
      <c r="C333" s="18"/>
      <c r="D333" s="18"/>
      <c r="E333" s="18"/>
      <c r="F333" s="24"/>
      <c r="G333" s="547"/>
      <c r="H333" s="25"/>
      <c r="I333" s="510" t="str">
        <f>General!G72</f>
        <v>l</v>
      </c>
      <c r="J333" s="582"/>
      <c r="K333" s="582"/>
      <c r="L333" s="582"/>
      <c r="M333" s="582"/>
      <c r="N333" s="582"/>
      <c r="O333" s="582"/>
      <c r="P333" s="582"/>
      <c r="Q333" s="582"/>
      <c r="R333" s="582"/>
      <c r="S333" s="582"/>
      <c r="T333" s="582"/>
      <c r="U333" s="582"/>
      <c r="V333" s="582"/>
      <c r="W333" s="582"/>
      <c r="X333" s="582"/>
      <c r="Y333" s="582"/>
      <c r="Z333" s="582"/>
      <c r="AA333" s="582"/>
      <c r="AB333" s="582"/>
      <c r="AC333" s="582"/>
      <c r="AD333" s="582"/>
      <c r="AE333" s="582"/>
      <c r="AF333" s="582"/>
      <c r="AG333" s="582"/>
      <c r="AH333" s="582"/>
      <c r="AI333" s="582"/>
      <c r="AJ333" s="582" t="b">
        <v>1</v>
      </c>
      <c r="AK333" s="582"/>
      <c r="AL333" s="582"/>
      <c r="AM333" s="582"/>
      <c r="AN333" s="492"/>
      <c r="AO333" s="492"/>
      <c r="AP333" s="30" t="b">
        <f t="shared" si="38"/>
        <v>1</v>
      </c>
      <c r="AQ333" s="17"/>
      <c r="AR333" s="9"/>
      <c r="AS333" s="9"/>
      <c r="AT333" s="9"/>
    </row>
    <row r="334" spans="1:46" customFormat="1" ht="12" customHeight="1" outlineLevel="1" x14ac:dyDescent="0.25">
      <c r="A334" s="7"/>
      <c r="B334" s="8"/>
      <c r="C334" s="18"/>
      <c r="D334" s="18"/>
      <c r="E334" s="18"/>
      <c r="F334" s="24"/>
      <c r="G334" s="547"/>
      <c r="H334" s="25"/>
      <c r="I334" s="510" t="str">
        <f>General!G73</f>
        <v>lf</v>
      </c>
      <c r="J334" s="582"/>
      <c r="K334" s="582"/>
      <c r="L334" s="582"/>
      <c r="M334" s="582"/>
      <c r="N334" s="582"/>
      <c r="O334" s="582"/>
      <c r="P334" s="582"/>
      <c r="Q334" s="582"/>
      <c r="R334" s="582"/>
      <c r="S334" s="582"/>
      <c r="T334" s="582"/>
      <c r="U334" s="582"/>
      <c r="V334" s="582"/>
      <c r="W334" s="582"/>
      <c r="X334" s="582"/>
      <c r="Y334" s="582"/>
      <c r="Z334" s="582"/>
      <c r="AA334" s="582"/>
      <c r="AB334" s="582"/>
      <c r="AC334" s="582"/>
      <c r="AD334" s="582"/>
      <c r="AE334" s="582"/>
      <c r="AF334" s="582"/>
      <c r="AG334" s="582"/>
      <c r="AH334" s="582"/>
      <c r="AI334" s="582"/>
      <c r="AJ334" s="582" t="b">
        <v>1</v>
      </c>
      <c r="AK334" s="582"/>
      <c r="AL334" s="582"/>
      <c r="AM334" s="582"/>
      <c r="AN334" s="492"/>
      <c r="AO334" s="492"/>
      <c r="AP334" s="30" t="b">
        <f t="shared" si="38"/>
        <v>1</v>
      </c>
      <c r="AQ334" s="17"/>
      <c r="AR334" s="9"/>
      <c r="AS334" s="9"/>
      <c r="AT334" s="9"/>
    </row>
    <row r="335" spans="1:46" customFormat="1" ht="12" customHeight="1" outlineLevel="1" x14ac:dyDescent="0.25">
      <c r="A335" s="7"/>
      <c r="B335" s="8"/>
      <c r="C335" s="18"/>
      <c r="D335" s="18"/>
      <c r="E335" s="18"/>
      <c r="F335" s="24"/>
      <c r="G335" s="547"/>
      <c r="H335" s="25"/>
      <c r="I335" s="510" t="str">
        <f>General!G74</f>
        <v>ms</v>
      </c>
      <c r="J335" s="582"/>
      <c r="K335" s="582"/>
      <c r="L335" s="582"/>
      <c r="M335" s="582"/>
      <c r="N335" s="582"/>
      <c r="O335" s="582"/>
      <c r="P335" s="582"/>
      <c r="Q335" s="582"/>
      <c r="R335" s="582"/>
      <c r="S335" s="582" t="b">
        <v>1</v>
      </c>
      <c r="T335" s="582"/>
      <c r="U335" s="582" t="b">
        <v>1</v>
      </c>
      <c r="V335" s="582"/>
      <c r="W335" s="582" t="b">
        <v>1</v>
      </c>
      <c r="X335" s="582"/>
      <c r="Y335" s="582" t="b">
        <v>1</v>
      </c>
      <c r="Z335" s="582"/>
      <c r="AA335" s="582" t="b">
        <v>1</v>
      </c>
      <c r="AB335" s="582"/>
      <c r="AC335" s="582" t="b">
        <v>1</v>
      </c>
      <c r="AD335" s="582"/>
      <c r="AE335" s="582"/>
      <c r="AF335" s="582"/>
      <c r="AG335" s="582"/>
      <c r="AH335" s="582"/>
      <c r="AI335" s="582"/>
      <c r="AJ335" s="582" t="b">
        <v>1</v>
      </c>
      <c r="AK335" s="582"/>
      <c r="AL335" s="582"/>
      <c r="AM335" s="582"/>
      <c r="AN335" s="492"/>
      <c r="AO335" s="492"/>
      <c r="AP335" s="30"/>
      <c r="AQ335" s="17"/>
      <c r="AR335" s="9"/>
      <c r="AS335" s="9"/>
      <c r="AT335" s="9"/>
    </row>
    <row r="336" spans="1:46" customFormat="1" ht="12" customHeight="1" outlineLevel="1" x14ac:dyDescent="0.25">
      <c r="A336" s="7"/>
      <c r="B336" s="8"/>
      <c r="C336" s="18"/>
      <c r="D336" s="18"/>
      <c r="E336" s="18"/>
      <c r="F336" s="24"/>
      <c r="G336" s="547"/>
      <c r="H336" s="25"/>
      <c r="I336" s="510" t="str">
        <f>General!G75</f>
        <v>o</v>
      </c>
      <c r="J336" s="582"/>
      <c r="K336" s="582"/>
      <c r="L336" s="582"/>
      <c r="M336" s="582"/>
      <c r="N336" s="582"/>
      <c r="O336" s="582"/>
      <c r="P336" s="582"/>
      <c r="Q336" s="582"/>
      <c r="R336" s="582"/>
      <c r="S336" s="582" t="b">
        <v>1</v>
      </c>
      <c r="T336" s="582"/>
      <c r="U336" s="582"/>
      <c r="V336" s="582"/>
      <c r="W336" s="582" t="b">
        <v>1</v>
      </c>
      <c r="X336" s="582"/>
      <c r="Y336" s="582"/>
      <c r="Z336" s="582"/>
      <c r="AA336" s="582" t="b">
        <v>1</v>
      </c>
      <c r="AB336" s="582"/>
      <c r="AC336" s="582" t="b">
        <v>1</v>
      </c>
      <c r="AD336" s="582"/>
      <c r="AE336" s="582"/>
      <c r="AF336" s="582"/>
      <c r="AG336" s="582"/>
      <c r="AH336" s="582"/>
      <c r="AI336" s="582"/>
      <c r="AJ336" s="582"/>
      <c r="AK336" s="582"/>
      <c r="AL336" s="582"/>
      <c r="AM336" s="582"/>
      <c r="AN336" s="492"/>
      <c r="AO336" s="492"/>
      <c r="AP336" s="30" t="b">
        <f t="shared" ref="AP336:AP353" si="39">OR(J336:AM336)</f>
        <v>1</v>
      </c>
      <c r="AQ336" s="17"/>
      <c r="AR336" s="9"/>
      <c r="AS336" s="9"/>
      <c r="AT336" s="9"/>
    </row>
    <row r="337" spans="1:46" customFormat="1" ht="12" customHeight="1" outlineLevel="1" x14ac:dyDescent="0.25">
      <c r="A337" s="7"/>
      <c r="B337" s="8"/>
      <c r="C337" s="18"/>
      <c r="D337" s="18"/>
      <c r="E337" s="18"/>
      <c r="F337" s="24"/>
      <c r="G337" s="547"/>
      <c r="H337" s="25"/>
      <c r="I337" s="510" t="str">
        <f>General!G76</f>
        <v>od</v>
      </c>
      <c r="J337" s="582"/>
      <c r="K337" s="582"/>
      <c r="L337" s="582"/>
      <c r="M337" s="582"/>
      <c r="N337" s="582"/>
      <c r="O337" s="582"/>
      <c r="P337" s="582"/>
      <c r="Q337" s="582"/>
      <c r="R337" s="582"/>
      <c r="S337" s="582" t="b">
        <v>1</v>
      </c>
      <c r="T337" s="582"/>
      <c r="U337" s="582"/>
      <c r="V337" s="582"/>
      <c r="W337" s="582" t="b">
        <v>1</v>
      </c>
      <c r="X337" s="582"/>
      <c r="Y337" s="582"/>
      <c r="Z337" s="582"/>
      <c r="AA337" s="582" t="b">
        <v>1</v>
      </c>
      <c r="AB337" s="582"/>
      <c r="AC337" s="582" t="b">
        <v>1</v>
      </c>
      <c r="AD337" s="582"/>
      <c r="AE337" s="582"/>
      <c r="AF337" s="582"/>
      <c r="AG337" s="582"/>
      <c r="AH337" s="582"/>
      <c r="AI337" s="582"/>
      <c r="AJ337" s="582"/>
      <c r="AK337" s="582"/>
      <c r="AL337" s="582"/>
      <c r="AM337" s="582"/>
      <c r="AN337" s="492"/>
      <c r="AO337" s="492"/>
      <c r="AP337" s="30" t="b">
        <f t="shared" si="39"/>
        <v>1</v>
      </c>
      <c r="AQ337" s="17"/>
      <c r="AR337" s="9"/>
      <c r="AS337" s="9"/>
      <c r="AT337" s="9"/>
    </row>
    <row r="338" spans="1:46" customFormat="1" ht="12" customHeight="1" outlineLevel="1" x14ac:dyDescent="0.25">
      <c r="A338" s="7"/>
      <c r="B338" s="8"/>
      <c r="C338" s="18"/>
      <c r="D338" s="18"/>
      <c r="E338" s="18"/>
      <c r="F338" s="24"/>
      <c r="G338" s="547"/>
      <c r="H338" s="25"/>
      <c r="I338" s="510" t="str">
        <f>General!G77</f>
        <v>of</v>
      </c>
      <c r="J338" s="582"/>
      <c r="K338" s="582"/>
      <c r="L338" s="582"/>
      <c r="M338" s="582"/>
      <c r="N338" s="582"/>
      <c r="O338" s="582"/>
      <c r="P338" s="582"/>
      <c r="Q338" s="582"/>
      <c r="R338" s="582"/>
      <c r="S338" s="582" t="b">
        <v>1</v>
      </c>
      <c r="T338" s="582"/>
      <c r="U338" s="582"/>
      <c r="V338" s="582"/>
      <c r="W338" s="582" t="b">
        <v>1</v>
      </c>
      <c r="X338" s="582"/>
      <c r="Y338" s="582"/>
      <c r="Z338" s="582"/>
      <c r="AA338" s="582" t="b">
        <v>1</v>
      </c>
      <c r="AB338" s="582"/>
      <c r="AC338" s="582" t="b">
        <v>1</v>
      </c>
      <c r="AD338" s="582"/>
      <c r="AE338" s="582"/>
      <c r="AF338" s="582"/>
      <c r="AG338" s="582"/>
      <c r="AH338" s="582"/>
      <c r="AI338" s="582"/>
      <c r="AJ338" s="582"/>
      <c r="AK338" s="582"/>
      <c r="AL338" s="582"/>
      <c r="AM338" s="582"/>
      <c r="AN338" s="492"/>
      <c r="AO338" s="492"/>
      <c r="AP338" s="30" t="b">
        <f t="shared" si="39"/>
        <v>1</v>
      </c>
      <c r="AQ338" s="17"/>
      <c r="AR338" s="9"/>
      <c r="AS338" s="9"/>
      <c r="AT338" s="9"/>
    </row>
    <row r="339" spans="1:46" customFormat="1" ht="12" customHeight="1" outlineLevel="1" x14ac:dyDescent="0.25">
      <c r="A339" s="7"/>
      <c r="B339" s="8"/>
      <c r="C339" s="18"/>
      <c r="D339" s="18"/>
      <c r="E339" s="18"/>
      <c r="F339" s="24"/>
      <c r="G339" s="547"/>
      <c r="H339" s="25"/>
      <c r="I339" s="510" t="str">
        <f>General!G78</f>
        <v>r</v>
      </c>
      <c r="J339" s="582"/>
      <c r="K339" s="582"/>
      <c r="L339" s="582"/>
      <c r="M339" s="582"/>
      <c r="N339" s="582"/>
      <c r="O339" s="582"/>
      <c r="P339" s="582"/>
      <c r="Q339" s="582"/>
      <c r="R339" s="582"/>
      <c r="S339" s="582"/>
      <c r="T339" s="582"/>
      <c r="U339" s="582" t="b">
        <v>1</v>
      </c>
      <c r="V339" s="582"/>
      <c r="W339" s="582"/>
      <c r="X339" s="582"/>
      <c r="Y339" s="582" t="b">
        <v>1</v>
      </c>
      <c r="Z339" s="582"/>
      <c r="AA339" s="582"/>
      <c r="AB339" s="582"/>
      <c r="AC339" s="582"/>
      <c r="AD339" s="582"/>
      <c r="AE339" s="582"/>
      <c r="AF339" s="582"/>
      <c r="AG339" s="582"/>
      <c r="AH339" s="582"/>
      <c r="AI339" s="582"/>
      <c r="AJ339" s="582"/>
      <c r="AK339" s="582"/>
      <c r="AL339" s="582"/>
      <c r="AM339" s="582"/>
      <c r="AN339" s="492"/>
      <c r="AO339" s="492"/>
      <c r="AP339" s="30" t="b">
        <f t="shared" si="39"/>
        <v>1</v>
      </c>
      <c r="AQ339" s="17"/>
      <c r="AR339" s="9"/>
      <c r="AS339" s="9"/>
      <c r="AT339" s="9"/>
    </row>
    <row r="340" spans="1:46" customFormat="1" ht="12" customHeight="1" outlineLevel="1" x14ac:dyDescent="0.25">
      <c r="A340" s="7"/>
      <c r="B340" s="8"/>
      <c r="C340" s="18"/>
      <c r="D340" s="18"/>
      <c r="E340" s="18"/>
      <c r="F340" s="24"/>
      <c r="G340" s="547"/>
      <c r="H340" s="25"/>
      <c r="I340" s="510" t="str">
        <f>General!G79</f>
        <v>rd</v>
      </c>
      <c r="J340" s="582"/>
      <c r="K340" s="582"/>
      <c r="L340" s="582"/>
      <c r="M340" s="582"/>
      <c r="N340" s="582"/>
      <c r="O340" s="582"/>
      <c r="P340" s="582"/>
      <c r="Q340" s="582"/>
      <c r="R340" s="582"/>
      <c r="S340" s="582"/>
      <c r="T340" s="582"/>
      <c r="U340" s="582" t="b">
        <v>1</v>
      </c>
      <c r="V340" s="582"/>
      <c r="W340" s="582"/>
      <c r="X340" s="582"/>
      <c r="Y340" s="582" t="b">
        <v>1</v>
      </c>
      <c r="Z340" s="582"/>
      <c r="AA340" s="582"/>
      <c r="AB340" s="582"/>
      <c r="AC340" s="582"/>
      <c r="AD340" s="582"/>
      <c r="AE340" s="582"/>
      <c r="AF340" s="582"/>
      <c r="AG340" s="582"/>
      <c r="AH340" s="582"/>
      <c r="AI340" s="582"/>
      <c r="AJ340" s="582"/>
      <c r="AK340" s="582"/>
      <c r="AL340" s="582"/>
      <c r="AM340" s="582"/>
      <c r="AN340" s="492"/>
      <c r="AO340" s="492"/>
      <c r="AP340" s="30" t="b">
        <f t="shared" si="39"/>
        <v>1</v>
      </c>
      <c r="AQ340" s="17"/>
      <c r="AR340" s="9"/>
      <c r="AS340" s="9"/>
      <c r="AT340" s="9"/>
    </row>
    <row r="341" spans="1:46" customFormat="1" ht="12" customHeight="1" outlineLevel="1" x14ac:dyDescent="0.25">
      <c r="A341" s="7"/>
      <c r="B341" s="8"/>
      <c r="C341" s="18"/>
      <c r="D341" s="18"/>
      <c r="E341" s="18"/>
      <c r="F341" s="24"/>
      <c r="G341" s="547"/>
      <c r="H341" s="25"/>
      <c r="I341" s="510" t="str">
        <f>General!G80</f>
        <v>v</v>
      </c>
      <c r="J341" s="582"/>
      <c r="K341" s="582"/>
      <c r="L341" s="582"/>
      <c r="M341" s="582"/>
      <c r="N341" s="582"/>
      <c r="O341" s="582"/>
      <c r="P341" s="582"/>
      <c r="Q341" s="582"/>
      <c r="R341" s="582"/>
      <c r="S341" s="582"/>
      <c r="T341" s="582"/>
      <c r="U341" s="582"/>
      <c r="V341" s="582"/>
      <c r="W341" s="582"/>
      <c r="X341" s="582"/>
      <c r="Y341" s="582"/>
      <c r="Z341" s="582"/>
      <c r="AA341" s="582"/>
      <c r="AB341" s="582"/>
      <c r="AC341" s="582"/>
      <c r="AD341" s="582"/>
      <c r="AE341" s="582"/>
      <c r="AF341" s="582"/>
      <c r="AG341" s="582"/>
      <c r="AH341" s="582"/>
      <c r="AI341" s="582"/>
      <c r="AJ341" s="582" t="b">
        <v>1</v>
      </c>
      <c r="AK341" s="582"/>
      <c r="AL341" s="582"/>
      <c r="AM341" s="582"/>
      <c r="AN341" s="492"/>
      <c r="AO341" s="492"/>
      <c r="AP341" s="30" t="b">
        <f t="shared" si="39"/>
        <v>1</v>
      </c>
      <c r="AQ341" s="17"/>
      <c r="AR341" s="9"/>
      <c r="AS341" s="9"/>
      <c r="AT341" s="9"/>
    </row>
    <row r="342" spans="1:46" customFormat="1" ht="12" customHeight="1" outlineLevel="1" x14ac:dyDescent="0.25">
      <c r="A342" s="7"/>
      <c r="B342" s="8"/>
      <c r="C342" s="18"/>
      <c r="D342" s="18"/>
      <c r="E342" s="18"/>
      <c r="F342" s="24"/>
      <c r="G342" s="547"/>
      <c r="H342" s="25"/>
      <c r="I342" s="510" t="str">
        <f>General!G81</f>
        <v>w</v>
      </c>
      <c r="J342" s="582"/>
      <c r="K342" s="582"/>
      <c r="L342" s="582"/>
      <c r="M342" s="582"/>
      <c r="N342" s="582"/>
      <c r="O342" s="582"/>
      <c r="P342" s="582"/>
      <c r="Q342" s="582"/>
      <c r="R342" s="582"/>
      <c r="S342" s="582"/>
      <c r="T342" s="582"/>
      <c r="U342" s="582"/>
      <c r="V342" s="582"/>
      <c r="W342" s="582" t="b">
        <v>1</v>
      </c>
      <c r="X342" s="582"/>
      <c r="Y342" s="582"/>
      <c r="Z342" s="582"/>
      <c r="AA342" s="582" t="b">
        <v>1</v>
      </c>
      <c r="AB342" s="582"/>
      <c r="AC342" s="582" t="b">
        <v>1</v>
      </c>
      <c r="AD342" s="582"/>
      <c r="AE342" s="582"/>
      <c r="AF342" s="582"/>
      <c r="AG342" s="582"/>
      <c r="AH342" s="582"/>
      <c r="AI342" s="582"/>
      <c r="AJ342" s="582"/>
      <c r="AK342" s="582"/>
      <c r="AL342" s="582"/>
      <c r="AM342" s="582"/>
      <c r="AN342" s="492"/>
      <c r="AO342" s="492"/>
      <c r="AP342" s="30" t="b">
        <f t="shared" si="39"/>
        <v>1</v>
      </c>
      <c r="AQ342" s="17"/>
      <c r="AR342" s="9"/>
      <c r="AS342" s="9"/>
      <c r="AT342" s="9"/>
    </row>
    <row r="343" spans="1:46" customFormat="1" outlineLevel="1" x14ac:dyDescent="0.25">
      <c r="A343" s="7"/>
      <c r="B343" s="8"/>
      <c r="C343" s="18"/>
      <c r="D343" s="18"/>
      <c r="E343" s="18"/>
      <c r="F343" s="24"/>
      <c r="G343" s="547"/>
      <c r="H343" s="25"/>
      <c r="I343" s="510" t="str">
        <f>General!G82</f>
        <v>wd</v>
      </c>
      <c r="J343" s="582"/>
      <c r="K343" s="582"/>
      <c r="L343" s="582"/>
      <c r="M343" s="582"/>
      <c r="N343" s="582"/>
      <c r="O343" s="582"/>
      <c r="P343" s="582"/>
      <c r="Q343" s="582"/>
      <c r="R343" s="582"/>
      <c r="S343" s="582"/>
      <c r="T343" s="582"/>
      <c r="U343" s="582"/>
      <c r="V343" s="582"/>
      <c r="W343" s="582" t="b">
        <v>1</v>
      </c>
      <c r="X343" s="582"/>
      <c r="Y343" s="582"/>
      <c r="Z343" s="582"/>
      <c r="AA343" s="582" t="b">
        <v>1</v>
      </c>
      <c r="AB343" s="582"/>
      <c r="AC343" s="582" t="b">
        <v>1</v>
      </c>
      <c r="AD343" s="582"/>
      <c r="AE343" s="582"/>
      <c r="AF343" s="582"/>
      <c r="AG343" s="582"/>
      <c r="AH343" s="582"/>
      <c r="AI343" s="582"/>
      <c r="AJ343" s="582"/>
      <c r="AK343" s="582"/>
      <c r="AL343" s="582"/>
      <c r="AM343" s="582"/>
      <c r="AN343" s="492"/>
      <c r="AO343" s="492"/>
      <c r="AP343" s="30" t="b">
        <f t="shared" si="39"/>
        <v>1</v>
      </c>
      <c r="AQ343" s="17"/>
      <c r="AR343" s="9"/>
      <c r="AS343" s="9"/>
      <c r="AT343" s="9"/>
    </row>
    <row r="344" spans="1:46" customFormat="1" outlineLevel="1" x14ac:dyDescent="0.25">
      <c r="A344" s="7"/>
      <c r="B344" s="8"/>
      <c r="C344" s="18"/>
      <c r="D344" s="18"/>
      <c r="E344" s="18"/>
      <c r="F344" s="24"/>
      <c r="G344" s="547"/>
      <c r="H344" s="24"/>
      <c r="I344" s="510" t="str">
        <f>General!G83</f>
        <v>z</v>
      </c>
      <c r="J344" s="582"/>
      <c r="K344" s="582"/>
      <c r="L344" s="582"/>
      <c r="M344" s="582"/>
      <c r="N344" s="582"/>
      <c r="O344" s="582"/>
      <c r="P344" s="582"/>
      <c r="Q344" s="582"/>
      <c r="R344" s="582"/>
      <c r="S344" s="582"/>
      <c r="T344" s="582"/>
      <c r="U344" s="582" t="b">
        <v>1</v>
      </c>
      <c r="V344" s="582"/>
      <c r="W344" s="582"/>
      <c r="X344" s="582"/>
      <c r="Y344" s="582" t="b">
        <v>1</v>
      </c>
      <c r="Z344" s="582"/>
      <c r="AA344" s="582"/>
      <c r="AB344" s="582"/>
      <c r="AC344" s="582"/>
      <c r="AD344" s="582"/>
      <c r="AE344" s="582"/>
      <c r="AF344" s="582"/>
      <c r="AG344" s="582"/>
      <c r="AH344" s="582"/>
      <c r="AI344" s="582"/>
      <c r="AJ344" s="582"/>
      <c r="AK344" s="582"/>
      <c r="AL344" s="582"/>
      <c r="AM344" s="582"/>
      <c r="AN344" s="492"/>
      <c r="AO344" s="492"/>
      <c r="AP344" s="30" t="b">
        <f t="shared" si="39"/>
        <v>1</v>
      </c>
      <c r="AQ344" s="17"/>
      <c r="AR344" s="9"/>
      <c r="AS344" s="9"/>
      <c r="AT344" s="9"/>
    </row>
    <row r="345" spans="1:46" customFormat="1" outlineLevel="1" x14ac:dyDescent="0.25">
      <c r="A345" s="7"/>
      <c r="B345" s="8"/>
      <c r="C345" s="18"/>
      <c r="D345" s="18"/>
      <c r="E345" s="18"/>
      <c r="F345" s="24"/>
      <c r="G345" s="547"/>
      <c r="H345" s="24"/>
      <c r="I345" s="510" t="str">
        <f>General!G84</f>
        <v>zd</v>
      </c>
      <c r="J345" s="582"/>
      <c r="K345" s="582"/>
      <c r="L345" s="582"/>
      <c r="M345" s="582"/>
      <c r="N345" s="582"/>
      <c r="O345" s="582"/>
      <c r="P345" s="582"/>
      <c r="Q345" s="582"/>
      <c r="R345" s="582"/>
      <c r="S345" s="582"/>
      <c r="T345" s="582"/>
      <c r="U345" s="582" t="b">
        <v>1</v>
      </c>
      <c r="V345" s="582"/>
      <c r="W345" s="582"/>
      <c r="X345" s="582"/>
      <c r="Y345" s="582" t="b">
        <v>1</v>
      </c>
      <c r="Z345" s="582"/>
      <c r="AA345" s="582"/>
      <c r="AB345" s="582"/>
      <c r="AC345" s="582"/>
      <c r="AD345" s="582"/>
      <c r="AE345" s="582"/>
      <c r="AF345" s="582"/>
      <c r="AG345" s="582"/>
      <c r="AH345" s="582"/>
      <c r="AI345" s="582"/>
      <c r="AJ345" s="582"/>
      <c r="AK345" s="582"/>
      <c r="AL345" s="582"/>
      <c r="AM345" s="582"/>
      <c r="AN345" s="492"/>
      <c r="AO345" s="492"/>
      <c r="AP345" s="30" t="b">
        <f t="shared" si="39"/>
        <v>1</v>
      </c>
      <c r="AQ345" s="17"/>
      <c r="AR345" s="9"/>
      <c r="AS345" s="9"/>
      <c r="AT345" s="9"/>
    </row>
    <row r="346" spans="1:46" customFormat="1" ht="12" customHeight="1" outlineLevel="1" x14ac:dyDescent="0.25">
      <c r="A346" s="7"/>
      <c r="B346" s="8"/>
      <c r="C346" s="18">
        <v>1</v>
      </c>
      <c r="D346" s="18"/>
      <c r="E346" s="18"/>
      <c r="F346" s="24"/>
      <c r="G346" s="547"/>
      <c r="H346" s="25" t="s">
        <v>2298</v>
      </c>
      <c r="I346" s="510" t="str">
        <f>General!G66</f>
        <v>b</v>
      </c>
      <c r="J346" s="582"/>
      <c r="K346" s="582"/>
      <c r="L346" s="582"/>
      <c r="M346" s="582"/>
      <c r="N346" s="582"/>
      <c r="O346" s="582"/>
      <c r="P346" s="582"/>
      <c r="Q346" s="582"/>
      <c r="R346" s="582"/>
      <c r="S346" s="582"/>
      <c r="T346" s="582"/>
      <c r="U346" s="582"/>
      <c r="V346" s="582"/>
      <c r="W346" s="582"/>
      <c r="X346" s="582"/>
      <c r="Y346" s="582"/>
      <c r="Z346" s="582"/>
      <c r="AA346" s="582"/>
      <c r="AB346" s="582"/>
      <c r="AC346" s="582"/>
      <c r="AD346" s="582"/>
      <c r="AE346" s="582"/>
      <c r="AF346" s="582"/>
      <c r="AG346" s="582"/>
      <c r="AH346" s="582"/>
      <c r="AI346" s="582"/>
      <c r="AJ346" s="582"/>
      <c r="AK346" s="582" t="b">
        <v>1</v>
      </c>
      <c r="AL346" s="582"/>
      <c r="AM346" s="582"/>
      <c r="AN346" s="492"/>
      <c r="AO346" s="492"/>
      <c r="AP346" s="30" t="b">
        <f t="shared" si="39"/>
        <v>1</v>
      </c>
      <c r="AQ346" s="17"/>
      <c r="AR346" s="9"/>
      <c r="AS346" s="9"/>
      <c r="AT346" s="9"/>
    </row>
    <row r="347" spans="1:46" customFormat="1" ht="12" customHeight="1" outlineLevel="2" x14ac:dyDescent="0.25">
      <c r="A347" s="7"/>
      <c r="B347" s="8"/>
      <c r="C347" s="18"/>
      <c r="D347" s="18"/>
      <c r="E347" s="18"/>
      <c r="F347" s="24"/>
      <c r="G347" s="547"/>
      <c r="H347" s="25"/>
      <c r="I347" s="510" t="str">
        <f>General!G67</f>
        <v>bd</v>
      </c>
      <c r="J347" s="582"/>
      <c r="K347" s="582"/>
      <c r="L347" s="582"/>
      <c r="M347" s="582"/>
      <c r="N347" s="582"/>
      <c r="O347" s="582"/>
      <c r="P347" s="582"/>
      <c r="Q347" s="582"/>
      <c r="R347" s="582"/>
      <c r="S347" s="582"/>
      <c r="T347" s="582"/>
      <c r="U347" s="582"/>
      <c r="V347" s="582"/>
      <c r="W347" s="582"/>
      <c r="X347" s="582"/>
      <c r="Y347" s="582"/>
      <c r="Z347" s="582"/>
      <c r="AA347" s="582"/>
      <c r="AB347" s="582"/>
      <c r="AC347" s="582"/>
      <c r="AD347" s="582"/>
      <c r="AE347" s="582"/>
      <c r="AF347" s="582"/>
      <c r="AG347" s="582"/>
      <c r="AH347" s="582"/>
      <c r="AI347" s="582"/>
      <c r="AJ347" s="582"/>
      <c r="AK347" s="582" t="b">
        <v>1</v>
      </c>
      <c r="AL347" s="582"/>
      <c r="AM347" s="582"/>
      <c r="AN347" s="492"/>
      <c r="AO347" s="492"/>
      <c r="AP347" s="30" t="b">
        <f t="shared" si="39"/>
        <v>1</v>
      </c>
      <c r="AQ347" s="17"/>
      <c r="AR347" s="9"/>
      <c r="AS347" s="9"/>
      <c r="AT347" s="9"/>
    </row>
    <row r="348" spans="1:46" customFormat="1" ht="12" customHeight="1" outlineLevel="2" x14ac:dyDescent="0.25">
      <c r="A348" s="7"/>
      <c r="B348" s="8"/>
      <c r="C348" s="18"/>
      <c r="D348" s="18"/>
      <c r="E348" s="18"/>
      <c r="F348" s="24"/>
      <c r="G348" s="547"/>
      <c r="H348" s="25"/>
      <c r="I348" s="510" t="str">
        <f>General!G68</f>
        <v>f</v>
      </c>
      <c r="J348" s="582"/>
      <c r="K348" s="582"/>
      <c r="L348" s="582"/>
      <c r="M348" s="582"/>
      <c r="N348" s="582"/>
      <c r="O348" s="582"/>
      <c r="P348" s="582"/>
      <c r="Q348" s="582"/>
      <c r="R348" s="582"/>
      <c r="S348" s="582"/>
      <c r="T348" s="582"/>
      <c r="U348" s="582"/>
      <c r="V348" s="582"/>
      <c r="W348" s="582"/>
      <c r="X348" s="582"/>
      <c r="Y348" s="582"/>
      <c r="Z348" s="582"/>
      <c r="AA348" s="582"/>
      <c r="AB348" s="582"/>
      <c r="AC348" s="582"/>
      <c r="AD348" s="582"/>
      <c r="AE348" s="582" t="b">
        <v>1</v>
      </c>
      <c r="AF348" s="582" t="b">
        <v>1</v>
      </c>
      <c r="AG348" s="582"/>
      <c r="AH348" s="582"/>
      <c r="AI348" s="582"/>
      <c r="AJ348" s="582"/>
      <c r="AK348" s="582"/>
      <c r="AL348" s="582"/>
      <c r="AM348" s="582"/>
      <c r="AN348" s="492"/>
      <c r="AO348" s="492"/>
      <c r="AP348" s="30" t="b">
        <f t="shared" si="39"/>
        <v>1</v>
      </c>
      <c r="AQ348" s="17"/>
      <c r="AR348" s="9"/>
      <c r="AS348" s="9"/>
      <c r="AT348" s="9"/>
    </row>
    <row r="349" spans="1:46" customFormat="1" ht="12" customHeight="1" outlineLevel="2" x14ac:dyDescent="0.25">
      <c r="A349" s="7"/>
      <c r="B349" s="8"/>
      <c r="C349" s="18"/>
      <c r="D349" s="18"/>
      <c r="E349" s="18"/>
      <c r="F349" s="24"/>
      <c r="G349" s="547"/>
      <c r="H349" s="25"/>
      <c r="I349" s="510" t="str">
        <f>General!G69</f>
        <v>h</v>
      </c>
      <c r="J349" s="582"/>
      <c r="K349" s="582"/>
      <c r="L349" s="582"/>
      <c r="M349" s="582"/>
      <c r="N349" s="582"/>
      <c r="O349" s="582"/>
      <c r="P349" s="582"/>
      <c r="Q349" s="582"/>
      <c r="R349" s="582"/>
      <c r="S349" s="582"/>
      <c r="T349" s="582"/>
      <c r="U349" s="582"/>
      <c r="V349" s="582"/>
      <c r="W349" s="582"/>
      <c r="X349" s="582"/>
      <c r="Y349" s="582"/>
      <c r="Z349" s="582"/>
      <c r="AA349" s="582"/>
      <c r="AB349" s="582"/>
      <c r="AC349" s="582"/>
      <c r="AD349" s="582"/>
      <c r="AE349" s="582"/>
      <c r="AF349" s="582"/>
      <c r="AG349" s="582"/>
      <c r="AH349" s="582"/>
      <c r="AI349" s="582"/>
      <c r="AJ349" s="582"/>
      <c r="AK349" s="582" t="b">
        <v>1</v>
      </c>
      <c r="AL349" s="582"/>
      <c r="AM349" s="582"/>
      <c r="AN349" s="492"/>
      <c r="AO349" s="492"/>
      <c r="AP349" s="30" t="b">
        <f t="shared" si="39"/>
        <v>1</v>
      </c>
      <c r="AQ349" s="17"/>
      <c r="AR349" s="9"/>
      <c r="AS349" s="9"/>
      <c r="AT349" s="9"/>
    </row>
    <row r="350" spans="1:46" customFormat="1" ht="12" customHeight="1" outlineLevel="2" x14ac:dyDescent="0.25">
      <c r="A350" s="7"/>
      <c r="B350" s="8"/>
      <c r="C350" s="18"/>
      <c r="D350" s="18"/>
      <c r="E350" s="18"/>
      <c r="F350" s="24"/>
      <c r="G350" s="547"/>
      <c r="H350" s="25"/>
      <c r="I350" s="510" t="str">
        <f>General!G70</f>
        <v>i</v>
      </c>
      <c r="J350" s="582"/>
      <c r="K350" s="582"/>
      <c r="L350" s="582"/>
      <c r="M350" s="582"/>
      <c r="N350" s="582"/>
      <c r="O350" s="582"/>
      <c r="P350" s="582"/>
      <c r="Q350" s="582"/>
      <c r="R350" s="582"/>
      <c r="S350" s="582"/>
      <c r="T350" s="582"/>
      <c r="U350" s="582"/>
      <c r="V350" s="582"/>
      <c r="W350" s="582"/>
      <c r="X350" s="582"/>
      <c r="Y350" s="582"/>
      <c r="Z350" s="582"/>
      <c r="AA350" s="582"/>
      <c r="AB350" s="582"/>
      <c r="AC350" s="582"/>
      <c r="AD350" s="582"/>
      <c r="AE350" s="582" t="b">
        <v>1</v>
      </c>
      <c r="AF350" s="582" t="b">
        <v>1</v>
      </c>
      <c r="AG350" s="582"/>
      <c r="AH350" s="582"/>
      <c r="AI350" s="582"/>
      <c r="AJ350" s="582"/>
      <c r="AK350" s="582"/>
      <c r="AL350" s="582"/>
      <c r="AM350" s="582"/>
      <c r="AN350" s="492"/>
      <c r="AO350" s="492"/>
      <c r="AP350" s="30" t="b">
        <f t="shared" si="39"/>
        <v>1</v>
      </c>
      <c r="AQ350" s="17"/>
      <c r="AR350" s="9"/>
      <c r="AS350" s="9"/>
      <c r="AT350" s="9"/>
    </row>
    <row r="351" spans="1:46" customFormat="1" ht="12" customHeight="1" outlineLevel="2" x14ac:dyDescent="0.25">
      <c r="A351" s="7"/>
      <c r="B351" s="8"/>
      <c r="C351" s="18"/>
      <c r="D351" s="18"/>
      <c r="E351" s="18"/>
      <c r="F351" s="24"/>
      <c r="G351" s="547"/>
      <c r="H351" s="25"/>
      <c r="I351" s="510" t="str">
        <f>General!G71</f>
        <v>k</v>
      </c>
      <c r="J351" s="582"/>
      <c r="K351" s="582"/>
      <c r="L351" s="582"/>
      <c r="M351" s="582"/>
      <c r="N351" s="582"/>
      <c r="O351" s="582"/>
      <c r="P351" s="582"/>
      <c r="Q351" s="582"/>
      <c r="R351" s="582"/>
      <c r="S351" s="582"/>
      <c r="T351" s="582"/>
      <c r="U351" s="582"/>
      <c r="V351" s="582"/>
      <c r="W351" s="582"/>
      <c r="X351" s="582"/>
      <c r="Y351" s="582"/>
      <c r="Z351" s="582"/>
      <c r="AA351" s="582"/>
      <c r="AB351" s="582"/>
      <c r="AC351" s="582"/>
      <c r="AD351" s="582"/>
      <c r="AE351" s="582" t="b">
        <v>1</v>
      </c>
      <c r="AF351" s="582" t="b">
        <v>1</v>
      </c>
      <c r="AG351" s="582"/>
      <c r="AH351" s="582"/>
      <c r="AI351" s="582"/>
      <c r="AJ351" s="582"/>
      <c r="AK351" s="582"/>
      <c r="AL351" s="582"/>
      <c r="AM351" s="582"/>
      <c r="AN351" s="492"/>
      <c r="AO351" s="492"/>
      <c r="AP351" s="30" t="b">
        <f t="shared" si="39"/>
        <v>1</v>
      </c>
      <c r="AQ351" s="17"/>
      <c r="AR351" s="9"/>
      <c r="AS351" s="9"/>
      <c r="AT351" s="9"/>
    </row>
    <row r="352" spans="1:46" customFormat="1" ht="12" customHeight="1" outlineLevel="2" x14ac:dyDescent="0.25">
      <c r="A352" s="7"/>
      <c r="B352" s="8"/>
      <c r="C352" s="18"/>
      <c r="D352" s="18"/>
      <c r="E352" s="18"/>
      <c r="F352" s="24"/>
      <c r="G352" s="547"/>
      <c r="H352" s="25"/>
      <c r="I352" s="510" t="str">
        <f>General!G72</f>
        <v>l</v>
      </c>
      <c r="J352" s="582"/>
      <c r="K352" s="582"/>
      <c r="L352" s="582"/>
      <c r="M352" s="582"/>
      <c r="N352" s="582"/>
      <c r="O352" s="582"/>
      <c r="P352" s="582"/>
      <c r="Q352" s="582"/>
      <c r="R352" s="582"/>
      <c r="S352" s="582"/>
      <c r="T352" s="582"/>
      <c r="U352" s="582"/>
      <c r="V352" s="582"/>
      <c r="W352" s="582"/>
      <c r="X352" s="582"/>
      <c r="Y352" s="582"/>
      <c r="Z352" s="582"/>
      <c r="AA352" s="582"/>
      <c r="AB352" s="582"/>
      <c r="AC352" s="582"/>
      <c r="AD352" s="582"/>
      <c r="AE352" s="582" t="b">
        <v>1</v>
      </c>
      <c r="AF352" s="582" t="b">
        <v>1</v>
      </c>
      <c r="AG352" s="582"/>
      <c r="AH352" s="582"/>
      <c r="AI352" s="582"/>
      <c r="AJ352" s="582"/>
      <c r="AK352" s="582"/>
      <c r="AL352" s="582"/>
      <c r="AM352" s="582"/>
      <c r="AN352" s="492"/>
      <c r="AO352" s="492"/>
      <c r="AP352" s="30" t="b">
        <f t="shared" si="39"/>
        <v>1</v>
      </c>
      <c r="AQ352" s="17"/>
      <c r="AR352" s="9"/>
      <c r="AS352" s="9"/>
      <c r="AT352" s="9"/>
    </row>
    <row r="353" spans="1:46" customFormat="1" ht="12" customHeight="1" outlineLevel="2" x14ac:dyDescent="0.25">
      <c r="A353" s="7"/>
      <c r="B353" s="8"/>
      <c r="C353" s="18"/>
      <c r="D353" s="18"/>
      <c r="E353" s="18"/>
      <c r="F353" s="24"/>
      <c r="G353" s="547"/>
      <c r="H353" s="25"/>
      <c r="I353" s="510" t="str">
        <f>General!G73</f>
        <v>lf</v>
      </c>
      <c r="J353" s="582"/>
      <c r="K353" s="582"/>
      <c r="L353" s="582"/>
      <c r="M353" s="582"/>
      <c r="N353" s="582"/>
      <c r="O353" s="582"/>
      <c r="P353" s="582"/>
      <c r="Q353" s="582"/>
      <c r="R353" s="582"/>
      <c r="S353" s="582"/>
      <c r="T353" s="582"/>
      <c r="U353" s="582"/>
      <c r="V353" s="582"/>
      <c r="W353" s="582"/>
      <c r="X353" s="582"/>
      <c r="Y353" s="582"/>
      <c r="Z353" s="582"/>
      <c r="AA353" s="582"/>
      <c r="AB353" s="582"/>
      <c r="AC353" s="582"/>
      <c r="AD353" s="582"/>
      <c r="AE353" s="582" t="b">
        <v>1</v>
      </c>
      <c r="AF353" s="582" t="b">
        <v>1</v>
      </c>
      <c r="AG353" s="582"/>
      <c r="AH353" s="582"/>
      <c r="AI353" s="582"/>
      <c r="AJ353" s="582"/>
      <c r="AK353" s="582"/>
      <c r="AL353" s="582"/>
      <c r="AM353" s="582"/>
      <c r="AN353" s="492"/>
      <c r="AO353" s="492"/>
      <c r="AP353" s="30" t="b">
        <f t="shared" si="39"/>
        <v>1</v>
      </c>
      <c r="AQ353" s="17"/>
      <c r="AR353" s="9"/>
      <c r="AS353" s="9"/>
      <c r="AT353" s="9"/>
    </row>
    <row r="354" spans="1:46" customFormat="1" ht="12" customHeight="1" outlineLevel="2" x14ac:dyDescent="0.25">
      <c r="A354" s="7"/>
      <c r="B354" s="8"/>
      <c r="C354" s="18"/>
      <c r="D354" s="18"/>
      <c r="E354" s="18"/>
      <c r="F354" s="24"/>
      <c r="G354" s="547"/>
      <c r="H354" s="25"/>
      <c r="I354" s="510" t="str">
        <f>General!G74</f>
        <v>ms</v>
      </c>
      <c r="J354" s="582"/>
      <c r="K354" s="582"/>
      <c r="L354" s="582"/>
      <c r="M354" s="582"/>
      <c r="N354" s="582"/>
      <c r="O354" s="582"/>
      <c r="P354" s="582"/>
      <c r="Q354" s="582"/>
      <c r="R354" s="582"/>
      <c r="S354" s="582"/>
      <c r="T354" s="582"/>
      <c r="U354" s="582"/>
      <c r="V354" s="582"/>
      <c r="W354" s="582"/>
      <c r="X354" s="582"/>
      <c r="Y354" s="582"/>
      <c r="Z354" s="582"/>
      <c r="AA354" s="582"/>
      <c r="AB354" s="582"/>
      <c r="AC354" s="582"/>
      <c r="AD354" s="582"/>
      <c r="AE354" s="582" t="b">
        <v>1</v>
      </c>
      <c r="AF354" s="582" t="b">
        <v>1</v>
      </c>
      <c r="AG354" s="582"/>
      <c r="AH354" s="582"/>
      <c r="AI354" s="582"/>
      <c r="AJ354" s="582"/>
      <c r="AK354" s="582" t="b">
        <v>1</v>
      </c>
      <c r="AL354" s="582"/>
      <c r="AM354" s="582"/>
      <c r="AN354" s="492"/>
      <c r="AO354" s="492"/>
      <c r="AP354" s="30"/>
      <c r="AQ354" s="17"/>
      <c r="AR354" s="9"/>
      <c r="AS354" s="9"/>
      <c r="AT354" s="9"/>
    </row>
    <row r="355" spans="1:46" customFormat="1" ht="12" customHeight="1" outlineLevel="2" x14ac:dyDescent="0.25">
      <c r="A355" s="7"/>
      <c r="B355" s="8"/>
      <c r="C355" s="18"/>
      <c r="D355" s="18"/>
      <c r="E355" s="18"/>
      <c r="F355" s="24"/>
      <c r="G355" s="547"/>
      <c r="H355" s="585"/>
      <c r="I355" s="510" t="str">
        <f>General!G75</f>
        <v>o</v>
      </c>
      <c r="J355" s="582"/>
      <c r="K355" s="582"/>
      <c r="L355" s="582"/>
      <c r="M355" s="582"/>
      <c r="N355" s="582"/>
      <c r="O355" s="582"/>
      <c r="P355" s="582"/>
      <c r="Q355" s="582"/>
      <c r="R355" s="582"/>
      <c r="S355" s="582"/>
      <c r="T355" s="582"/>
      <c r="U355" s="582"/>
      <c r="V355" s="582"/>
      <c r="W355" s="582"/>
      <c r="X355" s="582"/>
      <c r="Y355" s="582"/>
      <c r="Z355" s="582"/>
      <c r="AA355" s="582"/>
      <c r="AB355" s="582"/>
      <c r="AC355" s="582"/>
      <c r="AD355" s="582"/>
      <c r="AE355" s="582"/>
      <c r="AF355" s="582"/>
      <c r="AG355" s="582"/>
      <c r="AH355" s="582"/>
      <c r="AI355" s="582"/>
      <c r="AJ355" s="582"/>
      <c r="AK355" s="582" t="b">
        <v>1</v>
      </c>
      <c r="AL355" s="582"/>
      <c r="AM355" s="582"/>
      <c r="AN355" s="492"/>
      <c r="AO355" s="492"/>
      <c r="AP355" s="30" t="b">
        <f t="shared" ref="AP355:AP372" si="40">OR(J355:AM355)</f>
        <v>1</v>
      </c>
      <c r="AQ355" s="17"/>
      <c r="AR355" s="9"/>
      <c r="AS355" s="9"/>
      <c r="AT355" s="9"/>
    </row>
    <row r="356" spans="1:46" customFormat="1" ht="12" customHeight="1" outlineLevel="2" x14ac:dyDescent="0.25">
      <c r="A356" s="7"/>
      <c r="B356" s="8"/>
      <c r="C356" s="18"/>
      <c r="D356" s="18"/>
      <c r="E356" s="18"/>
      <c r="F356" s="24"/>
      <c r="G356" s="547"/>
      <c r="H356" s="25"/>
      <c r="I356" s="510" t="str">
        <f>General!G76</f>
        <v>od</v>
      </c>
      <c r="J356" s="582"/>
      <c r="K356" s="582"/>
      <c r="L356" s="582"/>
      <c r="M356" s="582"/>
      <c r="N356" s="582"/>
      <c r="O356" s="582"/>
      <c r="P356" s="582"/>
      <c r="Q356" s="582"/>
      <c r="R356" s="582"/>
      <c r="S356" s="582"/>
      <c r="T356" s="582"/>
      <c r="U356" s="582"/>
      <c r="V356" s="582"/>
      <c r="W356" s="582"/>
      <c r="X356" s="582"/>
      <c r="Y356" s="582"/>
      <c r="Z356" s="582"/>
      <c r="AA356" s="582"/>
      <c r="AB356" s="582"/>
      <c r="AC356" s="582"/>
      <c r="AD356" s="582"/>
      <c r="AE356" s="582"/>
      <c r="AF356" s="582"/>
      <c r="AG356" s="582"/>
      <c r="AH356" s="582"/>
      <c r="AI356" s="582"/>
      <c r="AJ356" s="582"/>
      <c r="AK356" s="582" t="b">
        <v>1</v>
      </c>
      <c r="AL356" s="582"/>
      <c r="AM356" s="582"/>
      <c r="AN356" s="492"/>
      <c r="AO356" s="492"/>
      <c r="AP356" s="30" t="b">
        <f t="shared" si="40"/>
        <v>1</v>
      </c>
      <c r="AQ356" s="17"/>
      <c r="AR356" s="9"/>
      <c r="AS356" s="9"/>
      <c r="AT356" s="9"/>
    </row>
    <row r="357" spans="1:46" customFormat="1" ht="12" customHeight="1" outlineLevel="2" x14ac:dyDescent="0.25">
      <c r="A357" s="7"/>
      <c r="B357" s="8"/>
      <c r="C357" s="18"/>
      <c r="D357" s="18"/>
      <c r="E357" s="18"/>
      <c r="F357" s="24"/>
      <c r="G357" s="547"/>
      <c r="H357" s="25"/>
      <c r="I357" s="510" t="str">
        <f>General!G77</f>
        <v>of</v>
      </c>
      <c r="J357" s="582"/>
      <c r="K357" s="582"/>
      <c r="L357" s="582"/>
      <c r="M357" s="582"/>
      <c r="N357" s="582"/>
      <c r="O357" s="582"/>
      <c r="P357" s="582"/>
      <c r="Q357" s="582"/>
      <c r="R357" s="582"/>
      <c r="S357" s="582"/>
      <c r="T357" s="582"/>
      <c r="U357" s="582"/>
      <c r="V357" s="582"/>
      <c r="W357" s="582"/>
      <c r="X357" s="582"/>
      <c r="Y357" s="582"/>
      <c r="Z357" s="582"/>
      <c r="AA357" s="582"/>
      <c r="AB357" s="582"/>
      <c r="AC357" s="582"/>
      <c r="AD357" s="582"/>
      <c r="AE357" s="582"/>
      <c r="AF357" s="582"/>
      <c r="AG357" s="582"/>
      <c r="AH357" s="582"/>
      <c r="AI357" s="582"/>
      <c r="AJ357" s="582"/>
      <c r="AK357" s="582" t="b">
        <v>1</v>
      </c>
      <c r="AL357" s="582"/>
      <c r="AM357" s="582"/>
      <c r="AN357" s="492"/>
      <c r="AO357" s="492"/>
      <c r="AP357" s="30" t="b">
        <f t="shared" si="40"/>
        <v>1</v>
      </c>
      <c r="AQ357" s="17"/>
      <c r="AR357" s="9"/>
      <c r="AS357" s="9"/>
      <c r="AT357" s="9"/>
    </row>
    <row r="358" spans="1:46" customFormat="1" ht="12" customHeight="1" outlineLevel="2" x14ac:dyDescent="0.25">
      <c r="A358" s="7"/>
      <c r="B358" s="8"/>
      <c r="C358" s="18"/>
      <c r="D358" s="18"/>
      <c r="E358" s="18"/>
      <c r="F358" s="24"/>
      <c r="G358" s="547"/>
      <c r="H358" s="25"/>
      <c r="I358" s="510" t="str">
        <f>General!G78</f>
        <v>r</v>
      </c>
      <c r="J358" s="582"/>
      <c r="K358" s="582"/>
      <c r="L358" s="582"/>
      <c r="M358" s="582"/>
      <c r="N358" s="582"/>
      <c r="O358" s="582"/>
      <c r="P358" s="582"/>
      <c r="Q358" s="582"/>
      <c r="R358" s="582"/>
      <c r="S358" s="582"/>
      <c r="T358" s="582"/>
      <c r="U358" s="582"/>
      <c r="V358" s="582"/>
      <c r="W358" s="582"/>
      <c r="X358" s="582"/>
      <c r="Y358" s="582"/>
      <c r="Z358" s="582"/>
      <c r="AA358" s="582"/>
      <c r="AB358" s="582"/>
      <c r="AC358" s="582"/>
      <c r="AD358" s="582"/>
      <c r="AE358" s="582"/>
      <c r="AF358" s="582"/>
      <c r="AG358" s="582"/>
      <c r="AH358" s="582"/>
      <c r="AI358" s="582"/>
      <c r="AJ358" s="582"/>
      <c r="AK358" s="582" t="b">
        <v>1</v>
      </c>
      <c r="AL358" s="582"/>
      <c r="AM358" s="582"/>
      <c r="AN358" s="492"/>
      <c r="AO358" s="492"/>
      <c r="AP358" s="30" t="b">
        <f t="shared" si="40"/>
        <v>1</v>
      </c>
      <c r="AQ358" s="17"/>
      <c r="AR358" s="9"/>
      <c r="AS358" s="9"/>
      <c r="AT358" s="9"/>
    </row>
    <row r="359" spans="1:46" customFormat="1" ht="12" customHeight="1" outlineLevel="2" x14ac:dyDescent="0.25">
      <c r="A359" s="7"/>
      <c r="B359" s="8"/>
      <c r="C359" s="18"/>
      <c r="D359" s="18"/>
      <c r="E359" s="18"/>
      <c r="F359" s="24"/>
      <c r="G359" s="547"/>
      <c r="H359" s="25"/>
      <c r="I359" s="510" t="str">
        <f>General!G79</f>
        <v>rd</v>
      </c>
      <c r="J359" s="582"/>
      <c r="K359" s="582"/>
      <c r="L359" s="582"/>
      <c r="M359" s="582"/>
      <c r="N359" s="582"/>
      <c r="O359" s="582"/>
      <c r="P359" s="582"/>
      <c r="Q359" s="582"/>
      <c r="R359" s="582"/>
      <c r="S359" s="582"/>
      <c r="T359" s="582"/>
      <c r="U359" s="582"/>
      <c r="V359" s="582"/>
      <c r="W359" s="582"/>
      <c r="X359" s="582"/>
      <c r="Y359" s="582"/>
      <c r="Z359" s="582"/>
      <c r="AA359" s="582"/>
      <c r="AB359" s="582"/>
      <c r="AC359" s="582"/>
      <c r="AD359" s="582"/>
      <c r="AE359" s="582"/>
      <c r="AF359" s="582"/>
      <c r="AG359" s="582"/>
      <c r="AH359" s="582"/>
      <c r="AI359" s="582"/>
      <c r="AJ359" s="582"/>
      <c r="AK359" s="582" t="b">
        <v>1</v>
      </c>
      <c r="AL359" s="582"/>
      <c r="AM359" s="582"/>
      <c r="AN359" s="492"/>
      <c r="AO359" s="492"/>
      <c r="AP359" s="30" t="b">
        <f t="shared" si="40"/>
        <v>1</v>
      </c>
      <c r="AQ359" s="17"/>
      <c r="AR359" s="9"/>
      <c r="AS359" s="9"/>
      <c r="AT359" s="9"/>
    </row>
    <row r="360" spans="1:46" customFormat="1" ht="12" customHeight="1" outlineLevel="2" x14ac:dyDescent="0.25">
      <c r="A360" s="7"/>
      <c r="B360" s="8"/>
      <c r="C360" s="18"/>
      <c r="D360" s="18"/>
      <c r="E360" s="18"/>
      <c r="F360" s="24"/>
      <c r="G360" s="547"/>
      <c r="H360" s="25"/>
      <c r="I360" s="510" t="str">
        <f>General!G80</f>
        <v>v</v>
      </c>
      <c r="J360" s="582"/>
      <c r="K360" s="582"/>
      <c r="L360" s="582"/>
      <c r="M360" s="582"/>
      <c r="N360" s="582"/>
      <c r="O360" s="582"/>
      <c r="P360" s="582"/>
      <c r="Q360" s="582"/>
      <c r="R360" s="582"/>
      <c r="S360" s="582"/>
      <c r="T360" s="582"/>
      <c r="U360" s="582"/>
      <c r="V360" s="582"/>
      <c r="W360" s="582"/>
      <c r="X360" s="582"/>
      <c r="Y360" s="582"/>
      <c r="Z360" s="582"/>
      <c r="AA360" s="582"/>
      <c r="AB360" s="582"/>
      <c r="AC360" s="582"/>
      <c r="AD360" s="582"/>
      <c r="AE360" s="582" t="b">
        <v>1</v>
      </c>
      <c r="AF360" s="582" t="b">
        <v>1</v>
      </c>
      <c r="AG360" s="582"/>
      <c r="AH360" s="582"/>
      <c r="AI360" s="582"/>
      <c r="AJ360" s="582"/>
      <c r="AK360" s="582"/>
      <c r="AL360" s="582"/>
      <c r="AM360" s="582"/>
      <c r="AN360" s="492"/>
      <c r="AO360" s="492"/>
      <c r="AP360" s="30" t="b">
        <f t="shared" si="40"/>
        <v>1</v>
      </c>
      <c r="AQ360" s="17"/>
      <c r="AR360" s="9"/>
      <c r="AS360" s="9"/>
      <c r="AT360" s="9"/>
    </row>
    <row r="361" spans="1:46" customFormat="1" ht="12" customHeight="1" outlineLevel="2" x14ac:dyDescent="0.25">
      <c r="A361" s="7"/>
      <c r="B361" s="8"/>
      <c r="C361" s="18"/>
      <c r="D361" s="18"/>
      <c r="E361" s="18"/>
      <c r="F361" s="24"/>
      <c r="G361" s="547"/>
      <c r="H361" s="25"/>
      <c r="I361" s="510" t="str">
        <f>General!G81</f>
        <v>w</v>
      </c>
      <c r="J361" s="582"/>
      <c r="K361" s="582"/>
      <c r="L361" s="582"/>
      <c r="M361" s="582"/>
      <c r="N361" s="582"/>
      <c r="O361" s="582"/>
      <c r="P361" s="582"/>
      <c r="Q361" s="582"/>
      <c r="R361" s="582"/>
      <c r="S361" s="582"/>
      <c r="T361" s="582"/>
      <c r="U361" s="582"/>
      <c r="V361" s="582"/>
      <c r="W361" s="582"/>
      <c r="X361" s="582"/>
      <c r="Y361" s="582"/>
      <c r="Z361" s="582"/>
      <c r="AA361" s="582"/>
      <c r="AB361" s="582"/>
      <c r="AC361" s="582"/>
      <c r="AD361" s="582"/>
      <c r="AE361" s="582"/>
      <c r="AF361" s="582"/>
      <c r="AG361" s="582"/>
      <c r="AH361" s="582"/>
      <c r="AI361" s="582"/>
      <c r="AJ361" s="582"/>
      <c r="AK361" s="582" t="b">
        <v>1</v>
      </c>
      <c r="AL361" s="582"/>
      <c r="AM361" s="582"/>
      <c r="AN361" s="492"/>
      <c r="AO361" s="492"/>
      <c r="AP361" s="30" t="b">
        <f t="shared" si="40"/>
        <v>1</v>
      </c>
      <c r="AQ361" s="17"/>
      <c r="AR361" s="9"/>
      <c r="AS361" s="9"/>
      <c r="AT361" s="9"/>
    </row>
    <row r="362" spans="1:46" customFormat="1" outlineLevel="2" x14ac:dyDescent="0.25">
      <c r="A362" s="7"/>
      <c r="B362" s="8"/>
      <c r="C362" s="18"/>
      <c r="D362" s="18"/>
      <c r="E362" s="18"/>
      <c r="F362" s="24"/>
      <c r="G362" s="547"/>
      <c r="H362" s="25"/>
      <c r="I362" s="510" t="str">
        <f>General!G82</f>
        <v>wd</v>
      </c>
      <c r="J362" s="582"/>
      <c r="K362" s="582"/>
      <c r="L362" s="582"/>
      <c r="M362" s="582"/>
      <c r="N362" s="582"/>
      <c r="O362" s="582"/>
      <c r="P362" s="582"/>
      <c r="Q362" s="582"/>
      <c r="R362" s="582"/>
      <c r="S362" s="582"/>
      <c r="T362" s="582"/>
      <c r="U362" s="582"/>
      <c r="V362" s="582"/>
      <c r="W362" s="582"/>
      <c r="X362" s="582"/>
      <c r="Y362" s="582"/>
      <c r="Z362" s="582"/>
      <c r="AA362" s="582"/>
      <c r="AB362" s="582"/>
      <c r="AC362" s="582"/>
      <c r="AD362" s="582"/>
      <c r="AE362" s="582"/>
      <c r="AF362" s="582"/>
      <c r="AG362" s="582"/>
      <c r="AH362" s="582"/>
      <c r="AI362" s="582"/>
      <c r="AJ362" s="582"/>
      <c r="AK362" s="582" t="b">
        <v>1</v>
      </c>
      <c r="AL362" s="582"/>
      <c r="AM362" s="582"/>
      <c r="AN362" s="492"/>
      <c r="AO362" s="492"/>
      <c r="AP362" s="30" t="b">
        <f t="shared" si="40"/>
        <v>1</v>
      </c>
      <c r="AQ362" s="17"/>
      <c r="AR362" s="9"/>
      <c r="AS362" s="9"/>
      <c r="AT362" s="9"/>
    </row>
    <row r="363" spans="1:46" customFormat="1" outlineLevel="2" x14ac:dyDescent="0.25">
      <c r="A363" s="7"/>
      <c r="B363" s="8"/>
      <c r="C363" s="18"/>
      <c r="D363" s="18"/>
      <c r="E363" s="18"/>
      <c r="F363" s="24"/>
      <c r="G363" s="547"/>
      <c r="H363" s="24"/>
      <c r="I363" s="510" t="str">
        <f>General!G83</f>
        <v>z</v>
      </c>
      <c r="J363" s="582"/>
      <c r="K363" s="582"/>
      <c r="L363" s="582"/>
      <c r="M363" s="582"/>
      <c r="N363" s="582"/>
      <c r="O363" s="582"/>
      <c r="P363" s="582"/>
      <c r="Q363" s="582"/>
      <c r="R363" s="582"/>
      <c r="S363" s="582"/>
      <c r="T363" s="582"/>
      <c r="U363" s="582"/>
      <c r="V363" s="582"/>
      <c r="W363" s="582"/>
      <c r="X363" s="582"/>
      <c r="Y363" s="582"/>
      <c r="Z363" s="582"/>
      <c r="AA363" s="582"/>
      <c r="AB363" s="582"/>
      <c r="AC363" s="582"/>
      <c r="AD363" s="582"/>
      <c r="AE363" s="582"/>
      <c r="AF363" s="582"/>
      <c r="AG363" s="582"/>
      <c r="AH363" s="582"/>
      <c r="AI363" s="582"/>
      <c r="AJ363" s="582"/>
      <c r="AK363" s="582" t="b">
        <v>1</v>
      </c>
      <c r="AL363" s="582"/>
      <c r="AM363" s="582"/>
      <c r="AN363" s="492"/>
      <c r="AO363" s="492"/>
      <c r="AP363" s="30" t="b">
        <f t="shared" si="40"/>
        <v>1</v>
      </c>
      <c r="AQ363" s="17"/>
      <c r="AR363" s="9"/>
      <c r="AS363" s="9"/>
      <c r="AT363" s="9"/>
    </row>
    <row r="364" spans="1:46" customFormat="1" outlineLevel="2" x14ac:dyDescent="0.25">
      <c r="A364" s="7"/>
      <c r="B364" s="8"/>
      <c r="C364" s="18"/>
      <c r="D364" s="18"/>
      <c r="E364" s="18"/>
      <c r="F364" s="24"/>
      <c r="G364" s="547"/>
      <c r="H364" s="24"/>
      <c r="I364" s="510" t="str">
        <f>General!G84</f>
        <v>zd</v>
      </c>
      <c r="J364" s="582"/>
      <c r="K364" s="582"/>
      <c r="L364" s="582"/>
      <c r="M364" s="582"/>
      <c r="N364" s="582"/>
      <c r="O364" s="582"/>
      <c r="P364" s="582"/>
      <c r="Q364" s="582"/>
      <c r="R364" s="582"/>
      <c r="S364" s="582"/>
      <c r="T364" s="582"/>
      <c r="U364" s="582"/>
      <c r="V364" s="582"/>
      <c r="W364" s="582"/>
      <c r="X364" s="582"/>
      <c r="Y364" s="582"/>
      <c r="Z364" s="582"/>
      <c r="AA364" s="582"/>
      <c r="AB364" s="582"/>
      <c r="AC364" s="582"/>
      <c r="AD364" s="582"/>
      <c r="AE364" s="582"/>
      <c r="AF364" s="582"/>
      <c r="AG364" s="582"/>
      <c r="AH364" s="582"/>
      <c r="AI364" s="582"/>
      <c r="AJ364" s="582"/>
      <c r="AK364" s="582" t="b">
        <v>1</v>
      </c>
      <c r="AL364" s="582"/>
      <c r="AM364" s="582"/>
      <c r="AN364" s="492"/>
      <c r="AO364" s="492"/>
      <c r="AP364" s="30" t="b">
        <f t="shared" si="40"/>
        <v>1</v>
      </c>
      <c r="AQ364" s="17"/>
      <c r="AR364" s="9"/>
      <c r="AS364" s="9"/>
      <c r="AT364" s="9"/>
    </row>
    <row r="365" spans="1:46" customFormat="1" ht="12" customHeight="1" outlineLevel="1" x14ac:dyDescent="0.25">
      <c r="A365" s="7"/>
      <c r="B365" s="8"/>
      <c r="C365" s="18">
        <v>2</v>
      </c>
      <c r="D365" s="18"/>
      <c r="E365" s="18"/>
      <c r="F365" s="24"/>
      <c r="G365" s="547"/>
      <c r="H365" s="25" t="s">
        <v>2297</v>
      </c>
      <c r="I365" s="510" t="str">
        <f>General!G66</f>
        <v>b</v>
      </c>
      <c r="J365" s="586" t="str">
        <f t="shared" ref="J365:J372" si="41">IF(ISBLANK(J327),"",J327)</f>
        <v/>
      </c>
      <c r="K365" s="586" t="str">
        <f t="shared" ref="K365:AJ365" si="42">IF(ISBLANK(K327),"",K327)</f>
        <v/>
      </c>
      <c r="L365" s="586" t="str">
        <f t="shared" si="42"/>
        <v/>
      </c>
      <c r="M365" s="586" t="str">
        <f t="shared" si="42"/>
        <v/>
      </c>
      <c r="N365" s="586" t="str">
        <f t="shared" si="42"/>
        <v/>
      </c>
      <c r="O365" s="586" t="str">
        <f t="shared" si="42"/>
        <v/>
      </c>
      <c r="P365" s="586" t="str">
        <f t="shared" si="42"/>
        <v/>
      </c>
      <c r="Q365" s="586" t="str">
        <f t="shared" si="42"/>
        <v/>
      </c>
      <c r="R365" s="586" t="str">
        <f t="shared" si="42"/>
        <v/>
      </c>
      <c r="S365" s="586" t="b">
        <f t="shared" si="42"/>
        <v>1</v>
      </c>
      <c r="T365" s="586" t="str">
        <f t="shared" si="42"/>
        <v/>
      </c>
      <c r="U365" s="586" t="str">
        <f t="shared" si="42"/>
        <v/>
      </c>
      <c r="V365" s="586" t="str">
        <f t="shared" si="42"/>
        <v/>
      </c>
      <c r="W365" s="586" t="str">
        <f t="shared" si="42"/>
        <v/>
      </c>
      <c r="X365" s="586" t="str">
        <f t="shared" si="42"/>
        <v/>
      </c>
      <c r="Y365" s="586" t="str">
        <f t="shared" si="42"/>
        <v/>
      </c>
      <c r="Z365" s="586" t="str">
        <f t="shared" si="42"/>
        <v/>
      </c>
      <c r="AA365" s="586" t="str">
        <f t="shared" si="42"/>
        <v/>
      </c>
      <c r="AB365" s="586" t="str">
        <f t="shared" si="42"/>
        <v/>
      </c>
      <c r="AC365" s="586" t="str">
        <f t="shared" si="42"/>
        <v/>
      </c>
      <c r="AD365" s="586" t="str">
        <f t="shared" si="42"/>
        <v/>
      </c>
      <c r="AE365" s="586" t="str">
        <f t="shared" si="42"/>
        <v/>
      </c>
      <c r="AF365" s="586" t="str">
        <f t="shared" si="42"/>
        <v/>
      </c>
      <c r="AG365" s="586" t="str">
        <f t="shared" si="42"/>
        <v/>
      </c>
      <c r="AH365" s="586" t="str">
        <f t="shared" si="42"/>
        <v/>
      </c>
      <c r="AI365" s="586" t="str">
        <f t="shared" si="42"/>
        <v/>
      </c>
      <c r="AJ365" s="586" t="str">
        <f t="shared" si="42"/>
        <v/>
      </c>
      <c r="AK365" s="586" t="str">
        <f t="shared" ref="AK365:AM365" si="43">IF(ISBLANK(AK327),"",AK327)</f>
        <v/>
      </c>
      <c r="AL365" s="586" t="b">
        <f t="shared" ref="AL365" si="44">IF(ISBLANK(AL327),"",AL327)</f>
        <v>1</v>
      </c>
      <c r="AM365" s="586" t="b">
        <f t="shared" si="43"/>
        <v>1</v>
      </c>
      <c r="AN365" s="492"/>
      <c r="AO365" s="492"/>
      <c r="AP365" s="30" t="b">
        <f t="shared" si="40"/>
        <v>1</v>
      </c>
      <c r="AQ365" s="17"/>
      <c r="AR365" s="9"/>
      <c r="AS365" s="9"/>
      <c r="AT365" s="9"/>
    </row>
    <row r="366" spans="1:46" customFormat="1" ht="12" customHeight="1" outlineLevel="2" x14ac:dyDescent="0.25">
      <c r="A366" s="7"/>
      <c r="B366" s="8"/>
      <c r="C366" s="18"/>
      <c r="D366" s="18"/>
      <c r="E366" s="18"/>
      <c r="F366" s="24"/>
      <c r="G366" s="547"/>
      <c r="H366" s="25"/>
      <c r="I366" s="510" t="str">
        <f>General!G67</f>
        <v>bd</v>
      </c>
      <c r="J366" s="586" t="str">
        <f t="shared" si="41"/>
        <v/>
      </c>
      <c r="K366" s="586" t="str">
        <f t="shared" ref="K366:AJ366" si="45">IF(ISBLANK(K328),"",K328)</f>
        <v/>
      </c>
      <c r="L366" s="586" t="str">
        <f t="shared" si="45"/>
        <v/>
      </c>
      <c r="M366" s="586" t="str">
        <f t="shared" si="45"/>
        <v/>
      </c>
      <c r="N366" s="586" t="str">
        <f t="shared" si="45"/>
        <v/>
      </c>
      <c r="O366" s="586" t="str">
        <f t="shared" si="45"/>
        <v/>
      </c>
      <c r="P366" s="586" t="str">
        <f t="shared" si="45"/>
        <v/>
      </c>
      <c r="Q366" s="586" t="str">
        <f t="shared" si="45"/>
        <v/>
      </c>
      <c r="R366" s="586" t="str">
        <f t="shared" si="45"/>
        <v/>
      </c>
      <c r="S366" s="586" t="b">
        <f t="shared" si="45"/>
        <v>1</v>
      </c>
      <c r="T366" s="586" t="str">
        <f t="shared" si="45"/>
        <v/>
      </c>
      <c r="U366" s="586" t="str">
        <f t="shared" si="45"/>
        <v/>
      </c>
      <c r="V366" s="586" t="str">
        <f t="shared" si="45"/>
        <v/>
      </c>
      <c r="W366" s="586" t="str">
        <f t="shared" si="45"/>
        <v/>
      </c>
      <c r="X366" s="586" t="str">
        <f t="shared" si="45"/>
        <v/>
      </c>
      <c r="Y366" s="586" t="str">
        <f t="shared" si="45"/>
        <v/>
      </c>
      <c r="Z366" s="586" t="str">
        <f t="shared" si="45"/>
        <v/>
      </c>
      <c r="AA366" s="586" t="str">
        <f t="shared" si="45"/>
        <v/>
      </c>
      <c r="AB366" s="586" t="str">
        <f t="shared" si="45"/>
        <v/>
      </c>
      <c r="AC366" s="586" t="str">
        <f t="shared" si="45"/>
        <v/>
      </c>
      <c r="AD366" s="586" t="str">
        <f t="shared" si="45"/>
        <v/>
      </c>
      <c r="AE366" s="586" t="str">
        <f t="shared" si="45"/>
        <v/>
      </c>
      <c r="AF366" s="586" t="str">
        <f t="shared" si="45"/>
        <v/>
      </c>
      <c r="AG366" s="586" t="str">
        <f t="shared" si="45"/>
        <v/>
      </c>
      <c r="AH366" s="586" t="str">
        <f t="shared" si="45"/>
        <v/>
      </c>
      <c r="AI366" s="586" t="str">
        <f t="shared" si="45"/>
        <v/>
      </c>
      <c r="AJ366" s="586" t="str">
        <f t="shared" si="45"/>
        <v/>
      </c>
      <c r="AK366" s="586" t="str">
        <f t="shared" ref="AK366:AM366" si="46">IF(ISBLANK(AK328),"",AK328)</f>
        <v/>
      </c>
      <c r="AL366" s="586" t="b">
        <f t="shared" ref="AL366" si="47">IF(ISBLANK(AL328),"",AL328)</f>
        <v>1</v>
      </c>
      <c r="AM366" s="586" t="b">
        <f t="shared" si="46"/>
        <v>1</v>
      </c>
      <c r="AN366" s="492"/>
      <c r="AO366" s="492"/>
      <c r="AP366" s="30" t="b">
        <f t="shared" si="40"/>
        <v>1</v>
      </c>
      <c r="AQ366" s="17"/>
      <c r="AR366" s="9"/>
      <c r="AS366" s="9"/>
      <c r="AT366" s="9"/>
    </row>
    <row r="367" spans="1:46" customFormat="1" ht="12" customHeight="1" outlineLevel="2" x14ac:dyDescent="0.25">
      <c r="A367" s="7"/>
      <c r="B367" s="8"/>
      <c r="C367" s="18"/>
      <c r="D367" s="18"/>
      <c r="E367" s="18"/>
      <c r="F367" s="24"/>
      <c r="G367" s="547"/>
      <c r="H367" s="25"/>
      <c r="I367" s="510" t="str">
        <f>General!G68</f>
        <v>f</v>
      </c>
      <c r="J367" s="586" t="str">
        <f t="shared" si="41"/>
        <v/>
      </c>
      <c r="K367" s="586" t="str">
        <f t="shared" ref="K367:AJ367" si="48">IF(ISBLANK(K329),"",K329)</f>
        <v/>
      </c>
      <c r="L367" s="586" t="str">
        <f t="shared" si="48"/>
        <v/>
      </c>
      <c r="M367" s="586" t="str">
        <f t="shared" si="48"/>
        <v/>
      </c>
      <c r="N367" s="586" t="str">
        <f t="shared" si="48"/>
        <v/>
      </c>
      <c r="O367" s="586" t="str">
        <f t="shared" si="48"/>
        <v/>
      </c>
      <c r="P367" s="586" t="str">
        <f t="shared" si="48"/>
        <v/>
      </c>
      <c r="Q367" s="586" t="str">
        <f t="shared" si="48"/>
        <v/>
      </c>
      <c r="R367" s="586" t="str">
        <f t="shared" si="48"/>
        <v/>
      </c>
      <c r="S367" s="586" t="str">
        <f t="shared" si="48"/>
        <v/>
      </c>
      <c r="T367" s="586" t="str">
        <f t="shared" si="48"/>
        <v/>
      </c>
      <c r="U367" s="586" t="str">
        <f t="shared" si="48"/>
        <v/>
      </c>
      <c r="V367" s="586" t="str">
        <f t="shared" si="48"/>
        <v/>
      </c>
      <c r="W367" s="586" t="str">
        <f t="shared" si="48"/>
        <v/>
      </c>
      <c r="X367" s="586" t="str">
        <f t="shared" si="48"/>
        <v/>
      </c>
      <c r="Y367" s="586" t="str">
        <f t="shared" si="48"/>
        <v/>
      </c>
      <c r="Z367" s="586" t="str">
        <f t="shared" si="48"/>
        <v/>
      </c>
      <c r="AA367" s="586" t="str">
        <f t="shared" si="48"/>
        <v/>
      </c>
      <c r="AB367" s="586" t="str">
        <f t="shared" si="48"/>
        <v/>
      </c>
      <c r="AC367" s="586" t="str">
        <f t="shared" si="48"/>
        <v/>
      </c>
      <c r="AD367" s="586" t="str">
        <f t="shared" si="48"/>
        <v/>
      </c>
      <c r="AE367" s="586" t="str">
        <f t="shared" si="48"/>
        <v/>
      </c>
      <c r="AF367" s="586" t="str">
        <f t="shared" si="48"/>
        <v/>
      </c>
      <c r="AG367" s="586" t="str">
        <f t="shared" si="48"/>
        <v/>
      </c>
      <c r="AH367" s="586" t="str">
        <f t="shared" si="48"/>
        <v/>
      </c>
      <c r="AI367" s="586" t="str">
        <f t="shared" si="48"/>
        <v/>
      </c>
      <c r="AJ367" s="586" t="b">
        <f t="shared" si="48"/>
        <v>1</v>
      </c>
      <c r="AK367" s="586" t="str">
        <f t="shared" ref="AK367:AM367" si="49">IF(ISBLANK(AK329),"",AK329)</f>
        <v/>
      </c>
      <c r="AL367" s="586" t="str">
        <f t="shared" ref="AL367" si="50">IF(ISBLANK(AL329),"",AL329)</f>
        <v/>
      </c>
      <c r="AM367" s="586" t="str">
        <f t="shared" si="49"/>
        <v/>
      </c>
      <c r="AN367" s="492"/>
      <c r="AO367" s="492"/>
      <c r="AP367" s="30" t="b">
        <f t="shared" si="40"/>
        <v>1</v>
      </c>
      <c r="AQ367" s="17"/>
      <c r="AR367" s="9"/>
      <c r="AS367" s="9"/>
      <c r="AT367" s="9"/>
    </row>
    <row r="368" spans="1:46" customFormat="1" ht="12" customHeight="1" outlineLevel="2" x14ac:dyDescent="0.25">
      <c r="A368" s="7"/>
      <c r="B368" s="8"/>
      <c r="C368" s="18"/>
      <c r="D368" s="18"/>
      <c r="E368" s="18"/>
      <c r="F368" s="24"/>
      <c r="G368" s="547"/>
      <c r="H368" s="25"/>
      <c r="I368" s="510" t="str">
        <f>General!G69</f>
        <v>h</v>
      </c>
      <c r="J368" s="586" t="str">
        <f t="shared" si="41"/>
        <v/>
      </c>
      <c r="K368" s="586" t="str">
        <f t="shared" ref="K368:AJ368" si="51">IF(ISBLANK(K330),"",K330)</f>
        <v/>
      </c>
      <c r="L368" s="586" t="str">
        <f t="shared" si="51"/>
        <v/>
      </c>
      <c r="M368" s="586" t="str">
        <f t="shared" si="51"/>
        <v/>
      </c>
      <c r="N368" s="586" t="str">
        <f t="shared" si="51"/>
        <v/>
      </c>
      <c r="O368" s="586" t="str">
        <f t="shared" si="51"/>
        <v/>
      </c>
      <c r="P368" s="586" t="str">
        <f t="shared" si="51"/>
        <v/>
      </c>
      <c r="Q368" s="586" t="str">
        <f t="shared" si="51"/>
        <v/>
      </c>
      <c r="R368" s="586" t="str">
        <f t="shared" si="51"/>
        <v/>
      </c>
      <c r="S368" s="586" t="b">
        <f t="shared" si="51"/>
        <v>1</v>
      </c>
      <c r="T368" s="586" t="str">
        <f t="shared" si="51"/>
        <v/>
      </c>
      <c r="U368" s="586" t="str">
        <f t="shared" si="51"/>
        <v/>
      </c>
      <c r="V368" s="586" t="str">
        <f t="shared" si="51"/>
        <v/>
      </c>
      <c r="W368" s="586" t="b">
        <f t="shared" si="51"/>
        <v>1</v>
      </c>
      <c r="X368" s="586" t="str">
        <f t="shared" si="51"/>
        <v/>
      </c>
      <c r="Y368" s="586" t="str">
        <f t="shared" si="51"/>
        <v/>
      </c>
      <c r="Z368" s="586" t="str">
        <f t="shared" si="51"/>
        <v/>
      </c>
      <c r="AA368" s="586" t="b">
        <f t="shared" si="51"/>
        <v>1</v>
      </c>
      <c r="AB368" s="586" t="str">
        <f t="shared" si="51"/>
        <v/>
      </c>
      <c r="AC368" s="586" t="b">
        <f t="shared" si="51"/>
        <v>1</v>
      </c>
      <c r="AD368" s="586" t="str">
        <f t="shared" si="51"/>
        <v/>
      </c>
      <c r="AE368" s="586" t="str">
        <f t="shared" si="51"/>
        <v/>
      </c>
      <c r="AF368" s="586" t="str">
        <f t="shared" si="51"/>
        <v/>
      </c>
      <c r="AG368" s="586" t="str">
        <f t="shared" si="51"/>
        <v/>
      </c>
      <c r="AH368" s="586" t="str">
        <f t="shared" si="51"/>
        <v/>
      </c>
      <c r="AI368" s="586" t="str">
        <f t="shared" si="51"/>
        <v/>
      </c>
      <c r="AJ368" s="586" t="str">
        <f t="shared" si="51"/>
        <v/>
      </c>
      <c r="AK368" s="586" t="str">
        <f t="shared" ref="AK368:AM368" si="52">IF(ISBLANK(AK330),"",AK330)</f>
        <v/>
      </c>
      <c r="AL368" s="586" t="str">
        <f t="shared" ref="AL368" si="53">IF(ISBLANK(AL330),"",AL330)</f>
        <v/>
      </c>
      <c r="AM368" s="586" t="str">
        <f t="shared" si="52"/>
        <v/>
      </c>
      <c r="AN368" s="492"/>
      <c r="AO368" s="492"/>
      <c r="AP368" s="30" t="b">
        <f t="shared" si="40"/>
        <v>1</v>
      </c>
      <c r="AQ368" s="17"/>
      <c r="AR368" s="9"/>
      <c r="AS368" s="9"/>
      <c r="AT368" s="9"/>
    </row>
    <row r="369" spans="1:46" customFormat="1" ht="12" customHeight="1" outlineLevel="2" x14ac:dyDescent="0.25">
      <c r="A369" s="7"/>
      <c r="B369" s="8"/>
      <c r="C369" s="18"/>
      <c r="D369" s="18"/>
      <c r="E369" s="18"/>
      <c r="F369" s="24"/>
      <c r="G369" s="547"/>
      <c r="H369" s="25"/>
      <c r="I369" s="510" t="str">
        <f>General!G70</f>
        <v>i</v>
      </c>
      <c r="J369" s="586" t="str">
        <f t="shared" si="41"/>
        <v/>
      </c>
      <c r="K369" s="586" t="str">
        <f t="shared" ref="K369:AJ369" si="54">IF(ISBLANK(K331),"",K331)</f>
        <v/>
      </c>
      <c r="L369" s="586" t="str">
        <f t="shared" si="54"/>
        <v/>
      </c>
      <c r="M369" s="586" t="str">
        <f t="shared" si="54"/>
        <v/>
      </c>
      <c r="N369" s="586" t="str">
        <f t="shared" si="54"/>
        <v/>
      </c>
      <c r="O369" s="586" t="str">
        <f t="shared" si="54"/>
        <v/>
      </c>
      <c r="P369" s="586" t="str">
        <f t="shared" si="54"/>
        <v/>
      </c>
      <c r="Q369" s="586" t="str">
        <f t="shared" si="54"/>
        <v/>
      </c>
      <c r="R369" s="586" t="str">
        <f t="shared" si="54"/>
        <v/>
      </c>
      <c r="S369" s="586" t="str">
        <f t="shared" si="54"/>
        <v/>
      </c>
      <c r="T369" s="586" t="str">
        <f t="shared" si="54"/>
        <v/>
      </c>
      <c r="U369" s="586" t="str">
        <f t="shared" si="54"/>
        <v/>
      </c>
      <c r="V369" s="586" t="str">
        <f t="shared" si="54"/>
        <v/>
      </c>
      <c r="W369" s="586" t="str">
        <f t="shared" si="54"/>
        <v/>
      </c>
      <c r="X369" s="586" t="str">
        <f t="shared" si="54"/>
        <v/>
      </c>
      <c r="Y369" s="586" t="str">
        <f t="shared" si="54"/>
        <v/>
      </c>
      <c r="Z369" s="586" t="str">
        <f t="shared" si="54"/>
        <v/>
      </c>
      <c r="AA369" s="586" t="str">
        <f t="shared" si="54"/>
        <v/>
      </c>
      <c r="AB369" s="586" t="str">
        <f t="shared" si="54"/>
        <v/>
      </c>
      <c r="AC369" s="586" t="str">
        <f t="shared" si="54"/>
        <v/>
      </c>
      <c r="AD369" s="586" t="str">
        <f t="shared" si="54"/>
        <v/>
      </c>
      <c r="AE369" s="586" t="str">
        <f t="shared" si="54"/>
        <v/>
      </c>
      <c r="AF369" s="586" t="str">
        <f t="shared" si="54"/>
        <v/>
      </c>
      <c r="AG369" s="586" t="str">
        <f t="shared" si="54"/>
        <v/>
      </c>
      <c r="AH369" s="586" t="str">
        <f t="shared" si="54"/>
        <v/>
      </c>
      <c r="AI369" s="586" t="str">
        <f t="shared" si="54"/>
        <v/>
      </c>
      <c r="AJ369" s="586" t="b">
        <f t="shared" si="54"/>
        <v>1</v>
      </c>
      <c r="AK369" s="586" t="str">
        <f t="shared" ref="AK369:AM369" si="55">IF(ISBLANK(AK331),"",AK331)</f>
        <v/>
      </c>
      <c r="AL369" s="586" t="str">
        <f t="shared" ref="AL369" si="56">IF(ISBLANK(AL331),"",AL331)</f>
        <v/>
      </c>
      <c r="AM369" s="586" t="str">
        <f t="shared" si="55"/>
        <v/>
      </c>
      <c r="AN369" s="492"/>
      <c r="AO369" s="492"/>
      <c r="AP369" s="30" t="b">
        <f t="shared" si="40"/>
        <v>1</v>
      </c>
      <c r="AQ369" s="17"/>
      <c r="AR369" s="9"/>
      <c r="AS369" s="9"/>
      <c r="AT369" s="9"/>
    </row>
    <row r="370" spans="1:46" customFormat="1" ht="12" customHeight="1" outlineLevel="2" x14ac:dyDescent="0.25">
      <c r="A370" s="7"/>
      <c r="B370" s="8"/>
      <c r="C370" s="18"/>
      <c r="D370" s="18"/>
      <c r="E370" s="18"/>
      <c r="F370" s="24"/>
      <c r="G370" s="547"/>
      <c r="H370" s="25"/>
      <c r="I370" s="510" t="str">
        <f>General!G71</f>
        <v>k</v>
      </c>
      <c r="J370" s="586" t="str">
        <f t="shared" si="41"/>
        <v/>
      </c>
      <c r="K370" s="586" t="str">
        <f t="shared" ref="K370:AJ370" si="57">IF(ISBLANK(K332),"",K332)</f>
        <v/>
      </c>
      <c r="L370" s="586" t="str">
        <f t="shared" si="57"/>
        <v/>
      </c>
      <c r="M370" s="586" t="str">
        <f t="shared" si="57"/>
        <v/>
      </c>
      <c r="N370" s="586" t="str">
        <f t="shared" si="57"/>
        <v/>
      </c>
      <c r="O370" s="586" t="str">
        <f t="shared" si="57"/>
        <v/>
      </c>
      <c r="P370" s="586" t="str">
        <f t="shared" si="57"/>
        <v/>
      </c>
      <c r="Q370" s="586" t="str">
        <f t="shared" si="57"/>
        <v/>
      </c>
      <c r="R370" s="586" t="str">
        <f t="shared" si="57"/>
        <v/>
      </c>
      <c r="S370" s="586" t="str">
        <f t="shared" si="57"/>
        <v/>
      </c>
      <c r="T370" s="586" t="str">
        <f t="shared" si="57"/>
        <v/>
      </c>
      <c r="U370" s="586" t="str">
        <f t="shared" si="57"/>
        <v/>
      </c>
      <c r="V370" s="586" t="str">
        <f t="shared" si="57"/>
        <v/>
      </c>
      <c r="W370" s="586" t="str">
        <f t="shared" si="57"/>
        <v/>
      </c>
      <c r="X370" s="586" t="str">
        <f t="shared" si="57"/>
        <v/>
      </c>
      <c r="Y370" s="586" t="str">
        <f t="shared" si="57"/>
        <v/>
      </c>
      <c r="Z370" s="586" t="str">
        <f t="shared" si="57"/>
        <v/>
      </c>
      <c r="AA370" s="586" t="str">
        <f t="shared" si="57"/>
        <v/>
      </c>
      <c r="AB370" s="586" t="str">
        <f t="shared" si="57"/>
        <v/>
      </c>
      <c r="AC370" s="586" t="str">
        <f t="shared" si="57"/>
        <v/>
      </c>
      <c r="AD370" s="586" t="str">
        <f t="shared" si="57"/>
        <v/>
      </c>
      <c r="AE370" s="586" t="str">
        <f t="shared" si="57"/>
        <v/>
      </c>
      <c r="AF370" s="586" t="str">
        <f t="shared" si="57"/>
        <v/>
      </c>
      <c r="AG370" s="586" t="str">
        <f t="shared" si="57"/>
        <v/>
      </c>
      <c r="AH370" s="586" t="str">
        <f t="shared" si="57"/>
        <v/>
      </c>
      <c r="AI370" s="586" t="str">
        <f t="shared" si="57"/>
        <v/>
      </c>
      <c r="AJ370" s="586" t="b">
        <f t="shared" si="57"/>
        <v>1</v>
      </c>
      <c r="AK370" s="586" t="str">
        <f t="shared" ref="AK370:AM370" si="58">IF(ISBLANK(AK332),"",AK332)</f>
        <v/>
      </c>
      <c r="AL370" s="586" t="str">
        <f t="shared" ref="AL370" si="59">IF(ISBLANK(AL332),"",AL332)</f>
        <v/>
      </c>
      <c r="AM370" s="586" t="str">
        <f t="shared" si="58"/>
        <v/>
      </c>
      <c r="AN370" s="492"/>
      <c r="AO370" s="492"/>
      <c r="AP370" s="30" t="b">
        <f t="shared" si="40"/>
        <v>1</v>
      </c>
      <c r="AQ370" s="17"/>
      <c r="AR370" s="9"/>
      <c r="AS370" s="9"/>
      <c r="AT370" s="9"/>
    </row>
    <row r="371" spans="1:46" customFormat="1" ht="12" customHeight="1" outlineLevel="2" x14ac:dyDescent="0.25">
      <c r="A371" s="7"/>
      <c r="B371" s="8"/>
      <c r="C371" s="18"/>
      <c r="D371" s="18"/>
      <c r="E371" s="18"/>
      <c r="F371" s="24"/>
      <c r="G371" s="547"/>
      <c r="H371" s="25"/>
      <c r="I371" s="510" t="str">
        <f>General!G72</f>
        <v>l</v>
      </c>
      <c r="J371" s="586" t="str">
        <f t="shared" si="41"/>
        <v/>
      </c>
      <c r="K371" s="586" t="str">
        <f t="shared" ref="K371:AJ372" si="60">IF(ISBLANK(K333),"",K333)</f>
        <v/>
      </c>
      <c r="L371" s="586" t="str">
        <f t="shared" si="60"/>
        <v/>
      </c>
      <c r="M371" s="586" t="str">
        <f t="shared" si="60"/>
        <v/>
      </c>
      <c r="N371" s="586" t="str">
        <f t="shared" si="60"/>
        <v/>
      </c>
      <c r="O371" s="586" t="str">
        <f t="shared" si="60"/>
        <v/>
      </c>
      <c r="P371" s="586" t="str">
        <f t="shared" si="60"/>
        <v/>
      </c>
      <c r="Q371" s="586" t="str">
        <f t="shared" si="60"/>
        <v/>
      </c>
      <c r="R371" s="586" t="str">
        <f t="shared" si="60"/>
        <v/>
      </c>
      <c r="S371" s="586" t="str">
        <f t="shared" si="60"/>
        <v/>
      </c>
      <c r="T371" s="586" t="str">
        <f t="shared" si="60"/>
        <v/>
      </c>
      <c r="U371" s="586" t="str">
        <f t="shared" si="60"/>
        <v/>
      </c>
      <c r="V371" s="586" t="str">
        <f t="shared" si="60"/>
        <v/>
      </c>
      <c r="W371" s="586" t="str">
        <f t="shared" si="60"/>
        <v/>
      </c>
      <c r="X371" s="586" t="str">
        <f t="shared" si="60"/>
        <v/>
      </c>
      <c r="Y371" s="586" t="str">
        <f t="shared" si="60"/>
        <v/>
      </c>
      <c r="Z371" s="586" t="str">
        <f t="shared" si="60"/>
        <v/>
      </c>
      <c r="AA371" s="586" t="str">
        <f t="shared" si="60"/>
        <v/>
      </c>
      <c r="AB371" s="586" t="str">
        <f t="shared" si="60"/>
        <v/>
      </c>
      <c r="AC371" s="586" t="str">
        <f t="shared" si="60"/>
        <v/>
      </c>
      <c r="AD371" s="586" t="str">
        <f t="shared" si="60"/>
        <v/>
      </c>
      <c r="AE371" s="586" t="str">
        <f t="shared" si="60"/>
        <v/>
      </c>
      <c r="AF371" s="586" t="str">
        <f t="shared" si="60"/>
        <v/>
      </c>
      <c r="AG371" s="586" t="str">
        <f t="shared" si="60"/>
        <v/>
      </c>
      <c r="AH371" s="586" t="str">
        <f t="shared" si="60"/>
        <v/>
      </c>
      <c r="AI371" s="586" t="str">
        <f t="shared" si="60"/>
        <v/>
      </c>
      <c r="AJ371" s="586" t="b">
        <f t="shared" si="60"/>
        <v>1</v>
      </c>
      <c r="AK371" s="586" t="str">
        <f t="shared" ref="AK371:AM371" si="61">IF(ISBLANK(AK333),"",AK333)</f>
        <v/>
      </c>
      <c r="AL371" s="586" t="str">
        <f t="shared" ref="AL371" si="62">IF(ISBLANK(AL333),"",AL333)</f>
        <v/>
      </c>
      <c r="AM371" s="586" t="str">
        <f t="shared" si="61"/>
        <v/>
      </c>
      <c r="AN371" s="492"/>
      <c r="AO371" s="492"/>
      <c r="AP371" s="30" t="b">
        <f t="shared" si="40"/>
        <v>1</v>
      </c>
      <c r="AQ371" s="17"/>
      <c r="AR371" s="9"/>
      <c r="AS371" s="9"/>
      <c r="AT371" s="9"/>
    </row>
    <row r="372" spans="1:46" customFormat="1" ht="12" customHeight="1" outlineLevel="2" x14ac:dyDescent="0.25">
      <c r="A372" s="7"/>
      <c r="B372" s="8"/>
      <c r="C372" s="18"/>
      <c r="D372" s="18"/>
      <c r="E372" s="18"/>
      <c r="F372" s="24"/>
      <c r="G372" s="547"/>
      <c r="H372" s="25"/>
      <c r="I372" s="510" t="str">
        <f>General!G73</f>
        <v>lf</v>
      </c>
      <c r="J372" s="586" t="str">
        <f t="shared" si="41"/>
        <v/>
      </c>
      <c r="K372" s="586" t="str">
        <f t="shared" si="60"/>
        <v/>
      </c>
      <c r="L372" s="586" t="str">
        <f t="shared" si="60"/>
        <v/>
      </c>
      <c r="M372" s="586" t="str">
        <f t="shared" si="60"/>
        <v/>
      </c>
      <c r="N372" s="586" t="str">
        <f t="shared" si="60"/>
        <v/>
      </c>
      <c r="O372" s="586" t="str">
        <f t="shared" si="60"/>
        <v/>
      </c>
      <c r="P372" s="586" t="str">
        <f t="shared" si="60"/>
        <v/>
      </c>
      <c r="Q372" s="586" t="str">
        <f t="shared" si="60"/>
        <v/>
      </c>
      <c r="R372" s="586" t="str">
        <f t="shared" si="60"/>
        <v/>
      </c>
      <c r="S372" s="586" t="str">
        <f t="shared" si="60"/>
        <v/>
      </c>
      <c r="T372" s="586" t="str">
        <f t="shared" si="60"/>
        <v/>
      </c>
      <c r="U372" s="586" t="str">
        <f t="shared" si="60"/>
        <v/>
      </c>
      <c r="V372" s="586" t="str">
        <f t="shared" si="60"/>
        <v/>
      </c>
      <c r="W372" s="586" t="str">
        <f t="shared" si="60"/>
        <v/>
      </c>
      <c r="X372" s="586" t="str">
        <f t="shared" si="60"/>
        <v/>
      </c>
      <c r="Y372" s="586" t="str">
        <f t="shared" si="60"/>
        <v/>
      </c>
      <c r="Z372" s="586" t="str">
        <f t="shared" si="60"/>
        <v/>
      </c>
      <c r="AA372" s="586" t="str">
        <f t="shared" si="60"/>
        <v/>
      </c>
      <c r="AB372" s="586" t="str">
        <f t="shared" si="60"/>
        <v/>
      </c>
      <c r="AC372" s="586" t="str">
        <f t="shared" si="60"/>
        <v/>
      </c>
      <c r="AD372" s="586" t="str">
        <f t="shared" si="60"/>
        <v/>
      </c>
      <c r="AE372" s="586" t="str">
        <f t="shared" si="60"/>
        <v/>
      </c>
      <c r="AF372" s="586" t="str">
        <f t="shared" si="60"/>
        <v/>
      </c>
      <c r="AG372" s="586" t="str">
        <f t="shared" si="60"/>
        <v/>
      </c>
      <c r="AH372" s="586" t="str">
        <f t="shared" si="60"/>
        <v/>
      </c>
      <c r="AI372" s="586" t="str">
        <f t="shared" si="60"/>
        <v/>
      </c>
      <c r="AJ372" s="586" t="b">
        <f t="shared" si="60"/>
        <v>1</v>
      </c>
      <c r="AK372" s="586" t="str">
        <f t="shared" ref="AK372:AM372" si="63">IF(ISBLANK(AK334),"",AK334)</f>
        <v/>
      </c>
      <c r="AL372" s="586" t="str">
        <f t="shared" ref="AL372" si="64">IF(ISBLANK(AL334),"",AL334)</f>
        <v/>
      </c>
      <c r="AM372" s="586" t="str">
        <f t="shared" si="63"/>
        <v/>
      </c>
      <c r="AN372" s="492"/>
      <c r="AO372" s="492"/>
      <c r="AP372" s="30" t="b">
        <f t="shared" si="40"/>
        <v>1</v>
      </c>
      <c r="AQ372" s="17"/>
      <c r="AR372" s="9"/>
      <c r="AS372" s="9"/>
      <c r="AT372" s="9"/>
    </row>
    <row r="373" spans="1:46" customFormat="1" ht="12" customHeight="1" outlineLevel="2" x14ac:dyDescent="0.25">
      <c r="A373" s="7"/>
      <c r="B373" s="8"/>
      <c r="C373" s="18"/>
      <c r="D373" s="18"/>
      <c r="E373" s="18"/>
      <c r="F373" s="24"/>
      <c r="G373" s="547"/>
      <c r="H373" s="25"/>
      <c r="I373" s="510" t="str">
        <f>General!G74</f>
        <v>ms</v>
      </c>
      <c r="J373" s="586" t="str">
        <f t="shared" ref="J373" si="65">IF(ISBLANK(J335),"",J335)</f>
        <v/>
      </c>
      <c r="K373" s="586" t="str">
        <f t="shared" ref="K373:AJ373" si="66">IF(ISBLANK(K335),"",K335)</f>
        <v/>
      </c>
      <c r="L373" s="586" t="str">
        <f t="shared" si="66"/>
        <v/>
      </c>
      <c r="M373" s="586" t="str">
        <f t="shared" si="66"/>
        <v/>
      </c>
      <c r="N373" s="586" t="str">
        <f t="shared" si="66"/>
        <v/>
      </c>
      <c r="O373" s="586" t="str">
        <f t="shared" si="66"/>
        <v/>
      </c>
      <c r="P373" s="586" t="str">
        <f t="shared" si="66"/>
        <v/>
      </c>
      <c r="Q373" s="586" t="str">
        <f t="shared" si="66"/>
        <v/>
      </c>
      <c r="R373" s="586" t="str">
        <f t="shared" si="66"/>
        <v/>
      </c>
      <c r="S373" s="586" t="b">
        <f t="shared" si="66"/>
        <v>1</v>
      </c>
      <c r="T373" s="586" t="str">
        <f t="shared" si="66"/>
        <v/>
      </c>
      <c r="U373" s="586" t="b">
        <f t="shared" si="66"/>
        <v>1</v>
      </c>
      <c r="V373" s="586" t="str">
        <f t="shared" si="66"/>
        <v/>
      </c>
      <c r="W373" s="586" t="b">
        <f t="shared" si="66"/>
        <v>1</v>
      </c>
      <c r="X373" s="586" t="str">
        <f t="shared" si="66"/>
        <v/>
      </c>
      <c r="Y373" s="586" t="b">
        <f t="shared" si="66"/>
        <v>1</v>
      </c>
      <c r="Z373" s="586" t="str">
        <f t="shared" si="66"/>
        <v/>
      </c>
      <c r="AA373" s="586" t="b">
        <f t="shared" si="66"/>
        <v>1</v>
      </c>
      <c r="AB373" s="586" t="str">
        <f t="shared" si="66"/>
        <v/>
      </c>
      <c r="AC373" s="586" t="b">
        <f t="shared" si="66"/>
        <v>1</v>
      </c>
      <c r="AD373" s="586" t="str">
        <f t="shared" si="66"/>
        <v/>
      </c>
      <c r="AE373" s="586" t="str">
        <f t="shared" si="66"/>
        <v/>
      </c>
      <c r="AF373" s="586" t="str">
        <f t="shared" si="66"/>
        <v/>
      </c>
      <c r="AG373" s="586" t="str">
        <f t="shared" si="66"/>
        <v/>
      </c>
      <c r="AH373" s="586" t="str">
        <f t="shared" si="66"/>
        <v/>
      </c>
      <c r="AI373" s="586" t="str">
        <f t="shared" si="66"/>
        <v/>
      </c>
      <c r="AJ373" s="586" t="b">
        <f t="shared" si="66"/>
        <v>1</v>
      </c>
      <c r="AK373" s="586" t="str">
        <f t="shared" ref="AK373:AM373" si="67">IF(ISBLANK(AK335),"",AK335)</f>
        <v/>
      </c>
      <c r="AL373" s="586" t="str">
        <f t="shared" ref="AL373" si="68">IF(ISBLANK(AL335),"",AL335)</f>
        <v/>
      </c>
      <c r="AM373" s="586" t="str">
        <f t="shared" si="67"/>
        <v/>
      </c>
      <c r="AN373" s="492"/>
      <c r="AO373" s="492"/>
      <c r="AP373" s="30"/>
      <c r="AQ373" s="17"/>
      <c r="AR373" s="9"/>
      <c r="AS373" s="9"/>
      <c r="AT373" s="9"/>
    </row>
    <row r="374" spans="1:46" customFormat="1" ht="12" customHeight="1" outlineLevel="2" x14ac:dyDescent="0.25">
      <c r="A374" s="7"/>
      <c r="B374" s="8"/>
      <c r="C374" s="18"/>
      <c r="D374" s="18"/>
      <c r="E374" s="18"/>
      <c r="F374" s="24"/>
      <c r="G374" s="547"/>
      <c r="H374" s="25"/>
      <c r="I374" s="510" t="str">
        <f>General!G75</f>
        <v>o</v>
      </c>
      <c r="J374" s="586" t="str">
        <f t="shared" ref="J374:AJ377" si="69">IF(ISBLANK(J336),"",J336)</f>
        <v/>
      </c>
      <c r="K374" s="586" t="str">
        <f t="shared" si="69"/>
        <v/>
      </c>
      <c r="L374" s="586" t="str">
        <f t="shared" si="69"/>
        <v/>
      </c>
      <c r="M374" s="586" t="str">
        <f t="shared" si="69"/>
        <v/>
      </c>
      <c r="N374" s="586" t="str">
        <f t="shared" si="69"/>
        <v/>
      </c>
      <c r="O374" s="586" t="str">
        <f t="shared" si="69"/>
        <v/>
      </c>
      <c r="P374" s="586" t="str">
        <f t="shared" si="69"/>
        <v/>
      </c>
      <c r="Q374" s="586" t="str">
        <f t="shared" si="69"/>
        <v/>
      </c>
      <c r="R374" s="586" t="str">
        <f t="shared" si="69"/>
        <v/>
      </c>
      <c r="S374" s="586" t="b">
        <f t="shared" si="69"/>
        <v>1</v>
      </c>
      <c r="T374" s="586" t="str">
        <f t="shared" si="69"/>
        <v/>
      </c>
      <c r="U374" s="586" t="str">
        <f t="shared" si="69"/>
        <v/>
      </c>
      <c r="V374" s="586" t="str">
        <f t="shared" si="69"/>
        <v/>
      </c>
      <c r="W374" s="586" t="b">
        <f t="shared" si="69"/>
        <v>1</v>
      </c>
      <c r="X374" s="586" t="str">
        <f t="shared" si="69"/>
        <v/>
      </c>
      <c r="Y374" s="586" t="str">
        <f t="shared" si="69"/>
        <v/>
      </c>
      <c r="Z374" s="586" t="str">
        <f t="shared" si="69"/>
        <v/>
      </c>
      <c r="AA374" s="586" t="b">
        <f t="shared" si="69"/>
        <v>1</v>
      </c>
      <c r="AB374" s="586" t="str">
        <f t="shared" si="69"/>
        <v/>
      </c>
      <c r="AC374" s="586" t="b">
        <f t="shared" si="69"/>
        <v>1</v>
      </c>
      <c r="AD374" s="586" t="str">
        <f t="shared" si="69"/>
        <v/>
      </c>
      <c r="AE374" s="586" t="str">
        <f t="shared" si="69"/>
        <v/>
      </c>
      <c r="AF374" s="586" t="str">
        <f t="shared" si="69"/>
        <v/>
      </c>
      <c r="AG374" s="586" t="str">
        <f t="shared" si="69"/>
        <v/>
      </c>
      <c r="AH374" s="586" t="str">
        <f t="shared" si="69"/>
        <v/>
      </c>
      <c r="AI374" s="586" t="str">
        <f t="shared" si="69"/>
        <v/>
      </c>
      <c r="AJ374" s="586" t="str">
        <f t="shared" si="69"/>
        <v/>
      </c>
      <c r="AK374" s="586" t="str">
        <f t="shared" ref="AK374:AM374" si="70">IF(ISBLANK(AK336),"",AK336)</f>
        <v/>
      </c>
      <c r="AL374" s="586" t="str">
        <f t="shared" ref="AL374" si="71">IF(ISBLANK(AL336),"",AL336)</f>
        <v/>
      </c>
      <c r="AM374" s="586" t="str">
        <f t="shared" si="70"/>
        <v/>
      </c>
      <c r="AN374" s="492"/>
      <c r="AO374" s="492"/>
      <c r="AP374" s="30" t="b">
        <f t="shared" ref="AP374:AP383" si="72">OR(J374:AM374)</f>
        <v>1</v>
      </c>
      <c r="AQ374" s="17"/>
      <c r="AR374" s="9"/>
      <c r="AS374" s="9"/>
      <c r="AT374" s="9"/>
    </row>
    <row r="375" spans="1:46" customFormat="1" ht="12" customHeight="1" outlineLevel="2" x14ac:dyDescent="0.25">
      <c r="A375" s="7"/>
      <c r="B375" s="8"/>
      <c r="C375" s="18"/>
      <c r="D375" s="18"/>
      <c r="E375" s="18"/>
      <c r="F375" s="24"/>
      <c r="G375" s="547"/>
      <c r="H375" s="25"/>
      <c r="I375" s="510" t="str">
        <f>General!G76</f>
        <v>od</v>
      </c>
      <c r="J375" s="586" t="str">
        <f t="shared" si="69"/>
        <v/>
      </c>
      <c r="K375" s="586" t="str">
        <f t="shared" si="69"/>
        <v/>
      </c>
      <c r="L375" s="586" t="str">
        <f t="shared" si="69"/>
        <v/>
      </c>
      <c r="M375" s="586" t="str">
        <f t="shared" si="69"/>
        <v/>
      </c>
      <c r="N375" s="586" t="str">
        <f t="shared" si="69"/>
        <v/>
      </c>
      <c r="O375" s="586" t="str">
        <f t="shared" si="69"/>
        <v/>
      </c>
      <c r="P375" s="586" t="str">
        <f t="shared" si="69"/>
        <v/>
      </c>
      <c r="Q375" s="586" t="str">
        <f t="shared" si="69"/>
        <v/>
      </c>
      <c r="R375" s="586" t="str">
        <f t="shared" si="69"/>
        <v/>
      </c>
      <c r="S375" s="586" t="b">
        <f t="shared" si="69"/>
        <v>1</v>
      </c>
      <c r="T375" s="586" t="str">
        <f t="shared" si="69"/>
        <v/>
      </c>
      <c r="U375" s="586" t="str">
        <f t="shared" si="69"/>
        <v/>
      </c>
      <c r="V375" s="586" t="str">
        <f t="shared" si="69"/>
        <v/>
      </c>
      <c r="W375" s="586" t="b">
        <f t="shared" si="69"/>
        <v>1</v>
      </c>
      <c r="X375" s="586" t="str">
        <f t="shared" si="69"/>
        <v/>
      </c>
      <c r="Y375" s="586" t="str">
        <f t="shared" si="69"/>
        <v/>
      </c>
      <c r="Z375" s="586" t="str">
        <f t="shared" si="69"/>
        <v/>
      </c>
      <c r="AA375" s="586" t="b">
        <f t="shared" si="69"/>
        <v>1</v>
      </c>
      <c r="AB375" s="586" t="str">
        <f t="shared" si="69"/>
        <v/>
      </c>
      <c r="AC375" s="586" t="b">
        <f t="shared" si="69"/>
        <v>1</v>
      </c>
      <c r="AD375" s="586" t="str">
        <f t="shared" si="69"/>
        <v/>
      </c>
      <c r="AE375" s="586" t="str">
        <f t="shared" si="69"/>
        <v/>
      </c>
      <c r="AF375" s="586" t="str">
        <f t="shared" si="69"/>
        <v/>
      </c>
      <c r="AG375" s="586" t="str">
        <f t="shared" si="69"/>
        <v/>
      </c>
      <c r="AH375" s="586" t="str">
        <f t="shared" si="69"/>
        <v/>
      </c>
      <c r="AI375" s="586" t="str">
        <f t="shared" si="69"/>
        <v/>
      </c>
      <c r="AJ375" s="586" t="str">
        <f t="shared" si="69"/>
        <v/>
      </c>
      <c r="AK375" s="586" t="str">
        <f t="shared" ref="AK375:AM375" si="73">IF(ISBLANK(AK337),"",AK337)</f>
        <v/>
      </c>
      <c r="AL375" s="586" t="str">
        <f t="shared" ref="AL375" si="74">IF(ISBLANK(AL337),"",AL337)</f>
        <v/>
      </c>
      <c r="AM375" s="586" t="str">
        <f t="shared" si="73"/>
        <v/>
      </c>
      <c r="AN375" s="492"/>
      <c r="AO375" s="492"/>
      <c r="AP375" s="30" t="b">
        <f t="shared" si="72"/>
        <v>1</v>
      </c>
      <c r="AQ375" s="17"/>
      <c r="AR375" s="9"/>
      <c r="AS375" s="9"/>
      <c r="AT375" s="9"/>
    </row>
    <row r="376" spans="1:46" customFormat="1" ht="12" customHeight="1" outlineLevel="2" x14ac:dyDescent="0.25">
      <c r="A376" s="7"/>
      <c r="B376" s="8"/>
      <c r="C376" s="18"/>
      <c r="D376" s="18"/>
      <c r="E376" s="18"/>
      <c r="F376" s="24"/>
      <c r="G376" s="547"/>
      <c r="H376" s="25"/>
      <c r="I376" s="510" t="str">
        <f>General!G77</f>
        <v>of</v>
      </c>
      <c r="J376" s="586" t="str">
        <f t="shared" si="69"/>
        <v/>
      </c>
      <c r="K376" s="586" t="str">
        <f t="shared" si="69"/>
        <v/>
      </c>
      <c r="L376" s="586" t="str">
        <f t="shared" si="69"/>
        <v/>
      </c>
      <c r="M376" s="586" t="str">
        <f t="shared" si="69"/>
        <v/>
      </c>
      <c r="N376" s="586" t="str">
        <f t="shared" si="69"/>
        <v/>
      </c>
      <c r="O376" s="586" t="str">
        <f t="shared" si="69"/>
        <v/>
      </c>
      <c r="P376" s="586" t="str">
        <f t="shared" si="69"/>
        <v/>
      </c>
      <c r="Q376" s="586" t="str">
        <f t="shared" si="69"/>
        <v/>
      </c>
      <c r="R376" s="586" t="str">
        <f t="shared" si="69"/>
        <v/>
      </c>
      <c r="S376" s="586" t="b">
        <f t="shared" si="69"/>
        <v>1</v>
      </c>
      <c r="T376" s="586" t="str">
        <f t="shared" si="69"/>
        <v/>
      </c>
      <c r="U376" s="586" t="str">
        <f t="shared" si="69"/>
        <v/>
      </c>
      <c r="V376" s="586" t="str">
        <f t="shared" si="69"/>
        <v/>
      </c>
      <c r="W376" s="586" t="b">
        <f t="shared" si="69"/>
        <v>1</v>
      </c>
      <c r="X376" s="586" t="str">
        <f t="shared" si="69"/>
        <v/>
      </c>
      <c r="Y376" s="586" t="str">
        <f t="shared" si="69"/>
        <v/>
      </c>
      <c r="Z376" s="586" t="str">
        <f t="shared" si="69"/>
        <v/>
      </c>
      <c r="AA376" s="586" t="b">
        <f t="shared" si="69"/>
        <v>1</v>
      </c>
      <c r="AB376" s="586" t="str">
        <f t="shared" si="69"/>
        <v/>
      </c>
      <c r="AC376" s="586" t="b">
        <f t="shared" si="69"/>
        <v>1</v>
      </c>
      <c r="AD376" s="586" t="str">
        <f t="shared" si="69"/>
        <v/>
      </c>
      <c r="AE376" s="586" t="str">
        <f t="shared" si="69"/>
        <v/>
      </c>
      <c r="AF376" s="586" t="str">
        <f t="shared" si="69"/>
        <v/>
      </c>
      <c r="AG376" s="586" t="str">
        <f t="shared" si="69"/>
        <v/>
      </c>
      <c r="AH376" s="586" t="str">
        <f t="shared" si="69"/>
        <v/>
      </c>
      <c r="AI376" s="586" t="str">
        <f t="shared" si="69"/>
        <v/>
      </c>
      <c r="AJ376" s="586" t="str">
        <f t="shared" si="69"/>
        <v/>
      </c>
      <c r="AK376" s="586" t="str">
        <f t="shared" ref="AK376:AM376" si="75">IF(ISBLANK(AK338),"",AK338)</f>
        <v/>
      </c>
      <c r="AL376" s="586" t="str">
        <f t="shared" ref="AL376" si="76">IF(ISBLANK(AL338),"",AL338)</f>
        <v/>
      </c>
      <c r="AM376" s="586" t="str">
        <f t="shared" si="75"/>
        <v/>
      </c>
      <c r="AN376" s="492"/>
      <c r="AO376" s="492"/>
      <c r="AP376" s="30" t="b">
        <f t="shared" si="72"/>
        <v>1</v>
      </c>
      <c r="AQ376" s="17"/>
      <c r="AR376" s="9"/>
      <c r="AS376" s="9"/>
      <c r="AT376" s="9"/>
    </row>
    <row r="377" spans="1:46" customFormat="1" ht="12" customHeight="1" outlineLevel="2" x14ac:dyDescent="0.25">
      <c r="A377" s="7"/>
      <c r="B377" s="8"/>
      <c r="C377" s="18"/>
      <c r="D377" s="18"/>
      <c r="E377" s="18"/>
      <c r="F377" s="24"/>
      <c r="G377" s="547"/>
      <c r="H377" s="25"/>
      <c r="I377" s="510" t="str">
        <f>General!G78</f>
        <v>r</v>
      </c>
      <c r="J377" s="586" t="str">
        <f t="shared" si="69"/>
        <v/>
      </c>
      <c r="K377" s="586" t="str">
        <f t="shared" si="69"/>
        <v/>
      </c>
      <c r="L377" s="586" t="str">
        <f t="shared" si="69"/>
        <v/>
      </c>
      <c r="M377" s="586" t="str">
        <f t="shared" ref="M377:AJ377" si="77">IF(ISBLANK(M339),"",M339)</f>
        <v/>
      </c>
      <c r="N377" s="586" t="str">
        <f t="shared" si="77"/>
        <v/>
      </c>
      <c r="O377" s="586" t="str">
        <f t="shared" si="77"/>
        <v/>
      </c>
      <c r="P377" s="586" t="str">
        <f t="shared" si="77"/>
        <v/>
      </c>
      <c r="Q377" s="586" t="str">
        <f t="shared" si="77"/>
        <v/>
      </c>
      <c r="R377" s="586" t="str">
        <f t="shared" si="77"/>
        <v/>
      </c>
      <c r="S377" s="586" t="str">
        <f t="shared" si="77"/>
        <v/>
      </c>
      <c r="T377" s="586" t="str">
        <f t="shared" si="77"/>
        <v/>
      </c>
      <c r="U377" s="586" t="b">
        <f t="shared" si="77"/>
        <v>1</v>
      </c>
      <c r="V377" s="586" t="str">
        <f t="shared" si="77"/>
        <v/>
      </c>
      <c r="W377" s="586" t="str">
        <f t="shared" si="77"/>
        <v/>
      </c>
      <c r="X377" s="586" t="str">
        <f t="shared" si="77"/>
        <v/>
      </c>
      <c r="Y377" s="586" t="b">
        <f t="shared" si="77"/>
        <v>1</v>
      </c>
      <c r="Z377" s="586" t="str">
        <f t="shared" si="77"/>
        <v/>
      </c>
      <c r="AA377" s="586" t="str">
        <f t="shared" si="77"/>
        <v/>
      </c>
      <c r="AB377" s="586" t="str">
        <f t="shared" si="77"/>
        <v/>
      </c>
      <c r="AC377" s="586" t="str">
        <f t="shared" si="77"/>
        <v/>
      </c>
      <c r="AD377" s="586" t="str">
        <f t="shared" si="77"/>
        <v/>
      </c>
      <c r="AE377" s="586" t="str">
        <f t="shared" si="77"/>
        <v/>
      </c>
      <c r="AF377" s="586" t="str">
        <f t="shared" si="77"/>
        <v/>
      </c>
      <c r="AG377" s="586" t="str">
        <f t="shared" si="77"/>
        <v/>
      </c>
      <c r="AH377" s="586" t="str">
        <f t="shared" si="77"/>
        <v/>
      </c>
      <c r="AI377" s="586" t="str">
        <f t="shared" si="77"/>
        <v/>
      </c>
      <c r="AJ377" s="586" t="str">
        <f t="shared" si="77"/>
        <v/>
      </c>
      <c r="AK377" s="586" t="str">
        <f t="shared" ref="AK377:AM377" si="78">IF(ISBLANK(AK339),"",AK339)</f>
        <v/>
      </c>
      <c r="AL377" s="586" t="str">
        <f t="shared" ref="AL377" si="79">IF(ISBLANK(AL339),"",AL339)</f>
        <v/>
      </c>
      <c r="AM377" s="586" t="str">
        <f t="shared" si="78"/>
        <v/>
      </c>
      <c r="AN377" s="492"/>
      <c r="AO377" s="492"/>
      <c r="AP377" s="30" t="b">
        <f t="shared" si="72"/>
        <v>1</v>
      </c>
      <c r="AQ377" s="17"/>
      <c r="AR377" s="9"/>
      <c r="AS377" s="9"/>
      <c r="AT377" s="9"/>
    </row>
    <row r="378" spans="1:46" customFormat="1" ht="12" customHeight="1" outlineLevel="2" x14ac:dyDescent="0.25">
      <c r="A378" s="7"/>
      <c r="B378" s="8"/>
      <c r="C378" s="18"/>
      <c r="D378" s="18"/>
      <c r="E378" s="18"/>
      <c r="F378" s="24"/>
      <c r="G378" s="547"/>
      <c r="H378" s="25"/>
      <c r="I378" s="510" t="str">
        <f>General!G79</f>
        <v>rd</v>
      </c>
      <c r="J378" s="586" t="str">
        <f t="shared" ref="J378:AJ383" si="80">IF(ISBLANK(J340),"",J340)</f>
        <v/>
      </c>
      <c r="K378" s="586" t="str">
        <f t="shared" si="80"/>
        <v/>
      </c>
      <c r="L378" s="586" t="str">
        <f t="shared" si="80"/>
        <v/>
      </c>
      <c r="M378" s="586" t="str">
        <f t="shared" si="80"/>
        <v/>
      </c>
      <c r="N378" s="586" t="str">
        <f t="shared" si="80"/>
        <v/>
      </c>
      <c r="O378" s="586" t="str">
        <f t="shared" si="80"/>
        <v/>
      </c>
      <c r="P378" s="586" t="str">
        <f t="shared" si="80"/>
        <v/>
      </c>
      <c r="Q378" s="586" t="str">
        <f t="shared" si="80"/>
        <v/>
      </c>
      <c r="R378" s="586" t="str">
        <f t="shared" si="80"/>
        <v/>
      </c>
      <c r="S378" s="586" t="str">
        <f t="shared" si="80"/>
        <v/>
      </c>
      <c r="T378" s="586" t="str">
        <f t="shared" si="80"/>
        <v/>
      </c>
      <c r="U378" s="586" t="b">
        <f t="shared" si="80"/>
        <v>1</v>
      </c>
      <c r="V378" s="586" t="str">
        <f t="shared" si="80"/>
        <v/>
      </c>
      <c r="W378" s="586" t="str">
        <f t="shared" si="80"/>
        <v/>
      </c>
      <c r="X378" s="586" t="str">
        <f t="shared" si="80"/>
        <v/>
      </c>
      <c r="Y378" s="586" t="b">
        <f t="shared" si="80"/>
        <v>1</v>
      </c>
      <c r="Z378" s="586" t="str">
        <f t="shared" si="80"/>
        <v/>
      </c>
      <c r="AA378" s="586" t="str">
        <f t="shared" si="80"/>
        <v/>
      </c>
      <c r="AB378" s="586" t="str">
        <f t="shared" si="80"/>
        <v/>
      </c>
      <c r="AC378" s="586" t="str">
        <f t="shared" si="80"/>
        <v/>
      </c>
      <c r="AD378" s="586" t="str">
        <f t="shared" si="80"/>
        <v/>
      </c>
      <c r="AE378" s="586" t="str">
        <f t="shared" si="80"/>
        <v/>
      </c>
      <c r="AF378" s="586" t="str">
        <f t="shared" si="80"/>
        <v/>
      </c>
      <c r="AG378" s="586" t="str">
        <f t="shared" si="80"/>
        <v/>
      </c>
      <c r="AH378" s="586" t="str">
        <f t="shared" si="80"/>
        <v/>
      </c>
      <c r="AI378" s="586" t="str">
        <f t="shared" si="80"/>
        <v/>
      </c>
      <c r="AJ378" s="586" t="str">
        <f t="shared" si="80"/>
        <v/>
      </c>
      <c r="AK378" s="586" t="str">
        <f t="shared" ref="AK378:AM378" si="81">IF(ISBLANK(AK340),"",AK340)</f>
        <v/>
      </c>
      <c r="AL378" s="586" t="str">
        <f t="shared" ref="AL378" si="82">IF(ISBLANK(AL340),"",AL340)</f>
        <v/>
      </c>
      <c r="AM378" s="586" t="str">
        <f t="shared" si="81"/>
        <v/>
      </c>
      <c r="AN378" s="492"/>
      <c r="AO378" s="492"/>
      <c r="AP378" s="30" t="b">
        <f t="shared" si="72"/>
        <v>1</v>
      </c>
      <c r="AQ378" s="17"/>
      <c r="AR378" s="9"/>
      <c r="AS378" s="9"/>
      <c r="AT378" s="9"/>
    </row>
    <row r="379" spans="1:46" customFormat="1" ht="12" customHeight="1" outlineLevel="2" x14ac:dyDescent="0.25">
      <c r="A379" s="7"/>
      <c r="B379" s="8"/>
      <c r="C379" s="18"/>
      <c r="D379" s="18"/>
      <c r="E379" s="18"/>
      <c r="F379" s="24"/>
      <c r="G379" s="547"/>
      <c r="H379" s="25"/>
      <c r="I379" s="510" t="str">
        <f>General!G80</f>
        <v>v</v>
      </c>
      <c r="J379" s="586" t="str">
        <f t="shared" si="80"/>
        <v/>
      </c>
      <c r="K379" s="586" t="str">
        <f t="shared" si="80"/>
        <v/>
      </c>
      <c r="L379" s="586" t="str">
        <f t="shared" si="80"/>
        <v/>
      </c>
      <c r="M379" s="586" t="str">
        <f t="shared" si="80"/>
        <v/>
      </c>
      <c r="N379" s="586" t="str">
        <f t="shared" si="80"/>
        <v/>
      </c>
      <c r="O379" s="586" t="str">
        <f t="shared" si="80"/>
        <v/>
      </c>
      <c r="P379" s="586" t="str">
        <f t="shared" si="80"/>
        <v/>
      </c>
      <c r="Q379" s="586" t="str">
        <f t="shared" si="80"/>
        <v/>
      </c>
      <c r="R379" s="586" t="str">
        <f t="shared" si="80"/>
        <v/>
      </c>
      <c r="S379" s="586" t="str">
        <f t="shared" si="80"/>
        <v/>
      </c>
      <c r="T379" s="586" t="str">
        <f t="shared" si="80"/>
        <v/>
      </c>
      <c r="U379" s="586" t="str">
        <f t="shared" si="80"/>
        <v/>
      </c>
      <c r="V379" s="586" t="str">
        <f t="shared" si="80"/>
        <v/>
      </c>
      <c r="W379" s="586" t="str">
        <f t="shared" si="80"/>
        <v/>
      </c>
      <c r="X379" s="586" t="str">
        <f t="shared" si="80"/>
        <v/>
      </c>
      <c r="Y379" s="586" t="str">
        <f t="shared" si="80"/>
        <v/>
      </c>
      <c r="Z379" s="586" t="str">
        <f t="shared" si="80"/>
        <v/>
      </c>
      <c r="AA379" s="586" t="str">
        <f t="shared" si="80"/>
        <v/>
      </c>
      <c r="AB379" s="586" t="str">
        <f t="shared" si="80"/>
        <v/>
      </c>
      <c r="AC379" s="586" t="str">
        <f t="shared" si="80"/>
        <v/>
      </c>
      <c r="AD379" s="586" t="str">
        <f t="shared" si="80"/>
        <v/>
      </c>
      <c r="AE379" s="586" t="str">
        <f t="shared" si="80"/>
        <v/>
      </c>
      <c r="AF379" s="586" t="str">
        <f t="shared" si="80"/>
        <v/>
      </c>
      <c r="AG379" s="586" t="str">
        <f t="shared" si="80"/>
        <v/>
      </c>
      <c r="AH379" s="586" t="str">
        <f t="shared" si="80"/>
        <v/>
      </c>
      <c r="AI379" s="586" t="str">
        <f t="shared" si="80"/>
        <v/>
      </c>
      <c r="AJ379" s="586" t="b">
        <f t="shared" si="80"/>
        <v>1</v>
      </c>
      <c r="AK379" s="586" t="str">
        <f t="shared" ref="AK379:AM379" si="83">IF(ISBLANK(AK341),"",AK341)</f>
        <v/>
      </c>
      <c r="AL379" s="586" t="str">
        <f t="shared" ref="AL379" si="84">IF(ISBLANK(AL341),"",AL341)</f>
        <v/>
      </c>
      <c r="AM379" s="586" t="str">
        <f t="shared" si="83"/>
        <v/>
      </c>
      <c r="AN379" s="492"/>
      <c r="AO379" s="492"/>
      <c r="AP379" s="30" t="b">
        <f t="shared" si="72"/>
        <v>1</v>
      </c>
      <c r="AQ379" s="17"/>
      <c r="AR379" s="9"/>
      <c r="AS379" s="9"/>
      <c r="AT379" s="9"/>
    </row>
    <row r="380" spans="1:46" customFormat="1" ht="12" customHeight="1" outlineLevel="2" x14ac:dyDescent="0.25">
      <c r="A380" s="7"/>
      <c r="B380" s="8"/>
      <c r="C380" s="18"/>
      <c r="D380" s="18"/>
      <c r="E380" s="18"/>
      <c r="F380" s="24"/>
      <c r="G380" s="547"/>
      <c r="H380" s="25"/>
      <c r="I380" s="510" t="str">
        <f>General!G81</f>
        <v>w</v>
      </c>
      <c r="J380" s="586" t="str">
        <f t="shared" si="80"/>
        <v/>
      </c>
      <c r="K380" s="586" t="str">
        <f t="shared" si="80"/>
        <v/>
      </c>
      <c r="L380" s="586" t="str">
        <f t="shared" si="80"/>
        <v/>
      </c>
      <c r="M380" s="586" t="str">
        <f t="shared" si="80"/>
        <v/>
      </c>
      <c r="N380" s="586" t="str">
        <f t="shared" si="80"/>
        <v/>
      </c>
      <c r="O380" s="586" t="str">
        <f t="shared" si="80"/>
        <v/>
      </c>
      <c r="P380" s="586" t="str">
        <f t="shared" si="80"/>
        <v/>
      </c>
      <c r="Q380" s="586" t="str">
        <f t="shared" si="80"/>
        <v/>
      </c>
      <c r="R380" s="586" t="str">
        <f t="shared" si="80"/>
        <v/>
      </c>
      <c r="S380" s="586" t="str">
        <f t="shared" si="80"/>
        <v/>
      </c>
      <c r="T380" s="586" t="str">
        <f t="shared" si="80"/>
        <v/>
      </c>
      <c r="U380" s="586" t="str">
        <f t="shared" si="80"/>
        <v/>
      </c>
      <c r="V380" s="586" t="str">
        <f t="shared" si="80"/>
        <v/>
      </c>
      <c r="W380" s="586" t="b">
        <f t="shared" si="80"/>
        <v>1</v>
      </c>
      <c r="X380" s="586" t="str">
        <f t="shared" si="80"/>
        <v/>
      </c>
      <c r="Y380" s="586" t="str">
        <f t="shared" si="80"/>
        <v/>
      </c>
      <c r="Z380" s="586" t="str">
        <f t="shared" si="80"/>
        <v/>
      </c>
      <c r="AA380" s="586" t="b">
        <f t="shared" si="80"/>
        <v>1</v>
      </c>
      <c r="AB380" s="586" t="str">
        <f t="shared" si="80"/>
        <v/>
      </c>
      <c r="AC380" s="586" t="b">
        <f t="shared" si="80"/>
        <v>1</v>
      </c>
      <c r="AD380" s="586" t="str">
        <f t="shared" si="80"/>
        <v/>
      </c>
      <c r="AE380" s="586" t="str">
        <f t="shared" si="80"/>
        <v/>
      </c>
      <c r="AF380" s="586" t="str">
        <f t="shared" si="80"/>
        <v/>
      </c>
      <c r="AG380" s="586" t="str">
        <f t="shared" si="80"/>
        <v/>
      </c>
      <c r="AH380" s="586" t="str">
        <f t="shared" si="80"/>
        <v/>
      </c>
      <c r="AI380" s="586" t="str">
        <f t="shared" si="80"/>
        <v/>
      </c>
      <c r="AJ380" s="586" t="str">
        <f t="shared" si="80"/>
        <v/>
      </c>
      <c r="AK380" s="586" t="str">
        <f t="shared" ref="AK380:AM380" si="85">IF(ISBLANK(AK342),"",AK342)</f>
        <v/>
      </c>
      <c r="AL380" s="586" t="str">
        <f t="shared" ref="AL380" si="86">IF(ISBLANK(AL342),"",AL342)</f>
        <v/>
      </c>
      <c r="AM380" s="586" t="str">
        <f t="shared" si="85"/>
        <v/>
      </c>
      <c r="AN380" s="492"/>
      <c r="AO380" s="492"/>
      <c r="AP380" s="30" t="b">
        <f t="shared" si="72"/>
        <v>1</v>
      </c>
      <c r="AQ380" s="17"/>
      <c r="AR380" s="9"/>
      <c r="AS380" s="9"/>
      <c r="AT380" s="9"/>
    </row>
    <row r="381" spans="1:46" customFormat="1" outlineLevel="2" x14ac:dyDescent="0.25">
      <c r="A381" s="7"/>
      <c r="B381" s="8"/>
      <c r="C381" s="18"/>
      <c r="D381" s="18"/>
      <c r="E381" s="18"/>
      <c r="F381" s="24"/>
      <c r="G381" s="547"/>
      <c r="H381" s="25"/>
      <c r="I381" s="510" t="str">
        <f>General!G82</f>
        <v>wd</v>
      </c>
      <c r="J381" s="586" t="str">
        <f t="shared" si="80"/>
        <v/>
      </c>
      <c r="K381" s="586" t="str">
        <f t="shared" si="80"/>
        <v/>
      </c>
      <c r="L381" s="586" t="str">
        <f t="shared" si="80"/>
        <v/>
      </c>
      <c r="M381" s="586" t="str">
        <f t="shared" si="80"/>
        <v/>
      </c>
      <c r="N381" s="586" t="str">
        <f t="shared" si="80"/>
        <v/>
      </c>
      <c r="O381" s="586" t="str">
        <f t="shared" si="80"/>
        <v/>
      </c>
      <c r="P381" s="586" t="str">
        <f t="shared" si="80"/>
        <v/>
      </c>
      <c r="Q381" s="586" t="str">
        <f t="shared" si="80"/>
        <v/>
      </c>
      <c r="R381" s="586" t="str">
        <f t="shared" si="80"/>
        <v/>
      </c>
      <c r="S381" s="586" t="str">
        <f t="shared" si="80"/>
        <v/>
      </c>
      <c r="T381" s="586" t="str">
        <f t="shared" si="80"/>
        <v/>
      </c>
      <c r="U381" s="586" t="str">
        <f t="shared" si="80"/>
        <v/>
      </c>
      <c r="V381" s="586" t="str">
        <f t="shared" si="80"/>
        <v/>
      </c>
      <c r="W381" s="586" t="b">
        <f t="shared" si="80"/>
        <v>1</v>
      </c>
      <c r="X381" s="586" t="str">
        <f t="shared" si="80"/>
        <v/>
      </c>
      <c r="Y381" s="586" t="str">
        <f t="shared" si="80"/>
        <v/>
      </c>
      <c r="Z381" s="586" t="str">
        <f t="shared" si="80"/>
        <v/>
      </c>
      <c r="AA381" s="586" t="b">
        <f t="shared" si="80"/>
        <v>1</v>
      </c>
      <c r="AB381" s="586" t="str">
        <f t="shared" si="80"/>
        <v/>
      </c>
      <c r="AC381" s="586" t="b">
        <f t="shared" si="80"/>
        <v>1</v>
      </c>
      <c r="AD381" s="586" t="str">
        <f t="shared" si="80"/>
        <v/>
      </c>
      <c r="AE381" s="586" t="str">
        <f t="shared" si="80"/>
        <v/>
      </c>
      <c r="AF381" s="586" t="str">
        <f t="shared" si="80"/>
        <v/>
      </c>
      <c r="AG381" s="586" t="str">
        <f t="shared" si="80"/>
        <v/>
      </c>
      <c r="AH381" s="586" t="str">
        <f t="shared" si="80"/>
        <v/>
      </c>
      <c r="AI381" s="586" t="str">
        <f t="shared" si="80"/>
        <v/>
      </c>
      <c r="AJ381" s="586" t="str">
        <f t="shared" si="80"/>
        <v/>
      </c>
      <c r="AK381" s="586" t="str">
        <f t="shared" ref="AK381:AM381" si="87">IF(ISBLANK(AK343),"",AK343)</f>
        <v/>
      </c>
      <c r="AL381" s="586" t="str">
        <f t="shared" ref="AL381" si="88">IF(ISBLANK(AL343),"",AL343)</f>
        <v/>
      </c>
      <c r="AM381" s="586" t="str">
        <f t="shared" si="87"/>
        <v/>
      </c>
      <c r="AN381" s="492"/>
      <c r="AO381" s="492"/>
      <c r="AP381" s="30" t="b">
        <f t="shared" si="72"/>
        <v>1</v>
      </c>
      <c r="AQ381" s="17"/>
      <c r="AR381" s="9"/>
      <c r="AS381" s="9"/>
      <c r="AT381" s="9"/>
    </row>
    <row r="382" spans="1:46" customFormat="1" outlineLevel="2" x14ac:dyDescent="0.25">
      <c r="A382" s="7"/>
      <c r="B382" s="8"/>
      <c r="C382" s="18"/>
      <c r="D382" s="18"/>
      <c r="E382" s="18"/>
      <c r="F382" s="24"/>
      <c r="G382" s="547"/>
      <c r="H382" s="24"/>
      <c r="I382" s="510" t="str">
        <f>General!G83</f>
        <v>z</v>
      </c>
      <c r="J382" s="586" t="str">
        <f t="shared" si="80"/>
        <v/>
      </c>
      <c r="K382" s="586" t="str">
        <f t="shared" si="80"/>
        <v/>
      </c>
      <c r="L382" s="586" t="str">
        <f t="shared" si="80"/>
        <v/>
      </c>
      <c r="M382" s="586" t="str">
        <f t="shared" si="80"/>
        <v/>
      </c>
      <c r="N382" s="586" t="str">
        <f t="shared" si="80"/>
        <v/>
      </c>
      <c r="O382" s="586" t="str">
        <f t="shared" si="80"/>
        <v/>
      </c>
      <c r="P382" s="586" t="str">
        <f t="shared" si="80"/>
        <v/>
      </c>
      <c r="Q382" s="586" t="str">
        <f t="shared" si="80"/>
        <v/>
      </c>
      <c r="R382" s="586" t="str">
        <f t="shared" si="80"/>
        <v/>
      </c>
      <c r="S382" s="586" t="str">
        <f t="shared" si="80"/>
        <v/>
      </c>
      <c r="T382" s="586" t="str">
        <f t="shared" si="80"/>
        <v/>
      </c>
      <c r="U382" s="586" t="b">
        <f t="shared" si="80"/>
        <v>1</v>
      </c>
      <c r="V382" s="586" t="str">
        <f t="shared" si="80"/>
        <v/>
      </c>
      <c r="W382" s="586" t="str">
        <f t="shared" si="80"/>
        <v/>
      </c>
      <c r="X382" s="586" t="str">
        <f t="shared" si="80"/>
        <v/>
      </c>
      <c r="Y382" s="586" t="b">
        <f t="shared" si="80"/>
        <v>1</v>
      </c>
      <c r="Z382" s="586" t="str">
        <f t="shared" si="80"/>
        <v/>
      </c>
      <c r="AA382" s="586" t="str">
        <f t="shared" si="80"/>
        <v/>
      </c>
      <c r="AB382" s="586" t="str">
        <f t="shared" si="80"/>
        <v/>
      </c>
      <c r="AC382" s="586" t="str">
        <f t="shared" si="80"/>
        <v/>
      </c>
      <c r="AD382" s="586" t="str">
        <f t="shared" si="80"/>
        <v/>
      </c>
      <c r="AE382" s="586" t="str">
        <f t="shared" si="80"/>
        <v/>
      </c>
      <c r="AF382" s="586" t="str">
        <f t="shared" si="80"/>
        <v/>
      </c>
      <c r="AG382" s="586" t="str">
        <f t="shared" si="80"/>
        <v/>
      </c>
      <c r="AH382" s="586" t="str">
        <f t="shared" si="80"/>
        <v/>
      </c>
      <c r="AI382" s="586" t="str">
        <f t="shared" si="80"/>
        <v/>
      </c>
      <c r="AJ382" s="586" t="str">
        <f t="shared" si="80"/>
        <v/>
      </c>
      <c r="AK382" s="586" t="str">
        <f t="shared" ref="AK382:AM382" si="89">IF(ISBLANK(AK344),"",AK344)</f>
        <v/>
      </c>
      <c r="AL382" s="586" t="str">
        <f t="shared" ref="AL382" si="90">IF(ISBLANK(AL344),"",AL344)</f>
        <v/>
      </c>
      <c r="AM382" s="586" t="str">
        <f t="shared" si="89"/>
        <v/>
      </c>
      <c r="AN382" s="492"/>
      <c r="AO382" s="492"/>
      <c r="AP382" s="30" t="b">
        <f t="shared" si="72"/>
        <v>1</v>
      </c>
      <c r="AQ382" s="17"/>
      <c r="AR382" s="9"/>
      <c r="AS382" s="9"/>
      <c r="AT382" s="9"/>
    </row>
    <row r="383" spans="1:46" customFormat="1" outlineLevel="2" x14ac:dyDescent="0.25">
      <c r="A383" s="7"/>
      <c r="B383" s="8"/>
      <c r="C383" s="18"/>
      <c r="D383" s="18"/>
      <c r="E383" s="18"/>
      <c r="F383" s="24"/>
      <c r="G383" s="547"/>
      <c r="H383" s="24"/>
      <c r="I383" s="510" t="str">
        <f>General!G84</f>
        <v>zd</v>
      </c>
      <c r="J383" s="586" t="str">
        <f t="shared" si="80"/>
        <v/>
      </c>
      <c r="K383" s="586" t="str">
        <f t="shared" si="80"/>
        <v/>
      </c>
      <c r="L383" s="586" t="str">
        <f t="shared" si="80"/>
        <v/>
      </c>
      <c r="M383" s="586" t="str">
        <f t="shared" si="80"/>
        <v/>
      </c>
      <c r="N383" s="586" t="str">
        <f t="shared" si="80"/>
        <v/>
      </c>
      <c r="O383" s="586" t="str">
        <f t="shared" si="80"/>
        <v/>
      </c>
      <c r="P383" s="586" t="str">
        <f t="shared" si="80"/>
        <v/>
      </c>
      <c r="Q383" s="586" t="str">
        <f t="shared" si="80"/>
        <v/>
      </c>
      <c r="R383" s="586" t="str">
        <f t="shared" si="80"/>
        <v/>
      </c>
      <c r="S383" s="586" t="str">
        <f t="shared" si="80"/>
        <v/>
      </c>
      <c r="T383" s="586" t="str">
        <f t="shared" si="80"/>
        <v/>
      </c>
      <c r="U383" s="586" t="b">
        <f t="shared" si="80"/>
        <v>1</v>
      </c>
      <c r="V383" s="586" t="str">
        <f t="shared" si="80"/>
        <v/>
      </c>
      <c r="W383" s="586" t="str">
        <f t="shared" si="80"/>
        <v/>
      </c>
      <c r="X383" s="586" t="str">
        <f t="shared" si="80"/>
        <v/>
      </c>
      <c r="Y383" s="586" t="b">
        <f t="shared" si="80"/>
        <v>1</v>
      </c>
      <c r="Z383" s="586" t="str">
        <f t="shared" si="80"/>
        <v/>
      </c>
      <c r="AA383" s="586" t="str">
        <f t="shared" si="80"/>
        <v/>
      </c>
      <c r="AB383" s="586" t="str">
        <f t="shared" si="80"/>
        <v/>
      </c>
      <c r="AC383" s="586" t="str">
        <f t="shared" si="80"/>
        <v/>
      </c>
      <c r="AD383" s="586" t="str">
        <f t="shared" si="80"/>
        <v/>
      </c>
      <c r="AE383" s="586" t="str">
        <f t="shared" si="80"/>
        <v/>
      </c>
      <c r="AF383" s="586" t="str">
        <f t="shared" si="80"/>
        <v/>
      </c>
      <c r="AG383" s="586" t="str">
        <f t="shared" si="80"/>
        <v/>
      </c>
      <c r="AH383" s="586" t="str">
        <f t="shared" si="80"/>
        <v/>
      </c>
      <c r="AI383" s="586" t="str">
        <f t="shared" si="80"/>
        <v/>
      </c>
      <c r="AJ383" s="586" t="str">
        <f t="shared" si="80"/>
        <v/>
      </c>
      <c r="AK383" s="586" t="str">
        <f t="shared" ref="AK383:AM383" si="91">IF(ISBLANK(AK345),"",AK345)</f>
        <v/>
      </c>
      <c r="AL383" s="586" t="str">
        <f t="shared" ref="AL383" si="92">IF(ISBLANK(AL345),"",AL345)</f>
        <v/>
      </c>
      <c r="AM383" s="586" t="str">
        <f t="shared" si="91"/>
        <v/>
      </c>
      <c r="AN383" s="492"/>
      <c r="AO383" s="492"/>
      <c r="AP383" s="30" t="b">
        <f t="shared" si="72"/>
        <v>1</v>
      </c>
      <c r="AQ383" s="17"/>
      <c r="AR383" s="9"/>
      <c r="AS383" s="9"/>
      <c r="AT383" s="9"/>
    </row>
    <row r="384" spans="1:46" customFormat="1" outlineLevel="1" x14ac:dyDescent="0.25">
      <c r="A384" s="7"/>
      <c r="B384" s="8"/>
      <c r="C384" s="18"/>
      <c r="D384" s="18"/>
      <c r="E384" s="18"/>
      <c r="F384" s="24"/>
      <c r="G384" s="24"/>
      <c r="H384" s="28"/>
      <c r="I384" s="34"/>
      <c r="J384" s="587"/>
      <c r="K384" s="587"/>
      <c r="L384" s="587"/>
      <c r="M384" s="587"/>
      <c r="N384" s="587"/>
      <c r="O384" s="587"/>
      <c r="P384" s="587"/>
      <c r="Q384" s="587"/>
      <c r="R384" s="587"/>
      <c r="S384" s="587"/>
      <c r="T384" s="587"/>
      <c r="U384" s="587"/>
      <c r="X384" s="35"/>
      <c r="Y384" s="35"/>
      <c r="Z384" s="35"/>
      <c r="AA384" s="35"/>
      <c r="AB384" s="35"/>
      <c r="AC384" s="35"/>
      <c r="AD384" s="587"/>
      <c r="AE384" s="587"/>
      <c r="AF384" s="587"/>
      <c r="AG384" s="587"/>
      <c r="AH384" s="587"/>
      <c r="AI384" s="587"/>
      <c r="AJ384" s="587"/>
      <c r="AK384" s="35"/>
      <c r="AL384" s="35"/>
      <c r="AM384" s="35"/>
      <c r="AN384" s="35"/>
      <c r="AO384" s="35"/>
      <c r="AP384" s="27"/>
      <c r="AQ384" s="17"/>
      <c r="AR384" s="9"/>
      <c r="AS384" s="9"/>
      <c r="AT384" s="9"/>
    </row>
    <row r="385" spans="1:46" customFormat="1" outlineLevel="1" x14ac:dyDescent="0.25">
      <c r="A385" s="7"/>
      <c r="B385" s="8"/>
      <c r="C385" s="18"/>
      <c r="D385" s="18"/>
      <c r="E385" s="18"/>
      <c r="F385" s="24"/>
      <c r="G385" s="24"/>
      <c r="H385" s="34"/>
      <c r="I385" s="34"/>
      <c r="J385" s="587"/>
      <c r="K385" s="587"/>
      <c r="L385" s="587"/>
      <c r="M385" s="587"/>
      <c r="N385" s="587"/>
      <c r="O385" s="587"/>
      <c r="P385" s="587"/>
      <c r="Q385" s="587"/>
      <c r="R385" s="587"/>
      <c r="S385" s="587"/>
      <c r="T385" s="587"/>
      <c r="U385" s="587"/>
      <c r="V385" s="35"/>
      <c r="W385" s="35"/>
      <c r="X385" s="35"/>
      <c r="Y385" s="35"/>
      <c r="Z385" s="35"/>
      <c r="AA385" s="35"/>
      <c r="AB385" s="35"/>
      <c r="AC385" s="35"/>
      <c r="AD385" s="35"/>
      <c r="AE385" s="587"/>
      <c r="AF385" s="587"/>
      <c r="AG385" s="587"/>
      <c r="AH385" s="587"/>
      <c r="AI385" s="587"/>
      <c r="AJ385" s="587"/>
      <c r="AK385" s="35"/>
      <c r="AL385" s="35"/>
      <c r="AM385" s="35"/>
      <c r="AN385" s="35"/>
      <c r="AO385" s="35"/>
      <c r="AP385" s="27"/>
      <c r="AQ385" s="17"/>
      <c r="AR385" s="9"/>
      <c r="AS385" s="9"/>
      <c r="AT385" s="9"/>
    </row>
    <row r="386" spans="1:46" customFormat="1" ht="5.0999999999999996" customHeight="1" outlineLevel="1" x14ac:dyDescent="0.25">
      <c r="A386" s="7"/>
      <c r="B386" s="8"/>
      <c r="C386" s="18"/>
      <c r="D386" s="18"/>
      <c r="E386" s="18"/>
      <c r="F386" s="33"/>
      <c r="G386" s="34"/>
      <c r="H386" s="34"/>
      <c r="I386" s="34"/>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c r="AM386" s="35"/>
      <c r="AN386" s="35"/>
      <c r="AO386" s="35"/>
      <c r="AP386" s="27"/>
      <c r="AQ386" s="17"/>
      <c r="AR386" s="9"/>
      <c r="AS386" s="9"/>
      <c r="AT386" s="9"/>
    </row>
    <row r="387" spans="1:46" customFormat="1" ht="25.35" customHeight="1" outlineLevel="1" x14ac:dyDescent="0.25">
      <c r="A387" s="7"/>
      <c r="B387" s="8"/>
      <c r="C387" s="36"/>
      <c r="D387" s="36"/>
      <c r="E387" s="36"/>
      <c r="F387" s="36"/>
      <c r="G387" s="37" t="str">
        <f>G201</f>
        <v>Paddock Trial Info</v>
      </c>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8" t="s">
        <v>91</v>
      </c>
      <c r="AR387" s="9"/>
      <c r="AS387" s="9"/>
      <c r="AT387" s="9"/>
    </row>
    <row r="388" spans="1:46" customFormat="1" ht="12" customHeight="1" x14ac:dyDescent="0.25">
      <c r="A388" s="7"/>
      <c r="B388" s="8"/>
      <c r="C388" s="8"/>
      <c r="D388" s="8"/>
      <c r="E388" s="8"/>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row>
    <row r="389" spans="1:46" customFormat="1" ht="12" customHeight="1" x14ac:dyDescent="0.25">
      <c r="A389" s="7"/>
      <c r="B389" s="8"/>
      <c r="C389" s="8"/>
      <c r="D389" s="8"/>
      <c r="E389" s="8"/>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row>
    <row r="390" spans="1:46" customFormat="1" ht="12" customHeight="1" x14ac:dyDescent="0.25">
      <c r="A390" s="7"/>
      <c r="B390" s="8"/>
      <c r="C390" s="8"/>
      <c r="D390" s="8"/>
      <c r="E390" s="8"/>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row>
    <row r="391" spans="1:46" customFormat="1" ht="12" customHeight="1" x14ac:dyDescent="0.25">
      <c r="A391" s="7"/>
      <c r="B391" s="8"/>
      <c r="C391" s="8"/>
      <c r="D391" s="8"/>
      <c r="E391" s="8"/>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row>
    <row r="392" spans="1:46" customFormat="1" ht="12" customHeight="1" x14ac:dyDescent="0.25">
      <c r="A392" s="7"/>
      <c r="B392" s="8"/>
      <c r="C392" s="8"/>
      <c r="D392" s="8"/>
      <c r="E392" s="8"/>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row>
  </sheetData>
  <mergeCells count="4">
    <mergeCell ref="I231:I233"/>
    <mergeCell ref="I264:I266"/>
    <mergeCell ref="J11:U11"/>
    <mergeCell ref="J12:U12"/>
  </mergeCells>
  <phoneticPr fontId="42" type="noConversion"/>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D7F3-0B00-4D13-8D5E-2277F89D4EE9}">
  <sheetPr codeName="Sheet7">
    <outlinePr summaryBelow="0" summaryRight="0"/>
  </sheetPr>
  <dimension ref="A1:AD70"/>
  <sheetViews>
    <sheetView topLeftCell="A9" workbookViewId="0">
      <pane xSplit="9" ySplit="5" topLeftCell="J39" activePane="bottomRight" state="frozen"/>
      <selection activeCell="A9" sqref="A9"/>
      <selection pane="topRight" activeCell="J9" sqref="J9"/>
      <selection pane="bottomLeft" activeCell="A14" sqref="A14"/>
      <selection pane="bottomRight" activeCell="J52" sqref="J52"/>
    </sheetView>
  </sheetViews>
  <sheetFormatPr defaultColWidth="9.140625" defaultRowHeight="15" outlineLevelRow="4" outlineLevelCol="2" x14ac:dyDescent="0.25"/>
  <cols>
    <col min="1" max="1" width="4.7109375" customWidth="1"/>
    <col min="2" max="2" width="2.7109375" customWidth="1"/>
    <col min="3" max="3" width="4.7109375" customWidth="1" outlineLevel="2"/>
    <col min="4" max="4" width="1.7109375" customWidth="1"/>
    <col min="5" max="6" width="9.140625" customWidth="1" outlineLevel="1"/>
    <col min="7" max="7" width="1.7109375" customWidth="1" outlineLevel="1"/>
    <col min="8" max="8" width="25.7109375" customWidth="1"/>
    <col min="9" max="11" width="10.140625" bestFit="1" customWidth="1"/>
    <col min="12" max="12" width="9.140625" customWidth="1"/>
    <col min="26" max="26" width="1.7109375" customWidth="1"/>
    <col min="27" max="28" width="4.7109375" customWidth="1"/>
    <col min="30" max="30" width="46.140625" customWidth="1"/>
  </cols>
  <sheetData>
    <row r="1" spans="1:30" x14ac:dyDescent="0.25">
      <c r="A1" s="45"/>
      <c r="B1" s="45"/>
      <c r="C1" s="46"/>
      <c r="D1" s="45"/>
      <c r="E1" s="45"/>
      <c r="F1" s="45"/>
      <c r="G1" s="45"/>
      <c r="H1" s="45"/>
      <c r="I1" s="45"/>
      <c r="J1" s="45"/>
      <c r="K1" s="45"/>
      <c r="L1" s="45"/>
      <c r="M1" s="45"/>
      <c r="N1" s="45"/>
      <c r="O1" s="45"/>
      <c r="P1" s="45"/>
      <c r="Q1" s="45"/>
      <c r="R1" s="45"/>
      <c r="S1" s="45"/>
      <c r="T1" s="45"/>
      <c r="U1" s="45"/>
      <c r="V1" s="45"/>
      <c r="W1" s="45"/>
      <c r="X1" s="45"/>
      <c r="Y1" s="45"/>
      <c r="Z1" s="45"/>
      <c r="AA1" s="45"/>
      <c r="AB1" s="45"/>
      <c r="AC1" s="45"/>
      <c r="AD1" s="45"/>
    </row>
    <row r="2" spans="1:30" outlineLevel="2" x14ac:dyDescent="0.25">
      <c r="A2" s="45"/>
      <c r="B2" s="45"/>
      <c r="C2" s="47">
        <f>INT($C$6)+2</f>
        <v>3</v>
      </c>
      <c r="D2" s="45"/>
      <c r="E2" s="45"/>
      <c r="F2" s="45"/>
      <c r="G2" s="45"/>
      <c r="H2" s="45"/>
      <c r="I2" s="45"/>
      <c r="J2" s="45"/>
      <c r="K2" s="45"/>
      <c r="L2" s="45"/>
      <c r="M2" s="45"/>
      <c r="N2" s="45"/>
      <c r="O2" s="45"/>
      <c r="P2" s="45"/>
      <c r="Q2" s="45"/>
      <c r="R2" s="45"/>
      <c r="S2" s="45"/>
      <c r="T2" s="45"/>
      <c r="U2" s="45"/>
      <c r="V2" s="45"/>
      <c r="W2" s="45"/>
      <c r="X2" s="45"/>
      <c r="Y2" s="45"/>
      <c r="Z2" s="45"/>
      <c r="AA2" s="45"/>
      <c r="AB2" s="45"/>
      <c r="AC2" s="45"/>
      <c r="AD2" s="45"/>
    </row>
    <row r="3" spans="1:30" ht="5.0999999999999996" customHeight="1" thickBot="1" x14ac:dyDescent="0.3">
      <c r="A3" s="45"/>
      <c r="B3" s="48"/>
      <c r="C3" s="49">
        <f>INT($C$6)+0.005</f>
        <v>1.0049999999999999</v>
      </c>
      <c r="D3" s="48"/>
      <c r="E3" s="48"/>
      <c r="F3" s="48"/>
      <c r="G3" s="48"/>
      <c r="H3" s="48"/>
      <c r="I3" s="48"/>
      <c r="J3" s="48"/>
      <c r="K3" s="48"/>
      <c r="L3" s="48"/>
      <c r="M3" s="48"/>
      <c r="N3" s="48"/>
      <c r="O3" s="48"/>
      <c r="P3" s="48"/>
      <c r="Q3" s="48"/>
      <c r="R3" s="48"/>
      <c r="S3" s="48"/>
      <c r="T3" s="48"/>
      <c r="U3" s="48"/>
      <c r="V3" s="48"/>
      <c r="W3" s="48"/>
      <c r="X3" s="48"/>
      <c r="Y3" s="48"/>
      <c r="Z3" s="48"/>
      <c r="AA3" s="48"/>
      <c r="AB3" s="45"/>
      <c r="AC3" s="45"/>
      <c r="AD3" s="45"/>
    </row>
    <row r="4" spans="1:30" ht="5.0999999999999996" customHeight="1" outlineLevel="1" x14ac:dyDescent="0.25">
      <c r="A4" s="45"/>
      <c r="B4" s="50" t="s">
        <v>86</v>
      </c>
      <c r="C4" s="51">
        <f>INT($C$6)+1.005</f>
        <v>2.0049999999999999</v>
      </c>
      <c r="D4" s="52"/>
      <c r="E4" s="52"/>
      <c r="F4" s="52"/>
      <c r="G4" s="52"/>
      <c r="H4" s="52"/>
      <c r="I4" s="52"/>
      <c r="J4" s="52"/>
      <c r="K4" s="52"/>
      <c r="L4" s="52"/>
      <c r="M4" s="52"/>
      <c r="N4" s="52"/>
      <c r="O4" s="52"/>
      <c r="P4" s="52"/>
      <c r="Q4" s="52"/>
      <c r="R4" s="52"/>
      <c r="S4" s="52"/>
      <c r="T4" s="52"/>
      <c r="U4" s="52"/>
      <c r="V4" s="52"/>
      <c r="W4" s="52"/>
      <c r="X4" s="52"/>
      <c r="Y4" s="52"/>
      <c r="Z4" s="52"/>
      <c r="AA4" s="53"/>
      <c r="AB4" s="45"/>
      <c r="AC4" s="45"/>
      <c r="AD4" s="45"/>
    </row>
    <row r="5" spans="1:30" outlineLevel="4" x14ac:dyDescent="0.25">
      <c r="A5" s="45"/>
      <c r="B5" s="54"/>
      <c r="C5" s="47">
        <f>INT(MAX($C$9:$C$20))+1</f>
        <v>5</v>
      </c>
      <c r="D5" s="55"/>
      <c r="E5" s="56">
        <v>2</v>
      </c>
      <c r="F5" s="56">
        <v>2</v>
      </c>
      <c r="G5" s="56">
        <v>2.0099999999999998</v>
      </c>
      <c r="H5" s="56">
        <v>1.1499999999999999</v>
      </c>
      <c r="I5" s="56">
        <v>1</v>
      </c>
      <c r="J5" s="56">
        <v>1</v>
      </c>
      <c r="K5" s="56">
        <v>1</v>
      </c>
      <c r="L5" s="56">
        <v>1</v>
      </c>
      <c r="M5" s="56">
        <v>1</v>
      </c>
      <c r="N5" s="56">
        <v>1</v>
      </c>
      <c r="O5" s="56">
        <v>1</v>
      </c>
      <c r="P5" s="56">
        <v>1</v>
      </c>
      <c r="Q5" s="56">
        <v>1</v>
      </c>
      <c r="R5" s="56">
        <v>1</v>
      </c>
      <c r="S5" s="56">
        <v>1</v>
      </c>
      <c r="T5" s="56">
        <v>1</v>
      </c>
      <c r="U5" s="56">
        <v>1</v>
      </c>
      <c r="V5" s="56">
        <v>1</v>
      </c>
      <c r="W5" s="56">
        <v>1</v>
      </c>
      <c r="X5" s="56">
        <v>1</v>
      </c>
      <c r="Y5" s="56">
        <v>1</v>
      </c>
      <c r="Z5" s="55"/>
      <c r="AA5" s="57"/>
      <c r="AB5" s="45"/>
      <c r="AC5" s="45"/>
      <c r="AD5" s="45"/>
    </row>
    <row r="6" spans="1:30" ht="20.100000000000001" customHeight="1" x14ac:dyDescent="0.25">
      <c r="A6" s="45"/>
      <c r="B6" s="54"/>
      <c r="C6" s="47">
        <v>1.02</v>
      </c>
      <c r="D6" s="58"/>
      <c r="E6" s="59" t="s">
        <v>124</v>
      </c>
      <c r="F6" s="60">
        <v>2</v>
      </c>
      <c r="G6" s="61"/>
      <c r="H6" s="62" t="s">
        <v>125</v>
      </c>
      <c r="I6" s="63"/>
      <c r="J6" s="63"/>
      <c r="K6" s="63"/>
      <c r="L6" s="63"/>
      <c r="M6" s="63"/>
      <c r="N6" s="63"/>
      <c r="O6" s="63"/>
      <c r="P6" s="63"/>
      <c r="Q6" s="63"/>
      <c r="R6" s="63"/>
      <c r="S6" s="63"/>
      <c r="T6" s="63"/>
      <c r="U6" s="63"/>
      <c r="V6" s="63"/>
      <c r="W6" s="63"/>
      <c r="X6" s="63"/>
      <c r="Y6" s="63"/>
      <c r="Z6" s="64"/>
      <c r="AA6" s="57"/>
      <c r="AB6" s="45"/>
      <c r="AC6" s="45"/>
      <c r="AD6" s="45"/>
    </row>
    <row r="7" spans="1:30" ht="20.100000000000001" customHeight="1" outlineLevel="1" x14ac:dyDescent="0.25">
      <c r="A7" s="45"/>
      <c r="B7" s="54"/>
      <c r="C7" s="47">
        <f>INT($C$6)+1.02</f>
        <v>2.02</v>
      </c>
      <c r="D7" s="58"/>
      <c r="E7" s="59" t="s">
        <v>126</v>
      </c>
      <c r="F7" s="65">
        <v>1</v>
      </c>
      <c r="G7" s="66"/>
      <c r="H7" s="67" t="s">
        <v>127</v>
      </c>
      <c r="I7" s="68"/>
      <c r="J7" s="68"/>
      <c r="K7" s="68"/>
      <c r="L7" s="68"/>
      <c r="M7" s="68"/>
      <c r="N7" s="68"/>
      <c r="O7" s="68"/>
      <c r="P7" s="68"/>
      <c r="Q7" s="68"/>
      <c r="R7" s="68"/>
      <c r="S7" s="68"/>
      <c r="T7" s="68"/>
      <c r="U7" s="68"/>
      <c r="V7" s="68"/>
      <c r="W7" s="68"/>
      <c r="X7" s="68"/>
      <c r="Y7" s="68"/>
      <c r="Z7" s="69"/>
      <c r="AA7" s="57"/>
      <c r="AB7" s="45"/>
      <c r="AC7" s="45"/>
      <c r="AD7" s="45"/>
    </row>
    <row r="8" spans="1:30" ht="5.0999999999999996" customHeight="1" outlineLevel="2" x14ac:dyDescent="0.25">
      <c r="A8" s="45"/>
      <c r="B8" s="54"/>
      <c r="C8" s="47">
        <f>INT($C$6)+2.005</f>
        <v>3.0049999999999999</v>
      </c>
      <c r="D8" s="55"/>
      <c r="E8" s="55"/>
      <c r="F8" s="55"/>
      <c r="G8" s="55"/>
      <c r="H8" s="55"/>
      <c r="I8" s="55"/>
      <c r="J8" s="55"/>
      <c r="K8" s="55"/>
      <c r="L8" s="55"/>
      <c r="M8" s="55"/>
      <c r="N8" s="55"/>
      <c r="O8" s="55"/>
      <c r="P8" s="55"/>
      <c r="Q8" s="55"/>
      <c r="R8" s="55"/>
      <c r="S8" s="55"/>
      <c r="T8" s="55"/>
      <c r="U8" s="55"/>
      <c r="V8" s="55"/>
      <c r="W8" s="55"/>
      <c r="X8" s="55"/>
      <c r="Y8" s="55"/>
      <c r="Z8" s="55"/>
      <c r="AA8" s="57"/>
      <c r="AB8" s="45"/>
      <c r="AC8" s="45"/>
      <c r="AD8" s="45"/>
    </row>
    <row r="9" spans="1:30" ht="5.0999999999999996" customHeight="1" outlineLevel="1" x14ac:dyDescent="0.25">
      <c r="A9" s="45"/>
      <c r="B9" s="54"/>
      <c r="C9" s="47">
        <f>INT($C$6)+1.005</f>
        <v>2.0049999999999999</v>
      </c>
      <c r="D9" s="73" t="s">
        <v>132</v>
      </c>
      <c r="E9" s="73"/>
      <c r="F9" s="73"/>
      <c r="G9" s="73"/>
      <c r="H9" s="74"/>
      <c r="I9" s="74"/>
      <c r="J9" s="74"/>
      <c r="K9" s="74"/>
      <c r="L9" s="74"/>
      <c r="M9" s="74"/>
      <c r="N9" s="74"/>
      <c r="O9" s="74"/>
      <c r="P9" s="74"/>
      <c r="Q9" s="74"/>
      <c r="R9" s="74"/>
      <c r="S9" s="74"/>
      <c r="T9" s="74"/>
      <c r="U9" s="74"/>
      <c r="V9" s="74"/>
      <c r="W9" s="74"/>
      <c r="X9" s="74"/>
      <c r="Y9" s="74"/>
      <c r="Z9" s="73"/>
      <c r="AA9" s="57"/>
      <c r="AB9" s="45"/>
      <c r="AC9" s="45"/>
      <c r="AD9" s="45"/>
    </row>
    <row r="10" spans="1:30" outlineLevel="1" x14ac:dyDescent="0.25">
      <c r="A10" s="45"/>
      <c r="B10" s="54"/>
      <c r="C10" s="47">
        <f>INT($C$6)+1</f>
        <v>2</v>
      </c>
      <c r="D10" s="73"/>
      <c r="E10" s="70"/>
      <c r="F10" s="70"/>
      <c r="G10" s="73"/>
      <c r="H10" s="75" t="s">
        <v>133</v>
      </c>
      <c r="I10" s="76"/>
      <c r="J10" s="76"/>
      <c r="K10" s="76"/>
      <c r="L10" s="76"/>
      <c r="M10" s="76"/>
      <c r="N10" s="76"/>
      <c r="O10" s="76"/>
      <c r="P10" s="76"/>
      <c r="Q10" s="76"/>
      <c r="R10" s="76"/>
      <c r="S10" s="76"/>
      <c r="T10" s="76"/>
      <c r="U10" s="76"/>
      <c r="V10" s="76"/>
      <c r="W10" s="76"/>
      <c r="X10" s="76"/>
      <c r="Y10" s="76"/>
      <c r="Z10" s="73"/>
      <c r="AA10" s="57"/>
      <c r="AB10" s="45"/>
      <c r="AC10" s="45"/>
      <c r="AD10" s="45"/>
    </row>
    <row r="11" spans="1:30" ht="45" customHeight="1" outlineLevel="1" x14ac:dyDescent="0.25">
      <c r="A11" s="45"/>
      <c r="B11" s="54"/>
      <c r="C11" s="47">
        <f>INT($C$6)+1.045</f>
        <v>2.0449999999999999</v>
      </c>
      <c r="D11" s="73"/>
      <c r="E11" s="70"/>
      <c r="F11" s="70"/>
      <c r="G11" s="73"/>
      <c r="H11" s="76" t="s">
        <v>134</v>
      </c>
      <c r="I11" s="79">
        <v>1</v>
      </c>
      <c r="J11" s="638" t="s">
        <v>2171</v>
      </c>
      <c r="K11" s="638"/>
      <c r="L11" s="638"/>
      <c r="M11" s="638"/>
      <c r="N11" s="638"/>
      <c r="O11" s="638"/>
      <c r="P11" s="638"/>
      <c r="Q11" s="638"/>
      <c r="R11" s="638"/>
      <c r="S11" s="638"/>
      <c r="T11" s="638"/>
      <c r="U11" s="638"/>
      <c r="V11" s="638"/>
      <c r="W11" s="638"/>
      <c r="X11" s="638"/>
      <c r="Y11" s="76"/>
      <c r="Z11" s="73"/>
      <c r="AA11" s="57"/>
      <c r="AB11" s="45"/>
      <c r="AC11" s="45"/>
      <c r="AD11" s="45"/>
    </row>
    <row r="12" spans="1:30" ht="45" customHeight="1" outlineLevel="1" x14ac:dyDescent="0.25">
      <c r="A12" s="45"/>
      <c r="B12" s="54"/>
      <c r="C12" s="47">
        <f>INT($C$6)+1.045</f>
        <v>2.0449999999999999</v>
      </c>
      <c r="D12" s="73"/>
      <c r="E12" s="70"/>
      <c r="F12" s="70"/>
      <c r="G12" s="73"/>
      <c r="H12" s="76" t="s">
        <v>135</v>
      </c>
      <c r="I12" s="99">
        <v>1</v>
      </c>
      <c r="J12" s="639" t="s">
        <v>2170</v>
      </c>
      <c r="K12" s="640"/>
      <c r="L12" s="640"/>
      <c r="M12" s="640"/>
      <c r="N12" s="640"/>
      <c r="O12" s="640"/>
      <c r="P12" s="640"/>
      <c r="Q12" s="640"/>
      <c r="R12" s="640"/>
      <c r="S12" s="640"/>
      <c r="T12" s="640"/>
      <c r="U12" s="640"/>
      <c r="V12" s="640"/>
      <c r="W12" s="640"/>
      <c r="X12" s="641"/>
      <c r="Y12" s="76"/>
      <c r="Z12" s="73"/>
      <c r="AA12" s="57"/>
      <c r="AB12" s="45"/>
      <c r="AC12" s="45"/>
      <c r="AD12" s="45"/>
    </row>
    <row r="13" spans="1:30" ht="5.0999999999999996" customHeight="1" outlineLevel="3" x14ac:dyDescent="0.25">
      <c r="A13" s="45"/>
      <c r="B13" s="54"/>
      <c r="C13" s="47">
        <f>INT($C$6)+3.005</f>
        <v>4.0049999999999999</v>
      </c>
      <c r="D13" s="73"/>
      <c r="E13" s="73"/>
      <c r="F13" s="73"/>
      <c r="G13" s="73"/>
      <c r="H13" s="73"/>
      <c r="I13" s="73"/>
      <c r="J13" s="73"/>
      <c r="K13" s="73"/>
      <c r="L13" s="73"/>
      <c r="M13" s="73"/>
      <c r="N13" s="73"/>
      <c r="O13" s="73"/>
      <c r="P13" s="73"/>
      <c r="Q13" s="73"/>
      <c r="R13" s="73"/>
      <c r="S13" s="73"/>
      <c r="T13" s="73"/>
      <c r="U13" s="73"/>
      <c r="V13" s="73"/>
      <c r="W13" s="73"/>
      <c r="X13" s="73"/>
      <c r="Y13" s="73"/>
      <c r="Z13" s="73" t="s">
        <v>136</v>
      </c>
      <c r="AA13" s="57"/>
      <c r="AB13" s="45"/>
      <c r="AC13" s="45"/>
      <c r="AD13" s="45"/>
    </row>
    <row r="14" spans="1:30" ht="5.0999999999999996" customHeight="1" outlineLevel="3" x14ac:dyDescent="0.25">
      <c r="A14" s="45"/>
      <c r="B14" s="54"/>
      <c r="C14" s="47">
        <f>INT($C$6)+3.005</f>
        <v>4.0049999999999999</v>
      </c>
      <c r="D14" s="73" t="s">
        <v>132</v>
      </c>
      <c r="E14" s="73"/>
      <c r="F14" s="73"/>
      <c r="G14" s="73"/>
      <c r="H14" s="73"/>
      <c r="I14" s="73"/>
      <c r="J14" s="73"/>
      <c r="K14" s="73"/>
      <c r="L14" s="73"/>
      <c r="M14" s="73"/>
      <c r="N14" s="73"/>
      <c r="O14" s="73"/>
      <c r="P14" s="73"/>
      <c r="Q14" s="73"/>
      <c r="R14" s="73"/>
      <c r="S14" s="73"/>
      <c r="T14" s="73"/>
      <c r="U14" s="73"/>
      <c r="V14" s="73"/>
      <c r="W14" s="73"/>
      <c r="X14" s="73"/>
      <c r="Y14" s="73"/>
      <c r="Z14" s="73"/>
      <c r="AA14" s="57"/>
      <c r="AB14" s="45"/>
      <c r="AC14" s="45"/>
      <c r="AD14" s="45"/>
    </row>
    <row r="15" spans="1:30" outlineLevel="3" x14ac:dyDescent="0.25">
      <c r="A15" s="45"/>
      <c r="B15" s="54"/>
      <c r="C15" s="47">
        <f>INT($C$6)+3</f>
        <v>4</v>
      </c>
      <c r="D15" s="73"/>
      <c r="E15" s="70"/>
      <c r="F15" s="70"/>
      <c r="G15" s="73"/>
      <c r="H15" s="75" t="s">
        <v>137</v>
      </c>
      <c r="I15" s="78" t="s">
        <v>138</v>
      </c>
      <c r="J15" s="79">
        <v>15</v>
      </c>
      <c r="K15" s="78" t="s">
        <v>139</v>
      </c>
      <c r="L15" s="79">
        <v>8.43</v>
      </c>
      <c r="M15" s="76" t="s">
        <v>140</v>
      </c>
      <c r="N15" s="76"/>
      <c r="O15" s="80">
        <v>1</v>
      </c>
      <c r="P15" s="76"/>
      <c r="Q15" s="76"/>
      <c r="R15" s="76"/>
      <c r="S15" s="76"/>
      <c r="T15" s="76"/>
      <c r="U15" s="76"/>
      <c r="V15" s="76"/>
      <c r="W15" s="76"/>
      <c r="X15" s="76"/>
      <c r="Y15" s="76"/>
      <c r="Z15" s="73"/>
      <c r="AA15" s="57"/>
      <c r="AB15" s="45"/>
      <c r="AC15" s="45"/>
      <c r="AD15" s="45"/>
    </row>
    <row r="16" spans="1:30" outlineLevel="3" x14ac:dyDescent="0.25">
      <c r="A16" s="45"/>
      <c r="B16" s="54"/>
      <c r="C16" s="47">
        <f>INT($C$6)+3</f>
        <v>4</v>
      </c>
      <c r="D16" s="73"/>
      <c r="E16" s="70"/>
      <c r="F16" s="70"/>
      <c r="G16" s="73"/>
      <c r="H16" s="76" t="s">
        <v>141</v>
      </c>
      <c r="I16" s="76"/>
      <c r="J16" s="76"/>
      <c r="K16" s="76"/>
      <c r="L16" s="79" t="b">
        <v>1</v>
      </c>
      <c r="M16" s="76"/>
      <c r="N16" s="76"/>
      <c r="O16" s="76"/>
      <c r="P16" s="76"/>
      <c r="Q16" s="76"/>
      <c r="R16" s="76"/>
      <c r="S16" s="76"/>
      <c r="T16" s="76"/>
      <c r="U16" s="76"/>
      <c r="V16" s="76"/>
      <c r="W16" s="76"/>
      <c r="X16" s="76"/>
      <c r="Y16" s="76"/>
      <c r="Z16" s="73"/>
      <c r="AA16" s="57"/>
      <c r="AB16" s="45"/>
      <c r="AC16" s="45"/>
      <c r="AD16" s="45"/>
    </row>
    <row r="17" spans="1:30" outlineLevel="3" x14ac:dyDescent="0.25">
      <c r="A17" s="45"/>
      <c r="B17" s="54"/>
      <c r="C17" s="47">
        <f>INT($C$6)+3</f>
        <v>4</v>
      </c>
      <c r="D17" s="73"/>
      <c r="E17" s="70"/>
      <c r="F17" s="70"/>
      <c r="G17" s="73"/>
      <c r="H17" s="76" t="s">
        <v>142</v>
      </c>
      <c r="I17" s="76"/>
      <c r="J17" s="76"/>
      <c r="K17" s="76"/>
      <c r="L17" s="79" t="b">
        <v>1</v>
      </c>
      <c r="M17" s="76"/>
      <c r="N17" s="76"/>
      <c r="O17" s="76"/>
      <c r="P17" s="76"/>
      <c r="Q17" s="76"/>
      <c r="R17" s="76"/>
      <c r="S17" s="76"/>
      <c r="T17" s="76"/>
      <c r="U17" s="76"/>
      <c r="V17" s="76"/>
      <c r="W17" s="76"/>
      <c r="X17" s="76"/>
      <c r="Y17" s="76"/>
      <c r="Z17" s="73"/>
      <c r="AA17" s="57"/>
      <c r="AB17" s="45"/>
      <c r="AC17" s="45"/>
      <c r="AD17" s="45"/>
    </row>
    <row r="18" spans="1:30" outlineLevel="3" x14ac:dyDescent="0.25">
      <c r="A18" s="45"/>
      <c r="B18" s="54"/>
      <c r="C18" s="47">
        <f>INT($C$6)+3</f>
        <v>4</v>
      </c>
      <c r="D18" s="73"/>
      <c r="E18" s="70"/>
      <c r="F18" s="70"/>
      <c r="G18" s="73"/>
      <c r="H18" s="76" t="s">
        <v>143</v>
      </c>
      <c r="I18" s="76"/>
      <c r="J18" s="76"/>
      <c r="K18" s="76"/>
      <c r="L18" s="79" t="b">
        <v>1</v>
      </c>
      <c r="M18" s="76"/>
      <c r="N18" s="76"/>
      <c r="O18" s="76"/>
      <c r="P18" s="76"/>
      <c r="Q18" s="76"/>
      <c r="R18" s="76"/>
      <c r="S18" s="76"/>
      <c r="T18" s="76"/>
      <c r="U18" s="76"/>
      <c r="V18" s="76"/>
      <c r="W18" s="76"/>
      <c r="X18" s="76"/>
      <c r="Y18" s="76"/>
      <c r="Z18" s="73"/>
      <c r="AA18" s="57"/>
      <c r="AB18" s="45"/>
      <c r="AC18" s="45"/>
      <c r="AD18" s="45"/>
    </row>
    <row r="19" spans="1:30" outlineLevel="3" x14ac:dyDescent="0.25">
      <c r="A19" s="45"/>
      <c r="B19" s="54"/>
      <c r="C19" s="47">
        <f>INT($C$6)+3</f>
        <v>4</v>
      </c>
      <c r="D19" s="73"/>
      <c r="E19" s="70"/>
      <c r="F19" s="70"/>
      <c r="G19" s="73"/>
      <c r="H19" s="76" t="s">
        <v>144</v>
      </c>
      <c r="I19" s="76"/>
      <c r="J19" s="76"/>
      <c r="K19" s="76"/>
      <c r="L19" s="79" t="b">
        <v>1</v>
      </c>
      <c r="M19" s="76"/>
      <c r="N19" s="76"/>
      <c r="O19" s="76"/>
      <c r="P19" s="76"/>
      <c r="Q19" s="76"/>
      <c r="R19" s="76"/>
      <c r="S19" s="76"/>
      <c r="T19" s="76"/>
      <c r="U19" s="76"/>
      <c r="V19" s="76"/>
      <c r="W19" s="76"/>
      <c r="X19" s="76"/>
      <c r="Y19" s="76"/>
      <c r="Z19" s="73"/>
      <c r="AA19" s="57"/>
      <c r="AB19" s="45"/>
      <c r="AC19" s="45"/>
      <c r="AD19" s="45"/>
    </row>
    <row r="20" spans="1:30" ht="5.0999999999999996" customHeight="1" outlineLevel="3" x14ac:dyDescent="0.25">
      <c r="A20" s="45"/>
      <c r="B20" s="54"/>
      <c r="C20" s="47">
        <f>INT($C$6)+3.005</f>
        <v>4.0049999999999999</v>
      </c>
      <c r="D20" s="73"/>
      <c r="E20" s="73"/>
      <c r="F20" s="73"/>
      <c r="G20" s="73"/>
      <c r="H20" s="73"/>
      <c r="I20" s="73"/>
      <c r="J20" s="73"/>
      <c r="K20" s="73"/>
      <c r="L20" s="73"/>
      <c r="M20" s="73"/>
      <c r="N20" s="73"/>
      <c r="O20" s="73"/>
      <c r="P20" s="73"/>
      <c r="Q20" s="73"/>
      <c r="R20" s="73"/>
      <c r="S20" s="73"/>
      <c r="T20" s="73"/>
      <c r="U20" s="73"/>
      <c r="V20" s="73"/>
      <c r="W20" s="73"/>
      <c r="X20" s="73"/>
      <c r="Y20" s="73"/>
      <c r="Z20" s="73" t="s">
        <v>136</v>
      </c>
      <c r="AA20" s="57"/>
      <c r="AB20" s="45"/>
      <c r="AC20" s="45"/>
      <c r="AD20" s="45"/>
    </row>
    <row r="21" spans="1:30" ht="5.0999999999999996" customHeight="1" outlineLevel="2" x14ac:dyDescent="0.25">
      <c r="A21" s="45"/>
      <c r="B21" s="54"/>
      <c r="C21" s="47">
        <f>INT($C$6)+2.005</f>
        <v>3.0049999999999999</v>
      </c>
      <c r="D21" s="73"/>
      <c r="E21" s="73"/>
      <c r="F21" s="73"/>
      <c r="G21" s="73"/>
      <c r="H21" s="73"/>
      <c r="I21" s="73"/>
      <c r="J21" s="73"/>
      <c r="K21" s="73"/>
      <c r="L21" s="73"/>
      <c r="M21" s="73"/>
      <c r="N21" s="73"/>
      <c r="O21" s="73"/>
      <c r="P21" s="73"/>
      <c r="Q21" s="73"/>
      <c r="R21" s="73"/>
      <c r="S21" s="73"/>
      <c r="T21" s="73"/>
      <c r="U21" s="73"/>
      <c r="V21" s="73"/>
      <c r="W21" s="73"/>
      <c r="X21" s="73"/>
      <c r="Y21" s="73"/>
      <c r="Z21" s="73"/>
      <c r="AA21" s="57"/>
      <c r="AB21" s="45"/>
      <c r="AC21" s="45"/>
      <c r="AD21" s="45"/>
    </row>
    <row r="22" spans="1:30" ht="5.0999999999999996" customHeight="1" outlineLevel="1" x14ac:dyDescent="0.25">
      <c r="A22" s="45"/>
      <c r="B22" s="81"/>
      <c r="C22" s="82">
        <f>INT($C$6)+1.005</f>
        <v>2.0049999999999999</v>
      </c>
      <c r="D22" s="83"/>
      <c r="E22" s="83"/>
      <c r="F22" s="83"/>
      <c r="G22" s="83"/>
      <c r="H22" s="83"/>
      <c r="I22" s="83"/>
      <c r="J22" s="83"/>
      <c r="K22" s="83"/>
      <c r="L22" s="83"/>
      <c r="M22" s="83"/>
      <c r="N22" s="83"/>
      <c r="O22" s="83"/>
      <c r="P22" s="83"/>
      <c r="Q22" s="83"/>
      <c r="R22" s="83"/>
      <c r="S22" s="83"/>
      <c r="T22" s="83"/>
      <c r="U22" s="83"/>
      <c r="V22" s="83"/>
      <c r="W22" s="83"/>
      <c r="X22" s="83"/>
      <c r="Y22" s="83"/>
      <c r="Z22" s="83"/>
      <c r="AA22" s="84" t="s">
        <v>145</v>
      </c>
      <c r="AB22" s="45"/>
      <c r="AC22" s="45"/>
      <c r="AD22" s="45"/>
    </row>
    <row r="23" spans="1:30" ht="5.0999999999999996" customHeight="1" x14ac:dyDescent="0.25">
      <c r="A23" s="45"/>
      <c r="B23" s="85"/>
      <c r="C23" s="86">
        <f>INT($C$6)+0.005</f>
        <v>1.0049999999999999</v>
      </c>
      <c r="D23" s="85"/>
      <c r="E23" s="85"/>
      <c r="F23" s="85"/>
      <c r="G23" s="85"/>
      <c r="H23" s="85"/>
      <c r="I23" s="85"/>
      <c r="J23" s="85"/>
      <c r="K23" s="85"/>
      <c r="L23" s="85"/>
      <c r="M23" s="85"/>
      <c r="N23" s="85"/>
      <c r="O23" s="85"/>
      <c r="P23" s="85"/>
      <c r="Q23" s="85"/>
      <c r="R23" s="85"/>
      <c r="S23" s="85"/>
      <c r="T23" s="85"/>
      <c r="U23" s="85"/>
      <c r="V23" s="85"/>
      <c r="W23" s="85"/>
      <c r="X23" s="85"/>
      <c r="Y23" s="85"/>
      <c r="Z23" s="85"/>
      <c r="AA23" s="85"/>
      <c r="AB23" s="45"/>
      <c r="AC23" s="45"/>
      <c r="AD23" s="45"/>
    </row>
    <row r="24" spans="1:30" outlineLevel="2" x14ac:dyDescent="0.25">
      <c r="A24" s="45"/>
      <c r="B24" s="45"/>
      <c r="C24" s="47">
        <f>INT($C$6)+2</f>
        <v>3</v>
      </c>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row>
    <row r="25" spans="1:30" outlineLevel="2" x14ac:dyDescent="0.25">
      <c r="A25" s="45"/>
      <c r="B25" s="45"/>
      <c r="C25" s="87">
        <f>INT($C$29)+2</f>
        <v>3</v>
      </c>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row>
    <row r="26" spans="1:30" ht="5.0999999999999996" customHeight="1" thickBot="1" x14ac:dyDescent="0.3">
      <c r="A26" s="45"/>
      <c r="B26" s="48"/>
      <c r="C26" s="88">
        <f>INT($C$29)+0.005</f>
        <v>1.0049999999999999</v>
      </c>
      <c r="D26" s="48"/>
      <c r="E26" s="48"/>
      <c r="F26" s="48"/>
      <c r="G26" s="48"/>
      <c r="H26" s="48"/>
      <c r="I26" s="48"/>
      <c r="J26" s="48"/>
      <c r="K26" s="48"/>
      <c r="L26" s="48"/>
      <c r="M26" s="48"/>
      <c r="N26" s="48"/>
      <c r="O26" s="48"/>
      <c r="P26" s="48"/>
      <c r="Q26" s="48"/>
      <c r="R26" s="48"/>
      <c r="S26" s="48"/>
      <c r="T26" s="48"/>
      <c r="U26" s="48"/>
      <c r="V26" s="48"/>
      <c r="W26" s="48"/>
      <c r="X26" s="48"/>
      <c r="Y26" s="48"/>
      <c r="Z26" s="48"/>
      <c r="AA26" s="48"/>
      <c r="AB26" s="45"/>
      <c r="AC26" s="45"/>
      <c r="AD26" s="45"/>
    </row>
    <row r="27" spans="1:30" ht="5.0999999999999996" customHeight="1" outlineLevel="1" x14ac:dyDescent="0.25">
      <c r="A27" s="45"/>
      <c r="B27" s="50" t="s">
        <v>86</v>
      </c>
      <c r="C27" s="89">
        <f>INT($C$29)+1.005</f>
        <v>2.0049999999999999</v>
      </c>
      <c r="D27" s="52"/>
      <c r="E27" s="52"/>
      <c r="F27" s="52"/>
      <c r="G27" s="52"/>
      <c r="H27" s="52"/>
      <c r="I27" s="52"/>
      <c r="J27" s="52"/>
      <c r="K27" s="52"/>
      <c r="L27" s="52"/>
      <c r="M27" s="52"/>
      <c r="N27" s="52"/>
      <c r="O27" s="52"/>
      <c r="P27" s="52"/>
      <c r="Q27" s="52"/>
      <c r="R27" s="52"/>
      <c r="S27" s="52"/>
      <c r="T27" s="52"/>
      <c r="U27" s="52"/>
      <c r="V27" s="52"/>
      <c r="W27" s="52"/>
      <c r="X27" s="52"/>
      <c r="Y27" s="52"/>
      <c r="Z27" s="52"/>
      <c r="AA27" s="53"/>
      <c r="AB27" s="45"/>
      <c r="AC27" s="45"/>
      <c r="AD27" s="45"/>
    </row>
    <row r="28" spans="1:30" outlineLevel="4" x14ac:dyDescent="0.25">
      <c r="A28" s="45"/>
      <c r="B28" s="54"/>
      <c r="C28" s="87" t="e">
        <f>INT(MAX($C$39:$C$59))+1</f>
        <v>#REF!</v>
      </c>
      <c r="D28" s="55"/>
      <c r="E28" s="55"/>
      <c r="F28" s="55"/>
      <c r="G28" s="55"/>
      <c r="H28" s="56"/>
      <c r="I28" s="56"/>
      <c r="J28" s="56"/>
      <c r="K28" s="56"/>
      <c r="L28" s="56"/>
      <c r="M28" s="56"/>
      <c r="N28" s="56"/>
      <c r="O28" s="56"/>
      <c r="P28" s="56"/>
      <c r="Q28" s="56"/>
      <c r="R28" s="56"/>
      <c r="S28" s="56"/>
      <c r="T28" s="56"/>
      <c r="U28" s="56"/>
      <c r="V28" s="56"/>
      <c r="W28" s="56"/>
      <c r="X28" s="56"/>
      <c r="Y28" s="56"/>
      <c r="Z28" s="55"/>
      <c r="AA28" s="57"/>
      <c r="AB28" s="45"/>
      <c r="AC28" s="45"/>
      <c r="AD28" s="45"/>
    </row>
    <row r="29" spans="1:30" ht="20.100000000000001" customHeight="1" x14ac:dyDescent="0.25">
      <c r="A29" s="45"/>
      <c r="B29" s="54"/>
      <c r="C29" s="87">
        <v>1.02</v>
      </c>
      <c r="D29" s="58"/>
      <c r="E29" s="59" t="s">
        <v>124</v>
      </c>
      <c r="F29" s="60"/>
      <c r="G29" s="61"/>
      <c r="H29" s="62" t="str">
        <f>COUNTIFS($B$1:$B29, "«")&amp;" ErrorChecks: Testing consistency between the input ranges - Universal.xlsx"</f>
        <v>2 ErrorChecks: Testing consistency between the input ranges - Universal.xlsx</v>
      </c>
      <c r="I29" s="63"/>
      <c r="J29" s="63"/>
      <c r="K29" s="63"/>
      <c r="L29" s="63"/>
      <c r="M29" s="63"/>
      <c r="N29" s="63"/>
      <c r="O29" s="63"/>
      <c r="P29" s="63"/>
      <c r="Q29" s="63"/>
      <c r="R29" s="63"/>
      <c r="S29" s="63"/>
      <c r="T29" s="63"/>
      <c r="U29" s="63"/>
      <c r="V29" s="63"/>
      <c r="W29" s="63"/>
      <c r="X29" s="63"/>
      <c r="Y29" s="63"/>
      <c r="Z29" s="64"/>
      <c r="AA29" s="57"/>
      <c r="AB29" s="45"/>
      <c r="AC29" s="45"/>
      <c r="AD29" s="45"/>
    </row>
    <row r="30" spans="1:30" ht="20.100000000000001" customHeight="1" outlineLevel="1" x14ac:dyDescent="0.25">
      <c r="A30" s="45"/>
      <c r="B30" s="54"/>
      <c r="C30" s="87">
        <f>INT($C$29)+1.02</f>
        <v>2.02</v>
      </c>
      <c r="D30" s="58"/>
      <c r="E30" s="59" t="s">
        <v>126</v>
      </c>
      <c r="F30" s="65">
        <v>1</v>
      </c>
      <c r="G30" s="66"/>
      <c r="H30" s="67" t="s">
        <v>2169</v>
      </c>
      <c r="I30" s="68"/>
      <c r="J30" s="68"/>
      <c r="K30" s="68"/>
      <c r="L30" s="68"/>
      <c r="M30" s="68"/>
      <c r="N30" s="68"/>
      <c r="O30" s="68"/>
      <c r="P30" s="68"/>
      <c r="Q30" s="68"/>
      <c r="R30" s="68"/>
      <c r="S30" s="68"/>
      <c r="T30" s="68"/>
      <c r="U30" s="68"/>
      <c r="V30" s="68"/>
      <c r="W30" s="68"/>
      <c r="X30" s="68"/>
      <c r="Y30" s="68"/>
      <c r="Z30" s="69"/>
      <c r="AA30" s="57"/>
      <c r="AB30" s="45"/>
      <c r="AC30" s="45"/>
      <c r="AD30" s="45"/>
    </row>
    <row r="31" spans="1:30" ht="5.0999999999999996" customHeight="1" outlineLevel="2" x14ac:dyDescent="0.25">
      <c r="A31" s="45"/>
      <c r="B31" s="54"/>
      <c r="C31" s="87">
        <f>INT($C$29)+2.005</f>
        <v>3.0049999999999999</v>
      </c>
      <c r="D31" s="55"/>
      <c r="E31" s="55"/>
      <c r="F31" s="55"/>
      <c r="G31" s="55"/>
      <c r="H31" s="55"/>
      <c r="I31" s="55"/>
      <c r="J31" s="55"/>
      <c r="K31" s="55"/>
      <c r="L31" s="55"/>
      <c r="M31" s="55"/>
      <c r="N31" s="55"/>
      <c r="O31" s="55"/>
      <c r="P31" s="55"/>
      <c r="Q31" s="55"/>
      <c r="R31" s="55"/>
      <c r="S31" s="55"/>
      <c r="T31" s="55"/>
      <c r="U31" s="55"/>
      <c r="V31" s="55"/>
      <c r="W31" s="55"/>
      <c r="X31" s="55"/>
      <c r="Y31" s="55"/>
      <c r="Z31" s="55"/>
      <c r="AA31" s="57"/>
      <c r="AB31" s="45"/>
      <c r="AC31" s="45"/>
      <c r="AD31" s="45"/>
    </row>
    <row r="32" spans="1:30" outlineLevel="3" x14ac:dyDescent="0.25">
      <c r="A32" s="45"/>
      <c r="B32" s="54"/>
      <c r="C32" s="87">
        <f>INT($C$29)+2</f>
        <v>3</v>
      </c>
      <c r="D32" s="55"/>
      <c r="E32" s="70"/>
      <c r="F32" s="70"/>
      <c r="G32" s="55"/>
      <c r="H32" s="71"/>
      <c r="I32" s="71"/>
      <c r="J32" s="71"/>
      <c r="K32" s="71"/>
      <c r="L32" s="71"/>
      <c r="M32" s="71"/>
      <c r="N32" s="71"/>
      <c r="O32" s="71"/>
      <c r="P32" s="71"/>
      <c r="Q32" s="71"/>
      <c r="R32" s="71"/>
      <c r="S32" s="71"/>
      <c r="T32" s="71"/>
      <c r="U32" s="71"/>
      <c r="V32" s="71"/>
      <c r="W32" s="71"/>
      <c r="X32" s="71"/>
      <c r="Y32" s="71"/>
      <c r="Z32" s="55"/>
      <c r="AA32" s="57"/>
      <c r="AB32" s="45"/>
      <c r="AC32" s="45"/>
      <c r="AD32" s="45"/>
    </row>
    <row r="33" spans="1:30" outlineLevel="3" x14ac:dyDescent="0.25">
      <c r="A33" s="45"/>
      <c r="B33" s="54"/>
      <c r="C33" s="87">
        <f>INT($C$29)+2</f>
        <v>3</v>
      </c>
      <c r="D33" s="55"/>
      <c r="E33" s="70"/>
      <c r="F33" s="70"/>
      <c r="G33" s="55"/>
      <c r="H33" s="72"/>
      <c r="I33" s="72"/>
      <c r="J33" s="72"/>
      <c r="K33" s="72"/>
      <c r="L33" s="72"/>
      <c r="M33" s="72"/>
      <c r="N33" s="72"/>
      <c r="O33" s="72"/>
      <c r="P33" s="72"/>
      <c r="Q33" s="72"/>
      <c r="R33" s="72"/>
      <c r="S33" s="72"/>
      <c r="T33" s="72"/>
      <c r="U33" s="72"/>
      <c r="V33" s="72"/>
      <c r="W33" s="72"/>
      <c r="X33" s="72"/>
      <c r="Y33" s="72"/>
      <c r="Z33" s="55"/>
      <c r="AA33" s="57"/>
      <c r="AB33" s="45"/>
      <c r="AC33" s="45"/>
      <c r="AD33" s="45"/>
    </row>
    <row r="34" spans="1:30" outlineLevel="3" x14ac:dyDescent="0.25">
      <c r="A34" s="45"/>
      <c r="B34" s="54"/>
      <c r="C34" s="87">
        <f>INT($C$29)+2</f>
        <v>3</v>
      </c>
      <c r="D34" s="55"/>
      <c r="E34" s="70"/>
      <c r="F34" s="70"/>
      <c r="G34" s="55"/>
      <c r="H34" s="72"/>
      <c r="I34" s="72"/>
      <c r="J34" s="72"/>
      <c r="K34" s="72"/>
      <c r="L34" s="72"/>
      <c r="M34" s="72"/>
      <c r="N34" s="72"/>
      <c r="O34" s="72"/>
      <c r="P34" s="72"/>
      <c r="Q34" s="72"/>
      <c r="R34" s="72"/>
      <c r="S34" s="72"/>
      <c r="T34" s="72"/>
      <c r="U34" s="72"/>
      <c r="V34" s="72"/>
      <c r="W34" s="72"/>
      <c r="X34" s="72"/>
      <c r="Y34" s="72"/>
      <c r="Z34" s="55"/>
      <c r="AA34" s="57"/>
      <c r="AB34" s="45"/>
      <c r="AC34" s="45"/>
      <c r="AD34" s="45"/>
    </row>
    <row r="35" spans="1:30" outlineLevel="2" x14ac:dyDescent="0.25">
      <c r="A35" s="45"/>
      <c r="B35" s="54"/>
      <c r="C35" s="87">
        <f>INT($C$29)+2</f>
        <v>3</v>
      </c>
      <c r="D35" s="55"/>
      <c r="E35" s="70"/>
      <c r="F35" s="70"/>
      <c r="G35" s="55"/>
      <c r="H35" s="72" t="s">
        <v>2168</v>
      </c>
      <c r="I35" s="283" t="b">
        <f>AND($I$39:$I$59)</f>
        <v>1</v>
      </c>
      <c r="J35" s="72"/>
      <c r="K35" s="72"/>
      <c r="L35" s="72"/>
      <c r="M35" s="72"/>
      <c r="N35" s="72"/>
      <c r="O35" s="72"/>
      <c r="P35" s="72"/>
      <c r="Q35" s="72"/>
      <c r="R35" s="72"/>
      <c r="S35" s="72"/>
      <c r="T35" s="72"/>
      <c r="U35" s="72"/>
      <c r="V35" s="72"/>
      <c r="W35" s="72"/>
      <c r="X35" s="72"/>
      <c r="Y35" s="72"/>
      <c r="Z35" s="55"/>
      <c r="AA35" s="57"/>
      <c r="AB35" s="45"/>
      <c r="AC35" s="45"/>
      <c r="AD35" s="45"/>
    </row>
    <row r="36" spans="1:30" ht="11.45" customHeight="1" outlineLevel="2" x14ac:dyDescent="0.25">
      <c r="A36" s="45"/>
      <c r="B36" s="54" t="s">
        <v>129</v>
      </c>
      <c r="C36" s="87">
        <f>INT($C$29)+2.01</f>
        <v>3.01</v>
      </c>
      <c r="D36" s="55"/>
      <c r="E36" s="55"/>
      <c r="F36" s="55"/>
      <c r="G36" s="55"/>
      <c r="H36" s="72"/>
      <c r="I36" s="72"/>
      <c r="J36" s="72"/>
      <c r="K36" s="72"/>
      <c r="L36" s="72"/>
      <c r="M36" s="72"/>
      <c r="N36" s="72"/>
      <c r="O36" s="72"/>
      <c r="P36" s="72"/>
      <c r="Q36" s="72"/>
      <c r="R36" s="72"/>
      <c r="S36" s="72"/>
      <c r="T36" s="72"/>
      <c r="U36" s="72"/>
      <c r="V36" s="72"/>
      <c r="W36" s="72"/>
      <c r="X36" s="72"/>
      <c r="Y36" s="72"/>
      <c r="Z36" s="55"/>
      <c r="AA36" s="57"/>
      <c r="AB36" s="45"/>
      <c r="AC36" s="45"/>
      <c r="AD36" s="45"/>
    </row>
    <row r="37" spans="1:30" outlineLevel="4" x14ac:dyDescent="0.25">
      <c r="A37" s="45"/>
      <c r="B37" s="54"/>
      <c r="C37" s="87" t="e">
        <f>INT(MAX($C$39:$C$59))+1</f>
        <v>#REF!</v>
      </c>
      <c r="D37" s="73"/>
      <c r="E37" s="70"/>
      <c r="F37" s="70"/>
      <c r="G37" s="73"/>
      <c r="H37" s="70"/>
      <c r="I37" s="70"/>
      <c r="J37" s="70"/>
      <c r="K37" s="70"/>
      <c r="L37" s="70"/>
      <c r="M37" s="70"/>
      <c r="N37" s="70"/>
      <c r="O37" s="70"/>
      <c r="P37" s="70"/>
      <c r="Q37" s="70"/>
      <c r="R37" s="70"/>
      <c r="S37" s="70"/>
      <c r="T37" s="70"/>
      <c r="U37" s="70"/>
      <c r="V37" s="70"/>
      <c r="W37" s="70"/>
      <c r="X37" s="70"/>
      <c r="Y37" s="70"/>
      <c r="Z37" s="73"/>
      <c r="AA37" s="57"/>
      <c r="AB37" s="45"/>
      <c r="AC37" s="45"/>
      <c r="AD37" s="45"/>
    </row>
    <row r="38" spans="1:30" outlineLevel="4" x14ac:dyDescent="0.25">
      <c r="A38" s="45"/>
      <c r="B38" s="54" t="s">
        <v>130</v>
      </c>
      <c r="C38" s="87" t="e">
        <f>INT(MAX($C$39:$C$59))+1</f>
        <v>#REF!</v>
      </c>
      <c r="D38" s="73" t="s">
        <v>131</v>
      </c>
      <c r="E38" s="70"/>
      <c r="F38" s="70"/>
      <c r="G38" s="73"/>
      <c r="H38" s="70"/>
      <c r="I38" s="70"/>
      <c r="J38" s="70"/>
      <c r="K38" s="70"/>
      <c r="L38" s="70"/>
      <c r="M38" s="70"/>
      <c r="N38" s="70"/>
      <c r="O38" s="70"/>
      <c r="P38" s="70"/>
      <c r="Q38" s="70"/>
      <c r="R38" s="70"/>
      <c r="S38" s="70"/>
      <c r="T38" s="70"/>
      <c r="U38" s="70"/>
      <c r="V38" s="70"/>
      <c r="W38" s="70"/>
      <c r="X38" s="70"/>
      <c r="Y38" s="70"/>
      <c r="Z38" s="73"/>
      <c r="AA38" s="57"/>
      <c r="AB38" s="45"/>
      <c r="AC38" s="45"/>
      <c r="AD38" s="45"/>
    </row>
    <row r="39" spans="1:30" ht="5.0999999999999996" customHeight="1" outlineLevel="2" x14ac:dyDescent="0.25">
      <c r="A39" s="45"/>
      <c r="B39" s="54"/>
      <c r="C39" s="87">
        <f>INT($C$29)+2.005</f>
        <v>3.0049999999999999</v>
      </c>
      <c r="D39" s="73" t="s">
        <v>132</v>
      </c>
      <c r="E39" s="73"/>
      <c r="F39" s="73"/>
      <c r="G39" s="73"/>
      <c r="H39" s="94"/>
      <c r="I39" s="94"/>
      <c r="J39" s="94"/>
      <c r="K39" s="94"/>
      <c r="L39" s="94"/>
      <c r="M39" s="94"/>
      <c r="N39" s="94"/>
      <c r="O39" s="94"/>
      <c r="P39" s="94"/>
      <c r="Q39" s="94"/>
      <c r="R39" s="94"/>
      <c r="S39" s="94"/>
      <c r="T39" s="94"/>
      <c r="U39" s="94"/>
      <c r="V39" s="94"/>
      <c r="W39" s="94"/>
      <c r="X39" s="94"/>
      <c r="Y39" s="94"/>
      <c r="Z39" s="73"/>
      <c r="AA39" s="57"/>
      <c r="AB39" s="45"/>
      <c r="AC39" s="45"/>
      <c r="AD39" s="45"/>
    </row>
    <row r="40" spans="1:30" outlineLevel="3" x14ac:dyDescent="0.25">
      <c r="A40" s="45"/>
      <c r="B40" s="54"/>
      <c r="C40" s="87" t="e">
        <f>INT(#REF!)+3</f>
        <v>#REF!</v>
      </c>
      <c r="D40" s="73"/>
      <c r="E40" s="70"/>
      <c r="F40" s="70"/>
      <c r="G40" s="73"/>
      <c r="H40" s="76" t="s">
        <v>2167</v>
      </c>
      <c r="I40" s="282" t="str">
        <f>IF(COUNT($J40:$Z40)&gt;1,STDEV($J40:$Z40)=0,"")</f>
        <v/>
      </c>
      <c r="J40" s="76" t="s">
        <v>2172</v>
      </c>
      <c r="K40" s="76" t="s">
        <v>2166</v>
      </c>
      <c r="L40" s="76"/>
      <c r="M40" s="76"/>
      <c r="N40" s="76"/>
      <c r="O40" s="76"/>
      <c r="P40" s="76"/>
      <c r="Q40" s="76"/>
      <c r="R40" s="76"/>
      <c r="S40" s="76"/>
      <c r="T40" s="76"/>
      <c r="U40" s="76"/>
      <c r="V40" s="76"/>
      <c r="W40" s="76"/>
      <c r="X40" s="76"/>
      <c r="Y40" s="76"/>
      <c r="Z40" s="73"/>
      <c r="AA40" s="57"/>
      <c r="AB40" s="45"/>
      <c r="AC40" s="45"/>
      <c r="AD40" s="45"/>
    </row>
    <row r="41" spans="1:30" outlineLevel="2" x14ac:dyDescent="0.25">
      <c r="A41" s="45"/>
      <c r="B41" s="54"/>
      <c r="C41" s="87">
        <f>INT($C$29)+2</f>
        <v>3</v>
      </c>
      <c r="D41" s="73"/>
      <c r="E41" s="70"/>
      <c r="F41" s="70"/>
      <c r="G41" s="73"/>
      <c r="H41" s="76"/>
      <c r="I41" s="76"/>
      <c r="J41" s="76"/>
      <c r="K41" s="76"/>
      <c r="L41" s="76"/>
      <c r="M41" s="76"/>
      <c r="N41" s="76"/>
      <c r="O41" s="76"/>
      <c r="P41" s="76"/>
      <c r="Q41" s="76"/>
      <c r="R41" s="76"/>
      <c r="S41" s="76"/>
      <c r="T41" s="76"/>
      <c r="U41" s="76"/>
      <c r="V41" s="76"/>
      <c r="W41" s="76"/>
      <c r="X41" s="76"/>
      <c r="Y41" s="76"/>
      <c r="Z41" s="73"/>
      <c r="AA41" s="57"/>
      <c r="AB41" s="45"/>
      <c r="AC41" s="45"/>
      <c r="AD41" s="45"/>
    </row>
    <row r="42" spans="1:30" outlineLevel="3" x14ac:dyDescent="0.25">
      <c r="A42" s="45"/>
      <c r="B42" s="54"/>
      <c r="C42" s="87" t="e">
        <f>INT(#REF!)+3</f>
        <v>#REF!</v>
      </c>
      <c r="D42" s="73"/>
      <c r="E42" s="70"/>
      <c r="F42" s="70"/>
      <c r="G42" s="73"/>
      <c r="H42" s="76" t="s">
        <v>2165</v>
      </c>
      <c r="I42" s="282" t="b">
        <f t="shared" ref="I42:I52" si="0">IF(COUNT($J42:$Z42)&gt;1,STDEV($J42:$Z42)=0,"")</f>
        <v>1</v>
      </c>
      <c r="J42" s="76">
        <f>COUNTA(Sheep!$H$183:$H$190)</f>
        <v>8</v>
      </c>
      <c r="K42" s="76">
        <f>COUNTIFS(Sheep!$H$198:$H$262,"*grid*")</f>
        <v>8</v>
      </c>
      <c r="L42" s="76">
        <f>COUNTA(Sheep!$H$268:$H$284)</f>
        <v>8</v>
      </c>
      <c r="M42" s="76"/>
      <c r="N42" s="76"/>
      <c r="O42" s="76"/>
      <c r="P42" s="76"/>
      <c r="Q42" s="76"/>
      <c r="R42" s="76"/>
      <c r="S42" s="76"/>
      <c r="T42" s="76"/>
      <c r="U42" s="76"/>
      <c r="V42" s="76"/>
      <c r="W42" s="76"/>
      <c r="X42" s="76"/>
      <c r="Y42" s="76"/>
      <c r="Z42" s="73"/>
      <c r="AA42" s="57"/>
      <c r="AB42" s="45"/>
      <c r="AC42" s="45"/>
      <c r="AD42" s="45"/>
    </row>
    <row r="43" spans="1:30" outlineLevel="3" x14ac:dyDescent="0.25">
      <c r="A43" s="45"/>
      <c r="B43" s="54"/>
      <c r="C43" s="87" t="e">
        <f>INT(#REF!)+3</f>
        <v>#REF!</v>
      </c>
      <c r="D43" s="73"/>
      <c r="E43" s="70"/>
      <c r="F43" s="70"/>
      <c r="G43" s="73"/>
      <c r="H43" s="76" t="s">
        <v>2164</v>
      </c>
      <c r="I43" s="282" t="str">
        <f t="shared" si="0"/>
        <v/>
      </c>
      <c r="J43" s="76" t="s">
        <v>2163</v>
      </c>
      <c r="K43" s="76"/>
      <c r="L43" s="76"/>
      <c r="M43" s="76"/>
      <c r="N43" s="76"/>
      <c r="O43" s="76"/>
      <c r="P43" s="76"/>
      <c r="Q43" s="76"/>
      <c r="R43" s="76"/>
      <c r="S43" s="76"/>
      <c r="T43" s="76"/>
      <c r="U43" s="76"/>
      <c r="V43" s="76"/>
      <c r="W43" s="76"/>
      <c r="X43" s="76"/>
      <c r="Y43" s="76"/>
      <c r="Z43" s="73"/>
      <c r="AA43" s="57"/>
      <c r="AB43" s="45"/>
      <c r="AC43" s="45"/>
      <c r="AD43" s="45"/>
    </row>
    <row r="44" spans="1:30" outlineLevel="3" x14ac:dyDescent="0.25">
      <c r="A44" s="45"/>
      <c r="B44" s="54"/>
      <c r="C44" s="87" t="e">
        <f>INT(#REF!)+3</f>
        <v>#REF!</v>
      </c>
      <c r="D44" s="73"/>
      <c r="E44" s="70"/>
      <c r="F44" s="70"/>
      <c r="G44" s="73"/>
      <c r="H44" s="76" t="s">
        <v>2162</v>
      </c>
      <c r="I44" s="282" t="str">
        <f t="shared" si="0"/>
        <v/>
      </c>
      <c r="J44" s="76"/>
      <c r="K44" s="76"/>
      <c r="L44" s="76"/>
      <c r="M44" s="76"/>
      <c r="N44" s="76"/>
      <c r="O44" s="76"/>
      <c r="P44" s="76"/>
      <c r="Q44" s="76"/>
      <c r="R44" s="76"/>
      <c r="S44" s="76"/>
      <c r="T44" s="76"/>
      <c r="U44" s="76"/>
      <c r="V44" s="76"/>
      <c r="W44" s="76"/>
      <c r="X44" s="76"/>
      <c r="Y44" s="76"/>
      <c r="Z44" s="73"/>
      <c r="AA44" s="57"/>
      <c r="AB44" s="45"/>
      <c r="AC44" s="45"/>
      <c r="AD44" s="45"/>
    </row>
    <row r="45" spans="1:30" outlineLevel="3" x14ac:dyDescent="0.25">
      <c r="A45" s="45"/>
      <c r="B45" s="54"/>
      <c r="C45" s="87" t="e">
        <f>INT(#REF!)+3</f>
        <v>#REF!</v>
      </c>
      <c r="D45" s="73"/>
      <c r="E45" s="70"/>
      <c r="F45" s="70"/>
      <c r="G45" s="73"/>
      <c r="H45" s="76" t="s">
        <v>2161</v>
      </c>
      <c r="I45" s="282" t="b">
        <f t="shared" si="0"/>
        <v>1</v>
      </c>
      <c r="J45" s="76">
        <f>i_h4_len</f>
        <v>1</v>
      </c>
      <c r="K45" s="76">
        <f>ROWS(ia_h8_h4)</f>
        <v>1</v>
      </c>
      <c r="L45" s="76"/>
      <c r="M45" s="76"/>
      <c r="N45" s="76"/>
      <c r="O45" s="76"/>
      <c r="P45" s="76"/>
      <c r="Q45" s="76"/>
      <c r="R45" s="76"/>
      <c r="S45" s="76"/>
      <c r="T45" s="76"/>
      <c r="U45" s="76"/>
      <c r="V45" s="76"/>
      <c r="W45" s="76"/>
      <c r="X45" s="76"/>
      <c r="Y45" s="76"/>
      <c r="Z45" s="73"/>
      <c r="AA45" s="57"/>
      <c r="AB45" s="45"/>
      <c r="AC45" s="45"/>
      <c r="AD45" s="45"/>
    </row>
    <row r="46" spans="1:30" outlineLevel="3" x14ac:dyDescent="0.25">
      <c r="A46" s="45"/>
      <c r="B46" s="54"/>
      <c r="C46" s="87" t="e">
        <f>INT(#REF!)+3</f>
        <v>#REF!</v>
      </c>
      <c r="D46" s="73"/>
      <c r="E46" s="70"/>
      <c r="F46" s="70"/>
      <c r="G46" s="73"/>
      <c r="H46" s="76" t="s">
        <v>2160</v>
      </c>
      <c r="I46" s="282" t="str">
        <f t="shared" si="0"/>
        <v/>
      </c>
      <c r="J46" s="76"/>
      <c r="K46" s="76"/>
      <c r="L46" s="76"/>
      <c r="M46" s="76"/>
      <c r="N46" s="76"/>
      <c r="O46" s="76"/>
      <c r="P46" s="76"/>
      <c r="Q46" s="76"/>
      <c r="R46" s="76"/>
      <c r="S46" s="76"/>
      <c r="T46" s="76"/>
      <c r="U46" s="76"/>
      <c r="V46" s="76"/>
      <c r="W46" s="76"/>
      <c r="X46" s="76"/>
      <c r="Y46" s="76"/>
      <c r="Z46" s="73"/>
      <c r="AA46" s="57"/>
      <c r="AB46" s="45"/>
      <c r="AC46" s="45"/>
      <c r="AD46" s="45"/>
    </row>
    <row r="47" spans="1:30" outlineLevel="3" x14ac:dyDescent="0.25">
      <c r="A47" s="45"/>
      <c r="B47" s="54"/>
      <c r="C47" s="87" t="e">
        <f>INT(#REF!)+3</f>
        <v>#REF!</v>
      </c>
      <c r="D47" s="73"/>
      <c r="E47" s="70"/>
      <c r="F47" s="70"/>
      <c r="G47" s="73"/>
      <c r="H47" s="76" t="s">
        <v>2159</v>
      </c>
      <c r="I47" s="282" t="b">
        <f t="shared" si="0"/>
        <v>1</v>
      </c>
      <c r="J47" s="76">
        <f>COUNTA(Sheep!$T$326:$AN$326)</f>
        <v>14</v>
      </c>
      <c r="K47" s="76">
        <f>COUNTA(Sheep!$T$342:$AN$342)</f>
        <v>14</v>
      </c>
      <c r="L47" s="76">
        <f>COUNT(i_husb_requisite_cost_h6)</f>
        <v>14</v>
      </c>
      <c r="M47" s="76">
        <f>COUNT(i_husb_muster_requisites_prob_h6h4)</f>
        <v>14</v>
      </c>
      <c r="N47" s="76">
        <f>COUNT(ia_h8_h6)</f>
        <v>14</v>
      </c>
      <c r="O47" s="76"/>
      <c r="P47" s="76"/>
      <c r="Q47" s="76"/>
      <c r="R47" s="76"/>
      <c r="S47" s="76"/>
      <c r="T47" s="76"/>
      <c r="U47" s="76"/>
      <c r="V47" s="76"/>
      <c r="W47" s="76"/>
      <c r="X47" s="76"/>
      <c r="Y47" s="76"/>
      <c r="Z47" s="73"/>
      <c r="AA47" s="57"/>
      <c r="AB47" s="45"/>
      <c r="AC47" s="45"/>
      <c r="AD47" s="45"/>
    </row>
    <row r="48" spans="1:30" outlineLevel="3" x14ac:dyDescent="0.25">
      <c r="A48" s="45"/>
      <c r="B48" s="54"/>
      <c r="C48" s="87" t="e">
        <f>INT(#REF!)+3</f>
        <v>#REF!</v>
      </c>
      <c r="D48" s="73"/>
      <c r="E48" s="70"/>
      <c r="F48" s="70"/>
      <c r="G48" s="73"/>
      <c r="H48" s="76" t="s">
        <v>2158</v>
      </c>
      <c r="I48" s="282" t="str">
        <f t="shared" si="0"/>
        <v/>
      </c>
      <c r="J48" s="76"/>
      <c r="K48" s="76"/>
      <c r="L48" s="76"/>
      <c r="M48" s="76"/>
      <c r="N48" s="76"/>
      <c r="O48" s="76"/>
      <c r="P48" s="76"/>
      <c r="Q48" s="76"/>
      <c r="R48" s="76"/>
      <c r="S48" s="76"/>
      <c r="T48" s="76"/>
      <c r="U48" s="76"/>
      <c r="V48" s="76"/>
      <c r="W48" s="76"/>
      <c r="X48" s="76"/>
      <c r="Y48" s="76"/>
      <c r="Z48" s="73"/>
      <c r="AA48" s="57"/>
      <c r="AB48" s="45"/>
      <c r="AC48" s="45"/>
      <c r="AD48" s="45"/>
    </row>
    <row r="49" spans="1:30" outlineLevel="3" x14ac:dyDescent="0.25">
      <c r="A49" s="45"/>
      <c r="B49" s="54"/>
      <c r="C49" s="87" t="e">
        <f>INT(#REF!)+3</f>
        <v>#REF!</v>
      </c>
      <c r="D49" s="73"/>
      <c r="E49" s="70"/>
      <c r="F49" s="70"/>
      <c r="G49" s="73"/>
      <c r="H49" s="76" t="s">
        <v>2157</v>
      </c>
      <c r="I49" s="282" t="str">
        <f t="shared" si="0"/>
        <v/>
      </c>
      <c r="J49" s="76">
        <f>COUNTA(Sheep!$H$306:$H$314)</f>
        <v>6</v>
      </c>
      <c r="K49" s="76"/>
      <c r="L49" s="76"/>
      <c r="M49" s="76"/>
      <c r="N49" s="76"/>
      <c r="O49" s="76"/>
      <c r="P49" s="76"/>
      <c r="Q49" s="76"/>
      <c r="R49" s="76"/>
      <c r="S49" s="76"/>
      <c r="T49" s="76"/>
      <c r="U49" s="76"/>
      <c r="V49" s="76"/>
      <c r="W49" s="76"/>
      <c r="X49" s="76"/>
      <c r="Y49" s="76"/>
      <c r="Z49" s="73"/>
      <c r="AA49" s="57"/>
      <c r="AB49" s="45"/>
      <c r="AC49" s="45"/>
      <c r="AD49" s="45"/>
    </row>
    <row r="50" spans="1:30" outlineLevel="3" x14ac:dyDescent="0.25">
      <c r="A50" s="45"/>
      <c r="B50" s="54"/>
      <c r="C50" s="87" t="e">
        <f>INT(#REF!)+3</f>
        <v>#REF!</v>
      </c>
      <c r="D50" s="73"/>
      <c r="E50" s="70"/>
      <c r="F50" s="70"/>
      <c r="G50" s="73"/>
      <c r="H50" s="76" t="s">
        <v>2156</v>
      </c>
      <c r="I50" s="282" t="str">
        <f t="shared" si="0"/>
        <v/>
      </c>
      <c r="J50" s="76"/>
      <c r="K50" s="76"/>
      <c r="L50" s="76"/>
      <c r="M50" s="76"/>
      <c r="N50" s="76"/>
      <c r="O50" s="76"/>
      <c r="P50" s="76"/>
      <c r="Q50" s="76"/>
      <c r="R50" s="76"/>
      <c r="S50" s="76"/>
      <c r="T50" s="76"/>
      <c r="U50" s="76"/>
      <c r="V50" s="76"/>
      <c r="W50" s="76"/>
      <c r="X50" s="76"/>
      <c r="Y50" s="76"/>
      <c r="Z50" s="73"/>
      <c r="AA50" s="57"/>
      <c r="AB50" s="45"/>
      <c r="AC50" s="45"/>
      <c r="AD50" s="45"/>
    </row>
    <row r="51" spans="1:30" outlineLevel="3" x14ac:dyDescent="0.25">
      <c r="A51" s="45"/>
      <c r="B51" s="54"/>
      <c r="C51" s="87" t="e">
        <f>INT(#REF!)+3</f>
        <v>#REF!</v>
      </c>
      <c r="D51" s="73"/>
      <c r="E51" s="70"/>
      <c r="F51" s="70"/>
      <c r="G51" s="73"/>
      <c r="H51" s="76"/>
      <c r="I51" s="282" t="str">
        <f t="shared" si="0"/>
        <v/>
      </c>
      <c r="J51" s="76"/>
      <c r="K51" s="76"/>
      <c r="L51" s="76"/>
      <c r="M51" s="76"/>
      <c r="N51" s="76"/>
      <c r="O51" s="76"/>
      <c r="P51" s="76"/>
      <c r="Q51" s="76"/>
      <c r="R51" s="76"/>
      <c r="S51" s="76"/>
      <c r="T51" s="76"/>
      <c r="U51" s="76"/>
      <c r="V51" s="76"/>
      <c r="W51" s="76"/>
      <c r="X51" s="76"/>
      <c r="Y51" s="76"/>
      <c r="Z51" s="73"/>
      <c r="AA51" s="57"/>
      <c r="AB51" s="45"/>
      <c r="AC51" s="45"/>
      <c r="AD51" s="45"/>
    </row>
    <row r="52" spans="1:30" outlineLevel="3" x14ac:dyDescent="0.25">
      <c r="A52" s="45"/>
      <c r="B52" s="54"/>
      <c r="C52" s="87" t="e">
        <f>INT(#REF!)+3</f>
        <v>#REF!</v>
      </c>
      <c r="D52" s="73"/>
      <c r="E52" s="70"/>
      <c r="F52" s="70"/>
      <c r="G52" s="73"/>
      <c r="H52" s="76" t="s">
        <v>2155</v>
      </c>
      <c r="I52" s="282" t="b">
        <f t="shared" si="0"/>
        <v>1</v>
      </c>
      <c r="J52" s="76">
        <f>COUNTIFS(i_husb_operations_requisites_prob_h6h2,"")</f>
        <v>0</v>
      </c>
      <c r="K52" s="76">
        <f>COUNTIFS(i_feedbud_requisites_prob_h6h3,"")</f>
        <v>0</v>
      </c>
      <c r="L52" s="76">
        <f>COUNTIFS(i_husb_muster_requisites_prob_h6h4,"")</f>
        <v>0</v>
      </c>
      <c r="M52" s="76">
        <f>COUNTIFS(i_husb_operations_labourreq_l2h2,"")</f>
        <v>0</v>
      </c>
      <c r="N52" s="76">
        <f>COUNTIFS(i_feedbud_labourreq_l2h3,"")</f>
        <v>0</v>
      </c>
      <c r="O52" s="76">
        <f>COUNTIFS(i_husb_muster_labourreq_l2h4,"")</f>
        <v>0</v>
      </c>
      <c r="P52" s="76">
        <f>COUNTIFS(i_husb_operations_muster_propn_h2,"")</f>
        <v>0</v>
      </c>
      <c r="Q52" s="76">
        <f>COUNTIFS(ia_h8_h2,"")</f>
        <v>0</v>
      </c>
      <c r="R52" s="76">
        <f>COUNTIFS(i_husb_operations_contract_cost_h2,"")</f>
        <v>0</v>
      </c>
      <c r="S52" s="76" t="s">
        <v>2154</v>
      </c>
      <c r="T52" s="76"/>
      <c r="U52" s="76"/>
      <c r="V52" s="76"/>
      <c r="W52" s="76"/>
      <c r="X52" s="76"/>
      <c r="Y52" s="76"/>
      <c r="Z52" s="73"/>
      <c r="AA52" s="57"/>
      <c r="AB52" s="45"/>
      <c r="AC52" s="45"/>
      <c r="AD52" s="45"/>
    </row>
    <row r="53" spans="1:30" outlineLevel="2" x14ac:dyDescent="0.25">
      <c r="A53" s="45"/>
      <c r="B53" s="54"/>
      <c r="C53" s="87">
        <f>INT($C$29)+2</f>
        <v>3</v>
      </c>
      <c r="D53" s="73"/>
      <c r="E53" s="70"/>
      <c r="F53" s="70"/>
      <c r="G53" s="73"/>
      <c r="H53" s="76"/>
      <c r="I53" s="76"/>
      <c r="J53" s="76"/>
      <c r="K53" s="76"/>
      <c r="L53" s="76"/>
      <c r="M53" s="76"/>
      <c r="N53" s="76"/>
      <c r="O53" s="76"/>
      <c r="P53" s="76"/>
      <c r="Q53" s="76"/>
      <c r="R53" s="76"/>
      <c r="S53" s="76"/>
      <c r="T53" s="76"/>
      <c r="U53" s="76"/>
      <c r="V53" s="76"/>
      <c r="W53" s="76"/>
      <c r="X53" s="76"/>
      <c r="Y53" s="76"/>
      <c r="Z53" s="73"/>
      <c r="AA53" s="57"/>
      <c r="AB53" s="45"/>
      <c r="AC53" s="45"/>
      <c r="AD53" s="45"/>
    </row>
    <row r="54" spans="1:30" outlineLevel="3" x14ac:dyDescent="0.25">
      <c r="A54" s="45"/>
      <c r="B54" s="54"/>
      <c r="C54" s="87">
        <f>INT($C$29)+3</f>
        <v>4</v>
      </c>
      <c r="D54" s="73"/>
      <c r="E54" s="70"/>
      <c r="F54" s="70"/>
      <c r="G54" s="73"/>
      <c r="H54" s="76"/>
      <c r="I54" s="76"/>
      <c r="J54" s="76"/>
      <c r="K54" s="76"/>
      <c r="L54" s="76"/>
      <c r="M54" s="76"/>
      <c r="N54" s="76"/>
      <c r="O54" s="76"/>
      <c r="P54" s="76"/>
      <c r="Q54" s="76"/>
      <c r="R54" s="76"/>
      <c r="S54" s="76"/>
      <c r="T54" s="76"/>
      <c r="U54" s="76"/>
      <c r="V54" s="76"/>
      <c r="W54" s="76"/>
      <c r="X54" s="76"/>
      <c r="Y54" s="76"/>
      <c r="Z54" s="73"/>
      <c r="AA54" s="57"/>
      <c r="AB54" s="45"/>
      <c r="AC54" s="45"/>
      <c r="AD54" s="45"/>
    </row>
    <row r="55" spans="1:30" outlineLevel="3" x14ac:dyDescent="0.25">
      <c r="A55" s="45"/>
      <c r="B55" s="54"/>
      <c r="C55" s="87">
        <f>INT($C$29)+3</f>
        <v>4</v>
      </c>
      <c r="D55" s="73"/>
      <c r="E55" s="70"/>
      <c r="F55" s="70"/>
      <c r="G55" s="73"/>
      <c r="H55" s="76"/>
      <c r="I55" s="76"/>
      <c r="J55" s="76"/>
      <c r="K55" s="76"/>
      <c r="L55" s="76"/>
      <c r="M55" s="76"/>
      <c r="N55" s="76"/>
      <c r="O55" s="76"/>
      <c r="P55" s="76"/>
      <c r="Q55" s="76"/>
      <c r="R55" s="76"/>
      <c r="S55" s="76"/>
      <c r="T55" s="76"/>
      <c r="U55" s="76"/>
      <c r="V55" s="76"/>
      <c r="W55" s="76"/>
      <c r="X55" s="76"/>
      <c r="Y55" s="76"/>
      <c r="Z55" s="73"/>
      <c r="AA55" s="57"/>
      <c r="AB55" s="45"/>
      <c r="AC55" s="45"/>
      <c r="AD55" s="45"/>
    </row>
    <row r="56" spans="1:30" outlineLevel="3" x14ac:dyDescent="0.25">
      <c r="A56" s="45"/>
      <c r="B56" s="54"/>
      <c r="C56" s="87">
        <f>INT($C$29)+3</f>
        <v>4</v>
      </c>
      <c r="D56" s="73"/>
      <c r="E56" s="70"/>
      <c r="F56" s="70"/>
      <c r="G56" s="73"/>
      <c r="H56" s="76"/>
      <c r="I56" s="76"/>
      <c r="J56" s="76"/>
      <c r="K56" s="76"/>
      <c r="L56" s="76"/>
      <c r="M56" s="76"/>
      <c r="N56" s="76"/>
      <c r="O56" s="76"/>
      <c r="P56" s="76"/>
      <c r="Q56" s="76"/>
      <c r="R56" s="76"/>
      <c r="S56" s="76"/>
      <c r="T56" s="76"/>
      <c r="U56" s="76"/>
      <c r="V56" s="76"/>
      <c r="W56" s="76"/>
      <c r="X56" s="76"/>
      <c r="Y56" s="76"/>
      <c r="Z56" s="73"/>
      <c r="AA56" s="57"/>
      <c r="AB56" s="45"/>
      <c r="AC56" s="45"/>
      <c r="AD56" s="45"/>
    </row>
    <row r="57" spans="1:30" outlineLevel="3" x14ac:dyDescent="0.25">
      <c r="A57" s="45"/>
      <c r="B57" s="54"/>
      <c r="C57" s="87">
        <f>INT($C$29)+3</f>
        <v>4</v>
      </c>
      <c r="D57" s="73"/>
      <c r="E57" s="70"/>
      <c r="F57" s="70"/>
      <c r="G57" s="73"/>
      <c r="H57" s="76"/>
      <c r="I57" s="76"/>
      <c r="J57" s="76"/>
      <c r="K57" s="76"/>
      <c r="L57" s="76"/>
      <c r="M57" s="76"/>
      <c r="N57" s="76"/>
      <c r="O57" s="76"/>
      <c r="P57" s="76"/>
      <c r="Q57" s="76"/>
      <c r="R57" s="76"/>
      <c r="S57" s="76"/>
      <c r="T57" s="76"/>
      <c r="U57" s="76"/>
      <c r="V57" s="76"/>
      <c r="W57" s="76"/>
      <c r="X57" s="76"/>
      <c r="Y57" s="76"/>
      <c r="Z57" s="73"/>
      <c r="AA57" s="57"/>
      <c r="AB57" s="45"/>
      <c r="AC57" s="45"/>
      <c r="AD57" s="45"/>
    </row>
    <row r="58" spans="1:30" outlineLevel="3" x14ac:dyDescent="0.25">
      <c r="A58" s="45"/>
      <c r="B58" s="54"/>
      <c r="C58" s="87">
        <f>INT($C$29)+3</f>
        <v>4</v>
      </c>
      <c r="D58" s="73"/>
      <c r="E58" s="70"/>
      <c r="F58" s="70"/>
      <c r="G58" s="73"/>
      <c r="H58" s="76"/>
      <c r="I58" s="76"/>
      <c r="J58" s="76"/>
      <c r="K58" s="76"/>
      <c r="L58" s="76"/>
      <c r="M58" s="76"/>
      <c r="N58" s="76"/>
      <c r="O58" s="76"/>
      <c r="P58" s="76"/>
      <c r="Q58" s="76"/>
      <c r="R58" s="76"/>
      <c r="S58" s="76"/>
      <c r="T58" s="76"/>
      <c r="U58" s="76"/>
      <c r="V58" s="76"/>
      <c r="W58" s="76"/>
      <c r="X58" s="76"/>
      <c r="Y58" s="76"/>
      <c r="Z58" s="73"/>
      <c r="AA58" s="57"/>
      <c r="AB58" s="45"/>
      <c r="AC58" s="45"/>
      <c r="AD58" s="45"/>
    </row>
    <row r="59" spans="1:30" ht="5.0999999999999996" customHeight="1" outlineLevel="3" x14ac:dyDescent="0.25">
      <c r="A59" s="45"/>
      <c r="B59" s="54"/>
      <c r="C59" s="87">
        <f>INT($C$29)+3.005</f>
        <v>4.0049999999999999</v>
      </c>
      <c r="D59" s="73"/>
      <c r="E59" s="73"/>
      <c r="F59" s="73"/>
      <c r="G59" s="73"/>
      <c r="H59" s="73"/>
      <c r="I59" s="73"/>
      <c r="J59" s="73"/>
      <c r="K59" s="73"/>
      <c r="L59" s="73"/>
      <c r="M59" s="73"/>
      <c r="N59" s="73"/>
      <c r="O59" s="73"/>
      <c r="P59" s="73"/>
      <c r="Q59" s="73"/>
      <c r="R59" s="73"/>
      <c r="S59" s="73"/>
      <c r="T59" s="73"/>
      <c r="U59" s="73"/>
      <c r="V59" s="73"/>
      <c r="W59" s="73"/>
      <c r="X59" s="73"/>
      <c r="Y59" s="73"/>
      <c r="Z59" s="73" t="s">
        <v>136</v>
      </c>
      <c r="AA59" s="57"/>
      <c r="AB59" s="45"/>
      <c r="AC59" s="45"/>
      <c r="AD59" s="45"/>
    </row>
    <row r="60" spans="1:30" ht="5.0999999999999996" customHeight="1" outlineLevel="2" x14ac:dyDescent="0.25">
      <c r="A60" s="45"/>
      <c r="B60" s="54"/>
      <c r="C60" s="87">
        <f>INT($C$29)+2.005</f>
        <v>3.0049999999999999</v>
      </c>
      <c r="D60" s="73"/>
      <c r="E60" s="73"/>
      <c r="F60" s="73"/>
      <c r="G60" s="73"/>
      <c r="H60" s="73"/>
      <c r="I60" s="73"/>
      <c r="J60" s="73"/>
      <c r="K60" s="73"/>
      <c r="L60" s="73"/>
      <c r="M60" s="73"/>
      <c r="N60" s="73"/>
      <c r="O60" s="73"/>
      <c r="P60" s="73"/>
      <c r="Q60" s="73"/>
      <c r="R60" s="73"/>
      <c r="S60" s="73"/>
      <c r="T60" s="73"/>
      <c r="U60" s="73"/>
      <c r="V60" s="73"/>
      <c r="W60" s="73"/>
      <c r="X60" s="73"/>
      <c r="Y60" s="73"/>
      <c r="Z60" s="73"/>
      <c r="AA60" s="57"/>
      <c r="AB60" s="45"/>
      <c r="AC60" s="45"/>
      <c r="AD60" s="45"/>
    </row>
    <row r="61" spans="1:30" ht="5.0999999999999996" customHeight="1" outlineLevel="1" x14ac:dyDescent="0.25">
      <c r="A61" s="45"/>
      <c r="B61" s="81"/>
      <c r="C61" s="100">
        <f>INT($C$29)+1.005</f>
        <v>2.0049999999999999</v>
      </c>
      <c r="D61" s="83"/>
      <c r="E61" s="83"/>
      <c r="F61" s="83"/>
      <c r="G61" s="83"/>
      <c r="H61" s="83"/>
      <c r="I61" s="83"/>
      <c r="J61" s="83"/>
      <c r="K61" s="83"/>
      <c r="L61" s="83"/>
      <c r="M61" s="83"/>
      <c r="N61" s="83"/>
      <c r="O61" s="83"/>
      <c r="P61" s="83"/>
      <c r="Q61" s="83"/>
      <c r="R61" s="83"/>
      <c r="S61" s="83"/>
      <c r="T61" s="83"/>
      <c r="U61" s="83"/>
      <c r="V61" s="83"/>
      <c r="W61" s="83"/>
      <c r="X61" s="83"/>
      <c r="Y61" s="83"/>
      <c r="Z61" s="83"/>
      <c r="AA61" s="84" t="s">
        <v>145</v>
      </c>
      <c r="AB61" s="45"/>
      <c r="AC61" s="45"/>
      <c r="AD61" s="45"/>
    </row>
    <row r="62" spans="1:30" ht="5.0999999999999996" customHeight="1" x14ac:dyDescent="0.25">
      <c r="A62" s="45"/>
      <c r="B62" s="85"/>
      <c r="C62" s="102">
        <f>INT($C$29)+0.005</f>
        <v>1.0049999999999999</v>
      </c>
      <c r="D62" s="85"/>
      <c r="E62" s="85"/>
      <c r="F62" s="85"/>
      <c r="G62" s="85"/>
      <c r="H62" s="85"/>
      <c r="I62" s="85"/>
      <c r="J62" s="85"/>
      <c r="K62" s="85"/>
      <c r="L62" s="85"/>
      <c r="M62" s="85"/>
      <c r="N62" s="85"/>
      <c r="O62" s="85"/>
      <c r="P62" s="85"/>
      <c r="Q62" s="85"/>
      <c r="R62" s="85"/>
      <c r="S62" s="85"/>
      <c r="T62" s="85"/>
      <c r="U62" s="85"/>
      <c r="V62" s="85"/>
      <c r="W62" s="85"/>
      <c r="X62" s="85"/>
      <c r="Y62" s="85"/>
      <c r="Z62" s="85"/>
      <c r="AA62" s="85"/>
      <c r="AB62" s="45"/>
      <c r="AC62" s="45"/>
      <c r="AD62" s="45"/>
    </row>
    <row r="63" spans="1:30" outlineLevel="2" x14ac:dyDescent="0.25">
      <c r="A63" s="45"/>
      <c r="B63" s="45"/>
      <c r="C63" s="87">
        <f>INT($C$29)+2</f>
        <v>3</v>
      </c>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row>
    <row r="64" spans="1:30" x14ac:dyDescent="0.25">
      <c r="A64" s="45"/>
      <c r="B64" s="45"/>
      <c r="C64" s="46"/>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row>
    <row r="65" spans="1:30" x14ac:dyDescent="0.25">
      <c r="A65" s="45"/>
      <c r="B65" s="45"/>
      <c r="C65" s="46"/>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row>
    <row r="66" spans="1:30" x14ac:dyDescent="0.25">
      <c r="A66" s="45"/>
      <c r="B66" s="45"/>
      <c r="C66" s="46"/>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row>
    <row r="67" spans="1:30" x14ac:dyDescent="0.25">
      <c r="A67" s="45"/>
      <c r="B67" s="45"/>
      <c r="C67" s="46"/>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row>
    <row r="68" spans="1:30" x14ac:dyDescent="0.25">
      <c r="A68" s="45"/>
      <c r="B68" s="45"/>
      <c r="C68" s="46"/>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row>
    <row r="69" spans="1:30" x14ac:dyDescent="0.25">
      <c r="A69" s="45"/>
      <c r="B69" s="45"/>
      <c r="C69" s="46"/>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row>
    <row r="70" spans="1:30" x14ac:dyDescent="0.25">
      <c r="C70" s="233" t="s">
        <v>419</v>
      </c>
    </row>
  </sheetData>
  <mergeCells count="2">
    <mergeCell ref="J11:X11"/>
    <mergeCell ref="J12:X12"/>
  </mergeCells>
  <conditionalFormatting sqref="I35">
    <cfRule type="expression" dxfId="4" priority="1">
      <formula>(I35)</formula>
    </cfRule>
  </conditionalFormatting>
  <conditionalFormatting sqref="I40 I42:I52">
    <cfRule type="cellIs" dxfId="3" priority="2" operator="notEqual">
      <formula>TRUE</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B94EA-E174-436E-860B-F3D40F1C3E89}">
  <sheetPr codeName="Sheet8">
    <outlinePr summaryBelow="0" summaryRight="0"/>
  </sheetPr>
  <dimension ref="A1:CE426"/>
  <sheetViews>
    <sheetView zoomScale="85" zoomScaleNormal="85" workbookViewId="0">
      <pane ySplit="22" topLeftCell="A392" activePane="bottomLeft" state="frozen"/>
      <selection pane="bottomLeft" activeCell="A403" sqref="A403:XFD403"/>
    </sheetView>
  </sheetViews>
  <sheetFormatPr defaultColWidth="9.140625" defaultRowHeight="15" outlineLevelRow="4" outlineLevelCol="2" x14ac:dyDescent="0.25"/>
  <cols>
    <col min="1" max="1" width="4.7109375" customWidth="1"/>
    <col min="2" max="2" width="2.7109375" customWidth="1"/>
    <col min="3" max="3" width="5.42578125" customWidth="1" outlineLevel="2"/>
    <col min="4" max="4" width="1.7109375" customWidth="1"/>
    <col min="5" max="6" width="9.140625" customWidth="1" outlineLevel="1"/>
    <col min="7" max="7" width="1.7109375" customWidth="1" outlineLevel="1"/>
    <col min="8" max="8" width="29.28515625" customWidth="1"/>
    <col min="9" max="10" width="10.28515625" customWidth="1"/>
    <col min="11" max="11" width="9.7109375" bestFit="1" customWidth="1"/>
    <col min="12" max="12" width="9.140625" customWidth="1"/>
    <col min="13" max="13" width="10.140625" customWidth="1"/>
    <col min="14" max="14" width="10.42578125" customWidth="1"/>
    <col min="15" max="15" width="9.42578125" bestFit="1" customWidth="1"/>
    <col min="16" max="16" width="9.28515625" bestFit="1" customWidth="1"/>
    <col min="17" max="17" width="9.42578125" bestFit="1" customWidth="1"/>
    <col min="18" max="18" width="9.28515625" bestFit="1" customWidth="1"/>
    <col min="19" max="19" width="10.7109375" bestFit="1" customWidth="1"/>
    <col min="20" max="20" width="9.28515625" bestFit="1" customWidth="1"/>
    <col min="21" max="21" width="9.42578125" bestFit="1" customWidth="1"/>
    <col min="25" max="25" width="10.140625" bestFit="1" customWidth="1"/>
    <col min="31" max="31" width="12.5703125" bestFit="1" customWidth="1"/>
    <col min="33" max="33" width="10.140625" bestFit="1" customWidth="1"/>
    <col min="34" max="39" width="10.140625" customWidth="1"/>
    <col min="40" max="40" width="1.7109375" customWidth="1"/>
    <col min="41" max="42" width="4.7109375" customWidth="1"/>
    <col min="44" max="44" width="46.140625" customWidth="1"/>
    <col min="45" max="46" width="7.5703125" customWidth="1"/>
    <col min="49" max="49" width="11.5703125" customWidth="1"/>
    <col min="50" max="50" width="15.28515625" customWidth="1"/>
    <col min="51" max="51" width="11.7109375" bestFit="1" customWidth="1"/>
    <col min="52" max="52" width="9.140625" customWidth="1"/>
    <col min="53" max="53" width="11.7109375" bestFit="1" customWidth="1"/>
    <col min="54" max="54" width="10.7109375" bestFit="1" customWidth="1"/>
    <col min="55" max="55" width="11.7109375" bestFit="1" customWidth="1"/>
    <col min="56" max="56" width="10.7109375" bestFit="1" customWidth="1"/>
    <col min="60" max="62" width="9.7109375" bestFit="1" customWidth="1"/>
    <col min="63" max="63" width="11.5703125" bestFit="1" customWidth="1"/>
    <col min="66" max="66" width="11.7109375" customWidth="1"/>
  </cols>
  <sheetData>
    <row r="1" spans="1:46" x14ac:dyDescent="0.25">
      <c r="A1" s="45"/>
      <c r="B1" s="45"/>
      <c r="C1" s="46"/>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37"/>
      <c r="AT1" s="437"/>
    </row>
    <row r="2" spans="1:46" outlineLevel="2" x14ac:dyDescent="0.25">
      <c r="A2" s="45"/>
      <c r="B2" s="45"/>
      <c r="C2" s="47">
        <f>INT($C$6)+2</f>
        <v>3</v>
      </c>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37"/>
      <c r="AT2" s="437"/>
    </row>
    <row r="3" spans="1:46" ht="5.0999999999999996" customHeight="1" thickBot="1" x14ac:dyDescent="0.3">
      <c r="A3" s="45"/>
      <c r="B3" s="48"/>
      <c r="C3" s="49">
        <f>INT($C$6)+0.005</f>
        <v>1.0049999999999999</v>
      </c>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5"/>
      <c r="AQ3" s="45"/>
      <c r="AR3" s="45"/>
      <c r="AS3" s="437"/>
      <c r="AT3" s="437"/>
    </row>
    <row r="4" spans="1:46" ht="5.0999999999999996" customHeight="1" outlineLevel="1" x14ac:dyDescent="0.25">
      <c r="A4" s="45"/>
      <c r="B4" s="50" t="s">
        <v>86</v>
      </c>
      <c r="C4" s="51">
        <f>INT($C$6)+1.005</f>
        <v>2.0049999999999999</v>
      </c>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3"/>
      <c r="AP4" s="45"/>
      <c r="AQ4" s="45"/>
      <c r="AR4" s="45"/>
      <c r="AS4" s="437"/>
      <c r="AT4" s="437"/>
    </row>
    <row r="5" spans="1:46" outlineLevel="4" x14ac:dyDescent="0.25">
      <c r="A5" s="45"/>
      <c r="B5" s="54"/>
      <c r="C5" s="47">
        <f>INT(MAX($C$9:$C$20))+1</f>
        <v>5</v>
      </c>
      <c r="D5" s="55"/>
      <c r="E5" s="56">
        <v>2</v>
      </c>
      <c r="F5" s="56">
        <v>2</v>
      </c>
      <c r="G5" s="56">
        <v>2.0099999999999998</v>
      </c>
      <c r="H5" s="56">
        <v>1.1499999999999999</v>
      </c>
      <c r="I5" s="56">
        <v>1</v>
      </c>
      <c r="J5" s="56">
        <v>1</v>
      </c>
      <c r="K5" s="56">
        <v>1</v>
      </c>
      <c r="L5" s="56">
        <v>1</v>
      </c>
      <c r="M5" s="56">
        <v>1</v>
      </c>
      <c r="N5" s="56">
        <v>1</v>
      </c>
      <c r="O5" s="56">
        <v>1</v>
      </c>
      <c r="P5" s="56">
        <v>1</v>
      </c>
      <c r="Q5" s="56">
        <v>1</v>
      </c>
      <c r="R5" s="56">
        <v>1</v>
      </c>
      <c r="S5" s="56">
        <v>1</v>
      </c>
      <c r="T5" s="56">
        <v>1</v>
      </c>
      <c r="U5" s="56">
        <v>1</v>
      </c>
      <c r="V5" s="56">
        <v>1</v>
      </c>
      <c r="W5" s="56">
        <v>1</v>
      </c>
      <c r="X5" s="56">
        <v>1</v>
      </c>
      <c r="Y5" s="56">
        <v>1</v>
      </c>
      <c r="Z5" s="56">
        <v>1</v>
      </c>
      <c r="AA5" s="56">
        <v>1</v>
      </c>
      <c r="AB5" s="56">
        <v>1</v>
      </c>
      <c r="AC5" s="56">
        <v>1</v>
      </c>
      <c r="AD5" s="56">
        <v>1</v>
      </c>
      <c r="AE5" s="56">
        <v>1</v>
      </c>
      <c r="AF5" s="56">
        <v>1</v>
      </c>
      <c r="AG5" s="56">
        <v>1</v>
      </c>
      <c r="AH5" s="56"/>
      <c r="AI5" s="56"/>
      <c r="AJ5" s="56"/>
      <c r="AK5" s="56"/>
      <c r="AL5" s="56"/>
      <c r="AM5" s="56"/>
      <c r="AN5" s="55"/>
      <c r="AO5" s="57"/>
      <c r="AP5" s="45"/>
      <c r="AQ5" s="45"/>
      <c r="AR5" s="45"/>
      <c r="AS5" s="437"/>
      <c r="AT5" s="437"/>
    </row>
    <row r="6" spans="1:46" ht="20.100000000000001" customHeight="1" x14ac:dyDescent="0.25">
      <c r="A6" s="45"/>
      <c r="B6" s="54"/>
      <c r="C6" s="47">
        <v>1.02</v>
      </c>
      <c r="D6" s="58"/>
      <c r="E6" s="59" t="s">
        <v>124</v>
      </c>
      <c r="F6" s="60">
        <v>2</v>
      </c>
      <c r="G6" s="61"/>
      <c r="H6" s="62" t="s">
        <v>125</v>
      </c>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4"/>
      <c r="AO6" s="57"/>
      <c r="AP6" s="45"/>
      <c r="AQ6" s="45"/>
      <c r="AR6" s="45"/>
      <c r="AS6" s="437"/>
      <c r="AT6" s="437"/>
    </row>
    <row r="7" spans="1:46" ht="20.100000000000001" customHeight="1" outlineLevel="1" x14ac:dyDescent="0.25">
      <c r="A7" s="45"/>
      <c r="B7" s="54"/>
      <c r="C7" s="47">
        <f>INT($C$6)+1.02</f>
        <v>2.02</v>
      </c>
      <c r="D7" s="58"/>
      <c r="E7" s="59" t="s">
        <v>126</v>
      </c>
      <c r="F7" s="65">
        <v>1</v>
      </c>
      <c r="G7" s="66"/>
      <c r="H7" s="67" t="s">
        <v>127</v>
      </c>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8"/>
      <c r="AL7" s="68"/>
      <c r="AM7" s="68"/>
      <c r="AN7" s="69"/>
      <c r="AO7" s="57"/>
      <c r="AP7" s="45"/>
      <c r="AQ7" s="45"/>
      <c r="AR7" s="45"/>
      <c r="AS7" s="437"/>
      <c r="AT7" s="437"/>
    </row>
    <row r="8" spans="1:46" ht="5.0999999999999996" customHeight="1" outlineLevel="2" x14ac:dyDescent="0.25">
      <c r="A8" s="45"/>
      <c r="B8" s="54"/>
      <c r="C8" s="47">
        <f>INT($C$6)+2.005</f>
        <v>3.0049999999999999</v>
      </c>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c r="AO8" s="57"/>
      <c r="AP8" s="45"/>
      <c r="AQ8" s="45"/>
      <c r="AR8" s="45"/>
      <c r="AS8" s="437"/>
      <c r="AT8" s="437"/>
    </row>
    <row r="9" spans="1:46" ht="5.0999999999999996" customHeight="1" outlineLevel="1" x14ac:dyDescent="0.25">
      <c r="A9" s="45"/>
      <c r="B9" s="54"/>
      <c r="C9" s="47">
        <f>INT($C$6)+1.005</f>
        <v>2.0049999999999999</v>
      </c>
      <c r="D9" s="73" t="s">
        <v>132</v>
      </c>
      <c r="E9" s="73"/>
      <c r="F9" s="73"/>
      <c r="G9" s="73"/>
      <c r="H9" s="74"/>
      <c r="I9" s="74"/>
      <c r="J9" s="74"/>
      <c r="K9" s="74"/>
      <c r="L9" s="74"/>
      <c r="M9" s="74"/>
      <c r="N9" s="74"/>
      <c r="O9" s="74"/>
      <c r="P9" s="74"/>
      <c r="Q9" s="74"/>
      <c r="R9" s="74"/>
      <c r="S9" s="74"/>
      <c r="T9" s="74"/>
      <c r="U9" s="74"/>
      <c r="V9" s="74"/>
      <c r="W9" s="74"/>
      <c r="X9" s="74"/>
      <c r="Y9" s="74"/>
      <c r="Z9" s="74"/>
      <c r="AA9" s="74"/>
      <c r="AB9" s="74"/>
      <c r="AC9" s="74"/>
      <c r="AD9" s="74"/>
      <c r="AE9" s="74"/>
      <c r="AF9" s="74"/>
      <c r="AG9" s="74"/>
      <c r="AH9" s="234"/>
      <c r="AI9" s="234"/>
      <c r="AJ9" s="234"/>
      <c r="AK9" s="234"/>
      <c r="AL9" s="234"/>
      <c r="AM9" s="234"/>
      <c r="AN9" s="73"/>
      <c r="AO9" s="57"/>
      <c r="AP9" s="45"/>
      <c r="AQ9" s="45"/>
      <c r="AR9" s="45"/>
      <c r="AS9" s="437"/>
      <c r="AT9" s="437"/>
    </row>
    <row r="10" spans="1:46" outlineLevel="1" x14ac:dyDescent="0.25">
      <c r="A10" s="45"/>
      <c r="B10" s="54"/>
      <c r="C10" s="47">
        <f>INT($C$6)+1</f>
        <v>2</v>
      </c>
      <c r="D10" s="73"/>
      <c r="E10" s="70"/>
      <c r="F10" s="70"/>
      <c r="G10" s="73"/>
      <c r="H10" s="75" t="s">
        <v>133</v>
      </c>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3"/>
      <c r="AO10" s="57"/>
      <c r="AP10" s="45"/>
      <c r="AQ10" s="45"/>
      <c r="AR10" s="45"/>
      <c r="AS10" s="437"/>
      <c r="AT10" s="437"/>
    </row>
    <row r="11" spans="1:46" ht="45" customHeight="1" outlineLevel="1" x14ac:dyDescent="0.25">
      <c r="A11" s="45"/>
      <c r="B11" s="54"/>
      <c r="C11" s="47">
        <f>INT($C$6)+1.045</f>
        <v>2.0449999999999999</v>
      </c>
      <c r="D11" s="73"/>
      <c r="E11" s="70"/>
      <c r="F11" s="70"/>
      <c r="G11" s="73"/>
      <c r="H11" s="76" t="s">
        <v>134</v>
      </c>
      <c r="I11" s="279">
        <v>46051.736473726902</v>
      </c>
      <c r="J11" s="642" t="s">
        <v>3785</v>
      </c>
      <c r="K11" s="638"/>
      <c r="L11" s="638"/>
      <c r="M11" s="638"/>
      <c r="N11" s="638"/>
      <c r="O11" s="638"/>
      <c r="P11" s="638"/>
      <c r="Q11" s="638"/>
      <c r="R11" s="638"/>
      <c r="S11" s="638"/>
      <c r="T11" s="638"/>
      <c r="U11" s="638"/>
      <c r="V11" s="638"/>
      <c r="W11" s="638"/>
      <c r="X11" s="638"/>
      <c r="Y11" s="284"/>
      <c r="Z11" s="284"/>
      <c r="AA11" s="284"/>
      <c r="AB11" s="284"/>
      <c r="AC11" s="76"/>
      <c r="AD11" s="76"/>
      <c r="AE11" s="76"/>
      <c r="AF11" s="76"/>
      <c r="AG11" s="76"/>
      <c r="AH11" s="76"/>
      <c r="AI11" s="76"/>
      <c r="AJ11" s="76"/>
      <c r="AK11" s="76"/>
      <c r="AL11" s="76"/>
      <c r="AM11" s="76"/>
      <c r="AN11" s="73"/>
      <c r="AO11" s="57"/>
      <c r="AP11" s="45"/>
      <c r="AQ11" s="45"/>
      <c r="AR11" s="45"/>
      <c r="AS11" s="437"/>
      <c r="AT11" s="437"/>
    </row>
    <row r="12" spans="1:46" ht="45" customHeight="1" outlineLevel="1" collapsed="1" x14ac:dyDescent="0.25">
      <c r="A12" s="45"/>
      <c r="B12" s="54"/>
      <c r="C12" s="47">
        <f>INT($C$6)+1.045</f>
        <v>2.0449999999999999</v>
      </c>
      <c r="D12" s="73"/>
      <c r="E12" s="70"/>
      <c r="F12" s="70"/>
      <c r="G12" s="73"/>
      <c r="H12" s="76" t="s">
        <v>135</v>
      </c>
      <c r="I12" s="271">
        <v>46237.432260995403</v>
      </c>
      <c r="J12" s="639" t="s">
        <v>3831</v>
      </c>
      <c r="K12" s="640"/>
      <c r="L12" s="640"/>
      <c r="M12" s="640"/>
      <c r="N12" s="640"/>
      <c r="O12" s="640"/>
      <c r="P12" s="640"/>
      <c r="Q12" s="640"/>
      <c r="R12" s="640"/>
      <c r="S12" s="640"/>
      <c r="T12" s="640"/>
      <c r="U12" s="640"/>
      <c r="V12" s="640"/>
      <c r="W12" s="640"/>
      <c r="X12" s="641"/>
      <c r="Y12" s="77"/>
      <c r="Z12" s="77"/>
      <c r="AA12" s="77"/>
      <c r="AB12" s="77"/>
      <c r="AC12" s="76"/>
      <c r="AD12" s="76"/>
      <c r="AE12" s="76"/>
      <c r="AF12" s="76"/>
      <c r="AG12" s="76"/>
      <c r="AH12" s="76"/>
      <c r="AI12" s="76"/>
      <c r="AJ12" s="76"/>
      <c r="AK12" s="76"/>
      <c r="AL12" s="76"/>
      <c r="AM12" s="76"/>
      <c r="AN12" s="73"/>
      <c r="AO12" s="57"/>
      <c r="AP12" s="45"/>
      <c r="AQ12" s="45"/>
      <c r="AR12" s="45"/>
      <c r="AS12" s="437"/>
      <c r="AT12" s="437"/>
    </row>
    <row r="13" spans="1:46" ht="5.0999999999999996" hidden="1" customHeight="1" outlineLevel="3" x14ac:dyDescent="0.25">
      <c r="A13" s="45"/>
      <c r="B13" s="54"/>
      <c r="C13" s="47">
        <f>INT($C$6)+3.005</f>
        <v>4.0049999999999999</v>
      </c>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t="s">
        <v>136</v>
      </c>
      <c r="AO13" s="57"/>
      <c r="AP13" s="45"/>
      <c r="AQ13" s="45"/>
      <c r="AR13" s="45"/>
      <c r="AS13" s="437"/>
      <c r="AT13" s="437"/>
    </row>
    <row r="14" spans="1:46" ht="5.0999999999999996" hidden="1" customHeight="1" outlineLevel="3" x14ac:dyDescent="0.25">
      <c r="A14" s="45"/>
      <c r="B14" s="54"/>
      <c r="C14" s="47">
        <f>INT($C$6)+3.005</f>
        <v>4.0049999999999999</v>
      </c>
      <c r="D14" s="73" t="s">
        <v>132</v>
      </c>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57"/>
      <c r="AP14" s="45"/>
      <c r="AQ14" s="45"/>
      <c r="AR14" s="45"/>
      <c r="AS14" s="437"/>
      <c r="AT14" s="437"/>
    </row>
    <row r="15" spans="1:46" hidden="1" outlineLevel="3" x14ac:dyDescent="0.25">
      <c r="A15" s="45"/>
      <c r="B15" s="54"/>
      <c r="C15" s="47">
        <f>INT($C$6)+3</f>
        <v>4</v>
      </c>
      <c r="D15" s="73"/>
      <c r="E15" s="70"/>
      <c r="F15" s="70"/>
      <c r="G15" s="73"/>
      <c r="H15" s="75" t="s">
        <v>137</v>
      </c>
      <c r="I15" s="78" t="s">
        <v>138</v>
      </c>
      <c r="J15" s="79">
        <v>15</v>
      </c>
      <c r="K15" s="78" t="s">
        <v>139</v>
      </c>
      <c r="L15" s="79">
        <v>8.43</v>
      </c>
      <c r="M15" s="76" t="s">
        <v>140</v>
      </c>
      <c r="N15" s="76"/>
      <c r="O15" s="80">
        <v>1</v>
      </c>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3"/>
      <c r="AO15" s="57"/>
      <c r="AP15" s="45"/>
      <c r="AQ15" s="45"/>
      <c r="AR15" s="45"/>
      <c r="AS15" s="437"/>
      <c r="AT15" s="437"/>
    </row>
    <row r="16" spans="1:46" hidden="1" outlineLevel="3" x14ac:dyDescent="0.25">
      <c r="A16" s="45"/>
      <c r="B16" s="54"/>
      <c r="C16" s="47">
        <f>INT($C$6)+3</f>
        <v>4</v>
      </c>
      <c r="D16" s="73"/>
      <c r="E16" s="70"/>
      <c r="F16" s="70"/>
      <c r="G16" s="73"/>
      <c r="H16" s="76" t="s">
        <v>141</v>
      </c>
      <c r="I16" s="76"/>
      <c r="J16" s="76"/>
      <c r="K16" s="76"/>
      <c r="L16" s="79" t="b">
        <v>1</v>
      </c>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3"/>
      <c r="AO16" s="57"/>
      <c r="AP16" s="45"/>
      <c r="AQ16" s="45"/>
      <c r="AR16" s="45"/>
      <c r="AS16" s="437"/>
      <c r="AT16" s="437"/>
    </row>
    <row r="17" spans="1:46" hidden="1" outlineLevel="3" x14ac:dyDescent="0.25">
      <c r="A17" s="45"/>
      <c r="B17" s="54"/>
      <c r="C17" s="47">
        <f>INT($C$6)+3</f>
        <v>4</v>
      </c>
      <c r="D17" s="73"/>
      <c r="E17" s="70"/>
      <c r="F17" s="70"/>
      <c r="G17" s="73"/>
      <c r="H17" s="76" t="s">
        <v>142</v>
      </c>
      <c r="I17" s="76"/>
      <c r="J17" s="76"/>
      <c r="K17" s="76"/>
      <c r="L17" s="79" t="b">
        <v>1</v>
      </c>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3"/>
      <c r="AO17" s="57"/>
      <c r="AP17" s="45"/>
      <c r="AQ17" s="45"/>
      <c r="AR17" s="45"/>
      <c r="AS17" s="437"/>
      <c r="AT17" s="437"/>
    </row>
    <row r="18" spans="1:46" hidden="1" outlineLevel="3" x14ac:dyDescent="0.25">
      <c r="A18" s="45"/>
      <c r="B18" s="54"/>
      <c r="C18" s="47">
        <f>INT($C$6)+3</f>
        <v>4</v>
      </c>
      <c r="D18" s="73"/>
      <c r="E18" s="70"/>
      <c r="F18" s="70"/>
      <c r="G18" s="73"/>
      <c r="H18" s="76" t="s">
        <v>143</v>
      </c>
      <c r="I18" s="76"/>
      <c r="J18" s="76"/>
      <c r="K18" s="76"/>
      <c r="L18" s="79" t="b">
        <v>1</v>
      </c>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3"/>
      <c r="AO18" s="57"/>
      <c r="AP18" s="45"/>
      <c r="AQ18" s="45"/>
      <c r="AR18" s="45"/>
      <c r="AS18" s="437"/>
      <c r="AT18" s="437"/>
    </row>
    <row r="19" spans="1:46" hidden="1" outlineLevel="3" x14ac:dyDescent="0.25">
      <c r="A19" s="45"/>
      <c r="B19" s="54"/>
      <c r="C19" s="47">
        <f>INT($C$6)+3</f>
        <v>4</v>
      </c>
      <c r="D19" s="73"/>
      <c r="E19" s="70"/>
      <c r="F19" s="70"/>
      <c r="G19" s="73"/>
      <c r="H19" s="76" t="s">
        <v>144</v>
      </c>
      <c r="I19" s="76"/>
      <c r="J19" s="76"/>
      <c r="K19" s="76"/>
      <c r="L19" s="79" t="b">
        <v>1</v>
      </c>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3"/>
      <c r="AO19" s="57"/>
      <c r="AP19" s="45"/>
      <c r="AQ19" s="45"/>
      <c r="AR19" s="45"/>
      <c r="AS19" s="437"/>
      <c r="AT19" s="437"/>
    </row>
    <row r="20" spans="1:46" ht="5.0999999999999996" hidden="1" customHeight="1" outlineLevel="3" x14ac:dyDescent="0.25">
      <c r="A20" s="45"/>
      <c r="B20" s="54"/>
      <c r="C20" s="47">
        <f>INT($C$6)+3.005</f>
        <v>4.0049999999999999</v>
      </c>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t="s">
        <v>136</v>
      </c>
      <c r="AO20" s="57"/>
      <c r="AP20" s="45"/>
      <c r="AQ20" s="45"/>
      <c r="AR20" s="45"/>
      <c r="AS20" s="437"/>
      <c r="AT20" s="437"/>
    </row>
    <row r="21" spans="1:46" ht="5.0999999999999996" hidden="1" customHeight="1" outlineLevel="2" x14ac:dyDescent="0.25">
      <c r="A21" s="45"/>
      <c r="B21" s="54"/>
      <c r="C21" s="47">
        <f>INT($C$6)+2.005</f>
        <v>3.0049999999999999</v>
      </c>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57"/>
      <c r="AP21" s="45"/>
      <c r="AQ21" s="45"/>
      <c r="AR21" s="45"/>
      <c r="AS21" s="437"/>
      <c r="AT21" s="437"/>
    </row>
    <row r="22" spans="1:46" ht="5.0999999999999996" customHeight="1" outlineLevel="1" x14ac:dyDescent="0.25">
      <c r="A22" s="45"/>
      <c r="B22" s="81"/>
      <c r="C22" s="82">
        <f>INT($C$6)+1.005</f>
        <v>2.0049999999999999</v>
      </c>
      <c r="D22" s="83"/>
      <c r="E22" s="83"/>
      <c r="F22" s="83"/>
      <c r="G22" s="83"/>
      <c r="H22" s="83"/>
      <c r="I22" s="83"/>
      <c r="J22" s="83"/>
      <c r="K22" s="83"/>
      <c r="L22" s="83"/>
      <c r="M22" s="83"/>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4" t="s">
        <v>145</v>
      </c>
      <c r="AP22" s="45"/>
      <c r="AQ22" s="45"/>
      <c r="AR22" s="45"/>
      <c r="AS22" s="437"/>
      <c r="AT22" s="437"/>
    </row>
    <row r="23" spans="1:46" ht="5.0999999999999996" customHeight="1" x14ac:dyDescent="0.25">
      <c r="A23" s="45"/>
      <c r="B23" s="85"/>
      <c r="C23" s="86">
        <f>INT($C$6)+0.005</f>
        <v>1.0049999999999999</v>
      </c>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45"/>
      <c r="AQ23" s="45"/>
      <c r="AR23" s="45"/>
      <c r="AS23" s="437"/>
      <c r="AT23" s="437"/>
    </row>
    <row r="24" spans="1:46" outlineLevel="2" x14ac:dyDescent="0.25">
      <c r="A24" s="45"/>
      <c r="B24" s="45"/>
      <c r="C24" s="47">
        <f>INT($C$6)+2</f>
        <v>3</v>
      </c>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37"/>
      <c r="AT24" s="437"/>
    </row>
    <row r="25" spans="1:46" outlineLevel="2" x14ac:dyDescent="0.25">
      <c r="A25" s="45"/>
      <c r="B25" s="45"/>
      <c r="C25" s="87">
        <f>INT($C$29)+2</f>
        <v>3</v>
      </c>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37"/>
      <c r="AT25" s="437"/>
    </row>
    <row r="26" spans="1:46" ht="5.0999999999999996" customHeight="1" thickBot="1" x14ac:dyDescent="0.3">
      <c r="A26" s="45"/>
      <c r="B26" s="48"/>
      <c r="C26" s="88">
        <f>INT($C$29)+0.005</f>
        <v>1.0049999999999999</v>
      </c>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5"/>
      <c r="AQ26" s="45"/>
      <c r="AR26" s="45"/>
      <c r="AS26" s="437"/>
      <c r="AT26" s="437"/>
    </row>
    <row r="27" spans="1:46" ht="5.0999999999999996" customHeight="1" outlineLevel="1" x14ac:dyDescent="0.25">
      <c r="A27" s="45"/>
      <c r="B27" s="50" t="s">
        <v>86</v>
      </c>
      <c r="C27" s="89">
        <f>INT($C$29)+1.005</f>
        <v>2.0049999999999999</v>
      </c>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3"/>
      <c r="AP27" s="45"/>
      <c r="AQ27" s="45"/>
      <c r="AR27" s="45"/>
      <c r="AS27" s="437"/>
      <c r="AT27" s="437"/>
    </row>
    <row r="28" spans="1:46" outlineLevel="4" x14ac:dyDescent="0.25">
      <c r="A28" s="45"/>
      <c r="B28" s="54"/>
      <c r="C28" s="87">
        <f>INT(MAX($C$46:$C$55))+1</f>
        <v>5</v>
      </c>
      <c r="D28" s="55"/>
      <c r="E28" s="55"/>
      <c r="F28" s="55"/>
      <c r="G28" s="55"/>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5"/>
      <c r="AO28" s="57"/>
      <c r="AP28" s="45"/>
      <c r="AQ28" s="45"/>
      <c r="AR28" s="45"/>
      <c r="AS28" s="437"/>
      <c r="AT28" s="437"/>
    </row>
    <row r="29" spans="1:46" ht="20.100000000000001" customHeight="1" x14ac:dyDescent="0.25">
      <c r="A29" s="45"/>
      <c r="B29" s="54"/>
      <c r="C29" s="87">
        <v>1.02</v>
      </c>
      <c r="D29" s="58"/>
      <c r="E29" s="59" t="s">
        <v>124</v>
      </c>
      <c r="F29" s="60"/>
      <c r="G29" s="61"/>
      <c r="H29" s="62" t="str">
        <f>COUNTIFS($B$1:$B29, "«")&amp;" Universal: Coefficients for calculations"</f>
        <v>2 Universal: Coefficients for calculations</v>
      </c>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4"/>
      <c r="AO29" s="57"/>
      <c r="AP29" s="45"/>
      <c r="AQ29" s="45"/>
      <c r="AR29" s="45"/>
      <c r="AS29" s="437"/>
      <c r="AT29" s="437"/>
    </row>
    <row r="30" spans="1:46" ht="20.100000000000001" customHeight="1" outlineLevel="1" x14ac:dyDescent="0.25">
      <c r="A30" s="45"/>
      <c r="B30" s="54"/>
      <c r="C30" s="87">
        <f>INT($C$29)+1.02</f>
        <v>2.02</v>
      </c>
      <c r="D30" s="58"/>
      <c r="E30" s="59" t="s">
        <v>126</v>
      </c>
      <c r="F30" s="65">
        <v>1</v>
      </c>
      <c r="G30" s="66"/>
      <c r="H30" s="67" t="s">
        <v>2270</v>
      </c>
      <c r="I30" s="68"/>
      <c r="J30" s="68"/>
      <c r="K30" s="68"/>
      <c r="L30" s="68"/>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9"/>
      <c r="AO30" s="57"/>
      <c r="AP30" s="45"/>
      <c r="AQ30" s="45"/>
      <c r="AR30" s="45"/>
      <c r="AS30" s="437"/>
      <c r="AT30" s="437"/>
    </row>
    <row r="31" spans="1:46" ht="5.0999999999999996" customHeight="1" outlineLevel="2" x14ac:dyDescent="0.25">
      <c r="A31" s="45"/>
      <c r="B31" s="54"/>
      <c r="C31" s="87">
        <f>INT($C$29)+2.005</f>
        <v>3.0049999999999999</v>
      </c>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7"/>
      <c r="AP31" s="45"/>
      <c r="AQ31" s="45"/>
      <c r="AR31" s="45"/>
      <c r="AS31" s="437"/>
      <c r="AT31" s="437"/>
    </row>
    <row r="32" spans="1:46" outlineLevel="2" x14ac:dyDescent="0.25">
      <c r="A32" s="45"/>
      <c r="B32" s="54"/>
      <c r="C32" s="87">
        <f>INT($C$29)+2</f>
        <v>3</v>
      </c>
      <c r="D32" s="55"/>
      <c r="E32" s="70"/>
      <c r="F32" s="70"/>
      <c r="G32" s="55"/>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55"/>
      <c r="AO32" s="57"/>
      <c r="AP32" s="45"/>
      <c r="AQ32" s="45"/>
      <c r="AR32" s="45"/>
      <c r="AS32" s="437"/>
      <c r="AT32" s="437"/>
    </row>
    <row r="33" spans="1:46" outlineLevel="2" x14ac:dyDescent="0.25">
      <c r="A33" s="45"/>
      <c r="B33" s="54"/>
      <c r="C33" s="87">
        <f>INT($C$29)+2</f>
        <v>3</v>
      </c>
      <c r="D33" s="55"/>
      <c r="E33" s="70"/>
      <c r="F33" s="70"/>
      <c r="G33" s="55"/>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55"/>
      <c r="AO33" s="57"/>
      <c r="AP33" s="45"/>
      <c r="AQ33" s="45"/>
      <c r="AR33" s="45"/>
      <c r="AS33" s="437"/>
      <c r="AT33" s="437"/>
    </row>
    <row r="34" spans="1:46" outlineLevel="2" x14ac:dyDescent="0.25">
      <c r="A34" s="45"/>
      <c r="B34" s="54"/>
      <c r="C34" s="87">
        <f>INT($C$29)+2</f>
        <v>3</v>
      </c>
      <c r="D34" s="55"/>
      <c r="E34" s="70"/>
      <c r="F34" s="70"/>
      <c r="G34" s="55"/>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55"/>
      <c r="AO34" s="57"/>
      <c r="AP34" s="45"/>
      <c r="AQ34" s="45"/>
      <c r="AR34" s="45"/>
      <c r="AS34" s="437"/>
      <c r="AT34" s="437"/>
    </row>
    <row r="35" spans="1:46" outlineLevel="2" x14ac:dyDescent="0.25">
      <c r="A35" s="45"/>
      <c r="B35" s="54"/>
      <c r="C35" s="87">
        <f>INT($C$29)+2</f>
        <v>3</v>
      </c>
      <c r="D35" s="55"/>
      <c r="E35" s="70"/>
      <c r="F35" s="70"/>
      <c r="G35" s="55"/>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55"/>
      <c r="AO35" s="57"/>
      <c r="AP35" s="45"/>
      <c r="AQ35" s="45"/>
      <c r="AR35" s="45"/>
      <c r="AS35" s="437"/>
      <c r="AT35" s="437"/>
    </row>
    <row r="36" spans="1:46" ht="11.45" customHeight="1" outlineLevel="2" x14ac:dyDescent="0.25">
      <c r="A36" s="45"/>
      <c r="B36" s="54" t="s">
        <v>129</v>
      </c>
      <c r="C36" s="87">
        <f>INT($C$29)+2.01</f>
        <v>3.01</v>
      </c>
      <c r="D36" s="55"/>
      <c r="E36" s="55"/>
      <c r="F36" s="55"/>
      <c r="G36" s="55"/>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55"/>
      <c r="AO36" s="57"/>
      <c r="AP36" s="45"/>
      <c r="AQ36" s="45"/>
      <c r="AR36" s="45"/>
      <c r="AS36" s="437"/>
      <c r="AT36" s="437"/>
    </row>
    <row r="37" spans="1:46" outlineLevel="4" x14ac:dyDescent="0.25">
      <c r="A37" s="45"/>
      <c r="B37" s="54"/>
      <c r="C37" s="87">
        <f>INT(MAX($C$46:$C$55))+1</f>
        <v>5</v>
      </c>
      <c r="D37" s="73"/>
      <c r="E37" s="70"/>
      <c r="F37" s="70"/>
      <c r="G37" s="73"/>
      <c r="H37" s="70"/>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3"/>
      <c r="AO37" s="57"/>
      <c r="AP37" s="45"/>
      <c r="AQ37" s="45"/>
      <c r="AR37" s="45"/>
      <c r="AS37" s="437"/>
      <c r="AT37" s="437"/>
    </row>
    <row r="38" spans="1:46" outlineLevel="4" x14ac:dyDescent="0.25">
      <c r="A38" s="45"/>
      <c r="B38" s="54" t="s">
        <v>130</v>
      </c>
      <c r="C38" s="87">
        <f>INT(MAX($C$46:$C$55))+1</f>
        <v>5</v>
      </c>
      <c r="D38" s="73" t="s">
        <v>131</v>
      </c>
      <c r="E38" s="70"/>
      <c r="F38" s="70"/>
      <c r="G38" s="73"/>
      <c r="H38" s="70"/>
      <c r="I38" s="70"/>
      <c r="J38" s="60">
        <v>0</v>
      </c>
      <c r="K38" s="60">
        <v>1</v>
      </c>
      <c r="L38" s="60">
        <v>2</v>
      </c>
      <c r="M38" s="60">
        <v>3</v>
      </c>
      <c r="N38" s="60">
        <v>4</v>
      </c>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3"/>
      <c r="AO38" s="57"/>
      <c r="AP38" s="45"/>
      <c r="AQ38" s="45"/>
      <c r="AR38" s="45"/>
      <c r="AS38" s="437"/>
      <c r="AT38" s="437"/>
    </row>
    <row r="39" spans="1:46" outlineLevel="1" x14ac:dyDescent="0.25">
      <c r="A39" s="45"/>
      <c r="B39" s="54"/>
      <c r="C39" s="87">
        <f>INT($C$29)+1</f>
        <v>2</v>
      </c>
      <c r="D39" s="73"/>
      <c r="E39" s="70"/>
      <c r="F39" s="70"/>
      <c r="G39" s="73"/>
      <c r="H39" s="90" t="s">
        <v>146</v>
      </c>
      <c r="I39" s="91" t="str">
        <f>"("&amp;ROWS(i_scan_coeff_l0s)&amp;","&amp;COLUMNS(i_scan_coeff_l0s)&amp;"): i_scan_coeff_l0s(pointers) = input"</f>
        <v>(4,5): i_scan_coeff_l0s(pointers) = input</v>
      </c>
      <c r="J39" s="92"/>
      <c r="K39" s="92"/>
      <c r="L39" s="92"/>
      <c r="M39" s="92"/>
      <c r="N39" s="92"/>
      <c r="O39" s="92"/>
      <c r="P39" s="92"/>
      <c r="Q39" s="92"/>
      <c r="R39" s="92"/>
      <c r="S39" s="92"/>
      <c r="T39" s="92"/>
      <c r="U39" s="92"/>
      <c r="V39" s="92"/>
      <c r="W39" s="92"/>
      <c r="X39" s="92"/>
      <c r="Y39" s="92"/>
      <c r="Z39" s="93"/>
      <c r="AA39" s="93"/>
      <c r="AB39" s="93"/>
      <c r="AC39" s="93"/>
      <c r="AD39" s="93"/>
      <c r="AE39" s="93"/>
      <c r="AF39" s="93"/>
      <c r="AG39" s="93"/>
      <c r="AH39" s="93"/>
      <c r="AI39" s="93"/>
      <c r="AJ39" s="93"/>
      <c r="AK39" s="93"/>
      <c r="AL39" s="93"/>
      <c r="AM39" s="93"/>
      <c r="AN39" s="73"/>
      <c r="AO39" s="57"/>
      <c r="AP39" s="45"/>
      <c r="AQ39" s="45"/>
      <c r="AR39" s="45"/>
      <c r="AS39" s="437"/>
      <c r="AT39" s="437"/>
    </row>
    <row r="40" spans="1:46" outlineLevel="1" x14ac:dyDescent="0.25">
      <c r="A40" s="45"/>
      <c r="B40" s="54"/>
      <c r="C40" s="87">
        <f>INT($C$29)+1</f>
        <v>2</v>
      </c>
      <c r="D40" s="73"/>
      <c r="E40" s="70"/>
      <c r="F40" s="70"/>
      <c r="G40" s="73"/>
      <c r="H40" s="90" t="s">
        <v>2269</v>
      </c>
      <c r="I40" s="91"/>
      <c r="J40" s="92"/>
      <c r="K40" s="92"/>
      <c r="L40" s="92"/>
      <c r="M40" s="92"/>
      <c r="N40" s="92"/>
      <c r="O40" s="92"/>
      <c r="P40" s="92"/>
      <c r="Q40" s="92"/>
      <c r="R40" s="92"/>
      <c r="S40" s="92"/>
      <c r="T40" s="92"/>
      <c r="U40" s="92"/>
      <c r="V40" s="92"/>
      <c r="W40" s="92"/>
      <c r="X40" s="92"/>
      <c r="Y40" s="92"/>
      <c r="Z40" s="93"/>
      <c r="AA40" s="93"/>
      <c r="AB40" s="93"/>
      <c r="AC40" s="93"/>
      <c r="AD40" s="93"/>
      <c r="AE40" s="93"/>
      <c r="AF40" s="93"/>
      <c r="AG40" s="93"/>
      <c r="AH40" s="93"/>
      <c r="AI40" s="93"/>
      <c r="AJ40" s="93"/>
      <c r="AK40" s="93"/>
      <c r="AL40" s="93"/>
      <c r="AM40" s="93"/>
      <c r="AN40" s="73"/>
      <c r="AO40" s="57"/>
      <c r="AP40" s="45"/>
      <c r="AQ40" s="45"/>
      <c r="AR40" s="45"/>
      <c r="AS40" s="437"/>
      <c r="AT40" s="437"/>
    </row>
    <row r="41" spans="1:46" ht="5.0999999999999996" customHeight="1" outlineLevel="3" x14ac:dyDescent="0.25">
      <c r="A41" s="45"/>
      <c r="B41" s="54"/>
      <c r="C41" s="87">
        <f>INT($C$29)+3.005</f>
        <v>4.0049999999999999</v>
      </c>
      <c r="D41" s="73"/>
      <c r="E41" s="73"/>
      <c r="F41" s="73"/>
      <c r="G41" s="73"/>
      <c r="H41" s="73"/>
      <c r="I41" s="98"/>
      <c r="J41" s="98"/>
      <c r="K41" s="98"/>
      <c r="L41" s="98"/>
      <c r="M41" s="98"/>
      <c r="N41" s="98"/>
      <c r="O41" s="98"/>
      <c r="P41" s="98"/>
      <c r="Q41" s="98"/>
      <c r="R41" s="98"/>
      <c r="S41" s="73"/>
      <c r="T41" s="73"/>
      <c r="U41" s="73"/>
      <c r="V41" s="73"/>
      <c r="W41" s="73"/>
      <c r="X41" s="73"/>
      <c r="Y41" s="73"/>
      <c r="Z41" s="73"/>
      <c r="AA41" s="73"/>
      <c r="AB41" s="73"/>
      <c r="AC41" s="73"/>
      <c r="AD41" s="73"/>
      <c r="AE41" s="73"/>
      <c r="AF41" s="73"/>
      <c r="AG41" s="73"/>
      <c r="AH41" s="73"/>
      <c r="AI41" s="73"/>
      <c r="AJ41" s="73"/>
      <c r="AK41" s="73"/>
      <c r="AL41" s="73"/>
      <c r="AM41" s="73"/>
      <c r="AN41" s="73" t="s">
        <v>136</v>
      </c>
      <c r="AO41" s="57"/>
      <c r="AP41" s="45"/>
      <c r="AQ41" s="45"/>
      <c r="AR41" s="45"/>
      <c r="AS41" s="437"/>
      <c r="AT41" s="437"/>
    </row>
    <row r="42" spans="1:46" outlineLevel="1" x14ac:dyDescent="0.25">
      <c r="A42" s="45"/>
      <c r="B42" s="54"/>
      <c r="C42" s="87">
        <f>INT($C$29)+1</f>
        <v>2</v>
      </c>
      <c r="D42" s="73"/>
      <c r="E42" s="70"/>
      <c r="F42" s="70"/>
      <c r="G42" s="73"/>
      <c r="H42" s="90" t="s">
        <v>154</v>
      </c>
      <c r="I42" s="91" t="str">
        <f>"("&amp;ROWS(i_cu5_c5)-2&amp;","&amp;COLUMNS(i_cu5_c5)-1&amp;"): i_cu5_c5(pointers) = input"</f>
        <v>(7,5): i_cu5_c5(pointers) = input</v>
      </c>
      <c r="J42" s="92"/>
      <c r="K42" s="92"/>
      <c r="L42" s="92"/>
      <c r="M42" s="92"/>
      <c r="N42" s="92"/>
      <c r="O42" s="92"/>
      <c r="P42" s="92"/>
      <c r="Q42" s="92"/>
      <c r="R42" s="92"/>
      <c r="S42" s="92"/>
      <c r="T42" s="92"/>
      <c r="U42" s="92"/>
      <c r="V42" s="92"/>
      <c r="W42" s="92"/>
      <c r="X42" s="92"/>
      <c r="Y42" s="92"/>
      <c r="Z42" s="93"/>
      <c r="AA42" s="93"/>
      <c r="AB42" s="93"/>
      <c r="AC42" s="93"/>
      <c r="AD42" s="93"/>
      <c r="AE42" s="93"/>
      <c r="AF42" s="93"/>
      <c r="AG42" s="93"/>
      <c r="AH42" s="93"/>
      <c r="AI42" s="93"/>
      <c r="AJ42" s="93"/>
      <c r="AK42" s="93"/>
      <c r="AL42" s="93"/>
      <c r="AM42" s="93"/>
      <c r="AN42" s="73"/>
      <c r="AO42" s="57"/>
      <c r="AP42" s="45"/>
      <c r="AQ42" s="45"/>
      <c r="AR42" s="45"/>
      <c r="AS42" s="437"/>
      <c r="AT42" s="437"/>
    </row>
    <row r="43" spans="1:46" ht="5.0999999999999996" customHeight="1" outlineLevel="3" x14ac:dyDescent="0.25">
      <c r="A43" s="45"/>
      <c r="B43" s="54"/>
      <c r="C43" s="87">
        <f>INT($C$29)+3.005</f>
        <v>4.0049999999999999</v>
      </c>
      <c r="D43" s="73" t="s">
        <v>132</v>
      </c>
      <c r="E43" s="73"/>
      <c r="F43" s="73"/>
      <c r="G43" s="73"/>
      <c r="H43" s="73"/>
      <c r="I43" s="73"/>
      <c r="J43" s="73"/>
      <c r="K43" s="73"/>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57"/>
      <c r="AP43" s="45"/>
      <c r="AQ43" s="45"/>
      <c r="AR43" s="45"/>
      <c r="AS43" s="437"/>
      <c r="AT43" s="437"/>
    </row>
    <row r="44" spans="1:46" outlineLevel="2" x14ac:dyDescent="0.25">
      <c r="A44" s="45"/>
      <c r="B44" s="54"/>
      <c r="C44" s="87">
        <f>INT($C$29)+2</f>
        <v>3</v>
      </c>
      <c r="D44" s="73"/>
      <c r="E44" s="70"/>
      <c r="F44" s="70"/>
      <c r="G44" s="73"/>
      <c r="H44" s="76" t="s">
        <v>2549</v>
      </c>
      <c r="I44" s="96"/>
      <c r="J44" s="96"/>
      <c r="K44" s="96"/>
      <c r="L44" s="96"/>
      <c r="M44" s="96"/>
      <c r="N44" s="9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3"/>
      <c r="AO44" s="57"/>
      <c r="AP44" s="45"/>
      <c r="AQ44" s="45"/>
      <c r="AR44" s="45"/>
      <c r="AS44" s="437"/>
      <c r="AT44" s="437"/>
    </row>
    <row r="45" spans="1:46" outlineLevel="2" x14ac:dyDescent="0.25">
      <c r="A45" s="45"/>
      <c r="B45" s="54"/>
      <c r="C45" s="87">
        <f>INT($C$29)+2</f>
        <v>3</v>
      </c>
      <c r="D45" s="73"/>
      <c r="E45" s="70"/>
      <c r="F45" s="70"/>
      <c r="G45" s="73"/>
      <c r="H45" s="76"/>
      <c r="I45" s="97">
        <v>158</v>
      </c>
      <c r="J45" s="96" t="s">
        <v>654</v>
      </c>
      <c r="K45" s="96"/>
      <c r="L45" s="96"/>
      <c r="M45" s="96"/>
      <c r="N45" s="9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3"/>
      <c r="AO45" s="57"/>
      <c r="AP45" s="45"/>
      <c r="AQ45" s="45"/>
      <c r="AR45" s="45"/>
      <c r="AS45" s="437"/>
      <c r="AT45" s="437"/>
    </row>
    <row r="46" spans="1:46" ht="5.0999999999999996" customHeight="1" outlineLevel="2" x14ac:dyDescent="0.25">
      <c r="A46" s="45"/>
      <c r="B46" s="54"/>
      <c r="C46" s="87">
        <f>INT($C$29)+2.005</f>
        <v>3.0049999999999999</v>
      </c>
      <c r="D46" s="73" t="s">
        <v>132</v>
      </c>
      <c r="E46" s="73"/>
      <c r="F46" s="73"/>
      <c r="G46" s="73"/>
      <c r="H46" s="94"/>
      <c r="I46" s="94"/>
      <c r="J46" s="94"/>
      <c r="K46" s="94"/>
      <c r="L46" s="94"/>
      <c r="M46" s="94"/>
      <c r="N46" s="94"/>
      <c r="O46" s="94"/>
      <c r="P46" s="94"/>
      <c r="Q46" s="94"/>
      <c r="R46" s="94"/>
      <c r="S46" s="94"/>
      <c r="T46" s="94"/>
      <c r="U46" s="94"/>
      <c r="V46" s="94"/>
      <c r="W46" s="94"/>
      <c r="X46" s="94"/>
      <c r="Y46" s="94"/>
      <c r="Z46" s="94"/>
      <c r="AA46" s="94"/>
      <c r="AB46" s="94"/>
      <c r="AC46" s="94"/>
      <c r="AD46" s="94"/>
      <c r="AE46" s="94"/>
      <c r="AF46" s="94"/>
      <c r="AG46" s="94"/>
      <c r="AH46" s="234"/>
      <c r="AI46" s="234"/>
      <c r="AJ46" s="234"/>
      <c r="AK46" s="234"/>
      <c r="AL46" s="234"/>
      <c r="AM46" s="234"/>
      <c r="AN46" s="73"/>
      <c r="AO46" s="57"/>
      <c r="AP46" s="45"/>
      <c r="AQ46" s="45"/>
      <c r="AR46" s="45"/>
      <c r="AS46" s="437"/>
      <c r="AT46" s="437"/>
    </row>
    <row r="47" spans="1:46" outlineLevel="2" x14ac:dyDescent="0.25">
      <c r="A47" s="45"/>
      <c r="B47" s="54"/>
      <c r="C47" s="87">
        <f>INT($C$29)+2</f>
        <v>3</v>
      </c>
      <c r="D47" s="73"/>
      <c r="E47" s="70"/>
      <c r="F47" s="70"/>
      <c r="G47" s="73"/>
      <c r="H47" s="76"/>
      <c r="I47" s="76"/>
      <c r="J47" s="95" t="s">
        <v>2704</v>
      </c>
      <c r="K47" s="95"/>
      <c r="L47" s="95"/>
      <c r="M47" s="95"/>
      <c r="N47" s="95"/>
      <c r="O47" s="76"/>
      <c r="P47" s="95" t="s">
        <v>2705</v>
      </c>
      <c r="Q47" s="95"/>
      <c r="R47" s="76"/>
      <c r="S47" s="76"/>
      <c r="T47" s="76"/>
      <c r="U47" s="76"/>
      <c r="V47" s="76"/>
      <c r="W47" s="76"/>
      <c r="X47" s="76"/>
      <c r="Y47" s="76"/>
      <c r="Z47" s="76"/>
      <c r="AA47" s="76"/>
      <c r="AB47" s="76"/>
      <c r="AC47" s="76"/>
      <c r="AD47" s="76"/>
      <c r="AE47" s="76"/>
      <c r="AF47" s="76"/>
      <c r="AG47" s="76"/>
      <c r="AH47" s="76"/>
      <c r="AI47" s="76"/>
      <c r="AJ47" s="76"/>
      <c r="AK47" s="76"/>
      <c r="AL47" s="76"/>
      <c r="AM47" s="76"/>
      <c r="AN47" s="73"/>
      <c r="AO47" s="57"/>
      <c r="AP47" s="45"/>
      <c r="AQ47" s="45"/>
      <c r="AR47" s="45"/>
      <c r="AS47" s="437"/>
      <c r="AT47" s="437"/>
    </row>
    <row r="48" spans="1:46" ht="25.5" outlineLevel="2" x14ac:dyDescent="0.25">
      <c r="A48" s="45"/>
      <c r="B48" s="54"/>
      <c r="C48" s="87">
        <f>INT($C$29)+2</f>
        <v>3</v>
      </c>
      <c r="D48" s="73"/>
      <c r="E48" s="70"/>
      <c r="F48" s="70"/>
      <c r="G48" s="73"/>
      <c r="H48" s="76" t="s">
        <v>147</v>
      </c>
      <c r="I48" s="76" t="s">
        <v>148</v>
      </c>
      <c r="J48" s="335" t="str">
        <f>IF(J$38 = 0, "Intercept ","")&amp;"scan_per^"&amp;J$38</f>
        <v>Intercept scan_per^0</v>
      </c>
      <c r="K48" s="335" t="str">
        <f>IF(K$38 = 0, "Intercept ","")&amp;"scan_per^"&amp;K$38</f>
        <v>scan_per^1</v>
      </c>
      <c r="L48" s="335" t="str">
        <f>IF(L$38 = 0, "Intercept ","")&amp;"scan_per^"&amp;L$38</f>
        <v>scan_per^2</v>
      </c>
      <c r="M48" s="335" t="str">
        <f>IF(M$38 = 0, "Intercept ","")&amp;"scan_per^"&amp;M$38</f>
        <v>scan_per^3</v>
      </c>
      <c r="N48" s="335" t="str">
        <f>IF(N$38 = 0, "Intercept ","")&amp;"scan_per^"&amp;N$38</f>
        <v>scan_per^4</v>
      </c>
      <c r="O48" s="76"/>
      <c r="P48" s="431" t="s">
        <v>3460</v>
      </c>
      <c r="Q48" s="96" t="s">
        <v>3467</v>
      </c>
      <c r="R48" s="96" t="s">
        <v>3461</v>
      </c>
      <c r="S48" s="76"/>
      <c r="T48" s="76"/>
      <c r="U48" s="76"/>
      <c r="V48" s="76"/>
      <c r="W48" s="76"/>
      <c r="X48" s="76"/>
      <c r="Y48" s="76"/>
      <c r="Z48" s="76"/>
      <c r="AA48" s="76"/>
      <c r="AB48" s="76"/>
      <c r="AC48" s="76"/>
      <c r="AD48" s="76"/>
      <c r="AE48" s="76"/>
      <c r="AF48" s="76"/>
      <c r="AG48" s="76"/>
      <c r="AH48" s="76"/>
      <c r="AI48" s="76"/>
      <c r="AJ48" s="76"/>
      <c r="AK48" s="76"/>
      <c r="AL48" s="76"/>
      <c r="AM48" s="76"/>
      <c r="AN48" s="73"/>
      <c r="AO48" s="57"/>
      <c r="AP48" s="45"/>
      <c r="AQ48" s="45"/>
      <c r="AR48" s="45"/>
      <c r="AS48" s="437"/>
      <c r="AT48" s="437"/>
    </row>
    <row r="49" spans="1:46" outlineLevel="2" x14ac:dyDescent="0.25">
      <c r="A49" s="45"/>
      <c r="B49" s="54"/>
      <c r="C49" s="87">
        <f>INT($C$29)+2</f>
        <v>3</v>
      </c>
      <c r="D49" s="73"/>
      <c r="E49" s="70"/>
      <c r="F49" s="70">
        <v>0</v>
      </c>
      <c r="G49" s="73"/>
      <c r="H49" s="76" t="s">
        <v>149</v>
      </c>
      <c r="I49" s="78" t="s">
        <v>150</v>
      </c>
      <c r="J49" s="97">
        <v>0.78159999999999996</v>
      </c>
      <c r="K49" s="97">
        <v>-0.84130000000000005</v>
      </c>
      <c r="L49" s="97">
        <v>0.2828</v>
      </c>
      <c r="M49" s="97">
        <v>-2.3699999999999999E-2</v>
      </c>
      <c r="N49" s="97">
        <v>0</v>
      </c>
      <c r="O49" s="76"/>
      <c r="P49" s="97">
        <f>R49</f>
        <v>2</v>
      </c>
      <c r="Q49" s="97">
        <f>R49</f>
        <v>2</v>
      </c>
      <c r="R49" s="97">
        <v>2</v>
      </c>
      <c r="S49" s="76"/>
      <c r="T49" s="76"/>
      <c r="U49" s="76"/>
      <c r="V49" s="76"/>
      <c r="W49" s="76"/>
      <c r="X49" s="76"/>
      <c r="Y49" s="76"/>
      <c r="Z49" s="76"/>
      <c r="AA49" s="76"/>
      <c r="AB49" s="76"/>
      <c r="AC49" s="76"/>
      <c r="AD49" s="76"/>
      <c r="AE49" s="76"/>
      <c r="AF49" s="76"/>
      <c r="AG49" s="76"/>
      <c r="AH49" s="76"/>
      <c r="AI49" s="76"/>
      <c r="AJ49" s="76"/>
      <c r="AK49" s="76"/>
      <c r="AL49" s="76"/>
      <c r="AM49" s="76"/>
      <c r="AN49" s="73"/>
      <c r="AO49" s="57"/>
      <c r="AP49" s="45"/>
      <c r="AQ49" s="45"/>
      <c r="AR49" s="45"/>
      <c r="AS49" s="437"/>
      <c r="AT49" s="437"/>
    </row>
    <row r="50" spans="1:46" outlineLevel="2" x14ac:dyDescent="0.25">
      <c r="A50" s="45"/>
      <c r="B50" s="54"/>
      <c r="C50" s="87">
        <f>INT($C$29)+2</f>
        <v>3</v>
      </c>
      <c r="D50" s="73"/>
      <c r="E50" s="70"/>
      <c r="F50" s="70">
        <v>1</v>
      </c>
      <c r="G50" s="73"/>
      <c r="H50" s="76"/>
      <c r="I50" s="78" t="s">
        <v>151</v>
      </c>
      <c r="J50" s="97">
        <v>0.3306</v>
      </c>
      <c r="K50" s="97">
        <v>1.1754</v>
      </c>
      <c r="L50" s="97">
        <v>-1.1528</v>
      </c>
      <c r="M50" s="97">
        <v>0.2606</v>
      </c>
      <c r="N50" s="97">
        <v>0</v>
      </c>
      <c r="O50" s="76"/>
      <c r="P50" s="97">
        <f>0.47*R50</f>
        <v>0.47</v>
      </c>
      <c r="Q50" s="97">
        <f t="shared" ref="Q50:Q52" si="0">R50</f>
        <v>1</v>
      </c>
      <c r="R50" s="97">
        <v>1</v>
      </c>
      <c r="S50" s="76"/>
      <c r="T50" s="76"/>
      <c r="U50" s="76"/>
      <c r="V50" s="76"/>
      <c r="W50" s="76"/>
      <c r="X50" s="76"/>
      <c r="Y50" s="76"/>
      <c r="Z50" s="76"/>
      <c r="AA50" s="76"/>
      <c r="AB50" s="76"/>
      <c r="AC50" s="76"/>
      <c r="AD50" s="76"/>
      <c r="AE50" s="76"/>
      <c r="AF50" s="76"/>
      <c r="AG50" s="76"/>
      <c r="AH50" s="76"/>
      <c r="AI50" s="76"/>
      <c r="AJ50" s="76"/>
      <c r="AK50" s="76"/>
      <c r="AL50" s="76"/>
      <c r="AM50" s="76"/>
      <c r="AN50" s="73"/>
      <c r="AO50" s="57"/>
      <c r="AP50" s="45"/>
      <c r="AQ50" s="45"/>
      <c r="AR50" s="45"/>
      <c r="AS50" s="437"/>
      <c r="AT50" s="437"/>
    </row>
    <row r="51" spans="1:46" outlineLevel="3" x14ac:dyDescent="0.25">
      <c r="A51" s="45"/>
      <c r="B51" s="54"/>
      <c r="C51" s="87">
        <f>INT($C$29)+3</f>
        <v>4</v>
      </c>
      <c r="D51" s="73"/>
      <c r="E51" s="70"/>
      <c r="F51" s="70">
        <v>2</v>
      </c>
      <c r="G51" s="73"/>
      <c r="H51" s="76"/>
      <c r="I51" s="78" t="s">
        <v>152</v>
      </c>
      <c r="J51" s="97">
        <v>-0.47739999999999999</v>
      </c>
      <c r="K51" s="97">
        <v>0.19259999999999999</v>
      </c>
      <c r="L51" s="97">
        <v>0.73760000000000003</v>
      </c>
      <c r="M51" s="97">
        <v>-0.28439999999999999</v>
      </c>
      <c r="N51" s="97">
        <v>0</v>
      </c>
      <c r="O51" s="76"/>
      <c r="P51" s="97">
        <f>0.6*R51</f>
        <v>0.3</v>
      </c>
      <c r="Q51" s="97">
        <f t="shared" si="0"/>
        <v>0.5</v>
      </c>
      <c r="R51" s="97">
        <f>R50*0.5</f>
        <v>0.5</v>
      </c>
      <c r="S51" s="76"/>
      <c r="T51" s="76"/>
      <c r="U51" s="76"/>
      <c r="V51" s="76"/>
      <c r="W51" s="76"/>
      <c r="X51" s="76"/>
      <c r="Y51" s="76"/>
      <c r="Z51" s="76"/>
      <c r="AA51" s="76"/>
      <c r="AB51" s="76"/>
      <c r="AC51" s="76"/>
      <c r="AD51" s="76"/>
      <c r="AE51" s="76"/>
      <c r="AF51" s="76"/>
      <c r="AG51" s="76"/>
      <c r="AH51" s="76"/>
      <c r="AI51" s="76"/>
      <c r="AJ51" s="76"/>
      <c r="AK51" s="76"/>
      <c r="AL51" s="76"/>
      <c r="AM51" s="76"/>
      <c r="AN51" s="73"/>
      <c r="AO51" s="57"/>
      <c r="AP51" s="45"/>
      <c r="AQ51" s="45"/>
      <c r="AR51" s="45"/>
      <c r="AS51" s="437"/>
      <c r="AT51" s="437"/>
    </row>
    <row r="52" spans="1:46" outlineLevel="3" x14ac:dyDescent="0.25">
      <c r="A52" s="45"/>
      <c r="B52" s="54"/>
      <c r="C52" s="87">
        <f>INT($C$29)+3</f>
        <v>4</v>
      </c>
      <c r="D52" s="73"/>
      <c r="E52" s="70"/>
      <c r="F52" s="70">
        <v>3</v>
      </c>
      <c r="G52" s="73"/>
      <c r="H52" s="76"/>
      <c r="I52" s="78" t="s">
        <v>153</v>
      </c>
      <c r="J52" s="97">
        <v>-2.3618000000000001</v>
      </c>
      <c r="K52" s="97">
        <v>6.9584999999999999</v>
      </c>
      <c r="L52" s="97">
        <v>-7.4275000000000002</v>
      </c>
      <c r="M52" s="97">
        <v>3.3826999999999998</v>
      </c>
      <c r="N52" s="97">
        <v>-0.54330000000000001</v>
      </c>
      <c r="O52" s="76"/>
      <c r="P52" s="97">
        <f>0.6*R52</f>
        <v>0.09</v>
      </c>
      <c r="Q52" s="97">
        <f t="shared" si="0"/>
        <v>0.15</v>
      </c>
      <c r="R52" s="97">
        <f>R51*0.3</f>
        <v>0.15</v>
      </c>
      <c r="S52" s="76"/>
      <c r="T52" s="76"/>
      <c r="U52" s="76"/>
      <c r="V52" s="76"/>
      <c r="W52" s="76"/>
      <c r="X52" s="76"/>
      <c r="Y52" s="76"/>
      <c r="Z52" s="76"/>
      <c r="AA52" s="76"/>
      <c r="AB52" s="76"/>
      <c r="AC52" s="76"/>
      <c r="AD52" s="76"/>
      <c r="AE52" s="76"/>
      <c r="AF52" s="76"/>
      <c r="AG52" s="76"/>
      <c r="AH52" s="76"/>
      <c r="AI52" s="76"/>
      <c r="AJ52" s="76"/>
      <c r="AK52" s="76"/>
      <c r="AL52" s="76"/>
      <c r="AM52" s="76"/>
      <c r="AN52" s="73"/>
      <c r="AO52" s="57"/>
      <c r="AP52" s="45"/>
      <c r="AQ52" s="45"/>
      <c r="AR52" s="45"/>
      <c r="AS52" s="437"/>
      <c r="AT52" s="437"/>
    </row>
    <row r="53" spans="1:46" outlineLevel="2" x14ac:dyDescent="0.25">
      <c r="A53" s="45"/>
      <c r="B53" s="54"/>
      <c r="C53" s="87">
        <f>INT($C$29)+2</f>
        <v>3</v>
      </c>
      <c r="D53" s="73"/>
      <c r="E53" s="70"/>
      <c r="F53" s="70"/>
      <c r="G53" s="73"/>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3"/>
      <c r="AO53" s="57"/>
      <c r="AP53" s="45"/>
      <c r="AQ53" s="45"/>
      <c r="AR53" s="45"/>
      <c r="AS53" s="437"/>
      <c r="AT53" s="437"/>
    </row>
    <row r="54" spans="1:46" outlineLevel="2" x14ac:dyDescent="0.25">
      <c r="A54" s="45"/>
      <c r="B54" s="54"/>
      <c r="C54" s="87">
        <f>INT($C$29)+2</f>
        <v>3</v>
      </c>
      <c r="D54" s="73"/>
      <c r="E54" s="70"/>
      <c r="F54" s="70"/>
      <c r="G54" s="73"/>
      <c r="H54" s="76" t="s">
        <v>2145</v>
      </c>
      <c r="I54" s="76"/>
      <c r="J54" s="99">
        <v>2</v>
      </c>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3"/>
      <c r="AO54" s="57"/>
      <c r="AP54" s="45"/>
      <c r="AQ54" s="45"/>
      <c r="AR54" s="45"/>
      <c r="AS54" s="437"/>
      <c r="AT54" s="437"/>
    </row>
    <row r="55" spans="1:46" ht="5.0999999999999996" customHeight="1" outlineLevel="3" x14ac:dyDescent="0.25">
      <c r="A55" s="45"/>
      <c r="B55" s="54"/>
      <c r="C55" s="87">
        <f>INT($C$29)+3.005</f>
        <v>4.0049999999999999</v>
      </c>
      <c r="D55" s="73"/>
      <c r="E55" s="73"/>
      <c r="F55" s="73"/>
      <c r="G55" s="73"/>
      <c r="H55" s="73"/>
      <c r="I55" s="98"/>
      <c r="J55" s="98"/>
      <c r="K55" s="98"/>
      <c r="L55" s="98"/>
      <c r="M55" s="98"/>
      <c r="N55" s="98"/>
      <c r="O55" s="98"/>
      <c r="P55" s="98"/>
      <c r="Q55" s="98"/>
      <c r="R55" s="98"/>
      <c r="S55" s="73"/>
      <c r="T55" s="73"/>
      <c r="U55" s="73"/>
      <c r="V55" s="73"/>
      <c r="W55" s="73"/>
      <c r="X55" s="73"/>
      <c r="Y55" s="73"/>
      <c r="Z55" s="73"/>
      <c r="AA55" s="73"/>
      <c r="AB55" s="73"/>
      <c r="AC55" s="73"/>
      <c r="AD55" s="73"/>
      <c r="AE55" s="73"/>
      <c r="AF55" s="73"/>
      <c r="AG55" s="73"/>
      <c r="AH55" s="73"/>
      <c r="AI55" s="73"/>
      <c r="AJ55" s="73"/>
      <c r="AK55" s="73"/>
      <c r="AL55" s="73"/>
      <c r="AM55" s="73"/>
      <c r="AN55" s="73" t="s">
        <v>136</v>
      </c>
      <c r="AO55" s="57"/>
      <c r="AP55" s="45"/>
      <c r="AQ55" s="45"/>
      <c r="AR55" s="45"/>
      <c r="AS55" s="437"/>
      <c r="AT55" s="437"/>
    </row>
    <row r="56" spans="1:46" outlineLevel="1" x14ac:dyDescent="0.25">
      <c r="A56" s="45"/>
      <c r="B56" s="54"/>
      <c r="C56" s="87">
        <f>INT($C$29)+1</f>
        <v>2</v>
      </c>
      <c r="D56" s="73"/>
      <c r="E56" s="70"/>
      <c r="F56" s="70"/>
      <c r="G56" s="73"/>
      <c r="H56" s="90" t="s">
        <v>154</v>
      </c>
      <c r="I56" s="91" t="str">
        <f>"("&amp;ROWS(i_cu5_c5)-2&amp;","&amp;COLUMNS(i_cu5_c5)-1&amp;"): i_cu5_c5(pointers) = input"</f>
        <v>(7,5): i_cu5_c5(pointers) = input</v>
      </c>
      <c r="J56" s="92"/>
      <c r="K56" s="92"/>
      <c r="L56" s="92"/>
      <c r="M56" s="92"/>
      <c r="N56" s="92"/>
      <c r="O56" s="92"/>
      <c r="P56" s="92"/>
      <c r="Q56" s="92"/>
      <c r="R56" s="92"/>
      <c r="S56" s="92"/>
      <c r="T56" s="92"/>
      <c r="U56" s="92"/>
      <c r="V56" s="92"/>
      <c r="W56" s="92"/>
      <c r="X56" s="92"/>
      <c r="Y56" s="92"/>
      <c r="Z56" s="93"/>
      <c r="AA56" s="93"/>
      <c r="AB56" s="93"/>
      <c r="AC56" s="93"/>
      <c r="AD56" s="93"/>
      <c r="AE56" s="93"/>
      <c r="AF56" s="93"/>
      <c r="AG56" s="93"/>
      <c r="AH56" s="93"/>
      <c r="AI56" s="93"/>
      <c r="AJ56" s="93"/>
      <c r="AK56" s="93"/>
      <c r="AL56" s="93"/>
      <c r="AM56" s="93"/>
      <c r="AN56" s="73"/>
      <c r="AO56" s="57"/>
      <c r="AP56" s="45"/>
      <c r="AQ56" s="45"/>
      <c r="AR56" s="45"/>
      <c r="AS56" s="437"/>
      <c r="AT56" s="437"/>
    </row>
    <row r="57" spans="1:46" ht="5.0999999999999996" customHeight="1" outlineLevel="3" x14ac:dyDescent="0.25">
      <c r="A57" s="45"/>
      <c r="B57" s="54"/>
      <c r="C57" s="87">
        <f>INT($C$29)+3.005</f>
        <v>4.0049999999999999</v>
      </c>
      <c r="D57" s="73" t="s">
        <v>132</v>
      </c>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57"/>
      <c r="AP57" s="45"/>
      <c r="AQ57" s="45"/>
      <c r="AR57" s="45"/>
      <c r="AS57" s="437"/>
      <c r="AT57" s="437"/>
    </row>
    <row r="58" spans="1:46" outlineLevel="2" x14ac:dyDescent="0.25">
      <c r="A58" s="45"/>
      <c r="B58" s="54"/>
      <c r="C58" s="87">
        <f t="shared" ref="C58:C63" si="1">INT($C$29)+2</f>
        <v>3</v>
      </c>
      <c r="D58" s="73"/>
      <c r="E58" s="70"/>
      <c r="F58" s="70"/>
      <c r="G58" s="73"/>
      <c r="H58" s="76" t="s">
        <v>155</v>
      </c>
      <c r="I58" s="96"/>
      <c r="J58" s="96"/>
      <c r="K58" s="96"/>
      <c r="L58" s="96"/>
      <c r="M58" s="96"/>
      <c r="N58" s="9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3"/>
      <c r="AO58" s="57"/>
      <c r="AP58" s="45"/>
      <c r="AQ58" s="45"/>
      <c r="AR58" s="45"/>
      <c r="AS58" s="437"/>
      <c r="AT58" s="437"/>
    </row>
    <row r="59" spans="1:46" outlineLevel="2" x14ac:dyDescent="0.25">
      <c r="A59" s="45"/>
      <c r="B59" s="54"/>
      <c r="C59" s="87">
        <f t="shared" si="1"/>
        <v>3</v>
      </c>
      <c r="D59" s="73"/>
      <c r="E59" s="70"/>
      <c r="F59" s="70"/>
      <c r="G59" s="73"/>
      <c r="H59" s="76"/>
      <c r="I59" s="96" t="s">
        <v>156</v>
      </c>
      <c r="J59" s="96" t="s">
        <v>157</v>
      </c>
      <c r="K59" s="96" t="s">
        <v>158</v>
      </c>
      <c r="L59" s="96"/>
      <c r="M59" s="96"/>
      <c r="N59" s="9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3"/>
      <c r="AO59" s="57"/>
      <c r="AP59" s="45"/>
      <c r="AQ59" s="45"/>
      <c r="AR59" s="45"/>
      <c r="AS59" s="437"/>
      <c r="AT59" s="437"/>
    </row>
    <row r="60" spans="1:46" outlineLevel="2" x14ac:dyDescent="0.25">
      <c r="A60" s="45"/>
      <c r="B60" s="54"/>
      <c r="C60" s="87">
        <f t="shared" si="1"/>
        <v>3</v>
      </c>
      <c r="D60" s="73"/>
      <c r="E60" s="70"/>
      <c r="F60" s="70"/>
      <c r="G60" s="73"/>
      <c r="H60" s="78" t="s">
        <v>159</v>
      </c>
      <c r="I60" s="99">
        <v>3</v>
      </c>
      <c r="J60" s="99">
        <v>4</v>
      </c>
      <c r="K60" s="99">
        <v>5</v>
      </c>
      <c r="L60" s="96"/>
      <c r="M60" s="96"/>
      <c r="N60" s="9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3"/>
      <c r="AO60" s="57"/>
      <c r="AP60" s="45"/>
      <c r="AQ60" s="45"/>
      <c r="AR60" s="45"/>
      <c r="AS60" s="437"/>
      <c r="AT60" s="437"/>
    </row>
    <row r="61" spans="1:46" outlineLevel="2" x14ac:dyDescent="0.25">
      <c r="A61" s="45"/>
      <c r="B61" s="54"/>
      <c r="C61" s="87">
        <f t="shared" si="1"/>
        <v>3</v>
      </c>
      <c r="D61" s="73"/>
      <c r="E61" s="70"/>
      <c r="F61" s="70"/>
      <c r="G61" s="73"/>
      <c r="H61" s="76"/>
      <c r="I61" s="95" t="s">
        <v>160</v>
      </c>
      <c r="J61" s="95"/>
      <c r="K61" s="95"/>
      <c r="L61" s="95"/>
      <c r="M61" s="96" t="s">
        <v>157</v>
      </c>
      <c r="N61" s="96" t="s">
        <v>158</v>
      </c>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3"/>
      <c r="AO61" s="57"/>
      <c r="AP61" s="45"/>
      <c r="AQ61" s="45"/>
      <c r="AR61" s="45"/>
      <c r="AS61" s="437"/>
      <c r="AT61" s="437"/>
    </row>
    <row r="62" spans="1:46" outlineLevel="2" x14ac:dyDescent="0.25">
      <c r="A62" s="45"/>
      <c r="B62" s="54"/>
      <c r="C62" s="87">
        <f t="shared" si="1"/>
        <v>3</v>
      </c>
      <c r="D62" s="73"/>
      <c r="E62" s="70"/>
      <c r="F62" s="70"/>
      <c r="G62" s="73"/>
      <c r="H62" s="76"/>
      <c r="I62" s="96" t="s">
        <v>161</v>
      </c>
      <c r="J62" s="96" t="s">
        <v>162</v>
      </c>
      <c r="K62" s="96" t="s">
        <v>163</v>
      </c>
      <c r="L62" s="96" t="s">
        <v>164</v>
      </c>
      <c r="M62" s="96" t="s">
        <v>164</v>
      </c>
      <c r="N62" s="96" t="s">
        <v>164</v>
      </c>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3"/>
      <c r="AO62" s="57"/>
      <c r="AP62" s="45"/>
      <c r="AQ62" s="45"/>
      <c r="AR62" s="45"/>
      <c r="AS62" s="437"/>
      <c r="AT62" s="437"/>
    </row>
    <row r="63" spans="1:46" outlineLevel="2" x14ac:dyDescent="0.25">
      <c r="A63" s="45"/>
      <c r="B63" s="54"/>
      <c r="C63" s="87">
        <f t="shared" si="1"/>
        <v>3</v>
      </c>
      <c r="D63" s="73"/>
      <c r="E63" s="70"/>
      <c r="F63" s="70"/>
      <c r="G63" s="73"/>
      <c r="H63" s="76" t="s">
        <v>165</v>
      </c>
      <c r="I63" s="97">
        <v>2.76E-2</v>
      </c>
      <c r="J63" s="97">
        <v>0.45</v>
      </c>
      <c r="K63" s="97">
        <v>0.52</v>
      </c>
      <c r="L63" s="97">
        <v>0.43</v>
      </c>
      <c r="M63" s="97">
        <v>0.3</v>
      </c>
      <c r="N63" s="97">
        <v>-0.13</v>
      </c>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3"/>
      <c r="AO63" s="57"/>
      <c r="AP63" s="45"/>
      <c r="AQ63" s="45"/>
      <c r="AR63" s="45"/>
      <c r="AS63" s="437"/>
      <c r="AT63" s="437"/>
    </row>
    <row r="64" spans="1:46" outlineLevel="3" x14ac:dyDescent="0.25">
      <c r="A64" s="45"/>
      <c r="B64" s="54"/>
      <c r="C64" s="87">
        <f t="shared" ref="C64:C69" si="2">INT($C$29+3)</f>
        <v>4</v>
      </c>
      <c r="D64" s="73"/>
      <c r="E64" s="70"/>
      <c r="F64" s="70"/>
      <c r="G64" s="73"/>
      <c r="H64" s="76" t="s">
        <v>166</v>
      </c>
      <c r="I64" s="97">
        <v>-3.3099999999999997E-2</v>
      </c>
      <c r="J64" s="97">
        <v>0.41</v>
      </c>
      <c r="K64" s="97">
        <v>0.47</v>
      </c>
      <c r="L64" s="97">
        <v>0.35</v>
      </c>
      <c r="M64" s="97">
        <v>-0.37</v>
      </c>
      <c r="N64" s="97">
        <v>-0.18</v>
      </c>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3"/>
      <c r="AO64" s="57"/>
      <c r="AP64" s="45"/>
      <c r="AQ64" s="45"/>
      <c r="AR64" s="45"/>
      <c r="AS64" s="437"/>
      <c r="AT64" s="437"/>
    </row>
    <row r="65" spans="1:46" outlineLevel="3" x14ac:dyDescent="0.25">
      <c r="A65" s="45"/>
      <c r="B65" s="54"/>
      <c r="C65" s="87">
        <f t="shared" si="2"/>
        <v>4</v>
      </c>
      <c r="D65" s="73"/>
      <c r="E65" s="70"/>
      <c r="F65" s="70"/>
      <c r="G65" s="73"/>
      <c r="H65" s="76" t="s">
        <v>167</v>
      </c>
      <c r="I65" s="97">
        <v>-0.113</v>
      </c>
      <c r="J65" s="97">
        <v>0.7</v>
      </c>
      <c r="K65" s="97">
        <v>0.95</v>
      </c>
      <c r="L65" s="97">
        <v>1.38</v>
      </c>
      <c r="M65" s="97">
        <v>-0.88</v>
      </c>
      <c r="N65" s="97">
        <v>-0.63</v>
      </c>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3"/>
      <c r="AO65" s="57"/>
      <c r="AP65" s="45"/>
      <c r="AQ65" s="45"/>
      <c r="AR65" s="45"/>
      <c r="AS65" s="437"/>
      <c r="AT65" s="437"/>
    </row>
    <row r="66" spans="1:46" outlineLevel="3" x14ac:dyDescent="0.25">
      <c r="A66" s="45"/>
      <c r="B66" s="54"/>
      <c r="C66" s="87">
        <f t="shared" si="2"/>
        <v>4</v>
      </c>
      <c r="D66" s="73"/>
      <c r="E66" s="70"/>
      <c r="F66" s="70"/>
      <c r="G66" s="73"/>
      <c r="H66" s="76" t="s">
        <v>168</v>
      </c>
      <c r="I66" s="97">
        <v>1.2500000000000001E-2</v>
      </c>
      <c r="J66" s="97">
        <v>0</v>
      </c>
      <c r="K66" s="97">
        <v>-0.19</v>
      </c>
      <c r="L66" s="97">
        <v>-0.15</v>
      </c>
      <c r="M66" s="97">
        <v>0.17</v>
      </c>
      <c r="N66" s="97">
        <v>0</v>
      </c>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3"/>
      <c r="AO66" s="57"/>
      <c r="AP66" s="45"/>
      <c r="AQ66" s="45"/>
      <c r="AR66" s="45"/>
      <c r="AS66" s="437"/>
      <c r="AT66" s="437"/>
    </row>
    <row r="67" spans="1:46" outlineLevel="3" x14ac:dyDescent="0.25">
      <c r="A67" s="45"/>
      <c r="B67" s="54"/>
      <c r="C67" s="87">
        <f t="shared" si="2"/>
        <v>4</v>
      </c>
      <c r="D67" s="73"/>
      <c r="E67" s="70"/>
      <c r="F67" s="70"/>
      <c r="G67" s="73"/>
      <c r="H67" s="76" t="s">
        <v>169</v>
      </c>
      <c r="I67" s="97">
        <v>45</v>
      </c>
      <c r="J67" s="97">
        <v>0</v>
      </c>
      <c r="K67" s="97">
        <v>45</v>
      </c>
      <c r="L67" s="97">
        <v>0</v>
      </c>
      <c r="M67" s="97">
        <v>0</v>
      </c>
      <c r="N67" s="97">
        <v>0</v>
      </c>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3"/>
      <c r="AO67" s="57"/>
      <c r="AP67" s="45"/>
      <c r="AQ67" s="45"/>
      <c r="AR67" s="45"/>
      <c r="AS67" s="437"/>
      <c r="AT67" s="437"/>
    </row>
    <row r="68" spans="1:46" outlineLevel="3" x14ac:dyDescent="0.25">
      <c r="A68" s="45"/>
      <c r="B68" s="54"/>
      <c r="C68" s="87">
        <f t="shared" si="2"/>
        <v>4</v>
      </c>
      <c r="D68" s="73"/>
      <c r="E68" s="70"/>
      <c r="F68" s="70"/>
      <c r="G68" s="73"/>
      <c r="H68" s="76" t="s">
        <v>170</v>
      </c>
      <c r="I68" s="97">
        <v>0</v>
      </c>
      <c r="J68" s="97">
        <v>0</v>
      </c>
      <c r="K68" s="97">
        <v>-0.45</v>
      </c>
      <c r="L68" s="97">
        <v>-0.45</v>
      </c>
      <c r="M68" s="97">
        <v>0</v>
      </c>
      <c r="N68" s="97">
        <v>0.78</v>
      </c>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3"/>
      <c r="AO68" s="57"/>
      <c r="AP68" s="45"/>
      <c r="AQ68" s="45"/>
      <c r="AR68" s="45"/>
      <c r="AS68" s="437"/>
      <c r="AT68" s="437"/>
    </row>
    <row r="69" spans="1:46" outlineLevel="3" x14ac:dyDescent="0.25">
      <c r="A69" s="45"/>
      <c r="B69" s="54"/>
      <c r="C69" s="87">
        <f t="shared" si="2"/>
        <v>4</v>
      </c>
      <c r="D69" s="73"/>
      <c r="E69" s="70"/>
      <c r="F69" s="70"/>
      <c r="G69" s="73"/>
      <c r="H69" s="76" t="s">
        <v>171</v>
      </c>
      <c r="I69" s="97">
        <v>0</v>
      </c>
      <c r="J69" s="97">
        <v>0</v>
      </c>
      <c r="K69" s="97">
        <v>0</v>
      </c>
      <c r="L69" s="97">
        <v>-0.59</v>
      </c>
      <c r="M69" s="97">
        <v>0</v>
      </c>
      <c r="N69" s="97">
        <v>0</v>
      </c>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3"/>
      <c r="AO69" s="57"/>
      <c r="AP69" s="45"/>
      <c r="AQ69" s="45"/>
      <c r="AR69" s="45"/>
      <c r="AS69" s="437"/>
      <c r="AT69" s="437"/>
    </row>
    <row r="70" spans="1:46" outlineLevel="3" x14ac:dyDescent="0.25">
      <c r="A70" s="45"/>
      <c r="B70" s="54"/>
      <c r="C70" s="87">
        <f>INT($C$29)+3</f>
        <v>4</v>
      </c>
      <c r="D70" s="73"/>
      <c r="E70" s="70"/>
      <c r="F70" s="70"/>
      <c r="G70" s="73"/>
      <c r="H70" s="76" t="s">
        <v>172</v>
      </c>
      <c r="I70" s="97">
        <v>0</v>
      </c>
      <c r="J70" s="97">
        <v>0</v>
      </c>
      <c r="K70" s="97">
        <v>0</v>
      </c>
      <c r="L70" s="97">
        <v>-0.32</v>
      </c>
      <c r="M70" s="97">
        <v>0.38</v>
      </c>
      <c r="N70" s="97">
        <v>0</v>
      </c>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3"/>
      <c r="AO70" s="57"/>
      <c r="AP70" s="45"/>
      <c r="AQ70" s="45"/>
      <c r="AR70" s="45"/>
      <c r="AS70" s="437"/>
      <c r="AT70" s="437"/>
    </row>
    <row r="71" spans="1:46" outlineLevel="3" x14ac:dyDescent="0.25">
      <c r="A71" s="45"/>
      <c r="B71" s="54"/>
      <c r="C71" s="87">
        <f>INT($C$29)+3</f>
        <v>4</v>
      </c>
      <c r="D71" s="73"/>
      <c r="E71" s="70"/>
      <c r="F71" s="70"/>
      <c r="G71" s="73"/>
      <c r="H71" s="76" t="s">
        <v>173</v>
      </c>
      <c r="I71" s="97">
        <v>0.56100000000000005</v>
      </c>
      <c r="J71" s="97">
        <v>-5.7</v>
      </c>
      <c r="K71" s="97">
        <v>-3.5</v>
      </c>
      <c r="L71" s="97">
        <v>21.8</v>
      </c>
      <c r="M71" s="97">
        <v>35.6</v>
      </c>
      <c r="N71" s="97">
        <v>38.6</v>
      </c>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3"/>
      <c r="AO71" s="57"/>
      <c r="AP71" s="45"/>
      <c r="AQ71" s="45"/>
      <c r="AR71" s="45"/>
      <c r="AS71" s="437"/>
      <c r="AT71" s="437"/>
    </row>
    <row r="72" spans="1:46" ht="5.0999999999999996" customHeight="1" outlineLevel="2" x14ac:dyDescent="0.25">
      <c r="A72" s="45"/>
      <c r="B72" s="54"/>
      <c r="C72" s="87">
        <f>INT($C$29)+2.005</f>
        <v>3.0049999999999999</v>
      </c>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t="s">
        <v>136</v>
      </c>
      <c r="AO72" s="57"/>
      <c r="AP72" s="45"/>
      <c r="AQ72" s="45"/>
      <c r="AR72" s="45"/>
      <c r="AS72" s="437"/>
      <c r="AT72" s="437"/>
    </row>
    <row r="73" spans="1:46" ht="5.0999999999999996" customHeight="1" outlineLevel="2" x14ac:dyDescent="0.25">
      <c r="A73" s="45"/>
      <c r="B73" s="54"/>
      <c r="C73" s="87">
        <f>INT($C$29)+2.005</f>
        <v>3.0049999999999999</v>
      </c>
      <c r="D73" s="73"/>
      <c r="E73" s="73"/>
      <c r="F73" s="73"/>
      <c r="G73" s="73"/>
      <c r="H73" s="73"/>
      <c r="I73" s="98"/>
      <c r="J73" s="98"/>
      <c r="K73" s="98"/>
      <c r="L73" s="98"/>
      <c r="M73" s="98"/>
      <c r="N73" s="98"/>
      <c r="O73" s="98"/>
      <c r="P73" s="98"/>
      <c r="Q73" s="98"/>
      <c r="R73" s="98"/>
      <c r="S73" s="73"/>
      <c r="T73" s="73"/>
      <c r="U73" s="73"/>
      <c r="V73" s="73"/>
      <c r="W73" s="73"/>
      <c r="X73" s="73"/>
      <c r="Y73" s="73"/>
      <c r="Z73" s="73"/>
      <c r="AA73" s="73"/>
      <c r="AB73" s="73"/>
      <c r="AC73" s="73"/>
      <c r="AD73" s="73"/>
      <c r="AE73" s="73"/>
      <c r="AF73" s="73"/>
      <c r="AG73" s="73"/>
      <c r="AH73" s="73"/>
      <c r="AI73" s="73"/>
      <c r="AJ73" s="73"/>
      <c r="AK73" s="73"/>
      <c r="AL73" s="73"/>
      <c r="AM73" s="73"/>
      <c r="AN73" s="73"/>
      <c r="AO73" s="57"/>
      <c r="AP73" s="45"/>
      <c r="AQ73" s="45"/>
      <c r="AR73" s="45"/>
      <c r="AS73" s="437"/>
      <c r="AT73" s="437"/>
    </row>
    <row r="74" spans="1:46" ht="5.0999999999999996" customHeight="1" outlineLevel="1" x14ac:dyDescent="0.25">
      <c r="A74" s="45"/>
      <c r="B74" s="81"/>
      <c r="C74" s="100">
        <f>INT($C$29)+1.005</f>
        <v>2.0049999999999999</v>
      </c>
      <c r="D74" s="83"/>
      <c r="E74" s="83"/>
      <c r="F74" s="83"/>
      <c r="G74" s="83"/>
      <c r="H74" s="83"/>
      <c r="I74" s="101"/>
      <c r="J74" s="101"/>
      <c r="K74" s="101"/>
      <c r="L74" s="101"/>
      <c r="M74" s="101"/>
      <c r="N74" s="101"/>
      <c r="O74" s="101"/>
      <c r="P74" s="101"/>
      <c r="Q74" s="101"/>
      <c r="R74" s="101"/>
      <c r="S74" s="83"/>
      <c r="T74" s="83"/>
      <c r="U74" s="83"/>
      <c r="V74" s="83"/>
      <c r="W74" s="83"/>
      <c r="X74" s="83"/>
      <c r="Y74" s="83"/>
      <c r="Z74" s="83"/>
      <c r="AA74" s="83"/>
      <c r="AB74" s="83"/>
      <c r="AC74" s="83"/>
      <c r="AD74" s="83"/>
      <c r="AE74" s="83"/>
      <c r="AF74" s="83"/>
      <c r="AG74" s="83"/>
      <c r="AH74" s="83"/>
      <c r="AI74" s="83"/>
      <c r="AJ74" s="83"/>
      <c r="AK74" s="83"/>
      <c r="AL74" s="83"/>
      <c r="AM74" s="83"/>
      <c r="AN74" s="83"/>
      <c r="AO74" s="84" t="s">
        <v>145</v>
      </c>
      <c r="AP74" s="45"/>
      <c r="AQ74" s="45"/>
      <c r="AR74" s="45"/>
      <c r="AS74" s="437"/>
      <c r="AT74" s="437"/>
    </row>
    <row r="75" spans="1:46" ht="5.0999999999999996" customHeight="1" x14ac:dyDescent="0.25">
      <c r="A75" s="45"/>
      <c r="B75" s="85"/>
      <c r="C75" s="102">
        <f>INT($C$29)+0.005</f>
        <v>1.0049999999999999</v>
      </c>
      <c r="D75" s="85"/>
      <c r="E75" s="85"/>
      <c r="F75" s="85"/>
      <c r="G75" s="85"/>
      <c r="H75" s="85"/>
      <c r="I75" s="103"/>
      <c r="J75" s="103"/>
      <c r="K75" s="103"/>
      <c r="L75" s="103"/>
      <c r="M75" s="103"/>
      <c r="N75" s="103"/>
      <c r="O75" s="103"/>
      <c r="P75" s="103"/>
      <c r="Q75" s="103"/>
      <c r="R75" s="103"/>
      <c r="S75" s="85"/>
      <c r="T75" s="85"/>
      <c r="U75" s="85"/>
      <c r="V75" s="85"/>
      <c r="W75" s="85"/>
      <c r="X75" s="85"/>
      <c r="Y75" s="85"/>
      <c r="Z75" s="85"/>
      <c r="AA75" s="85"/>
      <c r="AB75" s="85"/>
      <c r="AC75" s="85"/>
      <c r="AD75" s="85"/>
      <c r="AE75" s="85"/>
      <c r="AF75" s="85"/>
      <c r="AG75" s="85"/>
      <c r="AH75" s="85"/>
      <c r="AI75" s="85"/>
      <c r="AJ75" s="85"/>
      <c r="AK75" s="85"/>
      <c r="AL75" s="85"/>
      <c r="AM75" s="85"/>
      <c r="AN75" s="85"/>
      <c r="AO75" s="85"/>
      <c r="AP75" s="45"/>
      <c r="AQ75" s="45"/>
      <c r="AR75" s="45"/>
      <c r="AS75" s="437"/>
      <c r="AT75" s="437"/>
    </row>
    <row r="76" spans="1:46" outlineLevel="2" x14ac:dyDescent="0.25">
      <c r="A76" s="45"/>
      <c r="B76" s="45"/>
      <c r="C76" s="87">
        <f>INT($C$29)+2</f>
        <v>3</v>
      </c>
      <c r="D76" s="45"/>
      <c r="E76" s="45"/>
      <c r="F76" s="45"/>
      <c r="G76" s="45"/>
      <c r="H76" s="45"/>
      <c r="I76" s="104"/>
      <c r="J76" s="104"/>
      <c r="K76" s="104"/>
      <c r="L76" s="104"/>
      <c r="M76" s="104"/>
      <c r="N76" s="104"/>
      <c r="O76" s="104"/>
      <c r="P76" s="104"/>
      <c r="Q76" s="104"/>
      <c r="R76" s="104"/>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37"/>
      <c r="AT76" s="437"/>
    </row>
    <row r="77" spans="1:46" outlineLevel="2" x14ac:dyDescent="0.25">
      <c r="A77" s="45"/>
      <c r="B77" s="45"/>
      <c r="C77" s="87">
        <f>INT($C$81)+2</f>
        <v>3</v>
      </c>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37"/>
      <c r="AT77" s="437"/>
    </row>
    <row r="78" spans="1:46" ht="5.0999999999999996" customHeight="1" thickBot="1" x14ac:dyDescent="0.3">
      <c r="A78" s="45"/>
      <c r="B78" s="48"/>
      <c r="C78" s="88">
        <f>INT($C$81)+0.005</f>
        <v>1.0049999999999999</v>
      </c>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5"/>
      <c r="AQ78" s="45"/>
      <c r="AR78" s="45"/>
      <c r="AS78" s="437"/>
      <c r="AT78" s="437"/>
    </row>
    <row r="79" spans="1:46" ht="5.0999999999999996" customHeight="1" outlineLevel="1" x14ac:dyDescent="0.25">
      <c r="A79" s="45"/>
      <c r="B79" s="50" t="s">
        <v>86</v>
      </c>
      <c r="C79" s="89">
        <f>INT($C$81)+1.005</f>
        <v>2.0049999999999999</v>
      </c>
      <c r="D79" s="52"/>
      <c r="E79" s="52"/>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3"/>
      <c r="AP79" s="45"/>
      <c r="AQ79" s="45"/>
      <c r="AR79" s="45"/>
      <c r="AS79" s="437"/>
      <c r="AT79" s="437"/>
    </row>
    <row r="80" spans="1:46" outlineLevel="4" x14ac:dyDescent="0.25">
      <c r="A80" s="45"/>
      <c r="B80" s="54"/>
      <c r="C80" s="87">
        <f>INT(MAX($C$92:$C$134))+1</f>
        <v>5</v>
      </c>
      <c r="D80" s="55"/>
      <c r="E80" s="55"/>
      <c r="F80" s="55"/>
      <c r="G80" s="55"/>
      <c r="H80" s="56"/>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6"/>
      <c r="AJ80" s="56"/>
      <c r="AK80" s="56"/>
      <c r="AL80" s="56"/>
      <c r="AM80" s="56"/>
      <c r="AN80" s="55"/>
      <c r="AO80" s="57"/>
      <c r="AP80" s="45"/>
      <c r="AQ80" s="45"/>
      <c r="AR80" s="45"/>
      <c r="AS80" s="437"/>
      <c r="AT80" s="437"/>
    </row>
    <row r="81" spans="1:65" ht="20.100000000000001" customHeight="1" x14ac:dyDescent="0.25">
      <c r="A81" s="45"/>
      <c r="B81" s="54"/>
      <c r="C81" s="87">
        <v>1.02</v>
      </c>
      <c r="D81" s="58"/>
      <c r="E81" s="59" t="s">
        <v>124</v>
      </c>
      <c r="F81" s="60"/>
      <c r="G81" s="61"/>
      <c r="H81" s="62" t="str">
        <f>COUNTIFS($B$1:$B81, "«")&amp;" Universal: Wool Prices &amp; Costs"</f>
        <v>3 Universal: Wool Prices &amp; Costs</v>
      </c>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4"/>
      <c r="AO81" s="57"/>
      <c r="AP81" s="45"/>
      <c r="AQ81" s="45"/>
      <c r="AR81" s="45"/>
      <c r="AS81" s="437"/>
      <c r="AT81" s="437"/>
    </row>
    <row r="82" spans="1:65" ht="20.100000000000001" customHeight="1" outlineLevel="1" x14ac:dyDescent="0.25">
      <c r="A82" s="45"/>
      <c r="B82" s="54"/>
      <c r="C82" s="87">
        <f>INT($C$81)+1.02</f>
        <v>2.02</v>
      </c>
      <c r="D82" s="58"/>
      <c r="E82" s="59" t="s">
        <v>126</v>
      </c>
      <c r="F82" s="65">
        <v>1</v>
      </c>
      <c r="G82" s="66"/>
      <c r="H82" s="67"/>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9"/>
      <c r="AO82" s="57"/>
      <c r="AP82" s="45"/>
      <c r="AQ82" s="45"/>
      <c r="AR82" s="45"/>
      <c r="AS82" s="437"/>
      <c r="AT82" s="437"/>
    </row>
    <row r="83" spans="1:65" ht="5.0999999999999996" customHeight="1" outlineLevel="2" x14ac:dyDescent="0.25">
      <c r="A83" s="45"/>
      <c r="B83" s="54"/>
      <c r="C83" s="87">
        <f>INT($C$81)+2.005</f>
        <v>3.0049999999999999</v>
      </c>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7"/>
      <c r="AP83" s="45"/>
      <c r="AQ83" s="45"/>
      <c r="AR83" s="45"/>
      <c r="AS83" s="437"/>
      <c r="AT83" s="437"/>
    </row>
    <row r="84" spans="1:65" outlineLevel="2" x14ac:dyDescent="0.25">
      <c r="A84" s="45"/>
      <c r="B84" s="54"/>
      <c r="C84" s="87">
        <f>INT($C$81)+2</f>
        <v>3</v>
      </c>
      <c r="D84" s="55"/>
      <c r="E84" s="70"/>
      <c r="F84" s="70"/>
      <c r="G84" s="55"/>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55"/>
      <c r="AO84" s="57"/>
      <c r="AP84" s="45"/>
      <c r="AQ84" s="45"/>
      <c r="AR84" s="45"/>
      <c r="AS84" s="437"/>
      <c r="AT84" s="437"/>
    </row>
    <row r="85" spans="1:65" outlineLevel="2" x14ac:dyDescent="0.25">
      <c r="A85" s="45"/>
      <c r="B85" s="54"/>
      <c r="C85" s="87">
        <f>INT($C$81)+2</f>
        <v>3</v>
      </c>
      <c r="D85" s="55"/>
      <c r="E85" s="70"/>
      <c r="F85" s="70"/>
      <c r="G85" s="55"/>
      <c r="H85" s="72"/>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55"/>
      <c r="AO85" s="57"/>
      <c r="AP85" s="45"/>
      <c r="AQ85" s="45"/>
      <c r="AR85" s="45"/>
      <c r="AS85" s="437"/>
      <c r="AT85" s="437"/>
    </row>
    <row r="86" spans="1:65" outlineLevel="2" x14ac:dyDescent="0.25">
      <c r="A86" s="45"/>
      <c r="B86" s="54"/>
      <c r="C86" s="87">
        <f>INT($C$81)+2</f>
        <v>3</v>
      </c>
      <c r="D86" s="55"/>
      <c r="E86" s="70"/>
      <c r="F86" s="70"/>
      <c r="G86" s="55"/>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55"/>
      <c r="AO86" s="57"/>
      <c r="AP86" s="45"/>
      <c r="AQ86" s="45"/>
      <c r="AR86" s="45"/>
      <c r="AS86" s="437"/>
      <c r="AT86" s="437"/>
    </row>
    <row r="87" spans="1:65" outlineLevel="2" x14ac:dyDescent="0.25">
      <c r="A87" s="45"/>
      <c r="B87" s="54"/>
      <c r="C87" s="87">
        <f>INT($C$81)+2</f>
        <v>3</v>
      </c>
      <c r="D87" s="55"/>
      <c r="E87" s="70"/>
      <c r="F87" s="70"/>
      <c r="G87" s="55"/>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55"/>
      <c r="AO87" s="57"/>
      <c r="AP87" s="45"/>
      <c r="AQ87" s="45"/>
      <c r="AR87" s="45"/>
      <c r="AS87" s="437"/>
      <c r="AT87" s="437"/>
    </row>
    <row r="88" spans="1:65" ht="11.45" customHeight="1" outlineLevel="2" x14ac:dyDescent="0.25">
      <c r="A88" s="45"/>
      <c r="B88" s="54" t="s">
        <v>129</v>
      </c>
      <c r="C88" s="87">
        <f>INT($C$81)+2.01</f>
        <v>3.01</v>
      </c>
      <c r="D88" s="55"/>
      <c r="E88" s="55"/>
      <c r="F88" s="55"/>
      <c r="G88" s="55"/>
      <c r="H88" s="7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55"/>
      <c r="AO88" s="57"/>
      <c r="AP88" s="45"/>
      <c r="AQ88" s="45"/>
      <c r="AR88" s="45"/>
      <c r="AS88" s="437"/>
      <c r="AT88" s="437"/>
    </row>
    <row r="89" spans="1:65" outlineLevel="4" x14ac:dyDescent="0.25">
      <c r="A89" s="45"/>
      <c r="B89" s="54"/>
      <c r="C89" s="87">
        <f>INT(MAX($C$92:$C$134))+1</f>
        <v>5</v>
      </c>
      <c r="D89" s="73"/>
      <c r="E89" s="70"/>
      <c r="F89" s="70"/>
      <c r="G89" s="73"/>
      <c r="H89" s="70"/>
      <c r="I89" s="70"/>
      <c r="J89" s="70"/>
      <c r="K89" s="70"/>
      <c r="L89" s="70"/>
      <c r="M89" s="70"/>
      <c r="N89" s="70"/>
      <c r="O89" s="70"/>
      <c r="P89" s="70"/>
      <c r="Q89" s="70"/>
      <c r="R89" s="70"/>
      <c r="S89" s="70"/>
      <c r="T89" s="70"/>
      <c r="U89" s="70"/>
      <c r="V89" s="70"/>
      <c r="W89" s="70"/>
      <c r="X89" s="70"/>
      <c r="Y89" s="70"/>
      <c r="Z89" s="70"/>
      <c r="AA89" s="70"/>
      <c r="AB89" s="70"/>
      <c r="AC89" s="70"/>
      <c r="AD89" s="70"/>
      <c r="AE89" s="70"/>
      <c r="AF89" s="70">
        <f>MATCH(i_woolp_fdprem_percentile,i_woolp_fdprem_range_w5,1)</f>
        <v>3</v>
      </c>
      <c r="AG89" s="70">
        <v>2</v>
      </c>
      <c r="AH89" s="70"/>
      <c r="AI89" s="70"/>
      <c r="AJ89" s="70"/>
      <c r="AK89" s="70"/>
      <c r="AL89" s="70"/>
      <c r="AM89" s="70"/>
      <c r="AN89" s="73"/>
      <c r="AO89" s="57"/>
      <c r="AP89" s="45"/>
      <c r="AQ89" s="45">
        <v>2</v>
      </c>
      <c r="AR89" s="45"/>
      <c r="AS89" s="437"/>
      <c r="AT89" s="437"/>
    </row>
    <row r="90" spans="1:65" outlineLevel="4" x14ac:dyDescent="0.25">
      <c r="A90" s="45"/>
      <c r="B90" s="54" t="s">
        <v>130</v>
      </c>
      <c r="C90" s="87">
        <f>INT(MAX($C$92:$C$134))+1</f>
        <v>5</v>
      </c>
      <c r="D90" s="73" t="s">
        <v>131</v>
      </c>
      <c r="E90" s="70"/>
      <c r="F90" s="70"/>
      <c r="G90" s="73"/>
      <c r="H90" s="70"/>
      <c r="I90" s="70"/>
      <c r="J90" s="70"/>
      <c r="K90" s="70"/>
      <c r="L90" s="70"/>
      <c r="M90" s="70"/>
      <c r="N90" s="70"/>
      <c r="O90" s="70"/>
      <c r="P90" s="70"/>
      <c r="Q90" s="70"/>
      <c r="R90" s="70"/>
      <c r="S90" s="70"/>
      <c r="T90" s="70"/>
      <c r="U90" s="70"/>
      <c r="V90" s="70"/>
      <c r="W90" s="70"/>
      <c r="X90" s="70"/>
      <c r="Y90" s="70"/>
      <c r="Z90" s="70"/>
      <c r="AA90" s="70"/>
      <c r="AB90" s="70"/>
      <c r="AC90" s="70"/>
      <c r="AD90" s="70"/>
      <c r="AE90" s="70"/>
      <c r="AF90" s="70"/>
      <c r="AG90" s="70"/>
      <c r="AH90" s="70"/>
      <c r="AI90" s="70"/>
      <c r="AJ90" s="70"/>
      <c r="AK90" s="70"/>
      <c r="AL90" s="70"/>
      <c r="AM90" s="70"/>
      <c r="AN90" s="73"/>
      <c r="AO90" s="57"/>
      <c r="AP90" s="45"/>
      <c r="AQ90" s="45"/>
      <c r="AR90" s="45"/>
      <c r="AS90" s="437"/>
      <c r="AT90" s="437"/>
    </row>
    <row r="91" spans="1:65" outlineLevel="1" x14ac:dyDescent="0.25">
      <c r="A91" s="45"/>
      <c r="B91" s="54"/>
      <c r="C91" s="87">
        <f>INT($C$81)+1</f>
        <v>2</v>
      </c>
      <c r="D91" s="73"/>
      <c r="E91" s="70"/>
      <c r="F91" s="70"/>
      <c r="G91" s="73"/>
      <c r="H91" s="90" t="s">
        <v>174</v>
      </c>
      <c r="I91" s="91" t="str">
        <f>"("&amp;ROWS(i_woolp_fd_range_w4)&amp;","&amp;COLUMNS(i_woolp_fd_range_w4)&amp;"): i_woolp_fd_w4(pointers) = inputs"</f>
        <v>(18,1): i_woolp_fd_w4(pointers) = inputs</v>
      </c>
      <c r="J91" s="92"/>
      <c r="K91" s="92"/>
      <c r="L91" s="92"/>
      <c r="M91" s="92"/>
      <c r="N91" s="92"/>
      <c r="O91" s="92"/>
      <c r="P91" s="92"/>
      <c r="Q91" s="92"/>
      <c r="R91" s="92"/>
      <c r="S91" s="92"/>
      <c r="T91" s="92"/>
      <c r="U91" s="92"/>
      <c r="V91" s="92"/>
      <c r="W91" s="92"/>
      <c r="X91" s="92"/>
      <c r="Y91" s="92"/>
      <c r="Z91" s="93"/>
      <c r="AA91" s="93"/>
      <c r="AB91" s="93"/>
      <c r="AC91" s="93"/>
      <c r="AD91" s="93"/>
      <c r="AE91" s="93"/>
      <c r="AF91" s="93"/>
      <c r="AG91" s="93"/>
      <c r="AH91" s="93"/>
      <c r="AI91" s="93"/>
      <c r="AJ91" s="93"/>
      <c r="AK91" s="93"/>
      <c r="AL91" s="93"/>
      <c r="AM91" s="93"/>
      <c r="AN91" s="73"/>
      <c r="AO91" s="57"/>
      <c r="AP91" s="45"/>
      <c r="AQ91" s="45"/>
      <c r="AR91" s="45"/>
      <c r="AS91" s="437"/>
      <c r="AT91" s="437"/>
    </row>
    <row r="92" spans="1:65" ht="5.0999999999999996" customHeight="1" outlineLevel="3" x14ac:dyDescent="0.25">
      <c r="A92" s="45"/>
      <c r="B92" s="54"/>
      <c r="C92" s="87">
        <f>INT($C$81)+3.005</f>
        <v>4.0049999999999999</v>
      </c>
      <c r="D92" s="73" t="s">
        <v>132</v>
      </c>
      <c r="E92" s="73"/>
      <c r="F92" s="73"/>
      <c r="G92" s="73"/>
      <c r="H92" s="94"/>
      <c r="I92" s="94"/>
      <c r="J92" s="94"/>
      <c r="K92" s="234"/>
      <c r="L92" s="234"/>
      <c r="M92" s="94"/>
      <c r="N92" s="94"/>
      <c r="O92" s="94"/>
      <c r="P92" s="94"/>
      <c r="Q92" s="94"/>
      <c r="R92" s="94"/>
      <c r="S92" s="94"/>
      <c r="T92" s="94"/>
      <c r="U92" s="94"/>
      <c r="V92" s="94"/>
      <c r="W92" s="94"/>
      <c r="X92" s="94"/>
      <c r="Y92" s="94"/>
      <c r="Z92" s="94"/>
      <c r="AA92" s="94"/>
      <c r="AB92" s="94"/>
      <c r="AC92" s="94"/>
      <c r="AD92" s="94"/>
      <c r="AE92" s="94"/>
      <c r="AF92" s="94"/>
      <c r="AG92" s="94"/>
      <c r="AH92" s="94"/>
      <c r="AI92" s="94"/>
      <c r="AJ92" s="234"/>
      <c r="AK92" s="234"/>
      <c r="AL92" s="234"/>
      <c r="AM92" s="234"/>
      <c r="AN92" s="73"/>
      <c r="AO92" s="57"/>
      <c r="AP92" s="45"/>
      <c r="AQ92" s="45"/>
      <c r="AR92" s="45"/>
      <c r="AS92" s="437"/>
      <c r="AT92" s="437"/>
    </row>
    <row r="93" spans="1:65" outlineLevel="2" x14ac:dyDescent="0.25">
      <c r="A93" s="45"/>
      <c r="B93" s="54"/>
      <c r="C93" s="87">
        <f>INT($C$81)+2</f>
        <v>3</v>
      </c>
      <c r="D93" s="73"/>
      <c r="E93" s="70"/>
      <c r="F93" s="70"/>
      <c r="G93" s="73"/>
      <c r="H93" s="105"/>
      <c r="I93" s="106" t="s">
        <v>2197</v>
      </c>
      <c r="J93" s="107"/>
      <c r="K93" s="76"/>
      <c r="L93" s="76"/>
      <c r="M93" s="107"/>
      <c r="N93" s="106" t="s">
        <v>175</v>
      </c>
      <c r="O93" s="107"/>
      <c r="P93" s="107"/>
      <c r="Q93" s="608" t="s">
        <v>176</v>
      </c>
      <c r="R93" s="607"/>
      <c r="S93" s="607"/>
      <c r="T93" s="607"/>
      <c r="U93" s="607" t="s">
        <v>177</v>
      </c>
      <c r="V93" s="607"/>
      <c r="W93" s="607" t="s">
        <v>178</v>
      </c>
      <c r="X93" s="607"/>
      <c r="Y93" s="106" t="s">
        <v>2678</v>
      </c>
      <c r="Z93" s="107"/>
      <c r="AA93" s="107"/>
      <c r="AB93" s="107"/>
      <c r="AC93" s="107"/>
      <c r="AD93" s="107"/>
      <c r="AE93" s="76"/>
      <c r="AF93" s="76" t="s">
        <v>2677</v>
      </c>
      <c r="AG93" s="76"/>
      <c r="AH93" s="76"/>
      <c r="AI93" s="76"/>
      <c r="AJ93" s="76"/>
      <c r="AK93" s="76"/>
      <c r="AL93" s="76"/>
      <c r="AM93" s="76"/>
      <c r="AN93" s="73"/>
      <c r="AO93" s="57"/>
      <c r="AP93" s="45"/>
      <c r="AQ93" s="45"/>
      <c r="AR93" s="45"/>
      <c r="AS93" s="437"/>
      <c r="AT93" s="437"/>
      <c r="AX93" s="425" t="s">
        <v>2173</v>
      </c>
      <c r="BD93" t="s">
        <v>2225</v>
      </c>
    </row>
    <row r="94" spans="1:65" outlineLevel="2" x14ac:dyDescent="0.25">
      <c r="A94" s="45"/>
      <c r="B94" s="54"/>
      <c r="C94" s="87">
        <f>INT($C$81)+2</f>
        <v>3</v>
      </c>
      <c r="D94" s="73"/>
      <c r="E94" s="70"/>
      <c r="F94" s="70"/>
      <c r="G94" s="73"/>
      <c r="H94" s="76"/>
      <c r="I94" s="95" t="s">
        <v>3258</v>
      </c>
      <c r="J94" s="95"/>
      <c r="K94" s="76"/>
      <c r="L94" s="76"/>
      <c r="M94" s="95"/>
      <c r="N94" s="95" t="s">
        <v>179</v>
      </c>
      <c r="O94" s="95"/>
      <c r="P94" s="95"/>
      <c r="Q94" s="606" t="s">
        <v>180</v>
      </c>
      <c r="R94" s="606" t="s">
        <v>181</v>
      </c>
      <c r="S94" s="606" t="s">
        <v>182</v>
      </c>
      <c r="T94" s="606" t="s">
        <v>183</v>
      </c>
      <c r="U94" s="606" t="s">
        <v>180</v>
      </c>
      <c r="V94" s="606" t="s">
        <v>184</v>
      </c>
      <c r="W94" s="606" t="s">
        <v>180</v>
      </c>
      <c r="X94" s="606" t="s">
        <v>184</v>
      </c>
      <c r="Y94" s="95" t="s">
        <v>185</v>
      </c>
      <c r="Z94" s="95"/>
      <c r="AA94" s="95"/>
      <c r="AB94" s="95"/>
      <c r="AC94" s="95"/>
      <c r="AD94" s="95"/>
      <c r="AE94" s="76"/>
      <c r="AF94" s="76" t="s">
        <v>3218</v>
      </c>
      <c r="AG94" s="76"/>
      <c r="AH94" s="76"/>
      <c r="AI94" s="76"/>
      <c r="AJ94" s="76"/>
      <c r="AK94" s="76"/>
      <c r="AL94" s="76"/>
      <c r="AM94" s="76"/>
      <c r="AN94" s="73"/>
      <c r="AO94" s="57"/>
      <c r="AP94" s="45"/>
      <c r="AQ94" s="45"/>
      <c r="AR94" s="45"/>
      <c r="AS94" s="437"/>
      <c r="AT94" s="437"/>
      <c r="AV94" s="76" t="s">
        <v>186</v>
      </c>
      <c r="AX94" s="425" t="str">
        <f>"Calculated from "&amp;$AF$114</f>
        <v>Calculated from Percentiles Finewool Andrew Woods, broad extrapolated from the 20 yr premium (Mecardo Nov 2022 a&amp;b for Merino &amp; XB (XB was quoted relative to 22u Merino))</v>
      </c>
      <c r="BD94" t="s">
        <v>2226</v>
      </c>
    </row>
    <row r="95" spans="1:65" outlineLevel="3" x14ac:dyDescent="0.25">
      <c r="A95" s="45"/>
      <c r="B95" s="54"/>
      <c r="C95" s="87">
        <f t="shared" ref="C95:C112" si="3">INT($C$81)+3</f>
        <v>4</v>
      </c>
      <c r="D95" s="73"/>
      <c r="E95" s="70"/>
      <c r="F95" s="70" t="s">
        <v>187</v>
      </c>
      <c r="G95" s="73"/>
      <c r="H95" s="108" t="s">
        <v>2174</v>
      </c>
      <c r="I95" s="79">
        <v>10</v>
      </c>
      <c r="J95" s="79">
        <v>30</v>
      </c>
      <c r="K95" s="79">
        <v>50</v>
      </c>
      <c r="L95" s="79">
        <v>70</v>
      </c>
      <c r="M95" s="79">
        <v>90</v>
      </c>
      <c r="N95" s="80">
        <v>0.01</v>
      </c>
      <c r="O95" s="80">
        <v>0.02</v>
      </c>
      <c r="P95" s="80">
        <v>0.05</v>
      </c>
      <c r="Q95" s="605">
        <v>40</v>
      </c>
      <c r="R95" s="605">
        <v>60</v>
      </c>
      <c r="S95" s="605">
        <v>80</v>
      </c>
      <c r="T95" s="605">
        <v>95</v>
      </c>
      <c r="U95" s="605">
        <v>0</v>
      </c>
      <c r="V95" s="605">
        <v>100</v>
      </c>
      <c r="W95" s="605">
        <v>0</v>
      </c>
      <c r="X95" s="605">
        <v>100</v>
      </c>
      <c r="Y95" s="79" t="s">
        <v>188</v>
      </c>
      <c r="Z95" s="79" t="s">
        <v>189</v>
      </c>
      <c r="AA95" s="79" t="s">
        <v>190</v>
      </c>
      <c r="AB95" s="79" t="s">
        <v>191</v>
      </c>
      <c r="AC95" s="79" t="s">
        <v>192</v>
      </c>
      <c r="AD95" s="79" t="s">
        <v>193</v>
      </c>
      <c r="AE95" s="76"/>
      <c r="AF95" s="110">
        <f>I95</f>
        <v>10</v>
      </c>
      <c r="AG95" s="110">
        <f>J95</f>
        <v>30</v>
      </c>
      <c r="AH95" s="110">
        <f>K95</f>
        <v>50</v>
      </c>
      <c r="AI95" s="110">
        <f>L95</f>
        <v>70</v>
      </c>
      <c r="AJ95" s="110">
        <f>M95</f>
        <v>90</v>
      </c>
      <c r="AK95" s="76"/>
      <c r="AL95" s="76"/>
      <c r="AM95" s="76"/>
      <c r="AN95" s="73"/>
      <c r="AO95" s="57"/>
      <c r="AP95" s="45"/>
      <c r="AQ95" s="45"/>
      <c r="AR95" s="45"/>
      <c r="AS95" s="437"/>
      <c r="AT95" s="437"/>
      <c r="AV95" s="109"/>
      <c r="AX95">
        <f>AG95</f>
        <v>30</v>
      </c>
      <c r="AY95">
        <f t="shared" ref="AY95:AZ95" si="4">AH95</f>
        <v>50</v>
      </c>
      <c r="AZ95">
        <f t="shared" si="4"/>
        <v>70</v>
      </c>
      <c r="BC95" t="s">
        <v>2227</v>
      </c>
      <c r="BD95" s="153">
        <v>50</v>
      </c>
      <c r="BE95">
        <f>IFERROR(MIN(2,MATCH($BD95,i_woolp_mpg_range_w5,1)),1)-1</f>
        <v>1</v>
      </c>
      <c r="BF95" t="s">
        <v>2228</v>
      </c>
      <c r="BG95" s="97">
        <v>50</v>
      </c>
      <c r="BH95">
        <f>IFERROR(MIN(2,MATCH($BG95,i_woolp_fdprem_range_w5,1)),1)-1</f>
        <v>1</v>
      </c>
      <c r="BK95" s="313" t="s">
        <v>2306</v>
      </c>
      <c r="BL95" s="313"/>
      <c r="BM95" s="313"/>
    </row>
    <row r="96" spans="1:65" outlineLevel="3" x14ac:dyDescent="0.25">
      <c r="A96" s="45"/>
      <c r="B96" s="54"/>
      <c r="C96" s="87">
        <f t="shared" si="3"/>
        <v>4</v>
      </c>
      <c r="D96" s="73"/>
      <c r="E96" s="70"/>
      <c r="F96" s="70">
        <f t="shared" ref="F96:F101" si="5">($J99-$J96)/($H99-$H96)</f>
        <v>-3232.0065628113143</v>
      </c>
      <c r="G96" s="73"/>
      <c r="H96" s="79">
        <v>12</v>
      </c>
      <c r="I96" s="600">
        <v>8683.1022294036629</v>
      </c>
      <c r="J96" s="600">
        <v>10165.016407028286</v>
      </c>
      <c r="K96" s="600">
        <v>11506.435536455769</v>
      </c>
      <c r="L96" s="600">
        <v>12777.062587334305</v>
      </c>
      <c r="M96" s="600">
        <v>15594.103265182059</v>
      </c>
      <c r="N96" s="111">
        <f t="shared" ref="N96:W102" si="6">N97</f>
        <v>0</v>
      </c>
      <c r="O96" s="111">
        <f t="shared" si="6"/>
        <v>-1.9178082191780823E-2</v>
      </c>
      <c r="P96" s="111">
        <f t="shared" si="6"/>
        <v>-5.4794520547945202E-2</v>
      </c>
      <c r="Q96" s="604">
        <f t="shared" si="6"/>
        <v>-2.7397260273972601E-2</v>
      </c>
      <c r="R96" s="604">
        <f t="shared" si="6"/>
        <v>-1.0958904109589041E-2</v>
      </c>
      <c r="S96" s="604">
        <f t="shared" si="6"/>
        <v>0</v>
      </c>
      <c r="T96" s="604">
        <f t="shared" si="6"/>
        <v>4.10958904109589E-3</v>
      </c>
      <c r="U96" s="604">
        <f t="shared" si="6"/>
        <v>0</v>
      </c>
      <c r="V96" s="604">
        <f t="shared" si="6"/>
        <v>0</v>
      </c>
      <c r="W96" s="604">
        <f t="shared" si="6"/>
        <v>0</v>
      </c>
      <c r="X96" s="604">
        <f t="shared" ref="X96:AD102" si="7">X97</f>
        <v>0</v>
      </c>
      <c r="Y96" s="111">
        <f t="shared" si="7"/>
        <v>0.94399999999999995</v>
      </c>
      <c r="Z96" s="112">
        <f t="shared" si="7"/>
        <v>0.82499999999999996</v>
      </c>
      <c r="AA96" s="112">
        <f t="shared" si="7"/>
        <v>0.82499999999999996</v>
      </c>
      <c r="AB96" s="112">
        <f t="shared" si="7"/>
        <v>0.57499999999999996</v>
      </c>
      <c r="AC96" s="112">
        <f t="shared" si="7"/>
        <v>0.60499999999999998</v>
      </c>
      <c r="AD96" s="112">
        <f t="shared" si="7"/>
        <v>0.9</v>
      </c>
      <c r="AE96" s="76"/>
      <c r="AF96" s="142">
        <v>1.4178810718872636</v>
      </c>
      <c r="AG96" s="142">
        <v>3.0953179861762785</v>
      </c>
      <c r="AH96" s="142">
        <v>6.2607260050202047</v>
      </c>
      <c r="AI96" s="142">
        <v>8.6442715756402393</v>
      </c>
      <c r="AJ96" s="142">
        <v>8.1678328105967442</v>
      </c>
      <c r="AK96" s="76"/>
      <c r="AL96" s="76"/>
      <c r="AM96" s="76"/>
      <c r="AN96" s="73"/>
      <c r="AO96" s="57"/>
      <c r="AP96" s="45"/>
      <c r="AQ96" s="286"/>
      <c r="AR96" s="45"/>
      <c r="AS96" s="437"/>
      <c r="AT96" s="437"/>
      <c r="AV96" s="285">
        <f ca="1">AV97</f>
        <v>0.96308006535086399</v>
      </c>
      <c r="AX96" s="116"/>
      <c r="AY96" s="116"/>
      <c r="AZ96" s="116"/>
      <c r="BC96" s="321" t="s">
        <v>2229</v>
      </c>
      <c r="BD96" s="321" t="s">
        <v>2230</v>
      </c>
      <c r="BE96" s="321" t="s">
        <v>2228</v>
      </c>
      <c r="BF96" s="330" t="s">
        <v>2234</v>
      </c>
      <c r="BG96" s="415" t="s">
        <v>2663</v>
      </c>
      <c r="BK96" s="319" t="s">
        <v>2305</v>
      </c>
      <c r="BL96" s="319" t="s">
        <v>2227</v>
      </c>
      <c r="BM96" s="319" t="s">
        <v>2228</v>
      </c>
    </row>
    <row r="97" spans="1:77" outlineLevel="3" x14ac:dyDescent="0.25">
      <c r="A97" s="45"/>
      <c r="B97" s="54"/>
      <c r="C97" s="87">
        <f t="shared" si="3"/>
        <v>4</v>
      </c>
      <c r="D97" s="73"/>
      <c r="E97" s="70"/>
      <c r="F97" s="70">
        <f t="shared" si="5"/>
        <v>-824.80555555555577</v>
      </c>
      <c r="G97" s="73"/>
      <c r="H97" s="79">
        <v>13.5</v>
      </c>
      <c r="I97" s="600">
        <v>2803</v>
      </c>
      <c r="J97" s="600">
        <v>3100.1750000000002</v>
      </c>
      <c r="K97" s="600">
        <v>5357</v>
      </c>
      <c r="L97" s="600">
        <v>6282.9</v>
      </c>
      <c r="M97" s="600">
        <v>7260.4</v>
      </c>
      <c r="N97" s="287">
        <f t="shared" si="6"/>
        <v>0</v>
      </c>
      <c r="O97" s="287">
        <f t="shared" si="6"/>
        <v>-1.9178082191780823E-2</v>
      </c>
      <c r="P97" s="287">
        <f t="shared" si="6"/>
        <v>-5.4794520547945202E-2</v>
      </c>
      <c r="Q97" s="603">
        <f t="shared" si="6"/>
        <v>-2.7397260273972601E-2</v>
      </c>
      <c r="R97" s="603">
        <f t="shared" si="6"/>
        <v>-1.0958904109589041E-2</v>
      </c>
      <c r="S97" s="603">
        <f t="shared" si="6"/>
        <v>0</v>
      </c>
      <c r="T97" s="603">
        <f t="shared" si="6"/>
        <v>4.10958904109589E-3</v>
      </c>
      <c r="U97" s="603">
        <f t="shared" si="6"/>
        <v>0</v>
      </c>
      <c r="V97" s="603">
        <f t="shared" si="6"/>
        <v>0</v>
      </c>
      <c r="W97" s="603">
        <f t="shared" si="6"/>
        <v>0</v>
      </c>
      <c r="X97" s="603">
        <f t="shared" si="7"/>
        <v>0</v>
      </c>
      <c r="Y97" s="287">
        <f t="shared" si="7"/>
        <v>0.94399999999999995</v>
      </c>
      <c r="Z97" s="252">
        <f t="shared" si="7"/>
        <v>0.82499999999999996</v>
      </c>
      <c r="AA97" s="252">
        <f t="shared" si="7"/>
        <v>0.82499999999999996</v>
      </c>
      <c r="AB97" s="252">
        <f t="shared" si="7"/>
        <v>0.57499999999999996</v>
      </c>
      <c r="AC97" s="252">
        <f t="shared" si="7"/>
        <v>0.60499999999999998</v>
      </c>
      <c r="AD97" s="252">
        <f t="shared" si="7"/>
        <v>0.9</v>
      </c>
      <c r="AE97" s="76"/>
      <c r="AF97" s="113">
        <v>0.562405428998213</v>
      </c>
      <c r="AG97" s="113">
        <v>1.1288515469898648</v>
      </c>
      <c r="AH97" s="113">
        <v>2.2616895102928671</v>
      </c>
      <c r="AI97" s="113">
        <v>3.2336530674519337</v>
      </c>
      <c r="AJ97" s="113">
        <v>3.6519779980927267</v>
      </c>
      <c r="AK97" s="114"/>
      <c r="AL97" s="76"/>
      <c r="AM97" s="76"/>
      <c r="AN97" s="73"/>
      <c r="AO97" s="57"/>
      <c r="AP97" s="45"/>
      <c r="AQ97" s="421"/>
      <c r="AR97" s="45"/>
      <c r="AS97" s="437"/>
      <c r="AT97" s="437"/>
      <c r="AV97" s="288">
        <f t="shared" ref="AV97:AV108" ca="1" si="8">($J$127*$Y97*(1+FORECAST($H97+$J$128,OFFSET($AF$96:$AJ$112,MATCH($H97+$J$128,i_woolp_fd_range_w4,1)-1,AF$89-1,2,1),OFFSET(i_woolp_fd_range_w4,MATCH($H97+$J$128,i_woolp_fd_range_w4,1)-1,0,2,1)))/(1+INDEX($AF97:$AJ97,1,AF$89)))
+($K$127*$Z97*(1+FORECAST($H97+$K$128,OFFSET($AF$96:$AJ$112,MATCH($H97+$K$128,i_woolp_fd_range_w4,1)-1,AF$89-1,2,1),OFFSET(i_woolp_fd_range_w4,MATCH($H97+$K$128,i_woolp_fd_range_w4,1)-1,0,2,1)))/(1+INDEX($AF97:$AJ97,1,AF$89)))
+($L$127*$AA97*(1+FORECAST($H97+$L$128,OFFSET($AF$96:$AJ$112,MATCH($H97+$L$128,i_woolp_fd_range_w4,1)-1,AF$89-1,2,1),OFFSET(i_woolp_fd_range_w4,MATCH($H97+$L$128,i_woolp_fd_range_w4,1)-1,0,2,1)))/(1+INDEX($AF97:$AJ97,1,AF$89)))
+($M$127*$AB97*(1+FORECAST($H97+$M$128,OFFSET($AF$96:$AJ$112,MATCH($H97+$M$128,i_woolp_fd_range_w4,1)-1,AF$89-1,2,1),OFFSET(i_woolp_fd_range_w4,MATCH($H97+$M$128,i_woolp_fd_range_w4,1)-1,0,2,1)))/(1+INDEX($AF97:$AJ97,1,AF$89)))
+($N$127*$AC97*(1+FORECAST($H97+$N$128,OFFSET($AF$96:$AJ$112,MATCH($H97+$N$128,i_woolp_fd_range_w4,1)-1,AF$89-1,2,1),OFFSET(i_woolp_fd_range_w4,MATCH($H97+$N$128,i_woolp_fd_range_w4,1)-1,0,2,1)))/(1+INDEX($AF97:$AJ97,1,AF$89)))
 +($O$127*$AD97*(1+FORECAST($H97+$O$128,OFFSET($AF$96:$AJ$112,MATCH($H97+$O$128,i_woolp_fd_range_w4,1)-1,AF$89-1,2,1),OFFSET(i_woolp_fd_range_w4,MATCH($H97+$O$128,i_woolp_fd_range_w4,1)-1,0,2,1)))/(1+INDEX($AF97:$AJ97,1,AF$89)))</f>
        <v>0.96308006535086399</v>
      </c>
      <c r="AX97" s="116">
        <f t="shared" ref="AX97:AX103" si="9">((1+AG97)/(1+AG98))^(1/($H98-$H97))-1</f>
        <v>1.0877158722142499</v>
      </c>
      <c r="AY97" s="116">
        <f t="shared" ref="AY97:AZ103" si="10">((1+AH97)/(1+AH98))^(1/($H98-$H97))-1</f>
        <v>1.8600002785444074</v>
      </c>
      <c r="AZ97" s="116">
        <f t="shared" si="10"/>
        <v>2.035130669997451</v>
      </c>
      <c r="BC97" s="439">
        <f t="shared" ref="BC97:BC113" si="11">$H97</f>
        <v>13.5</v>
      </c>
      <c r="BD97">
        <f t="shared" ref="BD97:BD113" ca="1" si="12">IF($BC97=i_woolp_fd_std,_xlfn.FORECAST.LINEAR($BD$95,OFFSET($I97:$M97,0,$BE$95,1,2),OFFSET(i_woolp_mpg_range_w5,0,$BE$95,1,2)),0)</f>
        <v>0</v>
      </c>
      <c r="BE97" s="316">
        <f t="shared" ref="BE97:BE113" ca="1" si="13">_xlfn.FORECAST.LINEAR($BG$95,OFFSET($AF97:$AJ97,0,$BH$95,1,2),OFFSET(i_woolp_fdprem_range_w5,0,$BH$95,1,2))</f>
        <v>2.2616895102928676</v>
      </c>
      <c r="BF97" s="317">
        <f t="shared" ref="BF97:BF113" ca="1" si="14">SUM($BD$99:$BD$112)*(1+$BE97)*$Y97</f>
        <v>4879.5005541561704</v>
      </c>
      <c r="BG97" s="317">
        <f t="shared" ref="BG97:BG108" ca="1" si="15">(SUM($BD$99:$BD$112)*(1+$BE97)*$AV97*(1-i_wool_cost_pc)-i_wool_cost_kg*100)*$K$156</f>
        <v>3088.3474203569604</v>
      </c>
      <c r="BK97" s="4">
        <v>44551</v>
      </c>
      <c r="BL97">
        <v>60</v>
      </c>
      <c r="BM97">
        <v>85</v>
      </c>
    </row>
    <row r="98" spans="1:77" outlineLevel="3" x14ac:dyDescent="0.25">
      <c r="A98" s="45"/>
      <c r="B98" s="54"/>
      <c r="C98" s="87">
        <f t="shared" si="3"/>
        <v>4</v>
      </c>
      <c r="D98" s="73"/>
      <c r="E98" s="70"/>
      <c r="F98" s="70">
        <f t="shared" si="5"/>
        <v>-510.12500000000023</v>
      </c>
      <c r="G98" s="73"/>
      <c r="H98" s="79">
        <v>14</v>
      </c>
      <c r="I98" s="600">
        <v>1920.5833333333335</v>
      </c>
      <c r="J98" s="600">
        <v>2623.7500000000005</v>
      </c>
      <c r="K98" s="600">
        <v>3032.5</v>
      </c>
      <c r="L98" s="600">
        <v>3806</v>
      </c>
      <c r="M98" s="600">
        <v>4921</v>
      </c>
      <c r="N98" s="287">
        <f t="shared" si="6"/>
        <v>0</v>
      </c>
      <c r="O98" s="287">
        <f t="shared" si="6"/>
        <v>-1.9178082191780823E-2</v>
      </c>
      <c r="P98" s="287">
        <f t="shared" si="6"/>
        <v>-5.4794520547945202E-2</v>
      </c>
      <c r="Q98" s="603">
        <f t="shared" si="6"/>
        <v>-2.7397260273972601E-2</v>
      </c>
      <c r="R98" s="603">
        <f t="shared" si="6"/>
        <v>-1.0958904109589041E-2</v>
      </c>
      <c r="S98" s="603">
        <f t="shared" si="6"/>
        <v>0</v>
      </c>
      <c r="T98" s="603">
        <f t="shared" si="6"/>
        <v>4.10958904109589E-3</v>
      </c>
      <c r="U98" s="603">
        <f t="shared" si="6"/>
        <v>0</v>
      </c>
      <c r="V98" s="603">
        <f t="shared" si="6"/>
        <v>0</v>
      </c>
      <c r="W98" s="603">
        <f t="shared" si="6"/>
        <v>0</v>
      </c>
      <c r="X98" s="603">
        <f t="shared" si="7"/>
        <v>0</v>
      </c>
      <c r="Y98" s="287">
        <f t="shared" si="7"/>
        <v>0.94399999999999995</v>
      </c>
      <c r="Z98" s="252">
        <f t="shared" si="7"/>
        <v>0.82499999999999996</v>
      </c>
      <c r="AA98" s="252">
        <f t="shared" si="7"/>
        <v>0.82499999999999996</v>
      </c>
      <c r="AB98" s="252">
        <f t="shared" si="7"/>
        <v>0.57499999999999996</v>
      </c>
      <c r="AC98" s="252">
        <f t="shared" si="7"/>
        <v>0.60499999999999998</v>
      </c>
      <c r="AD98" s="252">
        <f t="shared" si="7"/>
        <v>0.9</v>
      </c>
      <c r="AE98" s="76"/>
      <c r="AF98" s="113">
        <v>0.27724688136852949</v>
      </c>
      <c r="AG98" s="113">
        <v>0.47336273392772693</v>
      </c>
      <c r="AH98" s="113">
        <v>0.92867734538375468</v>
      </c>
      <c r="AI98" s="113">
        <v>1.4301135647224987</v>
      </c>
      <c r="AJ98" s="113">
        <v>2.1466930605913879</v>
      </c>
      <c r="AK98" s="114"/>
      <c r="AL98" s="76"/>
      <c r="AM98" s="76"/>
      <c r="AN98" s="73"/>
      <c r="AO98" s="57"/>
      <c r="AP98" s="45"/>
      <c r="AQ98" s="421"/>
      <c r="AR98" s="45"/>
      <c r="AS98" s="437"/>
      <c r="AT98" s="437"/>
      <c r="AV98" s="288">
        <f t="shared" ca="1" si="8"/>
        <v>1.017871563475772</v>
      </c>
      <c r="AX98" s="116">
        <f t="shared" si="9"/>
        <v>0.23011496340245774</v>
      </c>
      <c r="AY98" s="116">
        <f t="shared" si="10"/>
        <v>0.59462404032405769</v>
      </c>
      <c r="AZ98" s="116">
        <f t="shared" si="10"/>
        <v>0.40501545452978349</v>
      </c>
      <c r="BC98" s="439">
        <f t="shared" si="11"/>
        <v>14</v>
      </c>
      <c r="BD98">
        <f t="shared" ca="1" si="12"/>
        <v>0</v>
      </c>
      <c r="BE98" s="316">
        <f t="shared" ca="1" si="13"/>
        <v>0.92867734538375468</v>
      </c>
      <c r="BF98" s="317">
        <f t="shared" ca="1" si="14"/>
        <v>2885.3090234034785</v>
      </c>
      <c r="BG98" s="317">
        <f t="shared" ca="1" si="15"/>
        <v>1913.3167238914818</v>
      </c>
      <c r="BK98" s="4">
        <v>44551</v>
      </c>
      <c r="BL98">
        <v>60</v>
      </c>
      <c r="BM98">
        <v>85</v>
      </c>
    </row>
    <row r="99" spans="1:77" outlineLevel="3" x14ac:dyDescent="0.25">
      <c r="A99" s="45"/>
      <c r="B99" s="54"/>
      <c r="C99" s="87">
        <f t="shared" si="3"/>
        <v>4</v>
      </c>
      <c r="D99" s="73"/>
      <c r="E99" s="70"/>
      <c r="F99" s="70">
        <f t="shared" si="5"/>
        <v>-213.73999999999987</v>
      </c>
      <c r="G99" s="73"/>
      <c r="H99" s="79">
        <v>14.5</v>
      </c>
      <c r="I99" s="600">
        <v>1726.9924999999998</v>
      </c>
      <c r="J99" s="600">
        <v>2085</v>
      </c>
      <c r="K99" s="600">
        <v>2570.75</v>
      </c>
      <c r="L99" s="600">
        <v>3416.6</v>
      </c>
      <c r="M99" s="600">
        <v>4062.8249999999998</v>
      </c>
      <c r="N99" s="287">
        <f t="shared" si="6"/>
        <v>0</v>
      </c>
      <c r="O99" s="287">
        <f t="shared" si="6"/>
        <v>-1.9178082191780823E-2</v>
      </c>
      <c r="P99" s="287">
        <f t="shared" si="6"/>
        <v>-5.4794520547945202E-2</v>
      </c>
      <c r="Q99" s="603">
        <f t="shared" si="6"/>
        <v>-2.7397260273972601E-2</v>
      </c>
      <c r="R99" s="603">
        <f t="shared" si="6"/>
        <v>-1.0958904109589041E-2</v>
      </c>
      <c r="S99" s="603">
        <f t="shared" si="6"/>
        <v>0</v>
      </c>
      <c r="T99" s="603">
        <f t="shared" si="6"/>
        <v>4.10958904109589E-3</v>
      </c>
      <c r="U99" s="603">
        <f t="shared" si="6"/>
        <v>0</v>
      </c>
      <c r="V99" s="603">
        <f t="shared" si="6"/>
        <v>0</v>
      </c>
      <c r="W99" s="603">
        <f t="shared" si="6"/>
        <v>0</v>
      </c>
      <c r="X99" s="603">
        <f t="shared" si="7"/>
        <v>0</v>
      </c>
      <c r="Y99" s="287">
        <f t="shared" si="7"/>
        <v>0.94399999999999995</v>
      </c>
      <c r="Z99" s="252">
        <f t="shared" si="7"/>
        <v>0.82499999999999996</v>
      </c>
      <c r="AA99" s="252">
        <f t="shared" si="7"/>
        <v>0.82499999999999996</v>
      </c>
      <c r="AB99" s="252">
        <f t="shared" si="7"/>
        <v>0.57499999999999996</v>
      </c>
      <c r="AC99" s="252">
        <f t="shared" si="7"/>
        <v>0.60499999999999998</v>
      </c>
      <c r="AD99" s="252">
        <f t="shared" si="7"/>
        <v>0.9</v>
      </c>
      <c r="AE99" s="76"/>
      <c r="AF99" s="113">
        <v>0.20396495690264241</v>
      </c>
      <c r="AG99" s="113">
        <v>0.3284243581081252</v>
      </c>
      <c r="AH99" s="113">
        <v>0.52732136033626298</v>
      </c>
      <c r="AI99" s="113">
        <v>1.0501518006756092</v>
      </c>
      <c r="AJ99" s="113">
        <v>1.4773619794848807</v>
      </c>
      <c r="AK99" s="114"/>
      <c r="AL99" s="76"/>
      <c r="AM99" s="76"/>
      <c r="AN99" s="73"/>
      <c r="AO99" s="57"/>
      <c r="AP99" s="45"/>
      <c r="AQ99" s="421"/>
      <c r="AR99" s="45"/>
      <c r="AS99" s="437"/>
      <c r="AT99" s="437"/>
      <c r="AV99" s="288">
        <f t="shared" ca="1" si="8"/>
        <v>1.0027069468640681</v>
      </c>
      <c r="AX99" s="116">
        <f t="shared" si="9"/>
        <v>9.7042383005294219E-2</v>
      </c>
      <c r="AY99" s="116">
        <f t="shared" si="10"/>
        <v>0.16002820534436513</v>
      </c>
      <c r="AZ99" s="116">
        <f t="shared" si="10"/>
        <v>0.43702152766096458</v>
      </c>
      <c r="BC99" s="439">
        <f t="shared" si="11"/>
        <v>14.5</v>
      </c>
      <c r="BD99">
        <f t="shared" ca="1" si="12"/>
        <v>0</v>
      </c>
      <c r="BE99" s="316">
        <f t="shared" ca="1" si="13"/>
        <v>0.52732136033626298</v>
      </c>
      <c r="BF99" s="317">
        <f t="shared" ca="1" si="14"/>
        <v>2284.8788643484909</v>
      </c>
      <c r="BG99" s="317">
        <f t="shared" ca="1" si="15"/>
        <v>1482.7594769175148</v>
      </c>
      <c r="BK99" s="4">
        <v>44551</v>
      </c>
      <c r="BL99">
        <v>60</v>
      </c>
      <c r="BM99">
        <v>85</v>
      </c>
    </row>
    <row r="100" spans="1:77" outlineLevel="3" x14ac:dyDescent="0.25">
      <c r="A100" s="45"/>
      <c r="B100" s="54"/>
      <c r="C100" s="87">
        <f t="shared" si="3"/>
        <v>4</v>
      </c>
      <c r="D100" s="73"/>
      <c r="E100" s="70"/>
      <c r="F100" s="70">
        <f t="shared" si="5"/>
        <v>-122.36222222222212</v>
      </c>
      <c r="G100" s="73"/>
      <c r="H100" s="79">
        <v>15</v>
      </c>
      <c r="I100" s="600">
        <v>1604.875</v>
      </c>
      <c r="J100" s="600">
        <v>1862.9666666666665</v>
      </c>
      <c r="K100" s="600">
        <v>2423.25</v>
      </c>
      <c r="L100" s="600">
        <v>2865.4</v>
      </c>
      <c r="M100" s="600">
        <v>3540.4458333333328</v>
      </c>
      <c r="N100" s="287">
        <f t="shared" si="6"/>
        <v>0</v>
      </c>
      <c r="O100" s="287">
        <f t="shared" si="6"/>
        <v>-1.9178082191780823E-2</v>
      </c>
      <c r="P100" s="287">
        <f t="shared" si="6"/>
        <v>-5.4794520547945202E-2</v>
      </c>
      <c r="Q100" s="603">
        <f t="shared" si="6"/>
        <v>-2.7397260273972601E-2</v>
      </c>
      <c r="R100" s="603">
        <f t="shared" si="6"/>
        <v>-1.0958904109589041E-2</v>
      </c>
      <c r="S100" s="603">
        <f t="shared" si="6"/>
        <v>0</v>
      </c>
      <c r="T100" s="603">
        <f t="shared" si="6"/>
        <v>4.10958904109589E-3</v>
      </c>
      <c r="U100" s="603">
        <f t="shared" si="6"/>
        <v>0</v>
      </c>
      <c r="V100" s="603">
        <f t="shared" si="6"/>
        <v>0</v>
      </c>
      <c r="W100" s="603">
        <f t="shared" si="6"/>
        <v>0</v>
      </c>
      <c r="X100" s="603">
        <f t="shared" si="7"/>
        <v>0</v>
      </c>
      <c r="Y100" s="287">
        <f t="shared" si="7"/>
        <v>0.94399999999999995</v>
      </c>
      <c r="Z100" s="252">
        <f t="shared" si="7"/>
        <v>0.82499999999999996</v>
      </c>
      <c r="AA100" s="252">
        <f t="shared" si="7"/>
        <v>0.82499999999999996</v>
      </c>
      <c r="AB100" s="252">
        <f t="shared" si="7"/>
        <v>0.57499999999999996</v>
      </c>
      <c r="AC100" s="252">
        <f t="shared" si="7"/>
        <v>0.60499999999999998</v>
      </c>
      <c r="AD100" s="252">
        <f t="shared" si="7"/>
        <v>0.9</v>
      </c>
      <c r="AE100" s="76"/>
      <c r="AF100" s="113">
        <v>0.1244638261366886</v>
      </c>
      <c r="AG100" s="113">
        <v>0.26830915427565349</v>
      </c>
      <c r="AH100" s="113">
        <v>0.41806504257643384</v>
      </c>
      <c r="AI100" s="113">
        <v>0.71022945468509957</v>
      </c>
      <c r="AJ100" s="113">
        <v>1.1025339273538992</v>
      </c>
      <c r="AK100" s="114"/>
      <c r="AL100" s="76"/>
      <c r="AM100" s="76"/>
      <c r="AN100" s="73"/>
      <c r="AO100" s="57"/>
      <c r="AP100" s="45"/>
      <c r="AQ100" s="421"/>
      <c r="AR100" s="45"/>
      <c r="AS100" s="437"/>
      <c r="AT100" s="437"/>
      <c r="AV100" s="288">
        <f t="shared" ca="1" si="8"/>
        <v>0.93949365734816614</v>
      </c>
      <c r="AX100" s="116">
        <f t="shared" si="9"/>
        <v>9.1156279973532373E-2</v>
      </c>
      <c r="AY100" s="116">
        <f t="shared" si="10"/>
        <v>0.11097133833206674</v>
      </c>
      <c r="AZ100" s="116">
        <f t="shared" si="10"/>
        <v>0.14393230565930515</v>
      </c>
      <c r="BC100" s="439">
        <f t="shared" si="11"/>
        <v>15</v>
      </c>
      <c r="BD100">
        <f t="shared" ca="1" si="12"/>
        <v>0</v>
      </c>
      <c r="BE100" s="316">
        <f t="shared" ca="1" si="13"/>
        <v>0.41806504257643384</v>
      </c>
      <c r="BF100" s="317">
        <f t="shared" ca="1" si="14"/>
        <v>2121.4309759545154</v>
      </c>
      <c r="BG100" s="317">
        <f t="shared" ca="1" si="15"/>
        <v>1284.0895727469003</v>
      </c>
      <c r="BH100">
        <f ca="1">BG100/$K$156</f>
        <v>1999.5088368554195</v>
      </c>
      <c r="BK100" s="4">
        <v>44551</v>
      </c>
      <c r="BL100">
        <v>60</v>
      </c>
      <c r="BM100">
        <v>85</v>
      </c>
      <c r="BQ100" t="s">
        <v>3784</v>
      </c>
    </row>
    <row r="101" spans="1:77" outlineLevel="3" x14ac:dyDescent="0.25">
      <c r="A101" s="45"/>
      <c r="B101" s="54"/>
      <c r="C101" s="87">
        <f t="shared" si="3"/>
        <v>4</v>
      </c>
      <c r="D101" s="73"/>
      <c r="E101" s="70"/>
      <c r="F101" s="70">
        <f t="shared" si="5"/>
        <v>-67.833333333333329</v>
      </c>
      <c r="G101" s="73"/>
      <c r="H101" s="79">
        <v>16</v>
      </c>
      <c r="I101" s="600">
        <v>1446.56</v>
      </c>
      <c r="J101" s="600">
        <v>1603.5</v>
      </c>
      <c r="K101" s="600">
        <v>2149.0666666666666</v>
      </c>
      <c r="L101" s="600">
        <v>2524.7666666666669</v>
      </c>
      <c r="M101" s="600">
        <v>3081.2125000000001</v>
      </c>
      <c r="N101" s="287">
        <f t="shared" si="6"/>
        <v>0</v>
      </c>
      <c r="O101" s="287">
        <f t="shared" si="6"/>
        <v>-1.9178082191780823E-2</v>
      </c>
      <c r="P101" s="287">
        <f t="shared" si="6"/>
        <v>-5.4794520547945202E-2</v>
      </c>
      <c r="Q101" s="603">
        <f t="shared" si="6"/>
        <v>-2.7397260273972601E-2</v>
      </c>
      <c r="R101" s="603">
        <f t="shared" si="6"/>
        <v>-1.0958904109589041E-2</v>
      </c>
      <c r="S101" s="603">
        <f t="shared" si="6"/>
        <v>0</v>
      </c>
      <c r="T101" s="603">
        <f t="shared" si="6"/>
        <v>4.10958904109589E-3</v>
      </c>
      <c r="U101" s="603">
        <f t="shared" si="6"/>
        <v>0</v>
      </c>
      <c r="V101" s="603">
        <f t="shared" si="6"/>
        <v>0</v>
      </c>
      <c r="W101" s="603">
        <f t="shared" si="6"/>
        <v>0</v>
      </c>
      <c r="X101" s="603">
        <f t="shared" si="7"/>
        <v>0</v>
      </c>
      <c r="Y101" s="287">
        <f t="shared" si="7"/>
        <v>0.94399999999999995</v>
      </c>
      <c r="Z101" s="252">
        <f t="shared" si="7"/>
        <v>0.82499999999999996</v>
      </c>
      <c r="AA101" s="252">
        <f t="shared" si="7"/>
        <v>0.82499999999999996</v>
      </c>
      <c r="AB101" s="252">
        <f t="shared" si="7"/>
        <v>0.57499999999999996</v>
      </c>
      <c r="AC101" s="252">
        <f t="shared" si="7"/>
        <v>0.60499999999999998</v>
      </c>
      <c r="AD101" s="252">
        <f t="shared" si="7"/>
        <v>0.9</v>
      </c>
      <c r="AE101" s="76"/>
      <c r="AF101" s="113">
        <v>8.3536242742086486E-2</v>
      </c>
      <c r="AG101" s="113">
        <v>0.16235334713595603</v>
      </c>
      <c r="AH101" s="113">
        <v>0.27641910609990683</v>
      </c>
      <c r="AI101" s="113">
        <v>0.49504428384808064</v>
      </c>
      <c r="AJ101" s="113">
        <v>0.6826911700910987</v>
      </c>
      <c r="AK101" s="114"/>
      <c r="AL101" s="76"/>
      <c r="AM101" s="76"/>
      <c r="AN101" s="73"/>
      <c r="AO101" s="57"/>
      <c r="AP101" s="45"/>
      <c r="AQ101" s="421"/>
      <c r="AR101" s="45"/>
      <c r="AS101" s="437"/>
      <c r="AT101" s="437"/>
      <c r="AV101" s="288">
        <f t="shared" ca="1" si="8"/>
        <v>0.91903604629666935</v>
      </c>
      <c r="AX101" s="116">
        <f t="shared" si="9"/>
        <v>6.2136367248459834E-2</v>
      </c>
      <c r="AY101" s="116">
        <f t="shared" si="10"/>
        <v>0.10618782566853691</v>
      </c>
      <c r="AZ101" s="116">
        <f t="shared" si="10"/>
        <v>0.17937782516923373</v>
      </c>
      <c r="BC101" s="315">
        <f t="shared" si="11"/>
        <v>16</v>
      </c>
      <c r="BD101">
        <f t="shared" ca="1" si="12"/>
        <v>0</v>
      </c>
      <c r="BE101" s="316">
        <f t="shared" ca="1" si="13"/>
        <v>0.27641910609990683</v>
      </c>
      <c r="BF101" s="317">
        <f t="shared" ca="1" si="14"/>
        <v>1909.528088401885</v>
      </c>
      <c r="BG101" s="317">
        <f t="shared" ca="1" si="15"/>
        <v>1125.3193687820235</v>
      </c>
      <c r="BK101" s="4">
        <v>44551</v>
      </c>
      <c r="BL101">
        <v>60</v>
      </c>
      <c r="BM101">
        <v>85</v>
      </c>
      <c r="BQ101" s="434">
        <v>0.75</v>
      </c>
      <c r="BR101" s="434">
        <v>1</v>
      </c>
      <c r="BS101" s="434">
        <v>1.25</v>
      </c>
      <c r="BT101" s="434">
        <v>1.5</v>
      </c>
      <c r="BV101" t="s">
        <v>3783</v>
      </c>
    </row>
    <row r="102" spans="1:77" outlineLevel="3" x14ac:dyDescent="0.25">
      <c r="A102" s="45"/>
      <c r="B102" s="54"/>
      <c r="C102" s="87">
        <f t="shared" si="3"/>
        <v>4</v>
      </c>
      <c r="D102" s="73"/>
      <c r="E102" s="70"/>
      <c r="F102" s="70">
        <f t="shared" ref="F102:F109" si="16">($J103-$J102)/($H103-$H102)</f>
        <v>-54.770000000000209</v>
      </c>
      <c r="G102" s="73"/>
      <c r="H102" s="79">
        <v>17</v>
      </c>
      <c r="I102" s="600">
        <v>1313.1</v>
      </c>
      <c r="J102" s="600">
        <v>1550.6500000000003</v>
      </c>
      <c r="K102" s="600">
        <v>1959.2</v>
      </c>
      <c r="L102" s="600">
        <v>2343.35</v>
      </c>
      <c r="M102" s="600">
        <v>2671.9333333333329</v>
      </c>
      <c r="N102" s="287">
        <f t="shared" si="6"/>
        <v>0</v>
      </c>
      <c r="O102" s="287">
        <f t="shared" si="6"/>
        <v>-1.9178082191780823E-2</v>
      </c>
      <c r="P102" s="287">
        <f t="shared" si="6"/>
        <v>-5.4794520547945202E-2</v>
      </c>
      <c r="Q102" s="603">
        <f t="shared" si="6"/>
        <v>-2.7397260273972601E-2</v>
      </c>
      <c r="R102" s="603">
        <f t="shared" si="6"/>
        <v>-1.0958904109589041E-2</v>
      </c>
      <c r="S102" s="603">
        <f t="shared" si="6"/>
        <v>0</v>
      </c>
      <c r="T102" s="603">
        <f t="shared" si="6"/>
        <v>4.10958904109589E-3</v>
      </c>
      <c r="U102" s="603">
        <f t="shared" si="6"/>
        <v>0</v>
      </c>
      <c r="V102" s="603">
        <f t="shared" si="6"/>
        <v>0</v>
      </c>
      <c r="W102" s="603">
        <f t="shared" si="6"/>
        <v>0</v>
      </c>
      <c r="X102" s="603">
        <f t="shared" si="7"/>
        <v>0</v>
      </c>
      <c r="Y102" s="287">
        <f t="shared" si="7"/>
        <v>0.94399999999999995</v>
      </c>
      <c r="Z102" s="252">
        <f t="shared" si="7"/>
        <v>0.82499999999999996</v>
      </c>
      <c r="AA102" s="252">
        <f t="shared" si="7"/>
        <v>0.82499999999999996</v>
      </c>
      <c r="AB102" s="252">
        <f t="shared" si="7"/>
        <v>0.57499999999999996</v>
      </c>
      <c r="AC102" s="252">
        <f t="shared" si="7"/>
        <v>0.60499999999999998</v>
      </c>
      <c r="AD102" s="252">
        <f t="shared" si="7"/>
        <v>0.9</v>
      </c>
      <c r="AE102" s="76"/>
      <c r="AF102" s="113">
        <v>6.539591977869974E-2</v>
      </c>
      <c r="AG102" s="113">
        <v>9.4354155434029044E-2</v>
      </c>
      <c r="AH102" s="113">
        <v>0.15389003248927358</v>
      </c>
      <c r="AI102" s="113">
        <v>0.26765507366865293</v>
      </c>
      <c r="AJ102" s="113">
        <v>0.46610246887272067</v>
      </c>
      <c r="AK102" s="114"/>
      <c r="AL102" s="76"/>
      <c r="AM102" s="76"/>
      <c r="AN102" s="73"/>
      <c r="AO102" s="57"/>
      <c r="AP102" s="45"/>
      <c r="AQ102" s="421"/>
      <c r="AR102" s="45"/>
      <c r="AS102" s="437"/>
      <c r="AT102" s="437"/>
      <c r="AV102" s="288">
        <f t="shared" ca="1" si="8"/>
        <v>0.91938902333683425</v>
      </c>
      <c r="AX102" s="116">
        <f t="shared" si="9"/>
        <v>3.7926519294462002E-2</v>
      </c>
      <c r="AY102" s="116">
        <f t="shared" si="10"/>
        <v>6.940513518653324E-2</v>
      </c>
      <c r="AZ102" s="116">
        <f t="shared" si="10"/>
        <v>0.11468803426729779</v>
      </c>
      <c r="BC102" s="315">
        <f t="shared" si="11"/>
        <v>17</v>
      </c>
      <c r="BD102">
        <f t="shared" ca="1" si="12"/>
        <v>0</v>
      </c>
      <c r="BE102" s="316">
        <f t="shared" ca="1" si="13"/>
        <v>0.15389003248927358</v>
      </c>
      <c r="BF102" s="317">
        <f t="shared" ca="1" si="14"/>
        <v>1726.2241041640832</v>
      </c>
      <c r="BG102" s="317">
        <f t="shared" ca="1" si="15"/>
        <v>1013.4124685395192</v>
      </c>
    </row>
    <row r="103" spans="1:77" outlineLevel="3" x14ac:dyDescent="0.25">
      <c r="A103" s="45"/>
      <c r="B103" s="54"/>
      <c r="C103" s="87">
        <f t="shared" si="3"/>
        <v>4</v>
      </c>
      <c r="D103" s="73"/>
      <c r="E103" s="70"/>
      <c r="F103" s="70">
        <f t="shared" si="16"/>
        <v>-95.880000000000109</v>
      </c>
      <c r="G103" s="73"/>
      <c r="H103" s="79">
        <v>18</v>
      </c>
      <c r="I103" s="600">
        <v>1267.5</v>
      </c>
      <c r="J103" s="600">
        <v>1495.88</v>
      </c>
      <c r="K103" s="600">
        <v>1825</v>
      </c>
      <c r="L103" s="600">
        <v>2119.4800000000005</v>
      </c>
      <c r="M103" s="600">
        <v>2355</v>
      </c>
      <c r="N103" s="117">
        <v>0</v>
      </c>
      <c r="O103" s="117">
        <f>-35/$K103</f>
        <v>-1.9178082191780823E-2</v>
      </c>
      <c r="P103" s="117">
        <f>-100/$K103</f>
        <v>-5.4794520547945202E-2</v>
      </c>
      <c r="Q103" s="602">
        <f>R103+1.5*(Q$95-R$95)/$K103</f>
        <v>-2.7397260273972601E-2</v>
      </c>
      <c r="R103" s="602">
        <f>S103+1*(R$95-S$95)/$K103</f>
        <v>-1.0958904109589041E-2</v>
      </c>
      <c r="S103" s="602">
        <v>0</v>
      </c>
      <c r="T103" s="602">
        <f>S103+0.5*(T$95-S$95)/$K103</f>
        <v>4.10958904109589E-3</v>
      </c>
      <c r="U103" s="602">
        <v>0</v>
      </c>
      <c r="V103" s="602">
        <v>0</v>
      </c>
      <c r="W103" s="602">
        <v>0</v>
      </c>
      <c r="X103" s="602">
        <v>0</v>
      </c>
      <c r="Y103" s="117">
        <v>0.94399999999999995</v>
      </c>
      <c r="Z103" s="118">
        <v>0.82499999999999996</v>
      </c>
      <c r="AA103" s="118">
        <v>0.82499999999999996</v>
      </c>
      <c r="AB103" s="118">
        <v>0.57499999999999996</v>
      </c>
      <c r="AC103" s="118">
        <v>0.60499999999999998</v>
      </c>
      <c r="AD103" s="118">
        <v>0.9</v>
      </c>
      <c r="AE103" s="76"/>
      <c r="AF103" s="113">
        <v>3.6318595960868283E-2</v>
      </c>
      <c r="AG103" s="113">
        <v>5.4365733113673771E-2</v>
      </c>
      <c r="AH103" s="113">
        <v>7.9001768855358812E-2</v>
      </c>
      <c r="AI103" s="113">
        <v>0.13722856503246028</v>
      </c>
      <c r="AJ103" s="113">
        <v>0.22929584139646925</v>
      </c>
      <c r="AK103" s="114"/>
      <c r="AL103" s="76"/>
      <c r="AM103" s="76"/>
      <c r="AN103" s="73"/>
      <c r="AO103" s="57"/>
      <c r="AP103" s="45"/>
      <c r="AQ103" s="286"/>
      <c r="AR103" s="45"/>
      <c r="AS103" s="437"/>
      <c r="AT103" s="437"/>
      <c r="AV103" s="288">
        <f t="shared" ca="1" si="8"/>
        <v>0.91615448304455405</v>
      </c>
      <c r="AX103" s="116">
        <f t="shared" si="9"/>
        <v>5.4365733113673764E-2</v>
      </c>
      <c r="AY103" s="116">
        <f t="shared" si="10"/>
        <v>7.9001768855358812E-2</v>
      </c>
      <c r="AZ103" s="116">
        <f t="shared" si="10"/>
        <v>0.13722856503246028</v>
      </c>
      <c r="BC103" s="315">
        <f t="shared" si="11"/>
        <v>18</v>
      </c>
      <c r="BD103">
        <f t="shared" ca="1" si="12"/>
        <v>0</v>
      </c>
      <c r="BE103" s="316">
        <f t="shared" ca="1" si="13"/>
        <v>7.9001768855358812E-2</v>
      </c>
      <c r="BF103" s="317">
        <f t="shared" ca="1" si="14"/>
        <v>1614.190962214692</v>
      </c>
      <c r="BG103" s="317">
        <f t="shared" ca="1" si="15"/>
        <v>941.26078469971606</v>
      </c>
      <c r="BQ103" s="315">
        <f ca="1">$BG103*BQ$101</f>
        <v>705.94558852478701</v>
      </c>
      <c r="BR103" s="315">
        <f t="shared" ref="BR103:BT107" ca="1" si="17">$BG103*BR$101</f>
        <v>941.26078469971606</v>
      </c>
      <c r="BS103" s="315">
        <f t="shared" ca="1" si="17"/>
        <v>1176.575980874645</v>
      </c>
      <c r="BT103" s="315">
        <f t="shared" ca="1" si="17"/>
        <v>1411.891177049574</v>
      </c>
      <c r="BV103" s="315">
        <f ca="1">BQ103*190/100</f>
        <v>1341.2966181970953</v>
      </c>
      <c r="BW103" s="315">
        <f t="shared" ref="BW103:BY103" ca="1" si="18">BR103*190/100</f>
        <v>1788.3954909294605</v>
      </c>
      <c r="BX103" s="315">
        <f t="shared" ca="1" si="18"/>
        <v>2235.4943636618254</v>
      </c>
      <c r="BY103" s="315">
        <f t="shared" ca="1" si="18"/>
        <v>2682.5932363941906</v>
      </c>
    </row>
    <row r="104" spans="1:77" outlineLevel="3" x14ac:dyDescent="0.25">
      <c r="A104" s="45"/>
      <c r="B104" s="54"/>
      <c r="C104" s="87">
        <f t="shared" si="3"/>
        <v>4</v>
      </c>
      <c r="D104" s="73"/>
      <c r="E104" s="70"/>
      <c r="F104" s="70">
        <f t="shared" si="16"/>
        <v>-58</v>
      </c>
      <c r="G104" s="73"/>
      <c r="H104" s="79">
        <v>19</v>
      </c>
      <c r="I104" s="262">
        <v>1195.9000000000001</v>
      </c>
      <c r="J104" s="262">
        <v>1400</v>
      </c>
      <c r="K104" s="262">
        <v>1584.75</v>
      </c>
      <c r="L104" s="262">
        <v>1759.75</v>
      </c>
      <c r="M104" s="262">
        <v>2147.7333333333331</v>
      </c>
      <c r="N104" s="289">
        <f t="shared" ref="N104:W108" si="19">N103</f>
        <v>0</v>
      </c>
      <c r="O104" s="289">
        <f t="shared" si="19"/>
        <v>-1.9178082191780823E-2</v>
      </c>
      <c r="P104" s="289">
        <f t="shared" si="19"/>
        <v>-5.4794520547945202E-2</v>
      </c>
      <c r="Q104" s="601">
        <f t="shared" si="19"/>
        <v>-2.7397260273972601E-2</v>
      </c>
      <c r="R104" s="601">
        <f t="shared" si="19"/>
        <v>-1.0958904109589041E-2</v>
      </c>
      <c r="S104" s="601">
        <f t="shared" si="19"/>
        <v>0</v>
      </c>
      <c r="T104" s="601">
        <f t="shared" si="19"/>
        <v>4.10958904109589E-3</v>
      </c>
      <c r="U104" s="601">
        <f t="shared" si="19"/>
        <v>0</v>
      </c>
      <c r="V104" s="601">
        <f t="shared" si="19"/>
        <v>0</v>
      </c>
      <c r="W104" s="601">
        <f t="shared" si="19"/>
        <v>0</v>
      </c>
      <c r="X104" s="601">
        <f t="shared" ref="X104:AD108" si="20">X103</f>
        <v>0</v>
      </c>
      <c r="Y104" s="289">
        <f t="shared" si="20"/>
        <v>0.94399999999999995</v>
      </c>
      <c r="Z104" s="290">
        <f t="shared" si="20"/>
        <v>0.82499999999999996</v>
      </c>
      <c r="AA104" s="290">
        <f t="shared" si="20"/>
        <v>0.82499999999999996</v>
      </c>
      <c r="AB104" s="290">
        <f t="shared" si="20"/>
        <v>0.57499999999999996</v>
      </c>
      <c r="AC104" s="290">
        <f t="shared" si="20"/>
        <v>0.60499999999999998</v>
      </c>
      <c r="AD104" s="290">
        <f t="shared" si="20"/>
        <v>0.9</v>
      </c>
      <c r="AE104" s="76"/>
      <c r="AF104" s="113">
        <v>0</v>
      </c>
      <c r="AG104" s="113">
        <v>0</v>
      </c>
      <c r="AH104" s="113">
        <v>0</v>
      </c>
      <c r="AI104" s="113">
        <v>0</v>
      </c>
      <c r="AJ104" s="113">
        <v>0</v>
      </c>
      <c r="AK104" s="114"/>
      <c r="AL104" s="76"/>
      <c r="AM104" s="76"/>
      <c r="AN104" s="73"/>
      <c r="AO104" s="57"/>
      <c r="AP104" s="45"/>
      <c r="AQ104" s="286"/>
      <c r="AR104" s="45"/>
      <c r="AS104" s="437"/>
      <c r="AT104" s="437"/>
      <c r="AV104" s="288">
        <f t="shared" ca="1" si="8"/>
        <v>0.9165104831288633</v>
      </c>
      <c r="AX104" s="116"/>
      <c r="AY104" s="116"/>
      <c r="AZ104" s="116"/>
      <c r="BC104" s="315">
        <f t="shared" si="11"/>
        <v>19</v>
      </c>
      <c r="BD104">
        <f t="shared" ca="1" si="12"/>
        <v>1584.75</v>
      </c>
      <c r="BE104" s="316">
        <f t="shared" ca="1" si="13"/>
        <v>0</v>
      </c>
      <c r="BF104" s="317">
        <f t="shared" ca="1" si="14"/>
        <v>1496.0039999999999</v>
      </c>
      <c r="BG104" s="317">
        <f t="shared" ca="1" si="15"/>
        <v>869.42795954787675</v>
      </c>
      <c r="BH104">
        <f ca="1">BG104/$K$156</f>
        <v>1353.8221359483057</v>
      </c>
    </row>
    <row r="105" spans="1:77" outlineLevel="3" x14ac:dyDescent="0.25">
      <c r="A105" s="45"/>
      <c r="B105" s="54"/>
      <c r="C105" s="87">
        <f t="shared" si="3"/>
        <v>4</v>
      </c>
      <c r="D105" s="73"/>
      <c r="E105" s="70"/>
      <c r="F105" s="70">
        <f t="shared" si="16"/>
        <v>-42</v>
      </c>
      <c r="G105" s="73"/>
      <c r="H105" s="79">
        <v>20</v>
      </c>
      <c r="I105" s="600">
        <v>1165</v>
      </c>
      <c r="J105" s="600">
        <v>1342</v>
      </c>
      <c r="K105" s="600">
        <v>1440</v>
      </c>
      <c r="L105" s="600">
        <v>1627</v>
      </c>
      <c r="M105" s="600">
        <v>2188</v>
      </c>
      <c r="N105" s="289">
        <f t="shared" si="19"/>
        <v>0</v>
      </c>
      <c r="O105" s="289">
        <f t="shared" si="19"/>
        <v>-1.9178082191780823E-2</v>
      </c>
      <c r="P105" s="289">
        <f t="shared" si="19"/>
        <v>-5.4794520547945202E-2</v>
      </c>
      <c r="Q105" s="601">
        <f t="shared" si="19"/>
        <v>-2.7397260273972601E-2</v>
      </c>
      <c r="R105" s="601">
        <f t="shared" si="19"/>
        <v>-1.0958904109589041E-2</v>
      </c>
      <c r="S105" s="601">
        <f t="shared" si="19"/>
        <v>0</v>
      </c>
      <c r="T105" s="601">
        <f t="shared" si="19"/>
        <v>4.10958904109589E-3</v>
      </c>
      <c r="U105" s="601">
        <f t="shared" si="19"/>
        <v>0</v>
      </c>
      <c r="V105" s="601">
        <f t="shared" si="19"/>
        <v>0</v>
      </c>
      <c r="W105" s="601">
        <f t="shared" si="19"/>
        <v>0</v>
      </c>
      <c r="X105" s="601">
        <f t="shared" si="20"/>
        <v>0</v>
      </c>
      <c r="Y105" s="289">
        <f t="shared" si="20"/>
        <v>0.94399999999999995</v>
      </c>
      <c r="Z105" s="290">
        <f t="shared" si="20"/>
        <v>0.82499999999999996</v>
      </c>
      <c r="AA105" s="290">
        <f t="shared" si="20"/>
        <v>0.82499999999999996</v>
      </c>
      <c r="AB105" s="290">
        <f t="shared" si="20"/>
        <v>0.57499999999999996</v>
      </c>
      <c r="AC105" s="290">
        <f t="shared" si="20"/>
        <v>0.60499999999999998</v>
      </c>
      <c r="AD105" s="290">
        <f t="shared" si="20"/>
        <v>0.9</v>
      </c>
      <c r="AE105" s="76"/>
      <c r="AF105" s="113">
        <v>-2.0297628437713631E-2</v>
      </c>
      <c r="AG105" s="113">
        <v>-4.0595256875427262E-2</v>
      </c>
      <c r="AH105" s="113">
        <v>-9.1339327969711337E-2</v>
      </c>
      <c r="AI105" s="113">
        <v>-0.12178577062628178</v>
      </c>
      <c r="AJ105" s="113">
        <v>-0.17252984172056587</v>
      </c>
      <c r="AK105" s="114"/>
      <c r="AL105" s="76"/>
      <c r="AM105" s="76"/>
      <c r="AN105" s="73"/>
      <c r="AO105" s="57"/>
      <c r="AP105" s="45"/>
      <c r="AQ105" s="286"/>
      <c r="AR105" s="45"/>
      <c r="AS105" s="437"/>
      <c r="AT105" s="437"/>
      <c r="AV105" s="288">
        <f t="shared" ca="1" si="8"/>
        <v>0.91981407986111097</v>
      </c>
      <c r="AX105" s="116">
        <f t="shared" ref="AX105:AX106" si="21">1-((1+AG105)/(1+AG104))^(1/($H104-$H105))</f>
        <v>-4.2312962455467229E-2</v>
      </c>
      <c r="AY105" s="116">
        <f t="shared" ref="AY105:AY106" si="22">1-((1+AH105)/(1+AH104))^(1/($H104-$H105))</f>
        <v>-0.10052083333333339</v>
      </c>
      <c r="AZ105" s="116">
        <f t="shared" ref="AZ105:AZ106" si="23">1-((1+AI105)/(1+AI104))^(1/($H104-$H105))</f>
        <v>-0.13867433087839065</v>
      </c>
      <c r="BC105" s="315">
        <f t="shared" si="11"/>
        <v>20</v>
      </c>
      <c r="BD105">
        <f t="shared" ca="1" si="12"/>
        <v>0</v>
      </c>
      <c r="BE105" s="316">
        <f t="shared" ca="1" si="13"/>
        <v>-9.1339327969711337E-2</v>
      </c>
      <c r="BF105" s="317">
        <f t="shared" ca="1" si="14"/>
        <v>1359.36</v>
      </c>
      <c r="BG105" s="317">
        <f t="shared" ca="1" si="15"/>
        <v>788.92815953006618</v>
      </c>
      <c r="BQ105" s="315">
        <f ca="1">$BG105*BQ$101</f>
        <v>591.69611964754961</v>
      </c>
      <c r="BR105" s="315">
        <f t="shared" ca="1" si="17"/>
        <v>788.92815953006618</v>
      </c>
      <c r="BS105" s="315">
        <f t="shared" ca="1" si="17"/>
        <v>986.16019941258276</v>
      </c>
      <c r="BT105" s="315">
        <f t="shared" ca="1" si="17"/>
        <v>1183.3922392950992</v>
      </c>
      <c r="BV105" s="315">
        <f ca="1">BQ105*190/100</f>
        <v>1124.2226273303443</v>
      </c>
      <c r="BW105" s="315">
        <f t="shared" ref="BW105" ca="1" si="24">BR105*190/100</f>
        <v>1498.9635031071259</v>
      </c>
      <c r="BX105" s="315">
        <f t="shared" ref="BX105" ca="1" si="25">BS105*190/100</f>
        <v>1873.7043788839073</v>
      </c>
      <c r="BY105" s="315">
        <f t="shared" ref="BY105" ca="1" si="26">BT105*190/100</f>
        <v>2248.4452546606885</v>
      </c>
    </row>
    <row r="106" spans="1:77" outlineLevel="3" x14ac:dyDescent="0.25">
      <c r="A106" s="45"/>
      <c r="B106" s="54"/>
      <c r="C106" s="87">
        <f t="shared" si="3"/>
        <v>4</v>
      </c>
      <c r="D106" s="73"/>
      <c r="E106" s="70"/>
      <c r="F106" s="70">
        <f t="shared" si="16"/>
        <v>-28</v>
      </c>
      <c r="G106" s="73"/>
      <c r="H106" s="79">
        <v>21</v>
      </c>
      <c r="I106" s="600">
        <v>1157</v>
      </c>
      <c r="J106" s="600">
        <v>1300</v>
      </c>
      <c r="K106" s="600">
        <v>1400</v>
      </c>
      <c r="L106" s="600">
        <v>1548</v>
      </c>
      <c r="M106" s="600">
        <v>2178</v>
      </c>
      <c r="N106" s="289">
        <f t="shared" si="19"/>
        <v>0</v>
      </c>
      <c r="O106" s="289">
        <f t="shared" si="19"/>
        <v>-1.9178082191780823E-2</v>
      </c>
      <c r="P106" s="289">
        <f t="shared" si="19"/>
        <v>-5.4794520547945202E-2</v>
      </c>
      <c r="Q106" s="601">
        <f t="shared" si="19"/>
        <v>-2.7397260273972601E-2</v>
      </c>
      <c r="R106" s="601">
        <f t="shared" si="19"/>
        <v>-1.0958904109589041E-2</v>
      </c>
      <c r="S106" s="601">
        <f t="shared" si="19"/>
        <v>0</v>
      </c>
      <c r="T106" s="601">
        <f t="shared" si="19"/>
        <v>4.10958904109589E-3</v>
      </c>
      <c r="U106" s="601">
        <f t="shared" si="19"/>
        <v>0</v>
      </c>
      <c r="V106" s="601">
        <f t="shared" si="19"/>
        <v>0</v>
      </c>
      <c r="W106" s="601">
        <f t="shared" si="19"/>
        <v>0</v>
      </c>
      <c r="X106" s="601">
        <f t="shared" si="20"/>
        <v>0</v>
      </c>
      <c r="Y106" s="289">
        <f t="shared" si="20"/>
        <v>0.94399999999999995</v>
      </c>
      <c r="Z106" s="290">
        <f t="shared" si="20"/>
        <v>0.82499999999999996</v>
      </c>
      <c r="AA106" s="290">
        <f t="shared" si="20"/>
        <v>0.82499999999999996</v>
      </c>
      <c r="AB106" s="290">
        <f t="shared" si="20"/>
        <v>0.57499999999999996</v>
      </c>
      <c r="AC106" s="290">
        <f t="shared" si="20"/>
        <v>0.60499999999999998</v>
      </c>
      <c r="AD106" s="290">
        <f t="shared" si="20"/>
        <v>0.9</v>
      </c>
      <c r="AE106" s="76"/>
      <c r="AF106" s="113">
        <v>-2.6903054352178827E-2</v>
      </c>
      <c r="AG106" s="113">
        <v>-5.3806108704357654E-2</v>
      </c>
      <c r="AH106" s="113">
        <v>-0.11657990219277492</v>
      </c>
      <c r="AI106" s="113">
        <v>-0.15245064132901337</v>
      </c>
      <c r="AJ106" s="113">
        <v>-0.19728906524931139</v>
      </c>
      <c r="AK106" s="76"/>
      <c r="AL106" s="76"/>
      <c r="AM106" s="76"/>
      <c r="AN106" s="73"/>
      <c r="AO106" s="57"/>
      <c r="AP106" s="45"/>
      <c r="AQ106" s="286"/>
      <c r="AR106" s="45"/>
      <c r="AS106" s="437"/>
      <c r="AT106" s="437"/>
      <c r="AV106" s="291">
        <f t="shared" ca="1" si="8"/>
        <v>0.91411678571428556</v>
      </c>
      <c r="AX106" s="116">
        <f t="shared" si="21"/>
        <v>-1.3962097991184974E-2</v>
      </c>
      <c r="AY106" s="116">
        <f t="shared" si="22"/>
        <v>-2.8571428571428692E-2</v>
      </c>
      <c r="AZ106" s="116">
        <f t="shared" si="23"/>
        <v>-3.6180631120783513E-2</v>
      </c>
      <c r="BC106" s="315">
        <f t="shared" si="11"/>
        <v>21</v>
      </c>
      <c r="BD106">
        <f t="shared" ca="1" si="12"/>
        <v>0</v>
      </c>
      <c r="BE106" s="316">
        <f t="shared" ca="1" si="13"/>
        <v>-0.11657990219277492</v>
      </c>
      <c r="BF106" s="317">
        <f t="shared" ca="1" si="14"/>
        <v>1321.6</v>
      </c>
      <c r="BG106" s="317">
        <f t="shared" ca="1" si="15"/>
        <v>760.75255271078879</v>
      </c>
    </row>
    <row r="107" spans="1:77" outlineLevel="3" x14ac:dyDescent="0.25">
      <c r="A107" s="45"/>
      <c r="B107" s="54"/>
      <c r="C107" s="87">
        <f t="shared" si="3"/>
        <v>4</v>
      </c>
      <c r="D107" s="73"/>
      <c r="E107" s="70"/>
      <c r="F107" s="70">
        <f t="shared" si="16"/>
        <v>-65</v>
      </c>
      <c r="G107" s="73"/>
      <c r="H107" s="79">
        <v>22</v>
      </c>
      <c r="I107" s="600">
        <v>1141</v>
      </c>
      <c r="J107" s="600">
        <v>1272</v>
      </c>
      <c r="K107" s="600">
        <v>1375</v>
      </c>
      <c r="L107" s="600">
        <v>1498</v>
      </c>
      <c r="M107" s="600">
        <v>2182</v>
      </c>
      <c r="N107" s="289">
        <f t="shared" si="19"/>
        <v>0</v>
      </c>
      <c r="O107" s="289">
        <f t="shared" si="19"/>
        <v>-1.9178082191780823E-2</v>
      </c>
      <c r="P107" s="289">
        <f t="shared" si="19"/>
        <v>-5.4794520547945202E-2</v>
      </c>
      <c r="Q107" s="601">
        <f t="shared" si="19"/>
        <v>-2.7397260273972601E-2</v>
      </c>
      <c r="R107" s="601">
        <f t="shared" si="19"/>
        <v>-1.0958904109589041E-2</v>
      </c>
      <c r="S107" s="601">
        <f t="shared" si="19"/>
        <v>0</v>
      </c>
      <c r="T107" s="601">
        <f t="shared" si="19"/>
        <v>4.10958904109589E-3</v>
      </c>
      <c r="U107" s="601">
        <f t="shared" si="19"/>
        <v>0</v>
      </c>
      <c r="V107" s="601">
        <f t="shared" si="19"/>
        <v>0</v>
      </c>
      <c r="W107" s="601">
        <f t="shared" si="19"/>
        <v>0</v>
      </c>
      <c r="X107" s="601">
        <f t="shared" si="20"/>
        <v>0</v>
      </c>
      <c r="Y107" s="289">
        <f t="shared" si="20"/>
        <v>0.94399999999999995</v>
      </c>
      <c r="Z107" s="290">
        <f t="shared" si="20"/>
        <v>0.82499999999999996</v>
      </c>
      <c r="AA107" s="290">
        <f t="shared" si="20"/>
        <v>0.82499999999999996</v>
      </c>
      <c r="AB107" s="290">
        <f t="shared" si="20"/>
        <v>0.57499999999999996</v>
      </c>
      <c r="AC107" s="290">
        <f t="shared" si="20"/>
        <v>0.60499999999999998</v>
      </c>
      <c r="AD107" s="290">
        <f t="shared" si="20"/>
        <v>0.9</v>
      </c>
      <c r="AE107" s="76"/>
      <c r="AF107" s="113">
        <v>-2.6471052216437932E-2</v>
      </c>
      <c r="AG107" s="113">
        <v>-6.1765788505021846E-2</v>
      </c>
      <c r="AH107" s="113">
        <v>-0.13235526108218965</v>
      </c>
      <c r="AI107" s="113">
        <v>-0.17647368144291956</v>
      </c>
      <c r="AJ107" s="113">
        <v>-0.21176841773150346</v>
      </c>
      <c r="AK107" s="114"/>
      <c r="AL107" s="76"/>
      <c r="AM107" s="76"/>
      <c r="AN107" s="73"/>
      <c r="AO107" s="57"/>
      <c r="AP107" s="45"/>
      <c r="AQ107" s="286"/>
      <c r="AR107" s="45"/>
      <c r="AS107" s="437"/>
      <c r="AT107" s="437"/>
      <c r="AV107" s="291">
        <f t="shared" ca="1" si="8"/>
        <v>0.91175673672727264</v>
      </c>
      <c r="AX107" s="116">
        <f t="shared" ref="AX107:AX113" si="27">1-((1+AG107)/(1+AG106))^(1/($H106-$H107))</f>
        <v>-8.4836810501518478E-3</v>
      </c>
      <c r="AY107" s="116">
        <f t="shared" ref="AY107:AZ113" si="28">1-((1+AH107)/(1+AH106))^(1/($H106-$H107))</f>
        <v>-1.8181818181818077E-2</v>
      </c>
      <c r="AZ107" s="116">
        <f t="shared" si="28"/>
        <v>-2.9170943991198017E-2</v>
      </c>
      <c r="BC107" s="315">
        <f t="shared" si="11"/>
        <v>22</v>
      </c>
      <c r="BD107">
        <f t="shared" ca="1" si="12"/>
        <v>0</v>
      </c>
      <c r="BE107" s="316">
        <f t="shared" ca="1" si="13"/>
        <v>-0.13235526108218965</v>
      </c>
      <c r="BF107" s="317">
        <f t="shared" ca="1" si="14"/>
        <v>1298</v>
      </c>
      <c r="BG107" s="317">
        <f t="shared" ca="1" si="15"/>
        <v>744.32756407782733</v>
      </c>
      <c r="BQ107" s="315">
        <f ca="1">$BG107*BQ$101</f>
        <v>558.24567305837047</v>
      </c>
      <c r="BR107" s="315">
        <f t="shared" ca="1" si="17"/>
        <v>744.32756407782733</v>
      </c>
      <c r="BS107" s="315">
        <f t="shared" ca="1" si="17"/>
        <v>930.40945509728419</v>
      </c>
      <c r="BT107" s="315">
        <f t="shared" ca="1" si="17"/>
        <v>1116.4913461167409</v>
      </c>
      <c r="BV107" s="315">
        <f ca="1">BQ107*190/100</f>
        <v>1060.6667788109039</v>
      </c>
      <c r="BW107" s="315">
        <f t="shared" ref="BW107" ca="1" si="29">BR107*190/100</f>
        <v>1414.2223717478719</v>
      </c>
      <c r="BX107" s="315">
        <f t="shared" ref="BX107" ca="1" si="30">BS107*190/100</f>
        <v>1767.7779646848398</v>
      </c>
      <c r="BY107" s="315">
        <f t="shared" ref="BY107" ca="1" si="31">BT107*190/100</f>
        <v>2121.3335576218078</v>
      </c>
    </row>
    <row r="108" spans="1:77" outlineLevel="3" x14ac:dyDescent="0.25">
      <c r="A108" s="45"/>
      <c r="B108" s="54"/>
      <c r="C108" s="87">
        <f t="shared" si="3"/>
        <v>4</v>
      </c>
      <c r="D108" s="73"/>
      <c r="E108" s="70"/>
      <c r="F108" s="70">
        <f t="shared" si="16"/>
        <v>-122.75</v>
      </c>
      <c r="G108" s="73"/>
      <c r="H108" s="79">
        <v>23</v>
      </c>
      <c r="I108" s="600">
        <v>1100.5</v>
      </c>
      <c r="J108" s="600">
        <v>1207</v>
      </c>
      <c r="K108" s="600">
        <v>1264.5</v>
      </c>
      <c r="L108" s="600">
        <v>1419</v>
      </c>
      <c r="M108" s="600">
        <v>2069.5</v>
      </c>
      <c r="N108" s="289">
        <f t="shared" si="19"/>
        <v>0</v>
      </c>
      <c r="O108" s="289">
        <f t="shared" si="19"/>
        <v>-1.9178082191780823E-2</v>
      </c>
      <c r="P108" s="289">
        <f t="shared" si="19"/>
        <v>-5.4794520547945202E-2</v>
      </c>
      <c r="Q108" s="601">
        <f t="shared" si="19"/>
        <v>-2.7397260273972601E-2</v>
      </c>
      <c r="R108" s="601">
        <f t="shared" si="19"/>
        <v>-1.0958904109589041E-2</v>
      </c>
      <c r="S108" s="601">
        <f t="shared" si="19"/>
        <v>0</v>
      </c>
      <c r="T108" s="601">
        <f t="shared" si="19"/>
        <v>4.10958904109589E-3</v>
      </c>
      <c r="U108" s="601">
        <f t="shared" si="19"/>
        <v>0</v>
      </c>
      <c r="V108" s="601">
        <f t="shared" si="19"/>
        <v>0</v>
      </c>
      <c r="W108" s="601">
        <f t="shared" si="19"/>
        <v>0</v>
      </c>
      <c r="X108" s="601">
        <f t="shared" si="20"/>
        <v>0</v>
      </c>
      <c r="Y108" s="289">
        <f t="shared" si="20"/>
        <v>0.94399999999999995</v>
      </c>
      <c r="Z108" s="290">
        <f t="shared" si="20"/>
        <v>0.82499999999999996</v>
      </c>
      <c r="AA108" s="290">
        <f t="shared" si="20"/>
        <v>0.82499999999999996</v>
      </c>
      <c r="AB108" s="290">
        <f t="shared" si="20"/>
        <v>0.57499999999999996</v>
      </c>
      <c r="AC108" s="290">
        <f t="shared" si="20"/>
        <v>0.60499999999999998</v>
      </c>
      <c r="AD108" s="290">
        <f t="shared" si="20"/>
        <v>0.9</v>
      </c>
      <c r="AE108" s="76"/>
      <c r="AF108" s="113">
        <v>-5.6133985381500752E-2</v>
      </c>
      <c r="AG108" s="113">
        <v>-0.1122679707630015</v>
      </c>
      <c r="AH108" s="113">
        <v>-0.20208234737340269</v>
      </c>
      <c r="AI108" s="113">
        <v>-0.25821633275490347</v>
      </c>
      <c r="AJ108" s="113">
        <v>-0.31435031813640424</v>
      </c>
      <c r="AK108" s="114"/>
      <c r="AL108" s="76"/>
      <c r="AM108" s="76"/>
      <c r="AN108" s="73"/>
      <c r="AO108" s="57"/>
      <c r="AP108" s="45"/>
      <c r="AQ108" s="286"/>
      <c r="AR108" s="45"/>
      <c r="AS108" s="437"/>
      <c r="AT108" s="437"/>
      <c r="AV108" s="291">
        <f t="shared" ca="1" si="8"/>
        <v>0.9174422412020562</v>
      </c>
      <c r="AX108" s="116">
        <f t="shared" si="27"/>
        <v>-5.6888994195000597E-2</v>
      </c>
      <c r="AY108" s="116">
        <f t="shared" si="28"/>
        <v>-8.7386318703044585E-2</v>
      </c>
      <c r="AZ108" s="116">
        <f t="shared" si="28"/>
        <v>-0.11019742671817934</v>
      </c>
      <c r="BC108" s="315">
        <f t="shared" si="11"/>
        <v>23</v>
      </c>
      <c r="BD108">
        <f t="shared" ca="1" si="12"/>
        <v>0</v>
      </c>
      <c r="BE108" s="316">
        <f t="shared" ca="1" si="13"/>
        <v>-0.20208234737340267</v>
      </c>
      <c r="BF108" s="317">
        <f t="shared" ca="1" si="14"/>
        <v>1193.6879999999999</v>
      </c>
      <c r="BG108" s="317">
        <f t="shared" ca="1" si="15"/>
        <v>685.44491404519579</v>
      </c>
    </row>
    <row r="109" spans="1:77" outlineLevel="3" x14ac:dyDescent="0.25">
      <c r="A109" s="45"/>
      <c r="B109" s="54"/>
      <c r="C109" s="87">
        <f t="shared" si="3"/>
        <v>4</v>
      </c>
      <c r="D109" s="73"/>
      <c r="E109" s="70"/>
      <c r="F109" s="70">
        <f t="shared" si="16"/>
        <v>-93.5</v>
      </c>
      <c r="G109" s="73"/>
      <c r="H109" s="79">
        <v>25</v>
      </c>
      <c r="I109" s="600">
        <v>832.5</v>
      </c>
      <c r="J109" s="600">
        <v>961.5</v>
      </c>
      <c r="K109" s="600">
        <v>1054.5</v>
      </c>
      <c r="L109" s="600">
        <v>1206.5</v>
      </c>
      <c r="M109" s="600">
        <v>1581.5</v>
      </c>
      <c r="N109" s="289">
        <f t="shared" ref="N109:X110" si="32">N108</f>
        <v>0</v>
      </c>
      <c r="O109" s="289">
        <f t="shared" si="32"/>
        <v>-1.9178082191780823E-2</v>
      </c>
      <c r="P109" s="289">
        <f t="shared" si="32"/>
        <v>-5.4794520547945202E-2</v>
      </c>
      <c r="Q109" s="601">
        <f t="shared" si="32"/>
        <v>-2.7397260273972601E-2</v>
      </c>
      <c r="R109" s="601">
        <f t="shared" si="32"/>
        <v>-1.0958904109589041E-2</v>
      </c>
      <c r="S109" s="601">
        <f t="shared" si="32"/>
        <v>0</v>
      </c>
      <c r="T109" s="601">
        <f t="shared" si="32"/>
        <v>4.10958904109589E-3</v>
      </c>
      <c r="U109" s="601">
        <f t="shared" si="32"/>
        <v>0</v>
      </c>
      <c r="V109" s="601">
        <f t="shared" si="32"/>
        <v>0</v>
      </c>
      <c r="W109" s="601">
        <f t="shared" si="32"/>
        <v>0</v>
      </c>
      <c r="X109" s="601">
        <f t="shared" si="32"/>
        <v>0</v>
      </c>
      <c r="Y109" s="117">
        <v>0.86099999999999999</v>
      </c>
      <c r="Z109" s="118">
        <v>0.61299999999999999</v>
      </c>
      <c r="AA109" s="118">
        <v>0.59399999999999997</v>
      </c>
      <c r="AB109" s="118">
        <v>0.42599999999999999</v>
      </c>
      <c r="AC109" s="118">
        <v>0.41499999999999998</v>
      </c>
      <c r="AD109" s="118">
        <f>AD108</f>
        <v>0.9</v>
      </c>
      <c r="AE109" s="76"/>
      <c r="AF109" s="113">
        <v>-0.16276510490613672</v>
      </c>
      <c r="AG109" s="113">
        <v>-0.24003028868906762</v>
      </c>
      <c r="AH109" s="113">
        <v>-0.33191355103328601</v>
      </c>
      <c r="AI109" s="113">
        <v>-0.39059052426776042</v>
      </c>
      <c r="AJ109" s="113">
        <v>-0.45612020823473742</v>
      </c>
      <c r="AK109" s="114"/>
      <c r="AL109" s="76"/>
      <c r="AM109" s="76"/>
      <c r="AN109" s="73"/>
      <c r="AO109" s="57"/>
      <c r="AP109" s="45"/>
      <c r="AQ109" s="286"/>
      <c r="AR109" s="45"/>
      <c r="AS109" s="437"/>
      <c r="AT109" s="437"/>
      <c r="AV109" s="292">
        <f ca="1">($J$132*$Y109*(1+FORECAST($H109+$J$133,OFFSET($AF$96:$AJ$112,MATCH($H109+$J$133,i_woolp_fd_range_w4,1)-1,AF$89-1,2,1),OFFSET(i_woolp_fd_range_w4,MATCH($H109+$J$133,i_woolp_fd_range_w4,1)-1,0,2,1)))/(1+INDEX($AF109:$AJ109,1,AF$89)))
+($K$132*$Z109*(1+FORECAST($H109+$K$133,OFFSET($AF$96:$AJ$112,MATCH($H109+$K$133,i_woolp_fd_range_w4,1)-1,AF$89-1,2,1),OFFSET(i_woolp_fd_range_w4,MATCH($H109+$K$133,i_woolp_fd_range_w4,1)-1,0,2,1)))/(1+INDEX($AF109:$AJ109,1,AF$89)))
+($L$132*$AA109*(1+FORECAST($H109+$L$133,OFFSET($AF$96:$AJ$112,MATCH($H109+$L$133,i_woolp_fd_range_w4,1)-1,AF$89-1,2,1),OFFSET(i_woolp_fd_range_w4,MATCH($H109+$L$133,i_woolp_fd_range_w4,1)-1,0,2,1)))/(1+INDEX($AF109:$AJ109,1,AF$89)))
+($M$132*$AB109*(1+FORECAST($H109+$M$133,OFFSET($AF$96:$AJ$112,MATCH($H109+$M$133,i_woolp_fd_range_w4,1)-1,AF$89-1,2,1),OFFSET(i_woolp_fd_range_w4,MATCH($H109+$M$133,i_woolp_fd_range_w4,1)-1,0,2,1)))/(1+INDEX($AF109:$AJ109,1,AF$89)))
+($N$132*$AC109*(1+FORECAST($H109+$N$133,OFFSET($AF$96:$AJ$112,MATCH($H109+$N$133,i_woolp_fd_range_w4,1)-1,AF$89-1,2,1),OFFSET(i_woolp_fd_range_w4,MATCH($H109+$N$133,i_woolp_fd_range_w4,1)-1,0,2,1)))/(1+INDEX($AF109:$AJ109,1,AF$89)))
 +($O$132*$AD109*(1+FORECAST($H109+$O$133,OFFSET($AF$96:$AJ$112,MATCH($H109+$O$133,i_woolp_fd_range_w4,1)-1,AF$89-1,2,1),OFFSET(i_woolp_fd_range_w4,MATCH($H109+$O$133,i_woolp_fd_range_w4,1)-1,0,2,1)))/(1+INDEX($AF109:$AJ109,1,AF$89)))</f>
        <v>0.82708795584415584</v>
      </c>
      <c r="AX109" s="116">
        <f t="shared" si="27"/>
        <v>-8.0793695872952043E-2</v>
      </c>
      <c r="AY109" s="116">
        <f t="shared" si="28"/>
        <v>-9.2855406624080983E-2</v>
      </c>
      <c r="AZ109" s="116">
        <f t="shared" si="28"/>
        <v>-0.10327564701683589</v>
      </c>
      <c r="BC109" s="315">
        <f t="shared" si="11"/>
        <v>25</v>
      </c>
      <c r="BD109">
        <f t="shared" ca="1" si="12"/>
        <v>0</v>
      </c>
      <c r="BE109" s="316">
        <f t="shared" ca="1" si="13"/>
        <v>-0.33191355103328601</v>
      </c>
      <c r="BF109" s="317">
        <f t="shared" ca="1" si="14"/>
        <v>911.58375000000001</v>
      </c>
      <c r="BG109" s="413">
        <f ca="1">(SUM($BD$99:$BD$112)*(1+$BE109)*$AV109*(1-i_wool_cost_pc)-i_wool_cost_kg*100)*$N$156</f>
        <v>510.82267339850625</v>
      </c>
    </row>
    <row r="110" spans="1:77" outlineLevel="3" x14ac:dyDescent="0.25">
      <c r="A110" s="45"/>
      <c r="B110" s="54"/>
      <c r="C110" s="87">
        <f t="shared" si="3"/>
        <v>4</v>
      </c>
      <c r="D110" s="73"/>
      <c r="E110" s="70"/>
      <c r="F110" s="70">
        <f>($J112-$J110)/($H112-$H110)</f>
        <v>-41.756450994974429</v>
      </c>
      <c r="G110" s="73"/>
      <c r="H110" s="79">
        <v>28</v>
      </c>
      <c r="I110" s="600">
        <v>498</v>
      </c>
      <c r="J110" s="600">
        <v>681</v>
      </c>
      <c r="K110" s="600">
        <v>781</v>
      </c>
      <c r="L110" s="600">
        <v>850</v>
      </c>
      <c r="M110" s="600">
        <v>1191</v>
      </c>
      <c r="N110" s="289">
        <f t="shared" si="32"/>
        <v>0</v>
      </c>
      <c r="O110" s="289">
        <f t="shared" si="32"/>
        <v>-1.9178082191780823E-2</v>
      </c>
      <c r="P110" s="289">
        <f t="shared" si="32"/>
        <v>-5.4794520547945202E-2</v>
      </c>
      <c r="Q110" s="601">
        <f t="shared" si="32"/>
        <v>-2.7397260273972601E-2</v>
      </c>
      <c r="R110" s="601">
        <f t="shared" si="32"/>
        <v>-1.0958904109589041E-2</v>
      </c>
      <c r="S110" s="601">
        <f t="shared" si="32"/>
        <v>0</v>
      </c>
      <c r="T110" s="601">
        <f t="shared" si="32"/>
        <v>4.10958904109589E-3</v>
      </c>
      <c r="U110" s="601">
        <f t="shared" si="32"/>
        <v>0</v>
      </c>
      <c r="V110" s="601">
        <f t="shared" si="32"/>
        <v>0</v>
      </c>
      <c r="W110" s="601">
        <f t="shared" si="32"/>
        <v>0</v>
      </c>
      <c r="X110" s="601">
        <f t="shared" si="32"/>
        <v>0</v>
      </c>
      <c r="Y110" s="289">
        <f>Y109</f>
        <v>0.86099999999999999</v>
      </c>
      <c r="Z110" s="290">
        <f>Z109</f>
        <v>0.61299999999999999</v>
      </c>
      <c r="AA110" s="290">
        <f>AA109</f>
        <v>0.59399999999999997</v>
      </c>
      <c r="AB110" s="290">
        <f>AB109</f>
        <v>0.42599999999999999</v>
      </c>
      <c r="AC110" s="290">
        <f>AC109</f>
        <v>0.41499999999999998</v>
      </c>
      <c r="AD110" s="290">
        <f>AD109</f>
        <v>0.9</v>
      </c>
      <c r="AE110" s="76"/>
      <c r="AF110" s="113">
        <v>-0.32313547530840547</v>
      </c>
      <c r="AG110" s="113">
        <v>-0.40795738385122887</v>
      </c>
      <c r="AH110" s="113">
        <v>-0.50717778829468374</v>
      </c>
      <c r="AI110" s="113">
        <v>-0.55378830387044631</v>
      </c>
      <c r="AJ110" s="113">
        <v>-0.62135047694264078</v>
      </c>
      <c r="AK110" s="114"/>
      <c r="AL110" s="76"/>
      <c r="AM110" s="76"/>
      <c r="AN110" s="73"/>
      <c r="AO110" s="57"/>
      <c r="AP110" s="45"/>
      <c r="AQ110" s="286"/>
      <c r="AR110" s="45"/>
      <c r="AS110" s="437"/>
      <c r="AT110" s="437"/>
      <c r="AV110" s="292">
        <f ca="1">($J$132*$Y110*(1+FORECAST($H110+$J$133,OFFSET($AF$96:$AJ$112,MATCH($H110+$J$133,i_woolp_fd_range_w4,1)-1,AF$89-1,2,1),OFFSET(i_woolp_fd_range_w4,MATCH($H110+$J$133,i_woolp_fd_range_w4,1)-1,0,2,1)))/(1+INDEX($AF110:$AJ110,1,AF$89)))
+($K$132*$Z110*(1+FORECAST($H110+$K$133,OFFSET($AF$96:$AJ$112,MATCH($H110+$K$133,i_woolp_fd_range_w4,1)-1,AF$89-1,2,1),OFFSET(i_woolp_fd_range_w4,MATCH($H110+$K$133,i_woolp_fd_range_w4,1)-1,0,2,1)))/(1+INDEX($AF110:$AJ110,1,AF$89)))
+($L$132*$AA110*(1+FORECAST($H110+$L$133,OFFSET($AF$96:$AJ$112,MATCH($H110+$L$133,i_woolp_fd_range_w4,1)-1,AF$89-1,2,1),OFFSET(i_woolp_fd_range_w4,MATCH($H110+$L$133,i_woolp_fd_range_w4,1)-1,0,2,1)))/(1+INDEX($AF110:$AJ110,1,AF$89)))
+($M$132*$AB110*(1+FORECAST($H110+$M$133,OFFSET($AF$96:$AJ$112,MATCH($H110+$M$133,i_woolp_fd_range_w4,1)-1,AF$89-1,2,1),OFFSET(i_woolp_fd_range_w4,MATCH($H110+$M$133,i_woolp_fd_range_w4,1)-1,0,2,1)))/(1+INDEX($AF110:$AJ110,1,AF$89)))
+($N$132*$AC110*(1+FORECAST($H110+$N$133,OFFSET($AF$96:$AJ$112,MATCH($H110+$N$133,i_woolp_fd_range_w4,1)-1,AF$89-1,2,1),OFFSET(i_woolp_fd_range_w4,MATCH($H110+$N$133,i_woolp_fd_range_w4,1)-1,0,2,1)))/(1+INDEX($AF110:$AJ110,1,AF$89)))
 +($O$132*$AD110*(1+FORECAST($H110+$O$133,OFFSET($AF$96:$AJ$112,MATCH($H110+$O$133,i_woolp_fd_range_w4,1)-1,AF$89-1,2,1),OFFSET(i_woolp_fd_range_w4,MATCH($H110+$O$133,i_woolp_fd_range_w4,1)-1,0,2,1)))/(1+INDEX($AF110:$AJ110,1,AF$89)))</f>
        <v>0.82945883333333326</v>
      </c>
      <c r="AX110" s="116">
        <f t="shared" si="27"/>
        <v>-8.6795350029972962E-2</v>
      </c>
      <c r="AY110" s="116">
        <f t="shared" si="28"/>
        <v>-0.10674473123186012</v>
      </c>
      <c r="AZ110" s="116">
        <f t="shared" si="28"/>
        <v>-0.10948836182573651</v>
      </c>
      <c r="BC110" s="315">
        <f t="shared" si="11"/>
        <v>28</v>
      </c>
      <c r="BD110">
        <f t="shared" ca="1" si="12"/>
        <v>0</v>
      </c>
      <c r="BE110" s="316">
        <f t="shared" ca="1" si="13"/>
        <v>-0.50717778829468374</v>
      </c>
      <c r="BF110" s="317">
        <f t="shared" ca="1" si="14"/>
        <v>672.44099999999992</v>
      </c>
      <c r="BG110" s="413">
        <f ca="1">(SUM($BD$99:$BD$112)*(1+$BE110)*$AV110*(1-i_wool_cost_pc)-i_wool_cost_kg*100)*$N$156</f>
        <v>366.16806357600194</v>
      </c>
      <c r="BQ110" s="315">
        <f t="shared" ref="BQ110:BT111" ca="1" si="33">$BG110*BQ$101</f>
        <v>274.62604768200146</v>
      </c>
      <c r="BR110" s="315">
        <f t="shared" ca="1" si="33"/>
        <v>366.16806357600194</v>
      </c>
      <c r="BS110" s="315">
        <f t="shared" ca="1" si="33"/>
        <v>457.71007947000243</v>
      </c>
      <c r="BT110" s="315">
        <f t="shared" ca="1" si="33"/>
        <v>549.25209536400291</v>
      </c>
      <c r="BV110" s="315">
        <f t="shared" ref="BV110:BV111" ca="1" si="34">BQ110*190/100</f>
        <v>521.78949059580282</v>
      </c>
      <c r="BW110" s="315">
        <f t="shared" ref="BW110:BW111" ca="1" si="35">BR110*190/100</f>
        <v>695.71932079440376</v>
      </c>
      <c r="BX110" s="315">
        <f t="shared" ref="BX110:BX111" ca="1" si="36">BS110*190/100</f>
        <v>869.64915099300458</v>
      </c>
      <c r="BY110" s="315">
        <f t="shared" ref="BY110:BY111" ca="1" si="37">BT110*190/100</f>
        <v>1043.5789811916056</v>
      </c>
    </row>
    <row r="111" spans="1:77" outlineLevel="3" x14ac:dyDescent="0.25">
      <c r="A111" s="45"/>
      <c r="B111" s="54"/>
      <c r="C111" s="87">
        <f t="shared" si="3"/>
        <v>4</v>
      </c>
      <c r="D111" s="73"/>
      <c r="E111" s="70"/>
      <c r="F111" s="70"/>
      <c r="G111" s="73"/>
      <c r="H111" s="79">
        <v>32</v>
      </c>
      <c r="I111" s="600">
        <v>425.42270074144187</v>
      </c>
      <c r="J111" s="600">
        <v>498.02808013882316</v>
      </c>
      <c r="K111" s="600">
        <v>563.75</v>
      </c>
      <c r="L111" s="600">
        <v>626.00351001735282</v>
      </c>
      <c r="M111" s="600">
        <v>764.02250617868208</v>
      </c>
      <c r="N111" s="289">
        <f t="shared" ref="N111:AD111" si="38">N109</f>
        <v>0</v>
      </c>
      <c r="O111" s="289">
        <f t="shared" si="38"/>
        <v>-1.9178082191780823E-2</v>
      </c>
      <c r="P111" s="289">
        <f t="shared" si="38"/>
        <v>-5.4794520547945202E-2</v>
      </c>
      <c r="Q111" s="601">
        <f t="shared" si="38"/>
        <v>-2.7397260273972601E-2</v>
      </c>
      <c r="R111" s="601">
        <f t="shared" si="38"/>
        <v>-1.0958904109589041E-2</v>
      </c>
      <c r="S111" s="601">
        <f t="shared" si="38"/>
        <v>0</v>
      </c>
      <c r="T111" s="601">
        <f t="shared" si="38"/>
        <v>4.10958904109589E-3</v>
      </c>
      <c r="U111" s="601">
        <f t="shared" si="38"/>
        <v>0</v>
      </c>
      <c r="V111" s="601">
        <f t="shared" si="38"/>
        <v>0</v>
      </c>
      <c r="W111" s="601">
        <f t="shared" si="38"/>
        <v>0</v>
      </c>
      <c r="X111" s="601">
        <f t="shared" si="38"/>
        <v>0</v>
      </c>
      <c r="Y111" s="289">
        <f t="shared" si="38"/>
        <v>0.86099999999999999</v>
      </c>
      <c r="Z111" s="290">
        <f t="shared" si="38"/>
        <v>0.61299999999999999</v>
      </c>
      <c r="AA111" s="290">
        <f t="shared" si="38"/>
        <v>0.59399999999999997</v>
      </c>
      <c r="AB111" s="290">
        <f t="shared" si="38"/>
        <v>0.42599999999999999</v>
      </c>
      <c r="AC111" s="290">
        <f t="shared" si="38"/>
        <v>0.41499999999999998</v>
      </c>
      <c r="AD111" s="290">
        <f t="shared" si="38"/>
        <v>0.9</v>
      </c>
      <c r="AE111" s="76"/>
      <c r="AF111" s="113">
        <v>-0.45482378924120526</v>
      </c>
      <c r="AG111" s="113">
        <v>-0.54964757848241041</v>
      </c>
      <c r="AH111" s="113">
        <v>-0.64426565704369776</v>
      </c>
      <c r="AI111" s="113">
        <v>-0.72000105169059259</v>
      </c>
      <c r="AJ111" s="113">
        <v>-0.82658905190093079</v>
      </c>
      <c r="AK111" s="76" t="s">
        <v>194</v>
      </c>
      <c r="AL111" s="76"/>
      <c r="AM111" s="76"/>
      <c r="AN111" s="73"/>
      <c r="AO111" s="57"/>
      <c r="AP111" s="45"/>
      <c r="AQ111" s="286"/>
      <c r="AR111" s="45"/>
      <c r="AS111" s="437"/>
      <c r="AT111" s="437"/>
      <c r="AV111" s="292">
        <f ca="1">($J$132*$Y111*(1+FORECAST($H111+$J$133,OFFSET($AF$96:$AJ$112,MATCH($H111+$J$133,i_woolp_fd_range_w4,1)-1,AF$89-1,2,1),OFFSET(i_woolp_fd_range_w4,MATCH($H111+$J$133,i_woolp_fd_range_w4,1)-1,0,2,1)))/(1+INDEX($AF111:$AJ111,1,AF$89)))
+($K$132*$Z111*(1+FORECAST($H111+$K$133,OFFSET($AF$96:$AJ$112,MATCH($H111+$K$133,i_woolp_fd_range_w4,1)-1,AF$89-1,2,1),OFFSET(i_woolp_fd_range_w4,MATCH($H111+$K$133,i_woolp_fd_range_w4,1)-1,0,2,1)))/(1+INDEX($AF111:$AJ111,1,AF$89)))
+($L$132*$AA111*(1+FORECAST($H111+$L$133,OFFSET($AF$96:$AJ$112,MATCH($H111+$L$133,i_woolp_fd_range_w4,1)-1,AF$89-1,2,1),OFFSET(i_woolp_fd_range_w4,MATCH($H111+$L$133,i_woolp_fd_range_w4,1)-1,0,2,1)))/(1+INDEX($AF111:$AJ111,1,AF$89)))
+($M$132*$AB111*(1+FORECAST($H111+$M$133,OFFSET($AF$96:$AJ$112,MATCH($H111+$M$133,i_woolp_fd_range_w4,1)-1,AF$89-1,2,1),OFFSET(i_woolp_fd_range_w4,MATCH($H111+$M$133,i_woolp_fd_range_w4,1)-1,0,2,1)))/(1+INDEX($AF111:$AJ111,1,AF$89)))
+($N$132*$AC111*(1+FORECAST($H111+$N$133,OFFSET($AF$96:$AJ$112,MATCH($H111+$N$133,i_woolp_fd_range_w4,1)-1,AF$89-1,2,1),OFFSET(i_woolp_fd_range_w4,MATCH($H111+$N$133,i_woolp_fd_range_w4,1)-1,0,2,1)))/(1+INDEX($AF111:$AJ111,1,AF$89)))
 +($O$132*$AD111*(1+FORECAST($H111+$O$133,OFFSET($AF$96:$AJ$112,MATCH($H111+$O$133,i_woolp_fd_range_w4,1)-1,AF$89-1,2,1),OFFSET(i_woolp_fd_range_w4,MATCH($H111+$O$133,i_woolp_fd_range_w4,1)-1,0,2,1)))/(1+INDEX($AF111:$AJ111,1,AF$89)))</f>
        <v>0.82699646097560964</v>
      </c>
      <c r="AX111" s="116">
        <f t="shared" si="27"/>
        <v>-7.077966923229817E-2</v>
      </c>
      <c r="AY111" s="116">
        <f t="shared" si="28"/>
        <v>-8.4903523662664515E-2</v>
      </c>
      <c r="AZ111" s="116">
        <f t="shared" si="28"/>
        <v>-0.12355965850943984</v>
      </c>
      <c r="BC111" s="315">
        <f t="shared" si="11"/>
        <v>32</v>
      </c>
      <c r="BD111">
        <f t="shared" ca="1" si="12"/>
        <v>0</v>
      </c>
      <c r="BE111" s="316">
        <f t="shared" ca="1" si="13"/>
        <v>-0.64426565704369776</v>
      </c>
      <c r="BF111" s="317">
        <f t="shared" ca="1" si="14"/>
        <v>485.38875000000002</v>
      </c>
      <c r="BG111" s="413">
        <f ca="1">(SUM($BD$99:$BD$112)*(1+$BE111)*$AV111*(1-i_wool_cost_pc)-i_wool_cost_kg*100)*$N$156</f>
        <v>250.89478706389966</v>
      </c>
      <c r="BQ111" s="315">
        <f t="shared" ca="1" si="33"/>
        <v>188.17109029792474</v>
      </c>
      <c r="BR111" s="315">
        <f t="shared" ca="1" si="33"/>
        <v>250.89478706389966</v>
      </c>
      <c r="BS111" s="315">
        <f t="shared" ca="1" si="33"/>
        <v>313.61848382987455</v>
      </c>
      <c r="BT111" s="315">
        <f t="shared" ca="1" si="33"/>
        <v>376.34218059584947</v>
      </c>
      <c r="BV111" s="315">
        <f t="shared" ca="1" si="34"/>
        <v>357.52507156605702</v>
      </c>
      <c r="BW111" s="315">
        <f t="shared" ca="1" si="35"/>
        <v>476.70009542140934</v>
      </c>
      <c r="BX111" s="315">
        <f t="shared" ca="1" si="36"/>
        <v>595.87511927676167</v>
      </c>
      <c r="BY111" s="315">
        <f t="shared" ca="1" si="37"/>
        <v>715.05014313211404</v>
      </c>
    </row>
    <row r="112" spans="1:77" outlineLevel="3" x14ac:dyDescent="0.25">
      <c r="A112" s="45"/>
      <c r="B112" s="54"/>
      <c r="C112" s="87">
        <f t="shared" si="3"/>
        <v>4</v>
      </c>
      <c r="D112" s="73"/>
      <c r="E112" s="70"/>
      <c r="F112" s="70"/>
      <c r="G112" s="73"/>
      <c r="H112" s="79">
        <v>35</v>
      </c>
      <c r="I112" s="600">
        <v>332.03722984697902</v>
      </c>
      <c r="J112" s="600">
        <v>388.70484303517901</v>
      </c>
      <c r="K112" s="600">
        <v>440</v>
      </c>
      <c r="L112" s="600">
        <v>488.58810537939735</v>
      </c>
      <c r="M112" s="600">
        <v>596.3102487248251</v>
      </c>
      <c r="N112" s="289">
        <f t="shared" ref="N112:AD112" si="39">N110</f>
        <v>0</v>
      </c>
      <c r="O112" s="289">
        <f t="shared" si="39"/>
        <v>-1.9178082191780823E-2</v>
      </c>
      <c r="P112" s="289">
        <f t="shared" si="39"/>
        <v>-5.4794520547945202E-2</v>
      </c>
      <c r="Q112" s="601">
        <f t="shared" si="39"/>
        <v>-2.7397260273972601E-2</v>
      </c>
      <c r="R112" s="601">
        <f t="shared" si="39"/>
        <v>-1.0958904109589041E-2</v>
      </c>
      <c r="S112" s="601">
        <f t="shared" si="39"/>
        <v>0</v>
      </c>
      <c r="T112" s="601">
        <f t="shared" si="39"/>
        <v>4.10958904109589E-3</v>
      </c>
      <c r="U112" s="601">
        <f t="shared" si="39"/>
        <v>0</v>
      </c>
      <c r="V112" s="601">
        <f t="shared" si="39"/>
        <v>0</v>
      </c>
      <c r="W112" s="601">
        <f t="shared" si="39"/>
        <v>0</v>
      </c>
      <c r="X112" s="601">
        <f t="shared" si="39"/>
        <v>0</v>
      </c>
      <c r="Y112" s="289">
        <f t="shared" si="39"/>
        <v>0.86099999999999999</v>
      </c>
      <c r="Z112" s="290">
        <f t="shared" si="39"/>
        <v>0.61299999999999999</v>
      </c>
      <c r="AA112" s="290">
        <f t="shared" si="39"/>
        <v>0.59399999999999997</v>
      </c>
      <c r="AB112" s="290">
        <f t="shared" si="39"/>
        <v>0.42599999999999999</v>
      </c>
      <c r="AC112" s="290">
        <f t="shared" si="39"/>
        <v>0.41499999999999998</v>
      </c>
      <c r="AD112" s="290">
        <f t="shared" si="39"/>
        <v>0.9</v>
      </c>
      <c r="AE112" s="76"/>
      <c r="AF112" s="113">
        <v>-0.56191197349739719</v>
      </c>
      <c r="AG112" s="113">
        <v>-0.64347099963190835</v>
      </c>
      <c r="AH112" s="113">
        <v>-0.7223536835463007</v>
      </c>
      <c r="AI112" s="113">
        <v>-0.85176526265972541</v>
      </c>
      <c r="AJ112" s="113">
        <v>-0.88964757848241049</v>
      </c>
      <c r="AK112" s="76" t="s">
        <v>195</v>
      </c>
      <c r="AL112" s="76"/>
      <c r="AM112" s="76"/>
      <c r="AN112" s="73"/>
      <c r="AO112" s="57"/>
      <c r="AP112" s="45"/>
      <c r="AQ112" s="286"/>
      <c r="AR112" s="45"/>
      <c r="AS112" s="437"/>
      <c r="AT112" s="437"/>
      <c r="AV112" s="423">
        <f ca="1">($J$132*$Y112*(1+FORECAST($H112+$J$133,OFFSET($AF$96:$AJ$112,MATCH($H112+$J$133,i_woolp_fd_range_w4,1)-1,AF$89-1,2,1),OFFSET(i_woolp_fd_range_w4,MATCH($H112+$J$133,i_woolp_fd_range_w4,1)-1,0,2,1)))/(1+INDEX($AF112:$AJ112,1,AF$89)))
+($K$132*$Z112*(1+FORECAST($H112+$K$133,OFFSET($AF$96:$AJ$112,MATCH($H112+$K$133,i_woolp_fd_range_w4,1)-1,AF$89-1,2,1),OFFSET(i_woolp_fd_range_w4,MATCH($H112+$K$133,i_woolp_fd_range_w4,1)-1,0,2,1)))/(1+INDEX($AF112:$AJ112,1,AF$89)))
+($L$132*$AA112*(1+FORECAST($H112+$L$133,OFFSET($AF$96:$AJ$112,MATCH($H112+$L$133,i_woolp_fd_range_w4,1)-1,AF$89-1,2,1),OFFSET(i_woolp_fd_range_w4,MATCH($H112+$L$133,i_woolp_fd_range_w4,1)-1,0,2,1)))/(1+INDEX($AF112:$AJ112,1,AF$89)))
+($M$132*$AB112*(1+FORECAST($H112+$M$133,OFFSET($AF$96:$AJ$112,MATCH($H112+$M$133,i_woolp_fd_range_w4,1)-1,AF$89-1,2,1),OFFSET(i_woolp_fd_range_w4,MATCH($H112+$M$133,i_woolp_fd_range_w4,1)-1,0,2,1)))/(1+INDEX($AF112:$AJ112,1,AF$89)))
+($N$132*$AC112*(1+FORECAST($H112+$N$133,OFFSET($AF$96:$AJ$112,MATCH($H112+$N$133,i_woolp_fd_range_w4,1)-1,AF$89-1,2,1),OFFSET(i_woolp_fd_range_w4,MATCH($H112+$N$133,i_woolp_fd_range_w4,1)-1,0,2,1)))/(1+INDEX($AF112:$AJ112,1,AF$89)))
 +($O$132*$AD112*(1+FORECAST($H112+$O$133,OFFSET($AF$96:$AJ$112,MATCH($H112+$O$133,i_woolp_fd_range_w4,1)-1,AF$89-1,2,1),OFFSET(i_woolp_fd_range_w4,MATCH($H112+$O$133,i_woolp_fd_range_w4,1)-1,0,2,1)))/(1+INDEX($AF112:$AJ112,1,AF$89)))</f>
        <v>0.82670906249999998</v>
      </c>
      <c r="AX112" s="116">
        <f t="shared" si="27"/>
        <v>-8.0983869874452274E-2</v>
      </c>
      <c r="AY112" s="116">
        <f t="shared" si="28"/>
        <v>-8.612037144215301E-2</v>
      </c>
      <c r="AZ112" s="116">
        <f t="shared" si="28"/>
        <v>-0.23614325642206291</v>
      </c>
      <c r="BC112" s="315">
        <f t="shared" si="11"/>
        <v>35</v>
      </c>
      <c r="BD112">
        <f t="shared" ca="1" si="12"/>
        <v>0</v>
      </c>
      <c r="BE112" s="316">
        <f t="shared" ca="1" si="13"/>
        <v>-0.7223536835463007</v>
      </c>
      <c r="BF112" s="317">
        <f t="shared" ca="1" si="14"/>
        <v>378.84</v>
      </c>
      <c r="BG112" s="413">
        <f ca="1">(SUM($BD$99:$BD$112)*(1+$BE112)*$AV112*(1-i_wool_cost_pc)-i_wool_cost_kg*100)*$N$156</f>
        <v>185.84791428672199</v>
      </c>
    </row>
    <row r="113" spans="1:59" outlineLevel="3" x14ac:dyDescent="0.25">
      <c r="A113" s="45"/>
      <c r="B113" s="54"/>
      <c r="C113" s="87"/>
      <c r="D113" s="73"/>
      <c r="E113" s="70"/>
      <c r="F113" s="70"/>
      <c r="G113" s="73"/>
      <c r="H113" s="79">
        <v>38</v>
      </c>
      <c r="I113" s="600">
        <v>238.65175895251616</v>
      </c>
      <c r="J113" s="600">
        <v>279.38160593153492</v>
      </c>
      <c r="K113" s="600">
        <v>316.24999999999994</v>
      </c>
      <c r="L113" s="600">
        <v>351.17270074144182</v>
      </c>
      <c r="M113" s="600">
        <v>428.59799127096801</v>
      </c>
      <c r="N113" s="293">
        <f t="shared" ref="N113:AD113" si="40">N111</f>
        <v>0</v>
      </c>
      <c r="O113" s="293">
        <f t="shared" si="40"/>
        <v>-1.9178082191780823E-2</v>
      </c>
      <c r="P113" s="293">
        <f t="shared" si="40"/>
        <v>-5.4794520547945202E-2</v>
      </c>
      <c r="Q113" s="599">
        <f t="shared" si="40"/>
        <v>-2.7397260273972601E-2</v>
      </c>
      <c r="R113" s="599">
        <f t="shared" si="40"/>
        <v>-1.0958904109589041E-2</v>
      </c>
      <c r="S113" s="599">
        <f t="shared" si="40"/>
        <v>0</v>
      </c>
      <c r="T113" s="599">
        <f t="shared" si="40"/>
        <v>4.10958904109589E-3</v>
      </c>
      <c r="U113" s="599">
        <f t="shared" si="40"/>
        <v>0</v>
      </c>
      <c r="V113" s="599">
        <f t="shared" si="40"/>
        <v>0</v>
      </c>
      <c r="W113" s="599">
        <f t="shared" si="40"/>
        <v>0</v>
      </c>
      <c r="X113" s="599">
        <f t="shared" si="40"/>
        <v>0</v>
      </c>
      <c r="Y113" s="293">
        <f t="shared" si="40"/>
        <v>0.86099999999999999</v>
      </c>
      <c r="Z113" s="294">
        <f t="shared" si="40"/>
        <v>0.61299999999999999</v>
      </c>
      <c r="AA113" s="294">
        <f t="shared" si="40"/>
        <v>0.59399999999999997</v>
      </c>
      <c r="AB113" s="294">
        <f t="shared" si="40"/>
        <v>0.42599999999999999</v>
      </c>
      <c r="AC113" s="294">
        <f t="shared" si="40"/>
        <v>0.41499999999999998</v>
      </c>
      <c r="AD113" s="294">
        <f t="shared" si="40"/>
        <v>0.9</v>
      </c>
      <c r="AE113" s="76"/>
      <c r="AF113" s="168">
        <v>-0.66900015775358912</v>
      </c>
      <c r="AG113" s="168">
        <v>-0.73729442078140628</v>
      </c>
      <c r="AH113" s="168">
        <v>-0.80044171004890363</v>
      </c>
      <c r="AI113" s="168">
        <v>-0.95</v>
      </c>
      <c r="AJ113" s="168">
        <v>-0.95</v>
      </c>
      <c r="AK113" s="76"/>
      <c r="AL113" s="76"/>
      <c r="AM113" s="76"/>
      <c r="AN113" s="73"/>
      <c r="AO113" s="57"/>
      <c r="AP113" s="45"/>
      <c r="AQ113" s="286"/>
      <c r="AR113" s="45"/>
      <c r="AS113" s="437"/>
      <c r="AT113" s="437"/>
      <c r="AV113" s="424">
        <f ca="1">AV112</f>
        <v>0.82670906249999998</v>
      </c>
      <c r="AX113" s="116">
        <f t="shared" si="27"/>
        <v>-0.1071552448938502</v>
      </c>
      <c r="AY113" s="116">
        <f t="shared" si="28"/>
        <v>-0.11636800399929625</v>
      </c>
      <c r="AZ113" s="116">
        <f t="shared" si="28"/>
        <v>-0.43656956499391408</v>
      </c>
      <c r="BC113" s="318">
        <f t="shared" si="11"/>
        <v>38</v>
      </c>
      <c r="BD113" s="319">
        <f t="shared" ca="1" si="12"/>
        <v>0</v>
      </c>
      <c r="BE113" s="320">
        <f t="shared" ca="1" si="13"/>
        <v>-0.80044171004890363</v>
      </c>
      <c r="BF113" s="422">
        <f t="shared" ca="1" si="14"/>
        <v>272.29124999999993</v>
      </c>
      <c r="BG113" s="414">
        <f ca="1">(SUM($BD$99:$BD$112)*(1+$BE113)*$AV113*(1-i_wool_cost_pc)-i_wool_cost_kg*100)*$N$156</f>
        <v>120.90389340097958</v>
      </c>
    </row>
    <row r="114" spans="1:59" ht="15.75" outlineLevel="3" thickBot="1" x14ac:dyDescent="0.3">
      <c r="A114" s="45"/>
      <c r="B114" s="54"/>
      <c r="C114" s="87">
        <f>INT($C$81+3)</f>
        <v>4</v>
      </c>
      <c r="D114" s="73"/>
      <c r="E114" s="70"/>
      <c r="F114" s="70"/>
      <c r="G114" s="73"/>
      <c r="H114" s="76" t="s">
        <v>196</v>
      </c>
      <c r="I114" s="591" t="s">
        <v>3217</v>
      </c>
      <c r="J114" s="119"/>
      <c r="K114" s="119"/>
      <c r="L114" s="119"/>
      <c r="M114" s="119"/>
      <c r="N114" s="119" t="s">
        <v>197</v>
      </c>
      <c r="O114" s="119"/>
      <c r="P114" s="119"/>
      <c r="Q114" s="598" t="s">
        <v>3216</v>
      </c>
      <c r="R114" s="598"/>
      <c r="S114" s="598"/>
      <c r="T114" s="598"/>
      <c r="U114" s="598"/>
      <c r="V114" s="598"/>
      <c r="W114" s="598"/>
      <c r="X114" s="598"/>
      <c r="Y114" s="119" t="s">
        <v>2175</v>
      </c>
      <c r="Z114" s="119"/>
      <c r="AA114" s="119"/>
      <c r="AB114" s="119"/>
      <c r="AC114" s="119"/>
      <c r="AD114" s="119"/>
      <c r="AE114" s="76"/>
      <c r="AF114" s="119" t="s">
        <v>3215</v>
      </c>
      <c r="AG114" s="119"/>
      <c r="AH114" s="119"/>
      <c r="AI114" s="119"/>
      <c r="AJ114" s="119"/>
      <c r="AK114" s="76"/>
      <c r="AL114" s="76"/>
      <c r="AM114" s="76"/>
      <c r="AN114" s="73"/>
      <c r="AO114" s="57"/>
      <c r="AP114" s="45"/>
      <c r="AQ114" s="45"/>
      <c r="AR114" s="45"/>
      <c r="AS114" s="437"/>
      <c r="AT114" s="437"/>
    </row>
    <row r="115" spans="1:59" ht="16.5" outlineLevel="3" thickTop="1" thickBot="1" x14ac:dyDescent="0.3">
      <c r="A115" s="45"/>
      <c r="B115" s="54"/>
      <c r="C115" s="87">
        <f>INT($C$81+3)</f>
        <v>4</v>
      </c>
      <c r="D115" s="73"/>
      <c r="E115" s="70"/>
      <c r="F115" s="70"/>
      <c r="G115" s="73"/>
      <c r="H115" s="174" t="s">
        <v>198</v>
      </c>
      <c r="I115" s="597">
        <v>19</v>
      </c>
      <c r="J115" s="312"/>
      <c r="K115" s="76"/>
      <c r="L115" s="76"/>
      <c r="M115" s="76"/>
      <c r="N115" s="76"/>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3"/>
      <c r="AO115" s="57"/>
      <c r="AP115" s="45"/>
      <c r="AQ115" s="45"/>
      <c r="AR115" s="45"/>
      <c r="AS115" s="437"/>
      <c r="AT115" s="437"/>
      <c r="AV115" t="s">
        <v>2679</v>
      </c>
    </row>
    <row r="116" spans="1:59" ht="15.75" outlineLevel="3" thickTop="1" x14ac:dyDescent="0.25">
      <c r="A116" s="45"/>
      <c r="B116" s="54"/>
      <c r="C116" s="87">
        <f>INT($C$81+3)</f>
        <v>4</v>
      </c>
      <c r="D116" s="73"/>
      <c r="E116" s="70"/>
      <c r="F116" s="70"/>
      <c r="G116" s="73"/>
      <c r="H116" s="76" t="s">
        <v>199</v>
      </c>
      <c r="I116" s="596">
        <f>INDEX($I$96:$M$112,MATCH(i_woolp_fd_std,i_woolp_fd_range_w4,0),0)</f>
        <v>1195.9000000000001</v>
      </c>
      <c r="J116" s="365">
        <f>INDEX($I$96:$M$112,MATCH(i_woolp_fd_std,i_woolp_fd_range_w4,0),0)</f>
        <v>1400</v>
      </c>
      <c r="K116" s="365">
        <f>INDEX($I$96:$M$112,MATCH(i_woolp_fd_std,i_woolp_fd_range_w4,0),0)</f>
        <v>1584.75</v>
      </c>
      <c r="L116" s="365">
        <f>INDEX($I$96:$M$112,MATCH(i_woolp_fd_std,i_woolp_fd_range_w4,0),0)</f>
        <v>1759.75</v>
      </c>
      <c r="M116" s="365">
        <f>INDEX($I$96:$M$112,MATCH(i_woolp_fd_std,i_woolp_fd_range_w4,0),0)</f>
        <v>2147.7333333333331</v>
      </c>
      <c r="N116" s="76"/>
      <c r="O116" s="76" t="s">
        <v>200</v>
      </c>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3"/>
      <c r="AO116" s="57"/>
      <c r="AP116" s="45"/>
      <c r="AQ116" s="45"/>
      <c r="AR116" s="45"/>
      <c r="AS116" s="437"/>
      <c r="AT116" s="437"/>
      <c r="AV116" t="s">
        <v>2681</v>
      </c>
    </row>
    <row r="117" spans="1:59" outlineLevel="3" x14ac:dyDescent="0.25">
      <c r="A117" s="45"/>
      <c r="B117" s="54"/>
      <c r="C117" s="87">
        <f>INT($C$81+3)</f>
        <v>4</v>
      </c>
      <c r="D117" s="73"/>
      <c r="E117" s="70"/>
      <c r="F117" s="70"/>
      <c r="G117" s="73"/>
      <c r="H117" s="76" t="s">
        <v>201</v>
      </c>
      <c r="I117" s="97">
        <v>50</v>
      </c>
      <c r="J117" s="76" t="s">
        <v>2196</v>
      </c>
      <c r="K117" s="76"/>
      <c r="L117" s="76"/>
      <c r="M117" s="76"/>
      <c r="N117" s="76"/>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3"/>
      <c r="AO117" s="57"/>
      <c r="AP117" s="45"/>
      <c r="AQ117" s="45"/>
      <c r="AR117" s="45"/>
      <c r="AS117" s="437"/>
      <c r="AT117" s="437"/>
      <c r="AV117" t="s">
        <v>2680</v>
      </c>
    </row>
    <row r="118" spans="1:59" outlineLevel="3" x14ac:dyDescent="0.25">
      <c r="A118" s="45"/>
      <c r="B118" s="54"/>
      <c r="C118" s="87">
        <f>INT($C$81+3)</f>
        <v>4</v>
      </c>
      <c r="D118" s="73"/>
      <c r="E118" s="70"/>
      <c r="F118" s="70"/>
      <c r="G118" s="73"/>
      <c r="H118" s="76" t="s">
        <v>202</v>
      </c>
      <c r="I118" s="97">
        <v>50</v>
      </c>
      <c r="J118" s="76" t="s">
        <v>2669</v>
      </c>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3"/>
      <c r="AO118" s="57"/>
      <c r="AP118" s="45"/>
      <c r="AQ118" s="45"/>
      <c r="AR118" s="45"/>
      <c r="AS118" s="437"/>
      <c r="AT118" s="437"/>
    </row>
    <row r="119" spans="1:59" ht="5.0999999999999996" customHeight="1" outlineLevel="2" x14ac:dyDescent="0.25">
      <c r="A119" s="45"/>
      <c r="B119" s="54"/>
      <c r="C119" s="87">
        <f>INT($C$81)+2.005</f>
        <v>3.0049999999999999</v>
      </c>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t="s">
        <v>136</v>
      </c>
      <c r="AO119" s="57"/>
      <c r="AP119" s="45"/>
      <c r="AQ119" s="45"/>
      <c r="AR119" s="45"/>
      <c r="AS119" s="437"/>
      <c r="AT119" s="437"/>
    </row>
    <row r="120" spans="1:59" outlineLevel="1" x14ac:dyDescent="0.25">
      <c r="A120" s="45"/>
      <c r="B120" s="54"/>
      <c r="C120" s="87">
        <f>INT($C$81)+1</f>
        <v>2</v>
      </c>
      <c r="D120" s="73"/>
      <c r="E120" s="70"/>
      <c r="F120" s="70"/>
      <c r="G120" s="73"/>
      <c r="H120" s="90" t="s">
        <v>203</v>
      </c>
      <c r="I120" s="91"/>
      <c r="J120" s="92"/>
      <c r="K120" s="92"/>
      <c r="L120" s="92"/>
      <c r="M120" s="92"/>
      <c r="N120" s="92"/>
      <c r="O120" s="92"/>
      <c r="P120" s="92"/>
      <c r="Q120" s="92"/>
      <c r="R120" s="92"/>
      <c r="S120" s="92"/>
      <c r="T120" s="92"/>
      <c r="U120" s="92"/>
      <c r="V120" s="92"/>
      <c r="W120" s="92"/>
      <c r="X120" s="92"/>
      <c r="Y120" s="92"/>
      <c r="Z120" s="93"/>
      <c r="AA120" s="93"/>
      <c r="AB120" s="93"/>
      <c r="AC120" s="93"/>
      <c r="AD120" s="93"/>
      <c r="AE120" s="93"/>
      <c r="AF120" s="93"/>
      <c r="AG120" s="93"/>
      <c r="AH120" s="93"/>
      <c r="AI120" s="93"/>
      <c r="AJ120" s="93"/>
      <c r="AK120" s="93"/>
      <c r="AL120" s="93"/>
      <c r="AM120" s="93"/>
      <c r="AN120" s="73"/>
      <c r="AO120" s="57"/>
      <c r="AP120" s="45"/>
      <c r="AQ120" s="45"/>
      <c r="AR120" s="45"/>
      <c r="AS120" s="437"/>
      <c r="AT120" s="437"/>
    </row>
    <row r="121" spans="1:59" ht="5.0999999999999996" customHeight="1" outlineLevel="3" x14ac:dyDescent="0.25">
      <c r="A121" s="45"/>
      <c r="B121" s="54"/>
      <c r="C121" s="87">
        <f>INT($C$81)+3.005</f>
        <v>4.0049999999999999</v>
      </c>
      <c r="D121" s="73" t="s">
        <v>132</v>
      </c>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57"/>
      <c r="AP121" s="45"/>
      <c r="AQ121" s="45"/>
      <c r="AR121" s="45"/>
      <c r="AS121" s="437"/>
      <c r="AT121" s="437"/>
    </row>
    <row r="122" spans="1:59" outlineLevel="2" x14ac:dyDescent="0.25">
      <c r="A122" s="45"/>
      <c r="B122" s="54"/>
      <c r="C122" s="87">
        <f>INT($C$81)+2</f>
        <v>3</v>
      </c>
      <c r="D122" s="73"/>
      <c r="E122" s="70"/>
      <c r="F122" s="70"/>
      <c r="G122" s="73"/>
      <c r="H122" s="76"/>
      <c r="I122" s="76"/>
      <c r="J122" s="95" t="s">
        <v>204</v>
      </c>
      <c r="K122" s="120"/>
      <c r="L122" s="95"/>
      <c r="M122" s="95"/>
      <c r="N122" s="95"/>
      <c r="O122" s="95"/>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3"/>
      <c r="AO122" s="57"/>
      <c r="AP122" s="45"/>
      <c r="AQ122" s="45"/>
      <c r="AR122" s="45"/>
      <c r="AS122" s="437"/>
      <c r="AT122" s="437"/>
    </row>
    <row r="123" spans="1:59" outlineLevel="2" x14ac:dyDescent="0.25">
      <c r="A123" s="45"/>
      <c r="B123" s="54"/>
      <c r="C123" s="87">
        <f>INT($C$81)+2</f>
        <v>3</v>
      </c>
      <c r="D123" s="73"/>
      <c r="E123" s="70"/>
      <c r="F123" s="70"/>
      <c r="G123" s="73"/>
      <c r="H123" s="76" t="s">
        <v>2176</v>
      </c>
      <c r="I123" s="76"/>
      <c r="J123" s="76" t="str">
        <f t="shared" ref="J123:O123" si="41">Y95</f>
        <v>Fleece</v>
      </c>
      <c r="K123" s="76" t="str">
        <f t="shared" si="41"/>
        <v>Pieces</v>
      </c>
      <c r="L123" s="76" t="str">
        <f t="shared" si="41"/>
        <v>Bellies</v>
      </c>
      <c r="M123" s="76" t="str">
        <f t="shared" si="41"/>
        <v>Locks</v>
      </c>
      <c r="N123" s="76" t="str">
        <f t="shared" si="41"/>
        <v>Stains</v>
      </c>
      <c r="O123" s="76" t="str">
        <f t="shared" si="41"/>
        <v>Off types</v>
      </c>
      <c r="P123" s="76" t="s">
        <v>2177</v>
      </c>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3"/>
      <c r="AO123" s="57"/>
      <c r="AP123" s="45"/>
      <c r="AQ123" s="45"/>
      <c r="AR123" s="45"/>
      <c r="AS123" s="437"/>
      <c r="AT123" s="437"/>
    </row>
    <row r="124" spans="1:59" outlineLevel="3" x14ac:dyDescent="0.25">
      <c r="A124" s="45"/>
      <c r="B124" s="54"/>
      <c r="C124" s="87">
        <f>INT($C$81+3)</f>
        <v>4</v>
      </c>
      <c r="D124" s="73"/>
      <c r="E124" s="70"/>
      <c r="F124" s="70"/>
      <c r="G124" s="73"/>
      <c r="H124" s="76"/>
      <c r="I124" s="78" t="s">
        <v>2178</v>
      </c>
      <c r="J124" s="113">
        <v>0.68</v>
      </c>
      <c r="K124" s="113">
        <v>0.55000000000000004</v>
      </c>
      <c r="L124" s="113">
        <v>0.5</v>
      </c>
      <c r="M124" s="113">
        <v>0.65</v>
      </c>
      <c r="N124" s="113">
        <v>0.65</v>
      </c>
      <c r="O124" s="124">
        <f>J124</f>
        <v>0.68</v>
      </c>
      <c r="P124" s="124">
        <v>0.4</v>
      </c>
      <c r="Q124" s="97" t="s">
        <v>2179</v>
      </c>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3"/>
      <c r="AO124" s="57"/>
      <c r="AP124" s="45"/>
      <c r="AQ124" s="45"/>
      <c r="AR124" s="45"/>
      <c r="AS124" s="437"/>
      <c r="AT124" s="437"/>
    </row>
    <row r="125" spans="1:59" outlineLevel="3" x14ac:dyDescent="0.25">
      <c r="A125" s="45"/>
      <c r="B125" s="54"/>
      <c r="C125" s="87">
        <f>INT($C$81+3)</f>
        <v>4</v>
      </c>
      <c r="D125" s="73"/>
      <c r="E125" s="70"/>
      <c r="F125" s="70"/>
      <c r="G125" s="73"/>
      <c r="H125" s="76"/>
      <c r="I125" s="78" t="s">
        <v>2180</v>
      </c>
      <c r="J125" s="309">
        <f t="shared" ref="J125:P125" si="42">(J126/J$124)/SUMPRODUCT($J126:$P126,(1/$J$124:$P$124))</f>
        <v>0.750407617373261</v>
      </c>
      <c r="K125" s="295">
        <f t="shared" si="42"/>
        <v>0.1131434988500704</v>
      </c>
      <c r="L125" s="295">
        <f t="shared" si="42"/>
        <v>4.1071090082575555E-2</v>
      </c>
      <c r="M125" s="295">
        <f t="shared" si="42"/>
        <v>1.2445784873507741E-2</v>
      </c>
      <c r="N125" s="295">
        <f t="shared" si="42"/>
        <v>3.1593146217365808E-2</v>
      </c>
      <c r="O125" s="295">
        <f t="shared" si="42"/>
        <v>0</v>
      </c>
      <c r="P125" s="295">
        <f t="shared" si="42"/>
        <v>5.1338862603219446E-2</v>
      </c>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3"/>
      <c r="AO125" s="57"/>
      <c r="AP125" s="45"/>
      <c r="AQ125" s="45"/>
      <c r="AR125" s="45"/>
      <c r="AS125" s="437"/>
      <c r="AT125" s="437"/>
    </row>
    <row r="126" spans="1:59" outlineLevel="3" x14ac:dyDescent="0.25">
      <c r="A126" s="45"/>
      <c r="B126" s="54"/>
      <c r="C126" s="87">
        <f>INT($C$81+3)</f>
        <v>4</v>
      </c>
      <c r="D126" s="73"/>
      <c r="E126" s="70"/>
      <c r="F126" s="70"/>
      <c r="G126" s="73"/>
      <c r="H126" s="76"/>
      <c r="I126" s="78" t="s">
        <v>2181</v>
      </c>
      <c r="J126" s="124">
        <v>0.82</v>
      </c>
      <c r="K126" s="124">
        <v>0.1</v>
      </c>
      <c r="L126" s="124">
        <v>3.3000000000000002E-2</v>
      </c>
      <c r="M126" s="124">
        <v>1.2999999999999999E-2</v>
      </c>
      <c r="N126" s="124">
        <v>3.3000000000000002E-2</v>
      </c>
      <c r="O126" s="124">
        <v>0</v>
      </c>
      <c r="P126" s="124">
        <v>3.3000000000000002E-2</v>
      </c>
      <c r="Q126" s="97" t="s">
        <v>2182</v>
      </c>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3"/>
      <c r="AO126" s="57"/>
      <c r="AP126" s="45"/>
      <c r="AQ126" s="45"/>
      <c r="AR126" s="45"/>
      <c r="AS126" s="437"/>
      <c r="AT126" s="437"/>
    </row>
    <row r="127" spans="1:59" outlineLevel="3" x14ac:dyDescent="0.25">
      <c r="A127" s="45"/>
      <c r="B127" s="54"/>
      <c r="C127" s="87">
        <f>INT($C$81+3)</f>
        <v>4</v>
      </c>
      <c r="D127" s="73"/>
      <c r="E127" s="70"/>
      <c r="F127" s="70"/>
      <c r="G127" s="73"/>
      <c r="H127" s="76"/>
      <c r="I127" s="78" t="s">
        <v>2183</v>
      </c>
      <c r="J127" s="296">
        <f>1-SUM(K127:O127)</f>
        <v>0.82099999999999995</v>
      </c>
      <c r="K127" s="297">
        <f>K126/(1-($P$126-$N$126))</f>
        <v>0.1</v>
      </c>
      <c r="L127" s="297">
        <f>L126/(1-($P$126-$N$126))</f>
        <v>3.3000000000000002E-2</v>
      </c>
      <c r="M127" s="297">
        <f>M126/(1-($P$126-$N$126))</f>
        <v>1.2999999999999999E-2</v>
      </c>
      <c r="N127" s="297">
        <f>N126/(1-($P$126-$N$126))</f>
        <v>3.3000000000000002E-2</v>
      </c>
      <c r="O127" s="297">
        <f>O126/(1-($P$126-$N$126))</f>
        <v>0</v>
      </c>
      <c r="P127" s="76"/>
      <c r="Q127" s="76" t="s">
        <v>2184</v>
      </c>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3"/>
      <c r="AO127" s="57"/>
      <c r="AP127" s="45"/>
      <c r="AQ127" s="45"/>
      <c r="AR127" s="45"/>
      <c r="AS127" s="437"/>
      <c r="AT127" s="437"/>
    </row>
    <row r="128" spans="1:59" outlineLevel="3" x14ac:dyDescent="0.25">
      <c r="A128" s="45"/>
      <c r="B128" s="54"/>
      <c r="C128" s="87">
        <f>INT($C$81+3)</f>
        <v>4</v>
      </c>
      <c r="D128" s="73"/>
      <c r="E128" s="70"/>
      <c r="F128" s="70"/>
      <c r="G128" s="73"/>
      <c r="H128" s="76"/>
      <c r="I128" s="121" t="s">
        <v>2185</v>
      </c>
      <c r="J128" s="426">
        <v>0</v>
      </c>
      <c r="K128" s="99">
        <v>-1</v>
      </c>
      <c r="L128" s="99">
        <v>0.7</v>
      </c>
      <c r="M128" s="99">
        <v>0.4</v>
      </c>
      <c r="N128" s="99">
        <v>0.1</v>
      </c>
      <c r="O128" s="426">
        <v>0</v>
      </c>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3"/>
      <c r="AO128" s="57"/>
      <c r="AP128" s="45"/>
      <c r="AQ128" s="45"/>
      <c r="AR128" s="45"/>
      <c r="AS128" s="437"/>
      <c r="AT128" s="437"/>
    </row>
    <row r="129" spans="1:83" outlineLevel="2" x14ac:dyDescent="0.25">
      <c r="A129" s="45"/>
      <c r="B129" s="54"/>
      <c r="C129" s="87">
        <f>INT($C$81)+2</f>
        <v>3</v>
      </c>
      <c r="D129" s="73"/>
      <c r="E129" s="70"/>
      <c r="F129" s="70"/>
      <c r="G129" s="73"/>
      <c r="H129" s="76" t="s">
        <v>2186</v>
      </c>
      <c r="I129" s="76"/>
      <c r="J129" s="76" t="str">
        <f t="shared" ref="J129:P129" si="43">J123</f>
        <v>Fleece</v>
      </c>
      <c r="K129" s="76" t="str">
        <f t="shared" si="43"/>
        <v>Pieces</v>
      </c>
      <c r="L129" s="76" t="str">
        <f t="shared" si="43"/>
        <v>Bellies</v>
      </c>
      <c r="M129" s="76" t="str">
        <f t="shared" si="43"/>
        <v>Locks</v>
      </c>
      <c r="N129" s="76" t="str">
        <f t="shared" si="43"/>
        <v>Stains</v>
      </c>
      <c r="O129" s="76" t="str">
        <f t="shared" si="43"/>
        <v>Off types</v>
      </c>
      <c r="P129" s="76" t="str">
        <f t="shared" si="43"/>
        <v>Crutchings</v>
      </c>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3"/>
      <c r="AO129" s="57"/>
      <c r="AP129" s="45"/>
      <c r="AQ129" s="45"/>
      <c r="AR129" s="45"/>
      <c r="AS129" s="437"/>
      <c r="AT129" s="437"/>
    </row>
    <row r="130" spans="1:83" outlineLevel="3" x14ac:dyDescent="0.25">
      <c r="A130" s="45"/>
      <c r="B130" s="54"/>
      <c r="C130" s="87">
        <f>INT($C$81+3)</f>
        <v>4</v>
      </c>
      <c r="D130" s="73"/>
      <c r="E130" s="70"/>
      <c r="F130" s="70"/>
      <c r="G130" s="73"/>
      <c r="H130" s="76"/>
      <c r="I130" s="78" t="s">
        <v>2180</v>
      </c>
      <c r="J130" s="309">
        <f t="shared" ref="J130:P130" si="44">(J131/J$124)/SUMPRODUCT($J131:$P131,(1/$J$124:$P$124))</f>
        <v>0.78918322295805732</v>
      </c>
      <c r="K130" s="295">
        <f t="shared" si="44"/>
        <v>9.1832229580573951E-2</v>
      </c>
      <c r="L130" s="295">
        <f t="shared" si="44"/>
        <v>3.7880794701986756E-2</v>
      </c>
      <c r="M130" s="295">
        <f t="shared" si="44"/>
        <v>9.7130242825607064E-3</v>
      </c>
      <c r="N130" s="295">
        <f t="shared" si="44"/>
        <v>2.7196467991169981E-2</v>
      </c>
      <c r="O130" s="295">
        <f t="shared" si="44"/>
        <v>0</v>
      </c>
      <c r="P130" s="295">
        <f t="shared" si="44"/>
        <v>4.4194260485651213E-2</v>
      </c>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3"/>
      <c r="AO130" s="57"/>
      <c r="AP130" s="45"/>
      <c r="AQ130" s="45"/>
      <c r="AR130" s="45"/>
      <c r="AS130" s="437"/>
      <c r="AT130" s="437"/>
    </row>
    <row r="131" spans="1:83" outlineLevel="3" x14ac:dyDescent="0.25">
      <c r="A131" s="45"/>
      <c r="B131" s="54"/>
      <c r="C131" s="87">
        <f>INT($C$81+3)</f>
        <v>4</v>
      </c>
      <c r="D131" s="73"/>
      <c r="E131" s="70"/>
      <c r="F131" s="70"/>
      <c r="G131" s="73"/>
      <c r="H131" s="76"/>
      <c r="I131" s="78" t="s">
        <v>2181</v>
      </c>
      <c r="J131" s="124">
        <v>0.85</v>
      </c>
      <c r="K131" s="124">
        <v>0.08</v>
      </c>
      <c r="L131" s="124">
        <v>0.03</v>
      </c>
      <c r="M131" s="124">
        <v>0.01</v>
      </c>
      <c r="N131" s="124">
        <v>2.8000000000000001E-2</v>
      </c>
      <c r="O131" s="124">
        <v>0</v>
      </c>
      <c r="P131" s="124">
        <v>2.8000000000000001E-2</v>
      </c>
      <c r="Q131" s="97" t="s">
        <v>2187</v>
      </c>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3"/>
      <c r="AO131" s="57"/>
      <c r="AP131" s="45"/>
      <c r="AQ131" s="45"/>
      <c r="AR131" s="45"/>
      <c r="AS131" s="437"/>
      <c r="AT131" s="437"/>
    </row>
    <row r="132" spans="1:83" outlineLevel="3" x14ac:dyDescent="0.25">
      <c r="A132" s="45"/>
      <c r="B132" s="54"/>
      <c r="C132" s="87">
        <f>INT($C$81+3)</f>
        <v>4</v>
      </c>
      <c r="D132" s="73"/>
      <c r="E132" s="70"/>
      <c r="F132" s="70"/>
      <c r="G132" s="73"/>
      <c r="H132" s="76"/>
      <c r="I132" s="78" t="s">
        <v>2183</v>
      </c>
      <c r="J132" s="296">
        <f>1-SUM(K132:O132)</f>
        <v>0.85199999999999998</v>
      </c>
      <c r="K132" s="297">
        <f>K131/(1-($P$131-$N$131))</f>
        <v>0.08</v>
      </c>
      <c r="L132" s="297">
        <f>L131/(1-($P$131-$N$131))</f>
        <v>0.03</v>
      </c>
      <c r="M132" s="297">
        <f>M131/(1-($P$131-$N$131))</f>
        <v>0.01</v>
      </c>
      <c r="N132" s="297">
        <f>N131/(1-($P$131-$N$131))</f>
        <v>2.8000000000000001E-2</v>
      </c>
      <c r="O132" s="297">
        <f>O131/(1-($P$131-$N$131))</f>
        <v>0</v>
      </c>
      <c r="P132" s="76"/>
      <c r="Q132" s="76" t="s">
        <v>2184</v>
      </c>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3"/>
      <c r="AO132" s="57"/>
      <c r="AP132" s="45"/>
      <c r="AQ132" s="45"/>
      <c r="AR132" s="45"/>
      <c r="AS132" s="437"/>
      <c r="AT132" s="437"/>
    </row>
    <row r="133" spans="1:83" outlineLevel="3" x14ac:dyDescent="0.25">
      <c r="A133" s="45"/>
      <c r="B133" s="54"/>
      <c r="C133" s="87">
        <f>INT($C$81+3)</f>
        <v>4</v>
      </c>
      <c r="D133" s="73"/>
      <c r="E133" s="70"/>
      <c r="F133" s="70"/>
      <c r="G133" s="73"/>
      <c r="H133" s="76"/>
      <c r="I133" s="121" t="s">
        <v>2185</v>
      </c>
      <c r="J133" s="426">
        <v>0</v>
      </c>
      <c r="K133" s="99">
        <v>-2</v>
      </c>
      <c r="L133" s="99">
        <v>-0.6</v>
      </c>
      <c r="M133" s="99">
        <v>-0.5</v>
      </c>
      <c r="N133" s="99">
        <v>0</v>
      </c>
      <c r="O133" s="426">
        <v>0</v>
      </c>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3"/>
      <c r="AO133" s="57"/>
      <c r="AP133" s="45"/>
      <c r="AQ133" s="45"/>
      <c r="AR133" s="45"/>
      <c r="AS133" s="437"/>
      <c r="AT133" s="437"/>
    </row>
    <row r="134" spans="1:83" ht="5.0999999999999996" customHeight="1" outlineLevel="2" x14ac:dyDescent="0.25">
      <c r="A134" s="45"/>
      <c r="B134" s="54"/>
      <c r="C134" s="87">
        <f>INT($C$81)+2.005</f>
        <v>3.0049999999999999</v>
      </c>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t="s">
        <v>136</v>
      </c>
      <c r="AO134" s="57"/>
      <c r="AP134" s="45"/>
      <c r="AQ134" s="45"/>
      <c r="AR134" s="45"/>
      <c r="AS134" s="437"/>
      <c r="AT134" s="437"/>
      <c r="AU134" s="437"/>
      <c r="AV134" s="437"/>
      <c r="AW134" s="437"/>
      <c r="AX134" s="437"/>
      <c r="AY134" s="437"/>
      <c r="AZ134" s="437"/>
      <c r="BA134" s="437"/>
      <c r="BB134" s="437"/>
      <c r="BC134" s="437"/>
      <c r="BD134" s="437"/>
      <c r="BE134" s="437"/>
      <c r="BF134" s="437"/>
      <c r="BG134" s="437"/>
      <c r="BH134" s="437"/>
      <c r="BI134" s="437"/>
      <c r="BJ134" s="437"/>
      <c r="BK134" s="437"/>
      <c r="BL134" s="437"/>
      <c r="BM134" s="437"/>
      <c r="BN134" s="437"/>
      <c r="BO134" s="437"/>
      <c r="BP134" s="437"/>
      <c r="BQ134" s="437"/>
      <c r="BR134" s="437"/>
      <c r="BS134" s="437"/>
      <c r="BT134" s="437"/>
      <c r="BU134" s="437"/>
      <c r="BV134" s="437"/>
      <c r="BW134" s="437"/>
      <c r="BX134" s="437"/>
      <c r="BY134" s="437"/>
      <c r="BZ134" s="437"/>
      <c r="CA134" s="437"/>
      <c r="CB134" s="437"/>
      <c r="CC134" s="437"/>
      <c r="CD134" s="437"/>
      <c r="CE134" s="437"/>
    </row>
    <row r="135" spans="1:83" ht="15" customHeight="1" outlineLevel="1" x14ac:dyDescent="0.25">
      <c r="A135" s="45"/>
      <c r="B135" s="54"/>
      <c r="C135" s="87">
        <f>INT($C$81)+1</f>
        <v>2</v>
      </c>
      <c r="D135" s="73"/>
      <c r="E135" s="70"/>
      <c r="F135" s="70"/>
      <c r="G135" s="73"/>
      <c r="H135" s="90" t="s">
        <v>3214</v>
      </c>
      <c r="I135" s="91"/>
      <c r="J135" s="92"/>
      <c r="K135" s="92"/>
      <c r="L135" s="92"/>
      <c r="M135" s="92"/>
      <c r="N135" s="92"/>
      <c r="O135" s="92"/>
      <c r="P135" s="92"/>
      <c r="Q135" s="92"/>
      <c r="R135" s="92"/>
      <c r="S135" s="92"/>
      <c r="T135" s="92"/>
      <c r="U135" s="92"/>
      <c r="V135" s="92"/>
      <c r="W135" s="92"/>
      <c r="X135" s="92"/>
      <c r="Y135" s="93"/>
      <c r="Z135" s="93"/>
      <c r="AA135" s="93"/>
      <c r="AB135" s="93"/>
      <c r="AC135" s="93"/>
      <c r="AD135" s="93"/>
      <c r="AE135" s="93"/>
      <c r="AF135" s="93"/>
      <c r="AG135" s="93"/>
      <c r="AH135" s="93"/>
      <c r="AI135" s="93"/>
      <c r="AJ135" s="93"/>
      <c r="AK135" s="93"/>
      <c r="AL135" s="93"/>
      <c r="AM135" s="93"/>
      <c r="AN135" s="73"/>
      <c r="AO135" s="57"/>
      <c r="AP135" s="45"/>
      <c r="AQ135" s="45"/>
      <c r="AR135" s="45"/>
      <c r="AS135" s="437"/>
      <c r="AT135" s="437"/>
      <c r="AU135" s="437"/>
      <c r="AV135" s="437"/>
      <c r="AW135" s="437"/>
      <c r="AX135" s="437"/>
      <c r="AY135" s="437"/>
      <c r="AZ135" s="437"/>
      <c r="BA135" s="437"/>
      <c r="BB135" s="437"/>
      <c r="BC135" s="437"/>
      <c r="BD135" s="437"/>
      <c r="BE135" s="437"/>
      <c r="BF135" s="437"/>
      <c r="BG135" s="437"/>
      <c r="BH135" s="437"/>
      <c r="BI135" s="437"/>
      <c r="BJ135" s="437"/>
      <c r="BK135" s="437"/>
      <c r="BL135" s="437"/>
      <c r="BM135" s="437"/>
      <c r="BN135" s="437"/>
      <c r="BO135" s="437"/>
      <c r="BP135" s="437"/>
      <c r="BQ135" s="437"/>
      <c r="BR135" s="437"/>
      <c r="BS135" s="437"/>
      <c r="BT135" s="437"/>
      <c r="BU135" s="437"/>
      <c r="BV135" s="437"/>
      <c r="BW135" s="437"/>
      <c r="BX135" s="437"/>
      <c r="BY135" s="437"/>
      <c r="BZ135" s="437"/>
      <c r="CA135" s="437"/>
      <c r="CB135" s="437"/>
      <c r="CC135" s="437"/>
      <c r="CD135" s="437"/>
      <c r="CE135" s="437"/>
    </row>
    <row r="136" spans="1:83" ht="5.0999999999999996" customHeight="1" outlineLevel="3" x14ac:dyDescent="0.25">
      <c r="A136" s="45"/>
      <c r="B136" s="54"/>
      <c r="C136" s="87">
        <f>INT($C$81)+3.005</f>
        <v>4.0049999999999999</v>
      </c>
      <c r="D136" s="73" t="s">
        <v>132</v>
      </c>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57"/>
      <c r="AP136" s="45"/>
      <c r="AQ136" s="45"/>
      <c r="AR136" s="45"/>
      <c r="AS136" s="437"/>
      <c r="AT136" s="437"/>
      <c r="AU136" s="437"/>
      <c r="AV136" s="437"/>
      <c r="AW136" s="437"/>
      <c r="AX136" s="437"/>
      <c r="AY136" s="437"/>
      <c r="AZ136" s="437"/>
      <c r="BA136" s="437"/>
      <c r="BB136" s="437"/>
      <c r="BC136" s="437"/>
      <c r="BD136" s="437"/>
      <c r="BE136" s="437"/>
      <c r="BF136" s="437"/>
      <c r="BG136" s="437"/>
      <c r="BH136" s="437"/>
      <c r="BI136" s="437"/>
      <c r="BJ136" s="437"/>
      <c r="BK136" s="437"/>
      <c r="BL136" s="437"/>
      <c r="BM136" s="437"/>
      <c r="BN136" s="437"/>
      <c r="BO136" s="437"/>
      <c r="BP136" s="437"/>
      <c r="BQ136" s="437"/>
      <c r="BR136" s="437"/>
      <c r="BS136" s="437"/>
      <c r="BT136" s="437"/>
      <c r="BU136" s="437"/>
      <c r="BV136" s="437"/>
      <c r="BW136" s="437"/>
      <c r="BX136" s="437"/>
      <c r="BY136" s="437"/>
      <c r="BZ136" s="437"/>
      <c r="CA136" s="437"/>
      <c r="CB136" s="437"/>
      <c r="CC136" s="437"/>
      <c r="CD136" s="437"/>
      <c r="CE136" s="437"/>
    </row>
    <row r="137" spans="1:83" ht="15" customHeight="1" outlineLevel="3" x14ac:dyDescent="0.25">
      <c r="A137" s="45"/>
      <c r="B137" s="54"/>
      <c r="C137" s="87">
        <f t="shared" ref="C137:C146" si="45">INT($C$81+3)</f>
        <v>4</v>
      </c>
      <c r="D137" s="73"/>
      <c r="E137" s="70"/>
      <c r="F137" s="70"/>
      <c r="G137" s="73"/>
      <c r="H137" s="246" t="s">
        <v>3213</v>
      </c>
      <c r="I137" s="76" t="s">
        <v>2767</v>
      </c>
      <c r="J137" s="76" t="s">
        <v>2768</v>
      </c>
      <c r="K137" s="76" t="s">
        <v>3212</v>
      </c>
      <c r="L137" s="76"/>
      <c r="M137" s="76"/>
      <c r="N137" s="76"/>
      <c r="O137" s="76"/>
      <c r="P137" s="246" t="s">
        <v>3211</v>
      </c>
      <c r="Q137" s="76"/>
      <c r="R137" s="76" t="s">
        <v>3210</v>
      </c>
      <c r="S137" s="76" t="s">
        <v>3209</v>
      </c>
      <c r="T137" s="76" t="s">
        <v>3208</v>
      </c>
      <c r="U137" s="76" t="s">
        <v>3207</v>
      </c>
      <c r="V137" s="76"/>
      <c r="W137" s="76"/>
      <c r="X137" s="76"/>
      <c r="Y137" s="76"/>
      <c r="Z137" s="76"/>
      <c r="AA137" s="76"/>
      <c r="AB137" s="76"/>
      <c r="AC137" s="76"/>
      <c r="AD137" s="76"/>
      <c r="AE137" s="76"/>
      <c r="AF137" s="76"/>
      <c r="AG137" s="76"/>
      <c r="AH137" s="76"/>
      <c r="AI137" s="76"/>
      <c r="AJ137" s="76"/>
      <c r="AK137" s="76"/>
      <c r="AL137" s="76"/>
      <c r="AM137" s="76"/>
      <c r="AN137" s="73"/>
      <c r="AO137" s="57"/>
      <c r="AP137" s="45"/>
      <c r="AQ137" s="45"/>
      <c r="AR137" s="45"/>
      <c r="AS137" s="437"/>
      <c r="AT137" s="437"/>
      <c r="AU137" s="437"/>
      <c r="AV137" s="437"/>
      <c r="AW137" s="437"/>
      <c r="AX137" s="437"/>
      <c r="AY137" s="437"/>
      <c r="AZ137" s="437"/>
      <c r="BA137" s="437"/>
      <c r="BB137" s="437"/>
      <c r="BC137" s="437"/>
      <c r="BD137" s="437"/>
      <c r="BE137" s="437"/>
      <c r="BF137" s="437"/>
      <c r="BG137" s="437"/>
      <c r="BH137" s="437"/>
      <c r="BI137" s="437"/>
      <c r="BJ137" s="437"/>
      <c r="BK137" s="437"/>
      <c r="BL137" s="437"/>
      <c r="BM137" s="437"/>
      <c r="BN137" s="437"/>
      <c r="BO137" s="437"/>
      <c r="BP137" s="437"/>
      <c r="BQ137" s="437"/>
      <c r="BR137" s="437"/>
      <c r="BS137" s="437"/>
      <c r="BT137" s="437"/>
      <c r="BU137" s="437"/>
      <c r="BV137" s="437"/>
      <c r="BW137" s="437"/>
      <c r="BX137" s="437"/>
      <c r="BY137" s="437"/>
      <c r="BZ137" s="437"/>
      <c r="CA137" s="437"/>
      <c r="CB137" s="437"/>
      <c r="CC137" s="437"/>
      <c r="CD137" s="437"/>
      <c r="CE137" s="437"/>
    </row>
    <row r="138" spans="1:83" ht="15" customHeight="1" outlineLevel="3" x14ac:dyDescent="0.25">
      <c r="A138" s="45"/>
      <c r="B138" s="54"/>
      <c r="C138" s="87">
        <f t="shared" si="45"/>
        <v>4</v>
      </c>
      <c r="D138" s="73"/>
      <c r="E138" s="70"/>
      <c r="F138" s="70"/>
      <c r="G138" s="73"/>
      <c r="H138" s="76" t="s">
        <v>3206</v>
      </c>
      <c r="I138" s="595">
        <v>-0.10100000000000001</v>
      </c>
      <c r="J138" s="595">
        <v>0</v>
      </c>
      <c r="K138" s="594">
        <v>0</v>
      </c>
      <c r="L138" s="76"/>
      <c r="M138" s="76"/>
      <c r="N138" s="76"/>
      <c r="O138" s="76"/>
      <c r="P138" s="76" t="s">
        <v>3206</v>
      </c>
      <c r="Q138" s="76"/>
      <c r="R138" s="76">
        <v>85</v>
      </c>
      <c r="S138" s="97">
        <v>0</v>
      </c>
      <c r="T138" s="76">
        <v>-3.2785189659352031E-3</v>
      </c>
      <c r="U138" s="76">
        <v>-0.24588892244513999</v>
      </c>
      <c r="V138" s="76"/>
      <c r="W138" s="76"/>
      <c r="X138" s="76"/>
      <c r="Y138" s="76"/>
      <c r="Z138" s="76"/>
      <c r="AA138" s="76"/>
      <c r="AB138" s="76"/>
      <c r="AC138" s="76"/>
      <c r="AD138" s="76"/>
      <c r="AE138" s="76"/>
      <c r="AF138" s="76"/>
      <c r="AG138" s="76"/>
      <c r="AH138" s="76"/>
      <c r="AI138" s="76"/>
      <c r="AJ138" s="76"/>
      <c r="AK138" s="76"/>
      <c r="AL138" s="76"/>
      <c r="AM138" s="76"/>
      <c r="AN138" s="73"/>
      <c r="AO138" s="57"/>
      <c r="AP138" s="45"/>
      <c r="AQ138" s="45"/>
      <c r="AR138" s="45"/>
      <c r="AS138" s="437"/>
      <c r="AT138" s="437"/>
      <c r="AU138" s="437"/>
      <c r="AV138" s="437"/>
      <c r="AW138" s="437"/>
      <c r="AX138" s="437"/>
      <c r="AY138" s="437"/>
      <c r="AZ138" s="437"/>
      <c r="BA138" s="437"/>
      <c r="BB138" s="437"/>
      <c r="BC138" s="437"/>
      <c r="BD138" s="437"/>
      <c r="BE138" s="437"/>
      <c r="BF138" s="437"/>
      <c r="BG138" s="437"/>
      <c r="BH138" s="437"/>
      <c r="BI138" s="437"/>
      <c r="BJ138" s="437"/>
      <c r="BK138" s="437"/>
      <c r="BL138" s="437"/>
      <c r="BM138" s="437"/>
      <c r="BN138" s="437"/>
      <c r="BO138" s="437"/>
      <c r="BP138" s="437"/>
      <c r="BQ138" s="437"/>
      <c r="BR138" s="437"/>
      <c r="BS138" s="437"/>
      <c r="BT138" s="437"/>
      <c r="BU138" s="437"/>
      <c r="BV138" s="437"/>
      <c r="BW138" s="437"/>
      <c r="BX138" s="437"/>
      <c r="BY138" s="437"/>
      <c r="BZ138" s="437"/>
      <c r="CA138" s="437"/>
      <c r="CB138" s="437"/>
      <c r="CC138" s="437"/>
      <c r="CD138" s="437"/>
      <c r="CE138" s="437"/>
    </row>
    <row r="139" spans="1:83" ht="15" customHeight="1" outlineLevel="3" x14ac:dyDescent="0.25">
      <c r="A139" s="45"/>
      <c r="B139" s="54"/>
      <c r="C139" s="87">
        <f t="shared" si="45"/>
        <v>4</v>
      </c>
      <c r="D139" s="73"/>
      <c r="E139" s="70"/>
      <c r="F139" s="70"/>
      <c r="G139" s="73"/>
      <c r="H139" s="76" t="s">
        <v>3205</v>
      </c>
      <c r="I139" s="595">
        <v>0</v>
      </c>
      <c r="J139" s="595">
        <v>0.113</v>
      </c>
      <c r="K139" s="594">
        <v>5.9005989731888203E-3</v>
      </c>
      <c r="L139" s="76"/>
      <c r="M139" s="76"/>
      <c r="N139" s="76"/>
      <c r="O139" s="76"/>
      <c r="P139" s="76" t="s">
        <v>3205</v>
      </c>
      <c r="Q139" s="76"/>
      <c r="R139" s="76">
        <v>100</v>
      </c>
      <c r="S139" s="76">
        <v>6.5570379318704063E-3</v>
      </c>
      <c r="T139" s="97">
        <v>0</v>
      </c>
      <c r="U139" s="97">
        <v>0</v>
      </c>
      <c r="V139" s="76"/>
      <c r="W139" s="76"/>
      <c r="X139" s="76"/>
      <c r="Y139" s="76"/>
      <c r="Z139" s="76"/>
      <c r="AA139" s="76"/>
      <c r="AB139" s="76"/>
      <c r="AC139" s="76"/>
      <c r="AD139" s="76"/>
      <c r="AE139" s="76"/>
      <c r="AF139" s="76"/>
      <c r="AG139" s="76"/>
      <c r="AH139" s="76"/>
      <c r="AI139" s="76"/>
      <c r="AJ139" s="76"/>
      <c r="AK139" s="76"/>
      <c r="AL139" s="76"/>
      <c r="AM139" s="76"/>
      <c r="AN139" s="73"/>
      <c r="AO139" s="57"/>
      <c r="AP139" s="45"/>
      <c r="AQ139" s="45"/>
      <c r="AR139" s="45"/>
      <c r="AS139" s="437"/>
      <c r="AT139" s="437"/>
      <c r="AU139" s="437"/>
      <c r="AV139" s="437"/>
      <c r="AW139" s="437"/>
      <c r="AX139" s="437"/>
      <c r="AY139" s="437"/>
      <c r="AZ139" s="437"/>
      <c r="BA139" s="437"/>
      <c r="BB139" s="437"/>
      <c r="BC139" s="437"/>
      <c r="BD139" s="437"/>
      <c r="BE139" s="437"/>
      <c r="BF139" s="437"/>
      <c r="BG139" s="437"/>
      <c r="BH139" s="437"/>
      <c r="BI139" s="437"/>
      <c r="BJ139" s="437"/>
      <c r="BK139" s="437"/>
      <c r="BL139" s="437"/>
      <c r="BM139" s="437"/>
      <c r="BN139" s="437"/>
      <c r="BO139" s="437"/>
      <c r="BP139" s="437"/>
      <c r="BQ139" s="437"/>
      <c r="BR139" s="437"/>
      <c r="BS139" s="437"/>
      <c r="BT139" s="437"/>
      <c r="BU139" s="437"/>
      <c r="BV139" s="437"/>
      <c r="BW139" s="437"/>
      <c r="BX139" s="437"/>
      <c r="BY139" s="437"/>
      <c r="BZ139" s="437"/>
      <c r="CA139" s="437"/>
      <c r="CB139" s="437"/>
      <c r="CC139" s="437"/>
      <c r="CD139" s="437"/>
      <c r="CE139" s="437"/>
    </row>
    <row r="140" spans="1:83" ht="15" customHeight="1" outlineLevel="3" x14ac:dyDescent="0.25">
      <c r="A140" s="45"/>
      <c r="B140" s="54"/>
      <c r="C140" s="87">
        <f t="shared" si="45"/>
        <v>4</v>
      </c>
      <c r="D140" s="73"/>
      <c r="E140" s="70"/>
      <c r="F140" s="70"/>
      <c r="G140" s="73"/>
      <c r="H140" s="76" t="s">
        <v>3204</v>
      </c>
      <c r="I140" s="595">
        <v>-6.0999999999999999E-2</v>
      </c>
      <c r="J140" s="595">
        <v>5.1999999999999998E-2</v>
      </c>
      <c r="K140" s="594">
        <v>3.5107296137339059E-3</v>
      </c>
      <c r="L140" s="76"/>
      <c r="M140" s="76"/>
      <c r="N140" s="76"/>
      <c r="O140" s="76"/>
      <c r="P140" s="76" t="s">
        <v>3204</v>
      </c>
      <c r="Q140" s="76"/>
      <c r="R140" s="76">
        <v>90</v>
      </c>
      <c r="S140" s="114">
        <v>4.0000000000000001E-3</v>
      </c>
      <c r="T140" s="114">
        <v>-2E-3</v>
      </c>
      <c r="U140" s="593">
        <v>-0.15</v>
      </c>
      <c r="V140" s="76"/>
      <c r="W140" s="76"/>
      <c r="X140" s="76"/>
      <c r="Y140" s="76"/>
      <c r="Z140" s="76"/>
      <c r="AA140" s="76"/>
      <c r="AB140" s="76"/>
      <c r="AC140" s="76"/>
      <c r="AD140" s="76"/>
      <c r="AE140" s="76"/>
      <c r="AF140" s="76"/>
      <c r="AG140" s="76"/>
      <c r="AH140" s="76"/>
      <c r="AI140" s="76"/>
      <c r="AJ140" s="76"/>
      <c r="AK140" s="76"/>
      <c r="AL140" s="76"/>
      <c r="AM140" s="76"/>
      <c r="AN140" s="73"/>
      <c r="AO140" s="57"/>
      <c r="AP140" s="45"/>
      <c r="AQ140" s="45"/>
      <c r="AR140" s="45"/>
      <c r="AS140" s="437"/>
      <c r="AT140" s="437"/>
      <c r="AU140" s="437"/>
      <c r="AV140" s="437"/>
      <c r="AW140" s="437"/>
      <c r="AX140" s="437"/>
      <c r="AY140" s="437"/>
      <c r="AZ140" s="437"/>
      <c r="BA140" s="437"/>
      <c r="BB140" s="437"/>
      <c r="BC140" s="437"/>
      <c r="BD140" s="437"/>
      <c r="BE140" s="437"/>
      <c r="BF140" s="437"/>
      <c r="BG140" s="437"/>
      <c r="BH140" s="437"/>
      <c r="BI140" s="437"/>
      <c r="BJ140" s="437"/>
      <c r="BK140" s="437"/>
      <c r="BL140" s="437"/>
      <c r="BM140" s="437"/>
      <c r="BN140" s="437"/>
      <c r="BO140" s="437"/>
      <c r="BP140" s="437"/>
      <c r="BQ140" s="437"/>
      <c r="BR140" s="437"/>
      <c r="BS140" s="437"/>
      <c r="BT140" s="437"/>
      <c r="BU140" s="437"/>
      <c r="BV140" s="437"/>
      <c r="BW140" s="437"/>
      <c r="BX140" s="437"/>
      <c r="BY140" s="437"/>
      <c r="BZ140" s="437"/>
      <c r="CA140" s="437"/>
      <c r="CB140" s="437"/>
      <c r="CC140" s="437"/>
      <c r="CD140" s="437"/>
      <c r="CE140" s="437"/>
    </row>
    <row r="141" spans="1:83" ht="15" customHeight="1" outlineLevel="3" x14ac:dyDescent="0.25">
      <c r="A141" s="45"/>
      <c r="B141" s="54"/>
      <c r="C141" s="87">
        <f t="shared" si="45"/>
        <v>4</v>
      </c>
      <c r="D141" s="73"/>
      <c r="E141" s="70"/>
      <c r="F141" s="70"/>
      <c r="G141" s="73"/>
      <c r="H141" s="76" t="s">
        <v>3203</v>
      </c>
      <c r="I141" s="356">
        <v>47.809731093905945</v>
      </c>
      <c r="J141" s="365">
        <v>4566.4973039173738</v>
      </c>
      <c r="K141" s="356">
        <v>45.892351332455597</v>
      </c>
      <c r="L141" s="76"/>
      <c r="M141" s="76"/>
      <c r="N141" s="76"/>
      <c r="O141" s="76"/>
      <c r="P141" s="76" t="s">
        <v>3203</v>
      </c>
      <c r="Q141" s="76"/>
      <c r="R141" s="438">
        <v>0.50934072627417315</v>
      </c>
      <c r="S141" s="356">
        <v>45.892351332455597</v>
      </c>
      <c r="T141" s="356">
        <v>45.892351332455597</v>
      </c>
      <c r="U141" s="356">
        <v>45.892351332455597</v>
      </c>
      <c r="V141" s="76"/>
      <c r="W141" s="76"/>
      <c r="X141" s="76"/>
      <c r="Y141" s="76"/>
      <c r="Z141" s="76"/>
      <c r="AA141" s="76"/>
      <c r="AB141" s="76"/>
      <c r="AC141" s="76"/>
      <c r="AD141" s="76"/>
      <c r="AE141" s="76"/>
      <c r="AF141" s="76"/>
      <c r="AG141" s="76"/>
      <c r="AH141" s="76"/>
      <c r="AI141" s="76"/>
      <c r="AJ141" s="76"/>
      <c r="AK141" s="76"/>
      <c r="AL141" s="76"/>
      <c r="AM141" s="76"/>
      <c r="AN141" s="73"/>
      <c r="AO141" s="57"/>
      <c r="AP141" s="45"/>
      <c r="AQ141" s="45"/>
      <c r="AR141" s="45"/>
      <c r="AS141" s="437"/>
      <c r="AT141" s="437"/>
      <c r="AU141" s="437"/>
      <c r="AV141" s="437"/>
      <c r="AW141" s="437"/>
      <c r="AX141" s="437"/>
      <c r="AY141" s="437"/>
      <c r="AZ141" s="437"/>
      <c r="BA141" s="437"/>
      <c r="BB141" s="437"/>
      <c r="BC141" s="437"/>
      <c r="BD141" s="437"/>
      <c r="BE141" s="437"/>
      <c r="BF141" s="437"/>
      <c r="BG141" s="437"/>
      <c r="BH141" s="437"/>
      <c r="BI141" s="437"/>
      <c r="BJ141" s="437"/>
      <c r="BK141" s="437"/>
      <c r="BL141" s="437"/>
      <c r="BM141" s="437"/>
      <c r="BN141" s="437"/>
      <c r="BO141" s="437"/>
      <c r="BP141" s="437"/>
      <c r="BQ141" s="437"/>
      <c r="BR141" s="437"/>
      <c r="BS141" s="437"/>
      <c r="BT141" s="437"/>
      <c r="BU141" s="437"/>
      <c r="BV141" s="437"/>
      <c r="BW141" s="437"/>
      <c r="BX141" s="437"/>
      <c r="BY141" s="437"/>
      <c r="BZ141" s="437"/>
      <c r="CA141" s="437"/>
      <c r="CB141" s="437"/>
      <c r="CC141" s="437"/>
      <c r="CD141" s="437"/>
      <c r="CE141" s="437"/>
    </row>
    <row r="142" spans="1:83" ht="15" customHeight="1" outlineLevel="3" x14ac:dyDescent="0.25">
      <c r="A142" s="45"/>
      <c r="B142" s="54"/>
      <c r="C142" s="87">
        <f t="shared" si="45"/>
        <v>4</v>
      </c>
      <c r="D142" s="73"/>
      <c r="E142" s="70"/>
      <c r="F142" s="70"/>
      <c r="G142" s="73"/>
      <c r="H142" s="76" t="s">
        <v>3202</v>
      </c>
      <c r="I142" s="438">
        <v>-0.22538711253423788</v>
      </c>
      <c r="J142" s="592">
        <v>-0.50483440440253269</v>
      </c>
      <c r="K142" s="592">
        <v>-0.22213692403040283</v>
      </c>
      <c r="L142" s="76"/>
      <c r="M142" s="76"/>
      <c r="N142" s="76"/>
      <c r="O142" s="76"/>
      <c r="P142" s="76" t="s">
        <v>3202</v>
      </c>
      <c r="Q142" s="76"/>
      <c r="R142" s="438">
        <v>4.06297323744437E-2</v>
      </c>
      <c r="S142" s="592">
        <v>-0.22213692403040283</v>
      </c>
      <c r="T142" s="592">
        <v>-0.22213692403040283</v>
      </c>
      <c r="U142" s="592">
        <v>-0.22213692403040283</v>
      </c>
      <c r="V142" s="76"/>
      <c r="W142" s="76"/>
      <c r="X142" s="76"/>
      <c r="Y142" s="76"/>
      <c r="Z142" s="76"/>
      <c r="AA142" s="76"/>
      <c r="AB142" s="76"/>
      <c r="AC142" s="76"/>
      <c r="AD142" s="76"/>
      <c r="AE142" s="76"/>
      <c r="AF142" s="76"/>
      <c r="AG142" s="76"/>
      <c r="AH142" s="76"/>
      <c r="AI142" s="76"/>
      <c r="AJ142" s="76"/>
      <c r="AK142" s="76"/>
      <c r="AL142" s="76"/>
      <c r="AM142" s="76"/>
      <c r="AN142" s="73"/>
      <c r="AO142" s="57"/>
      <c r="AP142" s="45"/>
      <c r="AQ142" s="45"/>
      <c r="AR142" s="45"/>
      <c r="AS142" s="437"/>
      <c r="AT142" s="437"/>
      <c r="AU142" s="437"/>
      <c r="AV142" s="437"/>
      <c r="AW142" s="437"/>
      <c r="AX142" s="437"/>
      <c r="AY142" s="437"/>
      <c r="AZ142" s="437"/>
      <c r="BA142" s="437"/>
      <c r="BB142" s="437"/>
      <c r="BC142" s="437"/>
      <c r="BD142" s="437"/>
      <c r="BE142" s="437"/>
      <c r="BF142" s="437"/>
      <c r="BG142" s="437"/>
      <c r="BH142" s="437"/>
      <c r="BI142" s="437"/>
      <c r="BJ142" s="437"/>
      <c r="BK142" s="437"/>
      <c r="BL142" s="437"/>
      <c r="BM142" s="437"/>
      <c r="BN142" s="437"/>
      <c r="BO142" s="437"/>
      <c r="BP142" s="437"/>
      <c r="BQ142" s="437"/>
      <c r="BR142" s="437"/>
      <c r="BS142" s="437"/>
      <c r="BT142" s="437"/>
      <c r="BU142" s="437"/>
      <c r="BV142" s="437"/>
      <c r="BW142" s="437"/>
      <c r="BX142" s="437"/>
      <c r="BY142" s="437"/>
      <c r="BZ142" s="437"/>
      <c r="CA142" s="437"/>
      <c r="CB142" s="437"/>
      <c r="CC142" s="437"/>
      <c r="CD142" s="437"/>
      <c r="CE142" s="437"/>
    </row>
    <row r="143" spans="1:83" ht="15" customHeight="1" outlineLevel="3" x14ac:dyDescent="0.25">
      <c r="A143" s="45"/>
      <c r="B143" s="54"/>
      <c r="C143" s="87">
        <f t="shared" si="45"/>
        <v>4</v>
      </c>
      <c r="D143" s="73"/>
      <c r="E143" s="70"/>
      <c r="F143" s="70"/>
      <c r="G143" s="73"/>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3"/>
      <c r="AO143" s="57"/>
      <c r="AP143" s="45"/>
      <c r="AQ143" s="45"/>
      <c r="AR143" s="45"/>
      <c r="AS143" s="437"/>
      <c r="AT143" s="437"/>
      <c r="AU143" s="437"/>
      <c r="AV143" s="437"/>
      <c r="AW143" s="437"/>
      <c r="AX143" s="437"/>
      <c r="AY143" s="437"/>
      <c r="AZ143" s="437"/>
      <c r="BA143" s="437"/>
      <c r="BB143" s="437"/>
      <c r="BC143" s="437"/>
      <c r="BD143" s="437"/>
      <c r="BE143" s="437"/>
      <c r="BF143" s="437"/>
      <c r="BG143" s="437"/>
      <c r="BH143" s="437"/>
      <c r="BI143" s="437"/>
      <c r="BJ143" s="437"/>
      <c r="BK143" s="437"/>
      <c r="BL143" s="437"/>
      <c r="BM143" s="437"/>
      <c r="BN143" s="437"/>
      <c r="BO143" s="437"/>
      <c r="BP143" s="437"/>
      <c r="BQ143" s="437"/>
      <c r="BR143" s="437"/>
      <c r="BS143" s="437"/>
      <c r="BT143" s="437"/>
      <c r="BU143" s="437"/>
      <c r="BV143" s="437"/>
      <c r="BW143" s="437"/>
      <c r="BX143" s="437"/>
      <c r="BY143" s="437"/>
      <c r="BZ143" s="437"/>
      <c r="CA143" s="437"/>
      <c r="CB143" s="437"/>
      <c r="CC143" s="437"/>
      <c r="CD143" s="437"/>
      <c r="CE143" s="437"/>
    </row>
    <row r="144" spans="1:83" ht="15" customHeight="1" outlineLevel="3" x14ac:dyDescent="0.25">
      <c r="A144" s="45"/>
      <c r="B144" s="54"/>
      <c r="C144" s="87">
        <f t="shared" si="45"/>
        <v>4</v>
      </c>
      <c r="D144" s="73"/>
      <c r="E144" s="70"/>
      <c r="F144" s="70"/>
      <c r="G144" s="73"/>
      <c r="H144" s="76" t="s">
        <v>3201</v>
      </c>
      <c r="I144" s="76">
        <v>35</v>
      </c>
      <c r="J144" s="76"/>
      <c r="K144" s="76"/>
      <c r="L144" s="76"/>
      <c r="M144" s="76"/>
      <c r="N144" s="76"/>
      <c r="O144" s="76"/>
      <c r="P144" s="76" t="s">
        <v>3200</v>
      </c>
      <c r="Q144" s="76"/>
      <c r="R144" s="97">
        <v>50</v>
      </c>
      <c r="S144" s="76" t="s">
        <v>2120</v>
      </c>
      <c r="T144" s="76"/>
      <c r="U144" s="76"/>
      <c r="V144" s="76"/>
      <c r="W144" s="76"/>
      <c r="X144" s="76"/>
      <c r="Y144" s="76"/>
      <c r="Z144" s="76"/>
      <c r="AA144" s="76"/>
      <c r="AB144" s="76"/>
      <c r="AC144" s="76"/>
      <c r="AD144" s="76"/>
      <c r="AE144" s="76"/>
      <c r="AF144" s="76"/>
      <c r="AG144" s="76"/>
      <c r="AH144" s="76"/>
      <c r="AI144" s="76"/>
      <c r="AJ144" s="76"/>
      <c r="AK144" s="76"/>
      <c r="AL144" s="76"/>
      <c r="AM144" s="76"/>
      <c r="AN144" s="73"/>
      <c r="AO144" s="57"/>
      <c r="AP144" s="45"/>
      <c r="AQ144" s="45"/>
      <c r="AR144" s="45"/>
      <c r="AS144" s="437"/>
      <c r="AT144" s="437"/>
      <c r="AU144" s="437"/>
      <c r="AV144" s="437"/>
      <c r="AW144" s="437"/>
      <c r="AX144" s="437"/>
      <c r="AY144" s="437"/>
      <c r="AZ144" s="437"/>
      <c r="BA144" s="437"/>
      <c r="BB144" s="437"/>
      <c r="BC144" s="437"/>
      <c r="BD144" s="437"/>
      <c r="BE144" s="437"/>
      <c r="BF144" s="437"/>
      <c r="BG144" s="437"/>
      <c r="BH144" s="437"/>
      <c r="BI144" s="437"/>
      <c r="BJ144" s="437"/>
      <c r="BK144" s="437"/>
      <c r="BL144" s="437"/>
      <c r="BM144" s="437"/>
      <c r="BN144" s="437"/>
      <c r="BO144" s="437"/>
      <c r="BP144" s="437"/>
      <c r="BQ144" s="437"/>
      <c r="BR144" s="437"/>
      <c r="BS144" s="437"/>
      <c r="BT144" s="437"/>
      <c r="BU144" s="437"/>
      <c r="BV144" s="437"/>
      <c r="BW144" s="437"/>
      <c r="BX144" s="437"/>
      <c r="BY144" s="437"/>
      <c r="BZ144" s="437"/>
      <c r="CA144" s="437"/>
      <c r="CB144" s="437"/>
      <c r="CC144" s="437"/>
      <c r="CD144" s="437"/>
      <c r="CE144" s="437"/>
    </row>
    <row r="145" spans="1:83" ht="15" customHeight="1" outlineLevel="3" x14ac:dyDescent="0.25">
      <c r="A145" s="45"/>
      <c r="B145" s="54"/>
      <c r="C145" s="87">
        <f t="shared" si="45"/>
        <v>4</v>
      </c>
      <c r="D145" s="73"/>
      <c r="E145" s="70"/>
      <c r="F145" s="70"/>
      <c r="G145" s="73"/>
      <c r="H145" s="76"/>
      <c r="I145" s="76"/>
      <c r="J145" s="76"/>
      <c r="K145" s="76"/>
      <c r="L145" s="76"/>
      <c r="M145" s="76"/>
      <c r="N145" s="76"/>
      <c r="O145" s="76"/>
      <c r="P145" s="76" t="s">
        <v>3199</v>
      </c>
      <c r="Q145" s="76"/>
      <c r="R145" s="97">
        <v>17</v>
      </c>
      <c r="S145" s="76" t="s">
        <v>2120</v>
      </c>
      <c r="T145" s="76"/>
      <c r="U145" s="76"/>
      <c r="V145" s="76"/>
      <c r="W145" s="76"/>
      <c r="X145" s="76"/>
      <c r="Y145" s="76"/>
      <c r="Z145" s="76"/>
      <c r="AA145" s="76"/>
      <c r="AB145" s="76"/>
      <c r="AC145" s="76"/>
      <c r="AD145" s="76"/>
      <c r="AE145" s="76"/>
      <c r="AF145" s="76"/>
      <c r="AG145" s="76"/>
      <c r="AH145" s="76"/>
      <c r="AI145" s="76"/>
      <c r="AJ145" s="76"/>
      <c r="AK145" s="76"/>
      <c r="AL145" s="76"/>
      <c r="AM145" s="76"/>
      <c r="AN145" s="73"/>
      <c r="AO145" s="57"/>
      <c r="AP145" s="45"/>
      <c r="AQ145" s="45"/>
      <c r="AR145" s="45"/>
      <c r="AS145" s="437"/>
      <c r="AT145" s="437"/>
      <c r="AU145" s="437"/>
      <c r="AV145" s="437"/>
      <c r="AW145" s="437"/>
      <c r="AX145" s="437"/>
      <c r="AY145" s="437"/>
      <c r="AZ145" s="437"/>
      <c r="BA145" s="437"/>
      <c r="BB145" s="437"/>
      <c r="BC145" s="437"/>
      <c r="BD145" s="437"/>
      <c r="BE145" s="437"/>
      <c r="BF145" s="437"/>
      <c r="BG145" s="437"/>
      <c r="BH145" s="437"/>
      <c r="BI145" s="437"/>
      <c r="BJ145" s="437"/>
      <c r="BK145" s="437"/>
      <c r="BL145" s="437"/>
      <c r="BM145" s="437"/>
      <c r="BN145" s="437"/>
      <c r="BO145" s="437"/>
      <c r="BP145" s="437"/>
      <c r="BQ145" s="437"/>
      <c r="BR145" s="437"/>
      <c r="BS145" s="437"/>
      <c r="BT145" s="437"/>
      <c r="BU145" s="437"/>
      <c r="BV145" s="437"/>
      <c r="BW145" s="437"/>
      <c r="BX145" s="437"/>
      <c r="BY145" s="437"/>
      <c r="BZ145" s="437"/>
      <c r="CA145" s="437"/>
      <c r="CB145" s="437"/>
      <c r="CC145" s="437"/>
      <c r="CD145" s="437"/>
      <c r="CE145" s="437"/>
    </row>
    <row r="146" spans="1:83" ht="15" customHeight="1" outlineLevel="2" x14ac:dyDescent="0.25">
      <c r="A146" s="45"/>
      <c r="B146" s="54"/>
      <c r="C146" s="87">
        <f t="shared" si="45"/>
        <v>4</v>
      </c>
      <c r="D146" s="73"/>
      <c r="E146" s="70"/>
      <c r="F146" s="70"/>
      <c r="G146" s="73"/>
      <c r="H146" s="76" t="s">
        <v>196</v>
      </c>
      <c r="I146" s="591" t="s">
        <v>3198</v>
      </c>
      <c r="J146" s="119"/>
      <c r="K146" s="119"/>
      <c r="L146" s="119"/>
      <c r="M146" s="119"/>
      <c r="N146" s="119"/>
      <c r="O146" s="76"/>
      <c r="P146" s="76" t="s">
        <v>196</v>
      </c>
      <c r="Q146" s="76"/>
      <c r="R146" s="591" t="s">
        <v>3197</v>
      </c>
      <c r="S146" s="119"/>
      <c r="T146" s="119"/>
      <c r="U146" s="119"/>
      <c r="V146" s="76"/>
      <c r="W146" s="76"/>
      <c r="X146" s="76"/>
      <c r="Y146" s="76"/>
      <c r="Z146" s="76"/>
      <c r="AA146" s="76"/>
      <c r="AB146" s="76"/>
      <c r="AC146" s="76"/>
      <c r="AD146" s="76"/>
      <c r="AE146" s="76"/>
      <c r="AF146" s="76"/>
      <c r="AG146" s="76"/>
      <c r="AH146" s="76"/>
      <c r="AI146" s="76"/>
      <c r="AJ146" s="76"/>
      <c r="AK146" s="76"/>
      <c r="AL146" s="76"/>
      <c r="AM146" s="76"/>
      <c r="AN146" s="73"/>
      <c r="AO146" s="57"/>
      <c r="AP146" s="45"/>
      <c r="AQ146" s="45"/>
      <c r="AR146" s="45"/>
      <c r="AS146" s="437"/>
      <c r="AT146" s="437"/>
      <c r="AU146" s="437"/>
      <c r="AV146" s="437"/>
      <c r="AW146" s="437"/>
      <c r="AX146" s="437"/>
      <c r="AY146" s="437"/>
      <c r="AZ146" s="437"/>
      <c r="BA146" s="437"/>
      <c r="BB146" s="437"/>
      <c r="BC146" s="437"/>
      <c r="BD146" s="437"/>
      <c r="BE146" s="437"/>
      <c r="BF146" s="437"/>
      <c r="BG146" s="437"/>
      <c r="BH146" s="437"/>
      <c r="BI146" s="437"/>
      <c r="BJ146" s="437"/>
      <c r="BK146" s="437"/>
      <c r="BL146" s="437"/>
      <c r="BM146" s="437"/>
      <c r="BN146" s="437"/>
      <c r="BO146" s="437"/>
      <c r="BP146" s="437"/>
      <c r="BQ146" s="437"/>
      <c r="BR146" s="437"/>
      <c r="BS146" s="437"/>
      <c r="BT146" s="437"/>
      <c r="BU146" s="437"/>
      <c r="BV146" s="437"/>
      <c r="BW146" s="437"/>
      <c r="BX146" s="437"/>
      <c r="BY146" s="437"/>
      <c r="BZ146" s="437"/>
      <c r="CA146" s="437"/>
      <c r="CB146" s="437"/>
      <c r="CC146" s="437"/>
      <c r="CD146" s="437"/>
      <c r="CE146" s="437"/>
    </row>
    <row r="147" spans="1:83" ht="5.0999999999999996" customHeight="1" outlineLevel="2" x14ac:dyDescent="0.25">
      <c r="A147" s="45"/>
      <c r="B147" s="54"/>
      <c r="C147" s="87">
        <f>INT($C$81)+2.005</f>
        <v>3.0049999999999999</v>
      </c>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t="s">
        <v>136</v>
      </c>
      <c r="AO147" s="57"/>
      <c r="AP147" s="45"/>
      <c r="AQ147" s="45"/>
      <c r="AR147" s="45"/>
      <c r="AS147" s="437"/>
      <c r="AT147" s="437"/>
      <c r="AU147" s="437"/>
      <c r="AV147" s="437"/>
      <c r="AW147" s="437"/>
      <c r="AX147" s="437"/>
      <c r="AY147" s="437"/>
      <c r="AZ147" s="437"/>
      <c r="BA147" s="437"/>
      <c r="BB147" s="437"/>
      <c r="BC147" s="437"/>
      <c r="BD147" s="437"/>
      <c r="BE147" s="437"/>
      <c r="BF147" s="437"/>
      <c r="BG147" s="437"/>
      <c r="BH147" s="437"/>
      <c r="BI147" s="437"/>
      <c r="BJ147" s="437"/>
      <c r="BK147" s="437"/>
      <c r="BL147" s="437"/>
      <c r="BM147" s="437"/>
      <c r="BN147" s="437"/>
      <c r="BO147" s="437"/>
      <c r="BP147" s="437"/>
      <c r="BQ147" s="437"/>
      <c r="BR147" s="437"/>
      <c r="BS147" s="437"/>
      <c r="BT147" s="437"/>
      <c r="BU147" s="437"/>
      <c r="BV147" s="437"/>
      <c r="BW147" s="437"/>
      <c r="BX147" s="437"/>
      <c r="BY147" s="437"/>
      <c r="BZ147" s="437"/>
      <c r="CA147" s="437"/>
      <c r="CB147" s="437"/>
      <c r="CC147" s="437"/>
      <c r="CD147" s="437"/>
      <c r="CE147" s="437"/>
    </row>
    <row r="148" spans="1:83" outlineLevel="1" x14ac:dyDescent="0.25">
      <c r="A148" s="45"/>
      <c r="B148" s="54"/>
      <c r="C148" s="87">
        <f>INT($C$81)+1</f>
        <v>2</v>
      </c>
      <c r="D148" s="73"/>
      <c r="E148" s="70"/>
      <c r="F148" s="70"/>
      <c r="G148" s="73"/>
      <c r="H148" s="90" t="s">
        <v>205</v>
      </c>
      <c r="I148" s="91"/>
      <c r="J148" s="92"/>
      <c r="K148" s="92"/>
      <c r="L148" s="92"/>
      <c r="M148" s="92"/>
      <c r="N148" s="92"/>
      <c r="O148" s="92"/>
      <c r="P148" s="92"/>
      <c r="Q148" s="92"/>
      <c r="R148" s="92"/>
      <c r="S148" s="92"/>
      <c r="T148" s="92"/>
      <c r="U148" s="92"/>
      <c r="V148" s="92"/>
      <c r="W148" s="92"/>
      <c r="X148" s="92"/>
      <c r="Y148" s="92"/>
      <c r="Z148" s="93"/>
      <c r="AA148" s="93"/>
      <c r="AB148" s="93"/>
      <c r="AC148" s="93"/>
      <c r="AD148" s="93"/>
      <c r="AE148" s="93"/>
      <c r="AF148" s="93"/>
      <c r="AG148" s="93"/>
      <c r="AH148" s="93"/>
      <c r="AI148" s="93"/>
      <c r="AJ148" s="93"/>
      <c r="AK148" s="93"/>
      <c r="AL148" s="93"/>
      <c r="AM148" s="93"/>
      <c r="AN148" s="73"/>
      <c r="AO148" s="57"/>
      <c r="AP148" s="45"/>
      <c r="AQ148" s="45"/>
      <c r="AR148" s="45"/>
      <c r="AS148" s="437"/>
      <c r="AT148" s="437"/>
      <c r="AU148" s="437"/>
      <c r="AV148" s="437"/>
      <c r="AW148" s="437"/>
      <c r="AX148" s="437"/>
      <c r="AY148" s="437"/>
      <c r="AZ148" s="437"/>
      <c r="BA148" s="437"/>
      <c r="BB148" s="437"/>
      <c r="BC148" s="437"/>
      <c r="BD148" s="437"/>
      <c r="BE148" s="437"/>
      <c r="BF148" s="437"/>
      <c r="BG148" s="437"/>
      <c r="BH148" s="437"/>
      <c r="BI148" s="437"/>
      <c r="BJ148" s="437"/>
      <c r="BK148" s="437"/>
      <c r="BL148" s="437"/>
      <c r="BM148" s="437"/>
      <c r="BN148" s="437"/>
      <c r="BO148" s="437"/>
      <c r="BP148" s="437"/>
      <c r="BQ148" s="437"/>
      <c r="BR148" s="437"/>
      <c r="BS148" s="437"/>
      <c r="BT148" s="437"/>
      <c r="BU148" s="437"/>
      <c r="BV148" s="437"/>
      <c r="BW148" s="437"/>
      <c r="BX148" s="437"/>
      <c r="BY148" s="437"/>
      <c r="BZ148" s="437"/>
      <c r="CA148" s="437"/>
      <c r="CB148" s="437"/>
      <c r="CC148" s="437"/>
      <c r="CD148" s="437"/>
      <c r="CE148" s="437"/>
    </row>
    <row r="149" spans="1:83" ht="5.0999999999999996" customHeight="1" outlineLevel="3" x14ac:dyDescent="0.25">
      <c r="A149" s="45"/>
      <c r="B149" s="54"/>
      <c r="C149" s="87">
        <f>INT($C$81)+3.005</f>
        <v>4.0049999999999999</v>
      </c>
      <c r="D149" s="73" t="s">
        <v>132</v>
      </c>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57"/>
      <c r="AP149" s="45"/>
      <c r="AQ149" s="45"/>
      <c r="AR149" s="45"/>
      <c r="AS149" s="437"/>
      <c r="AT149" s="437"/>
      <c r="AU149" s="437"/>
      <c r="AV149" s="437"/>
      <c r="AW149" s="437"/>
      <c r="AX149" s="437"/>
      <c r="AY149" s="437"/>
      <c r="AZ149" s="437"/>
      <c r="BA149" s="437"/>
      <c r="BB149" s="437"/>
      <c r="BC149" s="437"/>
      <c r="BD149" s="437"/>
      <c r="BE149" s="437"/>
      <c r="BF149" s="437"/>
      <c r="BG149" s="437"/>
      <c r="BH149" s="437"/>
      <c r="BI149" s="437"/>
      <c r="BJ149" s="437"/>
      <c r="BK149" s="437"/>
      <c r="BL149" s="437"/>
      <c r="BM149" s="437"/>
      <c r="BN149" s="437"/>
      <c r="BO149" s="437"/>
      <c r="BP149" s="437"/>
      <c r="BQ149" s="437"/>
      <c r="BR149" s="437"/>
      <c r="BS149" s="437"/>
      <c r="BT149" s="437"/>
      <c r="BU149" s="437"/>
      <c r="BV149" s="437"/>
      <c r="BW149" s="437"/>
      <c r="BX149" s="437"/>
      <c r="BY149" s="437"/>
      <c r="BZ149" s="437"/>
      <c r="CA149" s="437"/>
      <c r="CB149" s="437"/>
      <c r="CC149" s="437"/>
      <c r="CD149" s="437"/>
      <c r="CE149" s="437"/>
    </row>
    <row r="150" spans="1:83" outlineLevel="2" x14ac:dyDescent="0.25">
      <c r="A150" s="45"/>
      <c r="B150" s="54"/>
      <c r="C150" s="87">
        <f>INT($C$81)+2</f>
        <v>3</v>
      </c>
      <c r="D150" s="73"/>
      <c r="E150" s="70"/>
      <c r="F150" s="70"/>
      <c r="G150" s="73"/>
      <c r="H150" s="76"/>
      <c r="I150" s="96" t="s">
        <v>206</v>
      </c>
      <c r="J150" s="96" t="s">
        <v>207</v>
      </c>
      <c r="K150" s="96" t="s">
        <v>208</v>
      </c>
      <c r="L150" s="96" t="s">
        <v>90</v>
      </c>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3"/>
      <c r="AO150" s="57"/>
      <c r="AP150" s="45"/>
      <c r="AQ150" s="45"/>
      <c r="AR150" s="45"/>
      <c r="AS150" s="437"/>
      <c r="AT150" s="437"/>
    </row>
    <row r="151" spans="1:83" outlineLevel="3" x14ac:dyDescent="0.25">
      <c r="A151" s="45"/>
      <c r="B151" s="54"/>
      <c r="C151" s="87">
        <f t="shared" ref="C151:C157" si="46">INT($C$81+3)</f>
        <v>4</v>
      </c>
      <c r="D151" s="73"/>
      <c r="E151" s="70"/>
      <c r="F151" s="70"/>
      <c r="G151" s="73"/>
      <c r="H151" s="76" t="s">
        <v>209</v>
      </c>
      <c r="I151" s="99">
        <v>18</v>
      </c>
      <c r="J151" s="99">
        <v>186</v>
      </c>
      <c r="K151" s="122">
        <f>I151/J151</f>
        <v>9.6774193548387094E-2</v>
      </c>
      <c r="L151" s="123"/>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3"/>
      <c r="AO151" s="57"/>
      <c r="AP151" s="45"/>
      <c r="AQ151" s="45"/>
      <c r="AR151" s="45"/>
      <c r="AS151" s="437"/>
      <c r="AT151" s="437"/>
    </row>
    <row r="152" spans="1:83" outlineLevel="3" x14ac:dyDescent="0.25">
      <c r="A152" s="45"/>
      <c r="B152" s="54"/>
      <c r="C152" s="87">
        <f t="shared" si="46"/>
        <v>4</v>
      </c>
      <c r="D152" s="73"/>
      <c r="E152" s="70"/>
      <c r="F152" s="70"/>
      <c r="G152" s="73"/>
      <c r="H152" s="76" t="s">
        <v>2188</v>
      </c>
      <c r="I152" s="96"/>
      <c r="J152" s="96"/>
      <c r="K152" s="99">
        <v>0.25</v>
      </c>
      <c r="L152" s="124">
        <v>5.0000000000000001E-3</v>
      </c>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3"/>
      <c r="AO152" s="57"/>
      <c r="AP152" s="45"/>
      <c r="AQ152" s="45"/>
      <c r="AR152" s="45"/>
      <c r="AS152" s="437"/>
      <c r="AT152" s="437"/>
    </row>
    <row r="153" spans="1:83" outlineLevel="3" x14ac:dyDescent="0.25">
      <c r="A153" s="45"/>
      <c r="B153" s="54"/>
      <c r="C153" s="87">
        <f t="shared" si="46"/>
        <v>4</v>
      </c>
      <c r="D153" s="73"/>
      <c r="E153" s="70"/>
      <c r="F153" s="70"/>
      <c r="G153" s="73"/>
      <c r="H153" s="76" t="s">
        <v>2189</v>
      </c>
      <c r="I153" s="96"/>
      <c r="J153" s="96"/>
      <c r="K153" s="99">
        <v>0.1</v>
      </c>
      <c r="L153" s="123"/>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3"/>
      <c r="AO153" s="57"/>
      <c r="AP153" s="45"/>
      <c r="AQ153" s="45"/>
      <c r="AR153" s="45"/>
      <c r="AS153" s="437"/>
      <c r="AT153" s="437"/>
    </row>
    <row r="154" spans="1:83" outlineLevel="3" x14ac:dyDescent="0.25">
      <c r="A154" s="45"/>
      <c r="B154" s="54"/>
      <c r="C154" s="87">
        <f t="shared" si="46"/>
        <v>4</v>
      </c>
      <c r="D154" s="73"/>
      <c r="E154" s="70"/>
      <c r="F154" s="70"/>
      <c r="G154" s="73"/>
      <c r="H154" s="76" t="s">
        <v>210</v>
      </c>
      <c r="I154" s="96"/>
      <c r="J154" s="96"/>
      <c r="K154" s="96"/>
      <c r="L154" s="124">
        <v>1.4999999999999999E-2</v>
      </c>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3"/>
      <c r="AO154" s="57"/>
      <c r="AP154" s="45"/>
      <c r="AQ154" s="45"/>
      <c r="AR154" s="45"/>
      <c r="AS154" s="437"/>
      <c r="AT154" s="437"/>
    </row>
    <row r="155" spans="1:83" outlineLevel="3" x14ac:dyDescent="0.25">
      <c r="A155" s="45"/>
      <c r="B155" s="54"/>
      <c r="C155" s="87">
        <f t="shared" si="46"/>
        <v>4</v>
      </c>
      <c r="D155" s="73"/>
      <c r="E155" s="70"/>
      <c r="F155" s="70"/>
      <c r="G155" s="73"/>
      <c r="H155" s="125" t="s">
        <v>2190</v>
      </c>
      <c r="I155" s="126"/>
      <c r="J155" s="126"/>
      <c r="K155" s="298">
        <f>SUM(K151:K154)</f>
        <v>0.4467741935483871</v>
      </c>
      <c r="L155" s="127"/>
      <c r="M155" s="76"/>
      <c r="N155" s="76" t="s">
        <v>2664</v>
      </c>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3"/>
      <c r="AO155" s="57"/>
      <c r="AP155" s="45"/>
      <c r="AQ155" s="45"/>
      <c r="AR155" s="45"/>
      <c r="AS155" s="437"/>
      <c r="AT155" s="437"/>
    </row>
    <row r="156" spans="1:83" outlineLevel="3" x14ac:dyDescent="0.25">
      <c r="A156" s="45"/>
      <c r="B156" s="54"/>
      <c r="C156" s="87">
        <f t="shared" si="46"/>
        <v>4</v>
      </c>
      <c r="D156" s="73"/>
      <c r="E156" s="70"/>
      <c r="F156" s="70"/>
      <c r="G156" s="73"/>
      <c r="H156" s="76" t="s">
        <v>2191</v>
      </c>
      <c r="I156" s="96"/>
      <c r="J156" s="96"/>
      <c r="K156" s="123">
        <f>SUMPRODUCT($J$124:$P$124,$J$125:$P$125)</f>
        <v>0.64220249947299946</v>
      </c>
      <c r="L156" s="96"/>
      <c r="M156" s="76"/>
      <c r="N156" s="123">
        <f>SUMPRODUCT($J$124:$P$124,$J$130:$P$130)</f>
        <v>0.64776158940397355</v>
      </c>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3"/>
      <c r="AO156" s="57"/>
      <c r="AP156" s="45"/>
      <c r="AQ156" s="45"/>
      <c r="AR156" s="45"/>
      <c r="AS156" s="437"/>
      <c r="AT156" s="437"/>
    </row>
    <row r="157" spans="1:83" outlineLevel="3" x14ac:dyDescent="0.25">
      <c r="A157" s="45"/>
      <c r="B157" s="54"/>
      <c r="C157" s="87">
        <f t="shared" si="46"/>
        <v>4</v>
      </c>
      <c r="D157" s="73"/>
      <c r="E157" s="70"/>
      <c r="F157" s="70"/>
      <c r="G157" s="73"/>
      <c r="H157" s="125" t="s">
        <v>2192</v>
      </c>
      <c r="I157" s="126"/>
      <c r="J157" s="126"/>
      <c r="K157" s="298">
        <f>K155/K156</f>
        <v>0.69569052427391109</v>
      </c>
      <c r="L157" s="127">
        <f>SUM(L151:L154)</f>
        <v>0.02</v>
      </c>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3"/>
      <c r="AO157" s="57"/>
      <c r="AP157" s="45"/>
      <c r="AQ157" s="45"/>
      <c r="AR157" s="45"/>
      <c r="AS157" s="437"/>
      <c r="AT157" s="437"/>
    </row>
    <row r="158" spans="1:83" ht="5.0999999999999996" customHeight="1" outlineLevel="2" x14ac:dyDescent="0.25">
      <c r="A158" s="45"/>
      <c r="B158" s="54"/>
      <c r="C158" s="87">
        <f>INT($C$81)+2.005</f>
        <v>3.0049999999999999</v>
      </c>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t="s">
        <v>136</v>
      </c>
      <c r="AO158" s="57"/>
      <c r="AP158" s="45"/>
      <c r="AQ158" s="45"/>
      <c r="AR158" s="45"/>
      <c r="AS158" s="437"/>
      <c r="AT158" s="437"/>
    </row>
    <row r="159" spans="1:83" ht="5.0999999999999996" customHeight="1" outlineLevel="2" x14ac:dyDescent="0.25">
      <c r="A159" s="45"/>
      <c r="B159" s="54"/>
      <c r="C159" s="87">
        <f>INT($C$81)+2.005</f>
        <v>3.0049999999999999</v>
      </c>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57"/>
      <c r="AP159" s="45"/>
      <c r="AQ159" s="45"/>
      <c r="AR159" s="45"/>
      <c r="AS159" s="437"/>
      <c r="AT159" s="437"/>
    </row>
    <row r="160" spans="1:83" ht="5.0999999999999996" customHeight="1" outlineLevel="1" x14ac:dyDescent="0.25">
      <c r="A160" s="45"/>
      <c r="B160" s="81"/>
      <c r="C160" s="100">
        <f>INT($C$81)+1.005</f>
        <v>2.0049999999999999</v>
      </c>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4" t="s">
        <v>145</v>
      </c>
      <c r="AP160" s="45"/>
      <c r="AQ160" s="45"/>
      <c r="AR160" s="45"/>
      <c r="AS160" s="437"/>
      <c r="AT160" s="437"/>
    </row>
    <row r="161" spans="1:46" ht="5.0999999999999996" customHeight="1" x14ac:dyDescent="0.25">
      <c r="A161" s="45"/>
      <c r="B161" s="85"/>
      <c r="C161" s="102">
        <f>INT($C$81)+0.005</f>
        <v>1.0049999999999999</v>
      </c>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c r="AN161" s="85"/>
      <c r="AO161" s="85"/>
      <c r="AP161" s="45"/>
      <c r="AQ161" s="45"/>
      <c r="AR161" s="45"/>
      <c r="AS161" s="437"/>
      <c r="AT161" s="437"/>
    </row>
    <row r="162" spans="1:46" outlineLevel="2" x14ac:dyDescent="0.25">
      <c r="A162" s="45"/>
      <c r="B162" s="45"/>
      <c r="C162" s="87">
        <f>INT($C$81)+2</f>
        <v>3</v>
      </c>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37"/>
      <c r="AT162" s="437"/>
    </row>
    <row r="163" spans="1:46" outlineLevel="2" x14ac:dyDescent="0.25">
      <c r="A163" s="45"/>
      <c r="B163" s="45"/>
      <c r="C163" s="87">
        <f>INT($C$167)+2</f>
        <v>3</v>
      </c>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37"/>
      <c r="AT163" s="437"/>
    </row>
    <row r="164" spans="1:46" ht="5.0999999999999996" customHeight="1" thickBot="1" x14ac:dyDescent="0.3">
      <c r="A164" s="45"/>
      <c r="B164" s="48"/>
      <c r="C164" s="88">
        <f>INT($C$167)+0.005</f>
        <v>1.0049999999999999</v>
      </c>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5"/>
      <c r="AQ164" s="45"/>
      <c r="AR164" s="45"/>
      <c r="AS164" s="437"/>
      <c r="AT164" s="437"/>
    </row>
    <row r="165" spans="1:46" ht="5.0999999999999996" customHeight="1" outlineLevel="1" x14ac:dyDescent="0.25">
      <c r="A165" s="45"/>
      <c r="B165" s="50" t="s">
        <v>86</v>
      </c>
      <c r="C165" s="89">
        <f>INT($C$167)+1.005</f>
        <v>2.0049999999999999</v>
      </c>
      <c r="D165" s="52"/>
      <c r="E165" s="52"/>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3"/>
      <c r="AP165" s="45"/>
      <c r="AQ165" s="45"/>
      <c r="AR165" s="45"/>
      <c r="AS165" s="437"/>
      <c r="AT165" s="437"/>
    </row>
    <row r="166" spans="1:46" outlineLevel="4" x14ac:dyDescent="0.25">
      <c r="A166" s="45"/>
      <c r="B166" s="54"/>
      <c r="C166" s="87">
        <f>INT(MAX($C$179:$C$284))+1</f>
        <v>5</v>
      </c>
      <c r="D166" s="55"/>
      <c r="E166" s="55"/>
      <c r="F166" s="55"/>
      <c r="G166" s="55"/>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5"/>
      <c r="AO166" s="57"/>
      <c r="AP166" s="45"/>
      <c r="AQ166" s="45"/>
      <c r="AR166" s="45"/>
      <c r="AS166" s="437"/>
      <c r="AT166" s="437"/>
    </row>
    <row r="167" spans="1:46" ht="20.100000000000001" customHeight="1" x14ac:dyDescent="0.25">
      <c r="A167" s="45"/>
      <c r="B167" s="54"/>
      <c r="C167" s="87">
        <v>1.02</v>
      </c>
      <c r="D167" s="58"/>
      <c r="E167" s="59" t="s">
        <v>124</v>
      </c>
      <c r="F167" s="60"/>
      <c r="G167" s="61"/>
      <c r="H167" s="62" t="str">
        <f>COUNTIFS($B$1:$B167, "«")&amp;" Universal: Sale Prices &amp; Costs"</f>
        <v>4 Universal: Sale Prices &amp; Costs</v>
      </c>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4"/>
      <c r="AO167" s="57"/>
      <c r="AP167" s="45"/>
      <c r="AQ167" s="45"/>
      <c r="AR167" s="45"/>
      <c r="AS167" s="437"/>
      <c r="AT167" s="437"/>
    </row>
    <row r="168" spans="1:46" ht="20.100000000000001" customHeight="1" outlineLevel="1" x14ac:dyDescent="0.25">
      <c r="A168" s="45"/>
      <c r="B168" s="54"/>
      <c r="C168" s="87">
        <f>INT($C$167)+1.02</f>
        <v>2.02</v>
      </c>
      <c r="D168" s="58"/>
      <c r="E168" s="59" t="s">
        <v>126</v>
      </c>
      <c r="F168" s="65">
        <v>1</v>
      </c>
      <c r="G168" s="66"/>
      <c r="H168" s="67" t="s">
        <v>211</v>
      </c>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s="68"/>
      <c r="AL168" s="68"/>
      <c r="AM168" s="68"/>
      <c r="AN168" s="69"/>
      <c r="AO168" s="57"/>
      <c r="AP168" s="45"/>
      <c r="AQ168" s="45"/>
      <c r="AR168" s="45"/>
      <c r="AS168" s="437"/>
      <c r="AT168" s="437"/>
    </row>
    <row r="169" spans="1:46" ht="5.0999999999999996" customHeight="1" outlineLevel="2" x14ac:dyDescent="0.25">
      <c r="A169" s="45"/>
      <c r="B169" s="54"/>
      <c r="C169" s="87">
        <f>INT($C$167)+2.005</f>
        <v>3.0049999999999999</v>
      </c>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7"/>
      <c r="AP169" s="45"/>
      <c r="AQ169" s="45"/>
      <c r="AR169" s="45"/>
      <c r="AS169" s="437"/>
      <c r="AT169" s="437"/>
    </row>
    <row r="170" spans="1:46" outlineLevel="2" x14ac:dyDescent="0.25">
      <c r="A170" s="45"/>
      <c r="B170" s="54"/>
      <c r="C170" s="87">
        <f>INT($C$167)+2</f>
        <v>3</v>
      </c>
      <c r="D170" s="55"/>
      <c r="E170" s="70"/>
      <c r="F170" s="70"/>
      <c r="G170" s="55"/>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55"/>
      <c r="AO170" s="57"/>
      <c r="AP170" s="45"/>
      <c r="AQ170" s="45"/>
      <c r="AR170" s="45"/>
      <c r="AS170" s="437"/>
      <c r="AT170" s="437"/>
    </row>
    <row r="171" spans="1:46" outlineLevel="2" x14ac:dyDescent="0.25">
      <c r="A171" s="45"/>
      <c r="B171" s="54"/>
      <c r="C171" s="87">
        <f>INT($C$167)+2</f>
        <v>3</v>
      </c>
      <c r="D171" s="55"/>
      <c r="E171" s="70"/>
      <c r="F171" s="70"/>
      <c r="G171" s="55"/>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55"/>
      <c r="AO171" s="57"/>
      <c r="AP171" s="45"/>
      <c r="AQ171" s="45"/>
      <c r="AR171" s="45"/>
      <c r="AS171" s="437"/>
      <c r="AT171" s="437"/>
    </row>
    <row r="172" spans="1:46" outlineLevel="2" x14ac:dyDescent="0.25">
      <c r="A172" s="45"/>
      <c r="B172" s="54"/>
      <c r="C172" s="87">
        <f>INT($C$167)+2</f>
        <v>3</v>
      </c>
      <c r="D172" s="55"/>
      <c r="E172" s="70"/>
      <c r="F172" s="70"/>
      <c r="G172" s="55"/>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55"/>
      <c r="AO172" s="57"/>
      <c r="AP172" s="45"/>
      <c r="AQ172" s="45"/>
      <c r="AR172" s="45"/>
      <c r="AS172" s="437"/>
      <c r="AT172" s="437"/>
    </row>
    <row r="173" spans="1:46" outlineLevel="2" x14ac:dyDescent="0.25">
      <c r="A173" s="45"/>
      <c r="B173" s="54"/>
      <c r="C173" s="87">
        <f>INT($C$167)+2</f>
        <v>3</v>
      </c>
      <c r="D173" s="55"/>
      <c r="E173" s="70"/>
      <c r="F173" s="70"/>
      <c r="G173" s="55"/>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55"/>
      <c r="AO173" s="57"/>
      <c r="AP173" s="45"/>
      <c r="AQ173" s="45"/>
      <c r="AR173" s="45"/>
      <c r="AS173" s="437"/>
      <c r="AT173" s="437"/>
    </row>
    <row r="174" spans="1:46" ht="11.45" customHeight="1" outlineLevel="2" x14ac:dyDescent="0.25">
      <c r="A174" s="45"/>
      <c r="B174" s="54" t="s">
        <v>129</v>
      </c>
      <c r="C174" s="87">
        <f>INT($C$167)+2.01</f>
        <v>3.01</v>
      </c>
      <c r="D174" s="55"/>
      <c r="E174" s="55"/>
      <c r="F174" s="55"/>
      <c r="G174" s="55"/>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55"/>
      <c r="AO174" s="57"/>
      <c r="AP174" s="45"/>
      <c r="AQ174" s="45"/>
      <c r="AR174" s="45"/>
      <c r="AS174" s="437"/>
      <c r="AT174" s="437"/>
    </row>
    <row r="175" spans="1:46" ht="24" outlineLevel="4" x14ac:dyDescent="0.25">
      <c r="A175" s="45"/>
      <c r="B175" s="54"/>
      <c r="C175" s="87">
        <f>INT(MAX($C$179:$C$284))+1</f>
        <v>5</v>
      </c>
      <c r="D175" s="73"/>
      <c r="E175" s="70"/>
      <c r="F175" s="70"/>
      <c r="G175" s="73"/>
      <c r="H175" s="70"/>
      <c r="I175" s="70"/>
      <c r="J175" s="70"/>
      <c r="K175" s="70"/>
      <c r="L175" s="70" t="s">
        <v>212</v>
      </c>
      <c r="M175" s="128" t="s">
        <v>213</v>
      </c>
      <c r="N175" s="70"/>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3"/>
      <c r="AO175" s="57"/>
      <c r="AP175" s="45"/>
      <c r="AQ175" s="45"/>
      <c r="AR175" s="45"/>
      <c r="AS175" s="437"/>
      <c r="AT175" s="437"/>
    </row>
    <row r="176" spans="1:46" ht="24" outlineLevel="4" x14ac:dyDescent="0.25">
      <c r="A176" s="45"/>
      <c r="B176" s="54" t="s">
        <v>130</v>
      </c>
      <c r="C176" s="87">
        <f>INT(MAX($C$179:$C$284))+1</f>
        <v>5</v>
      </c>
      <c r="D176" s="73" t="s">
        <v>131</v>
      </c>
      <c r="E176" s="70"/>
      <c r="F176" s="70"/>
      <c r="G176" s="73"/>
      <c r="H176" s="70"/>
      <c r="I176" s="70"/>
      <c r="J176" s="70"/>
      <c r="K176" s="70"/>
      <c r="L176" s="70" t="s">
        <v>214</v>
      </c>
      <c r="M176" s="128" t="s">
        <v>215</v>
      </c>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3"/>
      <c r="AO176" s="57"/>
      <c r="AP176" s="45"/>
      <c r="AQ176" s="45"/>
      <c r="AR176" s="45"/>
      <c r="AS176" s="437"/>
      <c r="AT176" s="437"/>
    </row>
    <row r="177" spans="1:63" outlineLevel="4" x14ac:dyDescent="0.25">
      <c r="A177" s="45"/>
      <c r="B177" s="54" t="s">
        <v>130</v>
      </c>
      <c r="C177" s="87">
        <f>INT(MAX($C$179:$C$284))+1</f>
        <v>5</v>
      </c>
      <c r="D177" s="73" t="s">
        <v>131</v>
      </c>
      <c r="E177" s="70"/>
      <c r="F177" s="70"/>
      <c r="G177" s="73"/>
      <c r="H177" s="70"/>
      <c r="I177" s="70"/>
      <c r="J177" s="70"/>
      <c r="K177" s="70"/>
      <c r="L177" s="70"/>
      <c r="M177" s="128" t="s">
        <v>216</v>
      </c>
      <c r="N177" s="70"/>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3"/>
      <c r="AO177" s="57"/>
      <c r="AP177" s="45"/>
      <c r="AQ177" s="45"/>
      <c r="AR177" s="45"/>
      <c r="AS177" s="437"/>
      <c r="AT177" s="437"/>
    </row>
    <row r="178" spans="1:63" outlineLevel="1" x14ac:dyDescent="0.25">
      <c r="A178" s="45"/>
      <c r="B178" s="54"/>
      <c r="C178" s="87">
        <f>INT($C$167)+1</f>
        <v>2</v>
      </c>
      <c r="D178" s="73"/>
      <c r="E178" s="70"/>
      <c r="F178" s="70"/>
      <c r="G178" s="73"/>
      <c r="H178" s="90" t="s">
        <v>217</v>
      </c>
      <c r="I178" s="91"/>
      <c r="J178" s="92"/>
      <c r="K178" s="92"/>
      <c r="L178" s="92"/>
      <c r="M178" s="92"/>
      <c r="N178" s="92"/>
      <c r="O178" s="92"/>
      <c r="P178" s="92"/>
      <c r="Q178" s="92"/>
      <c r="R178" s="92"/>
      <c r="S178" s="92"/>
      <c r="T178" s="92"/>
      <c r="U178" s="92"/>
      <c r="V178" s="92"/>
      <c r="W178" s="92"/>
      <c r="X178" s="92"/>
      <c r="Y178" s="92"/>
      <c r="Z178" s="92"/>
      <c r="AA178" s="92"/>
      <c r="AB178" s="92"/>
      <c r="AC178" s="92"/>
      <c r="AD178" s="92"/>
      <c r="AE178" s="93"/>
      <c r="AF178" s="93"/>
      <c r="AG178" s="93"/>
      <c r="AH178" s="93"/>
      <c r="AI178" s="93"/>
      <c r="AJ178" s="93"/>
      <c r="AK178" s="93"/>
      <c r="AL178" s="93"/>
      <c r="AM178" s="93"/>
      <c r="AN178" s="73"/>
      <c r="AO178" s="57"/>
      <c r="AP178" s="45"/>
      <c r="AQ178" s="45"/>
      <c r="AR178" s="45"/>
      <c r="AS178" s="437"/>
      <c r="AT178" s="437"/>
    </row>
    <row r="179" spans="1:63" ht="5.0999999999999996" customHeight="1" outlineLevel="3" x14ac:dyDescent="0.25">
      <c r="A179" s="45"/>
      <c r="B179" s="54"/>
      <c r="C179" s="87">
        <f>INT($C$167)+3.005</f>
        <v>4.0049999999999999</v>
      </c>
      <c r="D179" s="73" t="s">
        <v>132</v>
      </c>
      <c r="E179" s="73"/>
      <c r="F179" s="73"/>
      <c r="G179" s="73"/>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73"/>
      <c r="AO179" s="57"/>
      <c r="AP179" s="45"/>
      <c r="AQ179" s="45"/>
      <c r="AR179" s="45"/>
      <c r="AS179" s="437"/>
      <c r="AT179" s="437"/>
    </row>
    <row r="180" spans="1:63" outlineLevel="2" x14ac:dyDescent="0.25">
      <c r="A180" s="45"/>
      <c r="B180" s="54"/>
      <c r="C180" s="87">
        <f>INT($C$167)+2</f>
        <v>3</v>
      </c>
      <c r="D180" s="73"/>
      <c r="E180" s="70"/>
      <c r="F180" s="70"/>
      <c r="G180" s="73"/>
      <c r="H180" s="129" t="s">
        <v>218</v>
      </c>
      <c r="I180" s="97">
        <v>50</v>
      </c>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6"/>
      <c r="AN180" s="73"/>
      <c r="AO180" s="57"/>
      <c r="AP180" s="45"/>
      <c r="AQ180" s="45"/>
      <c r="AR180" s="45"/>
      <c r="AS180" s="437"/>
      <c r="AT180" s="437"/>
      <c r="AV180" t="s">
        <v>2231</v>
      </c>
    </row>
    <row r="181" spans="1:63" outlineLevel="2" x14ac:dyDescent="0.25">
      <c r="A181" s="45"/>
      <c r="B181" s="54"/>
      <c r="C181" s="87">
        <f>INT($C$167)+2</f>
        <v>3</v>
      </c>
      <c r="D181" s="73"/>
      <c r="E181" s="70"/>
      <c r="F181" s="70"/>
      <c r="G181" s="73"/>
      <c r="H181" s="130"/>
      <c r="I181" s="95" t="s">
        <v>219</v>
      </c>
      <c r="J181" s="107"/>
      <c r="K181" s="107"/>
      <c r="L181" s="76"/>
      <c r="M181" s="76"/>
      <c r="N181" s="76" t="s">
        <v>220</v>
      </c>
      <c r="O181" s="76" t="s">
        <v>2766</v>
      </c>
      <c r="P181" s="76"/>
      <c r="Q181" s="76"/>
      <c r="R181" s="76"/>
      <c r="S181" s="76"/>
      <c r="T181" s="76"/>
      <c r="U181" s="95" t="s">
        <v>221</v>
      </c>
      <c r="V181" s="95"/>
      <c r="W181" s="96"/>
      <c r="X181" s="107" t="s">
        <v>235</v>
      </c>
      <c r="Y181" s="107"/>
      <c r="Z181" s="131" t="s">
        <v>222</v>
      </c>
      <c r="AA181" s="131"/>
      <c r="AB181" s="131"/>
      <c r="AC181" s="131"/>
      <c r="AD181" s="131"/>
      <c r="AE181" s="78" t="s">
        <v>223</v>
      </c>
      <c r="AF181" s="96" t="s">
        <v>209</v>
      </c>
      <c r="AG181" s="96" t="s">
        <v>224</v>
      </c>
      <c r="AH181" s="96" t="s">
        <v>225</v>
      </c>
      <c r="AI181" s="95" t="s">
        <v>210</v>
      </c>
      <c r="AJ181" s="95"/>
      <c r="AK181" s="96" t="s">
        <v>85</v>
      </c>
      <c r="AL181" s="96" t="s">
        <v>2538</v>
      </c>
      <c r="AM181" s="95"/>
      <c r="AN181" s="73"/>
      <c r="AO181" s="57"/>
      <c r="AP181" s="45"/>
      <c r="AQ181" s="45"/>
      <c r="AR181" s="45"/>
      <c r="AS181" s="437"/>
      <c r="AT181" s="437"/>
      <c r="AV181" t="s">
        <v>2668</v>
      </c>
      <c r="BH181" t="s">
        <v>3782</v>
      </c>
    </row>
    <row r="182" spans="1:63" ht="30" customHeight="1" outlineLevel="2" x14ac:dyDescent="0.25">
      <c r="A182" s="45"/>
      <c r="B182" s="54"/>
      <c r="C182" s="87">
        <f>INT($C$167)+2</f>
        <v>3</v>
      </c>
      <c r="D182" s="73"/>
      <c r="E182" s="70"/>
      <c r="F182" s="70"/>
      <c r="G182" s="73"/>
      <c r="H182" s="109"/>
      <c r="I182" s="132" t="s">
        <v>226</v>
      </c>
      <c r="J182" s="132" t="s">
        <v>227</v>
      </c>
      <c r="K182" s="132" t="s">
        <v>228</v>
      </c>
      <c r="L182" s="133" t="s">
        <v>229</v>
      </c>
      <c r="M182" s="133" t="s">
        <v>230</v>
      </c>
      <c r="N182" s="134" t="s">
        <v>231</v>
      </c>
      <c r="O182" s="134" t="s">
        <v>2767</v>
      </c>
      <c r="P182" s="134" t="s">
        <v>2768</v>
      </c>
      <c r="Q182" s="134" t="s">
        <v>2769</v>
      </c>
      <c r="R182" s="134" t="s">
        <v>2770</v>
      </c>
      <c r="S182" s="134" t="s">
        <v>2771</v>
      </c>
      <c r="T182" s="134" t="s">
        <v>2772</v>
      </c>
      <c r="U182" s="132" t="s">
        <v>232</v>
      </c>
      <c r="V182" s="132" t="s">
        <v>233</v>
      </c>
      <c r="W182" s="133" t="s">
        <v>234</v>
      </c>
      <c r="X182" s="133" t="s">
        <v>2665</v>
      </c>
      <c r="Y182" s="133" t="s">
        <v>2666</v>
      </c>
      <c r="Z182" s="110">
        <v>10</v>
      </c>
      <c r="AA182" s="110">
        <v>30</v>
      </c>
      <c r="AB182" s="110">
        <v>50</v>
      </c>
      <c r="AC182" s="110">
        <v>70</v>
      </c>
      <c r="AD182" s="110">
        <v>90</v>
      </c>
      <c r="AE182" s="109"/>
      <c r="AF182" s="132" t="s">
        <v>236</v>
      </c>
      <c r="AG182" s="132" t="s">
        <v>237</v>
      </c>
      <c r="AH182" s="132" t="s">
        <v>236</v>
      </c>
      <c r="AI182" s="132" t="s">
        <v>236</v>
      </c>
      <c r="AJ182" s="132" t="s">
        <v>237</v>
      </c>
      <c r="AK182" s="132" t="s">
        <v>237</v>
      </c>
      <c r="AL182" s="132" t="s">
        <v>236</v>
      </c>
      <c r="AM182" s="132" t="s">
        <v>237</v>
      </c>
      <c r="AN182" s="73"/>
      <c r="AO182" s="57"/>
      <c r="AP182" s="45"/>
      <c r="AQ182" s="45"/>
      <c r="AR182" s="45"/>
      <c r="AS182" s="437"/>
      <c r="AT182" s="437"/>
      <c r="AV182" t="s">
        <v>251</v>
      </c>
      <c r="AW182" t="s">
        <v>2232</v>
      </c>
      <c r="AX182" t="s">
        <v>2233</v>
      </c>
      <c r="AY182" t="s">
        <v>1166</v>
      </c>
      <c r="AZ182" s="5" t="s">
        <v>2667</v>
      </c>
      <c r="BA182" s="419" t="s">
        <v>265</v>
      </c>
      <c r="BD182" t="s">
        <v>2277</v>
      </c>
      <c r="BH182">
        <v>0.8</v>
      </c>
      <c r="BI182">
        <v>1</v>
      </c>
      <c r="BJ182">
        <v>1.4</v>
      </c>
      <c r="BK182">
        <v>1.8</v>
      </c>
    </row>
    <row r="183" spans="1:63" outlineLevel="3" x14ac:dyDescent="0.25">
      <c r="A183" s="45"/>
      <c r="B183" s="54"/>
      <c r="C183" s="87">
        <f>INT($C$167+3)</f>
        <v>4</v>
      </c>
      <c r="D183" s="73"/>
      <c r="E183" s="70">
        <v>0</v>
      </c>
      <c r="F183" s="70"/>
      <c r="G183" s="73"/>
      <c r="H183" s="135" t="s">
        <v>2762</v>
      </c>
      <c r="I183" s="136" t="b">
        <v>1</v>
      </c>
      <c r="J183" s="136" t="b">
        <v>1</v>
      </c>
      <c r="K183" s="136" t="b">
        <v>1</v>
      </c>
      <c r="L183" s="137">
        <v>0</v>
      </c>
      <c r="M183" s="137">
        <v>0</v>
      </c>
      <c r="N183" s="137">
        <v>12</v>
      </c>
      <c r="O183" s="137">
        <v>0</v>
      </c>
      <c r="P183" s="137">
        <v>999</v>
      </c>
      <c r="Q183" s="137" t="b">
        <v>1</v>
      </c>
      <c r="R183" s="137" t="b">
        <v>1</v>
      </c>
      <c r="S183" s="137" t="b">
        <v>1</v>
      </c>
      <c r="T183" s="137" t="b">
        <v>1</v>
      </c>
      <c r="U183" s="138">
        <v>0.12</v>
      </c>
      <c r="V183" s="138">
        <v>0.12</v>
      </c>
      <c r="W183" s="138">
        <v>0</v>
      </c>
      <c r="X183" s="386">
        <v>6.26</v>
      </c>
      <c r="Y183" s="416">
        <f>X183/(1+AVERAGEIF(INDEX(i_salep_months_priceadj_s7s9p4,1+$E183*2,0),"&lt;&gt;-1"))</f>
        <v>5.7692035986889678</v>
      </c>
      <c r="Z183" s="310">
        <v>0.77635782747603832</v>
      </c>
      <c r="AA183" s="310">
        <v>0.89297124600638977</v>
      </c>
      <c r="AB183" s="139">
        <v>1</v>
      </c>
      <c r="AC183" s="310">
        <v>1.159744408945687</v>
      </c>
      <c r="AD183" s="310">
        <v>1.3210862619808306</v>
      </c>
      <c r="AE183" s="141" t="s">
        <v>238</v>
      </c>
      <c r="AF183" s="137">
        <v>3</v>
      </c>
      <c r="AG183" s="142">
        <v>0.05</v>
      </c>
      <c r="AH183" s="137">
        <v>0.17</v>
      </c>
      <c r="AI183" s="137"/>
      <c r="AJ183" s="142">
        <v>0.02</v>
      </c>
      <c r="AK183" s="143">
        <v>4.4999999999999997E-3</v>
      </c>
      <c r="AL183" s="139">
        <f t="shared" ref="AL183:AM190" si="47">SUMIFS($AF183:$AK183,$AF$182:$AK$182,AL$182)</f>
        <v>3.17</v>
      </c>
      <c r="AM183" s="144">
        <f t="shared" si="47"/>
        <v>7.4500000000000011E-2</v>
      </c>
      <c r="AN183" s="73"/>
      <c r="AO183" s="57"/>
      <c r="AP183" s="45"/>
      <c r="AQ183" s="45"/>
      <c r="AR183" s="45"/>
      <c r="AS183" s="437"/>
      <c r="AT183" s="437"/>
      <c r="AV183" s="322" t="str">
        <f t="shared" ref="AV183:AV190" si="48">$H183</f>
        <v>Lamb grid (0)</v>
      </c>
      <c r="AW183" s="323">
        <v>50</v>
      </c>
      <c r="AX183" s="313">
        <f>IFERROR(MIN(COUNT(i_salep_percentile_range_s4)-1,MATCH($AW183,i_salep_percentile_range_s4,1)),1)-1</f>
        <v>2</v>
      </c>
      <c r="AY183" s="314">
        <f t="shared" ref="AY183:AY190" ca="1" si="49">_xlfn.FORECAST.LINEAR($AW$183,OFFSET($Z183:$AD183,0,$AX$183,1,2),OFFSET(i_salep_percentile_range_s4,0,$AX$183,1,2))</f>
        <v>1</v>
      </c>
      <c r="AZ183" s="324">
        <f t="shared" ref="AZ183:AZ190" ca="1" si="50">$Y183*$AY183</f>
        <v>5.7692035986889678</v>
      </c>
      <c r="BA183" s="324">
        <f t="shared" ref="BA183:BA190" ca="1" si="51">AZ183*(1+INDEX(i_salep_months_priceadj_s7s9p4,1+$E183*2,MATCH(BA$182,$J$267:$U$267,0)))</f>
        <v>6.5134455981470625</v>
      </c>
      <c r="BH183" s="326">
        <f ca="1">$BA183*BH$182</f>
        <v>5.2107564785176503</v>
      </c>
      <c r="BI183" s="326">
        <f t="shared" ref="BI183:BK190" ca="1" si="52">$BA183*BI$182</f>
        <v>6.5134455981470625</v>
      </c>
      <c r="BJ183" s="326">
        <f t="shared" ca="1" si="52"/>
        <v>9.1188238374058876</v>
      </c>
      <c r="BK183" s="326">
        <f t="shared" ca="1" si="52"/>
        <v>11.724202076664712</v>
      </c>
    </row>
    <row r="184" spans="1:63" outlineLevel="3" x14ac:dyDescent="0.25">
      <c r="A184" s="45"/>
      <c r="B184" s="54"/>
      <c r="C184" s="87">
        <f t="shared" ref="C184:C191" si="53">INT($C$167)+3</f>
        <v>4</v>
      </c>
      <c r="D184" s="73"/>
      <c r="E184" s="70">
        <v>1</v>
      </c>
      <c r="F184" s="70"/>
      <c r="G184" s="73"/>
      <c r="H184" s="76" t="s">
        <v>2763</v>
      </c>
      <c r="I184" s="97" t="b">
        <v>1</v>
      </c>
      <c r="J184" s="97" t="b">
        <v>1</v>
      </c>
      <c r="K184" s="97" t="b">
        <v>1</v>
      </c>
      <c r="L184" s="99">
        <v>0</v>
      </c>
      <c r="M184" s="99">
        <v>0</v>
      </c>
      <c r="N184" s="145">
        <v>12</v>
      </c>
      <c r="O184" s="145">
        <v>0</v>
      </c>
      <c r="P184" s="145">
        <v>999</v>
      </c>
      <c r="Q184" s="145" t="b">
        <v>1</v>
      </c>
      <c r="R184" s="145" t="b">
        <v>1</v>
      </c>
      <c r="S184" s="145" t="b">
        <v>1</v>
      </c>
      <c r="T184" s="145" t="b">
        <v>1</v>
      </c>
      <c r="U184" s="146">
        <v>0.12</v>
      </c>
      <c r="V184" s="146">
        <v>0.12</v>
      </c>
      <c r="W184" s="146">
        <v>0</v>
      </c>
      <c r="X184" s="389">
        <v>0</v>
      </c>
      <c r="Y184" s="122">
        <f>X184/(1+AVERAGEIF(INDEX(i_salep_months_priceadj_s7s9p4,1+$E184*2,0),"&lt;&gt;-1"))</f>
        <v>0</v>
      </c>
      <c r="Z184" s="192">
        <v>0.73898858075040785</v>
      </c>
      <c r="AA184" s="192">
        <v>0.88254486133768351</v>
      </c>
      <c r="AB184" s="96">
        <v>1</v>
      </c>
      <c r="AC184" s="192">
        <v>1.1468189233278956</v>
      </c>
      <c r="AD184" s="192">
        <v>1.3442088091353996</v>
      </c>
      <c r="AE184" s="147" t="s">
        <v>238</v>
      </c>
      <c r="AF184" s="148">
        <v>3</v>
      </c>
      <c r="AG184" s="149">
        <v>0.05</v>
      </c>
      <c r="AH184" s="148">
        <v>0.17</v>
      </c>
      <c r="AI184" s="148"/>
      <c r="AJ184" s="149">
        <v>0.02</v>
      </c>
      <c r="AK184" s="150">
        <v>4.4999999999999997E-3</v>
      </c>
      <c r="AL184" s="151">
        <f t="shared" si="47"/>
        <v>3.17</v>
      </c>
      <c r="AM184" s="152">
        <f t="shared" si="47"/>
        <v>7.4500000000000011E-2</v>
      </c>
      <c r="AN184" s="73"/>
      <c r="AO184" s="57"/>
      <c r="AP184" s="45"/>
      <c r="AQ184" s="45"/>
      <c r="AR184" s="45"/>
      <c r="AS184" s="437"/>
      <c r="AT184" s="437"/>
      <c r="AV184" s="325" t="str">
        <f t="shared" si="48"/>
        <v>empty grid (1)</v>
      </c>
      <c r="AY184" s="316">
        <f t="shared" ca="1" si="49"/>
        <v>1</v>
      </c>
      <c r="AZ184" s="326">
        <f t="shared" ca="1" si="50"/>
        <v>0</v>
      </c>
      <c r="BA184" s="326">
        <f t="shared" ca="1" si="51"/>
        <v>0</v>
      </c>
      <c r="BH184">
        <f t="shared" ref="BH184:BH190" ca="1" si="54">$BA184*BH$182</f>
        <v>0</v>
      </c>
      <c r="BI184">
        <f t="shared" ca="1" si="52"/>
        <v>0</v>
      </c>
      <c r="BJ184">
        <f t="shared" ca="1" si="52"/>
        <v>0</v>
      </c>
      <c r="BK184">
        <f t="shared" ca="1" si="52"/>
        <v>0</v>
      </c>
    </row>
    <row r="185" spans="1:63" outlineLevel="3" x14ac:dyDescent="0.25">
      <c r="A185" s="45"/>
      <c r="B185" s="54"/>
      <c r="C185" s="87">
        <f t="shared" si="53"/>
        <v>4</v>
      </c>
      <c r="D185" s="73"/>
      <c r="E185" s="70">
        <v>2</v>
      </c>
      <c r="F185" s="70"/>
      <c r="G185" s="73"/>
      <c r="H185" s="76" t="s">
        <v>2764</v>
      </c>
      <c r="I185" s="97" t="b">
        <v>1</v>
      </c>
      <c r="J185" s="97" t="b">
        <v>1</v>
      </c>
      <c r="K185" s="97" t="b">
        <v>1</v>
      </c>
      <c r="L185" s="99">
        <v>0</v>
      </c>
      <c r="M185" s="99">
        <v>0</v>
      </c>
      <c r="N185" s="99">
        <v>12</v>
      </c>
      <c r="O185" s="99">
        <v>0</v>
      </c>
      <c r="P185" s="99">
        <v>999</v>
      </c>
      <c r="Q185" s="99" t="b">
        <v>1</v>
      </c>
      <c r="R185" s="99" t="b">
        <v>1</v>
      </c>
      <c r="S185" s="99" t="b">
        <v>1</v>
      </c>
      <c r="T185" s="99" t="b">
        <v>1</v>
      </c>
      <c r="U185" s="146">
        <v>0.12</v>
      </c>
      <c r="V185" s="146">
        <v>0.12</v>
      </c>
      <c r="W185" s="146">
        <v>0</v>
      </c>
      <c r="X185" s="389">
        <v>0</v>
      </c>
      <c r="Y185" s="122">
        <f>X185/(1+AVERAGEIF(INDEX(i_salep_months_priceadj_s7s9p4,1+$E185*2,0),"&lt;&gt;-1"))</f>
        <v>0</v>
      </c>
      <c r="Z185" s="192">
        <v>0.70065789473684215</v>
      </c>
      <c r="AA185" s="192">
        <v>0.87993421052631582</v>
      </c>
      <c r="AB185" s="96">
        <v>1</v>
      </c>
      <c r="AC185" s="192">
        <v>1.1578947368421053</v>
      </c>
      <c r="AD185" s="192">
        <v>1.4111842105263157</v>
      </c>
      <c r="AE185" s="147" t="s">
        <v>238</v>
      </c>
      <c r="AF185" s="148">
        <v>3</v>
      </c>
      <c r="AG185" s="149">
        <v>0.05</v>
      </c>
      <c r="AH185" s="148">
        <v>0.17</v>
      </c>
      <c r="AI185" s="148"/>
      <c r="AJ185" s="149">
        <v>0.02</v>
      </c>
      <c r="AK185" s="150">
        <v>4.4999999999999997E-3</v>
      </c>
      <c r="AL185" s="151">
        <f t="shared" si="47"/>
        <v>3.17</v>
      </c>
      <c r="AM185" s="152">
        <f t="shared" si="47"/>
        <v>7.4500000000000011E-2</v>
      </c>
      <c r="AN185" s="73"/>
      <c r="AO185" s="57"/>
      <c r="AP185" s="45"/>
      <c r="AQ185" s="45"/>
      <c r="AR185" s="45"/>
      <c r="AS185" s="437"/>
      <c r="AT185" s="437"/>
      <c r="AV185" s="325" t="str">
        <f t="shared" si="48"/>
        <v>empty grid (2)</v>
      </c>
      <c r="AY185" s="316">
        <f t="shared" ca="1" si="49"/>
        <v>1</v>
      </c>
      <c r="AZ185" s="326">
        <f t="shared" ca="1" si="50"/>
        <v>0</v>
      </c>
      <c r="BA185" s="326">
        <f t="shared" ca="1" si="51"/>
        <v>0</v>
      </c>
      <c r="BH185">
        <f t="shared" ca="1" si="54"/>
        <v>0</v>
      </c>
      <c r="BI185">
        <f t="shared" ca="1" si="52"/>
        <v>0</v>
      </c>
      <c r="BJ185">
        <f t="shared" ca="1" si="52"/>
        <v>0</v>
      </c>
      <c r="BK185">
        <f t="shared" ca="1" si="52"/>
        <v>0</v>
      </c>
    </row>
    <row r="186" spans="1:63" outlineLevel="3" x14ac:dyDescent="0.25">
      <c r="A186" s="45"/>
      <c r="B186" s="54"/>
      <c r="C186" s="87">
        <f t="shared" si="53"/>
        <v>4</v>
      </c>
      <c r="D186" s="73"/>
      <c r="E186" s="70">
        <v>3</v>
      </c>
      <c r="F186" s="70"/>
      <c r="G186" s="73"/>
      <c r="H186" s="76" t="s">
        <v>240</v>
      </c>
      <c r="I186" s="97" t="b">
        <v>0</v>
      </c>
      <c r="J186" s="97" t="b">
        <v>1</v>
      </c>
      <c r="K186" s="97" t="b">
        <v>1</v>
      </c>
      <c r="L186" s="99">
        <v>0</v>
      </c>
      <c r="M186" s="99">
        <v>0</v>
      </c>
      <c r="N186" s="99" t="s">
        <v>239</v>
      </c>
      <c r="O186" s="99">
        <v>0</v>
      </c>
      <c r="P186" s="99">
        <v>999</v>
      </c>
      <c r="Q186" s="99" t="b">
        <v>1</v>
      </c>
      <c r="R186" s="99" t="b">
        <v>1</v>
      </c>
      <c r="S186" s="99" t="b">
        <v>1</v>
      </c>
      <c r="T186" s="99" t="b">
        <v>1</v>
      </c>
      <c r="U186" s="146">
        <v>0.12</v>
      </c>
      <c r="V186" s="146">
        <v>0.12</v>
      </c>
      <c r="W186" s="146">
        <v>-0.01</v>
      </c>
      <c r="X186" s="589">
        <f>X$189</f>
        <v>3.99</v>
      </c>
      <c r="Y186" s="122">
        <f>X186/(1+AVERAGEIF(INDEX(i_salep_months_priceadj_s7s9p4,1+$E186*2,0),"&lt;&gt;-1"))</f>
        <v>3.6661218629701886</v>
      </c>
      <c r="Z186" s="589">
        <f t="shared" ref="Z186:AD186" si="55">Z$189</f>
        <v>0.63909774436090228</v>
      </c>
      <c r="AA186" s="589">
        <f t="shared" si="55"/>
        <v>0.85964912280701755</v>
      </c>
      <c r="AB186" s="96">
        <v>1</v>
      </c>
      <c r="AC186" s="589">
        <f t="shared" si="55"/>
        <v>1.2656641604010026</v>
      </c>
      <c r="AD186" s="589">
        <f t="shared" si="55"/>
        <v>1.5563909774436091</v>
      </c>
      <c r="AE186" s="147" t="s">
        <v>238</v>
      </c>
      <c r="AF186" s="148">
        <v>3</v>
      </c>
      <c r="AG186" s="149">
        <v>0.05</v>
      </c>
      <c r="AH186" s="148">
        <v>0.17</v>
      </c>
      <c r="AI186" s="148">
        <v>0.2</v>
      </c>
      <c r="AJ186" s="148"/>
      <c r="AK186" s="150">
        <v>4.4999999999999997E-3</v>
      </c>
      <c r="AL186" s="151">
        <f t="shared" si="47"/>
        <v>3.37</v>
      </c>
      <c r="AM186" s="152">
        <f t="shared" si="47"/>
        <v>5.45E-2</v>
      </c>
      <c r="AN186" s="73"/>
      <c r="AO186" s="57"/>
      <c r="AP186" s="45"/>
      <c r="AQ186" s="45"/>
      <c r="AR186" s="45"/>
      <c r="AS186" s="437"/>
      <c r="AT186" s="437"/>
      <c r="AV186" s="325" t="str">
        <f t="shared" si="48"/>
        <v>Yearling grid (3)</v>
      </c>
      <c r="AY186" s="316">
        <f t="shared" ca="1" si="49"/>
        <v>1</v>
      </c>
      <c r="AZ186" s="326">
        <f t="shared" ca="1" si="50"/>
        <v>3.6661218629701886</v>
      </c>
      <c r="BA186" s="326">
        <f t="shared" ca="1" si="51"/>
        <v>4.041527409392625</v>
      </c>
      <c r="BD186" s="326">
        <f ca="1">50*0.44*AZ186</f>
        <v>80.654680985344143</v>
      </c>
      <c r="BE186" t="s">
        <v>2278</v>
      </c>
      <c r="BH186" s="326">
        <f t="shared" ca="1" si="54"/>
        <v>3.2332219275141001</v>
      </c>
      <c r="BI186" s="326">
        <f t="shared" ca="1" si="52"/>
        <v>4.041527409392625</v>
      </c>
      <c r="BJ186" s="326">
        <f t="shared" ca="1" si="52"/>
        <v>5.6581383731496748</v>
      </c>
      <c r="BK186" s="326">
        <f t="shared" ca="1" si="52"/>
        <v>7.2747493369067255</v>
      </c>
    </row>
    <row r="187" spans="1:63" outlineLevel="3" x14ac:dyDescent="0.25">
      <c r="A187" s="45"/>
      <c r="B187" s="54"/>
      <c r="C187" s="87">
        <f t="shared" si="53"/>
        <v>4</v>
      </c>
      <c r="D187" s="73"/>
      <c r="E187" s="70">
        <v>4</v>
      </c>
      <c r="F187" s="70"/>
      <c r="G187" s="73"/>
      <c r="H187" s="76" t="s">
        <v>241</v>
      </c>
      <c r="I187" s="97" t="b">
        <v>0</v>
      </c>
      <c r="J187" s="97" t="b">
        <v>0</v>
      </c>
      <c r="K187" s="97" t="b">
        <v>1</v>
      </c>
      <c r="L187" s="99">
        <v>1</v>
      </c>
      <c r="M187" s="99">
        <v>2</v>
      </c>
      <c r="N187" s="99" t="s">
        <v>239</v>
      </c>
      <c r="O187" s="99">
        <v>0</v>
      </c>
      <c r="P187" s="99">
        <v>999</v>
      </c>
      <c r="Q187" s="99" t="b">
        <v>1</v>
      </c>
      <c r="R187" s="99" t="b">
        <v>1</v>
      </c>
      <c r="S187" s="99" t="b">
        <v>1</v>
      </c>
      <c r="T187" s="99" t="b">
        <v>1</v>
      </c>
      <c r="U187" s="146">
        <v>0.12</v>
      </c>
      <c r="V187" s="146">
        <v>0.12</v>
      </c>
      <c r="W187" s="146">
        <v>-0.02</v>
      </c>
      <c r="X187" s="389">
        <v>0</v>
      </c>
      <c r="Y187" s="122">
        <f>X187/(1+AVERAGEIF(INDEX(i_salep_months_priceadj_s7s9p4,1+$E187*2,0),"&lt;&gt;-1"))</f>
        <v>0</v>
      </c>
      <c r="Z187" s="311">
        <v>0.75454545454545452</v>
      </c>
      <c r="AA187" s="311">
        <v>0.86363636363636365</v>
      </c>
      <c r="AB187" s="132">
        <v>1</v>
      </c>
      <c r="AC187" s="311">
        <v>1.1454545454545455</v>
      </c>
      <c r="AD187" s="311">
        <v>1.3272727272727274</v>
      </c>
      <c r="AE187" s="147" t="s">
        <v>242</v>
      </c>
      <c r="AF187" s="148">
        <v>5</v>
      </c>
      <c r="AG187" s="149">
        <v>0.05</v>
      </c>
      <c r="AH187" s="148">
        <v>0.17</v>
      </c>
      <c r="AI187" s="148">
        <v>0.2</v>
      </c>
      <c r="AJ187" s="148"/>
      <c r="AK187" s="150">
        <v>4.4999999999999997E-3</v>
      </c>
      <c r="AL187" s="151">
        <f t="shared" si="47"/>
        <v>5.37</v>
      </c>
      <c r="AM187" s="152">
        <f t="shared" si="47"/>
        <v>5.45E-2</v>
      </c>
      <c r="AN187" s="73"/>
      <c r="AO187" s="57"/>
      <c r="AP187" s="45"/>
      <c r="AQ187" s="45"/>
      <c r="AR187" s="45"/>
      <c r="AS187" s="437"/>
      <c r="AT187" s="437"/>
      <c r="AV187" s="325" t="str">
        <f t="shared" si="48"/>
        <v>Export wether grid (4)</v>
      </c>
      <c r="AY187" s="316">
        <f t="shared" ca="1" si="49"/>
        <v>1</v>
      </c>
      <c r="AZ187" s="326">
        <f t="shared" ca="1" si="50"/>
        <v>0</v>
      </c>
      <c r="BA187" s="326">
        <f t="shared" ca="1" si="51"/>
        <v>0</v>
      </c>
      <c r="BH187" s="326">
        <f t="shared" ca="1" si="54"/>
        <v>0</v>
      </c>
      <c r="BI187" s="326">
        <f t="shared" ca="1" si="52"/>
        <v>0</v>
      </c>
      <c r="BJ187" s="326">
        <f t="shared" ca="1" si="52"/>
        <v>0</v>
      </c>
      <c r="BK187" s="326">
        <f t="shared" ca="1" si="52"/>
        <v>0</v>
      </c>
    </row>
    <row r="188" spans="1:63" outlineLevel="3" x14ac:dyDescent="0.25">
      <c r="A188" s="45"/>
      <c r="B188" s="54"/>
      <c r="C188" s="87">
        <f t="shared" si="53"/>
        <v>4</v>
      </c>
      <c r="D188" s="73"/>
      <c r="E188" s="70">
        <v>5</v>
      </c>
      <c r="F188" s="70"/>
      <c r="G188" s="73"/>
      <c r="H188" s="76" t="s">
        <v>243</v>
      </c>
      <c r="I188" s="97" t="b">
        <v>0</v>
      </c>
      <c r="J188" s="97" t="b">
        <v>1</v>
      </c>
      <c r="K188" s="97" t="b">
        <v>0</v>
      </c>
      <c r="L188" s="99">
        <v>1</v>
      </c>
      <c r="M188" s="99">
        <v>2</v>
      </c>
      <c r="N188" s="99">
        <v>19</v>
      </c>
      <c r="O188" s="99">
        <v>0</v>
      </c>
      <c r="P188" s="99">
        <v>999</v>
      </c>
      <c r="Q188" s="99" t="b">
        <v>1</v>
      </c>
      <c r="R188" s="99" t="b">
        <v>1</v>
      </c>
      <c r="S188" s="99" t="b">
        <v>0</v>
      </c>
      <c r="T188" s="99" t="b">
        <v>0</v>
      </c>
      <c r="U188" s="146">
        <v>0.12</v>
      </c>
      <c r="V188" s="146">
        <v>0.12</v>
      </c>
      <c r="W188" s="146">
        <v>-0.02</v>
      </c>
      <c r="X188" s="389"/>
      <c r="Y188" s="590">
        <f>MROUND(1.33*26.5*Y$189,5)</f>
        <v>130</v>
      </c>
      <c r="Z188" s="589">
        <f>AVERAGE(Z$183,Z$189)</f>
        <v>0.7077277859184703</v>
      </c>
      <c r="AA188" s="589">
        <f>AVERAGE(AA$183,AA$189)</f>
        <v>0.87631018440670361</v>
      </c>
      <c r="AB188" s="96">
        <v>1</v>
      </c>
      <c r="AC188" s="589">
        <f>AVERAGE(AC$183,AC$189)</f>
        <v>1.2127042846733449</v>
      </c>
      <c r="AD188" s="589">
        <f>AVERAGE(AD$183,AD$189)</f>
        <v>1.4387386197122198</v>
      </c>
      <c r="AE188" s="147" t="s">
        <v>244</v>
      </c>
      <c r="AF188" s="148">
        <v>3</v>
      </c>
      <c r="AG188" s="149">
        <v>0.05</v>
      </c>
      <c r="AH188" s="148">
        <f>0.17+0.79</f>
        <v>0.96000000000000008</v>
      </c>
      <c r="AI188" s="148">
        <v>0.2</v>
      </c>
      <c r="AJ188" s="148"/>
      <c r="AK188" s="150">
        <v>4.4999999999999997E-3</v>
      </c>
      <c r="AL188" s="151">
        <f t="shared" si="47"/>
        <v>4.16</v>
      </c>
      <c r="AM188" s="152">
        <f t="shared" si="47"/>
        <v>5.45E-2</v>
      </c>
      <c r="AN188" s="73"/>
      <c r="AO188" s="57"/>
      <c r="AP188" s="45"/>
      <c r="AQ188" s="45"/>
      <c r="AR188" s="45"/>
      <c r="AS188" s="437"/>
      <c r="AT188" s="437"/>
      <c r="AV188" s="325" t="str">
        <f t="shared" si="48"/>
        <v>Breeder grid (5)</v>
      </c>
      <c r="AY188" s="316">
        <f t="shared" ca="1" si="49"/>
        <v>1</v>
      </c>
      <c r="AZ188" s="326">
        <f t="shared" ca="1" si="50"/>
        <v>130</v>
      </c>
      <c r="BA188" s="326">
        <f t="shared" ca="1" si="51"/>
        <v>143.31181091601198</v>
      </c>
      <c r="BD188" s="326">
        <f ca="1">AZ188*(1+AVERAGE($J$279:$U$279))*($M$238/$N$238)</f>
        <v>109.45161290322579</v>
      </c>
      <c r="BE188" t="s">
        <v>2279</v>
      </c>
      <c r="BH188" s="326">
        <f t="shared" ca="1" si="54"/>
        <v>114.64944873280959</v>
      </c>
      <c r="BI188" s="326">
        <f t="shared" ca="1" si="52"/>
        <v>143.31181091601198</v>
      </c>
      <c r="BJ188" s="326">
        <f t="shared" ca="1" si="52"/>
        <v>200.63653528241676</v>
      </c>
      <c r="BK188" s="326">
        <f t="shared" ca="1" si="52"/>
        <v>257.96125964882157</v>
      </c>
    </row>
    <row r="189" spans="1:63" outlineLevel="3" x14ac:dyDescent="0.25">
      <c r="A189" s="45"/>
      <c r="B189" s="54"/>
      <c r="C189" s="87">
        <f t="shared" si="53"/>
        <v>4</v>
      </c>
      <c r="D189" s="73"/>
      <c r="E189" s="70">
        <v>6</v>
      </c>
      <c r="F189" s="70"/>
      <c r="G189" s="73"/>
      <c r="H189" s="109" t="s">
        <v>245</v>
      </c>
      <c r="I189" s="153" t="b">
        <v>0</v>
      </c>
      <c r="J189" s="153" t="b">
        <v>1</v>
      </c>
      <c r="K189" s="153" t="b">
        <v>1</v>
      </c>
      <c r="L189" s="154">
        <v>0</v>
      </c>
      <c r="M189" s="154">
        <v>0</v>
      </c>
      <c r="N189" s="154" t="s">
        <v>239</v>
      </c>
      <c r="O189" s="154">
        <v>0</v>
      </c>
      <c r="P189" s="154">
        <v>999</v>
      </c>
      <c r="Q189" s="154" t="b">
        <v>1</v>
      </c>
      <c r="R189" s="154" t="b">
        <v>1</v>
      </c>
      <c r="S189" s="154" t="b">
        <v>1</v>
      </c>
      <c r="T189" s="154" t="b">
        <v>1</v>
      </c>
      <c r="U189" s="146">
        <v>0.12</v>
      </c>
      <c r="V189" s="146">
        <v>0.12</v>
      </c>
      <c r="W189" s="146">
        <v>-0.02</v>
      </c>
      <c r="X189" s="389">
        <v>3.99</v>
      </c>
      <c r="Y189" s="417">
        <f>X189/(1+AVERAGEIF(INDEX(i_salep_months_priceadj_s7s9p4,1+$E189*2,0),"&lt;&gt;-1"))</f>
        <v>3.6661218629701886</v>
      </c>
      <c r="Z189" s="311">
        <v>0.63909774436090228</v>
      </c>
      <c r="AA189" s="311">
        <v>0.85964912280701755</v>
      </c>
      <c r="AB189" s="132">
        <v>1</v>
      </c>
      <c r="AC189" s="311">
        <v>1.2656641604010026</v>
      </c>
      <c r="AD189" s="311">
        <v>1.5563909774436091</v>
      </c>
      <c r="AE189" s="156" t="s">
        <v>244</v>
      </c>
      <c r="AF189" s="157">
        <v>3</v>
      </c>
      <c r="AG189" s="158">
        <v>0.05</v>
      </c>
      <c r="AH189" s="157">
        <f>0.17+0.79</f>
        <v>0.96000000000000008</v>
      </c>
      <c r="AI189" s="157">
        <v>0.2</v>
      </c>
      <c r="AJ189" s="157"/>
      <c r="AK189" s="159">
        <v>4.4999999999999997E-3</v>
      </c>
      <c r="AL189" s="160">
        <f t="shared" si="47"/>
        <v>4.16</v>
      </c>
      <c r="AM189" s="161">
        <f t="shared" si="47"/>
        <v>5.45E-2</v>
      </c>
      <c r="AN189" s="73"/>
      <c r="AO189" s="57"/>
      <c r="AP189" s="45"/>
      <c r="AQ189" s="45"/>
      <c r="AR189" s="45"/>
      <c r="AS189" s="437"/>
      <c r="AT189" s="437"/>
      <c r="AV189" s="325" t="str">
        <f t="shared" si="48"/>
        <v>Mutton grid (6)</v>
      </c>
      <c r="AY189" s="316">
        <f t="shared" ca="1" si="49"/>
        <v>1</v>
      </c>
      <c r="AZ189" s="326">
        <f t="shared" ca="1" si="50"/>
        <v>3.6661218629701886</v>
      </c>
      <c r="BA189" s="326">
        <f t="shared" ca="1" si="51"/>
        <v>4.041527409392625</v>
      </c>
      <c r="BD189" s="326">
        <f ca="1">BE189*0.42*BA189</f>
        <v>84.872075597245129</v>
      </c>
      <c r="BE189">
        <v>50</v>
      </c>
      <c r="BF189" t="s">
        <v>2760</v>
      </c>
      <c r="BH189" s="326">
        <f t="shared" ca="1" si="54"/>
        <v>3.2332219275141001</v>
      </c>
      <c r="BI189" s="326">
        <f t="shared" ca="1" si="52"/>
        <v>4.041527409392625</v>
      </c>
      <c r="BJ189" s="326">
        <f t="shared" ca="1" si="52"/>
        <v>5.6581383731496748</v>
      </c>
      <c r="BK189" s="326">
        <f t="shared" ca="1" si="52"/>
        <v>7.2747493369067255</v>
      </c>
    </row>
    <row r="190" spans="1:63" outlineLevel="3" x14ac:dyDescent="0.25">
      <c r="A190" s="45"/>
      <c r="B190" s="54"/>
      <c r="C190" s="87">
        <f t="shared" si="53"/>
        <v>4</v>
      </c>
      <c r="D190" s="73"/>
      <c r="E190" s="70">
        <v>7</v>
      </c>
      <c r="F190" s="70"/>
      <c r="G190" s="73"/>
      <c r="H190" s="162" t="s">
        <v>246</v>
      </c>
      <c r="I190" s="163" t="b">
        <v>1</v>
      </c>
      <c r="J190" s="163" t="b">
        <v>0</v>
      </c>
      <c r="K190" s="163" t="b">
        <v>0</v>
      </c>
      <c r="L190" s="164">
        <v>0</v>
      </c>
      <c r="M190" s="164">
        <v>0</v>
      </c>
      <c r="N190" s="164" t="s">
        <v>239</v>
      </c>
      <c r="O190" s="164">
        <v>0</v>
      </c>
      <c r="P190" s="164">
        <v>999</v>
      </c>
      <c r="Q190" s="164" t="b">
        <v>1</v>
      </c>
      <c r="R190" s="164" t="b">
        <v>1</v>
      </c>
      <c r="S190" s="164" t="b">
        <v>1</v>
      </c>
      <c r="T190" s="164" t="b">
        <v>1</v>
      </c>
      <c r="U190" s="165">
        <v>0.12</v>
      </c>
      <c r="V190" s="165">
        <v>0.12</v>
      </c>
      <c r="W190" s="165">
        <v>-0.02</v>
      </c>
      <c r="X190" s="589">
        <f>0.5*X189</f>
        <v>1.9950000000000001</v>
      </c>
      <c r="Y190" s="418">
        <f>X190/(1+AVERAGEIF(INDEX(i_salep_months_priceadj_s7s9p4,1+$E190*2,0),"&lt;&gt;-1"))</f>
        <v>1.9950000000000001</v>
      </c>
      <c r="Z190" s="588">
        <f>AVERAGE(Z$183,Z$189)</f>
        <v>0.7077277859184703</v>
      </c>
      <c r="AA190" s="588">
        <f>AVERAGE(AA$183,AA$189)</f>
        <v>0.87631018440670361</v>
      </c>
      <c r="AB190" s="166">
        <v>1</v>
      </c>
      <c r="AC190" s="588">
        <f>AVERAGE(AC$183,AC$189)</f>
        <v>1.2127042846733449</v>
      </c>
      <c r="AD190" s="588">
        <f>AVERAGE(AD$183,AD$189)</f>
        <v>1.4387386197122198</v>
      </c>
      <c r="AE190" s="167" t="s">
        <v>244</v>
      </c>
      <c r="AF190" s="164">
        <v>3</v>
      </c>
      <c r="AG190" s="168">
        <v>0.05</v>
      </c>
      <c r="AH190" s="164">
        <f>0.17+0.79</f>
        <v>0.96000000000000008</v>
      </c>
      <c r="AI190" s="164">
        <v>0.2</v>
      </c>
      <c r="AJ190" s="164"/>
      <c r="AK190" s="169">
        <v>4.4999999999999997E-3</v>
      </c>
      <c r="AL190" s="166">
        <f t="shared" si="47"/>
        <v>4.16</v>
      </c>
      <c r="AM190" s="170">
        <f t="shared" si="47"/>
        <v>5.45E-2</v>
      </c>
      <c r="AN190" s="73"/>
      <c r="AO190" s="57"/>
      <c r="AP190" s="45"/>
      <c r="AQ190" s="45"/>
      <c r="AR190" s="45"/>
      <c r="AS190" s="437"/>
      <c r="AT190" s="437"/>
      <c r="AV190" s="327" t="str">
        <f t="shared" si="48"/>
        <v>Ram grid (7)</v>
      </c>
      <c r="AW190" s="319"/>
      <c r="AX190" s="319"/>
      <c r="AY190" s="320">
        <f t="shared" ca="1" si="49"/>
        <v>1</v>
      </c>
      <c r="AZ190" s="328">
        <f t="shared" ca="1" si="50"/>
        <v>1.9950000000000001</v>
      </c>
      <c r="BA190" s="328">
        <f t="shared" ca="1" si="51"/>
        <v>1.9950000000000001</v>
      </c>
      <c r="BH190" s="326">
        <f t="shared" ca="1" si="54"/>
        <v>1.5960000000000001</v>
      </c>
      <c r="BI190" s="326">
        <f t="shared" ca="1" si="52"/>
        <v>1.9950000000000001</v>
      </c>
      <c r="BJ190" s="326">
        <f t="shared" ca="1" si="52"/>
        <v>2.7930000000000001</v>
      </c>
      <c r="BK190" s="326">
        <f t="shared" ca="1" si="52"/>
        <v>3.5910000000000002</v>
      </c>
    </row>
    <row r="191" spans="1:63" outlineLevel="3" x14ac:dyDescent="0.25">
      <c r="A191" s="45"/>
      <c r="B191" s="54"/>
      <c r="C191" s="87">
        <f t="shared" si="53"/>
        <v>4</v>
      </c>
      <c r="D191" s="73"/>
      <c r="E191" s="70"/>
      <c r="F191" s="70"/>
      <c r="G191" s="73"/>
      <c r="H191" s="105"/>
      <c r="I191" s="105"/>
      <c r="J191" s="76"/>
      <c r="K191" s="76"/>
      <c r="L191" s="105"/>
      <c r="M191" s="105"/>
      <c r="N191" s="105"/>
      <c r="O191" s="105"/>
      <c r="P191" s="105"/>
      <c r="Q191" s="105"/>
      <c r="R191" s="105"/>
      <c r="S191" s="105"/>
      <c r="T191" s="105"/>
      <c r="U191" s="105"/>
      <c r="V191" s="105"/>
      <c r="W191" s="105"/>
      <c r="X191" s="97" t="s">
        <v>3196</v>
      </c>
      <c r="Y191" s="97"/>
      <c r="Z191" s="97"/>
      <c r="AA191" s="97"/>
      <c r="AB191" s="97"/>
      <c r="AC191" s="97"/>
      <c r="AD191" s="97"/>
      <c r="AE191" s="105"/>
      <c r="AF191" s="105"/>
      <c r="AG191" s="105"/>
      <c r="AH191" s="105"/>
      <c r="AI191" s="105"/>
      <c r="AJ191" s="105"/>
      <c r="AK191" s="105"/>
      <c r="AL191" s="105"/>
      <c r="AM191" s="76"/>
      <c r="AN191" s="73"/>
      <c r="AO191" s="57"/>
      <c r="AP191" s="45"/>
      <c r="AQ191" s="45"/>
      <c r="AR191" s="45"/>
      <c r="AS191" s="437"/>
      <c r="AT191" s="437"/>
    </row>
    <row r="192" spans="1:63" outlineLevel="1" x14ac:dyDescent="0.25">
      <c r="A192" s="45"/>
      <c r="B192" s="54"/>
      <c r="C192" s="87">
        <f>INT($C$167)+1</f>
        <v>2</v>
      </c>
      <c r="D192" s="73"/>
      <c r="E192" s="70"/>
      <c r="F192" s="70"/>
      <c r="G192" s="73"/>
      <c r="H192" s="90" t="s">
        <v>247</v>
      </c>
      <c r="I192" s="91" t="str">
        <f>"("&amp;ROWS(i_salep_weight_scalar_s7s5s6)&amp;","&amp;COLUMNS(i_salep_weight_scalar_s7s5s6)&amp;"): i_salep_lw1_scalar_s5s6(pointers) = formula"</f>
        <v>(64,6): i_salep_lw1_scalar_s5s6(pointers) = formula</v>
      </c>
      <c r="J192" s="92"/>
      <c r="K192" s="92"/>
      <c r="L192" s="92"/>
      <c r="M192" s="92"/>
      <c r="N192" s="92"/>
      <c r="O192" s="92"/>
      <c r="P192" s="92"/>
      <c r="Q192" s="92"/>
      <c r="R192" s="92"/>
      <c r="S192" s="92"/>
      <c r="T192" s="92"/>
      <c r="U192" s="92"/>
      <c r="V192" s="92"/>
      <c r="W192" s="92"/>
      <c r="X192" s="92"/>
      <c r="Y192" s="93"/>
      <c r="Z192" s="93"/>
      <c r="AA192" s="93"/>
      <c r="AB192" s="93"/>
      <c r="AC192" s="93"/>
      <c r="AD192" s="93"/>
      <c r="AE192" s="93"/>
      <c r="AF192" s="93"/>
      <c r="AG192" s="93"/>
      <c r="AH192" s="93"/>
      <c r="AI192" s="93"/>
      <c r="AJ192" s="93"/>
      <c r="AK192" s="93"/>
      <c r="AL192" s="93"/>
      <c r="AM192" s="93"/>
      <c r="AN192" s="73"/>
      <c r="AO192" s="57"/>
      <c r="AP192" s="45"/>
      <c r="AQ192" s="45"/>
      <c r="AR192" s="45"/>
      <c r="AS192" s="437"/>
      <c r="AT192" s="437"/>
      <c r="AW192" t="s">
        <v>233</v>
      </c>
      <c r="AX192" s="434">
        <v>3</v>
      </c>
    </row>
    <row r="193" spans="1:56" ht="5.0999999999999996" customHeight="1" outlineLevel="3" x14ac:dyDescent="0.25">
      <c r="A193" s="45"/>
      <c r="B193" s="54"/>
      <c r="C193" s="87">
        <f>INT($C$167)+3.005</f>
        <v>4.0049999999999999</v>
      </c>
      <c r="D193" s="73" t="s">
        <v>132</v>
      </c>
      <c r="E193" s="73"/>
      <c r="F193" s="73"/>
      <c r="G193" s="73"/>
      <c r="H193" s="94"/>
      <c r="I193" s="94"/>
      <c r="J193" s="94"/>
      <c r="K193" s="94"/>
      <c r="L193" s="94"/>
      <c r="M193" s="94"/>
      <c r="N193" s="94"/>
      <c r="O193" s="94"/>
      <c r="P193" s="94"/>
      <c r="Q193" s="94"/>
      <c r="R193" s="94"/>
      <c r="S193" s="94"/>
      <c r="T193" s="94"/>
      <c r="U193" s="94"/>
      <c r="V193" s="94"/>
      <c r="W193" s="94"/>
      <c r="X193" s="94"/>
      <c r="Y193" s="94"/>
      <c r="Z193" s="94"/>
      <c r="AA193" s="94"/>
      <c r="AB193" s="94"/>
      <c r="AC193" s="94"/>
      <c r="AD193" s="94"/>
      <c r="AE193" s="94"/>
      <c r="AF193" s="94"/>
      <c r="AG193" s="94"/>
      <c r="AH193" s="234"/>
      <c r="AI193" s="234"/>
      <c r="AJ193" s="234"/>
      <c r="AK193" s="234"/>
      <c r="AL193" s="234"/>
      <c r="AM193" s="234"/>
      <c r="AN193" s="73"/>
      <c r="AO193" s="57"/>
      <c r="AP193" s="45"/>
      <c r="AQ193" s="45"/>
      <c r="AR193" s="45"/>
      <c r="AS193" s="437"/>
      <c r="AT193" s="437"/>
    </row>
    <row r="194" spans="1:56" outlineLevel="2" x14ac:dyDescent="0.25">
      <c r="A194" s="45"/>
      <c r="B194" s="54"/>
      <c r="C194" s="87">
        <f>INT($C$167)+2</f>
        <v>3</v>
      </c>
      <c r="D194" s="73"/>
      <c r="E194" s="70"/>
      <c r="F194" s="70"/>
      <c r="G194" s="73"/>
      <c r="H194" s="76"/>
      <c r="I194" s="78" t="s">
        <v>248</v>
      </c>
      <c r="J194" s="110">
        <v>1</v>
      </c>
      <c r="K194" s="110">
        <v>2</v>
      </c>
      <c r="L194" s="110">
        <v>3</v>
      </c>
      <c r="M194" s="110">
        <v>4</v>
      </c>
      <c r="N194" s="110">
        <v>5</v>
      </c>
      <c r="O194" s="96">
        <v>10</v>
      </c>
      <c r="P194" s="76"/>
      <c r="Q194" s="109"/>
      <c r="R194" s="109"/>
      <c r="S194" s="109"/>
      <c r="T194" s="109"/>
      <c r="U194" s="109"/>
      <c r="V194" s="76"/>
      <c r="W194" s="76"/>
      <c r="X194" s="109"/>
      <c r="Y194" s="109"/>
      <c r="Z194" s="109"/>
      <c r="AA194" s="109"/>
      <c r="AB194" s="109"/>
      <c r="AC194" s="76"/>
      <c r="AD194" s="76"/>
      <c r="AE194" s="76"/>
      <c r="AF194" s="76"/>
      <c r="AG194" s="76"/>
      <c r="AH194" s="76"/>
      <c r="AI194" s="76"/>
      <c r="AJ194" s="76"/>
      <c r="AK194" s="76"/>
      <c r="AL194" s="76"/>
      <c r="AM194" s="76"/>
      <c r="AN194" s="73"/>
      <c r="AO194" s="57"/>
      <c r="AP194" s="45"/>
      <c r="AQ194" s="45"/>
      <c r="AR194" s="45"/>
      <c r="AS194" s="437"/>
      <c r="AT194" s="437" t="s">
        <v>2765</v>
      </c>
      <c r="AW194" s="435" t="str">
        <f t="array" ref="AW194:BD194">TRANSPOSE(AV183:AV190)</f>
        <v>Lamb grid (0)</v>
      </c>
      <c r="AX194" s="435" t="str">
        <v>empty grid (1)</v>
      </c>
      <c r="AY194" s="435" t="str">
        <v>empty grid (2)</v>
      </c>
      <c r="AZ194" s="435" t="str">
        <v>Yearling grid (3)</v>
      </c>
      <c r="BA194" s="435" t="str">
        <v>Export wether grid (4)</v>
      </c>
      <c r="BB194" s="436" t="str">
        <v>Breeder grid (5)</v>
      </c>
      <c r="BC194" s="436" t="str">
        <v>Mutton grid (6)</v>
      </c>
      <c r="BD194" s="436" t="str">
        <v>Ram grid (7)</v>
      </c>
    </row>
    <row r="195" spans="1:56" outlineLevel="2" x14ac:dyDescent="0.25">
      <c r="A195" s="45"/>
      <c r="B195" s="54"/>
      <c r="C195" s="87">
        <f>INT($C$167)+2</f>
        <v>3</v>
      </c>
      <c r="D195" s="73"/>
      <c r="E195" s="70"/>
      <c r="F195" s="70"/>
      <c r="G195" s="73"/>
      <c r="H195" s="76"/>
      <c r="I195" s="78" t="s">
        <v>249</v>
      </c>
      <c r="J195" s="110">
        <v>1</v>
      </c>
      <c r="K195" s="110">
        <v>2</v>
      </c>
      <c r="L195" s="110">
        <v>2.5</v>
      </c>
      <c r="M195" s="110">
        <v>3</v>
      </c>
      <c r="N195" s="110">
        <v>4</v>
      </c>
      <c r="O195" s="96">
        <v>10</v>
      </c>
      <c r="P195" s="76"/>
      <c r="Q195" s="109" t="s">
        <v>2539</v>
      </c>
      <c r="R195" s="109"/>
      <c r="S195" s="109"/>
      <c r="T195" s="109"/>
      <c r="U195" s="109"/>
      <c r="V195" s="76"/>
      <c r="W195" s="76"/>
      <c r="X195" s="109"/>
      <c r="Y195" s="109"/>
      <c r="Z195" s="109"/>
      <c r="AA195" s="109"/>
      <c r="AB195" s="109"/>
      <c r="AC195" s="76"/>
      <c r="AD195" s="76"/>
      <c r="AE195" s="76"/>
      <c r="AF195" s="76"/>
      <c r="AG195" s="76"/>
      <c r="AH195" s="76"/>
      <c r="AI195" s="76"/>
      <c r="AJ195" s="76"/>
      <c r="AK195" s="76"/>
      <c r="AL195" s="76"/>
      <c r="AM195" s="76"/>
      <c r="AN195" s="73"/>
      <c r="AO195" s="57"/>
      <c r="AP195" s="45"/>
      <c r="AQ195" s="45"/>
      <c r="AR195" s="45"/>
      <c r="AS195" s="437"/>
      <c r="AT195" s="437"/>
      <c r="AW195" s="433">
        <v>0.44</v>
      </c>
      <c r="AX195" s="433">
        <v>0.42</v>
      </c>
      <c r="AY195" s="433">
        <v>0.42</v>
      </c>
      <c r="AZ195" s="433">
        <v>0.42</v>
      </c>
      <c r="BA195" s="433">
        <v>1</v>
      </c>
      <c r="BB195" s="433">
        <v>1</v>
      </c>
      <c r="BC195" s="433">
        <v>0.42</v>
      </c>
      <c r="BD195" s="433">
        <v>0.42</v>
      </c>
    </row>
    <row r="196" spans="1:56" outlineLevel="2" x14ac:dyDescent="0.25">
      <c r="A196" s="45"/>
      <c r="B196" s="54"/>
      <c r="C196" s="87">
        <f>INT($C$167)+2</f>
        <v>3</v>
      </c>
      <c r="D196" s="73"/>
      <c r="E196" s="70"/>
      <c r="F196" s="70"/>
      <c r="G196" s="73"/>
      <c r="H196" s="76"/>
      <c r="I196" s="78" t="s">
        <v>250</v>
      </c>
      <c r="J196" s="146">
        <v>-0.04</v>
      </c>
      <c r="K196" s="146">
        <v>-0.02</v>
      </c>
      <c r="L196" s="146">
        <v>0</v>
      </c>
      <c r="M196" s="146">
        <v>0.02</v>
      </c>
      <c r="N196" s="146">
        <v>0.04</v>
      </c>
      <c r="O196" s="171">
        <f>N196</f>
        <v>0.04</v>
      </c>
      <c r="P196" s="76"/>
      <c r="Q196" s="76" t="s">
        <v>2200</v>
      </c>
      <c r="R196" s="76"/>
      <c r="S196" s="76"/>
      <c r="T196" s="76"/>
      <c r="U196" s="76"/>
      <c r="V196" s="76"/>
      <c r="W196" s="76"/>
      <c r="X196" s="76"/>
      <c r="Y196" s="76"/>
      <c r="Z196" s="76"/>
      <c r="AA196" s="109"/>
      <c r="AB196" s="109"/>
      <c r="AC196" s="76"/>
      <c r="AD196" s="76"/>
      <c r="AE196" s="76"/>
      <c r="AF196" s="76"/>
      <c r="AG196" s="76"/>
      <c r="AH196" s="76"/>
      <c r="AI196" s="76"/>
      <c r="AJ196" s="76"/>
      <c r="AK196" s="76"/>
      <c r="AL196" s="76"/>
      <c r="AM196" s="76"/>
      <c r="AN196" s="73"/>
      <c r="AO196" s="57"/>
      <c r="AP196" s="45"/>
      <c r="AQ196" s="45"/>
      <c r="AR196" s="45"/>
      <c r="AS196" s="437"/>
      <c r="AT196" s="437"/>
      <c r="AV196" s="173">
        <v>25</v>
      </c>
      <c r="AW196" s="439">
        <f t="array" aca="1" ref="AW196" ca="1">AW210*AW223*INDEX($BA$183:$BA$190,AW$207,1)*$AV196*AW$195</f>
        <v>71.647901579617695</v>
      </c>
      <c r="AX196" s="439">
        <f t="array" aca="1" ref="AX196" ca="1">AX210*AX223*INDEX($BA$183:$BA$190,AX$207,1)*$AV196*AX$195</f>
        <v>0</v>
      </c>
      <c r="AY196" s="439">
        <f t="array" aca="1" ref="AY196" ca="1">AY210*AY223*INDEX($BA$183:$BA$190,AY$207,1)*$AV196*AY$195</f>
        <v>0</v>
      </c>
      <c r="AZ196" s="439">
        <f t="array" aca="1" ref="AZ196" ca="1">AZ210*AZ223*INDEX($BA$183:$BA$190,AZ$207,1)*$AV196*AZ$195</f>
        <v>24.482329499205321</v>
      </c>
      <c r="BA196" s="439">
        <f t="array" aca="1" ref="BA196" ca="1">BA210*BA223*INDEX($BA$183:$BA$190,BA$207,1)</f>
        <v>0</v>
      </c>
      <c r="BB196" s="439">
        <f t="array" aca="1" ref="BB196" ca="1">BB210*BB223*INDEX($BA$183:$BA$190,BB$207,1)</f>
        <v>134.06588763110798</v>
      </c>
      <c r="BC196" s="439">
        <f t="array" aca="1" ref="BC196" ca="1">BC210*BC223*INDEX($BA$183:$BA$190,BC$207,1)*$AV196*BC$195</f>
        <v>24.482329499205321</v>
      </c>
      <c r="BD196" s="439">
        <f t="array" aca="1" ref="BD196" ca="1">BD210*BD223*INDEX($BA$183:$BA$190,BD$207,1)*$AV196*BD$195</f>
        <v>10.473750000000003</v>
      </c>
    </row>
    <row r="197" spans="1:56" outlineLevel="2" x14ac:dyDescent="0.25">
      <c r="A197" s="45"/>
      <c r="B197" s="54"/>
      <c r="C197" s="87">
        <f>INT($C$167)+2</f>
        <v>3</v>
      </c>
      <c r="D197" s="73"/>
      <c r="E197" s="70"/>
      <c r="F197" s="70"/>
      <c r="G197" s="73"/>
      <c r="H197" s="172" t="s">
        <v>251</v>
      </c>
      <c r="I197" s="96" t="s">
        <v>252</v>
      </c>
      <c r="J197" s="79">
        <v>8</v>
      </c>
      <c r="K197" s="79">
        <v>8</v>
      </c>
      <c r="L197" s="79"/>
      <c r="M197" s="95"/>
      <c r="N197" s="95"/>
      <c r="O197" s="76"/>
      <c r="P197" s="105"/>
      <c r="Q197" s="131" t="s">
        <v>253</v>
      </c>
      <c r="R197" s="131"/>
      <c r="S197" s="131"/>
      <c r="T197" s="131"/>
      <c r="U197" s="131"/>
      <c r="V197" s="76"/>
      <c r="W197" s="76"/>
      <c r="X197" s="95" t="s">
        <v>254</v>
      </c>
      <c r="Y197" s="95"/>
      <c r="Z197" s="95"/>
      <c r="AA197" s="95"/>
      <c r="AB197" s="95"/>
      <c r="AC197" s="105"/>
      <c r="AD197" s="105"/>
      <c r="AE197" s="76"/>
      <c r="AF197" s="76"/>
      <c r="AG197" s="76"/>
      <c r="AH197" s="76"/>
      <c r="AI197" s="76"/>
      <c r="AJ197" s="467"/>
      <c r="AK197" s="467"/>
      <c r="AL197" s="467"/>
      <c r="AM197" s="467"/>
      <c r="AN197" s="73"/>
      <c r="AO197" s="57"/>
      <c r="AP197" s="45"/>
      <c r="AQ197" s="45"/>
      <c r="AR197" s="45"/>
      <c r="AS197" s="437"/>
      <c r="AT197" s="437"/>
      <c r="AV197" s="173">
        <v>35</v>
      </c>
      <c r="AW197" s="439">
        <f t="array" aca="1" ref="AW197" ca="1">AW211*AW224*INDEX($BA$183:$BA$190,AW$207,1)*$AV197*AW$195</f>
        <v>100.30706221146475</v>
      </c>
      <c r="AX197" s="439">
        <f t="array" aca="1" ref="AX197" ca="1">AX211*AX224*INDEX($BA$183:$BA$190,AX$207,1)*$AV197*AX$195</f>
        <v>0</v>
      </c>
      <c r="AY197" s="439">
        <f t="array" aca="1" ref="AY197" ca="1">AY211*AY224*INDEX($BA$183:$BA$190,AY$207,1)*$AV197*AY$195</f>
        <v>0</v>
      </c>
      <c r="AZ197" s="439">
        <f t="array" aca="1" ref="AZ197" ca="1">AZ211*AZ224*INDEX($BA$183:$BA$190,AZ$207,1)*$AV197*AZ$195</f>
        <v>50.270383238368268</v>
      </c>
      <c r="BA197" s="439">
        <f t="array" aca="1" ref="BA197" ca="1">BA211*BA224*INDEX($BA$183:$BA$190,BA$207,1)</f>
        <v>0</v>
      </c>
      <c r="BB197" s="439">
        <f t="array" aca="1" ref="BB197" ca="1">BB211*BB224*INDEX($BA$183:$BA$190,BB$207,1)</f>
        <v>134.06588763110798</v>
      </c>
      <c r="BC197" s="439">
        <f t="array" aca="1" ref="BC197" ca="1">BC211*BC224*INDEX($BA$183:$BA$190,BC$207,1)*$AV197*BC$195</f>
        <v>50.270383238368268</v>
      </c>
      <c r="BD197" s="439">
        <f t="array" aca="1" ref="BD197" ca="1">BD211*BD224*INDEX($BA$183:$BA$190,BD$207,1)*$AV197*BD$195</f>
        <v>14.663250000000003</v>
      </c>
    </row>
    <row r="198" spans="1:56" outlineLevel="2" x14ac:dyDescent="0.25">
      <c r="A198" s="45"/>
      <c r="B198" s="54"/>
      <c r="C198" s="87">
        <f>INT($C$167)+2</f>
        <v>3</v>
      </c>
      <c r="D198" s="73"/>
      <c r="E198" s="70">
        <v>0</v>
      </c>
      <c r="F198" s="70">
        <f>E198</f>
        <v>0</v>
      </c>
      <c r="G198" s="73"/>
      <c r="H198" s="96" t="str">
        <f>INDEX($H$183:$H$190,$E198+1,1)</f>
        <v>Lamb grid (0)</v>
      </c>
      <c r="I198" s="173">
        <v>10</v>
      </c>
      <c r="J198" s="440">
        <v>3.6</v>
      </c>
      <c r="K198" s="441">
        <v>5</v>
      </c>
      <c r="L198" s="441">
        <v>5</v>
      </c>
      <c r="M198" s="441">
        <v>5</v>
      </c>
      <c r="N198" s="442">
        <v>3.6</v>
      </c>
      <c r="O198" s="443">
        <v>0</v>
      </c>
      <c r="P198" s="174"/>
      <c r="Q198" s="385">
        <f>S198+0*0.851333333333333</f>
        <v>1</v>
      </c>
      <c r="R198" s="386">
        <v>1</v>
      </c>
      <c r="S198" s="386">
        <v>1</v>
      </c>
      <c r="T198" s="386">
        <v>1</v>
      </c>
      <c r="U198" s="387">
        <f>S198+0*0.951338199513382</f>
        <v>1</v>
      </c>
      <c r="V198" s="79">
        <v>0</v>
      </c>
      <c r="W198" s="174"/>
      <c r="X198" s="385">
        <f>Z198+0*0.884628099173554</f>
        <v>1</v>
      </c>
      <c r="Y198" s="386">
        <v>1</v>
      </c>
      <c r="Z198" s="386">
        <v>1</v>
      </c>
      <c r="AA198" s="386">
        <v>1</v>
      </c>
      <c r="AB198" s="387">
        <f>Z198+0*0.89564738292011</f>
        <v>1</v>
      </c>
      <c r="AC198" s="79">
        <v>0</v>
      </c>
      <c r="AD198" s="76"/>
      <c r="AE198" s="76"/>
      <c r="AF198" s="76"/>
      <c r="AG198" s="76"/>
      <c r="AH198" s="76"/>
      <c r="AI198" s="76"/>
      <c r="AJ198" s="76"/>
      <c r="AK198" s="76"/>
      <c r="AL198" s="76"/>
      <c r="AM198" s="76"/>
      <c r="AN198" s="73"/>
      <c r="AO198" s="57"/>
      <c r="AP198" s="45"/>
      <c r="AQ198" s="45"/>
      <c r="AR198" s="45"/>
      <c r="AS198" s="437"/>
      <c r="AT198" s="437"/>
      <c r="AV198" s="173">
        <v>40</v>
      </c>
      <c r="AW198" s="439">
        <f t="array" aca="1" ref="AW198" ca="1">AW212*AW225*INDEX($BA$183:$BA$190,AW$207,1)*$AV198*AW$195</f>
        <v>114.6366425273883</v>
      </c>
      <c r="AX198" s="439">
        <f t="array" aca="1" ref="AX198" ca="1">AX212*AX225*INDEX($BA$183:$BA$190,AX$207,1)*$AV198*AX$195</f>
        <v>0</v>
      </c>
      <c r="AY198" s="439">
        <f t="array" aca="1" ref="AY198" ca="1">AY212*AY225*INDEX($BA$183:$BA$190,AY$207,1)*$AV198*AY$195</f>
        <v>0</v>
      </c>
      <c r="AZ198" s="439">
        <f t="array" aca="1" ref="AZ198" ca="1">AZ212*AZ225*INDEX($BA$183:$BA$190,AZ$207,1)*$AV198*AZ$195</f>
        <v>57.451866558135166</v>
      </c>
      <c r="BA198" s="439">
        <f t="array" aca="1" ref="BA198" ca="1">BA212*BA225*INDEX($BA$183:$BA$190,BA$207,1)</f>
        <v>0</v>
      </c>
      <c r="BB198" s="439">
        <f t="array" aca="1" ref="BB198" ca="1">BB212*BB225*INDEX($BA$183:$BA$190,BB$207,1)</f>
        <v>134.06588763110798</v>
      </c>
      <c r="BC198" s="439">
        <f t="array" aca="1" ref="BC198" ca="1">BC212*BC225*INDEX($BA$183:$BA$190,BC$207,1)*$AV198*BC$195</f>
        <v>57.451866558135166</v>
      </c>
      <c r="BD198" s="439">
        <f t="array" aca="1" ref="BD198" ca="1">BD212*BD225*INDEX($BA$183:$BA$190,BD$207,1)*$AV198*BD$195</f>
        <v>16.758000000000003</v>
      </c>
    </row>
    <row r="199" spans="1:56" outlineLevel="3" x14ac:dyDescent="0.25">
      <c r="A199" s="45"/>
      <c r="B199" s="54"/>
      <c r="C199" s="87">
        <f t="shared" ref="C199:C205" si="56">INT($C$167)+3</f>
        <v>4</v>
      </c>
      <c r="D199" s="73"/>
      <c r="E199" s="70">
        <f t="shared" ref="E199:F205" si="57">E198</f>
        <v>0</v>
      </c>
      <c r="F199" s="70">
        <f t="shared" si="57"/>
        <v>0</v>
      </c>
      <c r="G199" s="73"/>
      <c r="H199" s="176" t="str">
        <f>INDEX($M$175:$M$177,INDEX(i_salep_price_type_s7,$F199+1,1)+1,1)&amp;INDEX($L$175:$L$177,INDEX(ia_s8_s7,$F199+1,1)+1,1)</f>
        <v>$/kg DW, DW - Fat score</v>
      </c>
      <c r="I199" s="173">
        <v>16.100000000000001</v>
      </c>
      <c r="J199" s="444">
        <v>4.4000000000000004</v>
      </c>
      <c r="K199" s="445">
        <v>5.6</v>
      </c>
      <c r="L199" s="445">
        <v>5.6</v>
      </c>
      <c r="M199" s="445">
        <v>5.6</v>
      </c>
      <c r="N199" s="446">
        <v>3.6</v>
      </c>
      <c r="O199" s="443">
        <v>0</v>
      </c>
      <c r="P199" s="174"/>
      <c r="Q199" s="388">
        <f>Q200</f>
        <v>1</v>
      </c>
      <c r="R199" s="389">
        <v>1</v>
      </c>
      <c r="S199" s="389">
        <v>1</v>
      </c>
      <c r="T199" s="389">
        <v>1</v>
      </c>
      <c r="U199" s="390">
        <f>U200</f>
        <v>1</v>
      </c>
      <c r="V199" s="79">
        <v>0</v>
      </c>
      <c r="W199" s="174"/>
      <c r="X199" s="388">
        <f>Z199+0*0.804089196175527</f>
        <v>1</v>
      </c>
      <c r="Y199" s="389">
        <v>1</v>
      </c>
      <c r="Z199" s="389">
        <v>1</v>
      </c>
      <c r="AA199" s="389">
        <v>1</v>
      </c>
      <c r="AB199" s="390">
        <f>Z199+0*0.761004702731321</f>
        <v>1</v>
      </c>
      <c r="AC199" s="79">
        <v>0</v>
      </c>
      <c r="AD199" s="76"/>
      <c r="AE199" s="76"/>
      <c r="AF199" s="76"/>
      <c r="AG199" s="76"/>
      <c r="AH199" s="76"/>
      <c r="AI199" s="76"/>
      <c r="AJ199" s="76"/>
      <c r="AK199" s="76"/>
      <c r="AL199" s="76"/>
      <c r="AM199" s="76"/>
      <c r="AN199" s="73"/>
      <c r="AO199" s="57"/>
      <c r="AP199" s="45"/>
      <c r="AQ199" s="45"/>
      <c r="AR199" s="45"/>
      <c r="AS199" s="437"/>
      <c r="AT199" s="437"/>
      <c r="AV199" s="173">
        <v>45</v>
      </c>
      <c r="AW199" s="439">
        <f t="array" aca="1" ref="AW199" ca="1">AW213*AW226*INDEX($BA$183:$BA$190,AW$207,1)*$AV199*AW$195</f>
        <v>128.96622284331184</v>
      </c>
      <c r="AX199" s="439">
        <f t="array" aca="1" ref="AX199" ca="1">AX213*AX226*INDEX($BA$183:$BA$190,AX$207,1)*$AV199*AX$195</f>
        <v>0</v>
      </c>
      <c r="AY199" s="439">
        <f t="array" aca="1" ref="AY199" ca="1">AY213*AY226*INDEX($BA$183:$BA$190,AY$207,1)*$AV199*AY$195</f>
        <v>0</v>
      </c>
      <c r="AZ199" s="439">
        <f t="array" aca="1" ref="AZ199" ca="1">AZ213*AZ226*INDEX($BA$183:$BA$190,AZ$207,1)*$AV199*AZ$195</f>
        <v>76.384868037520604</v>
      </c>
      <c r="BA199" s="439">
        <f t="array" aca="1" ref="BA199" ca="1">BA213*BA226*INDEX($BA$183:$BA$190,BA$207,1)</f>
        <v>0</v>
      </c>
      <c r="BB199" s="439">
        <f t="array" aca="1" ref="BB199" ca="1">BB213*BB226*INDEX($BA$183:$BA$190,BB$207,1)</f>
        <v>134.06588763110798</v>
      </c>
      <c r="BC199" s="439">
        <f t="array" aca="1" ref="BC199" ca="1">BC213*BC226*INDEX($BA$183:$BA$190,BC$207,1)*$AV199*BC$195</f>
        <v>76.384868037520604</v>
      </c>
      <c r="BD199" s="439">
        <f t="array" aca="1" ref="BD199" ca="1">BD213*BD226*INDEX($BA$183:$BA$190,BD$207,1)*$AV199*BD$195</f>
        <v>18.85275</v>
      </c>
    </row>
    <row r="200" spans="1:56" outlineLevel="3" x14ac:dyDescent="0.25">
      <c r="A200" s="45"/>
      <c r="B200" s="54"/>
      <c r="C200" s="87">
        <f t="shared" si="56"/>
        <v>4</v>
      </c>
      <c r="D200" s="73"/>
      <c r="E200" s="70">
        <f t="shared" si="57"/>
        <v>0</v>
      </c>
      <c r="F200" s="70">
        <f t="shared" si="57"/>
        <v>0</v>
      </c>
      <c r="G200" s="73"/>
      <c r="H200" s="97" t="s">
        <v>2540</v>
      </c>
      <c r="I200" s="173">
        <v>18.100000000000001</v>
      </c>
      <c r="J200" s="444">
        <v>4.8</v>
      </c>
      <c r="K200" s="445">
        <v>6.8</v>
      </c>
      <c r="L200" s="445">
        <v>6.8</v>
      </c>
      <c r="M200" s="445">
        <v>6.8</v>
      </c>
      <c r="N200" s="446">
        <v>3.6</v>
      </c>
      <c r="O200" s="443">
        <v>0</v>
      </c>
      <c r="P200" s="174"/>
      <c r="Q200" s="388">
        <f>S200+0*0.957333333333333</f>
        <v>1</v>
      </c>
      <c r="R200" s="389">
        <v>1</v>
      </c>
      <c r="S200" s="389">
        <v>1</v>
      </c>
      <c r="T200" s="389">
        <v>1</v>
      </c>
      <c r="U200" s="390">
        <f>S200+0*0.951338199513382</f>
        <v>1</v>
      </c>
      <c r="V200" s="79">
        <v>0</v>
      </c>
      <c r="W200" s="174"/>
      <c r="X200" s="388">
        <f>Z200+0*0.692429824782766</f>
        <v>1</v>
      </c>
      <c r="Y200" s="389">
        <v>1</v>
      </c>
      <c r="Z200" s="389">
        <v>1</v>
      </c>
      <c r="AA200" s="389">
        <v>1</v>
      </c>
      <c r="AB200" s="390">
        <f>Z200+0*0.630460292224998</f>
        <v>1</v>
      </c>
      <c r="AC200" s="79">
        <v>0</v>
      </c>
      <c r="AD200" s="76"/>
      <c r="AE200" s="76"/>
      <c r="AF200" s="76"/>
      <c r="AG200" s="76"/>
      <c r="AH200" s="76"/>
      <c r="AI200" s="76"/>
      <c r="AJ200" s="76"/>
      <c r="AK200" s="76"/>
      <c r="AL200" s="76"/>
      <c r="AM200" s="76"/>
      <c r="AN200" s="73"/>
      <c r="AO200" s="57"/>
      <c r="AP200" s="45"/>
      <c r="AQ200" s="45"/>
      <c r="AR200" s="45"/>
      <c r="AS200" s="437"/>
      <c r="AT200" s="437"/>
      <c r="AV200" s="173">
        <v>50</v>
      </c>
      <c r="AW200" s="439">
        <f t="array" aca="1" ref="AW200" ca="1">AW214*AW227*INDEX($BA$183:$BA$190,AW$207,1)*$AV200*AW$195</f>
        <v>143.29580315923539</v>
      </c>
      <c r="AX200" s="439">
        <f t="array" aca="1" ref="AX200" ca="1">AX214*AX227*INDEX($BA$183:$BA$190,AX$207,1)*$AV200*AX$195</f>
        <v>0</v>
      </c>
      <c r="AY200" s="439">
        <f t="array" aca="1" ref="AY200" ca="1">AY214*AY227*INDEX($BA$183:$BA$190,AY$207,1)*$AV200*AY$195</f>
        <v>0</v>
      </c>
      <c r="AZ200" s="439">
        <f t="array" aca="1" ref="AZ200" ca="1">AZ214*AZ227*INDEX($BA$183:$BA$190,AZ$207,1)*$AV200*AZ$195</f>
        <v>84.872075597245129</v>
      </c>
      <c r="BA200" s="439">
        <f t="array" aca="1" ref="BA200" ca="1">BA214*BA227*INDEX($BA$183:$BA$190,BA$207,1)</f>
        <v>0</v>
      </c>
      <c r="BB200" s="439">
        <f t="array" aca="1" ref="BB200" ca="1">BB214*BB227*INDEX($BA$183:$BA$190,BB$207,1)</f>
        <v>134.06588763110798</v>
      </c>
      <c r="BC200" s="439">
        <f t="array" aca="1" ref="BC200" ca="1">BC214*BC227*INDEX($BA$183:$BA$190,BC$207,1)*$AV200*BC$195</f>
        <v>84.872075597245129</v>
      </c>
      <c r="BD200" s="439">
        <f t="array" aca="1" ref="BD200" ca="1">BD214*BD227*INDEX($BA$183:$BA$190,BD$207,1)*$AV200*BD$195</f>
        <v>20.947499999999998</v>
      </c>
    </row>
    <row r="201" spans="1:56" outlineLevel="3" x14ac:dyDescent="0.25">
      <c r="A201" s="45"/>
      <c r="B201" s="54"/>
      <c r="C201" s="87">
        <f t="shared" si="56"/>
        <v>4</v>
      </c>
      <c r="D201" s="73"/>
      <c r="E201" s="70">
        <f t="shared" si="57"/>
        <v>0</v>
      </c>
      <c r="F201" s="70">
        <f t="shared" si="57"/>
        <v>0</v>
      </c>
      <c r="G201" s="73"/>
      <c r="H201" s="97" t="s">
        <v>255</v>
      </c>
      <c r="I201" s="173">
        <v>28.1</v>
      </c>
      <c r="J201" s="444">
        <v>4.3</v>
      </c>
      <c r="K201" s="445">
        <v>5.3</v>
      </c>
      <c r="L201" s="445">
        <v>5.3</v>
      </c>
      <c r="M201" s="445">
        <v>5.3</v>
      </c>
      <c r="N201" s="446">
        <v>3.6</v>
      </c>
      <c r="O201" s="443">
        <v>0</v>
      </c>
      <c r="P201" s="174"/>
      <c r="Q201" s="388">
        <f>S201+0*0.922611111111111</f>
        <v>0.87592003768474347</v>
      </c>
      <c r="R201" s="389">
        <v>0.87592003768474347</v>
      </c>
      <c r="S201" s="389">
        <v>0.87592003768474347</v>
      </c>
      <c r="T201" s="389">
        <v>0.87592003768474347</v>
      </c>
      <c r="U201" s="390">
        <f>S201+0*0.951338199513382</f>
        <v>0.87592003768474347</v>
      </c>
      <c r="V201" s="79">
        <v>0</v>
      </c>
      <c r="W201" s="174"/>
      <c r="X201" s="388">
        <f>Z201+0*0.764404034268504</f>
        <v>1</v>
      </c>
      <c r="Y201" s="389">
        <v>1</v>
      </c>
      <c r="Z201" s="389">
        <v>1</v>
      </c>
      <c r="AA201" s="389">
        <v>1</v>
      </c>
      <c r="AB201" s="390">
        <f>Z201+0*0.715348695949281</f>
        <v>1</v>
      </c>
      <c r="AC201" s="79">
        <v>0</v>
      </c>
      <c r="AD201" s="76"/>
      <c r="AE201" s="76"/>
      <c r="AF201" s="76"/>
      <c r="AG201" s="76"/>
      <c r="AH201" s="76"/>
      <c r="AI201" s="76"/>
      <c r="AJ201" s="76"/>
      <c r="AK201" s="76"/>
      <c r="AL201" s="76"/>
      <c r="AM201" s="76"/>
      <c r="AN201" s="73"/>
      <c r="AO201" s="57"/>
      <c r="AP201" s="45"/>
      <c r="AQ201" s="45"/>
      <c r="AR201" s="45"/>
      <c r="AS201" s="437"/>
      <c r="AT201" s="437"/>
      <c r="AV201" s="173">
        <v>55</v>
      </c>
      <c r="AW201" s="439">
        <f t="array" aca="1" ref="AW201" ca="1">AW215*AW228*INDEX($BA$183:$BA$190,AW$207,1)*$AV201*AW$195</f>
        <v>157.62538347515891</v>
      </c>
      <c r="AX201" s="439">
        <f t="array" aca="1" ref="AX201" ca="1">AX215*AX228*INDEX($BA$183:$BA$190,AX$207,1)*$AV201*AX$195</f>
        <v>0</v>
      </c>
      <c r="AY201" s="439">
        <f t="array" aca="1" ref="AY201" ca="1">AY215*AY228*INDEX($BA$183:$BA$190,AY$207,1)*$AV201*AY$195</f>
        <v>0</v>
      </c>
      <c r="AZ201" s="439">
        <f t="array" aca="1" ref="AZ201" ca="1">AZ215*AZ228*INDEX($BA$183:$BA$190,AZ$207,1)*$AV201*AZ$195</f>
        <v>93.359283156969639</v>
      </c>
      <c r="BA201" s="439">
        <f t="array" aca="1" ref="BA201" ca="1">BA215*BA228*INDEX($BA$183:$BA$190,BA$207,1)</f>
        <v>0</v>
      </c>
      <c r="BB201" s="439">
        <f t="array" aca="1" ref="BB201" ca="1">BB215*BB228*INDEX($BA$183:$BA$190,BB$207,1)</f>
        <v>134.06588763110798</v>
      </c>
      <c r="BC201" s="439">
        <f t="array" aca="1" ref="BC201" ca="1">BC215*BC228*INDEX($BA$183:$BA$190,BC$207,1)*$AV201*BC$195</f>
        <v>93.359283156969639</v>
      </c>
      <c r="BD201" s="439">
        <f t="array" aca="1" ref="BD201" ca="1">BD215*BD228*INDEX($BA$183:$BA$190,BD$207,1)*$AV201*BD$195</f>
        <v>23.042249999999999</v>
      </c>
    </row>
    <row r="202" spans="1:56" outlineLevel="3" x14ac:dyDescent="0.25">
      <c r="A202" s="45"/>
      <c r="B202" s="54"/>
      <c r="C202" s="87">
        <f t="shared" si="56"/>
        <v>4</v>
      </c>
      <c r="D202" s="73"/>
      <c r="E202" s="70">
        <f t="shared" si="57"/>
        <v>0</v>
      </c>
      <c r="F202" s="70">
        <f t="shared" si="57"/>
        <v>0</v>
      </c>
      <c r="G202" s="73"/>
      <c r="H202" s="76"/>
      <c r="I202" s="173">
        <v>31.1</v>
      </c>
      <c r="J202" s="444">
        <v>4</v>
      </c>
      <c r="K202" s="445">
        <v>5</v>
      </c>
      <c r="L202" s="445">
        <v>5</v>
      </c>
      <c r="M202" s="445">
        <v>5</v>
      </c>
      <c r="N202" s="446">
        <v>3.6</v>
      </c>
      <c r="O202" s="443">
        <v>0</v>
      </c>
      <c r="P202" s="174"/>
      <c r="Q202" s="388">
        <f>S202+0*0.876444444444444</f>
        <v>0.75088954500719218</v>
      </c>
      <c r="R202" s="389">
        <v>0.75088954500719218</v>
      </c>
      <c r="S202" s="389">
        <v>0.75088954500719218</v>
      </c>
      <c r="T202" s="389">
        <v>0.75088954500719218</v>
      </c>
      <c r="U202" s="390">
        <f>S202+0*0.948905109489051</f>
        <v>0.75088954500719218</v>
      </c>
      <c r="V202" s="79">
        <v>0</v>
      </c>
      <c r="W202" s="174"/>
      <c r="X202" s="388">
        <f>Z202+0*0.866666666666667</f>
        <v>1</v>
      </c>
      <c r="Y202" s="389">
        <v>1</v>
      </c>
      <c r="Z202" s="389">
        <v>1</v>
      </c>
      <c r="AA202" s="389">
        <v>1</v>
      </c>
      <c r="AB202" s="390">
        <f>Z202+0*0.849523809523809</f>
        <v>1</v>
      </c>
      <c r="AC202" s="79">
        <v>0</v>
      </c>
      <c r="AD202" s="76"/>
      <c r="AE202" s="76"/>
      <c r="AF202" s="76"/>
      <c r="AG202" s="76"/>
      <c r="AH202" s="76"/>
      <c r="AI202" s="76"/>
      <c r="AJ202" s="76"/>
      <c r="AK202" s="76"/>
      <c r="AL202" s="76"/>
      <c r="AM202" s="76"/>
      <c r="AN202" s="73"/>
      <c r="AO202" s="57"/>
      <c r="AP202" s="45"/>
      <c r="AQ202" s="45"/>
      <c r="AR202" s="45"/>
      <c r="AS202" s="437"/>
      <c r="AT202" s="437"/>
      <c r="AV202" s="173">
        <v>60</v>
      </c>
      <c r="AW202" s="439">
        <f t="array" aca="1" ref="AW202" ca="1">AW216*AW229*INDEX($BA$183:$BA$190,AW$207,1)*$AV202*AW$195</f>
        <v>171.95496379108246</v>
      </c>
      <c r="AX202" s="439">
        <f t="array" aca="1" ref="AX202" ca="1">AX216*AX229*INDEX($BA$183:$BA$190,AX$207,1)*$AV202*AX$195</f>
        <v>0</v>
      </c>
      <c r="AY202" s="439">
        <f t="array" aca="1" ref="AY202" ca="1">AY216*AY229*INDEX($BA$183:$BA$190,AY$207,1)*$AV202*AY$195</f>
        <v>0</v>
      </c>
      <c r="AZ202" s="439">
        <f t="array" aca="1" ref="AZ202" ca="1">AZ216*AZ229*INDEX($BA$183:$BA$190,AZ$207,1)*$AV202*AZ$195</f>
        <v>101.84649071669413</v>
      </c>
      <c r="BA202" s="439">
        <f t="array" aca="1" ref="BA202" ca="1">BA216*BA229*INDEX($BA$183:$BA$190,BA$207,1)</f>
        <v>0</v>
      </c>
      <c r="BB202" s="439">
        <f t="array" aca="1" ref="BB202" ca="1">BB216*BB229*INDEX($BA$183:$BA$190,BB$207,1)</f>
        <v>134.06588763110798</v>
      </c>
      <c r="BC202" s="439">
        <f t="array" aca="1" ref="BC202" ca="1">BC216*BC229*INDEX($BA$183:$BA$190,BC$207,1)*$AV202*BC$195</f>
        <v>101.84649071669413</v>
      </c>
      <c r="BD202" s="439">
        <f t="array" aca="1" ref="BD202" ca="1">BD216*BD229*INDEX($BA$183:$BA$190,BD$207,1)*$AV202*BD$195</f>
        <v>25.137</v>
      </c>
    </row>
    <row r="203" spans="1:56" outlineLevel="3" x14ac:dyDescent="0.25">
      <c r="A203" s="45"/>
      <c r="B203" s="54"/>
      <c r="C203" s="87">
        <f t="shared" si="56"/>
        <v>4</v>
      </c>
      <c r="D203" s="73"/>
      <c r="E203" s="70">
        <f t="shared" si="57"/>
        <v>0</v>
      </c>
      <c r="F203" s="70">
        <f t="shared" si="57"/>
        <v>0</v>
      </c>
      <c r="G203" s="73"/>
      <c r="H203" s="76"/>
      <c r="I203" s="173">
        <f t="shared" ref="I203:N204" si="58">I202</f>
        <v>31.1</v>
      </c>
      <c r="J203" s="444">
        <f t="shared" si="58"/>
        <v>4</v>
      </c>
      <c r="K203" s="445">
        <f t="shared" si="58"/>
        <v>5</v>
      </c>
      <c r="L203" s="445">
        <f t="shared" si="58"/>
        <v>5</v>
      </c>
      <c r="M203" s="445">
        <f t="shared" si="58"/>
        <v>5</v>
      </c>
      <c r="N203" s="446">
        <f t="shared" si="58"/>
        <v>3.6</v>
      </c>
      <c r="O203" s="443">
        <v>0</v>
      </c>
      <c r="P203" s="174"/>
      <c r="Q203" s="388">
        <f t="shared" ref="Q203:U204" si="59">Q202</f>
        <v>0.75088954500719218</v>
      </c>
      <c r="R203" s="389">
        <f t="shared" si="59"/>
        <v>0.75088954500719218</v>
      </c>
      <c r="S203" s="389">
        <f t="shared" si="59"/>
        <v>0.75088954500719218</v>
      </c>
      <c r="T203" s="389">
        <f t="shared" si="59"/>
        <v>0.75088954500719218</v>
      </c>
      <c r="U203" s="390">
        <f t="shared" si="59"/>
        <v>0.75088954500719218</v>
      </c>
      <c r="V203" s="79">
        <v>0</v>
      </c>
      <c r="W203" s="174"/>
      <c r="X203" s="388">
        <f t="shared" ref="X203:AB204" si="60">X202</f>
        <v>1</v>
      </c>
      <c r="Y203" s="389">
        <f t="shared" si="60"/>
        <v>1</v>
      </c>
      <c r="Z203" s="389">
        <f t="shared" si="60"/>
        <v>1</v>
      </c>
      <c r="AA203" s="389">
        <f t="shared" si="60"/>
        <v>1</v>
      </c>
      <c r="AB203" s="390">
        <f t="shared" si="60"/>
        <v>1</v>
      </c>
      <c r="AC203" s="79">
        <v>0</v>
      </c>
      <c r="AD203" s="76"/>
      <c r="AE203" s="76"/>
      <c r="AF203" s="76"/>
      <c r="AG203" s="76"/>
      <c r="AH203" s="76"/>
      <c r="AI203" s="76"/>
      <c r="AJ203" s="76"/>
      <c r="AK203" s="76"/>
      <c r="AL203" s="76"/>
      <c r="AM203" s="76"/>
      <c r="AN203" s="73"/>
      <c r="AO203" s="57"/>
      <c r="AP203" s="45"/>
      <c r="AQ203" s="45"/>
      <c r="AR203" s="45"/>
      <c r="AS203" s="437"/>
      <c r="AT203" s="437"/>
      <c r="AV203" s="173">
        <v>65</v>
      </c>
      <c r="AW203" s="439">
        <f t="array" aca="1" ref="AW203" ca="1">AW217*AW230*INDEX($BA$183:$BA$190,AW$207,1)*$AV203*AW$195</f>
        <v>163.17036489429395</v>
      </c>
      <c r="AX203" s="439">
        <f t="array" aca="1" ref="AX203" ca="1">AX217*AX230*INDEX($BA$183:$BA$190,AX$207,1)*$AV203*AX$195</f>
        <v>0</v>
      </c>
      <c r="AY203" s="439">
        <f t="array" aca="1" ref="AY203" ca="1">AY217*AY230*INDEX($BA$183:$BA$190,AY$207,1)*$AV203*AY$195</f>
        <v>0</v>
      </c>
      <c r="AZ203" s="439">
        <f t="array" aca="1" ref="AZ203" ca="1">AZ217*AZ230*INDEX($BA$183:$BA$190,AZ$207,1)*$AV203*AZ$195</f>
        <v>110.33369827641867</v>
      </c>
      <c r="BA203" s="439">
        <f t="array" aca="1" ref="BA203" ca="1">BA217*BA230*INDEX($BA$183:$BA$190,BA$207,1)</f>
        <v>0</v>
      </c>
      <c r="BB203" s="439">
        <f t="array" aca="1" ref="BB203" ca="1">BB217*BB230*INDEX($BA$183:$BA$190,BB$207,1)</f>
        <v>134.06588763110798</v>
      </c>
      <c r="BC203" s="439">
        <f t="array" aca="1" ref="BC203" ca="1">BC217*BC230*INDEX($BA$183:$BA$190,BC$207,1)*$AV203*BC$195</f>
        <v>110.33369827641867</v>
      </c>
      <c r="BD203" s="439">
        <f t="array" aca="1" ref="BD203" ca="1">BD217*BD230*INDEX($BA$183:$BA$190,BD$207,1)*$AV203*BD$195</f>
        <v>27.231750000000002</v>
      </c>
    </row>
    <row r="204" spans="1:56" outlineLevel="3" x14ac:dyDescent="0.25">
      <c r="A204" s="45"/>
      <c r="B204" s="54"/>
      <c r="C204" s="87">
        <f t="shared" si="56"/>
        <v>4</v>
      </c>
      <c r="D204" s="73"/>
      <c r="E204" s="70">
        <f t="shared" si="57"/>
        <v>0</v>
      </c>
      <c r="F204" s="70">
        <f t="shared" si="57"/>
        <v>0</v>
      </c>
      <c r="G204" s="73"/>
      <c r="H204" s="76"/>
      <c r="I204" s="173">
        <f t="shared" si="58"/>
        <v>31.1</v>
      </c>
      <c r="J204" s="447">
        <f t="shared" si="58"/>
        <v>4</v>
      </c>
      <c r="K204" s="448">
        <f t="shared" si="58"/>
        <v>5</v>
      </c>
      <c r="L204" s="448">
        <f t="shared" si="58"/>
        <v>5</v>
      </c>
      <c r="M204" s="448">
        <f t="shared" si="58"/>
        <v>5</v>
      </c>
      <c r="N204" s="449">
        <f t="shared" si="58"/>
        <v>3.6</v>
      </c>
      <c r="O204" s="443">
        <v>0</v>
      </c>
      <c r="P204" s="174"/>
      <c r="Q204" s="391">
        <f t="shared" si="59"/>
        <v>0.75088954500719218</v>
      </c>
      <c r="R204" s="392">
        <f t="shared" si="59"/>
        <v>0.75088954500719218</v>
      </c>
      <c r="S204" s="392">
        <f t="shared" si="59"/>
        <v>0.75088954500719218</v>
      </c>
      <c r="T204" s="392">
        <f t="shared" si="59"/>
        <v>0.75088954500719218</v>
      </c>
      <c r="U204" s="393">
        <f t="shared" si="59"/>
        <v>0.75088954500719218</v>
      </c>
      <c r="V204" s="79">
        <v>0</v>
      </c>
      <c r="W204" s="174"/>
      <c r="X204" s="391">
        <f t="shared" si="60"/>
        <v>1</v>
      </c>
      <c r="Y204" s="392">
        <f t="shared" si="60"/>
        <v>1</v>
      </c>
      <c r="Z204" s="392">
        <f t="shared" si="60"/>
        <v>1</v>
      </c>
      <c r="AA204" s="392">
        <f t="shared" si="60"/>
        <v>1</v>
      </c>
      <c r="AB204" s="393">
        <f t="shared" si="60"/>
        <v>1</v>
      </c>
      <c r="AC204" s="79">
        <v>0</v>
      </c>
      <c r="AD204" s="76"/>
      <c r="AE204" s="76"/>
      <c r="AF204" s="76"/>
      <c r="AG204" s="76"/>
      <c r="AH204" s="76"/>
      <c r="AI204" s="76"/>
      <c r="AJ204" s="76"/>
      <c r="AK204" s="76"/>
      <c r="AL204" s="76"/>
      <c r="AM204" s="76"/>
      <c r="AN204" s="73"/>
      <c r="AO204" s="57"/>
      <c r="AP204" s="45"/>
      <c r="AQ204" s="45"/>
      <c r="AR204" s="45"/>
      <c r="AS204" s="437"/>
      <c r="AT204" s="437"/>
      <c r="AV204" s="173">
        <v>70</v>
      </c>
      <c r="AW204" s="439">
        <f t="array" aca="1" ref="AW204" ca="1">AW218*AW231*INDEX($BA$183:$BA$190,AW$207,1)*$AV204*AW$195</f>
        <v>175.72193142462427</v>
      </c>
      <c r="AX204" s="439">
        <f t="array" aca="1" ref="AX204" ca="1">AX218*AX231*INDEX($BA$183:$BA$190,AX$207,1)*$AV204*AX$195</f>
        <v>0</v>
      </c>
      <c r="AY204" s="439">
        <f t="array" aca="1" ref="AY204" ca="1">AY218*AY231*INDEX($BA$183:$BA$190,AY$207,1)*$AV204*AY$195</f>
        <v>0</v>
      </c>
      <c r="AZ204" s="439">
        <f t="array" aca="1" ref="AZ204" ca="1">AZ218*AZ231*INDEX($BA$183:$BA$190,AZ$207,1)*$AV204*AZ$195</f>
        <v>118.82090583614317</v>
      </c>
      <c r="BA204" s="439">
        <f t="array" aca="1" ref="BA204" ca="1">BA218*BA231*INDEX($BA$183:$BA$190,BA$207,1)</f>
        <v>0</v>
      </c>
      <c r="BB204" s="439">
        <f t="array" aca="1" ref="BB204" ca="1">BB218*BB231*INDEX($BA$183:$BA$190,BB$207,1)</f>
        <v>134.06588763110798</v>
      </c>
      <c r="BC204" s="439">
        <f t="array" aca="1" ref="BC204" ca="1">BC218*BC231*INDEX($BA$183:$BA$190,BC$207,1)*$AV204*BC$195</f>
        <v>118.82090583614317</v>
      </c>
      <c r="BD204" s="439">
        <f t="array" aca="1" ref="BD204" ca="1">BD218*BD231*INDEX($BA$183:$BA$190,BD$207,1)*$AV204*BD$195</f>
        <v>29.326499999999999</v>
      </c>
    </row>
    <row r="205" spans="1:56" outlineLevel="3" x14ac:dyDescent="0.25">
      <c r="A205" s="45"/>
      <c r="B205" s="54"/>
      <c r="C205" s="87">
        <f t="shared" si="56"/>
        <v>4</v>
      </c>
      <c r="D205" s="73"/>
      <c r="E205" s="70">
        <f t="shared" si="57"/>
        <v>0</v>
      </c>
      <c r="F205" s="70">
        <f t="shared" si="57"/>
        <v>0</v>
      </c>
      <c r="G205" s="73"/>
      <c r="H205" s="76"/>
      <c r="I205" s="96">
        <v>1000</v>
      </c>
      <c r="J205" s="450">
        <v>0</v>
      </c>
      <c r="K205" s="450">
        <v>0</v>
      </c>
      <c r="L205" s="450">
        <v>0</v>
      </c>
      <c r="M205" s="450">
        <v>0</v>
      </c>
      <c r="N205" s="450">
        <v>0</v>
      </c>
      <c r="O205" s="451">
        <v>0</v>
      </c>
      <c r="P205" s="76"/>
      <c r="Q205" s="384">
        <v>0</v>
      </c>
      <c r="R205" s="384">
        <v>0</v>
      </c>
      <c r="S205" s="384">
        <v>0</v>
      </c>
      <c r="T205" s="384">
        <v>0</v>
      </c>
      <c r="U205" s="384">
        <v>0</v>
      </c>
      <c r="V205" s="79">
        <v>0</v>
      </c>
      <c r="W205" s="76"/>
      <c r="X205" s="384">
        <v>0</v>
      </c>
      <c r="Y205" s="384">
        <v>0</v>
      </c>
      <c r="Z205" s="384">
        <v>0</v>
      </c>
      <c r="AA205" s="384">
        <v>0</v>
      </c>
      <c r="AB205" s="384">
        <v>0</v>
      </c>
      <c r="AC205" s="79">
        <v>0</v>
      </c>
      <c r="AD205" s="76"/>
      <c r="AE205" s="76"/>
      <c r="AF205" s="76"/>
      <c r="AG205" s="76"/>
      <c r="AH205" s="76"/>
      <c r="AI205" s="76"/>
      <c r="AJ205" s="76"/>
      <c r="AK205" s="76"/>
      <c r="AL205" s="76"/>
      <c r="AM205" s="76"/>
      <c r="AN205" s="73"/>
      <c r="AO205" s="57"/>
      <c r="AP205" s="45"/>
      <c r="AQ205" s="45"/>
      <c r="AR205" s="45"/>
      <c r="AS205" s="437"/>
      <c r="AT205" s="437"/>
    </row>
    <row r="206" spans="1:56" outlineLevel="2" x14ac:dyDescent="0.25">
      <c r="A206" s="45"/>
      <c r="B206" s="54"/>
      <c r="C206" s="87">
        <f>INT($C$167)+2</f>
        <v>3</v>
      </c>
      <c r="D206" s="73"/>
      <c r="E206" s="70">
        <v>1</v>
      </c>
      <c r="F206" s="70">
        <f>E206</f>
        <v>1</v>
      </c>
      <c r="G206" s="73"/>
      <c r="H206" s="96" t="str">
        <f>INDEX($H$183:$H$190,$E206+1,1)</f>
        <v>empty grid (1)</v>
      </c>
      <c r="I206" s="173">
        <v>10</v>
      </c>
      <c r="J206" s="440">
        <v>1</v>
      </c>
      <c r="K206" s="441">
        <v>2</v>
      </c>
      <c r="L206" s="441">
        <v>2</v>
      </c>
      <c r="M206" s="441">
        <v>2</v>
      </c>
      <c r="N206" s="442">
        <v>1</v>
      </c>
      <c r="O206" s="443">
        <v>0</v>
      </c>
      <c r="P206" s="174"/>
      <c r="Q206" s="385">
        <v>0.85133333333333328</v>
      </c>
      <c r="R206" s="386">
        <v>0.70809675221439938</v>
      </c>
      <c r="S206" s="386">
        <v>0.70809675221439938</v>
      </c>
      <c r="T206" s="386">
        <v>0.70809675221439938</v>
      </c>
      <c r="U206" s="387">
        <v>0.95133819951338194</v>
      </c>
      <c r="V206" s="175">
        <v>0</v>
      </c>
      <c r="W206" s="174"/>
      <c r="X206" s="385">
        <v>0.88462809917355367</v>
      </c>
      <c r="Y206" s="386">
        <v>1</v>
      </c>
      <c r="Z206" s="386">
        <v>1</v>
      </c>
      <c r="AA206" s="386">
        <v>1</v>
      </c>
      <c r="AB206" s="387">
        <v>0.89564738292011015</v>
      </c>
      <c r="AC206" s="175">
        <v>0</v>
      </c>
      <c r="AD206" s="76"/>
      <c r="AE206" s="76"/>
      <c r="AF206" s="76"/>
      <c r="AG206" s="76"/>
      <c r="AH206" s="76"/>
      <c r="AI206" s="76"/>
      <c r="AJ206" s="76"/>
      <c r="AK206" s="76"/>
      <c r="AL206" s="76"/>
      <c r="AM206" s="76"/>
      <c r="AN206" s="73"/>
      <c r="AO206" s="57"/>
      <c r="AP206" s="45"/>
      <c r="AQ206" s="45"/>
      <c r="AR206" s="45"/>
      <c r="AS206" s="437"/>
      <c r="AT206" s="437"/>
    </row>
    <row r="207" spans="1:56" outlineLevel="3" x14ac:dyDescent="0.25">
      <c r="A207" s="45"/>
      <c r="B207" s="54"/>
      <c r="C207" s="87">
        <f t="shared" ref="C207:C213" si="61">INT($C$167)+3</f>
        <v>4</v>
      </c>
      <c r="D207" s="73"/>
      <c r="E207" s="70"/>
      <c r="F207" s="70">
        <f t="shared" ref="F207:F213" si="62">F206</f>
        <v>1</v>
      </c>
      <c r="G207" s="73"/>
      <c r="H207" s="176" t="str">
        <f>INDEX($M$175:$M$177,INDEX(i_salep_price_type_s7,$F207+1,1)+1,1)&amp;INDEX($L$175:$L$177,INDEX(ia_s8_s7,$F207+1,1)+1,1)</f>
        <v>$/kg DW, DW - Fat score</v>
      </c>
      <c r="I207" s="173">
        <v>16.100000000000001</v>
      </c>
      <c r="J207" s="444">
        <v>3</v>
      </c>
      <c r="K207" s="445">
        <v>5.5</v>
      </c>
      <c r="L207" s="445">
        <v>5.5</v>
      </c>
      <c r="M207" s="445">
        <v>5.5</v>
      </c>
      <c r="N207" s="446">
        <v>3</v>
      </c>
      <c r="O207" s="443">
        <v>0</v>
      </c>
      <c r="P207" s="174"/>
      <c r="Q207" s="388">
        <v>0.95733333333333326</v>
      </c>
      <c r="R207" s="389">
        <v>1</v>
      </c>
      <c r="S207" s="389">
        <v>1</v>
      </c>
      <c r="T207" s="389">
        <v>1</v>
      </c>
      <c r="U207" s="390">
        <v>0.95133819951338194</v>
      </c>
      <c r="V207" s="175">
        <v>0</v>
      </c>
      <c r="W207" s="174"/>
      <c r="X207" s="388">
        <v>0.8040891961755271</v>
      </c>
      <c r="Y207" s="389">
        <v>1</v>
      </c>
      <c r="Z207" s="389">
        <v>1</v>
      </c>
      <c r="AA207" s="389">
        <v>1</v>
      </c>
      <c r="AB207" s="390">
        <v>0.76100470273132148</v>
      </c>
      <c r="AC207" s="175">
        <v>0</v>
      </c>
      <c r="AD207" s="76"/>
      <c r="AE207" s="76"/>
      <c r="AF207" s="76"/>
      <c r="AG207" s="76"/>
      <c r="AH207" s="76"/>
      <c r="AI207" s="76"/>
      <c r="AJ207" s="76"/>
      <c r="AK207" s="76"/>
      <c r="AL207" s="76"/>
      <c r="AM207" s="76"/>
      <c r="AN207" s="73"/>
      <c r="AO207" s="57"/>
      <c r="AP207" s="45"/>
      <c r="AQ207" s="45"/>
      <c r="AR207" s="45"/>
      <c r="AS207" s="437"/>
      <c r="AT207" s="437"/>
      <c r="AW207">
        <v>1</v>
      </c>
      <c r="AX207">
        <v>2</v>
      </c>
      <c r="AY207">
        <v>3</v>
      </c>
      <c r="AZ207">
        <v>4</v>
      </c>
      <c r="BA207">
        <v>5</v>
      </c>
      <c r="BB207">
        <v>6</v>
      </c>
      <c r="BC207">
        <v>7</v>
      </c>
      <c r="BD207">
        <v>8</v>
      </c>
    </row>
    <row r="208" spans="1:56" outlineLevel="3" x14ac:dyDescent="0.25">
      <c r="A208" s="45"/>
      <c r="B208" s="54"/>
      <c r="C208" s="87">
        <f t="shared" si="61"/>
        <v>4</v>
      </c>
      <c r="D208" s="73"/>
      <c r="E208" s="70"/>
      <c r="F208" s="70">
        <f t="shared" si="62"/>
        <v>1</v>
      </c>
      <c r="G208" s="73"/>
      <c r="H208" s="97" t="s">
        <v>2541</v>
      </c>
      <c r="I208" s="173">
        <v>18.100000000000001</v>
      </c>
      <c r="J208" s="444">
        <v>5</v>
      </c>
      <c r="K208" s="445">
        <v>6</v>
      </c>
      <c r="L208" s="445">
        <v>6</v>
      </c>
      <c r="M208" s="445">
        <v>6</v>
      </c>
      <c r="N208" s="446">
        <v>5</v>
      </c>
      <c r="O208" s="443">
        <v>0</v>
      </c>
      <c r="P208" s="174"/>
      <c r="Q208" s="388">
        <v>0.92261111111111116</v>
      </c>
      <c r="R208" s="389">
        <v>0.87592003768474347</v>
      </c>
      <c r="S208" s="389">
        <v>0.87592003768474347</v>
      </c>
      <c r="T208" s="389">
        <v>0.87592003768474347</v>
      </c>
      <c r="U208" s="390">
        <v>0.95133819951338194</v>
      </c>
      <c r="V208" s="175">
        <v>0</v>
      </c>
      <c r="W208" s="174"/>
      <c r="X208" s="388">
        <v>0.69242982478276593</v>
      </c>
      <c r="Y208" s="389">
        <v>1</v>
      </c>
      <c r="Z208" s="389">
        <v>1</v>
      </c>
      <c r="AA208" s="389">
        <v>1</v>
      </c>
      <c r="AB208" s="390">
        <v>0.63046029222499811</v>
      </c>
      <c r="AC208" s="175">
        <v>0</v>
      </c>
      <c r="AD208" s="76"/>
      <c r="AE208" s="76"/>
      <c r="AF208" s="76"/>
      <c r="AG208" s="76"/>
      <c r="AH208" s="76"/>
      <c r="AI208" s="76"/>
      <c r="AJ208" s="76"/>
      <c r="AK208" s="76"/>
      <c r="AL208" s="76"/>
      <c r="AM208" s="76"/>
      <c r="AN208" s="73"/>
      <c r="AO208" s="57"/>
      <c r="AP208" s="45"/>
      <c r="AQ208" s="45"/>
      <c r="AR208" s="45"/>
      <c r="AS208" s="437"/>
      <c r="AT208" s="437" t="s">
        <v>2761</v>
      </c>
      <c r="AW208" s="435" t="str">
        <f t="array" ref="AW208:BD208">TRANSPOSE(AV183:AV190)</f>
        <v>Lamb grid (0)</v>
      </c>
      <c r="AX208" s="435" t="str">
        <v>empty grid (1)</v>
      </c>
      <c r="AY208" s="435" t="str">
        <v>empty grid (2)</v>
      </c>
      <c r="AZ208" s="435" t="str">
        <v>Yearling grid (3)</v>
      </c>
      <c r="BA208" s="435" t="str">
        <v>Export wether grid (4)</v>
      </c>
      <c r="BB208" s="436" t="str">
        <v>Breeder grid (5)</v>
      </c>
      <c r="BC208" s="436" t="str">
        <v>Mutton grid (6)</v>
      </c>
      <c r="BD208" s="436" t="str">
        <v>Ram grid (7)</v>
      </c>
    </row>
    <row r="209" spans="1:56" outlineLevel="3" x14ac:dyDescent="0.25">
      <c r="A209" s="45"/>
      <c r="B209" s="54"/>
      <c r="C209" s="87">
        <f t="shared" si="61"/>
        <v>4</v>
      </c>
      <c r="D209" s="73"/>
      <c r="E209" s="70"/>
      <c r="F209" s="70">
        <f t="shared" si="62"/>
        <v>1</v>
      </c>
      <c r="G209" s="73"/>
      <c r="H209" s="76"/>
      <c r="I209" s="173">
        <v>28.1</v>
      </c>
      <c r="J209" s="444">
        <v>5.2</v>
      </c>
      <c r="K209" s="445">
        <v>6.8</v>
      </c>
      <c r="L209" s="445">
        <v>6.8</v>
      </c>
      <c r="M209" s="445">
        <v>6.8</v>
      </c>
      <c r="N209" s="446">
        <v>5.2</v>
      </c>
      <c r="O209" s="443">
        <v>0</v>
      </c>
      <c r="P209" s="174"/>
      <c r="Q209" s="388">
        <v>0.92261111111111116</v>
      </c>
      <c r="R209" s="389">
        <v>0.87592003768474347</v>
      </c>
      <c r="S209" s="389">
        <v>0.87592003768474347</v>
      </c>
      <c r="T209" s="389">
        <v>0.87592003768474347</v>
      </c>
      <c r="U209" s="390">
        <v>0.95133819951338194</v>
      </c>
      <c r="V209" s="175">
        <v>0</v>
      </c>
      <c r="W209" s="174"/>
      <c r="X209" s="388">
        <v>0.76440403426850423</v>
      </c>
      <c r="Y209" s="389">
        <v>1</v>
      </c>
      <c r="Z209" s="389">
        <v>1</v>
      </c>
      <c r="AA209" s="389">
        <v>1</v>
      </c>
      <c r="AB209" s="390">
        <v>0.71534869594928063</v>
      </c>
      <c r="AC209" s="175">
        <v>0</v>
      </c>
      <c r="AD209" s="76"/>
      <c r="AE209" s="76"/>
      <c r="AF209" s="76"/>
      <c r="AG209" s="76"/>
      <c r="AH209" s="76"/>
      <c r="AI209" s="76"/>
      <c r="AJ209" s="76"/>
      <c r="AK209" s="76"/>
      <c r="AL209" s="76"/>
      <c r="AM209" s="76"/>
      <c r="AN209" s="73"/>
      <c r="AO209" s="57"/>
      <c r="AP209" s="45"/>
      <c r="AQ209" s="45"/>
      <c r="AR209" s="45"/>
      <c r="AS209" s="437"/>
      <c r="AT209" s="437"/>
      <c r="AW209" s="433">
        <v>0.44</v>
      </c>
      <c r="AX209" s="433">
        <v>0.42</v>
      </c>
      <c r="AY209" s="433">
        <v>0.42</v>
      </c>
      <c r="AZ209" s="433">
        <v>0.42</v>
      </c>
      <c r="BA209" s="433">
        <v>1</v>
      </c>
      <c r="BB209" s="433">
        <v>1</v>
      </c>
      <c r="BC209" s="433">
        <v>0.42</v>
      </c>
      <c r="BD209" s="433">
        <v>0.42</v>
      </c>
    </row>
    <row r="210" spans="1:56" outlineLevel="3" x14ac:dyDescent="0.25">
      <c r="A210" s="45"/>
      <c r="B210" s="54"/>
      <c r="C210" s="87">
        <f t="shared" si="61"/>
        <v>4</v>
      </c>
      <c r="D210" s="73"/>
      <c r="E210" s="70"/>
      <c r="F210" s="70">
        <f t="shared" si="62"/>
        <v>1</v>
      </c>
      <c r="G210" s="73"/>
      <c r="H210" s="76"/>
      <c r="I210" s="173">
        <v>31.1</v>
      </c>
      <c r="J210" s="444">
        <v>5</v>
      </c>
      <c r="K210" s="445">
        <v>6.6</v>
      </c>
      <c r="L210" s="445">
        <v>6.6</v>
      </c>
      <c r="M210" s="445">
        <v>6.6</v>
      </c>
      <c r="N210" s="446">
        <v>5</v>
      </c>
      <c r="O210" s="443">
        <v>0</v>
      </c>
      <c r="P210" s="174"/>
      <c r="Q210" s="388">
        <v>0.87644444444444447</v>
      </c>
      <c r="R210" s="389">
        <v>0.75088954500719218</v>
      </c>
      <c r="S210" s="389">
        <v>0.75088954500719218</v>
      </c>
      <c r="T210" s="389">
        <v>0.75088954500719218</v>
      </c>
      <c r="U210" s="390">
        <v>0.94890510948905105</v>
      </c>
      <c r="V210" s="175">
        <v>0</v>
      </c>
      <c r="W210" s="174"/>
      <c r="X210" s="388">
        <v>0.8666666666666667</v>
      </c>
      <c r="Y210" s="389">
        <v>1</v>
      </c>
      <c r="Z210" s="389">
        <v>1</v>
      </c>
      <c r="AA210" s="389">
        <v>1</v>
      </c>
      <c r="AB210" s="390">
        <v>0.84952380952380946</v>
      </c>
      <c r="AC210" s="175">
        <v>0</v>
      </c>
      <c r="AD210" s="76"/>
      <c r="AE210" s="76"/>
      <c r="AF210" s="76"/>
      <c r="AG210" s="76"/>
      <c r="AH210" s="76"/>
      <c r="AI210" s="76"/>
      <c r="AJ210" s="76"/>
      <c r="AK210" s="76"/>
      <c r="AL210" s="76"/>
      <c r="AM210" s="76"/>
      <c r="AN210" s="73"/>
      <c r="AO210" s="57"/>
      <c r="AP210" s="45"/>
      <c r="AQ210" s="45"/>
      <c r="AR210" s="45"/>
      <c r="AS210" s="437"/>
      <c r="AT210" s="437"/>
      <c r="AV210" s="173">
        <v>25</v>
      </c>
      <c r="AW210">
        <f t="array" aca="1" ref="AW210" ca="1">INDEX(OFFSET($Q$198:$U$204,i_s7_len*(AW$207-1),0),MATCH($AV210*AW$209,OFFSET($I$198:$I$204,i_s7_len*(AW$207-1),0)),MATCH($AX$192,INDEX($J$194:$N$195,1+INDEX(ia_s8_s7,AW$207,1),0)))</f>
        <v>1</v>
      </c>
      <c r="AX210">
        <f t="array" aca="1" ref="AX210" ca="1">INDEX(OFFSET($Q$198:$U$204,i_s7_len*(AX$207-1),0),MATCH($AV210*AX$209,OFFSET($I$198:$I$204,i_s7_len*(AX$207-1),0)),MATCH($AX$192,INDEX($J$194:$N$195,1+INDEX(ia_s8_s7,AX$207,1),0)))</f>
        <v>0.70809675221439938</v>
      </c>
      <c r="AY210">
        <f t="array" aca="1" ref="AY210" ca="1">INDEX(OFFSET($Q$198:$U$204,i_s7_len*(AY$207-1),0),MATCH($AV210*AY$209,OFFSET($I$198:$I$204,i_s7_len*(AY$207-1),0)),MATCH($AX$192,INDEX($J$194:$N$195,1+INDEX(ia_s8_s7,AY$207,1),0)))</f>
        <v>1</v>
      </c>
      <c r="AZ210">
        <f t="array" aca="1" ref="AZ210" ca="1">INDEX(OFFSET($Q$198:$U$204,i_s7_len*(AZ$207-1),0),MATCH($AV210*AZ$209,OFFSET($I$198:$I$204,i_s7_len*(AZ$207-1),0)),MATCH($AX$192,INDEX($J$194:$N$195,1+INDEX(ia_s8_s7,AZ$207,1),0)))</f>
        <v>0.57692307692307687</v>
      </c>
      <c r="BA210">
        <f t="array" aca="1" ref="BA210" ca="1">INDEX(OFFSET($Q$198:$U$204,i_s7_len*(BA$207-1),0),MATCH($AV210*BA$209,OFFSET($I$198:$I$204,i_s7_len*(BA$207-1),0)),MATCH($AX$192,INDEX($J$194:$N$195,1+INDEX(ia_s8_s7,BA$207,1),0)))</f>
        <v>0.21828806594996897</v>
      </c>
      <c r="BB210">
        <f t="array" aca="1" ref="BB210" ca="1">INDEX(OFFSET($Q$198:$U$204,i_s7_len*(BB$207-1),0),MATCH($AV210*BB$209,OFFSET($I$198:$I$204,i_s7_len*(BB$207-1),0)),MATCH($AX$192,INDEX($J$194:$N$195,1+INDEX(ia_s8_s7,BB$207,1),0)))</f>
        <v>1</v>
      </c>
      <c r="BC210">
        <f t="array" aca="1" ref="BC210" ca="1">INDEX(OFFSET($Q$198:$U$204,i_s7_len*(BC$207-1),0),MATCH($AV210*BC$209,OFFSET($I$198:$I$204,i_s7_len*(BC$207-1),0)),MATCH($AX$192,INDEX($J$194:$N$195,1+INDEX(ia_s8_s7,BC$207,1),0)))</f>
        <v>0.57692307692307687</v>
      </c>
      <c r="BD210">
        <f t="array" aca="1" ref="BD210" ca="1">INDEX(OFFSET($Q$198:$U$204,i_s7_len*(BD$207-1),0),MATCH($AV210*BD$209,OFFSET($I$198:$I$204,i_s7_len*(BD$207-1),0)),MATCH($AX$192,INDEX($J$194:$N$195,1+INDEX(ia_s8_s7,BD$207,1),0)))</f>
        <v>0.70710678118654757</v>
      </c>
    </row>
    <row r="211" spans="1:56" outlineLevel="3" x14ac:dyDescent="0.25">
      <c r="A211" s="45"/>
      <c r="B211" s="54"/>
      <c r="C211" s="87">
        <f t="shared" si="61"/>
        <v>4</v>
      </c>
      <c r="D211" s="73"/>
      <c r="E211" s="70"/>
      <c r="F211" s="70">
        <f t="shared" si="62"/>
        <v>1</v>
      </c>
      <c r="G211" s="73"/>
      <c r="H211" s="76"/>
      <c r="I211" s="173">
        <f>I210</f>
        <v>31.1</v>
      </c>
      <c r="J211" s="444">
        <v>5</v>
      </c>
      <c r="K211" s="445">
        <v>6</v>
      </c>
      <c r="L211" s="445">
        <v>6</v>
      </c>
      <c r="M211" s="445">
        <v>6</v>
      </c>
      <c r="N211" s="446">
        <v>5</v>
      </c>
      <c r="O211" s="443">
        <v>0</v>
      </c>
      <c r="P211" s="174"/>
      <c r="Q211" s="388">
        <v>0.87644444444444447</v>
      </c>
      <c r="R211" s="389">
        <v>0.75088954500719218</v>
      </c>
      <c r="S211" s="389">
        <v>0.75088954500719218</v>
      </c>
      <c r="T211" s="389">
        <v>0.75088954500719218</v>
      </c>
      <c r="U211" s="390">
        <v>0.94890510948905105</v>
      </c>
      <c r="V211" s="175">
        <v>0</v>
      </c>
      <c r="W211" s="174"/>
      <c r="X211" s="388">
        <v>0.8666666666666667</v>
      </c>
      <c r="Y211" s="389">
        <v>1</v>
      </c>
      <c r="Z211" s="389">
        <v>1</v>
      </c>
      <c r="AA211" s="389">
        <v>1</v>
      </c>
      <c r="AB211" s="390">
        <v>0.84952380952380946</v>
      </c>
      <c r="AC211" s="175">
        <v>0</v>
      </c>
      <c r="AD211" s="76"/>
      <c r="AE211" s="76"/>
      <c r="AF211" s="76"/>
      <c r="AG211" s="76"/>
      <c r="AH211" s="76"/>
      <c r="AI211" s="76"/>
      <c r="AJ211" s="76"/>
      <c r="AK211" s="76"/>
      <c r="AL211" s="76"/>
      <c r="AM211" s="76"/>
      <c r="AN211" s="73"/>
      <c r="AO211" s="57"/>
      <c r="AP211" s="45"/>
      <c r="AQ211" s="45"/>
      <c r="AR211" s="45"/>
      <c r="AS211" s="437"/>
      <c r="AT211" s="437"/>
      <c r="AV211" s="173">
        <v>35</v>
      </c>
      <c r="AW211">
        <f t="array" aca="1" ref="AW211" ca="1">INDEX(OFFSET($Q$198:$U$204,i_s7_len*(AW$207-1),0),MATCH($AV211*AW$209,OFFSET($I$198:$I$204,i_s7_len*(AW$207-1),0)),MATCH($AX$192,INDEX($J$194:$N$195,1+INDEX(ia_s8_s7,AW$207,1),0)))</f>
        <v>1</v>
      </c>
      <c r="AX211">
        <f t="array" aca="1" ref="AX211" ca="1">INDEX(OFFSET($Q$198:$U$204,i_s7_len*(AX$207-1),0),MATCH($AV211*AX$209,OFFSET($I$198:$I$204,i_s7_len*(AX$207-1),0)),MATCH($AX$192,INDEX($J$194:$N$195,1+INDEX(ia_s8_s7,AX$207,1),0)))</f>
        <v>0.70809675221439938</v>
      </c>
      <c r="AY211">
        <f t="array" aca="1" ref="AY211" ca="1">INDEX(OFFSET($Q$198:$U$204,i_s7_len*(AY$207-1),0),MATCH($AV211*AY$209,OFFSET($I$198:$I$204,i_s7_len*(AY$207-1),0)),MATCH($AX$192,INDEX($J$194:$N$195,1+INDEX(ia_s8_s7,AY$207,1),0)))</f>
        <v>1</v>
      </c>
      <c r="AZ211">
        <f t="array" aca="1" ref="AZ211" ca="1">INDEX(OFFSET($Q$198:$U$204,i_s7_len*(AZ$207-1),0),MATCH($AV211*AZ$209,OFFSET($I$198:$I$204,i_s7_len*(AZ$207-1),0)),MATCH($AX$192,INDEX($J$194:$N$195,1+INDEX(ia_s8_s7,AZ$207,1),0)))</f>
        <v>0.84615384615384615</v>
      </c>
      <c r="BA211">
        <f t="array" aca="1" ref="BA211" ca="1">INDEX(OFFSET($Q$198:$U$204,i_s7_len*(BA$207-1),0),MATCH($AV211*BA$209,OFFSET($I$198:$I$204,i_s7_len*(BA$207-1),0)),MATCH($AX$192,INDEX($J$194:$N$195,1+INDEX(ia_s8_s7,BA$207,1),0)))</f>
        <v>0.7</v>
      </c>
      <c r="BB211">
        <f t="array" aca="1" ref="BB211" ca="1">INDEX(OFFSET($Q$198:$U$204,i_s7_len*(BB$207-1),0),MATCH($AV211*BB$209,OFFSET($I$198:$I$204,i_s7_len*(BB$207-1),0)),MATCH($AX$192,INDEX($J$194:$N$195,1+INDEX(ia_s8_s7,BB$207,1),0)))</f>
        <v>1</v>
      </c>
      <c r="BC211">
        <f t="array" aca="1" ref="BC211" ca="1">INDEX(OFFSET($Q$198:$U$204,i_s7_len*(BC$207-1),0),MATCH($AV211*BC$209,OFFSET($I$198:$I$204,i_s7_len*(BC$207-1),0)),MATCH($AX$192,INDEX($J$194:$N$195,1+INDEX(ia_s8_s7,BC$207,1),0)))</f>
        <v>0.84615384615384615</v>
      </c>
      <c r="BD211">
        <f t="array" aca="1" ref="BD211" ca="1">INDEX(OFFSET($Q$198:$U$204,i_s7_len*(BD$207-1),0),MATCH($AV211*BD$209,OFFSET($I$198:$I$204,i_s7_len*(BD$207-1),0)),MATCH($AX$192,INDEX($J$194:$N$195,1+INDEX(ia_s8_s7,BD$207,1),0)))</f>
        <v>0.70710678118654757</v>
      </c>
    </row>
    <row r="212" spans="1:56" outlineLevel="3" x14ac:dyDescent="0.25">
      <c r="A212" s="45"/>
      <c r="B212" s="54"/>
      <c r="C212" s="87">
        <f t="shared" si="61"/>
        <v>4</v>
      </c>
      <c r="D212" s="73"/>
      <c r="E212" s="70"/>
      <c r="F212" s="70">
        <f t="shared" si="62"/>
        <v>1</v>
      </c>
      <c r="G212" s="73"/>
      <c r="H212" s="76"/>
      <c r="I212" s="173">
        <f>I211</f>
        <v>31.1</v>
      </c>
      <c r="J212" s="447">
        <v>4.8</v>
      </c>
      <c r="K212" s="448">
        <v>5.8</v>
      </c>
      <c r="L212" s="448">
        <v>5.8</v>
      </c>
      <c r="M212" s="448">
        <v>5.8</v>
      </c>
      <c r="N212" s="449">
        <v>4.8</v>
      </c>
      <c r="O212" s="443">
        <v>0</v>
      </c>
      <c r="P212" s="174"/>
      <c r="Q212" s="391">
        <v>0.87644444444444447</v>
      </c>
      <c r="R212" s="392">
        <v>0.75088954500719218</v>
      </c>
      <c r="S212" s="392">
        <v>0.75088954500719218</v>
      </c>
      <c r="T212" s="392">
        <v>0.75088954500719218</v>
      </c>
      <c r="U212" s="393">
        <v>0.94890510948905105</v>
      </c>
      <c r="V212" s="175">
        <v>0</v>
      </c>
      <c r="W212" s="174"/>
      <c r="X212" s="391">
        <v>0.8666666666666667</v>
      </c>
      <c r="Y212" s="392">
        <v>1</v>
      </c>
      <c r="Z212" s="392">
        <v>1</v>
      </c>
      <c r="AA212" s="392">
        <v>1</v>
      </c>
      <c r="AB212" s="393">
        <v>0.84952380952380946</v>
      </c>
      <c r="AC212" s="175">
        <v>0</v>
      </c>
      <c r="AD212" s="76"/>
      <c r="AE212" s="76"/>
      <c r="AF212" s="76"/>
      <c r="AG212" s="76"/>
      <c r="AH212" s="76"/>
      <c r="AI212" s="76"/>
      <c r="AJ212" s="76"/>
      <c r="AK212" s="76"/>
      <c r="AL212" s="76"/>
      <c r="AM212" s="76"/>
      <c r="AN212" s="73"/>
      <c r="AO212" s="57"/>
      <c r="AP212" s="45"/>
      <c r="AQ212" s="45"/>
      <c r="AR212" s="45"/>
      <c r="AS212" s="437"/>
      <c r="AT212" s="437"/>
      <c r="AV212" s="173">
        <v>40</v>
      </c>
      <c r="AW212">
        <f t="array" aca="1" ref="AW212" ca="1">INDEX(OFFSET($Q$198:$U$204,i_s7_len*(AW$207-1),0),MATCH($AV212*AW$209,OFFSET($I$198:$I$204,i_s7_len*(AW$207-1),0)),MATCH($AX$192,INDEX($J$194:$N$195,1+INDEX(ia_s8_s7,AW$207,1),0)))</f>
        <v>1</v>
      </c>
      <c r="AX212">
        <f t="array" aca="1" ref="AX212" ca="1">INDEX(OFFSET($Q$198:$U$204,i_s7_len*(AX$207-1),0),MATCH($AV212*AX$209,OFFSET($I$198:$I$204,i_s7_len*(AX$207-1),0)),MATCH($AX$192,INDEX($J$194:$N$195,1+INDEX(ia_s8_s7,AX$207,1),0)))</f>
        <v>1</v>
      </c>
      <c r="AY212">
        <f t="array" aca="1" ref="AY212" ca="1">INDEX(OFFSET($Q$198:$U$204,i_s7_len*(AY$207-1),0),MATCH($AV212*AY$209,OFFSET($I$198:$I$204,i_s7_len*(AY$207-1),0)),MATCH($AX$192,INDEX($J$194:$N$195,1+INDEX(ia_s8_s7,AY$207,1),0)))</f>
        <v>1</v>
      </c>
      <c r="AZ212">
        <f t="array" aca="1" ref="AZ212" ca="1">INDEX(OFFSET($Q$198:$U$204,i_s7_len*(AZ$207-1),0),MATCH($AV212*AZ$209,OFFSET($I$198:$I$204,i_s7_len*(AZ$207-1),0)),MATCH($AX$192,INDEX($J$194:$N$195,1+INDEX(ia_s8_s7,AZ$207,1),0)))</f>
        <v>0.84615384615384615</v>
      </c>
      <c r="BA212">
        <f t="array" aca="1" ref="BA212" ca="1">INDEX(OFFSET($Q$198:$U$204,i_s7_len*(BA$207-1),0),MATCH($AV212*BA$209,OFFSET($I$198:$I$204,i_s7_len*(BA$207-1),0)),MATCH($AX$192,INDEX($J$194:$N$195,1+INDEX(ia_s8_s7,BA$207,1),0)))</f>
        <v>0.76666666666666661</v>
      </c>
      <c r="BB212">
        <f t="array" aca="1" ref="BB212" ca="1">INDEX(OFFSET($Q$198:$U$204,i_s7_len*(BB$207-1),0),MATCH($AV212*BB$209,OFFSET($I$198:$I$204,i_s7_len*(BB$207-1),0)),MATCH($AX$192,INDEX($J$194:$N$195,1+INDEX(ia_s8_s7,BB$207,1),0)))</f>
        <v>1</v>
      </c>
      <c r="BC212">
        <f t="array" aca="1" ref="BC212" ca="1">INDEX(OFFSET($Q$198:$U$204,i_s7_len*(BC$207-1),0),MATCH($AV212*BC$209,OFFSET($I$198:$I$204,i_s7_len*(BC$207-1),0)),MATCH($AX$192,INDEX($J$194:$N$195,1+INDEX(ia_s8_s7,BC$207,1),0)))</f>
        <v>0.84615384615384615</v>
      </c>
      <c r="BD212">
        <f t="array" aca="1" ref="BD212" ca="1">INDEX(OFFSET($Q$198:$U$204,i_s7_len*(BD$207-1),0),MATCH($AV212*BD$209,OFFSET($I$198:$I$204,i_s7_len*(BD$207-1),0)),MATCH($AX$192,INDEX($J$194:$N$195,1+INDEX(ia_s8_s7,BD$207,1),0)))</f>
        <v>1</v>
      </c>
    </row>
    <row r="213" spans="1:56" outlineLevel="3" x14ac:dyDescent="0.25">
      <c r="A213" s="45"/>
      <c r="B213" s="54"/>
      <c r="C213" s="87">
        <f t="shared" si="61"/>
        <v>4</v>
      </c>
      <c r="D213" s="73"/>
      <c r="E213" s="70"/>
      <c r="F213" s="70">
        <f t="shared" si="62"/>
        <v>1</v>
      </c>
      <c r="G213" s="73"/>
      <c r="H213" s="76"/>
      <c r="I213" s="96">
        <v>1000</v>
      </c>
      <c r="J213" s="450">
        <v>0</v>
      </c>
      <c r="K213" s="450">
        <v>0</v>
      </c>
      <c r="L213" s="450">
        <v>0</v>
      </c>
      <c r="M213" s="450">
        <v>0</v>
      </c>
      <c r="N213" s="450">
        <v>0</v>
      </c>
      <c r="O213" s="451">
        <v>0</v>
      </c>
      <c r="P213" s="76"/>
      <c r="Q213" s="384">
        <v>0</v>
      </c>
      <c r="R213" s="384">
        <v>0</v>
      </c>
      <c r="S213" s="384">
        <v>0</v>
      </c>
      <c r="T213" s="384">
        <v>0</v>
      </c>
      <c r="U213" s="384">
        <v>0</v>
      </c>
      <c r="V213" s="79">
        <v>0</v>
      </c>
      <c r="W213" s="76"/>
      <c r="X213" s="384">
        <v>0</v>
      </c>
      <c r="Y213" s="384">
        <v>0</v>
      </c>
      <c r="Z213" s="384">
        <v>0</v>
      </c>
      <c r="AA213" s="384">
        <v>0</v>
      </c>
      <c r="AB213" s="384">
        <v>0</v>
      </c>
      <c r="AC213" s="79">
        <v>0</v>
      </c>
      <c r="AD213" s="76"/>
      <c r="AE213" s="76"/>
      <c r="AF213" s="76"/>
      <c r="AG213" s="76"/>
      <c r="AH213" s="76"/>
      <c r="AI213" s="76"/>
      <c r="AJ213" s="76"/>
      <c r="AK213" s="76"/>
      <c r="AL213" s="76"/>
      <c r="AM213" s="76"/>
      <c r="AN213" s="73"/>
      <c r="AO213" s="57"/>
      <c r="AP213" s="45"/>
      <c r="AQ213" s="45"/>
      <c r="AR213" s="45"/>
      <c r="AS213" s="437"/>
      <c r="AT213" s="437"/>
      <c r="AV213" s="173">
        <v>45</v>
      </c>
      <c r="AW213">
        <f t="array" aca="1" ref="AW213" ca="1">INDEX(OFFSET($Q$198:$U$204,i_s7_len*(AW$207-1),0),MATCH($AV213*AW$209,OFFSET($I$198:$I$204,i_s7_len*(AW$207-1),0)),MATCH($AX$192,INDEX($J$194:$N$195,1+INDEX(ia_s8_s7,AW$207,1),0)))</f>
        <v>1</v>
      </c>
      <c r="AX213">
        <f t="array" aca="1" ref="AX213" ca="1">INDEX(OFFSET($Q$198:$U$204,i_s7_len*(AX$207-1),0),MATCH($AV213*AX$209,OFFSET($I$198:$I$204,i_s7_len*(AX$207-1),0)),MATCH($AX$192,INDEX($J$194:$N$195,1+INDEX(ia_s8_s7,AX$207,1),0)))</f>
        <v>0.87592003768474347</v>
      </c>
      <c r="AY213">
        <f t="array" aca="1" ref="AY213" ca="1">INDEX(OFFSET($Q$198:$U$204,i_s7_len*(AY$207-1),0),MATCH($AV213*AY$209,OFFSET($I$198:$I$204,i_s7_len*(AY$207-1),0)),MATCH($AX$192,INDEX($J$194:$N$195,1+INDEX(ia_s8_s7,AY$207,1),0)))</f>
        <v>1</v>
      </c>
      <c r="AZ213">
        <f t="array" aca="1" ref="AZ213" ca="1">INDEX(OFFSET($Q$198:$U$204,i_s7_len*(AZ$207-1),0),MATCH($AV213*AZ$209,OFFSET($I$198:$I$204,i_s7_len*(AZ$207-1),0)),MATCH($AX$192,INDEX($J$194:$N$195,1+INDEX(ia_s8_s7,AZ$207,1),0)))</f>
        <v>1</v>
      </c>
      <c r="BA213">
        <f t="array" aca="1" ref="BA213" ca="1">INDEX(OFFSET($Q$198:$U$204,i_s7_len*(BA$207-1),0),MATCH($AV213*BA$209,OFFSET($I$198:$I$204,i_s7_len*(BA$207-1),0)),MATCH($AX$192,INDEX($J$194:$N$195,1+INDEX(ia_s8_s7,BA$207,1),0)))</f>
        <v>0.82500000000000018</v>
      </c>
      <c r="BB213">
        <f t="array" aca="1" ref="BB213" ca="1">INDEX(OFFSET($Q$198:$U$204,i_s7_len*(BB$207-1),0),MATCH($AV213*BB$209,OFFSET($I$198:$I$204,i_s7_len*(BB$207-1),0)),MATCH($AX$192,INDEX($J$194:$N$195,1+INDEX(ia_s8_s7,BB$207,1),0)))</f>
        <v>1</v>
      </c>
      <c r="BC213">
        <f t="array" aca="1" ref="BC213" ca="1">INDEX(OFFSET($Q$198:$U$204,i_s7_len*(BC$207-1),0),MATCH($AV213*BC$209,OFFSET($I$198:$I$204,i_s7_len*(BC$207-1),0)),MATCH($AX$192,INDEX($J$194:$N$195,1+INDEX(ia_s8_s7,BC$207,1),0)))</f>
        <v>1</v>
      </c>
      <c r="BD213">
        <f t="array" aca="1" ref="BD213" ca="1">INDEX(OFFSET($Q$198:$U$204,i_s7_len*(BD$207-1),0),MATCH($AV213*BD$209,OFFSET($I$198:$I$204,i_s7_len*(BD$207-1),0)),MATCH($AX$192,INDEX($J$194:$N$195,1+INDEX(ia_s8_s7,BD$207,1),0)))</f>
        <v>1</v>
      </c>
    </row>
    <row r="214" spans="1:56" outlineLevel="2" x14ac:dyDescent="0.25">
      <c r="A214" s="45"/>
      <c r="B214" s="54"/>
      <c r="C214" s="87">
        <f>INT($C$167)+2</f>
        <v>3</v>
      </c>
      <c r="D214" s="73"/>
      <c r="E214" s="70">
        <v>2</v>
      </c>
      <c r="F214" s="70">
        <f>E214</f>
        <v>2</v>
      </c>
      <c r="G214" s="73"/>
      <c r="H214" s="96" t="str">
        <f>INDEX($H$183:$H$190,$E214+1,1)</f>
        <v>empty grid (2)</v>
      </c>
      <c r="I214" s="173">
        <v>10</v>
      </c>
      <c r="J214" s="440">
        <v>1</v>
      </c>
      <c r="K214" s="441">
        <v>2</v>
      </c>
      <c r="L214" s="441">
        <v>2</v>
      </c>
      <c r="M214" s="441">
        <v>2</v>
      </c>
      <c r="N214" s="442">
        <v>1</v>
      </c>
      <c r="O214" s="443">
        <v>0</v>
      </c>
      <c r="P214" s="174"/>
      <c r="Q214" s="385">
        <v>0.95733333333333326</v>
      </c>
      <c r="R214" s="386">
        <v>1</v>
      </c>
      <c r="S214" s="386">
        <v>1</v>
      </c>
      <c r="T214" s="386">
        <v>1</v>
      </c>
      <c r="U214" s="387">
        <v>0.95133819951338194</v>
      </c>
      <c r="V214" s="175">
        <v>0</v>
      </c>
      <c r="W214" s="174"/>
      <c r="X214" s="385">
        <v>0.88462809917355367</v>
      </c>
      <c r="Y214" s="386">
        <v>1</v>
      </c>
      <c r="Z214" s="386">
        <v>1</v>
      </c>
      <c r="AA214" s="386">
        <v>1</v>
      </c>
      <c r="AB214" s="387">
        <v>0.89564738292011015</v>
      </c>
      <c r="AC214" s="175">
        <v>0</v>
      </c>
      <c r="AD214" s="76"/>
      <c r="AE214" s="76"/>
      <c r="AF214" s="76"/>
      <c r="AG214" s="76"/>
      <c r="AH214" s="76"/>
      <c r="AI214" s="76"/>
      <c r="AJ214" s="76"/>
      <c r="AK214" s="76"/>
      <c r="AL214" s="76"/>
      <c r="AM214" s="76"/>
      <c r="AN214" s="73"/>
      <c r="AO214" s="57"/>
      <c r="AP214" s="45"/>
      <c r="AQ214" s="45"/>
      <c r="AR214" s="45"/>
      <c r="AS214" s="437"/>
      <c r="AT214" s="437"/>
      <c r="AV214" s="173">
        <v>50</v>
      </c>
      <c r="AW214">
        <f t="array" aca="1" ref="AW214" ca="1">INDEX(OFFSET($Q$198:$U$204,i_s7_len*(AW$207-1),0),MATCH($AV214*AW$209,OFFSET($I$198:$I$204,i_s7_len*(AW$207-1),0)),MATCH($AX$192,INDEX($J$194:$N$195,1+INDEX(ia_s8_s7,AW$207,1),0)))</f>
        <v>1</v>
      </c>
      <c r="AX214">
        <f t="array" aca="1" ref="AX214" ca="1">INDEX(OFFSET($Q$198:$U$204,i_s7_len*(AX$207-1),0),MATCH($AV214*AX$209,OFFSET($I$198:$I$204,i_s7_len*(AX$207-1),0)),MATCH($AX$192,INDEX($J$194:$N$195,1+INDEX(ia_s8_s7,AX$207,1),0)))</f>
        <v>0.87592003768474347</v>
      </c>
      <c r="AY214">
        <f t="array" aca="1" ref="AY214" ca="1">INDEX(OFFSET($Q$198:$U$204,i_s7_len*(AY$207-1),0),MATCH($AV214*AY$209,OFFSET($I$198:$I$204,i_s7_len*(AY$207-1),0)),MATCH($AX$192,INDEX($J$194:$N$195,1+INDEX(ia_s8_s7,AY$207,1),0)))</f>
        <v>1</v>
      </c>
      <c r="AZ214">
        <f t="array" aca="1" ref="AZ214" ca="1">INDEX(OFFSET($Q$198:$U$204,i_s7_len*(AZ$207-1),0),MATCH($AV214*AZ$209,OFFSET($I$198:$I$204,i_s7_len*(AZ$207-1),0)),MATCH($AX$192,INDEX($J$194:$N$195,1+INDEX(ia_s8_s7,AZ$207,1),0)))</f>
        <v>1</v>
      </c>
      <c r="BA214">
        <f t="array" aca="1" ref="BA214" ca="1">INDEX(OFFSET($Q$198:$U$204,i_s7_len*(BA$207-1),0),MATCH($AV214*BA$209,OFFSET($I$198:$I$204,i_s7_len*(BA$207-1),0)),MATCH($AX$192,INDEX($J$194:$N$195,1+INDEX(ia_s8_s7,BA$207,1),0)))</f>
        <v>0.875</v>
      </c>
      <c r="BB214">
        <f t="array" aca="1" ref="BB214" ca="1">INDEX(OFFSET($Q$198:$U$204,i_s7_len*(BB$207-1),0),MATCH($AV214*BB$209,OFFSET($I$198:$I$204,i_s7_len*(BB$207-1),0)),MATCH($AX$192,INDEX($J$194:$N$195,1+INDEX(ia_s8_s7,BB$207,1),0)))</f>
        <v>1</v>
      </c>
      <c r="BC214">
        <f t="array" aca="1" ref="BC214" ca="1">INDEX(OFFSET($Q$198:$U$204,i_s7_len*(BC$207-1),0),MATCH($AV214*BC$209,OFFSET($I$198:$I$204,i_s7_len*(BC$207-1),0)),MATCH($AX$192,INDEX($J$194:$N$195,1+INDEX(ia_s8_s7,BC$207,1),0)))</f>
        <v>1</v>
      </c>
      <c r="BD214">
        <f t="array" aca="1" ref="BD214" ca="1">INDEX(OFFSET($Q$198:$U$204,i_s7_len*(BD$207-1),0),MATCH($AV214*BD$209,OFFSET($I$198:$I$204,i_s7_len*(BD$207-1),0)),MATCH($AX$192,INDEX($J$194:$N$195,1+INDEX(ia_s8_s7,BD$207,1),0)))</f>
        <v>1</v>
      </c>
    </row>
    <row r="215" spans="1:56" outlineLevel="3" x14ac:dyDescent="0.25">
      <c r="A215" s="45"/>
      <c r="B215" s="54"/>
      <c r="C215" s="87">
        <f t="shared" ref="C215:C221" si="63">INT($C$167)+3</f>
        <v>4</v>
      </c>
      <c r="D215" s="73"/>
      <c r="E215" s="70"/>
      <c r="F215" s="70">
        <f t="shared" ref="F215:F221" si="64">F214</f>
        <v>2</v>
      </c>
      <c r="G215" s="73"/>
      <c r="H215" s="176" t="str">
        <f>INDEX($M$175:$M$177,INDEX(i_salep_price_type_s7,$F215+1,1)+1,1)&amp;INDEX($L$175:$L$177,INDEX(ia_s8_s7,$F215+1,1)+1,1)</f>
        <v>$/kg DW, DW - Fat score</v>
      </c>
      <c r="I215" s="173">
        <v>16.100000000000001</v>
      </c>
      <c r="J215" s="444">
        <v>3</v>
      </c>
      <c r="K215" s="445">
        <v>5</v>
      </c>
      <c r="L215" s="445">
        <v>5</v>
      </c>
      <c r="M215" s="445">
        <v>5</v>
      </c>
      <c r="N215" s="446">
        <v>3</v>
      </c>
      <c r="O215" s="443">
        <v>0</v>
      </c>
      <c r="P215" s="174"/>
      <c r="Q215" s="388">
        <v>0.95733333333333326</v>
      </c>
      <c r="R215" s="389">
        <v>1</v>
      </c>
      <c r="S215" s="389">
        <v>1</v>
      </c>
      <c r="T215" s="389">
        <v>1</v>
      </c>
      <c r="U215" s="390">
        <v>0.95133819951338194</v>
      </c>
      <c r="V215" s="175">
        <v>0</v>
      </c>
      <c r="W215" s="174"/>
      <c r="X215" s="388">
        <v>0.8040891961755271</v>
      </c>
      <c r="Y215" s="389">
        <v>1</v>
      </c>
      <c r="Z215" s="389">
        <v>1</v>
      </c>
      <c r="AA215" s="389">
        <v>1</v>
      </c>
      <c r="AB215" s="390">
        <v>0.76100470273132148</v>
      </c>
      <c r="AC215" s="175">
        <v>0</v>
      </c>
      <c r="AD215" s="76"/>
      <c r="AE215" s="76"/>
      <c r="AF215" s="76"/>
      <c r="AG215" s="76"/>
      <c r="AH215" s="76"/>
      <c r="AI215" s="76"/>
      <c r="AJ215" s="76"/>
      <c r="AK215" s="76"/>
      <c r="AL215" s="76"/>
      <c r="AM215" s="76"/>
      <c r="AN215" s="73"/>
      <c r="AO215" s="57"/>
      <c r="AP215" s="45"/>
      <c r="AQ215" s="45"/>
      <c r="AR215" s="45"/>
      <c r="AS215" s="437"/>
      <c r="AT215" s="437"/>
      <c r="AV215" s="173">
        <v>55</v>
      </c>
      <c r="AW215">
        <f t="array" aca="1" ref="AW215" ca="1">INDEX(OFFSET($Q$198:$U$204,i_s7_len*(AW$207-1),0),MATCH($AV215*AW$209,OFFSET($I$198:$I$204,i_s7_len*(AW$207-1),0)),MATCH($AX$192,INDEX($J$194:$N$195,1+INDEX(ia_s8_s7,AW$207,1),0)))</f>
        <v>1</v>
      </c>
      <c r="AX215">
        <f t="array" aca="1" ref="AX215" ca="1">INDEX(OFFSET($Q$198:$U$204,i_s7_len*(AX$207-1),0),MATCH($AV215*AX$209,OFFSET($I$198:$I$204,i_s7_len*(AX$207-1),0)),MATCH($AX$192,INDEX($J$194:$N$195,1+INDEX(ia_s8_s7,AX$207,1),0)))</f>
        <v>0.87592003768474347</v>
      </c>
      <c r="AY215">
        <f t="array" aca="1" ref="AY215" ca="1">INDEX(OFFSET($Q$198:$U$204,i_s7_len*(AY$207-1),0),MATCH($AV215*AY$209,OFFSET($I$198:$I$204,i_s7_len*(AY$207-1),0)),MATCH($AX$192,INDEX($J$194:$N$195,1+INDEX(ia_s8_s7,AY$207,1),0)))</f>
        <v>1</v>
      </c>
      <c r="AZ215">
        <f t="array" aca="1" ref="AZ215" ca="1">INDEX(OFFSET($Q$198:$U$204,i_s7_len*(AZ$207-1),0),MATCH($AV215*AZ$209,OFFSET($I$198:$I$204,i_s7_len*(AZ$207-1),0)),MATCH($AX$192,INDEX($J$194:$N$195,1+INDEX(ia_s8_s7,AZ$207,1),0)))</f>
        <v>1</v>
      </c>
      <c r="BA215">
        <f t="array" aca="1" ref="BA215" ca="1">INDEX(OFFSET($Q$198:$U$204,i_s7_len*(BA$207-1),0),MATCH($AV215*BA$209,OFFSET($I$198:$I$204,i_s7_len*(BA$207-1),0)),MATCH($AX$192,INDEX($J$194:$N$195,1+INDEX(ia_s8_s7,BA$207,1),0)))</f>
        <v>0.91666666666666663</v>
      </c>
      <c r="BB215">
        <f t="array" aca="1" ref="BB215" ca="1">INDEX(OFFSET($Q$198:$U$204,i_s7_len*(BB$207-1),0),MATCH($AV215*BB$209,OFFSET($I$198:$I$204,i_s7_len*(BB$207-1),0)),MATCH($AX$192,INDEX($J$194:$N$195,1+INDEX(ia_s8_s7,BB$207,1),0)))</f>
        <v>1</v>
      </c>
      <c r="BC215">
        <f t="array" aca="1" ref="BC215" ca="1">INDEX(OFFSET($Q$198:$U$204,i_s7_len*(BC$207-1),0),MATCH($AV215*BC$209,OFFSET($I$198:$I$204,i_s7_len*(BC$207-1),0)),MATCH($AX$192,INDEX($J$194:$N$195,1+INDEX(ia_s8_s7,BC$207,1),0)))</f>
        <v>1</v>
      </c>
      <c r="BD215">
        <f t="array" aca="1" ref="BD215" ca="1">INDEX(OFFSET($Q$198:$U$204,i_s7_len*(BD$207-1),0),MATCH($AV215*BD$209,OFFSET($I$198:$I$204,i_s7_len*(BD$207-1),0)),MATCH($AX$192,INDEX($J$194:$N$195,1+INDEX(ia_s8_s7,BD$207,1),0)))</f>
        <v>1</v>
      </c>
    </row>
    <row r="216" spans="1:56" outlineLevel="3" x14ac:dyDescent="0.25">
      <c r="A216" s="45"/>
      <c r="B216" s="54"/>
      <c r="C216" s="87">
        <f t="shared" si="63"/>
        <v>4</v>
      </c>
      <c r="D216" s="73"/>
      <c r="E216" s="70"/>
      <c r="F216" s="70">
        <f t="shared" si="64"/>
        <v>2</v>
      </c>
      <c r="G216" s="73"/>
      <c r="H216" s="97" t="s">
        <v>2541</v>
      </c>
      <c r="I216" s="173">
        <v>18.100000000000001</v>
      </c>
      <c r="J216" s="444">
        <v>4.5</v>
      </c>
      <c r="K216" s="445">
        <v>5.6</v>
      </c>
      <c r="L216" s="445">
        <v>5.6</v>
      </c>
      <c r="M216" s="445">
        <v>5.6</v>
      </c>
      <c r="N216" s="446">
        <v>4.5</v>
      </c>
      <c r="O216" s="443">
        <v>0</v>
      </c>
      <c r="P216" s="174"/>
      <c r="Q216" s="388">
        <v>0.95733333333333326</v>
      </c>
      <c r="R216" s="389">
        <v>1</v>
      </c>
      <c r="S216" s="389">
        <v>1</v>
      </c>
      <c r="T216" s="389">
        <v>1</v>
      </c>
      <c r="U216" s="390">
        <v>0.95133819951338194</v>
      </c>
      <c r="V216" s="175">
        <v>0</v>
      </c>
      <c r="W216" s="174"/>
      <c r="X216" s="388">
        <v>0.69242982478276593</v>
      </c>
      <c r="Y216" s="389">
        <v>1</v>
      </c>
      <c r="Z216" s="389">
        <v>1</v>
      </c>
      <c r="AA216" s="389">
        <v>1</v>
      </c>
      <c r="AB216" s="390">
        <v>0.63046029222499811</v>
      </c>
      <c r="AC216" s="175">
        <v>0</v>
      </c>
      <c r="AD216" s="76"/>
      <c r="AE216" s="76"/>
      <c r="AF216" s="76"/>
      <c r="AG216" s="76"/>
      <c r="AH216" s="76"/>
      <c r="AI216" s="76"/>
      <c r="AJ216" s="76"/>
      <c r="AK216" s="76"/>
      <c r="AL216" s="76"/>
      <c r="AM216" s="76"/>
      <c r="AN216" s="73"/>
      <c r="AO216" s="57"/>
      <c r="AP216" s="45"/>
      <c r="AQ216" s="45"/>
      <c r="AR216" s="45"/>
      <c r="AS216" s="437"/>
      <c r="AT216" s="437"/>
      <c r="AV216" s="173">
        <v>60</v>
      </c>
      <c r="AW216">
        <f t="array" aca="1" ref="AW216" ca="1">INDEX(OFFSET($Q$198:$U$204,i_s7_len*(AW$207-1),0),MATCH($AV216*AW$209,OFFSET($I$198:$I$204,i_s7_len*(AW$207-1),0)),MATCH($AX$192,INDEX($J$194:$N$195,1+INDEX(ia_s8_s7,AW$207,1),0)))</f>
        <v>1</v>
      </c>
      <c r="AX216">
        <f t="array" aca="1" ref="AX216" ca="1">INDEX(OFFSET($Q$198:$U$204,i_s7_len*(AX$207-1),0),MATCH($AV216*AX$209,OFFSET($I$198:$I$204,i_s7_len*(AX$207-1),0)),MATCH($AX$192,INDEX($J$194:$N$195,1+INDEX(ia_s8_s7,AX$207,1),0)))</f>
        <v>0.87592003768474347</v>
      </c>
      <c r="AY216">
        <f t="array" aca="1" ref="AY216" ca="1">INDEX(OFFSET($Q$198:$U$204,i_s7_len*(AY$207-1),0),MATCH($AV216*AY$209,OFFSET($I$198:$I$204,i_s7_len*(AY$207-1),0)),MATCH($AX$192,INDEX($J$194:$N$195,1+INDEX(ia_s8_s7,AY$207,1),0)))</f>
        <v>1</v>
      </c>
      <c r="AZ216">
        <f t="array" aca="1" ref="AZ216" ca="1">INDEX(OFFSET($Q$198:$U$204,i_s7_len*(AZ$207-1),0),MATCH($AV216*AZ$209,OFFSET($I$198:$I$204,i_s7_len*(AZ$207-1),0)),MATCH($AX$192,INDEX($J$194:$N$195,1+INDEX(ia_s8_s7,AZ$207,1),0)))</f>
        <v>1</v>
      </c>
      <c r="BA216">
        <f t="array" aca="1" ref="BA216" ca="1">INDEX(OFFSET($Q$198:$U$204,i_s7_len*(BA$207-1),0),MATCH($AV216*BA$209,OFFSET($I$198:$I$204,i_s7_len*(BA$207-1),0)),MATCH($AX$192,INDEX($J$194:$N$195,1+INDEX(ia_s8_s7,BA$207,1),0)))</f>
        <v>1</v>
      </c>
      <c r="BB216">
        <f t="array" aca="1" ref="BB216" ca="1">INDEX(OFFSET($Q$198:$U$204,i_s7_len*(BB$207-1),0),MATCH($AV216*BB$209,OFFSET($I$198:$I$204,i_s7_len*(BB$207-1),0)),MATCH($AX$192,INDEX($J$194:$N$195,1+INDEX(ia_s8_s7,BB$207,1),0)))</f>
        <v>1</v>
      </c>
      <c r="BC216">
        <f t="array" aca="1" ref="BC216" ca="1">INDEX(OFFSET($Q$198:$U$204,i_s7_len*(BC$207-1),0),MATCH($AV216*BC$209,OFFSET($I$198:$I$204,i_s7_len*(BC$207-1),0)),MATCH($AX$192,INDEX($J$194:$N$195,1+INDEX(ia_s8_s7,BC$207,1),0)))</f>
        <v>1</v>
      </c>
      <c r="BD216">
        <f t="array" aca="1" ref="BD216" ca="1">INDEX(OFFSET($Q$198:$U$204,i_s7_len*(BD$207-1),0),MATCH($AV216*BD$209,OFFSET($I$198:$I$204,i_s7_len*(BD$207-1),0)),MATCH($AX$192,INDEX($J$194:$N$195,1+INDEX(ia_s8_s7,BD$207,1),0)))</f>
        <v>1</v>
      </c>
    </row>
    <row r="217" spans="1:56" outlineLevel="3" x14ac:dyDescent="0.25">
      <c r="A217" s="45"/>
      <c r="B217" s="54"/>
      <c r="C217" s="87">
        <f t="shared" si="63"/>
        <v>4</v>
      </c>
      <c r="D217" s="73"/>
      <c r="E217" s="70"/>
      <c r="F217" s="70">
        <f t="shared" si="64"/>
        <v>2</v>
      </c>
      <c r="G217" s="73"/>
      <c r="H217" s="76"/>
      <c r="I217" s="173">
        <v>28.1</v>
      </c>
      <c r="J217" s="444">
        <v>5</v>
      </c>
      <c r="K217" s="445">
        <v>6.4</v>
      </c>
      <c r="L217" s="445">
        <v>6.4</v>
      </c>
      <c r="M217" s="445">
        <v>6.4</v>
      </c>
      <c r="N217" s="446">
        <v>5</v>
      </c>
      <c r="O217" s="443">
        <v>0</v>
      </c>
      <c r="P217" s="174"/>
      <c r="Q217" s="388">
        <v>0.92261111111111116</v>
      </c>
      <c r="R217" s="389">
        <v>0.87592003768474347</v>
      </c>
      <c r="S217" s="389">
        <v>0.87592003768474347</v>
      </c>
      <c r="T217" s="389">
        <v>0.87592003768474347</v>
      </c>
      <c r="U217" s="390">
        <v>0.95133819951338194</v>
      </c>
      <c r="V217" s="175">
        <v>0</v>
      </c>
      <c r="W217" s="174"/>
      <c r="X217" s="388">
        <v>0.76440403426850423</v>
      </c>
      <c r="Y217" s="389">
        <v>1</v>
      </c>
      <c r="Z217" s="389">
        <v>1</v>
      </c>
      <c r="AA217" s="389">
        <v>1</v>
      </c>
      <c r="AB217" s="390">
        <v>0.71534869594928063</v>
      </c>
      <c r="AC217" s="175">
        <v>0</v>
      </c>
      <c r="AD217" s="76"/>
      <c r="AE217" s="76"/>
      <c r="AF217" s="76"/>
      <c r="AG217" s="76"/>
      <c r="AH217" s="76"/>
      <c r="AI217" s="76"/>
      <c r="AJ217" s="76"/>
      <c r="AK217" s="76"/>
      <c r="AL217" s="76"/>
      <c r="AM217" s="76"/>
      <c r="AN217" s="73"/>
      <c r="AO217" s="57"/>
      <c r="AP217" s="45"/>
      <c r="AQ217" s="45"/>
      <c r="AR217" s="45"/>
      <c r="AS217" s="437"/>
      <c r="AT217" s="437"/>
      <c r="AV217" s="173">
        <v>65</v>
      </c>
      <c r="AW217">
        <f t="array" aca="1" ref="AW217" ca="1">INDEX(OFFSET($Q$198:$U$204,i_s7_len*(AW$207-1),0),MATCH($AV217*AW$209,OFFSET($I$198:$I$204,i_s7_len*(AW$207-1),0)),MATCH($AX$192,INDEX($J$194:$N$195,1+INDEX(ia_s8_s7,AW$207,1),0)))</f>
        <v>0.87592003768474347</v>
      </c>
      <c r="AX217">
        <f t="array" aca="1" ref="AX217" ca="1">INDEX(OFFSET($Q$198:$U$204,i_s7_len*(AX$207-1),0),MATCH($AV217*AX$209,OFFSET($I$198:$I$204,i_s7_len*(AX$207-1),0)),MATCH($AX$192,INDEX($J$194:$N$195,1+INDEX(ia_s8_s7,AX$207,1),0)))</f>
        <v>0.87592003768474347</v>
      </c>
      <c r="AY217">
        <f t="array" aca="1" ref="AY217" ca="1">INDEX(OFFSET($Q$198:$U$204,i_s7_len*(AY$207-1),0),MATCH($AV217*AY$209,OFFSET($I$198:$I$204,i_s7_len*(AY$207-1),0)),MATCH($AX$192,INDEX($J$194:$N$195,1+INDEX(ia_s8_s7,AY$207,1),0)))</f>
        <v>1</v>
      </c>
      <c r="AZ217">
        <f t="array" aca="1" ref="AZ217" ca="1">INDEX(OFFSET($Q$198:$U$204,i_s7_len*(AZ$207-1),0),MATCH($AV217*AZ$209,OFFSET($I$198:$I$204,i_s7_len*(AZ$207-1),0)),MATCH($AX$192,INDEX($J$194:$N$195,1+INDEX(ia_s8_s7,AZ$207,1),0)))</f>
        <v>1</v>
      </c>
      <c r="BA217">
        <f t="array" aca="1" ref="BA217" ca="1">INDEX(OFFSET($Q$198:$U$204,i_s7_len*(BA$207-1),0),MATCH($AV217*BA$209,OFFSET($I$198:$I$204,i_s7_len*(BA$207-1),0)),MATCH($AX$192,INDEX($J$194:$N$195,1+INDEX(ia_s8_s7,BA$207,1),0)))</f>
        <v>1</v>
      </c>
      <c r="BB217">
        <f t="array" aca="1" ref="BB217" ca="1">INDEX(OFFSET($Q$198:$U$204,i_s7_len*(BB$207-1),0),MATCH($AV217*BB$209,OFFSET($I$198:$I$204,i_s7_len*(BB$207-1),0)),MATCH($AX$192,INDEX($J$194:$N$195,1+INDEX(ia_s8_s7,BB$207,1),0)))</f>
        <v>1</v>
      </c>
      <c r="BC217">
        <f t="array" aca="1" ref="BC217" ca="1">INDEX(OFFSET($Q$198:$U$204,i_s7_len*(BC$207-1),0),MATCH($AV217*BC$209,OFFSET($I$198:$I$204,i_s7_len*(BC$207-1),0)),MATCH($AX$192,INDEX($J$194:$N$195,1+INDEX(ia_s8_s7,BC$207,1),0)))</f>
        <v>1</v>
      </c>
      <c r="BD217">
        <f t="array" aca="1" ref="BD217" ca="1">INDEX(OFFSET($Q$198:$U$204,i_s7_len*(BD$207-1),0),MATCH($AV217*BD$209,OFFSET($I$198:$I$204,i_s7_len*(BD$207-1),0)),MATCH($AX$192,INDEX($J$194:$N$195,1+INDEX(ia_s8_s7,BD$207,1),0)))</f>
        <v>1</v>
      </c>
    </row>
    <row r="218" spans="1:56" outlineLevel="3" x14ac:dyDescent="0.25">
      <c r="A218" s="45"/>
      <c r="B218" s="54"/>
      <c r="C218" s="87">
        <f t="shared" si="63"/>
        <v>4</v>
      </c>
      <c r="D218" s="73"/>
      <c r="E218" s="70"/>
      <c r="F218" s="70">
        <f t="shared" si="64"/>
        <v>2</v>
      </c>
      <c r="G218" s="73"/>
      <c r="H218" s="76"/>
      <c r="I218" s="173">
        <v>31.1</v>
      </c>
      <c r="J218" s="444">
        <v>4.5999999999999996</v>
      </c>
      <c r="K218" s="445">
        <v>6.2</v>
      </c>
      <c r="L218" s="445">
        <v>6.2</v>
      </c>
      <c r="M218" s="445">
        <v>6.2</v>
      </c>
      <c r="N218" s="446">
        <v>4.5999999999999996</v>
      </c>
      <c r="O218" s="443">
        <v>0</v>
      </c>
      <c r="P218" s="174"/>
      <c r="Q218" s="388">
        <v>0.87644444444444447</v>
      </c>
      <c r="R218" s="389">
        <v>0.75088954500719218</v>
      </c>
      <c r="S218" s="389">
        <v>0.75088954500719218</v>
      </c>
      <c r="T218" s="389">
        <v>0.75088954500719218</v>
      </c>
      <c r="U218" s="390">
        <v>0.94890510948905105</v>
      </c>
      <c r="V218" s="175">
        <v>0</v>
      </c>
      <c r="W218" s="174"/>
      <c r="X218" s="388">
        <v>0.8666666666666667</v>
      </c>
      <c r="Y218" s="389">
        <v>1</v>
      </c>
      <c r="Z218" s="389">
        <v>1</v>
      </c>
      <c r="AA218" s="389">
        <v>1</v>
      </c>
      <c r="AB218" s="390">
        <v>0.84952380952380946</v>
      </c>
      <c r="AC218" s="175">
        <v>0</v>
      </c>
      <c r="AD218" s="76"/>
      <c r="AE218" s="76"/>
      <c r="AF218" s="76"/>
      <c r="AG218" s="76"/>
      <c r="AH218" s="76"/>
      <c r="AI218" s="76"/>
      <c r="AJ218" s="76"/>
      <c r="AK218" s="76"/>
      <c r="AL218" s="76"/>
      <c r="AM218" s="76"/>
      <c r="AN218" s="73"/>
      <c r="AO218" s="57"/>
      <c r="AP218" s="45"/>
      <c r="AQ218" s="45"/>
      <c r="AR218" s="45"/>
      <c r="AS218" s="437"/>
      <c r="AT218" s="437"/>
      <c r="AV218" s="173">
        <v>70</v>
      </c>
      <c r="AW218">
        <f t="array" aca="1" ref="AW218" ca="1">INDEX(OFFSET($Q$198:$U$204,i_s7_len*(AW$207-1),0),MATCH($AV218*AW$209,OFFSET($I$198:$I$204,i_s7_len*(AW$207-1),0)),MATCH($AX$192,INDEX($J$194:$N$195,1+INDEX(ia_s8_s7,AW$207,1),0)))</f>
        <v>0.87592003768474347</v>
      </c>
      <c r="AX218">
        <f t="array" aca="1" ref="AX218" ca="1">INDEX(OFFSET($Q$198:$U$204,i_s7_len*(AX$207-1),0),MATCH($AV218*AX$209,OFFSET($I$198:$I$204,i_s7_len*(AX$207-1),0)),MATCH($AX$192,INDEX($J$194:$N$195,1+INDEX(ia_s8_s7,AX$207,1),0)))</f>
        <v>0.87592003768474347</v>
      </c>
      <c r="AY218">
        <f t="array" aca="1" ref="AY218" ca="1">INDEX(OFFSET($Q$198:$U$204,i_s7_len*(AY$207-1),0),MATCH($AV218*AY$209,OFFSET($I$198:$I$204,i_s7_len*(AY$207-1),0)),MATCH($AX$192,INDEX($J$194:$N$195,1+INDEX(ia_s8_s7,AY$207,1),0)))</f>
        <v>0.87592003768474347</v>
      </c>
      <c r="AZ218">
        <f t="array" aca="1" ref="AZ218" ca="1">INDEX(OFFSET($Q$198:$U$204,i_s7_len*(AZ$207-1),0),MATCH($AV218*AZ$209,OFFSET($I$198:$I$204,i_s7_len*(AZ$207-1),0)),MATCH($AX$192,INDEX($J$194:$N$195,1+INDEX(ia_s8_s7,AZ$207,1),0)))</f>
        <v>1</v>
      </c>
      <c r="BA218">
        <f t="array" aca="1" ref="BA218" ca="1">INDEX(OFFSET($Q$198:$U$204,i_s7_len*(BA$207-1),0),MATCH($AV218*BA$209,OFFSET($I$198:$I$204,i_s7_len*(BA$207-1),0)),MATCH($AX$192,INDEX($J$194:$N$195,1+INDEX(ia_s8_s7,BA$207,1),0)))</f>
        <v>1</v>
      </c>
      <c r="BB218">
        <f t="array" aca="1" ref="BB218" ca="1">INDEX(OFFSET($Q$198:$U$204,i_s7_len*(BB$207-1),0),MATCH($AV218*BB$209,OFFSET($I$198:$I$204,i_s7_len*(BB$207-1),0)),MATCH($AX$192,INDEX($J$194:$N$195,1+INDEX(ia_s8_s7,BB$207,1),0)))</f>
        <v>1</v>
      </c>
      <c r="BC218">
        <f t="array" aca="1" ref="BC218" ca="1">INDEX(OFFSET($Q$198:$U$204,i_s7_len*(BC$207-1),0),MATCH($AV218*BC$209,OFFSET($I$198:$I$204,i_s7_len*(BC$207-1),0)),MATCH($AX$192,INDEX($J$194:$N$195,1+INDEX(ia_s8_s7,BC$207,1),0)))</f>
        <v>1</v>
      </c>
      <c r="BD218">
        <f t="array" aca="1" ref="BD218" ca="1">INDEX(OFFSET($Q$198:$U$204,i_s7_len*(BD$207-1),0),MATCH($AV218*BD$209,OFFSET($I$198:$I$204,i_s7_len*(BD$207-1),0)),MATCH($AX$192,INDEX($J$194:$N$195,1+INDEX(ia_s8_s7,BD$207,1),0)))</f>
        <v>1</v>
      </c>
    </row>
    <row r="219" spans="1:56" outlineLevel="3" x14ac:dyDescent="0.25">
      <c r="A219" s="45"/>
      <c r="B219" s="54"/>
      <c r="C219" s="87">
        <f t="shared" si="63"/>
        <v>4</v>
      </c>
      <c r="D219" s="73"/>
      <c r="E219" s="70"/>
      <c r="F219" s="70">
        <f t="shared" si="64"/>
        <v>2</v>
      </c>
      <c r="G219" s="73"/>
      <c r="H219" s="76"/>
      <c r="I219" s="173">
        <f>I218</f>
        <v>31.1</v>
      </c>
      <c r="J219" s="444">
        <v>4</v>
      </c>
      <c r="K219" s="445">
        <v>5.8</v>
      </c>
      <c r="L219" s="445">
        <v>5.8</v>
      </c>
      <c r="M219" s="445">
        <v>5.8</v>
      </c>
      <c r="N219" s="446">
        <v>4</v>
      </c>
      <c r="O219" s="443">
        <v>0</v>
      </c>
      <c r="P219" s="174"/>
      <c r="Q219" s="388">
        <v>0.87644444444444447</v>
      </c>
      <c r="R219" s="389">
        <v>0.75088954500719218</v>
      </c>
      <c r="S219" s="389">
        <v>0.75088954500719218</v>
      </c>
      <c r="T219" s="389">
        <v>0.75088954500719218</v>
      </c>
      <c r="U219" s="390">
        <v>0.94890510948905105</v>
      </c>
      <c r="V219" s="175">
        <v>0</v>
      </c>
      <c r="W219" s="174"/>
      <c r="X219" s="388">
        <v>0.8666666666666667</v>
      </c>
      <c r="Y219" s="389">
        <v>1</v>
      </c>
      <c r="Z219" s="389">
        <v>1</v>
      </c>
      <c r="AA219" s="389">
        <v>1</v>
      </c>
      <c r="AB219" s="390">
        <v>0.84952380952380946</v>
      </c>
      <c r="AC219" s="175">
        <v>0</v>
      </c>
      <c r="AD219" s="76"/>
      <c r="AE219" s="76"/>
      <c r="AF219" s="76"/>
      <c r="AG219" s="76"/>
      <c r="AH219" s="76"/>
      <c r="AI219" s="76"/>
      <c r="AJ219" s="76"/>
      <c r="AK219" s="76"/>
      <c r="AL219" s="76"/>
      <c r="AM219" s="76"/>
      <c r="AN219" s="73"/>
      <c r="AO219" s="57"/>
      <c r="AP219" s="45"/>
      <c r="AQ219" s="45"/>
      <c r="AR219" s="45"/>
      <c r="AS219" s="437"/>
      <c r="AT219" s="437"/>
    </row>
    <row r="220" spans="1:56" outlineLevel="3" x14ac:dyDescent="0.25">
      <c r="A220" s="45"/>
      <c r="B220" s="54"/>
      <c r="C220" s="87">
        <f t="shared" si="63"/>
        <v>4</v>
      </c>
      <c r="D220" s="73"/>
      <c r="E220" s="70"/>
      <c r="F220" s="70">
        <f t="shared" si="64"/>
        <v>2</v>
      </c>
      <c r="G220" s="73"/>
      <c r="H220" s="76"/>
      <c r="I220" s="173">
        <f>I219</f>
        <v>31.1</v>
      </c>
      <c r="J220" s="447">
        <v>4</v>
      </c>
      <c r="K220" s="448">
        <v>5.4</v>
      </c>
      <c r="L220" s="448">
        <v>5.4</v>
      </c>
      <c r="M220" s="448">
        <v>5.4</v>
      </c>
      <c r="N220" s="449">
        <v>4</v>
      </c>
      <c r="O220" s="443">
        <v>0</v>
      </c>
      <c r="P220" s="174"/>
      <c r="Q220" s="391">
        <v>0.87644444444444447</v>
      </c>
      <c r="R220" s="392">
        <v>0.75088954500719218</v>
      </c>
      <c r="S220" s="392">
        <v>0.75088954500719218</v>
      </c>
      <c r="T220" s="392">
        <v>0.75088954500719218</v>
      </c>
      <c r="U220" s="393">
        <v>0.94890510948905105</v>
      </c>
      <c r="V220" s="175">
        <v>0</v>
      </c>
      <c r="W220" s="174"/>
      <c r="X220" s="391">
        <v>0.8666666666666667</v>
      </c>
      <c r="Y220" s="392">
        <v>1</v>
      </c>
      <c r="Z220" s="392">
        <v>1</v>
      </c>
      <c r="AA220" s="392">
        <v>1</v>
      </c>
      <c r="AB220" s="393">
        <v>0.84952380952380946</v>
      </c>
      <c r="AC220" s="175">
        <v>0</v>
      </c>
      <c r="AD220" s="76"/>
      <c r="AE220" s="76"/>
      <c r="AF220" s="76"/>
      <c r="AG220" s="76"/>
      <c r="AH220" s="76"/>
      <c r="AI220" s="76"/>
      <c r="AJ220" s="76"/>
      <c r="AK220" s="76"/>
      <c r="AL220" s="76"/>
      <c r="AM220" s="76"/>
      <c r="AN220" s="73"/>
      <c r="AO220" s="57"/>
      <c r="AP220" s="45"/>
      <c r="AQ220" s="45"/>
      <c r="AR220" s="45"/>
      <c r="AS220" s="437"/>
      <c r="AT220" s="437"/>
      <c r="AW220">
        <v>1</v>
      </c>
      <c r="AX220">
        <v>2</v>
      </c>
      <c r="AY220">
        <v>3</v>
      </c>
      <c r="AZ220">
        <v>4</v>
      </c>
      <c r="BA220">
        <v>5</v>
      </c>
      <c r="BB220">
        <v>6</v>
      </c>
      <c r="BC220">
        <v>7</v>
      </c>
      <c r="BD220">
        <v>8</v>
      </c>
    </row>
    <row r="221" spans="1:56" outlineLevel="3" x14ac:dyDescent="0.25">
      <c r="A221" s="45"/>
      <c r="B221" s="54"/>
      <c r="C221" s="87">
        <f t="shared" si="63"/>
        <v>4</v>
      </c>
      <c r="D221" s="73"/>
      <c r="E221" s="70"/>
      <c r="F221" s="70">
        <f t="shared" si="64"/>
        <v>2</v>
      </c>
      <c r="G221" s="73"/>
      <c r="H221" s="76"/>
      <c r="I221" s="96">
        <v>1000</v>
      </c>
      <c r="J221" s="450">
        <v>0</v>
      </c>
      <c r="K221" s="450">
        <v>0</v>
      </c>
      <c r="L221" s="450">
        <v>0</v>
      </c>
      <c r="M221" s="450">
        <v>0</v>
      </c>
      <c r="N221" s="450">
        <v>0</v>
      </c>
      <c r="O221" s="451">
        <v>0</v>
      </c>
      <c r="P221" s="76"/>
      <c r="Q221" s="384">
        <v>0</v>
      </c>
      <c r="R221" s="384">
        <v>0</v>
      </c>
      <c r="S221" s="384">
        <v>0</v>
      </c>
      <c r="T221" s="384">
        <v>0</v>
      </c>
      <c r="U221" s="384">
        <v>0</v>
      </c>
      <c r="V221" s="79">
        <v>0</v>
      </c>
      <c r="W221" s="76"/>
      <c r="X221" s="384">
        <v>0</v>
      </c>
      <c r="Y221" s="384">
        <v>0</v>
      </c>
      <c r="Z221" s="384">
        <v>0</v>
      </c>
      <c r="AA221" s="384">
        <v>0</v>
      </c>
      <c r="AB221" s="384">
        <v>0</v>
      </c>
      <c r="AC221" s="79">
        <v>0</v>
      </c>
      <c r="AD221" s="76"/>
      <c r="AE221" s="76"/>
      <c r="AF221" s="76"/>
      <c r="AG221" s="76"/>
      <c r="AH221" s="76"/>
      <c r="AI221" s="76"/>
      <c r="AJ221" s="76"/>
      <c r="AK221" s="76"/>
      <c r="AL221" s="76"/>
      <c r="AM221" s="76"/>
      <c r="AN221" s="73"/>
      <c r="AO221" s="57"/>
      <c r="AP221" s="45"/>
      <c r="AQ221" s="45"/>
      <c r="AR221" s="45"/>
      <c r="AS221" s="437"/>
      <c r="AT221" s="437" t="s">
        <v>254</v>
      </c>
      <c r="AW221" s="435" t="str">
        <f t="array" ref="AW221:BD221">TRANSPOSE(AV183:AV190)</f>
        <v>Lamb grid (0)</v>
      </c>
      <c r="AX221" s="435" t="str">
        <v>empty grid (1)</v>
      </c>
      <c r="AY221" s="435" t="str">
        <v>empty grid (2)</v>
      </c>
      <c r="AZ221" s="435" t="str">
        <v>Yearling grid (3)</v>
      </c>
      <c r="BA221" s="435" t="str">
        <v>Export wether grid (4)</v>
      </c>
      <c r="BB221" s="436" t="str">
        <v>Breeder grid (5)</v>
      </c>
      <c r="BC221" s="436" t="str">
        <v>Mutton grid (6)</v>
      </c>
      <c r="BD221" s="436" t="str">
        <v>Ram grid (7)</v>
      </c>
    </row>
    <row r="222" spans="1:56" outlineLevel="2" x14ac:dyDescent="0.25">
      <c r="A222" s="45"/>
      <c r="B222" s="54"/>
      <c r="C222" s="87">
        <f>INT($C$167)+2</f>
        <v>3</v>
      </c>
      <c r="D222" s="73"/>
      <c r="E222" s="70">
        <v>3</v>
      </c>
      <c r="F222" s="70">
        <f>E222</f>
        <v>3</v>
      </c>
      <c r="G222" s="73"/>
      <c r="H222" s="96" t="str">
        <f>INDEX($H$183:$H$190,$E222+1,1)</f>
        <v>Yearling grid (3)</v>
      </c>
      <c r="I222" s="173">
        <f t="shared" ref="I222:N228" si="65">I246</f>
        <v>10.1</v>
      </c>
      <c r="J222" s="440">
        <f t="shared" si="65"/>
        <v>3</v>
      </c>
      <c r="K222" s="441">
        <f t="shared" si="65"/>
        <v>3</v>
      </c>
      <c r="L222" s="441">
        <f t="shared" si="65"/>
        <v>3</v>
      </c>
      <c r="M222" s="441">
        <f t="shared" si="65"/>
        <v>3</v>
      </c>
      <c r="N222" s="442">
        <f t="shared" si="65"/>
        <v>2</v>
      </c>
      <c r="O222" s="443">
        <v>0</v>
      </c>
      <c r="P222" s="174"/>
      <c r="Q222" s="385">
        <v>0.58834840541455213</v>
      </c>
      <c r="R222" s="386">
        <v>0.57692307692307687</v>
      </c>
      <c r="S222" s="386">
        <v>0.57692307692307687</v>
      </c>
      <c r="T222" s="386">
        <v>0.57692307692307687</v>
      </c>
      <c r="U222" s="387">
        <v>0.53708615552957462</v>
      </c>
      <c r="V222" s="175">
        <v>0</v>
      </c>
      <c r="W222" s="174"/>
      <c r="X222" s="385">
        <v>0.98058067569092011</v>
      </c>
      <c r="Y222" s="386">
        <v>1</v>
      </c>
      <c r="Z222" s="386">
        <v>1</v>
      </c>
      <c r="AA222" s="386">
        <v>1</v>
      </c>
      <c r="AB222" s="387">
        <v>0.71611487403943286</v>
      </c>
      <c r="AC222" s="175">
        <v>0</v>
      </c>
      <c r="AD222" s="76"/>
      <c r="AE222" s="76"/>
      <c r="AF222" s="76"/>
      <c r="AG222" s="76"/>
      <c r="AH222" s="76"/>
      <c r="AI222" s="76"/>
      <c r="AJ222" s="76"/>
      <c r="AK222" s="76"/>
      <c r="AL222" s="76"/>
      <c r="AM222" s="76"/>
      <c r="AN222" s="73"/>
      <c r="AO222" s="57"/>
      <c r="AP222" s="45"/>
      <c r="AQ222" s="45"/>
      <c r="AR222" s="45"/>
      <c r="AS222" s="437"/>
      <c r="AT222" s="437"/>
      <c r="AW222" s="433">
        <v>0.44</v>
      </c>
      <c r="AX222" s="433">
        <v>0.42</v>
      </c>
      <c r="AY222" s="433">
        <v>0.42</v>
      </c>
      <c r="AZ222" s="433">
        <v>0.42</v>
      </c>
      <c r="BA222" s="433">
        <v>1</v>
      </c>
      <c r="BB222" s="433">
        <v>1</v>
      </c>
      <c r="BC222" s="433">
        <v>0.42</v>
      </c>
      <c r="BD222" s="433">
        <v>0.42</v>
      </c>
    </row>
    <row r="223" spans="1:56" outlineLevel="3" x14ac:dyDescent="0.25">
      <c r="A223" s="45"/>
      <c r="B223" s="54"/>
      <c r="C223" s="87">
        <f t="shared" ref="C223:C229" si="66">INT($C$167)+3</f>
        <v>4</v>
      </c>
      <c r="D223" s="73"/>
      <c r="E223" s="70"/>
      <c r="F223" s="70">
        <f t="shared" ref="F223:F229" si="67">F222</f>
        <v>3</v>
      </c>
      <c r="G223" s="73"/>
      <c r="H223" s="176" t="str">
        <f>INDEX($M$175:$M$177,INDEX(i_salep_price_type_s7,$F223+1,1)+1,1)&amp;INDEX($L$175:$L$177,INDEX(ia_s8_s7,$F223+1,1)+1,1)</f>
        <v>$/kg DW, DW - Fat score</v>
      </c>
      <c r="I223" s="173">
        <f t="shared" si="65"/>
        <v>14.1</v>
      </c>
      <c r="J223" s="444">
        <f t="shared" si="65"/>
        <v>4.4000000000000004</v>
      </c>
      <c r="K223" s="445">
        <f t="shared" si="65"/>
        <v>4.4000000000000004</v>
      </c>
      <c r="L223" s="445">
        <f t="shared" si="65"/>
        <v>4.4000000000000004</v>
      </c>
      <c r="M223" s="445">
        <f t="shared" si="65"/>
        <v>4.4000000000000004</v>
      </c>
      <c r="N223" s="446">
        <f t="shared" si="65"/>
        <v>2</v>
      </c>
      <c r="O223" s="443">
        <v>0</v>
      </c>
      <c r="P223" s="174"/>
      <c r="Q223" s="388">
        <v>0.8629109946080098</v>
      </c>
      <c r="R223" s="389">
        <v>0.84615384615384615</v>
      </c>
      <c r="S223" s="389">
        <v>0.84615384615384615</v>
      </c>
      <c r="T223" s="389">
        <v>0.84615384615384615</v>
      </c>
      <c r="U223" s="390">
        <v>0.6504436355879909</v>
      </c>
      <c r="V223" s="175">
        <v>0</v>
      </c>
      <c r="W223" s="174"/>
      <c r="X223" s="388">
        <v>0.98058067569092011</v>
      </c>
      <c r="Y223" s="389">
        <v>1</v>
      </c>
      <c r="Z223" s="389">
        <v>1</v>
      </c>
      <c r="AA223" s="389">
        <v>1</v>
      </c>
      <c r="AB223" s="390">
        <v>0.59131239598908258</v>
      </c>
      <c r="AC223" s="175">
        <v>0</v>
      </c>
      <c r="AD223" s="76"/>
      <c r="AE223" s="76"/>
      <c r="AF223" s="76"/>
      <c r="AG223" s="76"/>
      <c r="AH223" s="76"/>
      <c r="AI223" s="76"/>
      <c r="AJ223" s="76"/>
      <c r="AK223" s="76"/>
      <c r="AL223" s="76"/>
      <c r="AM223" s="76"/>
      <c r="AN223" s="73"/>
      <c r="AO223" s="57"/>
      <c r="AP223" s="45"/>
      <c r="AQ223" s="45"/>
      <c r="AR223" s="45"/>
      <c r="AS223" s="437"/>
      <c r="AT223" s="437"/>
      <c r="AV223" s="173">
        <v>25</v>
      </c>
      <c r="AW223">
        <f t="array" aca="1" ref="AW223" ca="1">INDEX(OFFSET($X$198:$AB$204,i_s7_len*(AW$220-1),0),MATCH($AV223*AW$222,OFFSET($I$198:$I$204,i_s7_len*(AW$220-1),0)),MATCH($AX$192,INDEX($J$194:$N$195,1+INDEX(ia_s8_s7,AW$220,1),0)))</f>
        <v>1</v>
      </c>
      <c r="AX223">
        <f t="array" aca="1" ref="AX223" ca="1">INDEX(OFFSET($X$198:$AB$204,i_s7_len*(AX$220-1),0),MATCH($AV223*AX$222,OFFSET($I$198:$I$204,i_s7_len*(AX$220-1),0)),MATCH($AX$192,INDEX($J$194:$N$195,1+INDEX(ia_s8_s7,AX$220,1),0)))</f>
        <v>1</v>
      </c>
      <c r="AY223">
        <f t="array" aca="1" ref="AY223" ca="1">INDEX(OFFSET($X$198:$AB$204,i_s7_len*(AY$220-1),0),MATCH($AV223*AY$222,OFFSET($I$198:$I$204,i_s7_len*(AY$220-1),0)),MATCH($AX$192,INDEX($J$194:$N$195,1+INDEX(ia_s8_s7,AY$220,1),0)))</f>
        <v>1</v>
      </c>
      <c r="AZ223">
        <f t="array" aca="1" ref="AZ223" ca="1">INDEX(OFFSET($X$198:$AB$204,i_s7_len*(AZ$220-1),0),MATCH($AV223*AZ$222,OFFSET($I$198:$I$204,i_s7_len*(AZ$220-1),0)),MATCH($AX$192,INDEX($J$194:$N$195,1+INDEX(ia_s8_s7,AZ$220,1),0)))</f>
        <v>1</v>
      </c>
      <c r="BA223">
        <f t="array" aca="1" ref="BA223" ca="1">INDEX(OFFSET($X$198:$AB$204,i_s7_len*(BA$220-1),0),MATCH($AV223*BA$222,OFFSET($I$198:$I$204,i_s7_len*(BA$220-1),0)),MATCH($AX$192,INDEX($J$194:$N$195,1+INDEX(ia_s8_s7,BA$220,1),0)))</f>
        <v>1</v>
      </c>
      <c r="BB223">
        <f t="array" aca="1" ref="BB223" ca="1">INDEX(OFFSET($X$198:$AB$204,i_s7_len*(BB$220-1),0),MATCH($AV223*BB$222,OFFSET($I$198:$I$204,i_s7_len*(BB$220-1),0)),MATCH($AX$192,INDEX($J$194:$N$195,1+INDEX(ia_s8_s7,BB$220,1),0)))</f>
        <v>0.93548387096774188</v>
      </c>
      <c r="BC223">
        <f t="array" aca="1" ref="BC223" ca="1">INDEX(OFFSET($X$198:$AB$204,i_s7_len*(BC$220-1),0),MATCH($AV223*BC$222,OFFSET($I$198:$I$204,i_s7_len*(BC$220-1),0)),MATCH($AX$192,INDEX($J$194:$N$195,1+INDEX(ia_s8_s7,BC$220,1),0)))</f>
        <v>1</v>
      </c>
      <c r="BD223">
        <f t="array" aca="1" ref="BD223" ca="1">INDEX(OFFSET($X$198:$AB$204,i_s7_len*(BD$220-1),0),MATCH($AV223*BD$222,OFFSET($I$198:$I$204,i_s7_len*(BD$220-1),0)),MATCH($AX$192,INDEX($J$194:$N$195,1+INDEX(ia_s8_s7,BD$220,1),0)))</f>
        <v>0.70710678118654757</v>
      </c>
    </row>
    <row r="224" spans="1:56" outlineLevel="3" x14ac:dyDescent="0.25">
      <c r="A224" s="45"/>
      <c r="B224" s="54"/>
      <c r="C224" s="87">
        <f t="shared" si="66"/>
        <v>4</v>
      </c>
      <c r="D224" s="73"/>
      <c r="E224" s="70"/>
      <c r="F224" s="70">
        <f t="shared" si="67"/>
        <v>3</v>
      </c>
      <c r="G224" s="73"/>
      <c r="H224" s="179" t="s">
        <v>256</v>
      </c>
      <c r="I224" s="173">
        <f t="shared" si="65"/>
        <v>18.100000000000001</v>
      </c>
      <c r="J224" s="444">
        <f t="shared" si="65"/>
        <v>5</v>
      </c>
      <c r="K224" s="445">
        <f t="shared" si="65"/>
        <v>5.2</v>
      </c>
      <c r="L224" s="445">
        <f t="shared" si="65"/>
        <v>5.2</v>
      </c>
      <c r="M224" s="445">
        <f t="shared" si="65"/>
        <v>5.2</v>
      </c>
      <c r="N224" s="446">
        <f t="shared" si="65"/>
        <v>4</v>
      </c>
      <c r="O224" s="443">
        <v>0</v>
      </c>
      <c r="P224" s="174"/>
      <c r="Q224" s="388">
        <v>1</v>
      </c>
      <c r="R224" s="389">
        <v>1</v>
      </c>
      <c r="S224" s="389">
        <v>1</v>
      </c>
      <c r="T224" s="389">
        <v>1</v>
      </c>
      <c r="U224" s="390">
        <v>1</v>
      </c>
      <c r="V224" s="175">
        <v>0</v>
      </c>
      <c r="W224" s="174"/>
      <c r="X224" s="388">
        <v>0.96153846153846145</v>
      </c>
      <c r="Y224" s="389">
        <v>1</v>
      </c>
      <c r="Z224" s="389">
        <v>1</v>
      </c>
      <c r="AA224" s="389">
        <v>1</v>
      </c>
      <c r="AB224" s="390">
        <v>0.76923076923076916</v>
      </c>
      <c r="AC224" s="175">
        <v>0</v>
      </c>
      <c r="AD224" s="76"/>
      <c r="AE224" s="76"/>
      <c r="AF224" s="76"/>
      <c r="AG224" s="76"/>
      <c r="AH224" s="76"/>
      <c r="AI224" s="76"/>
      <c r="AJ224" s="76"/>
      <c r="AK224" s="76"/>
      <c r="AL224" s="76"/>
      <c r="AM224" s="76"/>
      <c r="AN224" s="73"/>
      <c r="AO224" s="57"/>
      <c r="AP224" s="45"/>
      <c r="AQ224" s="45"/>
      <c r="AR224" s="45"/>
      <c r="AS224" s="437"/>
      <c r="AT224" s="437"/>
      <c r="AV224" s="173">
        <v>35</v>
      </c>
      <c r="AW224">
        <f t="array" aca="1" ref="AW224" ca="1">INDEX(OFFSET($X$198:$AB$204,i_s7_len*(AW$220-1),0),MATCH($AV224*AW$222,OFFSET($I$198:$I$204,i_s7_len*(AW$220-1),0)),MATCH($AX$192,INDEX($J$194:$N$195,1+INDEX(ia_s8_s7,AW$220,1),0)))</f>
        <v>1</v>
      </c>
      <c r="AX224">
        <f t="array" aca="1" ref="AX224" ca="1">INDEX(OFFSET($X$198:$AB$204,i_s7_len*(AX$220-1),0),MATCH($AV224*AX$222,OFFSET($I$198:$I$204,i_s7_len*(AX$220-1),0)),MATCH($AX$192,INDEX($J$194:$N$195,1+INDEX(ia_s8_s7,AX$220,1),0)))</f>
        <v>1</v>
      </c>
      <c r="AY224">
        <f t="array" aca="1" ref="AY224" ca="1">INDEX(OFFSET($X$198:$AB$204,i_s7_len*(AY$220-1),0),MATCH($AV224*AY$222,OFFSET($I$198:$I$204,i_s7_len*(AY$220-1),0)),MATCH($AX$192,INDEX($J$194:$N$195,1+INDEX(ia_s8_s7,AY$220,1),0)))</f>
        <v>1</v>
      </c>
      <c r="AZ224">
        <f t="array" aca="1" ref="AZ224" ca="1">INDEX(OFFSET($X$198:$AB$204,i_s7_len*(AZ$220-1),0),MATCH($AV224*AZ$222,OFFSET($I$198:$I$204,i_s7_len*(AZ$220-1),0)),MATCH($AX$192,INDEX($J$194:$N$195,1+INDEX(ia_s8_s7,AZ$220,1),0)))</f>
        <v>1</v>
      </c>
      <c r="BA224">
        <f t="array" aca="1" ref="BA224" ca="1">INDEX(OFFSET($X$198:$AB$204,i_s7_len*(BA$220-1),0),MATCH($AV224*BA$222,OFFSET($I$198:$I$204,i_s7_len*(BA$220-1),0)),MATCH($AX$192,INDEX($J$194:$N$195,1+INDEX(ia_s8_s7,BA$220,1),0)))</f>
        <v>1</v>
      </c>
      <c r="BB224">
        <f t="array" aca="1" ref="BB224" ca="1">INDEX(OFFSET($X$198:$AB$204,i_s7_len*(BB$220-1),0),MATCH($AV224*BB$222,OFFSET($I$198:$I$204,i_s7_len*(BB$220-1),0)),MATCH($AX$192,INDEX($J$194:$N$195,1+INDEX(ia_s8_s7,BB$220,1),0)))</f>
        <v>0.93548387096774188</v>
      </c>
      <c r="BC224">
        <f t="array" aca="1" ref="BC224" ca="1">INDEX(OFFSET($X$198:$AB$204,i_s7_len*(BC$220-1),0),MATCH($AV224*BC$222,OFFSET($I$198:$I$204,i_s7_len*(BC$220-1),0)),MATCH($AX$192,INDEX($J$194:$N$195,1+INDEX(ia_s8_s7,BC$220,1),0)))</f>
        <v>1</v>
      </c>
      <c r="BD224">
        <f t="array" aca="1" ref="BD224" ca="1">INDEX(OFFSET($X$198:$AB$204,i_s7_len*(BD$220-1),0),MATCH($AV224*BD$222,OFFSET($I$198:$I$204,i_s7_len*(BD$220-1),0)),MATCH($AX$192,INDEX($J$194:$N$195,1+INDEX(ia_s8_s7,BD$220,1),0)))</f>
        <v>0.70710678118654757</v>
      </c>
    </row>
    <row r="225" spans="1:56" outlineLevel="3" x14ac:dyDescent="0.25">
      <c r="A225" s="45"/>
      <c r="B225" s="54"/>
      <c r="C225" s="87">
        <f t="shared" si="66"/>
        <v>4</v>
      </c>
      <c r="D225" s="73"/>
      <c r="E225" s="70"/>
      <c r="F225" s="70">
        <f t="shared" si="67"/>
        <v>3</v>
      </c>
      <c r="G225" s="73"/>
      <c r="H225" s="76"/>
      <c r="I225" s="173">
        <f t="shared" si="65"/>
        <v>35.1</v>
      </c>
      <c r="J225" s="444">
        <f t="shared" si="65"/>
        <v>4.5</v>
      </c>
      <c r="K225" s="445">
        <f t="shared" si="65"/>
        <v>4.9000000000000004</v>
      </c>
      <c r="L225" s="445">
        <f t="shared" si="65"/>
        <v>4.9000000000000004</v>
      </c>
      <c r="M225" s="445">
        <f t="shared" si="65"/>
        <v>4.9000000000000004</v>
      </c>
      <c r="N225" s="446">
        <f t="shared" si="65"/>
        <v>4</v>
      </c>
      <c r="O225" s="443">
        <v>0</v>
      </c>
      <c r="P225" s="174"/>
      <c r="Q225" s="388">
        <v>0.92091092027238064</v>
      </c>
      <c r="R225" s="389">
        <v>0.9423076923076924</v>
      </c>
      <c r="S225" s="389">
        <v>0.9423076923076924</v>
      </c>
      <c r="T225" s="389">
        <v>0.9423076923076924</v>
      </c>
      <c r="U225" s="390">
        <v>0.97072534339415095</v>
      </c>
      <c r="V225" s="175">
        <v>0</v>
      </c>
      <c r="W225" s="174"/>
      <c r="X225" s="388">
        <v>0.93970502068610262</v>
      </c>
      <c r="Y225" s="389">
        <v>1</v>
      </c>
      <c r="Z225" s="389">
        <v>1</v>
      </c>
      <c r="AA225" s="389">
        <v>1</v>
      </c>
      <c r="AB225" s="390">
        <v>0.79242885175032729</v>
      </c>
      <c r="AC225" s="175">
        <v>0</v>
      </c>
      <c r="AD225" s="76"/>
      <c r="AE225" s="76"/>
      <c r="AF225" s="76"/>
      <c r="AG225" s="76"/>
      <c r="AH225" s="76"/>
      <c r="AI225" s="76"/>
      <c r="AJ225" s="76"/>
      <c r="AK225" s="76"/>
      <c r="AL225" s="76"/>
      <c r="AM225" s="76"/>
      <c r="AN225" s="73"/>
      <c r="AO225" s="57"/>
      <c r="AP225" s="45"/>
      <c r="AQ225" s="45"/>
      <c r="AR225" s="45"/>
      <c r="AS225" s="437"/>
      <c r="AT225" s="437"/>
      <c r="AV225" s="173">
        <v>40</v>
      </c>
      <c r="AW225">
        <f t="array" aca="1" ref="AW225" ca="1">INDEX(OFFSET($X$198:$AB$204,i_s7_len*(AW$220-1),0),MATCH($AV225*AW$222,OFFSET($I$198:$I$204,i_s7_len*(AW$220-1),0)),MATCH($AX$192,INDEX($J$194:$N$195,1+INDEX(ia_s8_s7,AW$220,1),0)))</f>
        <v>1</v>
      </c>
      <c r="AX225">
        <f t="array" aca="1" ref="AX225" ca="1">INDEX(OFFSET($X$198:$AB$204,i_s7_len*(AX$220-1),0),MATCH($AV225*AX$222,OFFSET($I$198:$I$204,i_s7_len*(AX$220-1),0)),MATCH($AX$192,INDEX($J$194:$N$195,1+INDEX(ia_s8_s7,AX$220,1),0)))</f>
        <v>1</v>
      </c>
      <c r="AY225">
        <f t="array" aca="1" ref="AY225" ca="1">INDEX(OFFSET($X$198:$AB$204,i_s7_len*(AY$220-1),0),MATCH($AV225*AY$222,OFFSET($I$198:$I$204,i_s7_len*(AY$220-1),0)),MATCH($AX$192,INDEX($J$194:$N$195,1+INDEX(ia_s8_s7,AY$220,1),0)))</f>
        <v>1</v>
      </c>
      <c r="AZ225">
        <f t="array" aca="1" ref="AZ225" ca="1">INDEX(OFFSET($X$198:$AB$204,i_s7_len*(AZ$220-1),0),MATCH($AV225*AZ$222,OFFSET($I$198:$I$204,i_s7_len*(AZ$220-1),0)),MATCH($AX$192,INDEX($J$194:$N$195,1+INDEX(ia_s8_s7,AZ$220,1),0)))</f>
        <v>1</v>
      </c>
      <c r="BA225">
        <f t="array" aca="1" ref="BA225" ca="1">INDEX(OFFSET($X$198:$AB$204,i_s7_len*(BA$220-1),0),MATCH($AV225*BA$222,OFFSET($I$198:$I$204,i_s7_len*(BA$220-1),0)),MATCH($AX$192,INDEX($J$194:$N$195,1+INDEX(ia_s8_s7,BA$220,1),0)))</f>
        <v>1</v>
      </c>
      <c r="BB225">
        <f t="array" aca="1" ref="BB225" ca="1">INDEX(OFFSET($X$198:$AB$204,i_s7_len*(BB$220-1),0),MATCH($AV225*BB$222,OFFSET($I$198:$I$204,i_s7_len*(BB$220-1),0)),MATCH($AX$192,INDEX($J$194:$N$195,1+INDEX(ia_s8_s7,BB$220,1),0)))</f>
        <v>0.93548387096774188</v>
      </c>
      <c r="BC225">
        <f t="array" aca="1" ref="BC225" ca="1">INDEX(OFFSET($X$198:$AB$204,i_s7_len*(BC$220-1),0),MATCH($AV225*BC$222,OFFSET($I$198:$I$204,i_s7_len*(BC$220-1),0)),MATCH($AX$192,INDEX($J$194:$N$195,1+INDEX(ia_s8_s7,BC$220,1),0)))</f>
        <v>1</v>
      </c>
      <c r="BD225">
        <f t="array" aca="1" ref="BD225" ca="1">INDEX(OFFSET($X$198:$AB$204,i_s7_len*(BD$220-1),0),MATCH($AV225*BD$222,OFFSET($I$198:$I$204,i_s7_len*(BD$220-1),0)),MATCH($AX$192,INDEX($J$194:$N$195,1+INDEX(ia_s8_s7,BD$220,1),0)))</f>
        <v>0.5</v>
      </c>
    </row>
    <row r="226" spans="1:56" outlineLevel="3" x14ac:dyDescent="0.25">
      <c r="A226" s="45"/>
      <c r="B226" s="54"/>
      <c r="C226" s="87">
        <f t="shared" si="66"/>
        <v>4</v>
      </c>
      <c r="D226" s="73"/>
      <c r="E226" s="70"/>
      <c r="F226" s="70">
        <f t="shared" si="67"/>
        <v>3</v>
      </c>
      <c r="G226" s="73"/>
      <c r="H226" s="76"/>
      <c r="I226" s="173">
        <f t="shared" si="65"/>
        <v>40.1</v>
      </c>
      <c r="J226" s="444">
        <f t="shared" si="65"/>
        <v>4.4000000000000004</v>
      </c>
      <c r="K226" s="445">
        <f t="shared" si="65"/>
        <v>4.5999999999999996</v>
      </c>
      <c r="L226" s="445">
        <f t="shared" si="65"/>
        <v>4.5999999999999996</v>
      </c>
      <c r="M226" s="445">
        <f t="shared" si="65"/>
        <v>4.5999999999999996</v>
      </c>
      <c r="N226" s="446">
        <f t="shared" si="65"/>
        <v>4</v>
      </c>
      <c r="O226" s="443">
        <v>0</v>
      </c>
      <c r="P226" s="174"/>
      <c r="Q226" s="388">
        <v>0.88230467439628724</v>
      </c>
      <c r="R226" s="389">
        <v>0.88461538461538447</v>
      </c>
      <c r="S226" s="389">
        <v>0.88461538461538447</v>
      </c>
      <c r="T226" s="389">
        <v>0.88461538461538447</v>
      </c>
      <c r="U226" s="390">
        <v>0.94053994312596023</v>
      </c>
      <c r="V226" s="175">
        <v>0</v>
      </c>
      <c r="W226" s="174"/>
      <c r="X226" s="388">
        <v>0.9590268199959644</v>
      </c>
      <c r="Y226" s="389">
        <v>1</v>
      </c>
      <c r="Z226" s="389">
        <v>1</v>
      </c>
      <c r="AA226" s="389">
        <v>1</v>
      </c>
      <c r="AB226" s="390">
        <v>0.81786082010953065</v>
      </c>
      <c r="AC226" s="175">
        <v>0</v>
      </c>
      <c r="AD226" s="76"/>
      <c r="AE226" s="76"/>
      <c r="AF226" s="76"/>
      <c r="AG226" s="76"/>
      <c r="AH226" s="76"/>
      <c r="AI226" s="76"/>
      <c r="AJ226" s="76"/>
      <c r="AK226" s="76"/>
      <c r="AL226" s="76"/>
      <c r="AM226" s="76"/>
      <c r="AN226" s="73"/>
      <c r="AO226" s="57"/>
      <c r="AP226" s="45"/>
      <c r="AQ226" s="45"/>
      <c r="AR226" s="45"/>
      <c r="AS226" s="437"/>
      <c r="AT226" s="437"/>
      <c r="AV226" s="173">
        <v>45</v>
      </c>
      <c r="AW226">
        <f t="array" aca="1" ref="AW226" ca="1">INDEX(OFFSET($X$198:$AB$204,i_s7_len*(AW$220-1),0),MATCH($AV226*AW$222,OFFSET($I$198:$I$204,i_s7_len*(AW$220-1),0)),MATCH($AX$192,INDEX($J$194:$N$195,1+INDEX(ia_s8_s7,AW$220,1),0)))</f>
        <v>1</v>
      </c>
      <c r="AX226">
        <f t="array" aca="1" ref="AX226" ca="1">INDEX(OFFSET($X$198:$AB$204,i_s7_len*(AX$220-1),0),MATCH($AV226*AX$222,OFFSET($I$198:$I$204,i_s7_len*(AX$220-1),0)),MATCH($AX$192,INDEX($J$194:$N$195,1+INDEX(ia_s8_s7,AX$220,1),0)))</f>
        <v>1</v>
      </c>
      <c r="AY226">
        <f t="array" aca="1" ref="AY226" ca="1">INDEX(OFFSET($X$198:$AB$204,i_s7_len*(AY$220-1),0),MATCH($AV226*AY$222,OFFSET($I$198:$I$204,i_s7_len*(AY$220-1),0)),MATCH($AX$192,INDEX($J$194:$N$195,1+INDEX(ia_s8_s7,AY$220,1),0)))</f>
        <v>1</v>
      </c>
      <c r="AZ226">
        <f t="array" aca="1" ref="AZ226" ca="1">INDEX(OFFSET($X$198:$AB$204,i_s7_len*(AZ$220-1),0),MATCH($AV226*AZ$222,OFFSET($I$198:$I$204,i_s7_len*(AZ$220-1),0)),MATCH($AX$192,INDEX($J$194:$N$195,1+INDEX(ia_s8_s7,AZ$220,1),0)))</f>
        <v>1</v>
      </c>
      <c r="BA226">
        <f t="array" aca="1" ref="BA226" ca="1">INDEX(OFFSET($X$198:$AB$204,i_s7_len*(BA$220-1),0),MATCH($AV226*BA$222,OFFSET($I$198:$I$204,i_s7_len*(BA$220-1),0)),MATCH($AX$192,INDEX($J$194:$N$195,1+INDEX(ia_s8_s7,BA$220,1),0)))</f>
        <v>1</v>
      </c>
      <c r="BB226">
        <f t="array" aca="1" ref="BB226" ca="1">INDEX(OFFSET($X$198:$AB$204,i_s7_len*(BB$220-1),0),MATCH($AV226*BB$222,OFFSET($I$198:$I$204,i_s7_len*(BB$220-1),0)),MATCH($AX$192,INDEX($J$194:$N$195,1+INDEX(ia_s8_s7,BB$220,1),0)))</f>
        <v>0.93548387096774188</v>
      </c>
      <c r="BC226">
        <f t="array" aca="1" ref="BC226" ca="1">INDEX(OFFSET($X$198:$AB$204,i_s7_len*(BC$220-1),0),MATCH($AV226*BC$222,OFFSET($I$198:$I$204,i_s7_len*(BC$220-1),0)),MATCH($AX$192,INDEX($J$194:$N$195,1+INDEX(ia_s8_s7,BC$220,1),0)))</f>
        <v>1</v>
      </c>
      <c r="BD226">
        <f t="array" aca="1" ref="BD226" ca="1">INDEX(OFFSET($X$198:$AB$204,i_s7_len*(BD$220-1),0),MATCH($AV226*BD$222,OFFSET($I$198:$I$204,i_s7_len*(BD$220-1),0)),MATCH($AX$192,INDEX($J$194:$N$195,1+INDEX(ia_s8_s7,BD$220,1),0)))</f>
        <v>0.5</v>
      </c>
    </row>
    <row r="227" spans="1:56" outlineLevel="3" x14ac:dyDescent="0.25">
      <c r="A227" s="45"/>
      <c r="B227" s="54"/>
      <c r="C227" s="87">
        <f t="shared" si="66"/>
        <v>4</v>
      </c>
      <c r="D227" s="73"/>
      <c r="E227" s="70"/>
      <c r="F227" s="70">
        <f t="shared" si="67"/>
        <v>3</v>
      </c>
      <c r="G227" s="73"/>
      <c r="H227" s="76"/>
      <c r="I227" s="173">
        <f t="shared" si="65"/>
        <v>45.1</v>
      </c>
      <c r="J227" s="444">
        <f t="shared" si="65"/>
        <v>4</v>
      </c>
      <c r="K227" s="445">
        <f t="shared" si="65"/>
        <v>4</v>
      </c>
      <c r="L227" s="445">
        <f t="shared" si="65"/>
        <v>4</v>
      </c>
      <c r="M227" s="445">
        <f t="shared" si="65"/>
        <v>4</v>
      </c>
      <c r="N227" s="446">
        <f t="shared" si="65"/>
        <v>4</v>
      </c>
      <c r="O227" s="443">
        <v>0</v>
      </c>
      <c r="P227" s="174"/>
      <c r="Q227" s="388">
        <v>0.78446454055273618</v>
      </c>
      <c r="R227" s="389">
        <v>0.76923076923076916</v>
      </c>
      <c r="S227" s="389">
        <v>0.76923076923076916</v>
      </c>
      <c r="T227" s="389">
        <v>0.76923076923076916</v>
      </c>
      <c r="U227" s="390">
        <v>0.8770580193070292</v>
      </c>
      <c r="V227" s="175">
        <v>0</v>
      </c>
      <c r="W227" s="174"/>
      <c r="X227" s="388">
        <v>0.98058067569092011</v>
      </c>
      <c r="Y227" s="389">
        <v>1</v>
      </c>
      <c r="Z227" s="389">
        <v>1</v>
      </c>
      <c r="AA227" s="389">
        <v>1</v>
      </c>
      <c r="AB227" s="390">
        <v>0.8770580193070292</v>
      </c>
      <c r="AC227" s="175">
        <v>0</v>
      </c>
      <c r="AD227" s="76"/>
      <c r="AE227" s="76"/>
      <c r="AF227" s="76"/>
      <c r="AG227" s="76"/>
      <c r="AH227" s="76"/>
      <c r="AI227" s="76"/>
      <c r="AJ227" s="76"/>
      <c r="AK227" s="76"/>
      <c r="AL227" s="76"/>
      <c r="AM227" s="76"/>
      <c r="AN227" s="73"/>
      <c r="AO227" s="57"/>
      <c r="AP227" s="45"/>
      <c r="AQ227" s="45"/>
      <c r="AR227" s="45"/>
      <c r="AS227" s="437"/>
      <c r="AT227" s="437"/>
      <c r="AV227" s="173">
        <v>50</v>
      </c>
      <c r="AW227">
        <f t="array" aca="1" ref="AW227" ca="1">INDEX(OFFSET($X$198:$AB$204,i_s7_len*(AW$220-1),0),MATCH($AV227*AW$222,OFFSET($I$198:$I$204,i_s7_len*(AW$220-1),0)),MATCH($AX$192,INDEX($J$194:$N$195,1+INDEX(ia_s8_s7,AW$220,1),0)))</f>
        <v>1</v>
      </c>
      <c r="AX227">
        <f t="array" aca="1" ref="AX227" ca="1">INDEX(OFFSET($X$198:$AB$204,i_s7_len*(AX$220-1),0),MATCH($AV227*AX$222,OFFSET($I$198:$I$204,i_s7_len*(AX$220-1),0)),MATCH($AX$192,INDEX($J$194:$N$195,1+INDEX(ia_s8_s7,AX$220,1),0)))</f>
        <v>1</v>
      </c>
      <c r="AY227">
        <f t="array" aca="1" ref="AY227" ca="1">INDEX(OFFSET($X$198:$AB$204,i_s7_len*(AY$220-1),0),MATCH($AV227*AY$222,OFFSET($I$198:$I$204,i_s7_len*(AY$220-1),0)),MATCH($AX$192,INDEX($J$194:$N$195,1+INDEX(ia_s8_s7,AY$220,1),0)))</f>
        <v>1</v>
      </c>
      <c r="AZ227">
        <f t="array" aca="1" ref="AZ227" ca="1">INDEX(OFFSET($X$198:$AB$204,i_s7_len*(AZ$220-1),0),MATCH($AV227*AZ$222,OFFSET($I$198:$I$204,i_s7_len*(AZ$220-1),0)),MATCH($AX$192,INDEX($J$194:$N$195,1+INDEX(ia_s8_s7,AZ$220,1),0)))</f>
        <v>1</v>
      </c>
      <c r="BA227">
        <f t="array" aca="1" ref="BA227" ca="1">INDEX(OFFSET($X$198:$AB$204,i_s7_len*(BA$220-1),0),MATCH($AV227*BA$222,OFFSET($I$198:$I$204,i_s7_len*(BA$220-1),0)),MATCH($AX$192,INDEX($J$194:$N$195,1+INDEX(ia_s8_s7,BA$220,1),0)))</f>
        <v>1</v>
      </c>
      <c r="BB227">
        <f t="array" aca="1" ref="BB227" ca="1">INDEX(OFFSET($X$198:$AB$204,i_s7_len*(BB$220-1),0),MATCH($AV227*BB$222,OFFSET($I$198:$I$204,i_s7_len*(BB$220-1),0)),MATCH($AX$192,INDEX($J$194:$N$195,1+INDEX(ia_s8_s7,BB$220,1),0)))</f>
        <v>0.93548387096774188</v>
      </c>
      <c r="BC227">
        <f t="array" aca="1" ref="BC227" ca="1">INDEX(OFFSET($X$198:$AB$204,i_s7_len*(BC$220-1),0),MATCH($AV227*BC$222,OFFSET($I$198:$I$204,i_s7_len*(BC$220-1),0)),MATCH($AX$192,INDEX($J$194:$N$195,1+INDEX(ia_s8_s7,BC$220,1),0)))</f>
        <v>1</v>
      </c>
      <c r="BD227">
        <f t="array" aca="1" ref="BD227" ca="1">INDEX(OFFSET($X$198:$AB$204,i_s7_len*(BD$220-1),0),MATCH($AV227*BD$222,OFFSET($I$198:$I$204,i_s7_len*(BD$220-1),0)),MATCH($AX$192,INDEX($J$194:$N$195,1+INDEX(ia_s8_s7,BD$220,1),0)))</f>
        <v>0.5</v>
      </c>
    </row>
    <row r="228" spans="1:56" outlineLevel="3" x14ac:dyDescent="0.25">
      <c r="A228" s="45"/>
      <c r="B228" s="54"/>
      <c r="C228" s="87">
        <f t="shared" si="66"/>
        <v>4</v>
      </c>
      <c r="D228" s="73"/>
      <c r="E228" s="70"/>
      <c r="F228" s="70">
        <f t="shared" si="67"/>
        <v>3</v>
      </c>
      <c r="G228" s="73"/>
      <c r="H228" s="76"/>
      <c r="I228" s="173">
        <f t="shared" si="65"/>
        <v>45.1</v>
      </c>
      <c r="J228" s="447">
        <f t="shared" si="65"/>
        <v>4</v>
      </c>
      <c r="K228" s="448">
        <f t="shared" si="65"/>
        <v>4</v>
      </c>
      <c r="L228" s="448">
        <f t="shared" si="65"/>
        <v>4</v>
      </c>
      <c r="M228" s="448">
        <f t="shared" si="65"/>
        <v>4</v>
      </c>
      <c r="N228" s="449">
        <f t="shared" si="65"/>
        <v>4</v>
      </c>
      <c r="O228" s="443">
        <v>0</v>
      </c>
      <c r="P228" s="174"/>
      <c r="Q228" s="391">
        <v>0.78446454055273618</v>
      </c>
      <c r="R228" s="392">
        <v>0.76923076923076916</v>
      </c>
      <c r="S228" s="392">
        <v>0.76923076923076916</v>
      </c>
      <c r="T228" s="392">
        <v>0.76923076923076916</v>
      </c>
      <c r="U228" s="393">
        <v>0.8770580193070292</v>
      </c>
      <c r="V228" s="175">
        <v>0</v>
      </c>
      <c r="W228" s="174"/>
      <c r="X228" s="391">
        <v>0.98058067569092011</v>
      </c>
      <c r="Y228" s="392">
        <v>1</v>
      </c>
      <c r="Z228" s="392">
        <v>1</v>
      </c>
      <c r="AA228" s="392">
        <v>1</v>
      </c>
      <c r="AB228" s="393">
        <v>0.8770580193070292</v>
      </c>
      <c r="AC228" s="175">
        <v>0</v>
      </c>
      <c r="AD228" s="76"/>
      <c r="AE228" s="76"/>
      <c r="AF228" s="76"/>
      <c r="AG228" s="76"/>
      <c r="AH228" s="76"/>
      <c r="AI228" s="76"/>
      <c r="AJ228" s="76"/>
      <c r="AK228" s="76"/>
      <c r="AL228" s="76"/>
      <c r="AM228" s="76"/>
      <c r="AN228" s="73"/>
      <c r="AO228" s="57"/>
      <c r="AP228" s="45"/>
      <c r="AQ228" s="45"/>
      <c r="AR228" s="45"/>
      <c r="AS228" s="437"/>
      <c r="AT228" s="437"/>
      <c r="AV228" s="173">
        <v>55</v>
      </c>
      <c r="AW228">
        <f t="array" aca="1" ref="AW228" ca="1">INDEX(OFFSET($X$198:$AB$204,i_s7_len*(AW$220-1),0),MATCH($AV228*AW$222,OFFSET($I$198:$I$204,i_s7_len*(AW$220-1),0)),MATCH($AX$192,INDEX($J$194:$N$195,1+INDEX(ia_s8_s7,AW$220,1),0)))</f>
        <v>1</v>
      </c>
      <c r="AX228">
        <f t="array" aca="1" ref="AX228" ca="1">INDEX(OFFSET($X$198:$AB$204,i_s7_len*(AX$220-1),0),MATCH($AV228*AX$222,OFFSET($I$198:$I$204,i_s7_len*(AX$220-1),0)),MATCH($AX$192,INDEX($J$194:$N$195,1+INDEX(ia_s8_s7,AX$220,1),0)))</f>
        <v>1</v>
      </c>
      <c r="AY228">
        <f t="array" aca="1" ref="AY228" ca="1">INDEX(OFFSET($X$198:$AB$204,i_s7_len*(AY$220-1),0),MATCH($AV228*AY$222,OFFSET($I$198:$I$204,i_s7_len*(AY$220-1),0)),MATCH($AX$192,INDEX($J$194:$N$195,1+INDEX(ia_s8_s7,AY$220,1),0)))</f>
        <v>1</v>
      </c>
      <c r="AZ228">
        <f t="array" aca="1" ref="AZ228" ca="1">INDEX(OFFSET($X$198:$AB$204,i_s7_len*(AZ$220-1),0),MATCH($AV228*AZ$222,OFFSET($I$198:$I$204,i_s7_len*(AZ$220-1),0)),MATCH($AX$192,INDEX($J$194:$N$195,1+INDEX(ia_s8_s7,AZ$220,1),0)))</f>
        <v>1</v>
      </c>
      <c r="BA228">
        <f t="array" aca="1" ref="BA228" ca="1">INDEX(OFFSET($X$198:$AB$204,i_s7_len*(BA$220-1),0),MATCH($AV228*BA$222,OFFSET($I$198:$I$204,i_s7_len*(BA$220-1),0)),MATCH($AX$192,INDEX($J$194:$N$195,1+INDEX(ia_s8_s7,BA$220,1),0)))</f>
        <v>1</v>
      </c>
      <c r="BB228">
        <f t="array" aca="1" ref="BB228" ca="1">INDEX(OFFSET($X$198:$AB$204,i_s7_len*(BB$220-1),0),MATCH($AV228*BB$222,OFFSET($I$198:$I$204,i_s7_len*(BB$220-1),0)),MATCH($AX$192,INDEX($J$194:$N$195,1+INDEX(ia_s8_s7,BB$220,1),0)))</f>
        <v>0.93548387096774188</v>
      </c>
      <c r="BC228">
        <f t="array" aca="1" ref="BC228" ca="1">INDEX(OFFSET($X$198:$AB$204,i_s7_len*(BC$220-1),0),MATCH($AV228*BC$222,OFFSET($I$198:$I$204,i_s7_len*(BC$220-1),0)),MATCH($AX$192,INDEX($J$194:$N$195,1+INDEX(ia_s8_s7,BC$220,1),0)))</f>
        <v>1</v>
      </c>
      <c r="BD228">
        <f t="array" aca="1" ref="BD228" ca="1">INDEX(OFFSET($X$198:$AB$204,i_s7_len*(BD$220-1),0),MATCH($AV228*BD$222,OFFSET($I$198:$I$204,i_s7_len*(BD$220-1),0)),MATCH($AX$192,INDEX($J$194:$N$195,1+INDEX(ia_s8_s7,BD$220,1),0)))</f>
        <v>0.5</v>
      </c>
    </row>
    <row r="229" spans="1:56" outlineLevel="3" x14ac:dyDescent="0.25">
      <c r="A229" s="45"/>
      <c r="B229" s="54"/>
      <c r="C229" s="87">
        <f t="shared" si="66"/>
        <v>4</v>
      </c>
      <c r="D229" s="73"/>
      <c r="E229" s="70"/>
      <c r="F229" s="70">
        <f t="shared" si="67"/>
        <v>3</v>
      </c>
      <c r="G229" s="73"/>
      <c r="H229" s="76"/>
      <c r="I229" s="96">
        <v>1000</v>
      </c>
      <c r="J229" s="450">
        <v>0</v>
      </c>
      <c r="K229" s="450">
        <v>0</v>
      </c>
      <c r="L229" s="450">
        <v>0</v>
      </c>
      <c r="M229" s="450">
        <v>0</v>
      </c>
      <c r="N229" s="450">
        <v>0</v>
      </c>
      <c r="O229" s="451">
        <v>0</v>
      </c>
      <c r="P229" s="76"/>
      <c r="Q229" s="384">
        <v>0</v>
      </c>
      <c r="R229" s="384">
        <v>0</v>
      </c>
      <c r="S229" s="384">
        <v>0</v>
      </c>
      <c r="T229" s="384">
        <v>0</v>
      </c>
      <c r="U229" s="384">
        <v>0</v>
      </c>
      <c r="V229" s="79">
        <v>0</v>
      </c>
      <c r="W229" s="76"/>
      <c r="X229" s="384">
        <v>0</v>
      </c>
      <c r="Y229" s="384">
        <v>0</v>
      </c>
      <c r="Z229" s="384">
        <v>0</v>
      </c>
      <c r="AA229" s="384">
        <v>0</v>
      </c>
      <c r="AB229" s="384">
        <v>0</v>
      </c>
      <c r="AC229" s="79">
        <v>0</v>
      </c>
      <c r="AD229" s="76"/>
      <c r="AE229" s="76"/>
      <c r="AF229" s="76"/>
      <c r="AG229" s="76"/>
      <c r="AH229" s="76"/>
      <c r="AI229" s="76"/>
      <c r="AJ229" s="76"/>
      <c r="AK229" s="76"/>
      <c r="AL229" s="76"/>
      <c r="AM229" s="76"/>
      <c r="AN229" s="73"/>
      <c r="AO229" s="57"/>
      <c r="AP229" s="45"/>
      <c r="AQ229" s="45"/>
      <c r="AR229" s="45"/>
      <c r="AS229" s="437"/>
      <c r="AT229" s="437"/>
      <c r="AV229" s="173">
        <v>60</v>
      </c>
      <c r="AW229">
        <f t="array" aca="1" ref="AW229" ca="1">INDEX(OFFSET($X$198:$AB$204,i_s7_len*(AW$220-1),0),MATCH($AV229*AW$222,OFFSET($I$198:$I$204,i_s7_len*(AW$220-1),0)),MATCH($AX$192,INDEX($J$194:$N$195,1+INDEX(ia_s8_s7,AW$220,1),0)))</f>
        <v>1</v>
      </c>
      <c r="AX229">
        <f t="array" aca="1" ref="AX229" ca="1">INDEX(OFFSET($X$198:$AB$204,i_s7_len*(AX$220-1),0),MATCH($AV229*AX$222,OFFSET($I$198:$I$204,i_s7_len*(AX$220-1),0)),MATCH($AX$192,INDEX($J$194:$N$195,1+INDEX(ia_s8_s7,AX$220,1),0)))</f>
        <v>1</v>
      </c>
      <c r="AY229">
        <f t="array" aca="1" ref="AY229" ca="1">INDEX(OFFSET($X$198:$AB$204,i_s7_len*(AY$220-1),0),MATCH($AV229*AY$222,OFFSET($I$198:$I$204,i_s7_len*(AY$220-1),0)),MATCH($AX$192,INDEX($J$194:$N$195,1+INDEX(ia_s8_s7,AY$220,1),0)))</f>
        <v>1</v>
      </c>
      <c r="AZ229">
        <f t="array" aca="1" ref="AZ229" ca="1">INDEX(OFFSET($X$198:$AB$204,i_s7_len*(AZ$220-1),0),MATCH($AV229*AZ$222,OFFSET($I$198:$I$204,i_s7_len*(AZ$220-1),0)),MATCH($AX$192,INDEX($J$194:$N$195,1+INDEX(ia_s8_s7,AZ$220,1),0)))</f>
        <v>1</v>
      </c>
      <c r="BA229">
        <f t="array" aca="1" ref="BA229" ca="1">INDEX(OFFSET($X$198:$AB$204,i_s7_len*(BA$220-1),0),MATCH($AV229*BA$222,OFFSET($I$198:$I$204,i_s7_len*(BA$220-1),0)),MATCH($AX$192,INDEX($J$194:$N$195,1+INDEX(ia_s8_s7,BA$220,1),0)))</f>
        <v>1</v>
      </c>
      <c r="BB229">
        <f t="array" aca="1" ref="BB229" ca="1">INDEX(OFFSET($X$198:$AB$204,i_s7_len*(BB$220-1),0),MATCH($AV229*BB$222,OFFSET($I$198:$I$204,i_s7_len*(BB$220-1),0)),MATCH($AX$192,INDEX($J$194:$N$195,1+INDEX(ia_s8_s7,BB$220,1),0)))</f>
        <v>0.93548387096774188</v>
      </c>
      <c r="BC229">
        <f t="array" aca="1" ref="BC229" ca="1">INDEX(OFFSET($X$198:$AB$204,i_s7_len*(BC$220-1),0),MATCH($AV229*BC$222,OFFSET($I$198:$I$204,i_s7_len*(BC$220-1),0)),MATCH($AX$192,INDEX($J$194:$N$195,1+INDEX(ia_s8_s7,BC$220,1),0)))</f>
        <v>1</v>
      </c>
      <c r="BD229">
        <f t="array" aca="1" ref="BD229" ca="1">INDEX(OFFSET($X$198:$AB$204,i_s7_len*(BD$220-1),0),MATCH($AV229*BD$222,OFFSET($I$198:$I$204,i_s7_len*(BD$220-1),0)),MATCH($AX$192,INDEX($J$194:$N$195,1+INDEX(ia_s8_s7,BD$220,1),0)))</f>
        <v>0.5</v>
      </c>
    </row>
    <row r="230" spans="1:56" outlineLevel="2" x14ac:dyDescent="0.25">
      <c r="A230" s="45"/>
      <c r="B230" s="54"/>
      <c r="C230" s="87">
        <f>INT($C$167)+2</f>
        <v>3</v>
      </c>
      <c r="D230" s="73"/>
      <c r="E230" s="70">
        <v>4</v>
      </c>
      <c r="F230" s="70">
        <f>E230</f>
        <v>4</v>
      </c>
      <c r="G230" s="73"/>
      <c r="H230" s="96" t="str">
        <f>INDEX($H$183:$H$190,$E230+1,1)</f>
        <v>Export wether grid (4)</v>
      </c>
      <c r="I230" s="173">
        <v>25</v>
      </c>
      <c r="J230" s="452">
        <v>26.194567913996277</v>
      </c>
      <c r="K230" s="453">
        <v>26.194567913996277</v>
      </c>
      <c r="L230" s="453">
        <v>26.194567913996277</v>
      </c>
      <c r="M230" s="453">
        <v>26.194567913996277</v>
      </c>
      <c r="N230" s="454">
        <v>17.463045275997519</v>
      </c>
      <c r="O230" s="443">
        <v>0</v>
      </c>
      <c r="P230" s="174"/>
      <c r="Q230" s="385">
        <v>0.233606542047718</v>
      </c>
      <c r="R230" s="386">
        <v>0.22907006084697065</v>
      </c>
      <c r="S230" s="386">
        <v>0.22907006084697065</v>
      </c>
      <c r="T230" s="386">
        <v>0.21828806594996897</v>
      </c>
      <c r="U230" s="387">
        <v>0.17823145950547564</v>
      </c>
      <c r="V230" s="175">
        <v>0</v>
      </c>
      <c r="W230" s="174"/>
      <c r="X230" s="385">
        <v>0.93442616819087199</v>
      </c>
      <c r="Y230" s="386">
        <v>0.95293145312339811</v>
      </c>
      <c r="Z230" s="386">
        <f t="shared" ref="Z230:Z236" si="68">AVERAGE(Y230,AA230)</f>
        <v>0.97646572656169905</v>
      </c>
      <c r="AA230" s="386">
        <v>1</v>
      </c>
      <c r="AB230" s="387">
        <v>0.81649658092772603</v>
      </c>
      <c r="AC230" s="175">
        <v>0</v>
      </c>
      <c r="AD230" s="76"/>
      <c r="AE230" s="76"/>
      <c r="AF230" s="76"/>
      <c r="AG230" s="76"/>
      <c r="AH230" s="76"/>
      <c r="AI230" s="76"/>
      <c r="AJ230" s="76"/>
      <c r="AK230" s="76"/>
      <c r="AL230" s="76"/>
      <c r="AM230" s="76"/>
      <c r="AN230" s="73"/>
      <c r="AO230" s="57"/>
      <c r="AP230" s="45"/>
      <c r="AQ230" s="45"/>
      <c r="AR230" s="45"/>
      <c r="AS230" s="437"/>
      <c r="AT230" s="437"/>
      <c r="AV230" s="173">
        <v>65</v>
      </c>
      <c r="AW230">
        <f t="array" aca="1" ref="AW230" ca="1">INDEX(OFFSET($X$198:$AB$204,i_s7_len*(AW$220-1),0),MATCH($AV230*AW$222,OFFSET($I$198:$I$204,i_s7_len*(AW$220-1),0)),MATCH($AX$192,INDEX($J$194:$N$195,1+INDEX(ia_s8_s7,AW$220,1),0)))</f>
        <v>1</v>
      </c>
      <c r="AX230">
        <f t="array" aca="1" ref="AX230" ca="1">INDEX(OFFSET($X$198:$AB$204,i_s7_len*(AX$220-1),0),MATCH($AV230*AX$222,OFFSET($I$198:$I$204,i_s7_len*(AX$220-1),0)),MATCH($AX$192,INDEX($J$194:$N$195,1+INDEX(ia_s8_s7,AX$220,1),0)))</f>
        <v>1</v>
      </c>
      <c r="AY230">
        <f t="array" aca="1" ref="AY230" ca="1">INDEX(OFFSET($X$198:$AB$204,i_s7_len*(AY$220-1),0),MATCH($AV230*AY$222,OFFSET($I$198:$I$204,i_s7_len*(AY$220-1),0)),MATCH($AX$192,INDEX($J$194:$N$195,1+INDEX(ia_s8_s7,AY$220,1),0)))</f>
        <v>1</v>
      </c>
      <c r="AZ230">
        <f t="array" aca="1" ref="AZ230" ca="1">INDEX(OFFSET($X$198:$AB$204,i_s7_len*(AZ$220-1),0),MATCH($AV230*AZ$222,OFFSET($I$198:$I$204,i_s7_len*(AZ$220-1),0)),MATCH($AX$192,INDEX($J$194:$N$195,1+INDEX(ia_s8_s7,AZ$220,1),0)))</f>
        <v>1</v>
      </c>
      <c r="BA230">
        <f t="array" aca="1" ref="BA230" ca="1">INDEX(OFFSET($X$198:$AB$204,i_s7_len*(BA$220-1),0),MATCH($AV230*BA$222,OFFSET($I$198:$I$204,i_s7_len*(BA$220-1),0)),MATCH($AX$192,INDEX($J$194:$N$195,1+INDEX(ia_s8_s7,BA$220,1),0)))</f>
        <v>1</v>
      </c>
      <c r="BB230">
        <f t="array" aca="1" ref="BB230" ca="1">INDEX(OFFSET($X$198:$AB$204,i_s7_len*(BB$220-1),0),MATCH($AV230*BB$222,OFFSET($I$198:$I$204,i_s7_len*(BB$220-1),0)),MATCH($AX$192,INDEX($J$194:$N$195,1+INDEX(ia_s8_s7,BB$220,1),0)))</f>
        <v>0.93548387096774188</v>
      </c>
      <c r="BC230">
        <f t="array" aca="1" ref="BC230" ca="1">INDEX(OFFSET($X$198:$AB$204,i_s7_len*(BC$220-1),0),MATCH($AV230*BC$222,OFFSET($I$198:$I$204,i_s7_len*(BC$220-1),0)),MATCH($AX$192,INDEX($J$194:$N$195,1+INDEX(ia_s8_s7,BC$220,1),0)))</f>
        <v>1</v>
      </c>
      <c r="BD230">
        <f t="array" aca="1" ref="BD230" ca="1">INDEX(OFFSET($X$198:$AB$204,i_s7_len*(BD$220-1),0),MATCH($AV230*BD$222,OFFSET($I$198:$I$204,i_s7_len*(BD$220-1),0)),MATCH($AX$192,INDEX($J$194:$N$195,1+INDEX(ia_s8_s7,BD$220,1),0)))</f>
        <v>0.5</v>
      </c>
    </row>
    <row r="231" spans="1:56" outlineLevel="3" x14ac:dyDescent="0.25">
      <c r="A231" s="45"/>
      <c r="B231" s="54"/>
      <c r="C231" s="87">
        <f t="shared" ref="C231:C237" si="69">INT($C$167)+3</f>
        <v>4</v>
      </c>
      <c r="D231" s="73"/>
      <c r="E231" s="70"/>
      <c r="F231" s="70">
        <f t="shared" ref="F231:F237" si="70">F230</f>
        <v>4</v>
      </c>
      <c r="G231" s="73"/>
      <c r="H231" s="176" t="str">
        <f>INDEX($M$175:$M$177,INDEX(i_salep_price_type_s7,$F231+1,1)+1,1)&amp;INDEX($L$175:$L$177,INDEX(ia_s8_s7,$F231+1,1)+1,1)</f>
        <v>$/hd, LW - Condition score</v>
      </c>
      <c r="I231" s="173">
        <v>35</v>
      </c>
      <c r="J231" s="455">
        <v>53.786179450072368</v>
      </c>
      <c r="K231" s="456">
        <v>53.786179450072368</v>
      </c>
      <c r="L231" s="456">
        <v>53.786179450072368</v>
      </c>
      <c r="M231" s="445">
        <v>84</v>
      </c>
      <c r="N231" s="446">
        <v>84</v>
      </c>
      <c r="O231" s="443">
        <v>0</v>
      </c>
      <c r="P231" s="174"/>
      <c r="Q231" s="388">
        <v>0.59944418700437274</v>
      </c>
      <c r="R231" s="389">
        <v>0.58780338593174208</v>
      </c>
      <c r="S231" s="389">
        <v>0.58780338593174208</v>
      </c>
      <c r="T231" s="389">
        <v>0.7</v>
      </c>
      <c r="U231" s="390">
        <v>0.7</v>
      </c>
      <c r="V231" s="175">
        <v>0</v>
      </c>
      <c r="W231" s="174"/>
      <c r="X231" s="388">
        <v>0.74772292700649168</v>
      </c>
      <c r="Y231" s="389">
        <v>0.7625307591133631</v>
      </c>
      <c r="Z231" s="389">
        <f t="shared" si="68"/>
        <v>0.88126537955668161</v>
      </c>
      <c r="AA231" s="389">
        <v>1</v>
      </c>
      <c r="AB231" s="390">
        <v>1</v>
      </c>
      <c r="AC231" s="175">
        <v>0</v>
      </c>
      <c r="AD231" s="76"/>
      <c r="AE231" s="76"/>
      <c r="AF231" s="76"/>
      <c r="AG231" s="76"/>
      <c r="AH231" s="76"/>
      <c r="AI231" s="76"/>
      <c r="AJ231" s="76"/>
      <c r="AK231" s="76"/>
      <c r="AL231" s="76"/>
      <c r="AM231" s="76"/>
      <c r="AN231" s="73"/>
      <c r="AO231" s="57"/>
      <c r="AP231" s="45"/>
      <c r="AQ231" s="45"/>
      <c r="AR231" s="45"/>
      <c r="AS231" s="437"/>
      <c r="AT231" s="437"/>
      <c r="AV231" s="173">
        <v>70</v>
      </c>
      <c r="AW231">
        <f t="array" aca="1" ref="AW231" ca="1">INDEX(OFFSET($X$198:$AB$204,i_s7_len*(AW$220-1),0),MATCH($AV231*AW$222,OFFSET($I$198:$I$204,i_s7_len*(AW$220-1),0)),MATCH($AX$192,INDEX($J$194:$N$195,1+INDEX(ia_s8_s7,AW$220,1),0)))</f>
        <v>1</v>
      </c>
      <c r="AX231">
        <f t="array" aca="1" ref="AX231" ca="1">INDEX(OFFSET($X$198:$AB$204,i_s7_len*(AX$220-1),0),MATCH($AV231*AX$222,OFFSET($I$198:$I$204,i_s7_len*(AX$220-1),0)),MATCH($AX$192,INDEX($J$194:$N$195,1+INDEX(ia_s8_s7,AX$220,1),0)))</f>
        <v>1</v>
      </c>
      <c r="AY231">
        <f t="array" aca="1" ref="AY231" ca="1">INDEX(OFFSET($X$198:$AB$204,i_s7_len*(AY$220-1),0),MATCH($AV231*AY$222,OFFSET($I$198:$I$204,i_s7_len*(AY$220-1),0)),MATCH($AX$192,INDEX($J$194:$N$195,1+INDEX(ia_s8_s7,AY$220,1),0)))</f>
        <v>1</v>
      </c>
      <c r="AZ231">
        <f t="array" aca="1" ref="AZ231" ca="1">INDEX(OFFSET($X$198:$AB$204,i_s7_len*(AZ$220-1),0),MATCH($AV231*AZ$222,OFFSET($I$198:$I$204,i_s7_len*(AZ$220-1),0)),MATCH($AX$192,INDEX($J$194:$N$195,1+INDEX(ia_s8_s7,AZ$220,1),0)))</f>
        <v>1</v>
      </c>
      <c r="BA231">
        <f t="array" aca="1" ref="BA231" ca="1">INDEX(OFFSET($X$198:$AB$204,i_s7_len*(BA$220-1),0),MATCH($AV231*BA$222,OFFSET($I$198:$I$204,i_s7_len*(BA$220-1),0)),MATCH($AX$192,INDEX($J$194:$N$195,1+INDEX(ia_s8_s7,BA$220,1),0)))</f>
        <v>1</v>
      </c>
      <c r="BB231">
        <f t="array" aca="1" ref="BB231" ca="1">INDEX(OFFSET($X$198:$AB$204,i_s7_len*(BB$220-1),0),MATCH($AV231*BB$222,OFFSET($I$198:$I$204,i_s7_len*(BB$220-1),0)),MATCH($AX$192,INDEX($J$194:$N$195,1+INDEX(ia_s8_s7,BB$220,1),0)))</f>
        <v>0.93548387096774188</v>
      </c>
      <c r="BC231">
        <f t="array" aca="1" ref="BC231" ca="1">INDEX(OFFSET($X$198:$AB$204,i_s7_len*(BC$220-1),0),MATCH($AV231*BC$222,OFFSET($I$198:$I$204,i_s7_len*(BC$220-1),0)),MATCH($AX$192,INDEX($J$194:$N$195,1+INDEX(ia_s8_s7,BC$220,1),0)))</f>
        <v>1</v>
      </c>
      <c r="BD231">
        <f t="array" aca="1" ref="BD231" ca="1">INDEX(OFFSET($X$198:$AB$204,i_s7_len*(BD$220-1),0),MATCH($AV231*BD$222,OFFSET($I$198:$I$204,i_s7_len*(BD$220-1),0)),MATCH($AX$192,INDEX($J$194:$N$195,1+INDEX(ia_s8_s7,BD$220,1),0)))</f>
        <v>0.5</v>
      </c>
    </row>
    <row r="232" spans="1:56" outlineLevel="3" x14ac:dyDescent="0.25">
      <c r="A232" s="45"/>
      <c r="B232" s="54"/>
      <c r="C232" s="87">
        <f t="shared" si="69"/>
        <v>4</v>
      </c>
      <c r="D232" s="73"/>
      <c r="E232" s="70"/>
      <c r="F232" s="70">
        <f t="shared" si="70"/>
        <v>4</v>
      </c>
      <c r="G232" s="73"/>
      <c r="H232" s="97" t="s">
        <v>257</v>
      </c>
      <c r="I232" s="173">
        <v>40</v>
      </c>
      <c r="J232" s="457">
        <v>69.852181103990077</v>
      </c>
      <c r="K232" s="458">
        <v>72.64626834814969</v>
      </c>
      <c r="L232" s="458">
        <v>72.64626834814969</v>
      </c>
      <c r="M232" s="445">
        <v>92</v>
      </c>
      <c r="N232" s="446">
        <v>92</v>
      </c>
      <c r="O232" s="443">
        <v>0</v>
      </c>
      <c r="P232" s="174"/>
      <c r="Q232" s="388">
        <v>0.7149203529842405</v>
      </c>
      <c r="R232" s="389">
        <v>0.71492035298424061</v>
      </c>
      <c r="S232" s="389">
        <v>0.71492035298424061</v>
      </c>
      <c r="T232" s="389">
        <v>0.76666666666666661</v>
      </c>
      <c r="U232" s="390">
        <v>0.76666666666666661</v>
      </c>
      <c r="V232" s="175">
        <v>0</v>
      </c>
      <c r="W232" s="174"/>
      <c r="X232" s="388">
        <v>0.81421868431929911</v>
      </c>
      <c r="Y232" s="389">
        <v>0.84678743169207127</v>
      </c>
      <c r="Z232" s="389">
        <f t="shared" si="68"/>
        <v>0.92339371584603569</v>
      </c>
      <c r="AA232" s="389">
        <v>1</v>
      </c>
      <c r="AB232" s="390">
        <v>1</v>
      </c>
      <c r="AC232" s="175">
        <v>0</v>
      </c>
      <c r="AD232" s="76"/>
      <c r="AE232" s="76"/>
      <c r="AF232" s="76"/>
      <c r="AG232" s="76"/>
      <c r="AH232" s="76"/>
      <c r="AI232" s="76"/>
      <c r="AJ232" s="76"/>
      <c r="AK232" s="76"/>
      <c r="AL232" s="76"/>
      <c r="AM232" s="76"/>
      <c r="AN232" s="73"/>
      <c r="AO232" s="57"/>
      <c r="AP232" s="45"/>
      <c r="AQ232" s="45"/>
      <c r="AR232" s="45"/>
      <c r="AS232" s="437"/>
      <c r="AT232" s="437"/>
    </row>
    <row r="233" spans="1:56" outlineLevel="3" x14ac:dyDescent="0.25">
      <c r="A233" s="45"/>
      <c r="B233" s="54"/>
      <c r="C233" s="87">
        <f t="shared" si="69"/>
        <v>4</v>
      </c>
      <c r="D233" s="73"/>
      <c r="E233" s="70"/>
      <c r="F233" s="70">
        <f t="shared" si="70"/>
        <v>4</v>
      </c>
      <c r="G233" s="73"/>
      <c r="H233" s="97" t="s">
        <v>2542</v>
      </c>
      <c r="I233" s="173">
        <v>45</v>
      </c>
      <c r="J233" s="457">
        <v>78.583703741988842</v>
      </c>
      <c r="K233" s="458">
        <v>81.727051891668395</v>
      </c>
      <c r="L233" s="458">
        <v>81.727051891668395</v>
      </c>
      <c r="M233" s="445">
        <v>99.000000000000014</v>
      </c>
      <c r="N233" s="446">
        <v>99.000000000000014</v>
      </c>
      <c r="O233" s="443">
        <v>0</v>
      </c>
      <c r="P233" s="174"/>
      <c r="Q233" s="388">
        <v>0.78660663612761372</v>
      </c>
      <c r="R233" s="389">
        <v>0.78660663612761372</v>
      </c>
      <c r="S233" s="389">
        <v>0.78660663612761372</v>
      </c>
      <c r="T233" s="389">
        <v>0.82500000000000018</v>
      </c>
      <c r="U233" s="390">
        <v>0.82500000000000018</v>
      </c>
      <c r="V233" s="175">
        <v>0</v>
      </c>
      <c r="W233" s="174"/>
      <c r="X233" s="388">
        <v>0.83251801824828009</v>
      </c>
      <c r="Y233" s="389">
        <v>0.86581873897821138</v>
      </c>
      <c r="Z233" s="389">
        <f t="shared" si="68"/>
        <v>0.93290936948910574</v>
      </c>
      <c r="AA233" s="389">
        <v>1</v>
      </c>
      <c r="AB233" s="390">
        <v>1</v>
      </c>
      <c r="AC233" s="175">
        <v>0</v>
      </c>
      <c r="AD233" s="76"/>
      <c r="AE233" s="76"/>
      <c r="AF233" s="76"/>
      <c r="AG233" s="76"/>
      <c r="AH233" s="76"/>
      <c r="AI233" s="76"/>
      <c r="AJ233" s="76"/>
      <c r="AK233" s="76"/>
      <c r="AL233" s="76"/>
      <c r="AM233" s="76"/>
      <c r="AN233" s="73"/>
      <c r="AO233" s="57"/>
      <c r="AP233" s="45"/>
      <c r="AQ233" s="45"/>
      <c r="AR233" s="45"/>
      <c r="AS233" s="437"/>
      <c r="AT233" s="437"/>
    </row>
    <row r="234" spans="1:56" outlineLevel="3" x14ac:dyDescent="0.25">
      <c r="A234" s="45"/>
      <c r="B234" s="54"/>
      <c r="C234" s="87">
        <f t="shared" si="69"/>
        <v>4</v>
      </c>
      <c r="D234" s="73"/>
      <c r="E234" s="70"/>
      <c r="F234" s="70">
        <f t="shared" si="70"/>
        <v>4</v>
      </c>
      <c r="G234" s="73"/>
      <c r="H234" s="76"/>
      <c r="I234" s="173">
        <v>50</v>
      </c>
      <c r="J234" s="457">
        <v>87.315226379987593</v>
      </c>
      <c r="K234" s="458">
        <v>90.807835435187116</v>
      </c>
      <c r="L234" s="458">
        <v>90.807835435187116</v>
      </c>
      <c r="M234" s="445">
        <v>105</v>
      </c>
      <c r="N234" s="446">
        <v>105</v>
      </c>
      <c r="O234" s="443">
        <v>0</v>
      </c>
      <c r="P234" s="174"/>
      <c r="Q234" s="388">
        <v>0.8539125638299665</v>
      </c>
      <c r="R234" s="389">
        <v>0.85391256382996661</v>
      </c>
      <c r="S234" s="389">
        <v>0.85391256382996661</v>
      </c>
      <c r="T234" s="389">
        <v>0.875</v>
      </c>
      <c r="U234" s="390">
        <v>0.875</v>
      </c>
      <c r="V234" s="175">
        <v>0</v>
      </c>
      <c r="W234" s="174"/>
      <c r="X234" s="388">
        <v>0.85210935793747578</v>
      </c>
      <c r="Y234" s="389">
        <v>0.886193732254975</v>
      </c>
      <c r="Z234" s="389">
        <f t="shared" si="68"/>
        <v>0.94309686612748744</v>
      </c>
      <c r="AA234" s="389">
        <v>1</v>
      </c>
      <c r="AB234" s="390">
        <v>1</v>
      </c>
      <c r="AC234" s="175">
        <v>0</v>
      </c>
      <c r="AD234" s="76"/>
      <c r="AE234" s="76"/>
      <c r="AF234" s="76"/>
      <c r="AG234" s="76"/>
      <c r="AH234" s="76"/>
      <c r="AI234" s="76"/>
      <c r="AJ234" s="76"/>
      <c r="AK234" s="76"/>
      <c r="AL234" s="76"/>
      <c r="AM234" s="76"/>
      <c r="AN234" s="73"/>
      <c r="AO234" s="57"/>
      <c r="AP234" s="45"/>
      <c r="AQ234" s="45"/>
      <c r="AR234" s="45"/>
      <c r="AS234" s="437"/>
      <c r="AT234" s="437"/>
    </row>
    <row r="235" spans="1:56" outlineLevel="3" x14ac:dyDescent="0.25">
      <c r="A235" s="45"/>
      <c r="B235" s="54"/>
      <c r="C235" s="87">
        <f t="shared" si="69"/>
        <v>4</v>
      </c>
      <c r="D235" s="73"/>
      <c r="E235" s="70"/>
      <c r="F235" s="70">
        <f t="shared" si="70"/>
        <v>4</v>
      </c>
      <c r="G235" s="73"/>
      <c r="H235" s="76"/>
      <c r="I235" s="173">
        <v>55</v>
      </c>
      <c r="J235" s="457">
        <v>96.046749017986357</v>
      </c>
      <c r="K235" s="458">
        <v>99.888618978705821</v>
      </c>
      <c r="L235" s="458">
        <v>99.888618978705821</v>
      </c>
      <c r="M235" s="445">
        <v>110</v>
      </c>
      <c r="N235" s="446">
        <v>110</v>
      </c>
      <c r="O235" s="443">
        <v>0</v>
      </c>
      <c r="P235" s="174"/>
      <c r="Q235" s="388">
        <v>0.91666666666666663</v>
      </c>
      <c r="R235" s="389">
        <v>0.91666666666666674</v>
      </c>
      <c r="S235" s="389">
        <v>0.91666666666666674</v>
      </c>
      <c r="T235" s="389">
        <v>0.91666666666666663</v>
      </c>
      <c r="U235" s="390">
        <v>0.91666666666666663</v>
      </c>
      <c r="V235" s="175">
        <v>0</v>
      </c>
      <c r="W235" s="174"/>
      <c r="X235" s="388">
        <v>0.87315226379987598</v>
      </c>
      <c r="Y235" s="389">
        <v>0.90807835435187101</v>
      </c>
      <c r="Z235" s="389">
        <f t="shared" si="68"/>
        <v>0.95403917717593556</v>
      </c>
      <c r="AA235" s="389">
        <v>1</v>
      </c>
      <c r="AB235" s="390">
        <v>1</v>
      </c>
      <c r="AC235" s="175">
        <v>0</v>
      </c>
      <c r="AD235" s="76"/>
      <c r="AE235" s="76"/>
      <c r="AF235" s="76"/>
      <c r="AG235" s="76"/>
      <c r="AH235" s="76"/>
      <c r="AI235" s="76"/>
      <c r="AJ235" s="76"/>
      <c r="AK235" s="76"/>
      <c r="AL235" s="76"/>
      <c r="AM235" s="76"/>
      <c r="AN235" s="73"/>
      <c r="AO235" s="57"/>
      <c r="AP235" s="45"/>
      <c r="AQ235" s="45"/>
      <c r="AR235" s="45"/>
      <c r="AS235" s="437"/>
      <c r="AT235" s="437"/>
    </row>
    <row r="236" spans="1:56" outlineLevel="3" x14ac:dyDescent="0.25">
      <c r="A236" s="45"/>
      <c r="B236" s="54"/>
      <c r="C236" s="87">
        <f t="shared" si="69"/>
        <v>4</v>
      </c>
      <c r="D236" s="73"/>
      <c r="E236" s="70"/>
      <c r="F236" s="70">
        <f t="shared" si="70"/>
        <v>4</v>
      </c>
      <c r="G236" s="73"/>
      <c r="H236" s="76"/>
      <c r="I236" s="173">
        <v>60</v>
      </c>
      <c r="J236" s="459">
        <v>104.77827165598511</v>
      </c>
      <c r="K236" s="460">
        <v>108.96940252222453</v>
      </c>
      <c r="L236" s="460">
        <v>108.96940252222453</v>
      </c>
      <c r="M236" s="448">
        <v>120</v>
      </c>
      <c r="N236" s="449">
        <v>120</v>
      </c>
      <c r="O236" s="443">
        <v>0</v>
      </c>
      <c r="P236" s="174"/>
      <c r="Q236" s="391">
        <v>1</v>
      </c>
      <c r="R236" s="392">
        <v>1</v>
      </c>
      <c r="S236" s="392">
        <v>1</v>
      </c>
      <c r="T236" s="392">
        <v>1</v>
      </c>
      <c r="U236" s="393">
        <v>1</v>
      </c>
      <c r="V236" s="175">
        <v>0</v>
      </c>
      <c r="W236" s="174"/>
      <c r="X236" s="391">
        <v>0.87315226379987587</v>
      </c>
      <c r="Y236" s="392">
        <v>0.90807835435187101</v>
      </c>
      <c r="Z236" s="392">
        <f t="shared" si="68"/>
        <v>0.95403917717593556</v>
      </c>
      <c r="AA236" s="392">
        <v>1</v>
      </c>
      <c r="AB236" s="393">
        <v>1</v>
      </c>
      <c r="AC236" s="175">
        <v>0</v>
      </c>
      <c r="AD236" s="76"/>
      <c r="AE236" s="76"/>
      <c r="AF236" s="76"/>
      <c r="AG236" s="76"/>
      <c r="AH236" s="76"/>
      <c r="AI236" s="76"/>
      <c r="AJ236" s="76"/>
      <c r="AK236" s="76"/>
      <c r="AL236" s="76"/>
      <c r="AM236" s="76"/>
      <c r="AN236" s="73"/>
      <c r="AO236" s="57"/>
      <c r="AP236" s="45"/>
      <c r="AQ236" s="45"/>
      <c r="AR236" s="45"/>
      <c r="AS236" s="437"/>
      <c r="AT236" s="437"/>
    </row>
    <row r="237" spans="1:56" outlineLevel="3" x14ac:dyDescent="0.25">
      <c r="A237" s="45"/>
      <c r="B237" s="54"/>
      <c r="C237" s="87">
        <f t="shared" si="69"/>
        <v>4</v>
      </c>
      <c r="D237" s="73"/>
      <c r="E237" s="70"/>
      <c r="F237" s="70">
        <f t="shared" si="70"/>
        <v>4</v>
      </c>
      <c r="G237" s="73"/>
      <c r="H237" s="76"/>
      <c r="I237" s="96">
        <v>1000</v>
      </c>
      <c r="J237" s="450">
        <v>0</v>
      </c>
      <c r="K237" s="450">
        <v>0</v>
      </c>
      <c r="L237" s="450">
        <v>0</v>
      </c>
      <c r="M237" s="450">
        <v>0</v>
      </c>
      <c r="N237" s="450">
        <v>0</v>
      </c>
      <c r="O237" s="451">
        <v>0</v>
      </c>
      <c r="P237" s="76"/>
      <c r="Q237" s="384">
        <v>0</v>
      </c>
      <c r="R237" s="384">
        <v>0</v>
      </c>
      <c r="S237" s="384">
        <v>0</v>
      </c>
      <c r="T237" s="384">
        <v>0</v>
      </c>
      <c r="U237" s="384">
        <v>0</v>
      </c>
      <c r="V237" s="79">
        <v>0</v>
      </c>
      <c r="W237" s="76"/>
      <c r="X237" s="384">
        <v>0</v>
      </c>
      <c r="Y237" s="384">
        <v>0</v>
      </c>
      <c r="Z237" s="384">
        <v>0</v>
      </c>
      <c r="AA237" s="384">
        <v>0</v>
      </c>
      <c r="AB237" s="384">
        <v>0</v>
      </c>
      <c r="AC237" s="79">
        <v>0</v>
      </c>
      <c r="AD237" s="76"/>
      <c r="AE237" s="76"/>
      <c r="AF237" s="76"/>
      <c r="AG237" s="76"/>
      <c r="AH237" s="76"/>
      <c r="AI237" s="76"/>
      <c r="AJ237" s="76"/>
      <c r="AK237" s="76"/>
      <c r="AL237" s="76"/>
      <c r="AM237" s="76"/>
      <c r="AN237" s="73"/>
      <c r="AO237" s="57"/>
      <c r="AP237" s="45"/>
      <c r="AQ237" s="45"/>
      <c r="AR237" s="45"/>
      <c r="AS237" s="437"/>
      <c r="AT237" s="437"/>
    </row>
    <row r="238" spans="1:56" outlineLevel="2" x14ac:dyDescent="0.25">
      <c r="A238" s="45"/>
      <c r="B238" s="54"/>
      <c r="C238" s="87">
        <f>INT($C$167)+2</f>
        <v>3</v>
      </c>
      <c r="D238" s="73"/>
      <c r="E238" s="70">
        <v>5</v>
      </c>
      <c r="F238" s="70">
        <f>E238</f>
        <v>5</v>
      </c>
      <c r="G238" s="73"/>
      <c r="H238" s="96" t="str">
        <f>INDEX($H$183:$H$190,$E238+1,1)</f>
        <v>Breeder grid (5)</v>
      </c>
      <c r="I238" s="173">
        <f>I246/0.43</f>
        <v>23.488372093023255</v>
      </c>
      <c r="J238" s="452">
        <v>23.516900971676659</v>
      </c>
      <c r="K238" s="453">
        <v>23.516900971676659</v>
      </c>
      <c r="L238" s="441">
        <v>130</v>
      </c>
      <c r="M238" s="441">
        <v>145</v>
      </c>
      <c r="N238" s="442">
        <v>155</v>
      </c>
      <c r="O238" s="443">
        <v>0</v>
      </c>
      <c r="P238" s="174"/>
      <c r="Q238" s="385">
        <v>0.59357019921433796</v>
      </c>
      <c r="R238" s="386">
        <v>0.58204346701558951</v>
      </c>
      <c r="S238" s="386">
        <v>1</v>
      </c>
      <c r="T238" s="386">
        <v>1</v>
      </c>
      <c r="U238" s="387">
        <v>1</v>
      </c>
      <c r="V238" s="175">
        <v>0</v>
      </c>
      <c r="W238" s="174"/>
      <c r="X238" s="385">
        <v>0.25560909552665378</v>
      </c>
      <c r="Y238" s="386">
        <v>0.26067115318844203</v>
      </c>
      <c r="Z238" s="386">
        <v>0.83870967741935487</v>
      </c>
      <c r="AA238" s="386">
        <v>0.93548387096774188</v>
      </c>
      <c r="AB238" s="387">
        <v>1</v>
      </c>
      <c r="AC238" s="175">
        <v>0</v>
      </c>
      <c r="AD238" s="76"/>
      <c r="AE238" s="76"/>
      <c r="AF238" s="76"/>
      <c r="AG238" s="76"/>
      <c r="AH238" s="76"/>
      <c r="AI238" s="76"/>
      <c r="AJ238" s="76"/>
      <c r="AK238" s="76"/>
      <c r="AL238" s="76"/>
      <c r="AM238" s="76"/>
      <c r="AN238" s="73"/>
      <c r="AO238" s="57"/>
      <c r="AP238" s="45"/>
      <c r="AQ238" s="45"/>
      <c r="AR238" s="45"/>
      <c r="AS238" s="437"/>
      <c r="AT238" s="437"/>
    </row>
    <row r="239" spans="1:56" outlineLevel="3" x14ac:dyDescent="0.25">
      <c r="A239" s="45"/>
      <c r="B239" s="54"/>
      <c r="C239" s="87">
        <f t="shared" ref="C239:C245" si="71">INT($C$167)+3</f>
        <v>4</v>
      </c>
      <c r="D239" s="73"/>
      <c r="E239" s="70"/>
      <c r="F239" s="70">
        <f t="shared" ref="F239:F245" si="72">F238</f>
        <v>5</v>
      </c>
      <c r="G239" s="73"/>
      <c r="H239" s="176" t="str">
        <f>INDEX($M$175:$M$177,INDEX(i_salep_price_type_s7,$F239+1,1)+1,1)&amp;INDEX($L$175:$L$177,INDEX(ia_s8_s7,$F239+1,1)+1,1)</f>
        <v>$/hd, LW - Condition score</v>
      </c>
      <c r="I239" s="173">
        <f>I247/0.43</f>
        <v>32.790697674418603</v>
      </c>
      <c r="J239" s="455">
        <v>48.151436841017158</v>
      </c>
      <c r="K239" s="456">
        <v>48.151436841017158</v>
      </c>
      <c r="L239" s="445">
        <v>130</v>
      </c>
      <c r="M239" s="445">
        <v>145</v>
      </c>
      <c r="N239" s="446">
        <v>155</v>
      </c>
      <c r="O239" s="443">
        <v>0</v>
      </c>
      <c r="P239" s="174"/>
      <c r="Q239" s="388">
        <v>0.84934995663578461</v>
      </c>
      <c r="R239" s="389">
        <v>0.83285615437597138</v>
      </c>
      <c r="S239" s="389">
        <v>1</v>
      </c>
      <c r="T239" s="389">
        <v>1</v>
      </c>
      <c r="U239" s="390">
        <v>1</v>
      </c>
      <c r="V239" s="175">
        <v>0</v>
      </c>
      <c r="W239" s="174"/>
      <c r="X239" s="388">
        <v>0.3657555155037025</v>
      </c>
      <c r="Y239" s="389">
        <v>0.37299890215151349</v>
      </c>
      <c r="Z239" s="389">
        <v>0.83870967741935487</v>
      </c>
      <c r="AA239" s="389">
        <v>0.93548387096774188</v>
      </c>
      <c r="AB239" s="390">
        <v>1</v>
      </c>
      <c r="AC239" s="175">
        <v>0</v>
      </c>
      <c r="AD239" s="76"/>
      <c r="AE239" s="76"/>
      <c r="AF239" s="76"/>
      <c r="AG239" s="76"/>
      <c r="AH239" s="76"/>
      <c r="AI239" s="76"/>
      <c r="AJ239" s="76"/>
      <c r="AK239" s="76"/>
      <c r="AL239" s="76"/>
      <c r="AM239" s="76"/>
      <c r="AN239" s="73"/>
      <c r="AO239" s="57"/>
      <c r="AP239" s="45"/>
      <c r="AQ239" s="45"/>
      <c r="AR239" s="45"/>
      <c r="AS239" s="437"/>
      <c r="AT239" s="437"/>
    </row>
    <row r="240" spans="1:56" outlineLevel="3" x14ac:dyDescent="0.25">
      <c r="A240" s="45"/>
      <c r="B240" s="54"/>
      <c r="C240" s="87">
        <f t="shared" si="71"/>
        <v>4</v>
      </c>
      <c r="D240" s="73"/>
      <c r="E240" s="70"/>
      <c r="F240" s="70">
        <f t="shared" si="72"/>
        <v>5</v>
      </c>
      <c r="G240" s="73"/>
      <c r="H240" s="97" t="s">
        <v>258</v>
      </c>
      <c r="I240" s="173">
        <v>40</v>
      </c>
      <c r="J240" s="457">
        <v>66.747639721590517</v>
      </c>
      <c r="K240" s="458">
        <v>69.417545310454145</v>
      </c>
      <c r="L240" s="445">
        <v>130</v>
      </c>
      <c r="M240" s="445">
        <v>145</v>
      </c>
      <c r="N240" s="446">
        <v>155</v>
      </c>
      <c r="O240" s="443">
        <v>0</v>
      </c>
      <c r="P240" s="174"/>
      <c r="Q240" s="388">
        <v>1</v>
      </c>
      <c r="R240" s="389">
        <v>1</v>
      </c>
      <c r="S240" s="389">
        <v>1</v>
      </c>
      <c r="T240" s="389">
        <v>1</v>
      </c>
      <c r="U240" s="390">
        <v>1</v>
      </c>
      <c r="V240" s="175">
        <v>0</v>
      </c>
      <c r="W240" s="174"/>
      <c r="X240" s="388">
        <v>0.43062993368768077</v>
      </c>
      <c r="Y240" s="389">
        <v>0.44785513103518804</v>
      </c>
      <c r="Z240" s="389">
        <v>0.83870967741935487</v>
      </c>
      <c r="AA240" s="389">
        <v>0.93548387096774188</v>
      </c>
      <c r="AB240" s="390">
        <v>1</v>
      </c>
      <c r="AC240" s="175">
        <v>0</v>
      </c>
      <c r="AD240" s="76"/>
      <c r="AE240" s="76"/>
      <c r="AF240" s="76"/>
      <c r="AG240" s="76"/>
      <c r="AH240" s="76"/>
      <c r="AI240" s="76"/>
      <c r="AJ240" s="76"/>
      <c r="AK240" s="76"/>
      <c r="AL240" s="76"/>
      <c r="AM240" s="76"/>
      <c r="AN240" s="73"/>
      <c r="AO240" s="57"/>
      <c r="AP240" s="45"/>
      <c r="AQ240" s="45"/>
      <c r="AR240" s="45"/>
      <c r="AS240" s="437"/>
      <c r="AT240" s="437"/>
    </row>
    <row r="241" spans="1:46" outlineLevel="3" x14ac:dyDescent="0.25">
      <c r="A241" s="45"/>
      <c r="B241" s="54"/>
      <c r="C241" s="87">
        <f t="shared" si="71"/>
        <v>4</v>
      </c>
      <c r="D241" s="73"/>
      <c r="E241" s="70"/>
      <c r="F241" s="70">
        <f t="shared" si="72"/>
        <v>5</v>
      </c>
      <c r="G241" s="73"/>
      <c r="H241" s="97" t="s">
        <v>2543</v>
      </c>
      <c r="I241" s="173">
        <f>I240</f>
        <v>40</v>
      </c>
      <c r="J241" s="457">
        <v>66.747639721590517</v>
      </c>
      <c r="K241" s="458">
        <v>69.417545310454145</v>
      </c>
      <c r="L241" s="445">
        <v>130</v>
      </c>
      <c r="M241" s="445">
        <v>145</v>
      </c>
      <c r="N241" s="446">
        <v>155</v>
      </c>
      <c r="O241" s="443">
        <v>0</v>
      </c>
      <c r="P241" s="174"/>
      <c r="Q241" s="388">
        <v>1</v>
      </c>
      <c r="R241" s="389">
        <v>1</v>
      </c>
      <c r="S241" s="389">
        <v>1</v>
      </c>
      <c r="T241" s="389">
        <v>1</v>
      </c>
      <c r="U241" s="390">
        <v>1</v>
      </c>
      <c r="V241" s="175">
        <v>0</v>
      </c>
      <c r="W241" s="174"/>
      <c r="X241" s="388">
        <v>0.43062993368768077</v>
      </c>
      <c r="Y241" s="389">
        <v>0.44785513103518804</v>
      </c>
      <c r="Z241" s="389">
        <v>0.83870967741935487</v>
      </c>
      <c r="AA241" s="389">
        <v>0.93548387096774188</v>
      </c>
      <c r="AB241" s="390">
        <v>1</v>
      </c>
      <c r="AC241" s="175">
        <v>0</v>
      </c>
      <c r="AD241" s="76"/>
      <c r="AE241" s="76"/>
      <c r="AF241" s="76"/>
      <c r="AG241" s="76"/>
      <c r="AH241" s="76"/>
      <c r="AI241" s="76"/>
      <c r="AJ241" s="76"/>
      <c r="AK241" s="76"/>
      <c r="AL241" s="76"/>
      <c r="AM241" s="76"/>
      <c r="AN241" s="73"/>
      <c r="AO241" s="57"/>
      <c r="AP241" s="45"/>
      <c r="AQ241" s="45"/>
      <c r="AR241" s="45"/>
      <c r="AS241" s="437"/>
      <c r="AT241" s="437"/>
    </row>
    <row r="242" spans="1:46" outlineLevel="3" x14ac:dyDescent="0.25">
      <c r="A242" s="45"/>
      <c r="B242" s="54"/>
      <c r="C242" s="87">
        <f t="shared" si="71"/>
        <v>4</v>
      </c>
      <c r="D242" s="73"/>
      <c r="E242" s="70"/>
      <c r="F242" s="70">
        <f t="shared" si="72"/>
        <v>5</v>
      </c>
      <c r="G242" s="73"/>
      <c r="H242" s="76"/>
      <c r="I242" s="173">
        <f>I241</f>
        <v>40</v>
      </c>
      <c r="J242" s="457">
        <v>66.747639721590517</v>
      </c>
      <c r="K242" s="458">
        <v>69.417545310454145</v>
      </c>
      <c r="L242" s="445">
        <v>130</v>
      </c>
      <c r="M242" s="445">
        <v>145</v>
      </c>
      <c r="N242" s="446">
        <v>155</v>
      </c>
      <c r="O242" s="443">
        <v>0</v>
      </c>
      <c r="P242" s="174"/>
      <c r="Q242" s="388">
        <v>1</v>
      </c>
      <c r="R242" s="389">
        <v>1</v>
      </c>
      <c r="S242" s="389">
        <v>1</v>
      </c>
      <c r="T242" s="389">
        <v>1</v>
      </c>
      <c r="U242" s="390">
        <v>1</v>
      </c>
      <c r="V242" s="175">
        <v>0</v>
      </c>
      <c r="W242" s="174"/>
      <c r="X242" s="388">
        <v>0.43062993368768077</v>
      </c>
      <c r="Y242" s="389">
        <v>0.44785513103518804</v>
      </c>
      <c r="Z242" s="389">
        <v>0.83870967741935487</v>
      </c>
      <c r="AA242" s="389">
        <v>0.93548387096774188</v>
      </c>
      <c r="AB242" s="390">
        <v>1</v>
      </c>
      <c r="AC242" s="175">
        <v>0</v>
      </c>
      <c r="AD242" s="76"/>
      <c r="AE242" s="76"/>
      <c r="AF242" s="76"/>
      <c r="AG242" s="76"/>
      <c r="AH242" s="76"/>
      <c r="AI242" s="76"/>
      <c r="AJ242" s="76"/>
      <c r="AK242" s="76"/>
      <c r="AL242" s="76"/>
      <c r="AM242" s="76"/>
      <c r="AN242" s="73"/>
      <c r="AO242" s="57"/>
      <c r="AP242" s="45"/>
      <c r="AQ242" s="45"/>
      <c r="AR242" s="45"/>
      <c r="AS242" s="437"/>
      <c r="AT242" s="437"/>
    </row>
    <row r="243" spans="1:46" outlineLevel="3" x14ac:dyDescent="0.25">
      <c r="A243" s="45"/>
      <c r="B243" s="54"/>
      <c r="C243" s="87">
        <f t="shared" si="71"/>
        <v>4</v>
      </c>
      <c r="D243" s="73"/>
      <c r="E243" s="70"/>
      <c r="F243" s="70">
        <f t="shared" si="72"/>
        <v>5</v>
      </c>
      <c r="G243" s="73"/>
      <c r="H243" s="76"/>
      <c r="I243" s="173">
        <f>I242</f>
        <v>40</v>
      </c>
      <c r="J243" s="457">
        <v>66.747639721590517</v>
      </c>
      <c r="K243" s="458">
        <v>69.417545310454145</v>
      </c>
      <c r="L243" s="445">
        <v>130</v>
      </c>
      <c r="M243" s="445">
        <v>145</v>
      </c>
      <c r="N243" s="446">
        <v>155</v>
      </c>
      <c r="O243" s="443">
        <v>0</v>
      </c>
      <c r="P243" s="174"/>
      <c r="Q243" s="388">
        <v>1</v>
      </c>
      <c r="R243" s="389">
        <v>1</v>
      </c>
      <c r="S243" s="389">
        <v>1</v>
      </c>
      <c r="T243" s="389">
        <v>1</v>
      </c>
      <c r="U243" s="390">
        <v>1</v>
      </c>
      <c r="V243" s="175">
        <v>0</v>
      </c>
      <c r="W243" s="174"/>
      <c r="X243" s="388">
        <v>0.43062993368768077</v>
      </c>
      <c r="Y243" s="389">
        <v>0.44785513103518804</v>
      </c>
      <c r="Z243" s="389">
        <v>0.83870967741935487</v>
      </c>
      <c r="AA243" s="389">
        <v>0.93548387096774188</v>
      </c>
      <c r="AB243" s="390">
        <v>1</v>
      </c>
      <c r="AC243" s="175">
        <v>0</v>
      </c>
      <c r="AD243" s="76"/>
      <c r="AE243" s="76"/>
      <c r="AF243" s="76"/>
      <c r="AG243" s="76"/>
      <c r="AH243" s="76"/>
      <c r="AI243" s="76"/>
      <c r="AJ243" s="76"/>
      <c r="AK243" s="76"/>
      <c r="AL243" s="76"/>
      <c r="AM243" s="76"/>
      <c r="AN243" s="73"/>
      <c r="AO243" s="57"/>
      <c r="AP243" s="45"/>
      <c r="AQ243" s="45"/>
      <c r="AR243" s="45"/>
      <c r="AS243" s="437"/>
      <c r="AT243" s="437"/>
    </row>
    <row r="244" spans="1:46" outlineLevel="3" x14ac:dyDescent="0.25">
      <c r="A244" s="45"/>
      <c r="B244" s="54"/>
      <c r="C244" s="87">
        <f t="shared" si="71"/>
        <v>4</v>
      </c>
      <c r="D244" s="73"/>
      <c r="E244" s="70"/>
      <c r="F244" s="70">
        <f t="shared" si="72"/>
        <v>5</v>
      </c>
      <c r="G244" s="73"/>
      <c r="H244" s="76"/>
      <c r="I244" s="173">
        <f>I243</f>
        <v>40</v>
      </c>
      <c r="J244" s="459">
        <v>66.747639721590517</v>
      </c>
      <c r="K244" s="460">
        <v>69.417545310454145</v>
      </c>
      <c r="L244" s="448">
        <v>130</v>
      </c>
      <c r="M244" s="448">
        <v>145</v>
      </c>
      <c r="N244" s="449">
        <v>155</v>
      </c>
      <c r="O244" s="443">
        <v>0</v>
      </c>
      <c r="P244" s="174"/>
      <c r="Q244" s="391">
        <v>1</v>
      </c>
      <c r="R244" s="392">
        <v>1</v>
      </c>
      <c r="S244" s="392">
        <v>1</v>
      </c>
      <c r="T244" s="392">
        <v>1</v>
      </c>
      <c r="U244" s="393">
        <v>1</v>
      </c>
      <c r="V244" s="175">
        <v>0</v>
      </c>
      <c r="W244" s="174"/>
      <c r="X244" s="391">
        <v>0.43062993368768077</v>
      </c>
      <c r="Y244" s="392">
        <v>0.44785513103518804</v>
      </c>
      <c r="Z244" s="392">
        <v>0.83870967741935487</v>
      </c>
      <c r="AA244" s="392">
        <v>0.93548387096774188</v>
      </c>
      <c r="AB244" s="393">
        <v>1</v>
      </c>
      <c r="AC244" s="175">
        <v>0</v>
      </c>
      <c r="AD244" s="76"/>
      <c r="AE244" s="76"/>
      <c r="AF244" s="76"/>
      <c r="AG244" s="76"/>
      <c r="AH244" s="76"/>
      <c r="AI244" s="76"/>
      <c r="AJ244" s="76"/>
      <c r="AK244" s="76"/>
      <c r="AL244" s="76"/>
      <c r="AM244" s="76"/>
      <c r="AN244" s="73"/>
      <c r="AO244" s="57"/>
      <c r="AP244" s="45"/>
      <c r="AQ244" s="45"/>
      <c r="AR244" s="45"/>
      <c r="AS244" s="437"/>
      <c r="AT244" s="437"/>
    </row>
    <row r="245" spans="1:46" outlineLevel="3" x14ac:dyDescent="0.25">
      <c r="A245" s="45"/>
      <c r="B245" s="54"/>
      <c r="C245" s="87">
        <f t="shared" si="71"/>
        <v>4</v>
      </c>
      <c r="D245" s="73"/>
      <c r="E245" s="70"/>
      <c r="F245" s="70">
        <f t="shared" si="72"/>
        <v>5</v>
      </c>
      <c r="G245" s="73"/>
      <c r="H245" s="76"/>
      <c r="I245" s="96">
        <v>1000</v>
      </c>
      <c r="J245" s="450">
        <v>0</v>
      </c>
      <c r="K245" s="450">
        <v>0</v>
      </c>
      <c r="L245" s="450">
        <v>0</v>
      </c>
      <c r="M245" s="450">
        <v>0</v>
      </c>
      <c r="N245" s="450">
        <v>0</v>
      </c>
      <c r="O245" s="451">
        <v>0</v>
      </c>
      <c r="P245" s="76"/>
      <c r="Q245" s="384">
        <v>0</v>
      </c>
      <c r="R245" s="384">
        <v>0</v>
      </c>
      <c r="S245" s="384">
        <v>0</v>
      </c>
      <c r="T245" s="384">
        <v>0</v>
      </c>
      <c r="U245" s="384">
        <v>0</v>
      </c>
      <c r="V245" s="79">
        <v>0</v>
      </c>
      <c r="W245" s="76"/>
      <c r="X245" s="384">
        <v>0</v>
      </c>
      <c r="Y245" s="384">
        <v>0</v>
      </c>
      <c r="Z245" s="384">
        <v>0</v>
      </c>
      <c r="AA245" s="384">
        <v>0</v>
      </c>
      <c r="AB245" s="384">
        <v>0</v>
      </c>
      <c r="AC245" s="79">
        <v>0</v>
      </c>
      <c r="AD245" s="76"/>
      <c r="AE245" s="76"/>
      <c r="AF245" s="76"/>
      <c r="AG245" s="76"/>
      <c r="AH245" s="76"/>
      <c r="AI245" s="76"/>
      <c r="AJ245" s="76"/>
      <c r="AK245" s="76"/>
      <c r="AL245" s="76"/>
      <c r="AM245" s="76"/>
      <c r="AN245" s="73"/>
      <c r="AO245" s="57"/>
      <c r="AP245" s="45"/>
      <c r="AQ245" s="45"/>
      <c r="AR245" s="45"/>
      <c r="AS245" s="437"/>
      <c r="AT245" s="437"/>
    </row>
    <row r="246" spans="1:46" outlineLevel="2" x14ac:dyDescent="0.25">
      <c r="A246" s="45"/>
      <c r="B246" s="54"/>
      <c r="C246" s="87">
        <f>INT($C$167)+2</f>
        <v>3</v>
      </c>
      <c r="D246" s="73"/>
      <c r="E246" s="70">
        <v>6</v>
      </c>
      <c r="F246" s="70">
        <f>E246</f>
        <v>6</v>
      </c>
      <c r="G246" s="73"/>
      <c r="H246" s="96" t="str">
        <f>INDEX($H$183:$H$190,$E246+1,1)</f>
        <v>Mutton grid (6)</v>
      </c>
      <c r="I246" s="173">
        <v>10.1</v>
      </c>
      <c r="J246" s="440">
        <v>3</v>
      </c>
      <c r="K246" s="441">
        <v>3</v>
      </c>
      <c r="L246" s="441">
        <v>3</v>
      </c>
      <c r="M246" s="441">
        <v>3</v>
      </c>
      <c r="N246" s="442">
        <v>2</v>
      </c>
      <c r="O246" s="443">
        <v>0</v>
      </c>
      <c r="P246" s="174"/>
      <c r="Q246" s="385">
        <v>0.58834840541455213</v>
      </c>
      <c r="R246" s="386">
        <v>0.57692307692307687</v>
      </c>
      <c r="S246" s="386">
        <v>0.57692307692307687</v>
      </c>
      <c r="T246" s="386">
        <v>0.57692307692307687</v>
      </c>
      <c r="U246" s="387">
        <v>0.53708615552957462</v>
      </c>
      <c r="V246" s="175">
        <v>0</v>
      </c>
      <c r="W246" s="174"/>
      <c r="X246" s="385">
        <v>0.98058067569092011</v>
      </c>
      <c r="Y246" s="386">
        <v>1</v>
      </c>
      <c r="Z246" s="386">
        <v>1</v>
      </c>
      <c r="AA246" s="386">
        <v>1</v>
      </c>
      <c r="AB246" s="387">
        <v>0.71611487403943286</v>
      </c>
      <c r="AC246" s="175">
        <v>0</v>
      </c>
      <c r="AD246" s="76"/>
      <c r="AE246" s="76"/>
      <c r="AF246" s="76"/>
      <c r="AG246" s="76"/>
      <c r="AH246" s="76"/>
      <c r="AI246" s="76"/>
      <c r="AJ246" s="76"/>
      <c r="AK246" s="76"/>
      <c r="AL246" s="76"/>
      <c r="AM246" s="76"/>
      <c r="AN246" s="73"/>
      <c r="AO246" s="57"/>
      <c r="AP246" s="45"/>
      <c r="AQ246" s="45"/>
      <c r="AR246" s="45"/>
      <c r="AS246" s="437"/>
      <c r="AT246" s="437"/>
    </row>
    <row r="247" spans="1:46" outlineLevel="3" x14ac:dyDescent="0.25">
      <c r="A247" s="45"/>
      <c r="B247" s="54"/>
      <c r="C247" s="87">
        <f t="shared" ref="C247:C253" si="73">INT($C$167)+3</f>
        <v>4</v>
      </c>
      <c r="D247" s="73"/>
      <c r="E247" s="70"/>
      <c r="F247" s="70">
        <f t="shared" ref="F247:F253" si="74">F246</f>
        <v>6</v>
      </c>
      <c r="G247" s="73"/>
      <c r="H247" s="176" t="str">
        <f>INDEX($M$175:$M$177,INDEX(i_salep_price_type_s7,$F247+1,1)+1,1)&amp;INDEX($L$175:$L$177,INDEX(ia_s8_s7,$F247+1,1)+1,1)</f>
        <v>$/kg DW, DW - Fat score</v>
      </c>
      <c r="I247" s="173">
        <v>14.1</v>
      </c>
      <c r="J247" s="444">
        <v>4.4000000000000004</v>
      </c>
      <c r="K247" s="445">
        <v>4.4000000000000004</v>
      </c>
      <c r="L247" s="445">
        <v>4.4000000000000004</v>
      </c>
      <c r="M247" s="445">
        <v>4.4000000000000004</v>
      </c>
      <c r="N247" s="446">
        <v>2</v>
      </c>
      <c r="O247" s="443">
        <v>0</v>
      </c>
      <c r="P247" s="174"/>
      <c r="Q247" s="388">
        <v>0.8629109946080098</v>
      </c>
      <c r="R247" s="389">
        <v>0.84615384615384615</v>
      </c>
      <c r="S247" s="389">
        <v>0.84615384615384615</v>
      </c>
      <c r="T247" s="389">
        <v>0.84615384615384615</v>
      </c>
      <c r="U247" s="390">
        <v>0.6504436355879909</v>
      </c>
      <c r="V247" s="175">
        <v>0</v>
      </c>
      <c r="W247" s="174"/>
      <c r="X247" s="388">
        <v>0.98058067569092011</v>
      </c>
      <c r="Y247" s="389">
        <v>1</v>
      </c>
      <c r="Z247" s="389">
        <v>1</v>
      </c>
      <c r="AA247" s="389">
        <v>1</v>
      </c>
      <c r="AB247" s="390">
        <v>0.59131239598908258</v>
      </c>
      <c r="AC247" s="175">
        <v>0</v>
      </c>
      <c r="AD247" s="76"/>
      <c r="AE247" s="76"/>
      <c r="AF247" s="76"/>
      <c r="AG247" s="76"/>
      <c r="AH247" s="76"/>
      <c r="AI247" s="76"/>
      <c r="AJ247" s="76"/>
      <c r="AK247" s="76"/>
      <c r="AL247" s="76"/>
      <c r="AM247" s="76"/>
      <c r="AN247" s="73"/>
      <c r="AO247" s="57"/>
      <c r="AP247" s="45"/>
      <c r="AQ247" s="45"/>
      <c r="AR247" s="45"/>
      <c r="AS247" s="437"/>
      <c r="AT247" s="437"/>
    </row>
    <row r="248" spans="1:46" outlineLevel="3" x14ac:dyDescent="0.25">
      <c r="A248" s="45"/>
      <c r="B248" s="54"/>
      <c r="C248" s="87">
        <f t="shared" si="73"/>
        <v>4</v>
      </c>
      <c r="D248" s="73"/>
      <c r="E248" s="70"/>
      <c r="F248" s="70">
        <f t="shared" si="74"/>
        <v>6</v>
      </c>
      <c r="G248" s="73"/>
      <c r="H248" s="97" t="s">
        <v>259</v>
      </c>
      <c r="I248" s="173">
        <v>18.100000000000001</v>
      </c>
      <c r="J248" s="444">
        <v>5</v>
      </c>
      <c r="K248" s="445">
        <v>5.2</v>
      </c>
      <c r="L248" s="445">
        <v>5.2</v>
      </c>
      <c r="M248" s="445">
        <v>5.2</v>
      </c>
      <c r="N248" s="446">
        <v>4</v>
      </c>
      <c r="O248" s="443">
        <v>0</v>
      </c>
      <c r="P248" s="174"/>
      <c r="Q248" s="388">
        <v>1</v>
      </c>
      <c r="R248" s="389">
        <v>1</v>
      </c>
      <c r="S248" s="389">
        <v>1</v>
      </c>
      <c r="T248" s="389">
        <v>1</v>
      </c>
      <c r="U248" s="390">
        <v>1</v>
      </c>
      <c r="V248" s="175">
        <v>0</v>
      </c>
      <c r="W248" s="174"/>
      <c r="X248" s="388">
        <v>0.96153846153846145</v>
      </c>
      <c r="Y248" s="389">
        <v>1</v>
      </c>
      <c r="Z248" s="389">
        <v>1</v>
      </c>
      <c r="AA248" s="389">
        <v>1</v>
      </c>
      <c r="AB248" s="390">
        <v>0.76923076923076916</v>
      </c>
      <c r="AC248" s="175">
        <v>0</v>
      </c>
      <c r="AD248" s="76"/>
      <c r="AE248" s="76"/>
      <c r="AF248" s="76"/>
      <c r="AG248" s="76"/>
      <c r="AH248" s="76"/>
      <c r="AI248" s="76"/>
      <c r="AJ248" s="76"/>
      <c r="AK248" s="76"/>
      <c r="AL248" s="76"/>
      <c r="AM248" s="76"/>
      <c r="AN248" s="73"/>
      <c r="AO248" s="57"/>
      <c r="AP248" s="45"/>
      <c r="AQ248" s="45"/>
      <c r="AR248" s="45"/>
      <c r="AS248" s="437"/>
      <c r="AT248" s="437"/>
    </row>
    <row r="249" spans="1:46" outlineLevel="3" x14ac:dyDescent="0.25">
      <c r="A249" s="45"/>
      <c r="B249" s="54"/>
      <c r="C249" s="87">
        <f t="shared" si="73"/>
        <v>4</v>
      </c>
      <c r="D249" s="73"/>
      <c r="E249" s="70"/>
      <c r="F249" s="70">
        <f t="shared" si="74"/>
        <v>6</v>
      </c>
      <c r="G249" s="73"/>
      <c r="H249" s="76"/>
      <c r="I249" s="173">
        <v>35.1</v>
      </c>
      <c r="J249" s="444">
        <v>4.5</v>
      </c>
      <c r="K249" s="445">
        <v>4.9000000000000004</v>
      </c>
      <c r="L249" s="445">
        <v>4.9000000000000004</v>
      </c>
      <c r="M249" s="445">
        <v>4.9000000000000004</v>
      </c>
      <c r="N249" s="446">
        <v>4</v>
      </c>
      <c r="O249" s="443">
        <v>0</v>
      </c>
      <c r="P249" s="174"/>
      <c r="Q249" s="388">
        <v>0.92091092027238064</v>
      </c>
      <c r="R249" s="389">
        <v>0.9423076923076924</v>
      </c>
      <c r="S249" s="389">
        <v>0.9423076923076924</v>
      </c>
      <c r="T249" s="389">
        <v>0.9423076923076924</v>
      </c>
      <c r="U249" s="390">
        <v>0.97072534339415095</v>
      </c>
      <c r="V249" s="175">
        <v>0</v>
      </c>
      <c r="W249" s="174"/>
      <c r="X249" s="388">
        <v>0.93970502068610262</v>
      </c>
      <c r="Y249" s="389">
        <v>1</v>
      </c>
      <c r="Z249" s="389">
        <v>1</v>
      </c>
      <c r="AA249" s="389">
        <v>1</v>
      </c>
      <c r="AB249" s="390">
        <v>0.79242885175032729</v>
      </c>
      <c r="AC249" s="175">
        <v>0</v>
      </c>
      <c r="AD249" s="76"/>
      <c r="AE249" s="76"/>
      <c r="AF249" s="76"/>
      <c r="AG249" s="76"/>
      <c r="AH249" s="76"/>
      <c r="AI249" s="76"/>
      <c r="AJ249" s="76"/>
      <c r="AK249" s="76"/>
      <c r="AL249" s="76"/>
      <c r="AM249" s="76"/>
      <c r="AN249" s="73"/>
      <c r="AO249" s="57"/>
      <c r="AP249" s="45"/>
      <c r="AQ249" s="45"/>
      <c r="AR249" s="45"/>
      <c r="AS249" s="437"/>
      <c r="AT249" s="437"/>
    </row>
    <row r="250" spans="1:46" outlineLevel="3" x14ac:dyDescent="0.25">
      <c r="A250" s="45"/>
      <c r="B250" s="54"/>
      <c r="C250" s="87">
        <f t="shared" si="73"/>
        <v>4</v>
      </c>
      <c r="D250" s="73"/>
      <c r="E250" s="70"/>
      <c r="F250" s="70">
        <f t="shared" si="74"/>
        <v>6</v>
      </c>
      <c r="G250" s="73"/>
      <c r="H250" s="76"/>
      <c r="I250" s="173">
        <v>40.1</v>
      </c>
      <c r="J250" s="444">
        <v>4.4000000000000004</v>
      </c>
      <c r="K250" s="445">
        <v>4.5999999999999996</v>
      </c>
      <c r="L250" s="445">
        <v>4.5999999999999996</v>
      </c>
      <c r="M250" s="445">
        <v>4.5999999999999996</v>
      </c>
      <c r="N250" s="446">
        <v>4</v>
      </c>
      <c r="O250" s="443">
        <v>0</v>
      </c>
      <c r="P250" s="174"/>
      <c r="Q250" s="388">
        <v>0.88230467439628724</v>
      </c>
      <c r="R250" s="389">
        <v>0.88461538461538447</v>
      </c>
      <c r="S250" s="389">
        <v>0.88461538461538447</v>
      </c>
      <c r="T250" s="389">
        <v>0.88461538461538447</v>
      </c>
      <c r="U250" s="390">
        <v>0.94053994312596023</v>
      </c>
      <c r="V250" s="175">
        <v>0</v>
      </c>
      <c r="W250" s="174"/>
      <c r="X250" s="388">
        <v>0.9590268199959644</v>
      </c>
      <c r="Y250" s="389">
        <v>1</v>
      </c>
      <c r="Z250" s="389">
        <v>1</v>
      </c>
      <c r="AA250" s="389">
        <v>1</v>
      </c>
      <c r="AB250" s="390">
        <v>0.81786082010953065</v>
      </c>
      <c r="AC250" s="175">
        <v>0</v>
      </c>
      <c r="AD250" s="76"/>
      <c r="AE250" s="76"/>
      <c r="AF250" s="76"/>
      <c r="AG250" s="76"/>
      <c r="AH250" s="76"/>
      <c r="AI250" s="76"/>
      <c r="AJ250" s="76"/>
      <c r="AK250" s="76"/>
      <c r="AL250" s="76"/>
      <c r="AM250" s="76"/>
      <c r="AN250" s="73"/>
      <c r="AO250" s="57"/>
      <c r="AP250" s="45"/>
      <c r="AQ250" s="45"/>
      <c r="AR250" s="45"/>
      <c r="AS250" s="437"/>
      <c r="AT250" s="437"/>
    </row>
    <row r="251" spans="1:46" outlineLevel="3" x14ac:dyDescent="0.25">
      <c r="A251" s="45"/>
      <c r="B251" s="54"/>
      <c r="C251" s="87">
        <f t="shared" si="73"/>
        <v>4</v>
      </c>
      <c r="D251" s="73"/>
      <c r="E251" s="70"/>
      <c r="F251" s="70">
        <f t="shared" si="74"/>
        <v>6</v>
      </c>
      <c r="G251" s="73"/>
      <c r="H251" s="76"/>
      <c r="I251" s="173">
        <v>45.1</v>
      </c>
      <c r="J251" s="444">
        <v>4</v>
      </c>
      <c r="K251" s="445">
        <v>4</v>
      </c>
      <c r="L251" s="445">
        <v>4</v>
      </c>
      <c r="M251" s="445">
        <v>4</v>
      </c>
      <c r="N251" s="446">
        <v>4</v>
      </c>
      <c r="O251" s="443">
        <v>0</v>
      </c>
      <c r="P251" s="174"/>
      <c r="Q251" s="388">
        <v>0.78446454055273618</v>
      </c>
      <c r="R251" s="389">
        <v>0.76923076923076916</v>
      </c>
      <c r="S251" s="389">
        <v>0.76923076923076916</v>
      </c>
      <c r="T251" s="389">
        <v>0.76923076923076916</v>
      </c>
      <c r="U251" s="390">
        <v>0.8770580193070292</v>
      </c>
      <c r="V251" s="175">
        <v>0</v>
      </c>
      <c r="W251" s="174"/>
      <c r="X251" s="388">
        <v>0.98058067569092011</v>
      </c>
      <c r="Y251" s="389">
        <v>1</v>
      </c>
      <c r="Z251" s="389">
        <v>1</v>
      </c>
      <c r="AA251" s="389">
        <v>1</v>
      </c>
      <c r="AB251" s="390">
        <v>0.8770580193070292</v>
      </c>
      <c r="AC251" s="175">
        <v>0</v>
      </c>
      <c r="AD251" s="76"/>
      <c r="AE251" s="76"/>
      <c r="AF251" s="76"/>
      <c r="AG251" s="76"/>
      <c r="AH251" s="76"/>
      <c r="AI251" s="76"/>
      <c r="AJ251" s="76"/>
      <c r="AK251" s="76"/>
      <c r="AL251" s="76"/>
      <c r="AM251" s="76"/>
      <c r="AN251" s="73"/>
      <c r="AO251" s="57"/>
      <c r="AP251" s="45"/>
      <c r="AQ251" s="45"/>
      <c r="AR251" s="45"/>
      <c r="AS251" s="437"/>
      <c r="AT251" s="437"/>
    </row>
    <row r="252" spans="1:46" outlineLevel="3" x14ac:dyDescent="0.25">
      <c r="A252" s="45"/>
      <c r="B252" s="54"/>
      <c r="C252" s="87">
        <f t="shared" si="73"/>
        <v>4</v>
      </c>
      <c r="D252" s="73"/>
      <c r="E252" s="70"/>
      <c r="F252" s="70">
        <f t="shared" si="74"/>
        <v>6</v>
      </c>
      <c r="G252" s="73"/>
      <c r="H252" s="76"/>
      <c r="I252" s="173">
        <f t="shared" ref="I252:N252" si="75">I251</f>
        <v>45.1</v>
      </c>
      <c r="J252" s="461">
        <f t="shared" si="75"/>
        <v>4</v>
      </c>
      <c r="K252" s="462">
        <f t="shared" si="75"/>
        <v>4</v>
      </c>
      <c r="L252" s="462">
        <f t="shared" si="75"/>
        <v>4</v>
      </c>
      <c r="M252" s="462">
        <f t="shared" si="75"/>
        <v>4</v>
      </c>
      <c r="N252" s="463">
        <f t="shared" si="75"/>
        <v>4</v>
      </c>
      <c r="O252" s="443">
        <v>0</v>
      </c>
      <c r="P252" s="174"/>
      <c r="Q252" s="391">
        <v>0.78446454055273618</v>
      </c>
      <c r="R252" s="392">
        <v>0.76923076923076916</v>
      </c>
      <c r="S252" s="392">
        <v>0.76923076923076916</v>
      </c>
      <c r="T252" s="392">
        <v>0.76923076923076916</v>
      </c>
      <c r="U252" s="393">
        <v>0.8770580193070292</v>
      </c>
      <c r="V252" s="175">
        <v>0</v>
      </c>
      <c r="W252" s="174"/>
      <c r="X252" s="391">
        <v>0.98058067569092011</v>
      </c>
      <c r="Y252" s="392">
        <v>1</v>
      </c>
      <c r="Z252" s="392">
        <v>1</v>
      </c>
      <c r="AA252" s="392">
        <v>1</v>
      </c>
      <c r="AB252" s="393">
        <v>0.8770580193070292</v>
      </c>
      <c r="AC252" s="175">
        <v>0</v>
      </c>
      <c r="AD252" s="76"/>
      <c r="AE252" s="76"/>
      <c r="AF252" s="76"/>
      <c r="AG252" s="76"/>
      <c r="AH252" s="76"/>
      <c r="AI252" s="76"/>
      <c r="AJ252" s="76"/>
      <c r="AK252" s="76"/>
      <c r="AL252" s="76"/>
      <c r="AM252" s="76"/>
      <c r="AN252" s="73"/>
      <c r="AO252" s="57"/>
      <c r="AP252" s="45"/>
      <c r="AQ252" s="45"/>
      <c r="AR252" s="45"/>
      <c r="AS252" s="437"/>
      <c r="AT252" s="437"/>
    </row>
    <row r="253" spans="1:46" outlineLevel="3" x14ac:dyDescent="0.25">
      <c r="A253" s="45"/>
      <c r="B253" s="54"/>
      <c r="C253" s="87">
        <f t="shared" si="73"/>
        <v>4</v>
      </c>
      <c r="D253" s="73"/>
      <c r="E253" s="70"/>
      <c r="F253" s="70">
        <f t="shared" si="74"/>
        <v>6</v>
      </c>
      <c r="G253" s="73"/>
      <c r="H253" s="76"/>
      <c r="I253" s="96">
        <v>1000</v>
      </c>
      <c r="J253" s="450">
        <v>0</v>
      </c>
      <c r="K253" s="450">
        <v>0</v>
      </c>
      <c r="L253" s="450">
        <v>0</v>
      </c>
      <c r="M253" s="450">
        <v>0</v>
      </c>
      <c r="N253" s="450">
        <v>0</v>
      </c>
      <c r="O253" s="451">
        <v>0</v>
      </c>
      <c r="P253" s="76"/>
      <c r="Q253" s="384">
        <v>0</v>
      </c>
      <c r="R253" s="384">
        <v>0</v>
      </c>
      <c r="S253" s="384">
        <v>0</v>
      </c>
      <c r="T253" s="384">
        <v>0</v>
      </c>
      <c r="U253" s="384">
        <v>0</v>
      </c>
      <c r="V253" s="79">
        <v>0</v>
      </c>
      <c r="W253" s="76"/>
      <c r="X253" s="384">
        <v>0</v>
      </c>
      <c r="Y253" s="384">
        <v>0</v>
      </c>
      <c r="Z253" s="384">
        <v>0</v>
      </c>
      <c r="AA253" s="384">
        <v>0</v>
      </c>
      <c r="AB253" s="384">
        <v>0</v>
      </c>
      <c r="AC253" s="79">
        <v>0</v>
      </c>
      <c r="AD253" s="76"/>
      <c r="AE253" s="76"/>
      <c r="AF253" s="76"/>
      <c r="AG253" s="76"/>
      <c r="AH253" s="76"/>
      <c r="AI253" s="76"/>
      <c r="AJ253" s="76"/>
      <c r="AK253" s="76"/>
      <c r="AL253" s="76"/>
      <c r="AM253" s="76"/>
      <c r="AN253" s="73"/>
      <c r="AO253" s="57"/>
      <c r="AP253" s="45"/>
      <c r="AQ253" s="45"/>
      <c r="AR253" s="45"/>
      <c r="AS253" s="437"/>
      <c r="AT253" s="437"/>
    </row>
    <row r="254" spans="1:46" outlineLevel="2" x14ac:dyDescent="0.25">
      <c r="A254" s="45"/>
      <c r="B254" s="54"/>
      <c r="C254" s="87">
        <f>INT($C$167)+2</f>
        <v>3</v>
      </c>
      <c r="D254" s="73"/>
      <c r="E254" s="70">
        <v>7</v>
      </c>
      <c r="F254" s="70">
        <f>E254</f>
        <v>7</v>
      </c>
      <c r="G254" s="73"/>
      <c r="H254" s="96" t="str">
        <f>INDEX($H$183:$H$190,$E254+1,1)</f>
        <v>Ram grid (7)</v>
      </c>
      <c r="I254" s="173">
        <v>10</v>
      </c>
      <c r="J254" s="440">
        <v>1</v>
      </c>
      <c r="K254" s="441">
        <v>1</v>
      </c>
      <c r="L254" s="441">
        <v>1</v>
      </c>
      <c r="M254" s="441">
        <v>1</v>
      </c>
      <c r="N254" s="442">
        <v>1</v>
      </c>
      <c r="O254" s="443">
        <v>0</v>
      </c>
      <c r="P254" s="174"/>
      <c r="Q254" s="385">
        <v>0.5</v>
      </c>
      <c r="R254" s="386">
        <v>0.5</v>
      </c>
      <c r="S254" s="386">
        <v>0.70710678118654757</v>
      </c>
      <c r="T254" s="386">
        <v>0.70710678118654757</v>
      </c>
      <c r="U254" s="387">
        <v>0.70710678118654757</v>
      </c>
      <c r="V254" s="175">
        <v>0</v>
      </c>
      <c r="W254" s="174"/>
      <c r="X254" s="385">
        <v>1</v>
      </c>
      <c r="Y254" s="386">
        <v>1</v>
      </c>
      <c r="Z254" s="386">
        <v>0.70710678118654757</v>
      </c>
      <c r="AA254" s="386">
        <v>0.70710678118654757</v>
      </c>
      <c r="AB254" s="387">
        <v>0.70710678118654757</v>
      </c>
      <c r="AC254" s="175">
        <v>0</v>
      </c>
      <c r="AD254" s="76"/>
      <c r="AE254" s="76"/>
      <c r="AF254" s="76"/>
      <c r="AG254" s="76"/>
      <c r="AH254" s="76"/>
      <c r="AI254" s="76"/>
      <c r="AJ254" s="76"/>
      <c r="AK254" s="76"/>
      <c r="AL254" s="76"/>
      <c r="AM254" s="76"/>
      <c r="AN254" s="73"/>
      <c r="AO254" s="57"/>
      <c r="AP254" s="45"/>
      <c r="AQ254" s="45"/>
      <c r="AR254" s="45"/>
      <c r="AS254" s="437"/>
      <c r="AT254" s="437"/>
    </row>
    <row r="255" spans="1:46" outlineLevel="3" x14ac:dyDescent="0.25">
      <c r="A255" s="45"/>
      <c r="B255" s="54"/>
      <c r="C255" s="87">
        <f t="shared" ref="C255:C261" si="76">INT($C$167)+3</f>
        <v>4</v>
      </c>
      <c r="D255" s="73"/>
      <c r="E255" s="70"/>
      <c r="F255" s="70">
        <f t="shared" ref="F255:F261" si="77">F254</f>
        <v>7</v>
      </c>
      <c r="G255" s="73"/>
      <c r="H255" s="176" t="str">
        <f>INDEX($M$175:$M$177,INDEX(i_salep_price_type_s7,$F255+1,1)+1,1)&amp;INDEX($L$175:$L$177,INDEX(ia_s8_s7,$F255+1,1)+1,1)</f>
        <v>$/kg DW, DW - Fat score</v>
      </c>
      <c r="I255" s="173">
        <v>16.100000000000001</v>
      </c>
      <c r="J255" s="444">
        <v>2</v>
      </c>
      <c r="K255" s="445">
        <v>2</v>
      </c>
      <c r="L255" s="445">
        <v>1</v>
      </c>
      <c r="M255" s="445">
        <v>1</v>
      </c>
      <c r="N255" s="446">
        <v>1</v>
      </c>
      <c r="O255" s="443">
        <v>0</v>
      </c>
      <c r="P255" s="174"/>
      <c r="Q255" s="388">
        <v>1</v>
      </c>
      <c r="R255" s="389">
        <v>1</v>
      </c>
      <c r="S255" s="389">
        <v>1</v>
      </c>
      <c r="T255" s="389">
        <v>1</v>
      </c>
      <c r="U255" s="390">
        <v>1</v>
      </c>
      <c r="V255" s="175">
        <v>0</v>
      </c>
      <c r="W255" s="174"/>
      <c r="X255" s="388">
        <v>1</v>
      </c>
      <c r="Y255" s="389">
        <v>1</v>
      </c>
      <c r="Z255" s="389">
        <v>0.5</v>
      </c>
      <c r="AA255" s="389">
        <v>0.5</v>
      </c>
      <c r="AB255" s="390">
        <v>0.5</v>
      </c>
      <c r="AC255" s="175">
        <v>0</v>
      </c>
      <c r="AD255" s="76"/>
      <c r="AE255" s="76"/>
      <c r="AF255" s="76"/>
      <c r="AG255" s="76"/>
      <c r="AH255" s="76"/>
      <c r="AI255" s="76"/>
      <c r="AJ255" s="76"/>
      <c r="AK255" s="76"/>
      <c r="AL255" s="76"/>
      <c r="AM255" s="76"/>
      <c r="AN255" s="73"/>
      <c r="AO255" s="57"/>
      <c r="AP255" s="45"/>
      <c r="AQ255" s="45"/>
      <c r="AR255" s="45"/>
      <c r="AS255" s="437"/>
      <c r="AT255" s="437"/>
    </row>
    <row r="256" spans="1:46" outlineLevel="3" x14ac:dyDescent="0.25">
      <c r="A256" s="45"/>
      <c r="B256" s="54"/>
      <c r="C256" s="87">
        <f t="shared" si="76"/>
        <v>4</v>
      </c>
      <c r="D256" s="73"/>
      <c r="E256" s="70"/>
      <c r="F256" s="70">
        <f t="shared" si="77"/>
        <v>7</v>
      </c>
      <c r="G256" s="73"/>
      <c r="H256" s="97" t="s">
        <v>260</v>
      </c>
      <c r="I256" s="173">
        <v>30</v>
      </c>
      <c r="J256" s="444">
        <v>1</v>
      </c>
      <c r="K256" s="445">
        <v>1</v>
      </c>
      <c r="L256" s="445">
        <v>1</v>
      </c>
      <c r="M256" s="445">
        <v>1</v>
      </c>
      <c r="N256" s="446">
        <v>1</v>
      </c>
      <c r="O256" s="443">
        <v>0</v>
      </c>
      <c r="P256" s="174"/>
      <c r="Q256" s="388">
        <v>0.5</v>
      </c>
      <c r="R256" s="389">
        <v>0.5</v>
      </c>
      <c r="S256" s="389">
        <v>0.70710678118654757</v>
      </c>
      <c r="T256" s="389">
        <v>0.70710678118654757</v>
      </c>
      <c r="U256" s="390">
        <v>0.70710678118654757</v>
      </c>
      <c r="V256" s="175">
        <v>0</v>
      </c>
      <c r="W256" s="174"/>
      <c r="X256" s="388">
        <v>1</v>
      </c>
      <c r="Y256" s="389">
        <v>1</v>
      </c>
      <c r="Z256" s="389">
        <v>0.70710678118654757</v>
      </c>
      <c r="AA256" s="389">
        <v>0.70710678118654757</v>
      </c>
      <c r="AB256" s="390">
        <v>0.70710678118654757</v>
      </c>
      <c r="AC256" s="175">
        <v>0</v>
      </c>
      <c r="AD256" s="76"/>
      <c r="AE256" s="76"/>
      <c r="AF256" s="76"/>
      <c r="AG256" s="76"/>
      <c r="AH256" s="76"/>
      <c r="AI256" s="76"/>
      <c r="AJ256" s="76"/>
      <c r="AK256" s="76"/>
      <c r="AL256" s="76"/>
      <c r="AM256" s="76"/>
      <c r="AN256" s="73"/>
      <c r="AO256" s="57"/>
      <c r="AP256" s="45"/>
      <c r="AQ256" s="45"/>
      <c r="AR256" s="45"/>
      <c r="AS256" s="437"/>
      <c r="AT256" s="437"/>
    </row>
    <row r="257" spans="1:46" outlineLevel="3" x14ac:dyDescent="0.25">
      <c r="A257" s="45"/>
      <c r="B257" s="54"/>
      <c r="C257" s="87">
        <f t="shared" si="76"/>
        <v>4</v>
      </c>
      <c r="D257" s="73"/>
      <c r="E257" s="70"/>
      <c r="F257" s="70">
        <f t="shared" si="77"/>
        <v>7</v>
      </c>
      <c r="G257" s="73"/>
      <c r="H257" s="76"/>
      <c r="I257" s="173">
        <f t="shared" ref="I257:N260" si="78">I256</f>
        <v>30</v>
      </c>
      <c r="J257" s="464">
        <f t="shared" si="78"/>
        <v>1</v>
      </c>
      <c r="K257" s="465">
        <f t="shared" si="78"/>
        <v>1</v>
      </c>
      <c r="L257" s="465">
        <f t="shared" si="78"/>
        <v>1</v>
      </c>
      <c r="M257" s="465">
        <f t="shared" si="78"/>
        <v>1</v>
      </c>
      <c r="N257" s="466">
        <f t="shared" si="78"/>
        <v>1</v>
      </c>
      <c r="O257" s="443">
        <v>0</v>
      </c>
      <c r="P257" s="174"/>
      <c r="Q257" s="388">
        <v>0.5</v>
      </c>
      <c r="R257" s="389">
        <v>0.5</v>
      </c>
      <c r="S257" s="389">
        <v>0.70710678118654757</v>
      </c>
      <c r="T257" s="389">
        <v>0.70710678118654757</v>
      </c>
      <c r="U257" s="390">
        <v>0.70710678118654757</v>
      </c>
      <c r="V257" s="175">
        <v>0</v>
      </c>
      <c r="W257" s="174"/>
      <c r="X257" s="388">
        <v>1</v>
      </c>
      <c r="Y257" s="389">
        <v>1</v>
      </c>
      <c r="Z257" s="389">
        <v>0.70710678118654757</v>
      </c>
      <c r="AA257" s="389">
        <v>0.70710678118654757</v>
      </c>
      <c r="AB257" s="390">
        <v>0.70710678118654757</v>
      </c>
      <c r="AC257" s="175">
        <v>0</v>
      </c>
      <c r="AD257" s="76"/>
      <c r="AE257" s="76"/>
      <c r="AF257" s="76"/>
      <c r="AG257" s="76"/>
      <c r="AH257" s="76"/>
      <c r="AI257" s="76"/>
      <c r="AJ257" s="76"/>
      <c r="AK257" s="76"/>
      <c r="AL257" s="76"/>
      <c r="AM257" s="76"/>
      <c r="AN257" s="73"/>
      <c r="AO257" s="57"/>
      <c r="AP257" s="45"/>
      <c r="AQ257" s="45"/>
      <c r="AR257" s="45"/>
      <c r="AS257" s="437"/>
      <c r="AT257" s="437"/>
    </row>
    <row r="258" spans="1:46" outlineLevel="3" x14ac:dyDescent="0.25">
      <c r="A258" s="45"/>
      <c r="B258" s="54"/>
      <c r="C258" s="87">
        <f t="shared" si="76"/>
        <v>4</v>
      </c>
      <c r="D258" s="73"/>
      <c r="E258" s="70"/>
      <c r="F258" s="70">
        <f t="shared" si="77"/>
        <v>7</v>
      </c>
      <c r="G258" s="73"/>
      <c r="H258" s="76"/>
      <c r="I258" s="173">
        <f t="shared" si="78"/>
        <v>30</v>
      </c>
      <c r="J258" s="464">
        <f t="shared" si="78"/>
        <v>1</v>
      </c>
      <c r="K258" s="465">
        <f t="shared" si="78"/>
        <v>1</v>
      </c>
      <c r="L258" s="465">
        <f t="shared" si="78"/>
        <v>1</v>
      </c>
      <c r="M258" s="465">
        <f t="shared" si="78"/>
        <v>1</v>
      </c>
      <c r="N258" s="466">
        <f t="shared" si="78"/>
        <v>1</v>
      </c>
      <c r="O258" s="443">
        <v>0</v>
      </c>
      <c r="P258" s="174"/>
      <c r="Q258" s="388">
        <v>0.5</v>
      </c>
      <c r="R258" s="389">
        <v>0.5</v>
      </c>
      <c r="S258" s="389">
        <v>0.70710678118654757</v>
      </c>
      <c r="T258" s="389">
        <v>0.70710678118654757</v>
      </c>
      <c r="U258" s="390">
        <v>0.70710678118654757</v>
      </c>
      <c r="V258" s="175">
        <v>0</v>
      </c>
      <c r="W258" s="174"/>
      <c r="X258" s="388">
        <v>1</v>
      </c>
      <c r="Y258" s="389">
        <v>1</v>
      </c>
      <c r="Z258" s="389">
        <v>0.70710678118654757</v>
      </c>
      <c r="AA258" s="389">
        <v>0.70710678118654757</v>
      </c>
      <c r="AB258" s="390">
        <v>0.70710678118654757</v>
      </c>
      <c r="AC258" s="175">
        <v>0</v>
      </c>
      <c r="AD258" s="76"/>
      <c r="AE258" s="76"/>
      <c r="AF258" s="76"/>
      <c r="AG258" s="76"/>
      <c r="AH258" s="76"/>
      <c r="AI258" s="76"/>
      <c r="AJ258" s="76"/>
      <c r="AK258" s="76"/>
      <c r="AL258" s="76"/>
      <c r="AM258" s="76"/>
      <c r="AN258" s="73"/>
      <c r="AO258" s="57"/>
      <c r="AP258" s="45"/>
      <c r="AQ258" s="45"/>
      <c r="AR258" s="45"/>
      <c r="AS258" s="437"/>
      <c r="AT258" s="437"/>
    </row>
    <row r="259" spans="1:46" outlineLevel="3" x14ac:dyDescent="0.25">
      <c r="A259" s="45"/>
      <c r="B259" s="54"/>
      <c r="C259" s="87">
        <f t="shared" si="76"/>
        <v>4</v>
      </c>
      <c r="D259" s="73"/>
      <c r="E259" s="70"/>
      <c r="F259" s="70">
        <f t="shared" si="77"/>
        <v>7</v>
      </c>
      <c r="G259" s="73"/>
      <c r="H259" s="76"/>
      <c r="I259" s="173">
        <f t="shared" si="78"/>
        <v>30</v>
      </c>
      <c r="J259" s="464">
        <f t="shared" si="78"/>
        <v>1</v>
      </c>
      <c r="K259" s="465">
        <f t="shared" si="78"/>
        <v>1</v>
      </c>
      <c r="L259" s="465">
        <f t="shared" si="78"/>
        <v>1</v>
      </c>
      <c r="M259" s="465">
        <f t="shared" si="78"/>
        <v>1</v>
      </c>
      <c r="N259" s="466">
        <f t="shared" si="78"/>
        <v>1</v>
      </c>
      <c r="O259" s="443">
        <v>0</v>
      </c>
      <c r="P259" s="174"/>
      <c r="Q259" s="388">
        <v>0.5</v>
      </c>
      <c r="R259" s="389">
        <v>0.5</v>
      </c>
      <c r="S259" s="389">
        <v>0.70710678118654757</v>
      </c>
      <c r="T259" s="389">
        <v>0.70710678118654757</v>
      </c>
      <c r="U259" s="390">
        <v>0.70710678118654757</v>
      </c>
      <c r="V259" s="175">
        <v>0</v>
      </c>
      <c r="W259" s="174"/>
      <c r="X259" s="388">
        <v>1</v>
      </c>
      <c r="Y259" s="389">
        <v>1</v>
      </c>
      <c r="Z259" s="389">
        <v>0.70710678118654757</v>
      </c>
      <c r="AA259" s="389">
        <v>0.70710678118654757</v>
      </c>
      <c r="AB259" s="390">
        <v>0.70710678118654757</v>
      </c>
      <c r="AC259" s="175">
        <v>0</v>
      </c>
      <c r="AD259" s="76"/>
      <c r="AE259" s="76"/>
      <c r="AF259" s="76"/>
      <c r="AG259" s="76"/>
      <c r="AH259" s="76"/>
      <c r="AI259" s="76"/>
      <c r="AJ259" s="76"/>
      <c r="AK259" s="76"/>
      <c r="AL259" s="76"/>
      <c r="AM259" s="76"/>
      <c r="AN259" s="73"/>
      <c r="AO259" s="57"/>
      <c r="AP259" s="45"/>
      <c r="AQ259" s="45"/>
      <c r="AR259" s="45"/>
      <c r="AS259" s="437"/>
      <c r="AT259" s="437"/>
    </row>
    <row r="260" spans="1:46" outlineLevel="3" x14ac:dyDescent="0.25">
      <c r="A260" s="45"/>
      <c r="B260" s="54"/>
      <c r="C260" s="87">
        <f t="shared" si="76"/>
        <v>4</v>
      </c>
      <c r="D260" s="73"/>
      <c r="E260" s="70"/>
      <c r="F260" s="70">
        <f t="shared" si="77"/>
        <v>7</v>
      </c>
      <c r="G260" s="73"/>
      <c r="H260" s="76"/>
      <c r="I260" s="173">
        <f t="shared" si="78"/>
        <v>30</v>
      </c>
      <c r="J260" s="461">
        <f t="shared" si="78"/>
        <v>1</v>
      </c>
      <c r="K260" s="462">
        <f t="shared" si="78"/>
        <v>1</v>
      </c>
      <c r="L260" s="462">
        <f t="shared" si="78"/>
        <v>1</v>
      </c>
      <c r="M260" s="462">
        <f t="shared" si="78"/>
        <v>1</v>
      </c>
      <c r="N260" s="463">
        <f t="shared" si="78"/>
        <v>1</v>
      </c>
      <c r="O260" s="443">
        <v>0</v>
      </c>
      <c r="P260" s="174"/>
      <c r="Q260" s="391">
        <v>0.5</v>
      </c>
      <c r="R260" s="392">
        <v>0.5</v>
      </c>
      <c r="S260" s="392">
        <v>0.70710678118654757</v>
      </c>
      <c r="T260" s="392">
        <v>0.70710678118654757</v>
      </c>
      <c r="U260" s="393">
        <v>0.70710678118654757</v>
      </c>
      <c r="V260" s="175">
        <v>0</v>
      </c>
      <c r="W260" s="174"/>
      <c r="X260" s="391">
        <v>1</v>
      </c>
      <c r="Y260" s="392">
        <v>1</v>
      </c>
      <c r="Z260" s="392">
        <v>0.70710678118654757</v>
      </c>
      <c r="AA260" s="392">
        <v>0.70710678118654757</v>
      </c>
      <c r="AB260" s="393">
        <v>0.70710678118654757</v>
      </c>
      <c r="AC260" s="175">
        <v>0</v>
      </c>
      <c r="AD260" s="76"/>
      <c r="AE260" s="76"/>
      <c r="AF260" s="76"/>
      <c r="AG260" s="76"/>
      <c r="AH260" s="76"/>
      <c r="AI260" s="76"/>
      <c r="AJ260" s="76"/>
      <c r="AK260" s="76"/>
      <c r="AL260" s="76"/>
      <c r="AM260" s="76"/>
      <c r="AN260" s="73"/>
      <c r="AO260" s="57"/>
      <c r="AP260" s="45"/>
      <c r="AQ260" s="45"/>
      <c r="AR260" s="45"/>
      <c r="AS260" s="437"/>
      <c r="AT260" s="437"/>
    </row>
    <row r="261" spans="1:46" outlineLevel="3" x14ac:dyDescent="0.25">
      <c r="A261" s="45"/>
      <c r="B261" s="54"/>
      <c r="C261" s="87">
        <f t="shared" si="76"/>
        <v>4</v>
      </c>
      <c r="D261" s="73"/>
      <c r="E261" s="70"/>
      <c r="F261" s="70">
        <f t="shared" si="77"/>
        <v>7</v>
      </c>
      <c r="G261" s="73"/>
      <c r="H261" s="76"/>
      <c r="I261" s="96">
        <v>1000</v>
      </c>
      <c r="J261" s="450">
        <v>0</v>
      </c>
      <c r="K261" s="450">
        <v>0</v>
      </c>
      <c r="L261" s="450">
        <v>0</v>
      </c>
      <c r="M261" s="450">
        <v>0</v>
      </c>
      <c r="N261" s="450">
        <v>0</v>
      </c>
      <c r="O261" s="451">
        <v>0</v>
      </c>
      <c r="P261" s="76"/>
      <c r="Q261" s="178">
        <v>0</v>
      </c>
      <c r="R261" s="178">
        <v>0</v>
      </c>
      <c r="S261" s="178">
        <v>0</v>
      </c>
      <c r="T261" s="178">
        <v>0</v>
      </c>
      <c r="U261" s="178">
        <v>0</v>
      </c>
      <c r="V261" s="79">
        <v>0</v>
      </c>
      <c r="W261" s="76"/>
      <c r="X261" s="178">
        <v>0</v>
      </c>
      <c r="Y261" s="178">
        <v>0</v>
      </c>
      <c r="Z261" s="178">
        <v>0</v>
      </c>
      <c r="AA261" s="178">
        <v>0</v>
      </c>
      <c r="AB261" s="178">
        <v>0</v>
      </c>
      <c r="AC261" s="79">
        <v>0</v>
      </c>
      <c r="AD261" s="76"/>
      <c r="AE261" s="76"/>
      <c r="AF261" s="76"/>
      <c r="AG261" s="76"/>
      <c r="AH261" s="76"/>
      <c r="AI261" s="76"/>
      <c r="AJ261" s="76"/>
      <c r="AK261" s="76"/>
      <c r="AL261" s="76"/>
      <c r="AM261" s="76"/>
      <c r="AN261" s="73"/>
      <c r="AO261" s="57"/>
      <c r="AP261" s="45"/>
      <c r="AQ261" s="45"/>
      <c r="AR261" s="45"/>
      <c r="AS261" s="437"/>
      <c r="AT261" s="437"/>
    </row>
    <row r="262" spans="1:46" ht="5.0999999999999996" customHeight="1" outlineLevel="2" x14ac:dyDescent="0.25">
      <c r="A262" s="45"/>
      <c r="B262" s="54"/>
      <c r="C262" s="87">
        <f>INT($C$167)+2.005</f>
        <v>3.0049999999999999</v>
      </c>
      <c r="D262" s="73"/>
      <c r="E262" s="73"/>
      <c r="F262" s="73"/>
      <c r="G262" s="73"/>
      <c r="H262" s="73"/>
      <c r="I262" s="73"/>
      <c r="J262" s="73"/>
      <c r="K262" s="73"/>
      <c r="L262" s="73"/>
      <c r="M262" s="73"/>
      <c r="N262" s="73"/>
      <c r="O262" s="73"/>
      <c r="P262" s="73"/>
      <c r="Q262" s="73"/>
      <c r="R262" s="73"/>
      <c r="S262" s="73"/>
      <c r="T262" s="73"/>
      <c r="U262" s="73"/>
      <c r="V262" s="73"/>
      <c r="W262" s="73"/>
      <c r="X262" s="73"/>
      <c r="Y262" s="73"/>
      <c r="Z262" s="73"/>
      <c r="AA262" s="73"/>
      <c r="AB262" s="73"/>
      <c r="AC262" s="73"/>
      <c r="AD262" s="73"/>
      <c r="AE262" s="73"/>
      <c r="AF262" s="73"/>
      <c r="AG262" s="73"/>
      <c r="AH262" s="73"/>
      <c r="AI262" s="73"/>
      <c r="AJ262" s="73"/>
      <c r="AK262" s="73"/>
      <c r="AL262" s="73"/>
      <c r="AM262" s="73"/>
      <c r="AN262" s="73" t="s">
        <v>136</v>
      </c>
      <c r="AO262" s="57"/>
      <c r="AP262" s="45"/>
      <c r="AQ262" s="45"/>
      <c r="AR262" s="45"/>
      <c r="AS262" s="437"/>
      <c r="AT262" s="437"/>
    </row>
    <row r="263" spans="1:46" outlineLevel="1" x14ac:dyDescent="0.25">
      <c r="A263" s="45"/>
      <c r="B263" s="54"/>
      <c r="C263" s="87">
        <f>INT($C$167)+1</f>
        <v>2</v>
      </c>
      <c r="D263" s="73"/>
      <c r="E263" s="70"/>
      <c r="F263" s="70"/>
      <c r="G263" s="73"/>
      <c r="H263" s="90" t="s">
        <v>261</v>
      </c>
      <c r="I263" s="91"/>
      <c r="J263" s="92"/>
      <c r="K263" s="92"/>
      <c r="L263" s="92"/>
      <c r="M263" s="92"/>
      <c r="N263" s="92"/>
      <c r="O263" s="92"/>
      <c r="P263" s="92"/>
      <c r="Q263" s="92"/>
      <c r="R263" s="92"/>
      <c r="S263" s="92"/>
      <c r="T263" s="92"/>
      <c r="U263" s="92"/>
      <c r="V263" s="92"/>
      <c r="W263" s="92"/>
      <c r="X263" s="92"/>
      <c r="Y263" s="93"/>
      <c r="Z263" s="93"/>
      <c r="AA263" s="93"/>
      <c r="AB263" s="93"/>
      <c r="AC263" s="93"/>
      <c r="AD263" s="93"/>
      <c r="AE263" s="93"/>
      <c r="AF263" s="93"/>
      <c r="AG263" s="93"/>
      <c r="AH263" s="93"/>
      <c r="AI263" s="93"/>
      <c r="AJ263" s="93"/>
      <c r="AK263" s="93"/>
      <c r="AL263" s="93"/>
      <c r="AM263" s="93"/>
      <c r="AN263" s="73"/>
      <c r="AO263" s="57"/>
      <c r="AP263" s="45"/>
      <c r="AQ263" s="45"/>
      <c r="AR263" s="45"/>
      <c r="AS263" s="437"/>
      <c r="AT263" s="437"/>
    </row>
    <row r="264" spans="1:46" ht="5.0999999999999996" customHeight="1" outlineLevel="3" x14ac:dyDescent="0.25">
      <c r="A264" s="45"/>
      <c r="B264" s="54"/>
      <c r="C264" s="87">
        <f>INT($C$167)+3.005</f>
        <v>4.0049999999999999</v>
      </c>
      <c r="D264" s="73" t="s">
        <v>132</v>
      </c>
      <c r="E264" s="73"/>
      <c r="F264" s="73"/>
      <c r="G264" s="73"/>
      <c r="H264" s="73"/>
      <c r="I264" s="73"/>
      <c r="J264" s="73"/>
      <c r="K264" s="73"/>
      <c r="L264" s="73"/>
      <c r="M264" s="73"/>
      <c r="N264" s="73"/>
      <c r="O264" s="73"/>
      <c r="P264" s="73"/>
      <c r="Q264" s="73"/>
      <c r="R264" s="73"/>
      <c r="S264" s="73"/>
      <c r="T264" s="73"/>
      <c r="U264" s="73"/>
      <c r="V264" s="73"/>
      <c r="W264" s="73"/>
      <c r="X264" s="73"/>
      <c r="Y264" s="73"/>
      <c r="Z264" s="73"/>
      <c r="AA264" s="73"/>
      <c r="AB264" s="73"/>
      <c r="AC264" s="73"/>
      <c r="AD264" s="73"/>
      <c r="AE264" s="73"/>
      <c r="AF264" s="73"/>
      <c r="AG264" s="73"/>
      <c r="AH264" s="73"/>
      <c r="AI264" s="73"/>
      <c r="AJ264" s="73"/>
      <c r="AK264" s="73"/>
      <c r="AL264" s="73"/>
      <c r="AM264" s="73"/>
      <c r="AN264" s="73"/>
      <c r="AO264" s="57"/>
      <c r="AP264" s="45"/>
      <c r="AQ264" s="45"/>
      <c r="AR264" s="45"/>
      <c r="AS264" s="437"/>
      <c r="AT264" s="437"/>
    </row>
    <row r="265" spans="1:46" outlineLevel="2" x14ac:dyDescent="0.25">
      <c r="A265" s="45"/>
      <c r="B265" s="54"/>
      <c r="C265" s="87">
        <f>INT($C$167)+2</f>
        <v>3</v>
      </c>
      <c r="D265" s="73"/>
      <c r="E265" s="70"/>
      <c r="F265" s="70"/>
      <c r="G265" s="73"/>
      <c r="H265" s="76"/>
      <c r="I265" s="76"/>
      <c r="J265" s="79">
        <v>2</v>
      </c>
      <c r="K265" s="129"/>
      <c r="L265" s="129"/>
      <c r="M265" s="129"/>
      <c r="N265" s="129"/>
      <c r="O265" s="129"/>
      <c r="P265" s="129"/>
      <c r="Q265" s="129"/>
      <c r="R265" s="129"/>
      <c r="S265" s="129"/>
      <c r="T265" s="129"/>
      <c r="U265" s="129"/>
      <c r="V265" s="76"/>
      <c r="W265" s="76"/>
      <c r="X265" s="76"/>
      <c r="Y265" s="76"/>
      <c r="Z265" s="76"/>
      <c r="AA265" s="76"/>
      <c r="AB265" s="76"/>
      <c r="AC265" s="76"/>
      <c r="AD265" s="76"/>
      <c r="AE265" s="76"/>
      <c r="AF265" s="76"/>
      <c r="AG265" s="76"/>
      <c r="AH265" s="76"/>
      <c r="AI265" s="76"/>
      <c r="AJ265" s="76"/>
      <c r="AK265" s="76"/>
      <c r="AL265" s="76"/>
      <c r="AM265" s="76"/>
      <c r="AN265" s="73"/>
      <c r="AO265" s="57"/>
      <c r="AP265" s="45"/>
      <c r="AQ265" s="45"/>
      <c r="AR265" s="45"/>
      <c r="AS265" s="437"/>
      <c r="AT265" s="437"/>
    </row>
    <row r="266" spans="1:46" outlineLevel="2" x14ac:dyDescent="0.25">
      <c r="A266" s="45"/>
      <c r="B266" s="54"/>
      <c r="C266" s="87">
        <f>INT($C$167)+2</f>
        <v>3</v>
      </c>
      <c r="D266" s="73"/>
      <c r="E266" s="70"/>
      <c r="F266" s="70"/>
      <c r="G266" s="73"/>
      <c r="H266" s="76"/>
      <c r="I266" s="76"/>
      <c r="J266" s="95" t="s">
        <v>262</v>
      </c>
      <c r="K266" s="95"/>
      <c r="L266" s="95"/>
      <c r="M266" s="95"/>
      <c r="N266" s="95"/>
      <c r="O266" s="95"/>
      <c r="P266" s="95"/>
      <c r="Q266" s="95"/>
      <c r="R266" s="95"/>
      <c r="S266" s="95"/>
      <c r="T266" s="95"/>
      <c r="U266" s="95"/>
      <c r="V266" s="76"/>
      <c r="W266" s="76"/>
      <c r="X266" s="76"/>
      <c r="Y266" s="76"/>
      <c r="Z266" s="76"/>
      <c r="AA266" s="76"/>
      <c r="AB266" s="76"/>
      <c r="AC266" s="76"/>
      <c r="AD266" s="76"/>
      <c r="AE266" s="76"/>
      <c r="AF266" s="76"/>
      <c r="AG266" s="76"/>
      <c r="AH266" s="76"/>
      <c r="AI266" s="76"/>
      <c r="AJ266" s="76"/>
      <c r="AK266" s="76"/>
      <c r="AL266" s="76"/>
      <c r="AM266" s="76"/>
      <c r="AN266" s="73"/>
      <c r="AO266" s="57"/>
      <c r="AP266" s="45"/>
      <c r="AQ266" s="45"/>
      <c r="AR266" s="45"/>
      <c r="AS266" s="437"/>
      <c r="AT266" s="437"/>
    </row>
    <row r="267" spans="1:46" outlineLevel="2" x14ac:dyDescent="0.25">
      <c r="A267" s="45"/>
      <c r="B267" s="54"/>
      <c r="C267" s="87">
        <f>INT($C$167)+2</f>
        <v>3</v>
      </c>
      <c r="D267" s="73"/>
      <c r="E267" s="70"/>
      <c r="F267" s="70"/>
      <c r="G267" s="73"/>
      <c r="H267" s="109"/>
      <c r="I267" s="109"/>
      <c r="J267" s="132" t="s">
        <v>263</v>
      </c>
      <c r="K267" s="132" t="s">
        <v>264</v>
      </c>
      <c r="L267" s="132" t="s">
        <v>265</v>
      </c>
      <c r="M267" s="132" t="s">
        <v>266</v>
      </c>
      <c r="N267" s="132" t="s">
        <v>267</v>
      </c>
      <c r="O267" s="132" t="s">
        <v>268</v>
      </c>
      <c r="P267" s="132" t="s">
        <v>269</v>
      </c>
      <c r="Q267" s="132" t="s">
        <v>270</v>
      </c>
      <c r="R267" s="132" t="s">
        <v>271</v>
      </c>
      <c r="S267" s="132" t="s">
        <v>272</v>
      </c>
      <c r="T267" s="132" t="s">
        <v>273</v>
      </c>
      <c r="U267" s="132" t="s">
        <v>274</v>
      </c>
      <c r="V267" s="76"/>
      <c r="W267" s="76" t="s">
        <v>345</v>
      </c>
      <c r="X267" s="76"/>
      <c r="Y267" s="76"/>
      <c r="Z267" s="76"/>
      <c r="AA267" s="76"/>
      <c r="AB267" s="76"/>
      <c r="AC267" s="76"/>
      <c r="AD267" s="76"/>
      <c r="AE267" s="76"/>
      <c r="AF267" s="76"/>
      <c r="AG267" s="76"/>
      <c r="AH267" s="76"/>
      <c r="AI267" s="76"/>
      <c r="AJ267" s="76"/>
      <c r="AK267" s="76"/>
      <c r="AL267" s="76"/>
      <c r="AM267" s="76"/>
      <c r="AN267" s="73"/>
      <c r="AO267" s="57"/>
      <c r="AP267" s="45"/>
      <c r="AQ267" s="45"/>
      <c r="AR267" s="45"/>
      <c r="AS267" s="437"/>
      <c r="AT267" s="437"/>
    </row>
    <row r="268" spans="1:46" outlineLevel="2" x14ac:dyDescent="0.25">
      <c r="A268" s="45"/>
      <c r="B268" s="54"/>
      <c r="C268" s="87">
        <f>INT($C$167)+2</f>
        <v>3</v>
      </c>
      <c r="D268" s="73"/>
      <c r="E268" s="70"/>
      <c r="F268" s="70"/>
      <c r="G268" s="73"/>
      <c r="H268" s="181" t="s">
        <v>275</v>
      </c>
      <c r="I268" s="182" t="s">
        <v>276</v>
      </c>
      <c r="J268" s="183">
        <v>0.1065938076569537</v>
      </c>
      <c r="K268" s="183">
        <v>4.4110825980385515E-2</v>
      </c>
      <c r="L268" s="183">
        <v>0.12900255411807993</v>
      </c>
      <c r="M268" s="183">
        <v>0.11207016764039324</v>
      </c>
      <c r="N268" s="183">
        <v>9.4749316601778766E-2</v>
      </c>
      <c r="O268" s="183">
        <v>0.16072505146229576</v>
      </c>
      <c r="P268" s="183">
        <v>0.15129244790353202</v>
      </c>
      <c r="Q268" s="183">
        <v>0.11538090761697162</v>
      </c>
      <c r="R268" s="183">
        <v>-2.2137105377519117E-2</v>
      </c>
      <c r="S268" s="183">
        <v>0</v>
      </c>
      <c r="T268" s="183">
        <v>7.6094500683722144E-2</v>
      </c>
      <c r="U268" s="183">
        <v>5.2978848248593113E-2</v>
      </c>
      <c r="V268" s="76"/>
      <c r="W268" s="76"/>
      <c r="X268" s="76"/>
      <c r="Y268" s="76"/>
      <c r="Z268" s="76"/>
      <c r="AA268" s="76"/>
      <c r="AB268" s="76"/>
      <c r="AC268" s="76"/>
      <c r="AD268" s="76"/>
      <c r="AE268" s="76"/>
      <c r="AF268" s="76"/>
      <c r="AG268" s="76"/>
      <c r="AH268" s="76"/>
      <c r="AI268" s="76"/>
      <c r="AJ268" s="76"/>
      <c r="AK268" s="76"/>
      <c r="AL268" s="76"/>
      <c r="AM268" s="76"/>
      <c r="AN268" s="73"/>
      <c r="AO268" s="57"/>
      <c r="AP268" s="45"/>
      <c r="AQ268" s="45"/>
      <c r="AR268" s="45"/>
      <c r="AS268" s="437"/>
      <c r="AT268" s="437"/>
    </row>
    <row r="269" spans="1:46" outlineLevel="2" x14ac:dyDescent="0.25">
      <c r="A269" s="45"/>
      <c r="B269" s="54"/>
      <c r="C269" s="87">
        <f>INT($C$167)+2</f>
        <v>3</v>
      </c>
      <c r="D269" s="73"/>
      <c r="E269" s="70"/>
      <c r="F269" s="70"/>
      <c r="G269" s="73"/>
      <c r="H269" s="184"/>
      <c r="I269" s="185" t="s">
        <v>277</v>
      </c>
      <c r="J269" s="186">
        <v>-0.1</v>
      </c>
      <c r="K269" s="186">
        <v>-0.1</v>
      </c>
      <c r="L269" s="186">
        <v>-0.1</v>
      </c>
      <c r="M269" s="186">
        <v>0</v>
      </c>
      <c r="N269" s="186">
        <v>0</v>
      </c>
      <c r="O269" s="186">
        <v>0</v>
      </c>
      <c r="P269" s="186">
        <v>-0.05</v>
      </c>
      <c r="Q269" s="186">
        <v>-0.05</v>
      </c>
      <c r="R269" s="186">
        <v>-0.05</v>
      </c>
      <c r="S269" s="186">
        <v>-0.05</v>
      </c>
      <c r="T269" s="186">
        <v>-7.0000000000000007E-2</v>
      </c>
      <c r="U269" s="186">
        <v>-0.08</v>
      </c>
      <c r="V269" s="76"/>
      <c r="W269" s="97" t="s">
        <v>278</v>
      </c>
      <c r="X269" s="76"/>
      <c r="Y269" s="76"/>
      <c r="Z269" s="76"/>
      <c r="AA269" s="76"/>
      <c r="AB269" s="76"/>
      <c r="AC269" s="76"/>
      <c r="AD269" s="76"/>
      <c r="AE269" s="76"/>
      <c r="AF269" s="76"/>
      <c r="AG269" s="76"/>
      <c r="AH269" s="76"/>
      <c r="AI269" s="76"/>
      <c r="AJ269" s="76"/>
      <c r="AK269" s="76"/>
      <c r="AL269" s="76"/>
      <c r="AM269" s="76"/>
      <c r="AN269" s="73"/>
      <c r="AO269" s="57"/>
      <c r="AP269" s="45"/>
      <c r="AQ269" s="45"/>
      <c r="AR269" s="45"/>
      <c r="AS269" s="437"/>
      <c r="AT269" s="437"/>
    </row>
    <row r="270" spans="1:46" outlineLevel="3" x14ac:dyDescent="0.25">
      <c r="A270" s="45"/>
      <c r="B270" s="54"/>
      <c r="C270" s="87">
        <f>INT($C$167)+3</f>
        <v>4</v>
      </c>
      <c r="D270" s="73"/>
      <c r="E270" s="70"/>
      <c r="F270" s="70"/>
      <c r="G270" s="73"/>
      <c r="H270" s="181" t="s">
        <v>279</v>
      </c>
      <c r="I270" s="182" t="s">
        <v>276</v>
      </c>
      <c r="J270" s="183">
        <v>0.1065938076569537</v>
      </c>
      <c r="K270" s="183">
        <v>4.4110825980385515E-2</v>
      </c>
      <c r="L270" s="183">
        <v>0.12900255411807993</v>
      </c>
      <c r="M270" s="183">
        <v>0.11207016764039324</v>
      </c>
      <c r="N270" s="183">
        <v>9.4749316601778766E-2</v>
      </c>
      <c r="O270" s="183">
        <v>0.16072505146229576</v>
      </c>
      <c r="P270" s="183">
        <v>0.15129244790353202</v>
      </c>
      <c r="Q270" s="183">
        <v>0.11538090761697162</v>
      </c>
      <c r="R270" s="183">
        <v>-2.2137105377519117E-2</v>
      </c>
      <c r="S270" s="183">
        <v>0</v>
      </c>
      <c r="T270" s="183">
        <v>7.6094500683722144E-2</v>
      </c>
      <c r="U270" s="183">
        <v>5.2978848248593113E-2</v>
      </c>
      <c r="V270" s="76"/>
      <c r="W270" s="76"/>
      <c r="X270" s="76"/>
      <c r="Y270" s="76"/>
      <c r="Z270" s="76"/>
      <c r="AA270" s="76"/>
      <c r="AB270" s="76"/>
      <c r="AC270" s="76"/>
      <c r="AD270" s="76"/>
      <c r="AE270" s="76"/>
      <c r="AF270" s="76"/>
      <c r="AG270" s="76"/>
      <c r="AH270" s="76"/>
      <c r="AI270" s="76"/>
      <c r="AJ270" s="76"/>
      <c r="AK270" s="76"/>
      <c r="AL270" s="76"/>
      <c r="AM270" s="76"/>
      <c r="AN270" s="73"/>
      <c r="AO270" s="57"/>
      <c r="AP270" s="45"/>
      <c r="AQ270" s="45"/>
      <c r="AR270" s="45"/>
      <c r="AS270" s="437"/>
      <c r="AT270" s="437"/>
    </row>
    <row r="271" spans="1:46" outlineLevel="3" x14ac:dyDescent="0.25">
      <c r="A271" s="45"/>
      <c r="B271" s="54"/>
      <c r="C271" s="87">
        <f>INT($C$167+3)</f>
        <v>4</v>
      </c>
      <c r="D271" s="73"/>
      <c r="E271" s="70"/>
      <c r="F271" s="70"/>
      <c r="G271" s="73"/>
      <c r="H271" s="184"/>
      <c r="I271" s="185" t="s">
        <v>277</v>
      </c>
      <c r="J271" s="186">
        <v>-0.1</v>
      </c>
      <c r="K271" s="186">
        <v>-0.1</v>
      </c>
      <c r="L271" s="186">
        <v>-0.1</v>
      </c>
      <c r="M271" s="186">
        <v>0</v>
      </c>
      <c r="N271" s="186">
        <v>0</v>
      </c>
      <c r="O271" s="186">
        <v>0</v>
      </c>
      <c r="P271" s="186">
        <v>-0.05</v>
      </c>
      <c r="Q271" s="186">
        <v>-0.05</v>
      </c>
      <c r="R271" s="186">
        <v>-0.05</v>
      </c>
      <c r="S271" s="186">
        <v>-0.05</v>
      </c>
      <c r="T271" s="186">
        <v>-7.0000000000000007E-2</v>
      </c>
      <c r="U271" s="186">
        <v>-0.08</v>
      </c>
      <c r="V271" s="76"/>
      <c r="W271" s="97" t="s">
        <v>278</v>
      </c>
      <c r="X271" s="76"/>
      <c r="Y271" s="76"/>
      <c r="Z271" s="76"/>
      <c r="AA271" s="76"/>
      <c r="AB271" s="76"/>
      <c r="AC271" s="76"/>
      <c r="AD271" s="76"/>
      <c r="AE271" s="76"/>
      <c r="AF271" s="76"/>
      <c r="AG271" s="76"/>
      <c r="AH271" s="76"/>
      <c r="AI271" s="76"/>
      <c r="AJ271" s="76"/>
      <c r="AK271" s="76"/>
      <c r="AL271" s="76"/>
      <c r="AM271" s="76"/>
      <c r="AN271" s="73"/>
      <c r="AO271" s="57"/>
      <c r="AP271" s="45"/>
      <c r="AQ271" s="45"/>
      <c r="AR271" s="45"/>
      <c r="AS271" s="437"/>
      <c r="AT271" s="437"/>
    </row>
    <row r="272" spans="1:46" outlineLevel="3" x14ac:dyDescent="0.25">
      <c r="A272" s="45"/>
      <c r="B272" s="54"/>
      <c r="C272" s="87">
        <f>INT($C$167)+3</f>
        <v>4</v>
      </c>
      <c r="D272" s="73"/>
      <c r="E272" s="70"/>
      <c r="F272" s="70"/>
      <c r="G272" s="73"/>
      <c r="H272" s="181" t="s">
        <v>280</v>
      </c>
      <c r="I272" s="182" t="s">
        <v>276</v>
      </c>
      <c r="J272" s="183">
        <v>0.1065938076569537</v>
      </c>
      <c r="K272" s="183">
        <v>4.4110825980385515E-2</v>
      </c>
      <c r="L272" s="183">
        <v>0.12900255411807993</v>
      </c>
      <c r="M272" s="183">
        <v>0.11207016764039324</v>
      </c>
      <c r="N272" s="183">
        <v>9.4749316601778766E-2</v>
      </c>
      <c r="O272" s="183">
        <v>0.16072505146229576</v>
      </c>
      <c r="P272" s="183">
        <v>0.15129244790353202</v>
      </c>
      <c r="Q272" s="183">
        <v>0.11538090761697162</v>
      </c>
      <c r="R272" s="183">
        <v>-2.2137105377519117E-2</v>
      </c>
      <c r="S272" s="183">
        <v>0</v>
      </c>
      <c r="T272" s="183">
        <v>7.6094500683722144E-2</v>
      </c>
      <c r="U272" s="183">
        <v>5.2978848248593113E-2</v>
      </c>
      <c r="V272" s="76"/>
      <c r="W272" s="76"/>
      <c r="X272" s="76"/>
      <c r="Y272" s="76"/>
      <c r="Z272" s="76"/>
      <c r="AA272" s="76"/>
      <c r="AB272" s="76"/>
      <c r="AC272" s="76"/>
      <c r="AD272" s="76"/>
      <c r="AE272" s="76"/>
      <c r="AF272" s="76"/>
      <c r="AG272" s="76"/>
      <c r="AH272" s="76"/>
      <c r="AI272" s="76"/>
      <c r="AJ272" s="76"/>
      <c r="AK272" s="76"/>
      <c r="AL272" s="76"/>
      <c r="AM272" s="76"/>
      <c r="AN272" s="73"/>
      <c r="AO272" s="57"/>
      <c r="AP272" s="45"/>
      <c r="AQ272" s="45"/>
      <c r="AR272" s="45"/>
      <c r="AS272" s="437"/>
      <c r="AT272" s="437"/>
    </row>
    <row r="273" spans="1:46" outlineLevel="3" x14ac:dyDescent="0.25">
      <c r="A273" s="45"/>
      <c r="B273" s="54"/>
      <c r="C273" s="87">
        <f>INT($C$167+3)</f>
        <v>4</v>
      </c>
      <c r="D273" s="73"/>
      <c r="E273" s="70"/>
      <c r="F273" s="70"/>
      <c r="G273" s="73"/>
      <c r="H273" s="184"/>
      <c r="I273" s="185" t="s">
        <v>277</v>
      </c>
      <c r="J273" s="186">
        <v>-0.1</v>
      </c>
      <c r="K273" s="186">
        <v>-0.1</v>
      </c>
      <c r="L273" s="186">
        <v>-0.1</v>
      </c>
      <c r="M273" s="186">
        <v>0</v>
      </c>
      <c r="N273" s="186">
        <v>0</v>
      </c>
      <c r="O273" s="186">
        <v>0</v>
      </c>
      <c r="P273" s="186">
        <v>-0.05</v>
      </c>
      <c r="Q273" s="186">
        <v>-0.05</v>
      </c>
      <c r="R273" s="186">
        <v>-0.05</v>
      </c>
      <c r="S273" s="186">
        <v>-0.05</v>
      </c>
      <c r="T273" s="186">
        <v>-7.0000000000000007E-2</v>
      </c>
      <c r="U273" s="186">
        <v>-0.08</v>
      </c>
      <c r="V273" s="76"/>
      <c r="W273" s="97" t="s">
        <v>278</v>
      </c>
      <c r="X273" s="76"/>
      <c r="Y273" s="76"/>
      <c r="Z273" s="76"/>
      <c r="AA273" s="76"/>
      <c r="AB273" s="76"/>
      <c r="AC273" s="76"/>
      <c r="AD273" s="76"/>
      <c r="AE273" s="76"/>
      <c r="AF273" s="76"/>
      <c r="AG273" s="76"/>
      <c r="AH273" s="76"/>
      <c r="AI273" s="76"/>
      <c r="AJ273" s="76"/>
      <c r="AK273" s="76"/>
      <c r="AL273" s="76"/>
      <c r="AM273" s="76"/>
      <c r="AN273" s="73"/>
      <c r="AO273" s="57"/>
      <c r="AP273" s="45"/>
      <c r="AQ273" s="45"/>
      <c r="AR273" s="45"/>
      <c r="AS273" s="437"/>
      <c r="AT273" s="437"/>
    </row>
    <row r="274" spans="1:46" outlineLevel="3" x14ac:dyDescent="0.25">
      <c r="A274" s="45"/>
      <c r="B274" s="54"/>
      <c r="C274" s="87">
        <f>INT($C$167)+3</f>
        <v>4</v>
      </c>
      <c r="D274" s="73"/>
      <c r="E274" s="70"/>
      <c r="F274" s="70"/>
      <c r="G274" s="73"/>
      <c r="H274" s="181" t="s">
        <v>281</v>
      </c>
      <c r="I274" s="182" t="s">
        <v>276</v>
      </c>
      <c r="J274" s="183">
        <v>6.2347139254594897E-2</v>
      </c>
      <c r="K274" s="183">
        <v>2.129873245115288E-2</v>
      </c>
      <c r="L274" s="183">
        <v>0.10239854550778449</v>
      </c>
      <c r="M274" s="183">
        <v>0.14133582750169182</v>
      </c>
      <c r="N274" s="183">
        <v>9.1308137198670813E-2</v>
      </c>
      <c r="O274" s="183">
        <v>0.13527803574735042</v>
      </c>
      <c r="P274" s="183">
        <v>0.16650265283826382</v>
      </c>
      <c r="Q274" s="183">
        <v>0.15150454295912597</v>
      </c>
      <c r="R274" s="183">
        <v>5.680272263481978E-2</v>
      </c>
      <c r="S274" s="183">
        <v>0</v>
      </c>
      <c r="T274" s="183">
        <v>6.7638189667955206E-2</v>
      </c>
      <c r="U274" s="183">
        <v>6.3707802307896744E-2</v>
      </c>
      <c r="V274" s="76"/>
      <c r="W274" s="76"/>
      <c r="X274" s="76"/>
      <c r="Y274" s="76"/>
      <c r="Z274" s="76"/>
      <c r="AA274" s="76"/>
      <c r="AB274" s="76"/>
      <c r="AC274" s="76"/>
      <c r="AD274" s="76"/>
      <c r="AE274" s="76"/>
      <c r="AF274" s="76"/>
      <c r="AG274" s="76"/>
      <c r="AH274" s="76"/>
      <c r="AI274" s="76"/>
      <c r="AJ274" s="76"/>
      <c r="AK274" s="76"/>
      <c r="AL274" s="76"/>
      <c r="AM274" s="76"/>
      <c r="AN274" s="73"/>
      <c r="AO274" s="57"/>
      <c r="AP274" s="45"/>
      <c r="AQ274" s="45"/>
      <c r="AR274" s="45"/>
      <c r="AS274" s="437"/>
      <c r="AT274" s="437"/>
    </row>
    <row r="275" spans="1:46" outlineLevel="3" x14ac:dyDescent="0.25">
      <c r="A275" s="45"/>
      <c r="B275" s="54"/>
      <c r="C275" s="87">
        <f>INT($C$167+3)</f>
        <v>4</v>
      </c>
      <c r="D275" s="73"/>
      <c r="E275" s="70"/>
      <c r="F275" s="70"/>
      <c r="G275" s="73"/>
      <c r="H275" s="184"/>
      <c r="I275" s="185" t="s">
        <v>277</v>
      </c>
      <c r="J275" s="186">
        <v>0</v>
      </c>
      <c r="K275" s="186">
        <v>0</v>
      </c>
      <c r="L275" s="186">
        <v>0</v>
      </c>
      <c r="M275" s="186">
        <v>0</v>
      </c>
      <c r="N275" s="186">
        <v>0</v>
      </c>
      <c r="O275" s="186">
        <v>0</v>
      </c>
      <c r="P275" s="186">
        <v>0</v>
      </c>
      <c r="Q275" s="186">
        <v>0</v>
      </c>
      <c r="R275" s="186">
        <v>0</v>
      </c>
      <c r="S275" s="186">
        <v>0</v>
      </c>
      <c r="T275" s="186">
        <v>0</v>
      </c>
      <c r="U275" s="186">
        <v>0</v>
      </c>
      <c r="V275" s="76"/>
      <c r="W275" s="76"/>
      <c r="X275" s="76"/>
      <c r="Y275" s="76"/>
      <c r="Z275" s="76"/>
      <c r="AA275" s="76"/>
      <c r="AB275" s="76"/>
      <c r="AC275" s="76"/>
      <c r="AD275" s="76"/>
      <c r="AE275" s="76"/>
      <c r="AF275" s="76"/>
      <c r="AG275" s="76"/>
      <c r="AH275" s="76"/>
      <c r="AI275" s="76"/>
      <c r="AJ275" s="76"/>
      <c r="AK275" s="76"/>
      <c r="AL275" s="76"/>
      <c r="AM275" s="76"/>
      <c r="AN275" s="73"/>
      <c r="AO275" s="57"/>
      <c r="AP275" s="45"/>
      <c r="AQ275" s="45"/>
      <c r="AR275" s="45"/>
      <c r="AS275" s="437"/>
      <c r="AT275" s="437"/>
    </row>
    <row r="276" spans="1:46" outlineLevel="3" x14ac:dyDescent="0.25">
      <c r="A276" s="45"/>
      <c r="B276" s="54"/>
      <c r="C276" s="87">
        <f>INT($C$167)+3</f>
        <v>4</v>
      </c>
      <c r="D276" s="73"/>
      <c r="E276" s="70"/>
      <c r="F276" s="70"/>
      <c r="G276" s="73"/>
      <c r="H276" s="181" t="s">
        <v>282</v>
      </c>
      <c r="I276" s="182" t="s">
        <v>276</v>
      </c>
      <c r="J276" s="183">
        <v>6.2347139254594897E-2</v>
      </c>
      <c r="K276" s="183">
        <v>2.129873245115288E-2</v>
      </c>
      <c r="L276" s="183">
        <v>0.10239854550778449</v>
      </c>
      <c r="M276" s="183">
        <v>0.14133582750169182</v>
      </c>
      <c r="N276" s="183">
        <v>-1</v>
      </c>
      <c r="O276" s="183">
        <v>-1</v>
      </c>
      <c r="P276" s="183">
        <v>-1</v>
      </c>
      <c r="Q276" s="183">
        <v>-1</v>
      </c>
      <c r="R276" s="183">
        <v>5.680272263481978E-2</v>
      </c>
      <c r="S276" s="183">
        <v>0</v>
      </c>
      <c r="T276" s="183">
        <v>6.7638189667955206E-2</v>
      </c>
      <c r="U276" s="183">
        <v>6.3707802307896744E-2</v>
      </c>
      <c r="V276" s="76"/>
      <c r="W276" s="76"/>
      <c r="X276" s="76"/>
      <c r="Y276" s="76"/>
      <c r="Z276" s="76"/>
      <c r="AA276" s="76"/>
      <c r="AB276" s="76"/>
      <c r="AC276" s="76"/>
      <c r="AD276" s="76"/>
      <c r="AE276" s="76"/>
      <c r="AF276" s="76"/>
      <c r="AG276" s="76"/>
      <c r="AH276" s="76"/>
      <c r="AI276" s="76"/>
      <c r="AJ276" s="76"/>
      <c r="AK276" s="76"/>
      <c r="AL276" s="76"/>
      <c r="AM276" s="76"/>
      <c r="AN276" s="73"/>
      <c r="AO276" s="57"/>
      <c r="AP276" s="45"/>
      <c r="AQ276" s="45"/>
      <c r="AR276" s="45"/>
      <c r="AS276" s="437"/>
      <c r="AT276" s="437"/>
    </row>
    <row r="277" spans="1:46" outlineLevel="3" x14ac:dyDescent="0.25">
      <c r="A277" s="45"/>
      <c r="B277" s="54"/>
      <c r="C277" s="87">
        <f>INT($C$167+3)</f>
        <v>4</v>
      </c>
      <c r="D277" s="73"/>
      <c r="E277" s="70"/>
      <c r="F277" s="70"/>
      <c r="G277" s="73"/>
      <c r="H277" s="184"/>
      <c r="I277" s="185" t="s">
        <v>277</v>
      </c>
      <c r="J277" s="186">
        <v>0</v>
      </c>
      <c r="K277" s="186">
        <v>0</v>
      </c>
      <c r="L277" s="186">
        <v>0</v>
      </c>
      <c r="M277" s="186">
        <v>0</v>
      </c>
      <c r="N277" s="186">
        <v>0</v>
      </c>
      <c r="O277" s="186">
        <v>0</v>
      </c>
      <c r="P277" s="186">
        <v>0</v>
      </c>
      <c r="Q277" s="186">
        <v>0</v>
      </c>
      <c r="R277" s="186">
        <v>0</v>
      </c>
      <c r="S277" s="186">
        <v>0</v>
      </c>
      <c r="T277" s="186">
        <v>0</v>
      </c>
      <c r="U277" s="186">
        <v>0</v>
      </c>
      <c r="V277" s="76"/>
      <c r="W277" s="76"/>
      <c r="X277" s="76"/>
      <c r="Y277" s="76"/>
      <c r="Z277" s="76"/>
      <c r="AA277" s="76"/>
      <c r="AB277" s="76"/>
      <c r="AC277" s="76"/>
      <c r="AD277" s="76"/>
      <c r="AE277" s="76"/>
      <c r="AF277" s="76"/>
      <c r="AG277" s="76"/>
      <c r="AH277" s="76"/>
      <c r="AI277" s="76"/>
      <c r="AJ277" s="76"/>
      <c r="AK277" s="76"/>
      <c r="AL277" s="76"/>
      <c r="AM277" s="76"/>
      <c r="AN277" s="73"/>
      <c r="AO277" s="57"/>
      <c r="AP277" s="45"/>
      <c r="AQ277" s="45"/>
      <c r="AR277" s="45"/>
      <c r="AS277" s="437"/>
      <c r="AT277" s="437"/>
    </row>
    <row r="278" spans="1:46" outlineLevel="3" x14ac:dyDescent="0.25">
      <c r="A278" s="45"/>
      <c r="B278" s="54"/>
      <c r="C278" s="87">
        <f>INT($C$167)+3</f>
        <v>4</v>
      </c>
      <c r="D278" s="73"/>
      <c r="E278" s="70"/>
      <c r="F278" s="70"/>
      <c r="G278" s="73"/>
      <c r="H278" s="181" t="s">
        <v>283</v>
      </c>
      <c r="I278" s="182" t="s">
        <v>276</v>
      </c>
      <c r="J278" s="333">
        <f>J280</f>
        <v>6.2347139254594897E-2</v>
      </c>
      <c r="K278" s="333">
        <f>K280</f>
        <v>2.129873245115288E-2</v>
      </c>
      <c r="L278" s="333">
        <f>L280</f>
        <v>0.10239854550778449</v>
      </c>
      <c r="M278" s="183">
        <v>0</v>
      </c>
      <c r="N278" s="183">
        <v>0</v>
      </c>
      <c r="O278" s="183">
        <v>0</v>
      </c>
      <c r="P278" s="183">
        <v>0</v>
      </c>
      <c r="Q278" s="183">
        <v>0</v>
      </c>
      <c r="R278" s="183">
        <v>0</v>
      </c>
      <c r="S278" s="183">
        <v>0</v>
      </c>
      <c r="T278" s="333">
        <f>T280</f>
        <v>6.7638189667955206E-2</v>
      </c>
      <c r="U278" s="333">
        <f>U280</f>
        <v>6.3707802307896744E-2</v>
      </c>
      <c r="V278" s="76"/>
      <c r="W278" s="76"/>
      <c r="X278" s="76"/>
      <c r="Y278" s="76"/>
      <c r="Z278" s="76"/>
      <c r="AA278" s="76"/>
      <c r="AB278" s="76"/>
      <c r="AC278" s="76"/>
      <c r="AD278" s="76"/>
      <c r="AE278" s="76"/>
      <c r="AF278" s="76"/>
      <c r="AG278" s="76"/>
      <c r="AH278" s="76"/>
      <c r="AI278" s="76"/>
      <c r="AJ278" s="76"/>
      <c r="AK278" s="76"/>
      <c r="AL278" s="76"/>
      <c r="AM278" s="76"/>
      <c r="AN278" s="73"/>
      <c r="AO278" s="57"/>
      <c r="AP278" s="45"/>
      <c r="AQ278" s="45"/>
      <c r="AR278" s="45"/>
      <c r="AS278" s="437"/>
      <c r="AT278" s="437"/>
    </row>
    <row r="279" spans="1:46" outlineLevel="3" x14ac:dyDescent="0.25">
      <c r="A279" s="45"/>
      <c r="B279" s="54"/>
      <c r="C279" s="87">
        <f>INT($C$167+3)</f>
        <v>4</v>
      </c>
      <c r="D279" s="73"/>
      <c r="E279" s="70"/>
      <c r="F279" s="70"/>
      <c r="G279" s="73"/>
      <c r="H279" s="184"/>
      <c r="I279" s="185" t="s">
        <v>277</v>
      </c>
      <c r="J279" s="186">
        <v>-0.1</v>
      </c>
      <c r="K279" s="186">
        <v>-0.1</v>
      </c>
      <c r="L279" s="186">
        <v>-0.1</v>
      </c>
      <c r="M279" s="186">
        <v>-0.1</v>
      </c>
      <c r="N279" s="186">
        <v>-0.1</v>
      </c>
      <c r="O279" s="186">
        <v>-0.1</v>
      </c>
      <c r="P279" s="186">
        <v>-0.1</v>
      </c>
      <c r="Q279" s="186">
        <v>-0.1</v>
      </c>
      <c r="R279" s="186">
        <v>-0.1</v>
      </c>
      <c r="S279" s="186">
        <v>-0.1</v>
      </c>
      <c r="T279" s="186">
        <v>-0.1</v>
      </c>
      <c r="U279" s="186">
        <v>-0.1</v>
      </c>
      <c r="V279" s="76"/>
      <c r="W279" s="76"/>
      <c r="X279" s="76"/>
      <c r="Y279" s="76"/>
      <c r="Z279" s="76"/>
      <c r="AA279" s="76"/>
      <c r="AB279" s="76"/>
      <c r="AC279" s="76"/>
      <c r="AD279" s="76"/>
      <c r="AE279" s="76"/>
      <c r="AF279" s="76"/>
      <c r="AG279" s="76"/>
      <c r="AH279" s="76"/>
      <c r="AI279" s="76"/>
      <c r="AJ279" s="76"/>
      <c r="AK279" s="76"/>
      <c r="AL279" s="76"/>
      <c r="AM279" s="76"/>
      <c r="AN279" s="73"/>
      <c r="AO279" s="57"/>
      <c r="AP279" s="45"/>
      <c r="AQ279" s="45"/>
      <c r="AR279" s="45"/>
      <c r="AS279" s="437"/>
      <c r="AT279" s="437"/>
    </row>
    <row r="280" spans="1:46" outlineLevel="3" x14ac:dyDescent="0.25">
      <c r="A280" s="45"/>
      <c r="B280" s="54"/>
      <c r="C280" s="87">
        <f>INT($C$167)+3</f>
        <v>4</v>
      </c>
      <c r="D280" s="73"/>
      <c r="E280" s="70"/>
      <c r="F280" s="70"/>
      <c r="G280" s="73"/>
      <c r="H280" s="181" t="s">
        <v>284</v>
      </c>
      <c r="I280" s="182" t="s">
        <v>276</v>
      </c>
      <c r="J280" s="183">
        <v>6.2347139254594897E-2</v>
      </c>
      <c r="K280" s="183">
        <v>2.129873245115288E-2</v>
      </c>
      <c r="L280" s="183">
        <v>0.10239854550778449</v>
      </c>
      <c r="M280" s="183">
        <v>0.14133582750169182</v>
      </c>
      <c r="N280" s="183">
        <v>9.1308137198670813E-2</v>
      </c>
      <c r="O280" s="183">
        <v>0.13527803574735042</v>
      </c>
      <c r="P280" s="183">
        <v>0.16650265283826382</v>
      </c>
      <c r="Q280" s="183">
        <v>0.15150454295912597</v>
      </c>
      <c r="R280" s="183">
        <v>5.680272263481978E-2</v>
      </c>
      <c r="S280" s="183">
        <v>0</v>
      </c>
      <c r="T280" s="183">
        <v>6.7638189667955206E-2</v>
      </c>
      <c r="U280" s="183">
        <v>6.3707802307896744E-2</v>
      </c>
      <c r="V280" s="76"/>
      <c r="W280" s="76"/>
      <c r="X280" s="76"/>
      <c r="Y280" s="76"/>
      <c r="Z280" s="76"/>
      <c r="AA280" s="76"/>
      <c r="AB280" s="76"/>
      <c r="AC280" s="76"/>
      <c r="AD280" s="76"/>
      <c r="AE280" s="76"/>
      <c r="AF280" s="76"/>
      <c r="AG280" s="76"/>
      <c r="AH280" s="76"/>
      <c r="AI280" s="76"/>
      <c r="AJ280" s="76"/>
      <c r="AK280" s="76"/>
      <c r="AL280" s="76"/>
      <c r="AM280" s="76"/>
      <c r="AN280" s="73"/>
      <c r="AO280" s="57"/>
      <c r="AP280" s="45"/>
      <c r="AQ280" s="45"/>
      <c r="AR280" s="45"/>
      <c r="AS280" s="437"/>
      <c r="AT280" s="437"/>
    </row>
    <row r="281" spans="1:46" outlineLevel="3" x14ac:dyDescent="0.25">
      <c r="A281" s="45"/>
      <c r="B281" s="54"/>
      <c r="C281" s="87">
        <f>INT($C$167+3)</f>
        <v>4</v>
      </c>
      <c r="D281" s="73"/>
      <c r="E281" s="70"/>
      <c r="F281" s="70"/>
      <c r="G281" s="73"/>
      <c r="H281" s="184"/>
      <c r="I281" s="185" t="s">
        <v>277</v>
      </c>
      <c r="J281" s="186">
        <v>0</v>
      </c>
      <c r="K281" s="186">
        <v>0</v>
      </c>
      <c r="L281" s="186">
        <v>0</v>
      </c>
      <c r="M281" s="186">
        <v>0</v>
      </c>
      <c r="N281" s="186">
        <v>0</v>
      </c>
      <c r="O281" s="186">
        <v>0</v>
      </c>
      <c r="P281" s="186">
        <v>0</v>
      </c>
      <c r="Q281" s="186">
        <v>0</v>
      </c>
      <c r="R281" s="186">
        <v>0</v>
      </c>
      <c r="S281" s="186">
        <v>0</v>
      </c>
      <c r="T281" s="186">
        <v>0</v>
      </c>
      <c r="U281" s="186">
        <v>0</v>
      </c>
      <c r="V281" s="76"/>
      <c r="W281" s="76"/>
      <c r="X281" s="76"/>
      <c r="Y281" s="76"/>
      <c r="Z281" s="76"/>
      <c r="AA281" s="76"/>
      <c r="AB281" s="76"/>
      <c r="AC281" s="76"/>
      <c r="AD281" s="76"/>
      <c r="AE281" s="76"/>
      <c r="AF281" s="76"/>
      <c r="AG281" s="76"/>
      <c r="AH281" s="76"/>
      <c r="AI281" s="76"/>
      <c r="AJ281" s="76"/>
      <c r="AK281" s="76"/>
      <c r="AL281" s="76"/>
      <c r="AM281" s="76"/>
      <c r="AN281" s="73"/>
      <c r="AO281" s="57"/>
      <c r="AP281" s="45"/>
      <c r="AQ281" s="45"/>
      <c r="AR281" s="45"/>
      <c r="AS281" s="437"/>
      <c r="AT281" s="437"/>
    </row>
    <row r="282" spans="1:46" outlineLevel="3" x14ac:dyDescent="0.25">
      <c r="A282" s="45"/>
      <c r="B282" s="54"/>
      <c r="C282" s="87">
        <f>INT($C$167)+3</f>
        <v>4</v>
      </c>
      <c r="D282" s="73"/>
      <c r="E282" s="70"/>
      <c r="F282" s="70"/>
      <c r="G282" s="73"/>
      <c r="H282" s="181" t="s">
        <v>285</v>
      </c>
      <c r="I282" s="182" t="s">
        <v>276</v>
      </c>
      <c r="J282" s="183">
        <v>0</v>
      </c>
      <c r="K282" s="183">
        <v>0</v>
      </c>
      <c r="L282" s="183">
        <v>0</v>
      </c>
      <c r="M282" s="183">
        <v>0</v>
      </c>
      <c r="N282" s="183">
        <v>0</v>
      </c>
      <c r="O282" s="183">
        <v>0</v>
      </c>
      <c r="P282" s="183">
        <v>0</v>
      </c>
      <c r="Q282" s="183">
        <v>0</v>
      </c>
      <c r="R282" s="183">
        <v>0</v>
      </c>
      <c r="S282" s="183">
        <v>0</v>
      </c>
      <c r="T282" s="183">
        <v>0</v>
      </c>
      <c r="U282" s="183">
        <v>0</v>
      </c>
      <c r="V282" s="76"/>
      <c r="W282" s="76"/>
      <c r="X282" s="76"/>
      <c r="Y282" s="76"/>
      <c r="Z282" s="76"/>
      <c r="AA282" s="76"/>
      <c r="AB282" s="76"/>
      <c r="AC282" s="76"/>
      <c r="AD282" s="76"/>
      <c r="AE282" s="76"/>
      <c r="AF282" s="76"/>
      <c r="AG282" s="76"/>
      <c r="AH282" s="76"/>
      <c r="AI282" s="76"/>
      <c r="AJ282" s="76"/>
      <c r="AK282" s="76"/>
      <c r="AL282" s="76"/>
      <c r="AM282" s="76"/>
      <c r="AN282" s="73"/>
      <c r="AO282" s="57"/>
      <c r="AP282" s="45"/>
      <c r="AQ282" s="45"/>
      <c r="AR282" s="45"/>
      <c r="AS282" s="437"/>
      <c r="AT282" s="437"/>
    </row>
    <row r="283" spans="1:46" outlineLevel="3" x14ac:dyDescent="0.25">
      <c r="A283" s="45"/>
      <c r="B283" s="54"/>
      <c r="C283" s="87">
        <f>INT($C$167+3)</f>
        <v>4</v>
      </c>
      <c r="D283" s="73"/>
      <c r="E283" s="70"/>
      <c r="F283" s="70"/>
      <c r="G283" s="73"/>
      <c r="H283" s="184"/>
      <c r="I283" s="185" t="s">
        <v>277</v>
      </c>
      <c r="J283" s="186">
        <v>0</v>
      </c>
      <c r="K283" s="186">
        <v>0</v>
      </c>
      <c r="L283" s="186">
        <v>0</v>
      </c>
      <c r="M283" s="186">
        <v>0</v>
      </c>
      <c r="N283" s="186">
        <v>0</v>
      </c>
      <c r="O283" s="186">
        <v>0</v>
      </c>
      <c r="P283" s="186">
        <v>0</v>
      </c>
      <c r="Q283" s="186">
        <v>0</v>
      </c>
      <c r="R283" s="186">
        <v>0</v>
      </c>
      <c r="S283" s="186">
        <v>0</v>
      </c>
      <c r="T283" s="186">
        <v>0</v>
      </c>
      <c r="U283" s="186">
        <v>0</v>
      </c>
      <c r="V283" s="76"/>
      <c r="W283" s="76"/>
      <c r="X283" s="76"/>
      <c r="Y283" s="76"/>
      <c r="Z283" s="76"/>
      <c r="AA283" s="76"/>
      <c r="AB283" s="76"/>
      <c r="AC283" s="76"/>
      <c r="AD283" s="76"/>
      <c r="AE283" s="76"/>
      <c r="AF283" s="76"/>
      <c r="AG283" s="76"/>
      <c r="AH283" s="76"/>
      <c r="AI283" s="76"/>
      <c r="AJ283" s="76"/>
      <c r="AK283" s="76"/>
      <c r="AL283" s="76"/>
      <c r="AM283" s="76"/>
      <c r="AN283" s="73"/>
      <c r="AO283" s="57"/>
      <c r="AP283" s="45"/>
      <c r="AQ283" s="45"/>
      <c r="AR283" s="45"/>
      <c r="AS283" s="437"/>
      <c r="AT283" s="437"/>
    </row>
    <row r="284" spans="1:46" ht="5.0999999999999996" customHeight="1" outlineLevel="2" x14ac:dyDescent="0.25">
      <c r="A284" s="45"/>
      <c r="B284" s="54"/>
      <c r="C284" s="87">
        <f>INT($C$167)+2.005</f>
        <v>3.0049999999999999</v>
      </c>
      <c r="D284" s="73"/>
      <c r="E284" s="73"/>
      <c r="F284" s="73"/>
      <c r="G284" s="73"/>
      <c r="H284" s="73"/>
      <c r="I284" s="73"/>
      <c r="J284" s="73"/>
      <c r="K284" s="73"/>
      <c r="L284" s="73"/>
      <c r="M284" s="73"/>
      <c r="N284" s="73"/>
      <c r="O284" s="73"/>
      <c r="P284" s="73"/>
      <c r="Q284" s="73"/>
      <c r="R284" s="73"/>
      <c r="S284" s="73"/>
      <c r="T284" s="73"/>
      <c r="U284" s="73"/>
      <c r="V284" s="73"/>
      <c r="W284" s="73"/>
      <c r="X284" s="73"/>
      <c r="Y284" s="73"/>
      <c r="Z284" s="73"/>
      <c r="AA284" s="73"/>
      <c r="AB284" s="73"/>
      <c r="AC284" s="73"/>
      <c r="AD284" s="73"/>
      <c r="AE284" s="73"/>
      <c r="AF284" s="73"/>
      <c r="AG284" s="73"/>
      <c r="AH284" s="73"/>
      <c r="AI284" s="73"/>
      <c r="AJ284" s="73"/>
      <c r="AK284" s="73"/>
      <c r="AL284" s="73"/>
      <c r="AM284" s="73"/>
      <c r="AN284" s="73" t="s">
        <v>136</v>
      </c>
      <c r="AO284" s="57"/>
      <c r="AP284" s="45"/>
      <c r="AQ284" s="45"/>
      <c r="AR284" s="45"/>
      <c r="AS284" s="437"/>
      <c r="AT284" s="437"/>
    </row>
    <row r="285" spans="1:46" ht="5.0999999999999996" customHeight="1" outlineLevel="2" x14ac:dyDescent="0.25">
      <c r="A285" s="45"/>
      <c r="B285" s="54"/>
      <c r="C285" s="87">
        <f>INT($C$167)+2.005</f>
        <v>3.0049999999999999</v>
      </c>
      <c r="D285" s="73"/>
      <c r="E285" s="73"/>
      <c r="F285" s="73"/>
      <c r="G285" s="73"/>
      <c r="H285" s="73"/>
      <c r="I285" s="73"/>
      <c r="J285" s="73"/>
      <c r="K285" s="73"/>
      <c r="L285" s="73"/>
      <c r="M285" s="73"/>
      <c r="N285" s="73"/>
      <c r="O285" s="73"/>
      <c r="P285" s="73"/>
      <c r="Q285" s="73"/>
      <c r="R285" s="73"/>
      <c r="S285" s="73"/>
      <c r="T285" s="73"/>
      <c r="U285" s="73"/>
      <c r="V285" s="73"/>
      <c r="W285" s="73"/>
      <c r="X285" s="73"/>
      <c r="Y285" s="73"/>
      <c r="Z285" s="73"/>
      <c r="AA285" s="73"/>
      <c r="AB285" s="73"/>
      <c r="AC285" s="73"/>
      <c r="AD285" s="73"/>
      <c r="AE285" s="73"/>
      <c r="AF285" s="73"/>
      <c r="AG285" s="73"/>
      <c r="AH285" s="73"/>
      <c r="AI285" s="73"/>
      <c r="AJ285" s="73"/>
      <c r="AK285" s="73"/>
      <c r="AL285" s="73"/>
      <c r="AM285" s="73"/>
      <c r="AN285" s="73"/>
      <c r="AO285" s="57"/>
      <c r="AP285" s="45"/>
      <c r="AQ285" s="45"/>
      <c r="AR285" s="45"/>
      <c r="AS285" s="437"/>
      <c r="AT285" s="437"/>
    </row>
    <row r="286" spans="1:46" ht="5.0999999999999996" customHeight="1" outlineLevel="1" x14ac:dyDescent="0.25">
      <c r="A286" s="45"/>
      <c r="B286" s="81"/>
      <c r="C286" s="100">
        <f>INT($C$167)+1.005</f>
        <v>2.0049999999999999</v>
      </c>
      <c r="D286" s="83"/>
      <c r="E286" s="83"/>
      <c r="F286" s="83"/>
      <c r="G286" s="83"/>
      <c r="H286" s="83"/>
      <c r="I286" s="83"/>
      <c r="J286" s="83"/>
      <c r="K286" s="83"/>
      <c r="L286" s="83"/>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4" t="s">
        <v>145</v>
      </c>
      <c r="AP286" s="45"/>
      <c r="AQ286" s="45"/>
      <c r="AR286" s="45"/>
      <c r="AS286" s="437"/>
      <c r="AT286" s="437"/>
    </row>
    <row r="287" spans="1:46" ht="5.0999999999999996" customHeight="1" x14ac:dyDescent="0.25">
      <c r="A287" s="45"/>
      <c r="B287" s="85"/>
      <c r="C287" s="102">
        <f>INT($C$167)+0.005</f>
        <v>1.0049999999999999</v>
      </c>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85"/>
      <c r="AK287" s="85"/>
      <c r="AL287" s="85"/>
      <c r="AM287" s="85"/>
      <c r="AN287" s="85"/>
      <c r="AO287" s="85"/>
      <c r="AP287" s="45"/>
      <c r="AQ287" s="45"/>
      <c r="AR287" s="45"/>
      <c r="AS287" s="437"/>
      <c r="AT287" s="437"/>
    </row>
    <row r="288" spans="1:46" outlineLevel="2" x14ac:dyDescent="0.25">
      <c r="A288" s="45"/>
      <c r="B288" s="45"/>
      <c r="C288" s="87">
        <f>INT($C$167)+2</f>
        <v>3</v>
      </c>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37"/>
      <c r="AT288" s="437"/>
    </row>
    <row r="289" spans="1:46" outlineLevel="2" x14ac:dyDescent="0.25">
      <c r="A289" s="45"/>
      <c r="B289" s="45"/>
      <c r="C289" s="87">
        <f>INT($C$293)+2</f>
        <v>3</v>
      </c>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37"/>
      <c r="AT289" s="437"/>
    </row>
    <row r="290" spans="1:46" ht="5.0999999999999996" customHeight="1" thickBot="1" x14ac:dyDescent="0.3">
      <c r="A290" s="45"/>
      <c r="B290" s="48"/>
      <c r="C290" s="88">
        <f>INT($C$293)+0.005</f>
        <v>1.0049999999999999</v>
      </c>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5"/>
      <c r="AQ290" s="45"/>
      <c r="AR290" s="45"/>
      <c r="AS290" s="437"/>
      <c r="AT290" s="437"/>
    </row>
    <row r="291" spans="1:46" ht="5.0999999999999996" customHeight="1" outlineLevel="1" x14ac:dyDescent="0.25">
      <c r="A291" s="45"/>
      <c r="B291" s="50" t="s">
        <v>86</v>
      </c>
      <c r="C291" s="89">
        <f>INT($C$293)+1.005</f>
        <v>2.0049999999999999</v>
      </c>
      <c r="D291" s="52"/>
      <c r="E291" s="5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3"/>
      <c r="AP291" s="45"/>
      <c r="AQ291" s="45"/>
      <c r="AR291" s="45"/>
      <c r="AS291" s="437"/>
      <c r="AT291" s="437"/>
    </row>
    <row r="292" spans="1:46" outlineLevel="4" x14ac:dyDescent="0.25">
      <c r="A292" s="45"/>
      <c r="B292" s="54"/>
      <c r="C292" s="87">
        <f>INT(MAX($C$304:$C$337))+1</f>
        <v>5</v>
      </c>
      <c r="D292" s="55"/>
      <c r="E292" s="55"/>
      <c r="F292" s="55"/>
      <c r="G292" s="55"/>
      <c r="H292" s="56"/>
      <c r="I292" s="56"/>
      <c r="J292" s="56"/>
      <c r="K292" s="56"/>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c r="AN292" s="55"/>
      <c r="AO292" s="57"/>
      <c r="AP292" s="45"/>
      <c r="AQ292" s="45"/>
      <c r="AR292" s="45"/>
      <c r="AS292" s="437"/>
      <c r="AT292" s="437"/>
    </row>
    <row r="293" spans="1:46" ht="20.100000000000001" customHeight="1" x14ac:dyDescent="0.25">
      <c r="A293" s="45"/>
      <c r="B293" s="54"/>
      <c r="C293" s="87">
        <v>1.02</v>
      </c>
      <c r="D293" s="58"/>
      <c r="E293" s="59" t="s">
        <v>124</v>
      </c>
      <c r="F293" s="60"/>
      <c r="G293" s="61"/>
      <c r="H293" s="62" t="str">
        <f>COUNTIFS($B$1:$B293, "«")&amp;" Universal: Husbandry &amp; Requisites"</f>
        <v>5 Universal: Husbandry &amp; Requisites</v>
      </c>
      <c r="I293" s="63"/>
      <c r="J293" s="63"/>
      <c r="K293" s="63"/>
      <c r="L293" s="63"/>
      <c r="M293" s="63"/>
      <c r="N293" s="63"/>
      <c r="O293" s="63"/>
      <c r="P293" s="63"/>
      <c r="Q293" s="63"/>
      <c r="R293" s="63"/>
      <c r="S293" s="63"/>
      <c r="T293" s="63"/>
      <c r="U293" s="63"/>
      <c r="V293" s="63"/>
      <c r="W293" s="63"/>
      <c r="X293" s="63"/>
      <c r="Y293" s="63"/>
      <c r="Z293" s="63"/>
      <c r="AA293" s="63"/>
      <c r="AB293" s="63"/>
      <c r="AC293" s="63"/>
      <c r="AD293" s="63"/>
      <c r="AE293" s="63"/>
      <c r="AF293" s="63"/>
      <c r="AG293" s="63"/>
      <c r="AH293" s="63"/>
      <c r="AI293" s="63"/>
      <c r="AJ293" s="63"/>
      <c r="AK293" s="63"/>
      <c r="AL293" s="63"/>
      <c r="AM293" s="63"/>
      <c r="AN293" s="64"/>
      <c r="AO293" s="57"/>
      <c r="AP293" s="45"/>
      <c r="AQ293" s="45"/>
      <c r="AR293" s="45"/>
      <c r="AS293" s="437"/>
      <c r="AT293" s="437"/>
    </row>
    <row r="294" spans="1:46" ht="20.100000000000001" customHeight="1" outlineLevel="1" x14ac:dyDescent="0.25">
      <c r="A294" s="45"/>
      <c r="B294" s="54"/>
      <c r="C294" s="87">
        <f>INT($C$293)+1.02</f>
        <v>2.02</v>
      </c>
      <c r="D294" s="58"/>
      <c r="E294" s="59" t="s">
        <v>126</v>
      </c>
      <c r="F294" s="65">
        <v>1</v>
      </c>
      <c r="G294" s="66"/>
      <c r="H294" s="67" t="s">
        <v>211</v>
      </c>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c r="AJ294" s="68"/>
      <c r="AK294" s="68"/>
      <c r="AL294" s="68"/>
      <c r="AM294" s="68"/>
      <c r="AN294" s="69"/>
      <c r="AO294" s="57"/>
      <c r="AP294" s="45"/>
      <c r="AQ294" s="45"/>
      <c r="AR294" s="45"/>
      <c r="AS294" s="437"/>
      <c r="AT294" s="437"/>
    </row>
    <row r="295" spans="1:46" ht="5.0999999999999996" customHeight="1" outlineLevel="2" x14ac:dyDescent="0.25">
      <c r="A295" s="45"/>
      <c r="B295" s="54"/>
      <c r="C295" s="87">
        <f>INT($C$293)+2.005</f>
        <v>3.0049999999999999</v>
      </c>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E295" s="55"/>
      <c r="AF295" s="55"/>
      <c r="AG295" s="55"/>
      <c r="AH295" s="55"/>
      <c r="AI295" s="55"/>
      <c r="AJ295" s="55"/>
      <c r="AK295" s="55"/>
      <c r="AL295" s="55"/>
      <c r="AM295" s="55"/>
      <c r="AN295" s="55"/>
      <c r="AO295" s="57"/>
      <c r="AP295" s="45"/>
      <c r="AQ295" s="45"/>
      <c r="AR295" s="45"/>
      <c r="AS295" s="437"/>
      <c r="AT295" s="437"/>
    </row>
    <row r="296" spans="1:46" outlineLevel="2" x14ac:dyDescent="0.25">
      <c r="A296" s="45"/>
      <c r="B296" s="54"/>
      <c r="C296" s="87">
        <f>INT($C$293)+2</f>
        <v>3</v>
      </c>
      <c r="D296" s="55"/>
      <c r="E296" s="70"/>
      <c r="F296" s="70"/>
      <c r="G296" s="55"/>
      <c r="H296" s="71"/>
      <c r="I296" s="71"/>
      <c r="J296" s="71"/>
      <c r="K296" s="71"/>
      <c r="L296" s="71"/>
      <c r="M296" s="71"/>
      <c r="N296" s="71"/>
      <c r="O296" s="71"/>
      <c r="P296" s="71"/>
      <c r="Q296" s="71"/>
      <c r="R296" s="71"/>
      <c r="S296" s="71"/>
      <c r="T296" s="71"/>
      <c r="U296" s="71"/>
      <c r="V296" s="71"/>
      <c r="W296" s="71"/>
      <c r="X296" s="71"/>
      <c r="Y296" s="71"/>
      <c r="Z296" s="71"/>
      <c r="AA296" s="71"/>
      <c r="AB296" s="71"/>
      <c r="AC296" s="71"/>
      <c r="AD296" s="71"/>
      <c r="AE296" s="71"/>
      <c r="AF296" s="71"/>
      <c r="AG296" s="71"/>
      <c r="AH296" s="71"/>
      <c r="AI296" s="71"/>
      <c r="AJ296" s="71"/>
      <c r="AK296" s="71"/>
      <c r="AL296" s="71"/>
      <c r="AM296" s="71"/>
      <c r="AN296" s="55"/>
      <c r="AO296" s="57"/>
      <c r="AP296" s="45"/>
      <c r="AQ296" s="45"/>
      <c r="AR296" s="45"/>
      <c r="AS296" s="437"/>
      <c r="AT296" s="437"/>
    </row>
    <row r="297" spans="1:46" outlineLevel="2" x14ac:dyDescent="0.25">
      <c r="A297" s="45"/>
      <c r="B297" s="54"/>
      <c r="C297" s="87">
        <f>INT($C$293)+2</f>
        <v>3</v>
      </c>
      <c r="D297" s="55"/>
      <c r="E297" s="70"/>
      <c r="F297" s="70"/>
      <c r="G297" s="55"/>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55"/>
      <c r="AO297" s="57"/>
      <c r="AP297" s="45"/>
      <c r="AQ297" s="45"/>
      <c r="AR297" s="45"/>
      <c r="AS297" s="437"/>
      <c r="AT297" s="437"/>
    </row>
    <row r="298" spans="1:46" outlineLevel="2" x14ac:dyDescent="0.25">
      <c r="A298" s="45"/>
      <c r="B298" s="54"/>
      <c r="C298" s="87">
        <f>INT($C$293)+2</f>
        <v>3</v>
      </c>
      <c r="D298" s="55"/>
      <c r="E298" s="70"/>
      <c r="F298" s="70"/>
      <c r="G298" s="55"/>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55"/>
      <c r="AO298" s="57"/>
      <c r="AP298" s="45"/>
      <c r="AQ298" s="45"/>
      <c r="AR298" s="45"/>
      <c r="AS298" s="437"/>
      <c r="AT298" s="437"/>
    </row>
    <row r="299" spans="1:46" outlineLevel="2" x14ac:dyDescent="0.25">
      <c r="A299" s="45"/>
      <c r="B299" s="54"/>
      <c r="C299" s="87">
        <f>INT($C$293)+2</f>
        <v>3</v>
      </c>
      <c r="D299" s="55"/>
      <c r="E299" s="70"/>
      <c r="F299" s="70"/>
      <c r="G299" s="55"/>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55"/>
      <c r="AO299" s="57"/>
      <c r="AP299" s="45"/>
      <c r="AQ299" s="45"/>
      <c r="AR299" s="45"/>
      <c r="AS299" s="437"/>
      <c r="AT299" s="437"/>
    </row>
    <row r="300" spans="1:46" ht="11.45" customHeight="1" outlineLevel="2" x14ac:dyDescent="0.25">
      <c r="A300" s="45"/>
      <c r="B300" s="54" t="s">
        <v>129</v>
      </c>
      <c r="C300" s="87">
        <f>INT($C$293)+2.01</f>
        <v>3.01</v>
      </c>
      <c r="D300" s="55"/>
      <c r="E300" s="55"/>
      <c r="F300" s="55"/>
      <c r="G300" s="55"/>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55"/>
      <c r="AO300" s="57"/>
      <c r="AP300" s="45"/>
      <c r="AQ300" s="45"/>
      <c r="AR300" s="45"/>
      <c r="AS300" s="437"/>
      <c r="AT300" s="437"/>
    </row>
    <row r="301" spans="1:46" outlineLevel="4" x14ac:dyDescent="0.25">
      <c r="A301" s="45"/>
      <c r="B301" s="54"/>
      <c r="C301" s="87">
        <f>INT(MAX($C$304:$C$337))+1</f>
        <v>5</v>
      </c>
      <c r="D301" s="73"/>
      <c r="E301" s="70"/>
      <c r="F301" s="70"/>
      <c r="G301" s="73"/>
      <c r="H301" s="70"/>
      <c r="I301" s="70"/>
      <c r="J301" s="70"/>
      <c r="K301" s="70"/>
      <c r="L301" s="70"/>
      <c r="M301" s="70"/>
      <c r="N301" s="70"/>
      <c r="O301" s="70"/>
      <c r="P301" s="70"/>
      <c r="Q301" s="70"/>
      <c r="R301" s="70"/>
      <c r="S301" s="70"/>
      <c r="T301" s="70"/>
      <c r="U301" s="70"/>
      <c r="V301" s="70"/>
      <c r="W301" s="70"/>
      <c r="X301" s="70"/>
      <c r="Y301" s="70"/>
      <c r="Z301" s="70"/>
      <c r="AA301" s="70"/>
      <c r="AB301" s="70"/>
      <c r="AC301" s="70"/>
      <c r="AD301" s="70"/>
      <c r="AE301" s="70"/>
      <c r="AF301" s="70"/>
      <c r="AG301" s="70"/>
      <c r="AH301" s="70"/>
      <c r="AI301" s="70"/>
      <c r="AJ301" s="70"/>
      <c r="AK301" s="70"/>
      <c r="AL301" s="70"/>
      <c r="AM301" s="70"/>
      <c r="AN301" s="73"/>
      <c r="AO301" s="57"/>
      <c r="AP301" s="45"/>
      <c r="AQ301" s="45"/>
      <c r="AR301" s="45"/>
      <c r="AS301" s="437"/>
      <c r="AT301" s="437"/>
    </row>
    <row r="302" spans="1:46" outlineLevel="4" x14ac:dyDescent="0.25">
      <c r="A302" s="45"/>
      <c r="B302" s="54" t="s">
        <v>130</v>
      </c>
      <c r="C302" s="87">
        <f>INT(MAX($C$304:$C$337))+1</f>
        <v>5</v>
      </c>
      <c r="D302" s="73" t="s">
        <v>131</v>
      </c>
      <c r="E302" s="70"/>
      <c r="F302" s="70"/>
      <c r="G302" s="73"/>
      <c r="H302" s="70"/>
      <c r="I302" s="70"/>
      <c r="J302" s="70"/>
      <c r="K302" s="70"/>
      <c r="L302" s="70"/>
      <c r="M302" s="70"/>
      <c r="N302" s="70"/>
      <c r="O302" s="70"/>
      <c r="P302" s="70"/>
      <c r="Q302" s="70"/>
      <c r="R302" s="70"/>
      <c r="S302" s="70"/>
      <c r="T302" s="70"/>
      <c r="U302" s="70"/>
      <c r="V302" s="70"/>
      <c r="W302" s="70"/>
      <c r="X302" s="70"/>
      <c r="Y302" s="70"/>
      <c r="Z302" s="70"/>
      <c r="AA302" s="70"/>
      <c r="AB302" s="70"/>
      <c r="AC302" s="70"/>
      <c r="AD302" s="70"/>
      <c r="AE302" s="70"/>
      <c r="AF302" s="70"/>
      <c r="AG302" s="70"/>
      <c r="AH302" s="70"/>
      <c r="AI302" s="70"/>
      <c r="AJ302" s="70"/>
      <c r="AK302" s="70"/>
      <c r="AL302" s="70"/>
      <c r="AM302" s="70"/>
      <c r="AN302" s="73"/>
      <c r="AO302" s="57"/>
      <c r="AP302" s="45"/>
      <c r="AQ302" s="45"/>
      <c r="AR302" s="45"/>
      <c r="AS302" s="437"/>
      <c r="AT302" s="437"/>
    </row>
    <row r="303" spans="1:46" outlineLevel="1" x14ac:dyDescent="0.25">
      <c r="A303" s="45"/>
      <c r="B303" s="54"/>
      <c r="C303" s="87">
        <f>INT($C$293)+1</f>
        <v>2</v>
      </c>
      <c r="D303" s="73"/>
      <c r="E303" s="70"/>
      <c r="F303" s="70"/>
      <c r="G303" s="73"/>
      <c r="H303" s="90" t="s">
        <v>286</v>
      </c>
      <c r="I303" s="91"/>
      <c r="J303" s="92"/>
      <c r="K303" s="92"/>
      <c r="L303" s="92"/>
      <c r="M303" s="92"/>
      <c r="N303" s="92"/>
      <c r="O303" s="92"/>
      <c r="P303" s="92"/>
      <c r="Q303" s="92"/>
      <c r="R303" s="92"/>
      <c r="S303" s="92"/>
      <c r="T303" s="92"/>
      <c r="U303" s="92"/>
      <c r="V303" s="92"/>
      <c r="W303" s="92"/>
      <c r="X303" s="92"/>
      <c r="Y303" s="93"/>
      <c r="Z303" s="93"/>
      <c r="AA303" s="93"/>
      <c r="AB303" s="93"/>
      <c r="AC303" s="93"/>
      <c r="AD303" s="93"/>
      <c r="AE303" s="93"/>
      <c r="AF303" s="93"/>
      <c r="AG303" s="93"/>
      <c r="AH303" s="93"/>
      <c r="AI303" s="93"/>
      <c r="AJ303" s="93"/>
      <c r="AK303" s="93"/>
      <c r="AL303" s="93"/>
      <c r="AM303" s="93"/>
      <c r="AN303" s="73"/>
      <c r="AO303" s="57"/>
      <c r="AP303" s="45"/>
      <c r="AQ303" s="45"/>
      <c r="AR303" s="45"/>
      <c r="AS303" s="437"/>
      <c r="AT303" s="437"/>
    </row>
    <row r="304" spans="1:46" ht="5.0999999999999996" customHeight="1" outlineLevel="3" x14ac:dyDescent="0.25">
      <c r="A304" s="45"/>
      <c r="B304" s="54"/>
      <c r="C304" s="87">
        <f>INT($C$293)+3.005</f>
        <v>4.0049999999999999</v>
      </c>
      <c r="D304" s="73" t="s">
        <v>132</v>
      </c>
      <c r="E304" s="73"/>
      <c r="F304" s="73"/>
      <c r="G304" s="73"/>
      <c r="H304" s="94"/>
      <c r="I304" s="94"/>
      <c r="J304" s="94"/>
      <c r="K304" s="94"/>
      <c r="L304" s="94"/>
      <c r="M304" s="94"/>
      <c r="N304" s="94"/>
      <c r="O304" s="94"/>
      <c r="P304" s="94"/>
      <c r="Q304" s="94"/>
      <c r="R304" s="94"/>
      <c r="S304" s="94"/>
      <c r="T304" s="94"/>
      <c r="U304" s="94"/>
      <c r="V304" s="94"/>
      <c r="W304" s="94"/>
      <c r="X304" s="94"/>
      <c r="Y304" s="94"/>
      <c r="Z304" s="94"/>
      <c r="AA304" s="94"/>
      <c r="AB304" s="94"/>
      <c r="AC304" s="94"/>
      <c r="AD304" s="94"/>
      <c r="AE304" s="94"/>
      <c r="AF304" s="94"/>
      <c r="AG304" s="94"/>
      <c r="AH304" s="234"/>
      <c r="AI304" s="234"/>
      <c r="AJ304" s="234"/>
      <c r="AK304" s="234"/>
      <c r="AL304" s="234"/>
      <c r="AM304" s="234"/>
      <c r="AN304" s="73"/>
      <c r="AO304" s="57"/>
      <c r="AP304" s="45"/>
      <c r="AQ304" s="45"/>
      <c r="AR304" s="45"/>
      <c r="AS304" s="437"/>
      <c r="AT304" s="437"/>
    </row>
    <row r="305" spans="1:46" outlineLevel="3" x14ac:dyDescent="0.25">
      <c r="A305" s="45"/>
      <c r="B305" s="54"/>
      <c r="C305" s="87">
        <f t="shared" ref="C305:C313" si="79">INT($C$293)+3</f>
        <v>4</v>
      </c>
      <c r="D305" s="73"/>
      <c r="E305" s="70"/>
      <c r="F305" s="70"/>
      <c r="G305" s="73"/>
      <c r="H305" s="187" t="s">
        <v>287</v>
      </c>
      <c r="I305" s="76"/>
      <c r="J305" s="76"/>
      <c r="K305" s="76"/>
      <c r="L305" s="76"/>
      <c r="M305" s="76"/>
      <c r="N305" s="76"/>
      <c r="O305" s="76"/>
      <c r="P305" s="76"/>
      <c r="Q305" s="76"/>
      <c r="R305" s="76"/>
      <c r="S305" s="76"/>
      <c r="T305" s="76"/>
      <c r="U305" s="76"/>
      <c r="V305" s="76"/>
      <c r="W305" s="76"/>
      <c r="X305" s="76"/>
      <c r="Y305" s="76"/>
      <c r="Z305" s="76"/>
      <c r="AA305" s="76"/>
      <c r="AB305" s="76"/>
      <c r="AC305" s="76"/>
      <c r="AD305" s="76"/>
      <c r="AE305" s="76"/>
      <c r="AF305" s="76"/>
      <c r="AG305" s="76"/>
      <c r="AH305" s="76"/>
      <c r="AI305" s="76"/>
      <c r="AJ305" s="76"/>
      <c r="AK305" s="76"/>
      <c r="AL305" s="76"/>
      <c r="AM305" s="76"/>
      <c r="AN305" s="73"/>
      <c r="AO305" s="57"/>
      <c r="AP305" s="45"/>
      <c r="AQ305" s="45"/>
      <c r="AR305" s="45"/>
      <c r="AS305" s="437"/>
      <c r="AT305" s="437"/>
    </row>
    <row r="306" spans="1:46" outlineLevel="3" x14ac:dyDescent="0.25">
      <c r="A306" s="45"/>
      <c r="B306" s="54"/>
      <c r="C306" s="87">
        <f t="shared" si="79"/>
        <v>4</v>
      </c>
      <c r="D306" s="73"/>
      <c r="E306" s="70"/>
      <c r="F306" s="70">
        <v>0</v>
      </c>
      <c r="G306" s="73"/>
      <c r="H306" s="188" t="s">
        <v>288</v>
      </c>
      <c r="I306" s="76" t="s">
        <v>289</v>
      </c>
      <c r="J306" s="76"/>
      <c r="K306" s="96" t="s">
        <v>290</v>
      </c>
      <c r="L306" s="96" t="s">
        <v>291</v>
      </c>
      <c r="M306" s="96" t="s">
        <v>292</v>
      </c>
      <c r="N306" s="76"/>
      <c r="O306" s="76"/>
      <c r="P306" s="76"/>
      <c r="Q306" s="76"/>
      <c r="R306" s="76"/>
      <c r="S306" s="76"/>
      <c r="T306" s="76"/>
      <c r="U306" s="76"/>
      <c r="V306" s="76"/>
      <c r="W306" s="76"/>
      <c r="X306" s="76"/>
      <c r="Y306" s="76"/>
      <c r="Z306" s="76"/>
      <c r="AA306" s="76"/>
      <c r="AB306" s="76"/>
      <c r="AC306" s="76"/>
      <c r="AD306" s="76"/>
      <c r="AE306" s="76"/>
      <c r="AF306" s="76"/>
      <c r="AG306" s="76"/>
      <c r="AH306" s="76"/>
      <c r="AI306" s="76"/>
      <c r="AJ306" s="76"/>
      <c r="AK306" s="76"/>
      <c r="AL306" s="76"/>
      <c r="AM306" s="76"/>
      <c r="AN306" s="73"/>
      <c r="AO306" s="57"/>
      <c r="AP306" s="45"/>
      <c r="AQ306" s="45"/>
      <c r="AR306" s="45"/>
      <c r="AS306" s="437"/>
      <c r="AT306" s="437"/>
    </row>
    <row r="307" spans="1:46" outlineLevel="3" x14ac:dyDescent="0.25">
      <c r="A307" s="45"/>
      <c r="B307" s="54"/>
      <c r="C307" s="87">
        <f t="shared" si="79"/>
        <v>4</v>
      </c>
      <c r="D307" s="73"/>
      <c r="E307" s="70"/>
      <c r="F307" s="70">
        <v>1</v>
      </c>
      <c r="G307" s="73"/>
      <c r="H307" s="188" t="s">
        <v>293</v>
      </c>
      <c r="I307" s="76" t="s">
        <v>294</v>
      </c>
      <c r="J307" s="76"/>
      <c r="K307" s="99">
        <v>2</v>
      </c>
      <c r="L307" s="99">
        <v>1</v>
      </c>
      <c r="M307" s="99">
        <v>1</v>
      </c>
      <c r="N307" s="76"/>
      <c r="O307" s="76"/>
      <c r="P307" s="76"/>
      <c r="Q307" s="76"/>
      <c r="R307" s="76"/>
      <c r="S307" s="76"/>
      <c r="T307" s="76"/>
      <c r="U307" s="76"/>
      <c r="V307" s="76"/>
      <c r="W307" s="76"/>
      <c r="X307" s="76"/>
      <c r="Y307" s="76"/>
      <c r="Z307" s="76"/>
      <c r="AA307" s="76"/>
      <c r="AB307" s="76"/>
      <c r="AC307" s="76"/>
      <c r="AD307" s="76"/>
      <c r="AE307" s="76"/>
      <c r="AF307" s="76"/>
      <c r="AG307" s="76"/>
      <c r="AH307" s="76"/>
      <c r="AI307" s="76"/>
      <c r="AJ307" s="76"/>
      <c r="AK307" s="76"/>
      <c r="AL307" s="76"/>
      <c r="AM307" s="76"/>
      <c r="AN307" s="73"/>
      <c r="AO307" s="57"/>
      <c r="AP307" s="45"/>
      <c r="AQ307" s="45"/>
      <c r="AR307" s="45"/>
      <c r="AS307" s="437"/>
      <c r="AT307" s="437"/>
    </row>
    <row r="308" spans="1:46" outlineLevel="3" x14ac:dyDescent="0.25">
      <c r="A308" s="45"/>
      <c r="B308" s="54"/>
      <c r="C308" s="87">
        <f t="shared" si="79"/>
        <v>4</v>
      </c>
      <c r="D308" s="73"/>
      <c r="E308" s="70"/>
      <c r="F308" s="70">
        <v>2</v>
      </c>
      <c r="G308" s="73"/>
      <c r="H308" s="188" t="s">
        <v>295</v>
      </c>
      <c r="I308" s="76" t="s">
        <v>295</v>
      </c>
      <c r="J308" s="76"/>
      <c r="K308" s="76"/>
      <c r="L308" s="76"/>
      <c r="M308" s="76"/>
      <c r="N308" s="76"/>
      <c r="O308" s="76"/>
      <c r="P308" s="76"/>
      <c r="Q308" s="76"/>
      <c r="R308" s="76"/>
      <c r="S308" s="76"/>
      <c r="T308" s="76"/>
      <c r="U308" s="76"/>
      <c r="V308" s="76"/>
      <c r="W308" s="76"/>
      <c r="X308" s="76"/>
      <c r="Y308" s="76"/>
      <c r="Z308" s="76"/>
      <c r="AA308" s="76"/>
      <c r="AB308" s="76"/>
      <c r="AC308" s="76"/>
      <c r="AD308" s="76"/>
      <c r="AE308" s="76"/>
      <c r="AF308" s="76"/>
      <c r="AG308" s="76"/>
      <c r="AH308" s="76"/>
      <c r="AI308" s="76"/>
      <c r="AJ308" s="76"/>
      <c r="AK308" s="76"/>
      <c r="AL308" s="76"/>
      <c r="AM308" s="76"/>
      <c r="AN308" s="73"/>
      <c r="AO308" s="57"/>
      <c r="AP308" s="45"/>
      <c r="AQ308" s="45"/>
      <c r="AR308" s="45"/>
      <c r="AS308" s="437"/>
      <c r="AT308" s="437"/>
    </row>
    <row r="309" spans="1:46" outlineLevel="3" x14ac:dyDescent="0.25">
      <c r="A309" s="45"/>
      <c r="B309" s="54"/>
      <c r="C309" s="87">
        <f t="shared" si="79"/>
        <v>4</v>
      </c>
      <c r="D309" s="73"/>
      <c r="E309" s="70"/>
      <c r="F309" s="70">
        <v>3</v>
      </c>
      <c r="G309" s="73"/>
      <c r="H309" s="188" t="s">
        <v>232</v>
      </c>
      <c r="I309" s="76" t="s">
        <v>296</v>
      </c>
      <c r="J309" s="76"/>
      <c r="K309" s="76"/>
      <c r="L309" s="76"/>
      <c r="M309" s="76"/>
      <c r="N309" s="76"/>
      <c r="O309" s="76"/>
      <c r="P309" s="76"/>
      <c r="Q309" s="76"/>
      <c r="R309" s="76"/>
      <c r="S309" s="76"/>
      <c r="T309" s="76"/>
      <c r="U309" s="76"/>
      <c r="V309" s="76"/>
      <c r="W309" s="76"/>
      <c r="X309" s="76"/>
      <c r="Y309" s="76"/>
      <c r="Z309" s="76"/>
      <c r="AA309" s="76"/>
      <c r="AB309" s="76"/>
      <c r="AC309" s="76"/>
      <c r="AD309" s="76"/>
      <c r="AE309" s="76"/>
      <c r="AF309" s="76"/>
      <c r="AG309" s="76"/>
      <c r="AH309" s="76"/>
      <c r="AI309" s="76"/>
      <c r="AJ309" s="76"/>
      <c r="AK309" s="76"/>
      <c r="AL309" s="76"/>
      <c r="AM309" s="76"/>
      <c r="AN309" s="73"/>
      <c r="AO309" s="57"/>
      <c r="AP309" s="45"/>
      <c r="AQ309" s="45"/>
      <c r="AR309" s="45"/>
      <c r="AS309" s="437"/>
      <c r="AT309" s="437"/>
    </row>
    <row r="310" spans="1:46" outlineLevel="3" x14ac:dyDescent="0.25">
      <c r="A310" s="45"/>
      <c r="B310" s="54"/>
      <c r="C310" s="87">
        <f t="shared" si="79"/>
        <v>4</v>
      </c>
      <c r="D310" s="73"/>
      <c r="E310" s="70"/>
      <c r="F310" s="70">
        <v>4</v>
      </c>
      <c r="G310" s="73"/>
      <c r="H310" s="188" t="s">
        <v>297</v>
      </c>
      <c r="I310" s="76" t="s">
        <v>298</v>
      </c>
      <c r="J310" s="76"/>
      <c r="K310" s="76"/>
      <c r="L310" s="76"/>
      <c r="M310" s="76"/>
      <c r="N310" s="76"/>
      <c r="O310" s="76"/>
      <c r="P310" s="76"/>
      <c r="Q310" s="76"/>
      <c r="R310" s="76"/>
      <c r="S310" s="76"/>
      <c r="T310" s="76"/>
      <c r="U310" s="76"/>
      <c r="V310" s="76"/>
      <c r="W310" s="76"/>
      <c r="X310" s="76"/>
      <c r="Y310" s="76"/>
      <c r="Z310" s="76"/>
      <c r="AA310" s="76"/>
      <c r="AB310" s="76"/>
      <c r="AC310" s="76"/>
      <c r="AD310" s="76"/>
      <c r="AE310" s="76"/>
      <c r="AF310" s="76"/>
      <c r="AG310" s="76"/>
      <c r="AH310" s="76"/>
      <c r="AI310" s="76"/>
      <c r="AJ310" s="76"/>
      <c r="AK310" s="76"/>
      <c r="AL310" s="76"/>
      <c r="AM310" s="76"/>
      <c r="AN310" s="73"/>
      <c r="AO310" s="57"/>
      <c r="AP310" s="45"/>
      <c r="AQ310" s="45"/>
      <c r="AR310" s="45"/>
      <c r="AS310" s="437"/>
      <c r="AT310" s="437"/>
    </row>
    <row r="311" spans="1:46" outlineLevel="3" x14ac:dyDescent="0.25">
      <c r="A311" s="45"/>
      <c r="B311" s="54"/>
      <c r="C311" s="87">
        <f t="shared" si="79"/>
        <v>4</v>
      </c>
      <c r="D311" s="73"/>
      <c r="E311" s="70"/>
      <c r="F311" s="70">
        <v>5</v>
      </c>
      <c r="G311" s="73"/>
      <c r="H311" s="188" t="s">
        <v>299</v>
      </c>
      <c r="I311" s="76" t="s">
        <v>300</v>
      </c>
      <c r="J311" s="76"/>
      <c r="K311" s="76"/>
      <c r="L311" s="76"/>
      <c r="M311" s="76"/>
      <c r="N311" s="76"/>
      <c r="O311" s="76"/>
      <c r="P311" s="76"/>
      <c r="Q311" s="76"/>
      <c r="R311" s="76"/>
      <c r="S311" s="76"/>
      <c r="T311" s="76"/>
      <c r="U311" s="76"/>
      <c r="V311" s="76"/>
      <c r="W311" s="76"/>
      <c r="X311" s="76"/>
      <c r="Y311" s="76"/>
      <c r="Z311" s="76"/>
      <c r="AA311" s="76"/>
      <c r="AB311" s="76"/>
      <c r="AC311" s="76"/>
      <c r="AD311" s="76"/>
      <c r="AE311" s="76"/>
      <c r="AF311" s="76"/>
      <c r="AG311" s="76"/>
      <c r="AH311" s="76"/>
      <c r="AI311" s="76"/>
      <c r="AJ311" s="76"/>
      <c r="AK311" s="76"/>
      <c r="AL311" s="76"/>
      <c r="AM311" s="76"/>
      <c r="AN311" s="73"/>
      <c r="AO311" s="57"/>
      <c r="AP311" s="45"/>
      <c r="AQ311" s="45"/>
      <c r="AR311" s="45"/>
      <c r="AS311" s="437"/>
      <c r="AT311" s="437"/>
    </row>
    <row r="312" spans="1:46" outlineLevel="3" x14ac:dyDescent="0.25">
      <c r="A312" s="45"/>
      <c r="B312" s="54"/>
      <c r="C312" s="87">
        <f t="shared" si="79"/>
        <v>4</v>
      </c>
      <c r="D312" s="73"/>
      <c r="E312" s="70"/>
      <c r="F312" s="70"/>
      <c r="G312" s="73"/>
      <c r="H312" s="76"/>
      <c r="I312" s="76"/>
      <c r="J312" s="76"/>
      <c r="K312" s="76"/>
      <c r="L312" s="76"/>
      <c r="M312" s="76"/>
      <c r="N312" s="76"/>
      <c r="O312" s="76"/>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c r="AM312" s="76"/>
      <c r="AN312" s="73"/>
      <c r="AO312" s="57"/>
      <c r="AP312" s="45"/>
      <c r="AQ312" s="45"/>
      <c r="AR312" s="45"/>
      <c r="AS312" s="437"/>
      <c r="AT312" s="437"/>
    </row>
    <row r="313" spans="1:46" outlineLevel="3" x14ac:dyDescent="0.25">
      <c r="A313" s="45"/>
      <c r="B313" s="54"/>
      <c r="C313" s="87">
        <f t="shared" si="79"/>
        <v>4</v>
      </c>
      <c r="D313" s="73"/>
      <c r="E313" s="70"/>
      <c r="F313" s="70"/>
      <c r="G313" s="73"/>
      <c r="H313" s="76"/>
      <c r="I313" s="76"/>
      <c r="J313" s="76"/>
      <c r="K313" s="76"/>
      <c r="L313" s="76"/>
      <c r="M313" s="76"/>
      <c r="N313" s="76"/>
      <c r="O313" s="76"/>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c r="AM313" s="76"/>
      <c r="AN313" s="73"/>
      <c r="AO313" s="57"/>
      <c r="AP313" s="45"/>
      <c r="AQ313" s="45"/>
      <c r="AR313" s="45"/>
      <c r="AS313" s="437"/>
      <c r="AT313" s="437"/>
    </row>
    <row r="314" spans="1:46" ht="5.0999999999999996" customHeight="1" outlineLevel="2" x14ac:dyDescent="0.25">
      <c r="A314" s="45"/>
      <c r="B314" s="54"/>
      <c r="C314" s="87">
        <f>INT($C$293)+2.005</f>
        <v>3.0049999999999999</v>
      </c>
      <c r="D314" s="73"/>
      <c r="E314" s="73"/>
      <c r="F314" s="73"/>
      <c r="G314" s="73"/>
      <c r="H314" s="73"/>
      <c r="I314" s="73"/>
      <c r="J314" s="73"/>
      <c r="K314" s="73"/>
      <c r="L314" s="73"/>
      <c r="M314" s="73"/>
      <c r="N314" s="73"/>
      <c r="O314" s="73"/>
      <c r="P314" s="73"/>
      <c r="Q314" s="73"/>
      <c r="R314" s="73"/>
      <c r="S314" s="73"/>
      <c r="T314" s="73"/>
      <c r="U314" s="73"/>
      <c r="V314" s="73"/>
      <c r="W314" s="73"/>
      <c r="X314" s="73"/>
      <c r="Y314" s="73"/>
      <c r="Z314" s="73"/>
      <c r="AA314" s="73"/>
      <c r="AB314" s="73"/>
      <c r="AC314" s="73"/>
      <c r="AD314" s="73"/>
      <c r="AE314" s="73"/>
      <c r="AF314" s="73"/>
      <c r="AG314" s="73"/>
      <c r="AH314" s="73"/>
      <c r="AI314" s="73"/>
      <c r="AJ314" s="73"/>
      <c r="AK314" s="73"/>
      <c r="AL314" s="73"/>
      <c r="AM314" s="73"/>
      <c r="AN314" s="73" t="s">
        <v>136</v>
      </c>
      <c r="AO314" s="57"/>
      <c r="AP314" s="45"/>
      <c r="AQ314" s="45"/>
      <c r="AR314" s="45"/>
      <c r="AS314" s="437"/>
      <c r="AT314" s="437"/>
    </row>
    <row r="315" spans="1:46" outlineLevel="1" x14ac:dyDescent="0.25">
      <c r="A315" s="45"/>
      <c r="B315" s="54"/>
      <c r="C315" s="87">
        <f>INT($C$293)+1</f>
        <v>2</v>
      </c>
      <c r="D315" s="73"/>
      <c r="E315" s="70"/>
      <c r="F315" s="70"/>
      <c r="G315" s="73"/>
      <c r="H315" s="90" t="s">
        <v>2127</v>
      </c>
      <c r="I315" s="91"/>
      <c r="J315" s="92"/>
      <c r="K315" s="92"/>
      <c r="L315" s="92"/>
      <c r="M315" s="92"/>
      <c r="N315" s="92"/>
      <c r="O315" s="92"/>
      <c r="P315" s="92"/>
      <c r="Q315" s="92"/>
      <c r="R315" s="92"/>
      <c r="S315" s="92"/>
      <c r="T315" s="92"/>
      <c r="U315" s="92"/>
      <c r="V315" s="92"/>
      <c r="W315" s="92"/>
      <c r="X315" s="92"/>
      <c r="Y315" s="93"/>
      <c r="Z315" s="93"/>
      <c r="AA315" s="93"/>
      <c r="AB315" s="93"/>
      <c r="AC315" s="93"/>
      <c r="AD315" s="93"/>
      <c r="AE315" s="93"/>
      <c r="AF315" s="93"/>
      <c r="AG315" s="93"/>
      <c r="AH315" s="93"/>
      <c r="AI315" s="93"/>
      <c r="AJ315" s="93"/>
      <c r="AK315" s="93"/>
      <c r="AL315" s="93"/>
      <c r="AM315" s="93"/>
      <c r="AN315" s="73"/>
      <c r="AO315" s="57"/>
      <c r="AP315" s="45"/>
      <c r="AQ315" s="45"/>
      <c r="AR315" s="45"/>
      <c r="AS315" s="437"/>
      <c r="AT315" s="437"/>
    </row>
    <row r="316" spans="1:46" ht="5.0999999999999996" customHeight="1" outlineLevel="3" x14ac:dyDescent="0.25">
      <c r="A316" s="45"/>
      <c r="B316" s="54"/>
      <c r="C316" s="87">
        <f>INT($C$293)+3.005</f>
        <v>4.0049999999999999</v>
      </c>
      <c r="D316" s="73" t="s">
        <v>132</v>
      </c>
      <c r="E316" s="73"/>
      <c r="F316" s="73"/>
      <c r="G316" s="73"/>
      <c r="H316" s="94"/>
      <c r="I316" s="94"/>
      <c r="J316" s="94"/>
      <c r="K316" s="94"/>
      <c r="L316" s="94"/>
      <c r="M316" s="94"/>
      <c r="N316" s="94"/>
      <c r="O316" s="94"/>
      <c r="P316" s="94"/>
      <c r="Q316" s="94"/>
      <c r="R316" s="94"/>
      <c r="S316" s="94"/>
      <c r="T316" s="94"/>
      <c r="U316" s="94"/>
      <c r="V316" s="94"/>
      <c r="W316" s="94"/>
      <c r="X316" s="94"/>
      <c r="Y316" s="94"/>
      <c r="Z316" s="94"/>
      <c r="AA316" s="94"/>
      <c r="AB316" s="94"/>
      <c r="AC316" s="94"/>
      <c r="AD316" s="94"/>
      <c r="AE316" s="94"/>
      <c r="AF316" s="94"/>
      <c r="AG316" s="94"/>
      <c r="AH316" s="234"/>
      <c r="AI316" s="234"/>
      <c r="AJ316" s="234"/>
      <c r="AK316" s="234"/>
      <c r="AL316" s="234"/>
      <c r="AM316" s="234"/>
      <c r="AN316" s="73"/>
      <c r="AO316" s="57"/>
      <c r="AP316" s="45"/>
      <c r="AQ316" s="45"/>
      <c r="AR316" s="45"/>
      <c r="AS316" s="437"/>
      <c r="AT316" s="437"/>
    </row>
    <row r="317" spans="1:46" ht="45" outlineLevel="3" x14ac:dyDescent="0.25">
      <c r="A317" s="45"/>
      <c r="B317" s="54"/>
      <c r="C317" s="87">
        <f t="shared" ref="C317:C322" si="80">INT($C$293)+3</f>
        <v>4</v>
      </c>
      <c r="D317" s="73"/>
      <c r="E317" s="70"/>
      <c r="F317" s="70"/>
      <c r="G317" s="73"/>
      <c r="H317" s="187"/>
      <c r="I317" s="76"/>
      <c r="J317" s="270" t="s">
        <v>2132</v>
      </c>
      <c r="K317" s="270" t="s">
        <v>2128</v>
      </c>
      <c r="L317" s="270" t="s">
        <v>2129</v>
      </c>
      <c r="M317" s="270" t="s">
        <v>2939</v>
      </c>
      <c r="N317" s="270" t="s">
        <v>2938</v>
      </c>
      <c r="O317" s="76" t="s">
        <v>2136</v>
      </c>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c r="AM317" s="76"/>
      <c r="AN317" s="73"/>
      <c r="AO317" s="57"/>
      <c r="AP317" s="45"/>
      <c r="AQ317" s="45"/>
      <c r="AR317" s="45"/>
      <c r="AS317" s="437"/>
      <c r="AT317" s="437"/>
    </row>
    <row r="318" spans="1:46" outlineLevel="3" x14ac:dyDescent="0.25">
      <c r="A318" s="45"/>
      <c r="B318" s="54"/>
      <c r="C318" s="87">
        <f t="shared" si="80"/>
        <v>4</v>
      </c>
      <c r="D318" s="73"/>
      <c r="E318" s="70"/>
      <c r="F318" s="70"/>
      <c r="G318" s="73"/>
      <c r="H318" s="76"/>
      <c r="I318" s="76"/>
      <c r="J318" s="96" t="s">
        <v>2133</v>
      </c>
      <c r="K318" s="96" t="s">
        <v>2130</v>
      </c>
      <c r="L318" s="96" t="s">
        <v>2131</v>
      </c>
      <c r="M318" s="96" t="s">
        <v>2936</v>
      </c>
      <c r="N318" s="96" t="s">
        <v>2937</v>
      </c>
      <c r="O318" s="76"/>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c r="AM318" s="76"/>
      <c r="AN318" s="73"/>
      <c r="AO318" s="57"/>
      <c r="AP318" s="45"/>
      <c r="AQ318" s="45"/>
      <c r="AR318" s="45"/>
      <c r="AS318" s="437"/>
      <c r="AT318" s="437"/>
    </row>
    <row r="319" spans="1:46" outlineLevel="3" x14ac:dyDescent="0.25">
      <c r="A319" s="45"/>
      <c r="B319" s="54"/>
      <c r="C319" s="87">
        <f t="shared" si="80"/>
        <v>4</v>
      </c>
      <c r="D319" s="73"/>
      <c r="E319" s="70"/>
      <c r="F319" s="70">
        <v>0</v>
      </c>
      <c r="G319" s="73"/>
      <c r="H319" s="188" t="s">
        <v>2134</v>
      </c>
      <c r="I319" s="76"/>
      <c r="J319" s="97">
        <v>100000</v>
      </c>
      <c r="K319" s="97">
        <v>1000</v>
      </c>
      <c r="L319" s="334">
        <v>2.5000000000000001E-2</v>
      </c>
      <c r="M319" s="97">
        <f>K319/(40*1.15)/0.85</f>
        <v>25.575447570332482</v>
      </c>
      <c r="N319" s="478">
        <f>L319/(40*1.15)/0.85</f>
        <v>6.3938618925831207E-4</v>
      </c>
      <c r="O319" s="76"/>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c r="AM319" s="76"/>
      <c r="AN319" s="73"/>
      <c r="AO319" s="57"/>
      <c r="AP319" s="45"/>
      <c r="AQ319" s="45"/>
      <c r="AR319" s="45"/>
      <c r="AS319" s="437"/>
      <c r="AT319" s="437"/>
    </row>
    <row r="320" spans="1:46" outlineLevel="3" x14ac:dyDescent="0.25">
      <c r="A320" s="45"/>
      <c r="B320" s="54"/>
      <c r="C320" s="87">
        <f t="shared" si="80"/>
        <v>4</v>
      </c>
      <c r="D320" s="73"/>
      <c r="E320" s="70"/>
      <c r="F320" s="70">
        <v>1</v>
      </c>
      <c r="G320" s="73"/>
      <c r="H320" s="188" t="s">
        <v>2126</v>
      </c>
      <c r="I320" s="76"/>
      <c r="J320" s="97">
        <v>100000</v>
      </c>
      <c r="K320" s="97">
        <v>1000</v>
      </c>
      <c r="L320" s="334">
        <v>7.4999999999999997E-2</v>
      </c>
      <c r="M320" s="97">
        <f>K320/(40*1.15)/0.85</f>
        <v>25.575447570332482</v>
      </c>
      <c r="N320" s="478">
        <f>L320/(40*1.15)/0.85</f>
        <v>1.9181585677749361E-3</v>
      </c>
      <c r="O320" s="76"/>
      <c r="P320" s="76"/>
      <c r="Q320" s="76"/>
      <c r="R320" s="76"/>
      <c r="S320" s="76"/>
      <c r="T320" s="76"/>
      <c r="U320" s="76"/>
      <c r="V320" s="76"/>
      <c r="W320" s="76"/>
      <c r="X320" s="76"/>
      <c r="Y320" s="76"/>
      <c r="Z320" s="76"/>
      <c r="AA320" s="76"/>
      <c r="AB320" s="76"/>
      <c r="AC320" s="76"/>
      <c r="AD320" s="76"/>
      <c r="AE320" s="76"/>
      <c r="AF320" s="76"/>
      <c r="AG320" s="76"/>
      <c r="AH320" s="76"/>
      <c r="AI320" s="76"/>
      <c r="AJ320" s="76"/>
      <c r="AK320" s="76"/>
      <c r="AL320" s="76"/>
      <c r="AM320" s="76"/>
      <c r="AN320" s="73"/>
      <c r="AO320" s="57"/>
      <c r="AP320" s="45"/>
      <c r="AQ320" s="45"/>
      <c r="AR320" s="45"/>
      <c r="AS320" s="437"/>
      <c r="AT320" s="437"/>
    </row>
    <row r="321" spans="1:46" outlineLevel="3" x14ac:dyDescent="0.25">
      <c r="A321" s="45"/>
      <c r="B321" s="54"/>
      <c r="C321" s="87">
        <f t="shared" si="80"/>
        <v>4</v>
      </c>
      <c r="D321" s="73"/>
      <c r="E321" s="70"/>
      <c r="F321" s="70"/>
      <c r="G321" s="73"/>
      <c r="H321" s="76"/>
      <c r="I321" s="76"/>
      <c r="J321" s="76"/>
      <c r="K321" s="76"/>
      <c r="L321" s="76"/>
      <c r="M321" s="76"/>
      <c r="N321" s="76"/>
      <c r="O321" s="76"/>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c r="AM321" s="76"/>
      <c r="AN321" s="73"/>
      <c r="AO321" s="57"/>
      <c r="AP321" s="45"/>
      <c r="AQ321" s="45"/>
      <c r="AR321" s="45"/>
      <c r="AS321" s="437"/>
      <c r="AT321" s="437"/>
    </row>
    <row r="322" spans="1:46" outlineLevel="3" x14ac:dyDescent="0.25">
      <c r="A322" s="45"/>
      <c r="B322" s="54"/>
      <c r="C322" s="87">
        <f t="shared" si="80"/>
        <v>4</v>
      </c>
      <c r="D322" s="73"/>
      <c r="E322" s="70"/>
      <c r="F322" s="70"/>
      <c r="G322" s="73"/>
      <c r="H322" s="76"/>
      <c r="I322" s="76"/>
      <c r="J322" s="76"/>
      <c r="K322" s="76"/>
      <c r="L322" s="76"/>
      <c r="M322" s="76"/>
      <c r="N322" s="76"/>
      <c r="O322" s="76"/>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3"/>
      <c r="AO322" s="57"/>
      <c r="AP322" s="45"/>
      <c r="AQ322" s="45"/>
      <c r="AR322" s="45"/>
      <c r="AS322" s="437"/>
      <c r="AT322" s="437"/>
    </row>
    <row r="323" spans="1:46" ht="5.0999999999999996" customHeight="1" outlineLevel="2" x14ac:dyDescent="0.25">
      <c r="A323" s="45"/>
      <c r="B323" s="54"/>
      <c r="C323" s="87">
        <f>INT($C$293)+2.005</f>
        <v>3.0049999999999999</v>
      </c>
      <c r="D323" s="73"/>
      <c r="E323" s="73"/>
      <c r="F323" s="73"/>
      <c r="G323" s="73"/>
      <c r="H323" s="73"/>
      <c r="I323" s="73"/>
      <c r="J323" s="73"/>
      <c r="K323" s="73"/>
      <c r="L323" s="73"/>
      <c r="M323" s="73"/>
      <c r="N323" s="73"/>
      <c r="O323" s="73"/>
      <c r="P323" s="73"/>
      <c r="Q323" s="73"/>
      <c r="R323" s="73"/>
      <c r="S323" s="73"/>
      <c r="T323" s="73"/>
      <c r="U323" s="73"/>
      <c r="V323" s="73"/>
      <c r="W323" s="73"/>
      <c r="X323" s="73"/>
      <c r="Y323" s="73"/>
      <c r="Z323" s="73"/>
      <c r="AA323" s="73"/>
      <c r="AB323" s="73"/>
      <c r="AC323" s="73"/>
      <c r="AD323" s="73"/>
      <c r="AE323" s="73"/>
      <c r="AF323" s="73"/>
      <c r="AG323" s="73"/>
      <c r="AH323" s="73"/>
      <c r="AI323" s="73"/>
      <c r="AJ323" s="73"/>
      <c r="AK323" s="73"/>
      <c r="AL323" s="73"/>
      <c r="AM323" s="73"/>
      <c r="AN323" s="73" t="s">
        <v>136</v>
      </c>
      <c r="AO323" s="57"/>
      <c r="AP323" s="45"/>
      <c r="AQ323" s="45"/>
      <c r="AR323" s="45"/>
      <c r="AS323" s="437"/>
      <c r="AT323" s="437"/>
    </row>
    <row r="324" spans="1:46" outlineLevel="1" x14ac:dyDescent="0.25">
      <c r="A324" s="45"/>
      <c r="B324" s="54"/>
      <c r="C324" s="87">
        <f>INT($C$293)+1</f>
        <v>2</v>
      </c>
      <c r="D324" s="73"/>
      <c r="E324" s="70"/>
      <c r="F324" s="70"/>
      <c r="G324" s="73"/>
      <c r="H324" s="90" t="s">
        <v>301</v>
      </c>
      <c r="I324" s="91" t="str">
        <f>"("&amp;ROWS(i_husb_requisite_cost_h6)&amp;","&amp;COLUMNS(i_husb_requisite_cost_h6)&amp;"): i_husb_requisite_cost_h5(pointers) = cost applied per unit * amount applied per animal unit"</f>
        <v>(1,14): i_husb_requisite_cost_h5(pointers) = cost applied per unit * amount applied per animal unit</v>
      </c>
      <c r="J324" s="92"/>
      <c r="K324" s="92"/>
      <c r="L324" s="92"/>
      <c r="M324" s="92"/>
      <c r="N324" s="92"/>
      <c r="O324" s="92"/>
      <c r="P324" s="92"/>
      <c r="Q324" s="93"/>
      <c r="R324" s="92"/>
      <c r="S324" s="92"/>
      <c r="T324" s="92"/>
      <c r="U324" s="92"/>
      <c r="V324" s="92"/>
      <c r="W324" s="92"/>
      <c r="X324" s="92"/>
      <c r="Y324" s="92"/>
      <c r="Z324" s="93"/>
      <c r="AA324" s="93"/>
      <c r="AB324" s="93"/>
      <c r="AC324" s="93"/>
      <c r="AD324" s="93"/>
      <c r="AE324" s="93"/>
      <c r="AF324" s="93"/>
      <c r="AG324" s="93"/>
      <c r="AH324" s="93"/>
      <c r="AI324" s="93"/>
      <c r="AJ324" s="93"/>
      <c r="AK324" s="93"/>
      <c r="AL324" s="93"/>
      <c r="AM324" s="93"/>
      <c r="AN324" s="73"/>
      <c r="AO324" s="57"/>
      <c r="AP324" s="45"/>
      <c r="AQ324" s="45"/>
      <c r="AR324" s="45"/>
      <c r="AS324" s="437"/>
      <c r="AT324" s="437"/>
    </row>
    <row r="325" spans="1:46" ht="5.0999999999999996" customHeight="1" outlineLevel="3" x14ac:dyDescent="0.25">
      <c r="A325" s="45"/>
      <c r="B325" s="54"/>
      <c r="C325" s="87">
        <f>INT($C$293)+3.005</f>
        <v>4.0049999999999999</v>
      </c>
      <c r="D325" s="73" t="s">
        <v>132</v>
      </c>
      <c r="E325" s="73"/>
      <c r="F325" s="73"/>
      <c r="G325" s="73"/>
      <c r="H325" s="73"/>
      <c r="I325" s="73"/>
      <c r="J325" s="73"/>
      <c r="K325" s="73"/>
      <c r="L325" s="73"/>
      <c r="M325" s="73"/>
      <c r="N325" s="73"/>
      <c r="O325" s="73"/>
      <c r="P325" s="73"/>
      <c r="Q325" s="73"/>
      <c r="R325" s="73"/>
      <c r="S325" s="73"/>
      <c r="T325" s="73"/>
      <c r="U325" s="73"/>
      <c r="V325" s="73"/>
      <c r="W325" s="73"/>
      <c r="X325" s="73"/>
      <c r="Y325" s="73"/>
      <c r="Z325" s="73"/>
      <c r="AA325" s="73"/>
      <c r="AB325" s="73"/>
      <c r="AC325" s="73"/>
      <c r="AD325" s="73"/>
      <c r="AE325" s="73"/>
      <c r="AF325" s="73"/>
      <c r="AG325" s="73"/>
      <c r="AH325" s="73"/>
      <c r="AI325" s="73"/>
      <c r="AJ325" s="73"/>
      <c r="AK325" s="73"/>
      <c r="AL325" s="73"/>
      <c r="AM325" s="73"/>
      <c r="AN325" s="73"/>
      <c r="AO325" s="57"/>
      <c r="AP325" s="45"/>
      <c r="AQ325" s="45"/>
      <c r="AR325" s="45"/>
      <c r="AS325" s="437"/>
      <c r="AT325" s="437"/>
    </row>
    <row r="326" spans="1:46" ht="22.5" outlineLevel="2" x14ac:dyDescent="0.25">
      <c r="A326" s="45"/>
      <c r="B326" s="54"/>
      <c r="C326" s="87">
        <f>INT($C$293)+2</f>
        <v>3</v>
      </c>
      <c r="D326" s="73"/>
      <c r="E326" s="70"/>
      <c r="F326" s="70"/>
      <c r="G326" s="73"/>
      <c r="H326" s="109"/>
      <c r="I326" s="109"/>
      <c r="J326" s="109"/>
      <c r="K326" s="109"/>
      <c r="L326" s="109" t="s">
        <v>2997</v>
      </c>
      <c r="M326" s="486">
        <f>MATCH($AG$326,$T$326:$AM$326,0)-1</f>
        <v>13</v>
      </c>
      <c r="N326" s="109"/>
      <c r="O326" s="109"/>
      <c r="P326" s="109"/>
      <c r="Q326" s="109"/>
      <c r="R326" s="109"/>
      <c r="S326" s="109"/>
      <c r="T326" s="189" t="s">
        <v>302</v>
      </c>
      <c r="U326" s="189" t="s">
        <v>303</v>
      </c>
      <c r="V326" s="189" t="s">
        <v>304</v>
      </c>
      <c r="W326" s="189" t="s">
        <v>305</v>
      </c>
      <c r="X326" s="189" t="s">
        <v>306</v>
      </c>
      <c r="Y326" s="189" t="s">
        <v>307</v>
      </c>
      <c r="Z326" s="189" t="s">
        <v>308</v>
      </c>
      <c r="AA326" s="189" t="s">
        <v>309</v>
      </c>
      <c r="AB326" s="189" t="s">
        <v>310</v>
      </c>
      <c r="AC326" s="189" t="s">
        <v>311</v>
      </c>
      <c r="AD326" s="189" t="s">
        <v>312</v>
      </c>
      <c r="AE326" s="189" t="s">
        <v>313</v>
      </c>
      <c r="AF326" s="189" t="s">
        <v>314</v>
      </c>
      <c r="AG326" s="189" t="s">
        <v>315</v>
      </c>
      <c r="AH326" s="468"/>
      <c r="AI326" s="468"/>
      <c r="AJ326" s="468"/>
      <c r="AK326" s="468"/>
      <c r="AL326" s="468"/>
      <c r="AM326" s="468"/>
      <c r="AN326" s="73"/>
      <c r="AO326" s="57"/>
      <c r="AP326" s="45"/>
      <c r="AQ326" s="45"/>
      <c r="AR326" s="45"/>
      <c r="AS326" s="437"/>
      <c r="AT326" s="437"/>
    </row>
    <row r="327" spans="1:46" outlineLevel="2" x14ac:dyDescent="0.25">
      <c r="A327" s="45"/>
      <c r="B327" s="54"/>
      <c r="C327" s="87">
        <f>INT($C$293)+2</f>
        <v>3</v>
      </c>
      <c r="D327" s="73"/>
      <c r="E327" s="70"/>
      <c r="F327" s="70"/>
      <c r="G327" s="73"/>
      <c r="H327" s="140"/>
      <c r="I327" s="140"/>
      <c r="J327" s="140"/>
      <c r="K327" s="140"/>
      <c r="L327" s="140"/>
      <c r="M327" s="140"/>
      <c r="N327" s="140"/>
      <c r="O327" s="140"/>
      <c r="P327" s="140"/>
      <c r="Q327" s="140"/>
      <c r="R327" s="140"/>
      <c r="S327" s="140"/>
      <c r="T327" s="190" t="s">
        <v>2954</v>
      </c>
      <c r="U327" s="190" t="s">
        <v>316</v>
      </c>
      <c r="V327" s="190"/>
      <c r="W327" s="190"/>
      <c r="X327" s="190" t="s">
        <v>317</v>
      </c>
      <c r="Y327" s="190" t="s">
        <v>318</v>
      </c>
      <c r="Z327" s="190" t="s">
        <v>319</v>
      </c>
      <c r="AA327" s="190"/>
      <c r="AB327" s="190" t="s">
        <v>320</v>
      </c>
      <c r="AC327" s="190" t="s">
        <v>321</v>
      </c>
      <c r="AD327" s="190" t="s">
        <v>322</v>
      </c>
      <c r="AE327" s="190"/>
      <c r="AF327" s="190"/>
      <c r="AG327" s="190" t="s">
        <v>323</v>
      </c>
      <c r="AH327" s="469"/>
      <c r="AI327" s="469"/>
      <c r="AJ327" s="469"/>
      <c r="AK327" s="469"/>
      <c r="AL327" s="469"/>
      <c r="AM327" s="469"/>
      <c r="AN327" s="73"/>
      <c r="AO327" s="57"/>
      <c r="AP327" s="45"/>
      <c r="AQ327" s="45"/>
      <c r="AR327" s="45"/>
      <c r="AS327" s="437"/>
      <c r="AT327" s="437"/>
    </row>
    <row r="328" spans="1:46" outlineLevel="2" x14ac:dyDescent="0.25">
      <c r="A328" s="45"/>
      <c r="B328" s="54"/>
      <c r="C328" s="87">
        <f>INT($C$293)+2</f>
        <v>3</v>
      </c>
      <c r="D328" s="73"/>
      <c r="E328" s="70"/>
      <c r="F328" s="70"/>
      <c r="G328" s="73"/>
      <c r="H328" s="76" t="s">
        <v>324</v>
      </c>
      <c r="I328" s="76"/>
      <c r="J328" s="76"/>
      <c r="K328" s="76"/>
      <c r="L328" s="76"/>
      <c r="M328" s="76"/>
      <c r="N328" s="76"/>
      <c r="O328" s="76"/>
      <c r="P328" s="76"/>
      <c r="Q328" s="76"/>
      <c r="R328" s="76"/>
      <c r="S328" s="76"/>
      <c r="T328" s="191" t="s">
        <v>2955</v>
      </c>
      <c r="U328" s="191" t="s">
        <v>2953</v>
      </c>
      <c r="V328" s="191" t="s">
        <v>325</v>
      </c>
      <c r="W328" s="191" t="s">
        <v>325</v>
      </c>
      <c r="X328" s="191" t="s">
        <v>326</v>
      </c>
      <c r="Y328" s="191" t="s">
        <v>327</v>
      </c>
      <c r="Z328" s="191" t="s">
        <v>328</v>
      </c>
      <c r="AA328" s="191" t="s">
        <v>329</v>
      </c>
      <c r="AB328" s="191" t="s">
        <v>330</v>
      </c>
      <c r="AC328" s="191" t="s">
        <v>331</v>
      </c>
      <c r="AD328" s="191" t="s">
        <v>331</v>
      </c>
      <c r="AE328" s="191"/>
      <c r="AF328" s="191" t="s">
        <v>332</v>
      </c>
      <c r="AG328" s="191" t="s">
        <v>333</v>
      </c>
      <c r="AH328" s="191"/>
      <c r="AI328" s="191"/>
      <c r="AJ328" s="191"/>
      <c r="AK328" s="191"/>
      <c r="AL328" s="191"/>
      <c r="AM328" s="191"/>
      <c r="AN328" s="73"/>
      <c r="AO328" s="57"/>
      <c r="AP328" s="45"/>
      <c r="AQ328" s="45"/>
      <c r="AR328" s="45"/>
      <c r="AS328" s="437"/>
      <c r="AT328" s="437"/>
    </row>
    <row r="329" spans="1:46" outlineLevel="3" x14ac:dyDescent="0.25">
      <c r="A329" s="45"/>
      <c r="B329" s="54"/>
      <c r="C329" s="87">
        <f>INT($C$293)+3</f>
        <v>4</v>
      </c>
      <c r="D329" s="73"/>
      <c r="E329" s="70"/>
      <c r="F329" s="70"/>
      <c r="G329" s="73"/>
      <c r="H329" s="76" t="s">
        <v>2952</v>
      </c>
      <c r="I329" s="76"/>
      <c r="J329" s="76"/>
      <c r="K329" s="76"/>
      <c r="L329" s="76"/>
      <c r="M329" s="76"/>
      <c r="N329" s="76"/>
      <c r="O329" s="76"/>
      <c r="P329" s="76"/>
      <c r="Q329" s="76"/>
      <c r="R329" s="76"/>
      <c r="S329" s="76"/>
      <c r="T329" s="99">
        <f>870/1.1</f>
        <v>790.90909090909088</v>
      </c>
      <c r="U329" s="99">
        <f>575/1.1</f>
        <v>522.72727272727263</v>
      </c>
      <c r="V329" s="99">
        <v>40</v>
      </c>
      <c r="W329" s="99">
        <v>40</v>
      </c>
      <c r="X329" s="99">
        <f>379/1.1</f>
        <v>344.5454545454545</v>
      </c>
      <c r="Y329" s="99">
        <v>640</v>
      </c>
      <c r="Z329" s="99">
        <f>44.5/1.1</f>
        <v>40.454545454545453</v>
      </c>
      <c r="AA329" s="99">
        <f>18/1.1</f>
        <v>16.363636363636363</v>
      </c>
      <c r="AB329" s="99">
        <f>214/1.1</f>
        <v>194.54545454545453</v>
      </c>
      <c r="AC329" s="99">
        <v>1299</v>
      </c>
      <c r="AD329" s="99">
        <v>625</v>
      </c>
      <c r="AE329" s="99"/>
      <c r="AF329" s="99">
        <f>577.5/1.1</f>
        <v>525</v>
      </c>
      <c r="AG329" s="99">
        <f>Price!diesel-Price!diesel_rebate</f>
        <v>1.42</v>
      </c>
      <c r="AH329" s="99"/>
      <c r="AI329" s="99"/>
      <c r="AJ329" s="99"/>
      <c r="AK329" s="99"/>
      <c r="AL329" s="99"/>
      <c r="AM329" s="99"/>
      <c r="AN329" s="73"/>
      <c r="AO329" s="57"/>
      <c r="AP329" s="45"/>
      <c r="AQ329" s="45"/>
      <c r="AR329" s="45"/>
      <c r="AS329" s="437"/>
      <c r="AT329" s="437"/>
    </row>
    <row r="330" spans="1:46" outlineLevel="3" x14ac:dyDescent="0.25">
      <c r="A330" s="45"/>
      <c r="B330" s="54"/>
      <c r="C330" s="87">
        <f t="shared" ref="C330:C336" si="81">INT($C$293+3)</f>
        <v>4</v>
      </c>
      <c r="D330" s="73"/>
      <c r="E330" s="70"/>
      <c r="F330" s="70"/>
      <c r="G330" s="73"/>
      <c r="H330" s="76" t="s">
        <v>334</v>
      </c>
      <c r="I330" s="76"/>
      <c r="J330" s="76"/>
      <c r="K330" s="76"/>
      <c r="L330" s="76"/>
      <c r="M330" s="76"/>
      <c r="N330" s="76"/>
      <c r="O330" s="76"/>
      <c r="P330" s="76"/>
      <c r="Q330" s="76"/>
      <c r="R330" s="76"/>
      <c r="S330" s="76"/>
      <c r="T330" s="99" t="s">
        <v>335</v>
      </c>
      <c r="U330" s="99" t="s">
        <v>335</v>
      </c>
      <c r="V330" s="99" t="s">
        <v>336</v>
      </c>
      <c r="W330" s="99" t="s">
        <v>336</v>
      </c>
      <c r="X330" s="99" t="s">
        <v>335</v>
      </c>
      <c r="Y330" s="99" t="s">
        <v>335</v>
      </c>
      <c r="Z330" s="99" t="s">
        <v>337</v>
      </c>
      <c r="AA330" s="99" t="s">
        <v>338</v>
      </c>
      <c r="AB330" s="99" t="s">
        <v>335</v>
      </c>
      <c r="AC330" s="99" t="s">
        <v>335</v>
      </c>
      <c r="AD330" s="99" t="s">
        <v>335</v>
      </c>
      <c r="AE330" s="99" t="s">
        <v>335</v>
      </c>
      <c r="AF330" s="99" t="s">
        <v>339</v>
      </c>
      <c r="AG330" s="99" t="s">
        <v>340</v>
      </c>
      <c r="AH330" s="99"/>
      <c r="AI330" s="99"/>
      <c r="AJ330" s="99"/>
      <c r="AK330" s="99"/>
      <c r="AL330" s="99"/>
      <c r="AM330" s="99"/>
      <c r="AN330" s="73"/>
      <c r="AO330" s="57"/>
      <c r="AP330" s="45"/>
      <c r="AQ330" s="45"/>
      <c r="AR330" s="45"/>
      <c r="AS330" s="437"/>
      <c r="AT330" s="437"/>
    </row>
    <row r="331" spans="1:46" outlineLevel="3" x14ac:dyDescent="0.25">
      <c r="A331" s="45"/>
      <c r="B331" s="54"/>
      <c r="C331" s="87">
        <f t="shared" si="81"/>
        <v>4</v>
      </c>
      <c r="D331" s="73"/>
      <c r="E331" s="70"/>
      <c r="F331" s="70"/>
      <c r="G331" s="73"/>
      <c r="H331" s="76" t="s">
        <v>341</v>
      </c>
      <c r="I331" s="76"/>
      <c r="J331" s="76"/>
      <c r="K331" s="76"/>
      <c r="L331" s="76"/>
      <c r="M331" s="76"/>
      <c r="N331" s="76"/>
      <c r="O331" s="76"/>
      <c r="P331" s="76"/>
      <c r="Q331" s="76"/>
      <c r="R331" s="76"/>
      <c r="S331" s="76"/>
      <c r="T331" s="180">
        <f>T329/20000</f>
        <v>3.9545454545454543E-2</v>
      </c>
      <c r="U331" s="180">
        <f>U329/10000</f>
        <v>5.2272727272727262E-2</v>
      </c>
      <c r="V331" s="180">
        <f>V329/100</f>
        <v>0.4</v>
      </c>
      <c r="W331" s="180">
        <f>W329/100</f>
        <v>0.4</v>
      </c>
      <c r="X331" s="180">
        <f>X329/500</f>
        <v>0.68909090909090898</v>
      </c>
      <c r="Y331" s="180">
        <f>Y329/250</f>
        <v>2.56</v>
      </c>
      <c r="Z331" s="180">
        <f>Z$329/100</f>
        <v>0.40454545454545454</v>
      </c>
      <c r="AA331" s="180">
        <f>AA329/500</f>
        <v>3.272727272727273E-2</v>
      </c>
      <c r="AB331" s="180">
        <f>AB329/100</f>
        <v>1.9454545454545453</v>
      </c>
      <c r="AC331" s="180">
        <f>AC329/20000</f>
        <v>6.4949999999999994E-2</v>
      </c>
      <c r="AD331" s="180">
        <f>AD329/20000</f>
        <v>3.125E-2</v>
      </c>
      <c r="AE331" s="180">
        <f>AE329/1</f>
        <v>0</v>
      </c>
      <c r="AF331" s="180">
        <f>AF$329/50</f>
        <v>10.5</v>
      </c>
      <c r="AG331" s="180">
        <f>AG329*40/4</f>
        <v>14.2</v>
      </c>
      <c r="AH331" s="180"/>
      <c r="AI331" s="180"/>
      <c r="AJ331" s="180"/>
      <c r="AK331" s="180"/>
      <c r="AL331" s="180"/>
      <c r="AM331" s="180"/>
      <c r="AN331" s="73"/>
      <c r="AO331" s="57"/>
      <c r="AP331" s="45"/>
      <c r="AQ331" s="45"/>
      <c r="AR331" s="45"/>
      <c r="AS331" s="437"/>
      <c r="AT331" s="437"/>
    </row>
    <row r="332" spans="1:46" outlineLevel="3" x14ac:dyDescent="0.25">
      <c r="A332" s="45"/>
      <c r="B332" s="54"/>
      <c r="C332" s="87">
        <f t="shared" si="81"/>
        <v>4</v>
      </c>
      <c r="D332" s="73"/>
      <c r="E332" s="70"/>
      <c r="F332" s="70"/>
      <c r="G332" s="73"/>
      <c r="H332" s="76" t="s">
        <v>342</v>
      </c>
      <c r="I332" s="76"/>
      <c r="J332" s="76"/>
      <c r="K332" s="76"/>
      <c r="L332" s="76"/>
      <c r="M332" s="76"/>
      <c r="N332" s="76"/>
      <c r="O332" s="76"/>
      <c r="P332" s="76"/>
      <c r="Q332" s="76"/>
      <c r="R332" s="76"/>
      <c r="S332" s="76"/>
      <c r="T332" s="99">
        <v>3</v>
      </c>
      <c r="U332" s="99">
        <v>3</v>
      </c>
      <c r="V332" s="99">
        <v>0</v>
      </c>
      <c r="W332" s="99">
        <v>0</v>
      </c>
      <c r="X332" s="99">
        <v>0</v>
      </c>
      <c r="Y332" s="99">
        <v>0</v>
      </c>
      <c r="Z332" s="99">
        <v>0</v>
      </c>
      <c r="AA332" s="99">
        <v>5</v>
      </c>
      <c r="AB332" s="99">
        <v>5</v>
      </c>
      <c r="AC332" s="99">
        <v>0</v>
      </c>
      <c r="AD332" s="99">
        <v>0</v>
      </c>
      <c r="AE332" s="99">
        <v>0</v>
      </c>
      <c r="AF332" s="99">
        <v>4</v>
      </c>
      <c r="AG332" s="99">
        <v>2</v>
      </c>
      <c r="AH332" s="99"/>
      <c r="AI332" s="99"/>
      <c r="AJ332" s="99"/>
      <c r="AK332" s="99"/>
      <c r="AL332" s="99"/>
      <c r="AM332" s="99"/>
      <c r="AN332" s="73"/>
      <c r="AO332" s="57"/>
      <c r="AP332" s="45"/>
      <c r="AQ332" s="45"/>
      <c r="AR332" s="45"/>
      <c r="AS332" s="437"/>
      <c r="AT332" s="437"/>
    </row>
    <row r="333" spans="1:46" outlineLevel="3" x14ac:dyDescent="0.25">
      <c r="A333" s="45"/>
      <c r="B333" s="54"/>
      <c r="C333" s="87">
        <f t="shared" si="81"/>
        <v>4</v>
      </c>
      <c r="D333" s="73"/>
      <c r="E333" s="70"/>
      <c r="F333" s="70"/>
      <c r="G333" s="73"/>
      <c r="H333" s="76"/>
      <c r="I333" s="76"/>
      <c r="J333" s="76"/>
      <c r="K333" s="76"/>
      <c r="L333" s="76"/>
      <c r="M333" s="76"/>
      <c r="N333" s="76"/>
      <c r="O333" s="76"/>
      <c r="P333" s="76"/>
      <c r="Q333" s="76"/>
      <c r="R333" s="76"/>
      <c r="S333" s="76"/>
      <c r="T333" s="96" t="str">
        <f t="shared" ref="T333:AG333" si="82">INDEX($H$306:$H$314,T332+1,1)</f>
        <v>LW</v>
      </c>
      <c r="U333" s="96" t="str">
        <f t="shared" si="82"/>
        <v>LW</v>
      </c>
      <c r="V333" s="96" t="str">
        <f t="shared" si="82"/>
        <v>head</v>
      </c>
      <c r="W333" s="96" t="str">
        <f t="shared" si="82"/>
        <v>head</v>
      </c>
      <c r="X333" s="96" t="str">
        <f t="shared" si="82"/>
        <v>head</v>
      </c>
      <c r="Y333" s="96" t="str">
        <f t="shared" si="82"/>
        <v>head</v>
      </c>
      <c r="Z333" s="96" t="str">
        <f t="shared" si="82"/>
        <v>head</v>
      </c>
      <c r="AA333" s="96" t="str">
        <f t="shared" si="82"/>
        <v>nyatf</v>
      </c>
      <c r="AB333" s="96" t="str">
        <f t="shared" si="82"/>
        <v>nyatf</v>
      </c>
      <c r="AC333" s="96" t="str">
        <f t="shared" si="82"/>
        <v>head</v>
      </c>
      <c r="AD333" s="96" t="str">
        <f t="shared" si="82"/>
        <v>head</v>
      </c>
      <c r="AE333" s="96" t="str">
        <f t="shared" si="82"/>
        <v>head</v>
      </c>
      <c r="AF333" s="96" t="str">
        <f t="shared" si="82"/>
        <v>CFW</v>
      </c>
      <c r="AG333" s="96" t="str">
        <f t="shared" si="82"/>
        <v>mob</v>
      </c>
      <c r="AH333" s="96"/>
      <c r="AI333" s="96"/>
      <c r="AJ333" s="96"/>
      <c r="AK333" s="96"/>
      <c r="AL333" s="96"/>
      <c r="AM333" s="96"/>
      <c r="AN333" s="73"/>
      <c r="AO333" s="57"/>
      <c r="AP333" s="45"/>
      <c r="AQ333" s="45"/>
      <c r="AR333" s="45"/>
      <c r="AS333" s="437"/>
      <c r="AT333" s="437"/>
    </row>
    <row r="334" spans="1:46" outlineLevel="3" x14ac:dyDescent="0.25">
      <c r="A334" s="45"/>
      <c r="B334" s="54"/>
      <c r="C334" s="87">
        <f t="shared" si="81"/>
        <v>4</v>
      </c>
      <c r="D334" s="73"/>
      <c r="E334" s="70"/>
      <c r="F334" s="70"/>
      <c r="G334" s="73"/>
      <c r="H334" s="76" t="s">
        <v>343</v>
      </c>
      <c r="I334" s="76"/>
      <c r="J334" s="76"/>
      <c r="K334" s="76"/>
      <c r="L334" s="76"/>
      <c r="M334" s="76"/>
      <c r="N334" s="76"/>
      <c r="O334" s="76"/>
      <c r="P334" s="76"/>
      <c r="Q334" s="76"/>
      <c r="R334" s="76"/>
      <c r="S334" s="76"/>
      <c r="T334" s="99">
        <v>0.2</v>
      </c>
      <c r="U334" s="99">
        <v>0.2</v>
      </c>
      <c r="V334" s="99">
        <v>1</v>
      </c>
      <c r="W334" s="99">
        <v>1</v>
      </c>
      <c r="X334" s="99">
        <v>1</v>
      </c>
      <c r="Y334" s="99">
        <v>1</v>
      </c>
      <c r="Z334" s="99">
        <v>1</v>
      </c>
      <c r="AA334" s="99">
        <v>1.5</v>
      </c>
      <c r="AB334" s="99">
        <v>1</v>
      </c>
      <c r="AC334" s="99">
        <v>15</v>
      </c>
      <c r="AD334" s="99">
        <v>20</v>
      </c>
      <c r="AE334" s="99"/>
      <c r="AF334" s="192">
        <f>1/$J$151</f>
        <v>5.3763440860215058E-3</v>
      </c>
      <c r="AG334" s="96">
        <v>1</v>
      </c>
      <c r="AH334" s="96"/>
      <c r="AI334" s="96"/>
      <c r="AJ334" s="96"/>
      <c r="AK334" s="96"/>
      <c r="AL334" s="96"/>
      <c r="AM334" s="96"/>
      <c r="AN334" s="73"/>
      <c r="AO334" s="57"/>
      <c r="AP334" s="45"/>
      <c r="AQ334" s="45"/>
      <c r="AR334" s="45"/>
      <c r="AS334" s="437"/>
      <c r="AT334" s="437"/>
    </row>
    <row r="335" spans="1:46" outlineLevel="3" x14ac:dyDescent="0.25">
      <c r="A335" s="45"/>
      <c r="B335" s="54"/>
      <c r="C335" s="87">
        <f t="shared" si="81"/>
        <v>4</v>
      </c>
      <c r="D335" s="73"/>
      <c r="E335" s="70"/>
      <c r="F335" s="70"/>
      <c r="G335" s="73"/>
      <c r="H335" s="76" t="s">
        <v>344</v>
      </c>
      <c r="I335" s="76"/>
      <c r="J335" s="76"/>
      <c r="K335" s="76"/>
      <c r="L335" s="76"/>
      <c r="M335" s="76"/>
      <c r="N335" s="76"/>
      <c r="O335" s="76"/>
      <c r="P335" s="76"/>
      <c r="Q335" s="76"/>
      <c r="R335" s="76"/>
      <c r="S335" s="76"/>
      <c r="T335" s="193">
        <f t="shared" ref="T335:AF335" si="83">T$331*T$334</f>
        <v>7.909090909090909E-3</v>
      </c>
      <c r="U335" s="193">
        <f t="shared" si="83"/>
        <v>1.0454545454545452E-2</v>
      </c>
      <c r="V335" s="193">
        <f t="shared" si="83"/>
        <v>0.4</v>
      </c>
      <c r="W335" s="193">
        <f t="shared" si="83"/>
        <v>0.4</v>
      </c>
      <c r="X335" s="193">
        <f t="shared" si="83"/>
        <v>0.68909090909090898</v>
      </c>
      <c r="Y335" s="193">
        <f t="shared" si="83"/>
        <v>2.56</v>
      </c>
      <c r="Z335" s="193">
        <f t="shared" si="83"/>
        <v>0.40454545454545454</v>
      </c>
      <c r="AA335" s="193">
        <f t="shared" si="83"/>
        <v>4.9090909090909095E-2</v>
      </c>
      <c r="AB335" s="193">
        <f t="shared" si="83"/>
        <v>1.9454545454545453</v>
      </c>
      <c r="AC335" s="193">
        <f t="shared" si="83"/>
        <v>0.97424999999999995</v>
      </c>
      <c r="AD335" s="193">
        <f t="shared" si="83"/>
        <v>0.625</v>
      </c>
      <c r="AE335" s="193">
        <f t="shared" si="83"/>
        <v>0</v>
      </c>
      <c r="AF335" s="193">
        <f t="shared" si="83"/>
        <v>5.6451612903225812E-2</v>
      </c>
      <c r="AG335" s="193">
        <f>AG331</f>
        <v>14.2</v>
      </c>
      <c r="AH335" s="193"/>
      <c r="AI335" s="193"/>
      <c r="AJ335" s="193"/>
      <c r="AK335" s="193"/>
      <c r="AL335" s="193"/>
      <c r="AM335" s="193"/>
      <c r="AN335" s="73"/>
      <c r="AO335" s="57"/>
      <c r="AP335" s="45"/>
      <c r="AQ335" s="45"/>
      <c r="AR335" s="45"/>
      <c r="AS335" s="437"/>
      <c r="AT335" s="437"/>
    </row>
    <row r="336" spans="1:46" ht="33.75" outlineLevel="3" x14ac:dyDescent="0.25">
      <c r="A336" s="45"/>
      <c r="B336" s="54"/>
      <c r="C336" s="87">
        <f t="shared" si="81"/>
        <v>4</v>
      </c>
      <c r="D336" s="73"/>
      <c r="E336" s="70"/>
      <c r="F336" s="70"/>
      <c r="G336" s="73"/>
      <c r="H336" s="162" t="s">
        <v>345</v>
      </c>
      <c r="I336" s="162"/>
      <c r="J336" s="162"/>
      <c r="K336" s="162"/>
      <c r="L336" s="162"/>
      <c r="M336" s="162"/>
      <c r="N336" s="162"/>
      <c r="O336" s="162"/>
      <c r="P336" s="162"/>
      <c r="Q336" s="162"/>
      <c r="R336" s="162"/>
      <c r="S336" s="162"/>
      <c r="T336" s="194" t="s">
        <v>2956</v>
      </c>
      <c r="U336" s="194" t="s">
        <v>2956</v>
      </c>
      <c r="V336" s="194"/>
      <c r="W336" s="194"/>
      <c r="X336" s="194" t="s">
        <v>2958</v>
      </c>
      <c r="Y336" s="194" t="s">
        <v>346</v>
      </c>
      <c r="Z336" s="194" t="s">
        <v>347</v>
      </c>
      <c r="AA336" s="194" t="s">
        <v>2958</v>
      </c>
      <c r="AB336" s="194" t="s">
        <v>2957</v>
      </c>
      <c r="AC336" s="194"/>
      <c r="AD336" s="194"/>
      <c r="AE336" s="194"/>
      <c r="AF336" s="194" t="s">
        <v>2959</v>
      </c>
      <c r="AG336" s="194"/>
      <c r="AH336" s="470"/>
      <c r="AI336" s="470"/>
      <c r="AJ336" s="470"/>
      <c r="AK336" s="470"/>
      <c r="AL336" s="470"/>
      <c r="AM336" s="470"/>
      <c r="AN336" s="73"/>
      <c r="AO336" s="57"/>
      <c r="AP336" s="45"/>
      <c r="AQ336" s="45"/>
      <c r="AR336" s="45"/>
      <c r="AS336" s="437"/>
      <c r="AT336" s="437"/>
    </row>
    <row r="337" spans="1:46" ht="5.0999999999999996" customHeight="1" outlineLevel="2" x14ac:dyDescent="0.25">
      <c r="A337" s="45"/>
      <c r="B337" s="54"/>
      <c r="C337" s="87">
        <f>INT($C$293)+2.005</f>
        <v>3.0049999999999999</v>
      </c>
      <c r="D337" s="73"/>
      <c r="E337" s="73"/>
      <c r="F337" s="73"/>
      <c r="G337" s="73"/>
      <c r="H337" s="73"/>
      <c r="I337" s="73"/>
      <c r="J337" s="73"/>
      <c r="K337" s="73"/>
      <c r="L337" s="73"/>
      <c r="M337" s="73"/>
      <c r="N337" s="73"/>
      <c r="O337" s="73"/>
      <c r="P337" s="73"/>
      <c r="Q337" s="73"/>
      <c r="R337" s="73"/>
      <c r="S337" s="73"/>
      <c r="T337" s="73"/>
      <c r="U337" s="73"/>
      <c r="V337" s="73"/>
      <c r="W337" s="73"/>
      <c r="X337" s="73"/>
      <c r="Y337" s="73"/>
      <c r="Z337" s="73"/>
      <c r="AA337" s="73"/>
      <c r="AB337" s="73"/>
      <c r="AC337" s="73"/>
      <c r="AD337" s="73"/>
      <c r="AE337" s="73"/>
      <c r="AF337" s="73"/>
      <c r="AG337" s="73"/>
      <c r="AH337" s="73"/>
      <c r="AI337" s="73"/>
      <c r="AJ337" s="73"/>
      <c r="AK337" s="73"/>
      <c r="AL337" s="73"/>
      <c r="AM337" s="73"/>
      <c r="AN337" s="73" t="s">
        <v>136</v>
      </c>
      <c r="AO337" s="57"/>
      <c r="AP337" s="45"/>
      <c r="AQ337" s="45"/>
      <c r="AR337" s="45"/>
      <c r="AS337" s="437"/>
      <c r="AT337" s="437"/>
    </row>
    <row r="338" spans="1:46" outlineLevel="4" x14ac:dyDescent="0.25">
      <c r="A338" s="45"/>
      <c r="B338" s="54"/>
      <c r="C338" s="87">
        <f>INT(MAX($C$304:$C$337))+1</f>
        <v>5</v>
      </c>
      <c r="D338" s="73"/>
      <c r="E338" s="70"/>
      <c r="F338" s="70"/>
      <c r="G338" s="73"/>
      <c r="H338" s="70"/>
      <c r="I338" s="70"/>
      <c r="J338" s="70"/>
      <c r="K338" s="70"/>
      <c r="L338" s="70"/>
      <c r="M338" s="70"/>
      <c r="N338" s="70"/>
      <c r="O338" s="70"/>
      <c r="P338" s="70"/>
      <c r="Q338" s="70"/>
      <c r="R338" s="70"/>
      <c r="S338" s="70"/>
      <c r="T338" s="70"/>
      <c r="U338" s="70">
        <v>1</v>
      </c>
      <c r="V338" s="70">
        <v>2</v>
      </c>
      <c r="W338" s="70">
        <v>3</v>
      </c>
      <c r="X338" s="70">
        <v>4</v>
      </c>
      <c r="Y338" s="70">
        <v>5</v>
      </c>
      <c r="Z338" s="70">
        <v>6</v>
      </c>
      <c r="AA338" s="70">
        <v>7</v>
      </c>
      <c r="AB338" s="70">
        <v>8</v>
      </c>
      <c r="AC338" s="70">
        <v>9</v>
      </c>
      <c r="AD338" s="70">
        <v>10</v>
      </c>
      <c r="AE338" s="70">
        <v>11</v>
      </c>
      <c r="AF338" s="70">
        <v>12</v>
      </c>
      <c r="AG338" s="70">
        <v>13</v>
      </c>
      <c r="AH338" s="70"/>
      <c r="AI338" s="70"/>
      <c r="AJ338" s="70"/>
      <c r="AK338" s="70"/>
      <c r="AL338" s="70"/>
      <c r="AM338" s="70"/>
      <c r="AN338" s="73"/>
      <c r="AO338" s="57"/>
      <c r="AP338" s="45"/>
      <c r="AQ338" s="45"/>
      <c r="AR338" s="45"/>
      <c r="AS338" s="437"/>
      <c r="AT338" s="437"/>
    </row>
    <row r="339" spans="1:46" outlineLevel="1" x14ac:dyDescent="0.25">
      <c r="A339" s="45"/>
      <c r="B339" s="54"/>
      <c r="C339" s="87">
        <f>INT($C$293)+1</f>
        <v>2</v>
      </c>
      <c r="D339" s="73"/>
      <c r="E339" s="70"/>
      <c r="F339" s="70"/>
      <c r="G339" s="73"/>
      <c r="H339" s="90" t="s">
        <v>348</v>
      </c>
      <c r="I339" s="91" t="str">
        <f>"("&amp;ROWS(i_husb_operations_requisites_prob_h6h2)&amp;","&amp;COLUMNS(i_husb_operations_requisites_prob_h6h2)&amp;"): i_husb_operation_requisites_prob_h2h5(pointers) = input"</f>
        <v>(27,14): i_husb_operation_requisites_prob_h2h5(pointers) = input</v>
      </c>
      <c r="J339" s="92"/>
      <c r="K339" s="92"/>
      <c r="L339" s="93"/>
      <c r="M339" s="92"/>
      <c r="N339" s="92"/>
      <c r="O339" s="92"/>
      <c r="P339" s="92"/>
      <c r="Q339" s="92"/>
      <c r="R339" s="93"/>
      <c r="S339" s="92"/>
      <c r="T339" s="92"/>
      <c r="U339" s="92"/>
      <c r="V339" s="92"/>
      <c r="W339" s="93"/>
      <c r="X339" s="93"/>
      <c r="Y339" s="92"/>
      <c r="Z339" s="93"/>
      <c r="AA339" s="92"/>
      <c r="AB339" s="92"/>
      <c r="AC339" s="93"/>
      <c r="AD339" s="93"/>
      <c r="AE339" s="93"/>
      <c r="AF339" s="93"/>
      <c r="AG339" s="92"/>
      <c r="AH339" s="92"/>
      <c r="AI339" s="92"/>
      <c r="AJ339" s="92"/>
      <c r="AK339" s="92"/>
      <c r="AL339" s="92"/>
      <c r="AM339" s="92"/>
      <c r="AN339" s="73"/>
      <c r="AO339" s="57"/>
      <c r="AP339" s="45"/>
      <c r="AQ339" s="45"/>
      <c r="AR339" s="45"/>
      <c r="AS339" s="437"/>
      <c r="AT339" s="437"/>
    </row>
    <row r="340" spans="1:46" ht="5.0999999999999996" customHeight="1" outlineLevel="3" x14ac:dyDescent="0.25">
      <c r="A340" s="45"/>
      <c r="B340" s="54"/>
      <c r="C340" s="87">
        <f>INT($C$293)+3.005</f>
        <v>4.0049999999999999</v>
      </c>
      <c r="D340" s="73" t="s">
        <v>132</v>
      </c>
      <c r="E340" s="73"/>
      <c r="F340" s="73"/>
      <c r="G340" s="73"/>
      <c r="H340" s="73"/>
      <c r="I340" s="73"/>
      <c r="J340" s="73"/>
      <c r="K340" s="73"/>
      <c r="L340" s="73"/>
      <c r="M340" s="73"/>
      <c r="N340" s="73"/>
      <c r="O340" s="73"/>
      <c r="P340" s="73"/>
      <c r="Q340" s="73"/>
      <c r="R340" s="73"/>
      <c r="S340" s="73"/>
      <c r="T340" s="73"/>
      <c r="U340" s="73"/>
      <c r="V340" s="73"/>
      <c r="W340" s="73"/>
      <c r="X340" s="73"/>
      <c r="Y340" s="73"/>
      <c r="Z340" s="73"/>
      <c r="AA340" s="73"/>
      <c r="AB340" s="73"/>
      <c r="AC340" s="73"/>
      <c r="AD340" s="73"/>
      <c r="AE340" s="73"/>
      <c r="AF340" s="73"/>
      <c r="AG340" s="73"/>
      <c r="AH340" s="73"/>
      <c r="AI340" s="73"/>
      <c r="AJ340" s="73"/>
      <c r="AK340" s="73"/>
      <c r="AL340" s="73"/>
      <c r="AM340" s="73"/>
      <c r="AN340" s="73"/>
      <c r="AO340" s="57"/>
      <c r="AP340" s="45"/>
      <c r="AQ340" s="45"/>
      <c r="AR340" s="45"/>
      <c r="AS340" s="437"/>
      <c r="AT340" s="437"/>
    </row>
    <row r="341" spans="1:46" outlineLevel="2" x14ac:dyDescent="0.25">
      <c r="A341" s="45"/>
      <c r="B341" s="54"/>
      <c r="C341" s="87">
        <f>INT($C$293)+2</f>
        <v>3</v>
      </c>
      <c r="D341" s="73"/>
      <c r="E341" s="70"/>
      <c r="F341" s="70"/>
      <c r="G341" s="73"/>
      <c r="H341" s="76"/>
      <c r="I341" s="76"/>
      <c r="J341" s="76"/>
      <c r="K341" s="96" t="s">
        <v>349</v>
      </c>
      <c r="L341" s="95" t="s">
        <v>350</v>
      </c>
      <c r="M341" s="95"/>
      <c r="N341" s="95"/>
      <c r="O341" s="76"/>
      <c r="P341" s="96" t="s">
        <v>351</v>
      </c>
      <c r="Q341" s="95" t="s">
        <v>352</v>
      </c>
      <c r="R341" s="95"/>
      <c r="S341" s="95" t="s">
        <v>353</v>
      </c>
      <c r="T341" s="95"/>
      <c r="U341" s="95"/>
      <c r="V341" s="95"/>
      <c r="W341" s="95"/>
      <c r="X341" s="95"/>
      <c r="Y341" s="95"/>
      <c r="Z341" s="95"/>
      <c r="AA341" s="95"/>
      <c r="AB341" s="95"/>
      <c r="AC341" s="95"/>
      <c r="AD341" s="95"/>
      <c r="AE341" s="95"/>
      <c r="AF341" s="95"/>
      <c r="AG341" s="95"/>
      <c r="AH341" s="95"/>
      <c r="AI341" s="95"/>
      <c r="AJ341" s="95"/>
      <c r="AK341" s="95"/>
      <c r="AL341" s="95"/>
      <c r="AM341" s="95"/>
      <c r="AN341" s="73"/>
      <c r="AO341" s="57"/>
      <c r="AP341" s="45"/>
      <c r="AQ341" s="45"/>
      <c r="AR341" s="45"/>
      <c r="AS341" s="437"/>
      <c r="AT341" s="437"/>
    </row>
    <row r="342" spans="1:46" outlineLevel="2" x14ac:dyDescent="0.25">
      <c r="A342" s="45"/>
      <c r="B342" s="54"/>
      <c r="C342" s="87">
        <f>INT($C$293)+2</f>
        <v>3</v>
      </c>
      <c r="D342" s="73"/>
      <c r="E342" s="70"/>
      <c r="F342" s="70"/>
      <c r="G342" s="73"/>
      <c r="H342" s="76"/>
      <c r="I342" s="95" t="s">
        <v>354</v>
      </c>
      <c r="J342" s="195"/>
      <c r="K342" s="96" t="s">
        <v>355</v>
      </c>
      <c r="L342" s="95" t="s">
        <v>356</v>
      </c>
      <c r="M342" s="95"/>
      <c r="N342" s="95"/>
      <c r="O342" s="76"/>
      <c r="P342" s="96" t="s">
        <v>357</v>
      </c>
      <c r="Q342" s="76" t="s">
        <v>358</v>
      </c>
      <c r="R342" s="96" t="s">
        <v>359</v>
      </c>
      <c r="S342" s="196"/>
      <c r="T342" s="196" t="str">
        <f t="shared" ref="T342:AG342" si="84">IF(T$327&lt;&gt;"",T$327,T$326)</f>
        <v>Triguard</v>
      </c>
      <c r="U342" s="196" t="str">
        <f t="shared" si="84"/>
        <v>Q Drench</v>
      </c>
      <c r="V342" s="196" t="str">
        <f t="shared" si="84"/>
        <v>Se bullet</v>
      </c>
      <c r="W342" s="196" t="str">
        <f t="shared" si="84"/>
        <v>Co bullet</v>
      </c>
      <c r="X342" s="196" t="str">
        <f t="shared" si="84"/>
        <v>Glanvac 6S</v>
      </c>
      <c r="Y342" s="196" t="str">
        <f t="shared" si="84"/>
        <v>Gudair</v>
      </c>
      <c r="Z342" s="196" t="str">
        <f t="shared" si="84"/>
        <v>Sidney SP</v>
      </c>
      <c r="AA342" s="196" t="str">
        <f t="shared" si="84"/>
        <v>Rings</v>
      </c>
      <c r="AB342" s="196" t="str">
        <f t="shared" si="84"/>
        <v>Meloxicam</v>
      </c>
      <c r="AC342" s="196" t="str">
        <f t="shared" si="84"/>
        <v>Click</v>
      </c>
      <c r="AD342" s="196" t="str">
        <f t="shared" si="84"/>
        <v>Vetrazin</v>
      </c>
      <c r="AE342" s="196" t="str">
        <f t="shared" si="84"/>
        <v>Footrot treatment</v>
      </c>
      <c r="AF342" s="196" t="str">
        <f t="shared" si="84"/>
        <v>Wool packs</v>
      </c>
      <c r="AG342" s="196" t="str">
        <f t="shared" si="84"/>
        <v>Diesel</v>
      </c>
      <c r="AH342" s="196"/>
      <c r="AI342" s="196"/>
      <c r="AJ342" s="196"/>
      <c r="AK342" s="196"/>
      <c r="AL342" s="196"/>
      <c r="AM342" s="196"/>
      <c r="AN342" s="73"/>
      <c r="AO342" s="57"/>
      <c r="AP342" s="45"/>
      <c r="AQ342" s="45"/>
      <c r="AR342" s="45"/>
      <c r="AS342" s="437"/>
      <c r="AT342" s="437"/>
    </row>
    <row r="343" spans="1:46" outlineLevel="3" x14ac:dyDescent="0.25">
      <c r="A343" s="45"/>
      <c r="B343" s="54"/>
      <c r="C343" s="87">
        <f>INT($C$293)+3</f>
        <v>4</v>
      </c>
      <c r="D343" s="73"/>
      <c r="E343" s="70"/>
      <c r="F343" s="70"/>
      <c r="G343" s="73"/>
      <c r="H343" s="197" t="s">
        <v>360</v>
      </c>
      <c r="I343" s="197" t="s">
        <v>361</v>
      </c>
      <c r="J343" s="197"/>
      <c r="K343" s="166" t="s">
        <v>362</v>
      </c>
      <c r="L343" s="166" t="s">
        <v>363</v>
      </c>
      <c r="M343" s="166" t="s">
        <v>364</v>
      </c>
      <c r="N343" s="166" t="s">
        <v>365</v>
      </c>
      <c r="O343" s="198" t="s">
        <v>366</v>
      </c>
      <c r="P343" s="166" t="s">
        <v>367</v>
      </c>
      <c r="Q343" s="99" t="s">
        <v>2195</v>
      </c>
      <c r="R343" s="99" t="s">
        <v>368</v>
      </c>
      <c r="S343" s="198"/>
      <c r="T343" s="166" t="str">
        <f t="shared" ref="T343:AG343" si="85">T333</f>
        <v>LW</v>
      </c>
      <c r="U343" s="166" t="str">
        <f t="shared" si="85"/>
        <v>LW</v>
      </c>
      <c r="V343" s="166" t="str">
        <f t="shared" si="85"/>
        <v>head</v>
      </c>
      <c r="W343" s="166" t="str">
        <f t="shared" si="85"/>
        <v>head</v>
      </c>
      <c r="X343" s="166" t="str">
        <f t="shared" si="85"/>
        <v>head</v>
      </c>
      <c r="Y343" s="166" t="str">
        <f t="shared" si="85"/>
        <v>head</v>
      </c>
      <c r="Z343" s="166" t="str">
        <f t="shared" si="85"/>
        <v>head</v>
      </c>
      <c r="AA343" s="166" t="str">
        <f t="shared" si="85"/>
        <v>nyatf</v>
      </c>
      <c r="AB343" s="166" t="str">
        <f t="shared" si="85"/>
        <v>nyatf</v>
      </c>
      <c r="AC343" s="166" t="str">
        <f t="shared" si="85"/>
        <v>head</v>
      </c>
      <c r="AD343" s="166" t="str">
        <f t="shared" si="85"/>
        <v>head</v>
      </c>
      <c r="AE343" s="166" t="str">
        <f t="shared" si="85"/>
        <v>head</v>
      </c>
      <c r="AF343" s="166" t="str">
        <f t="shared" si="85"/>
        <v>CFW</v>
      </c>
      <c r="AG343" s="166" t="str">
        <f t="shared" si="85"/>
        <v>mob</v>
      </c>
      <c r="AH343" s="471"/>
      <c r="AI343" s="471"/>
      <c r="AJ343" s="471"/>
      <c r="AK343" s="471"/>
      <c r="AL343" s="471"/>
      <c r="AM343" s="471"/>
      <c r="AN343" s="73"/>
      <c r="AO343" s="57"/>
      <c r="AP343" s="45"/>
      <c r="AQ343" s="45"/>
      <c r="AR343" s="45"/>
      <c r="AS343" s="437"/>
      <c r="AT343" s="437"/>
    </row>
    <row r="344" spans="1:46" outlineLevel="3" x14ac:dyDescent="0.25">
      <c r="A344" s="45"/>
      <c r="B344" s="54"/>
      <c r="C344" s="87">
        <f t="shared" ref="C344:C370" si="86">INT($C$293+3)</f>
        <v>4</v>
      </c>
      <c r="D344" s="73"/>
      <c r="E344" s="70"/>
      <c r="F344" s="70"/>
      <c r="G344" s="73"/>
      <c r="H344" s="105" t="s">
        <v>369</v>
      </c>
      <c r="I344" s="99">
        <v>1</v>
      </c>
      <c r="J344" s="177" t="str">
        <f t="shared" ref="J344:J370" si="87">INDEX($H$306:$H$314,I344+1,1)</f>
        <v>adj head</v>
      </c>
      <c r="K344" s="199">
        <v>0</v>
      </c>
      <c r="L344" s="200">
        <v>0</v>
      </c>
      <c r="M344" s="201">
        <v>0</v>
      </c>
      <c r="N344" s="201">
        <v>300</v>
      </c>
      <c r="O344" s="76"/>
      <c r="P344" s="97">
        <v>0.1</v>
      </c>
      <c r="Q344" s="202">
        <v>0</v>
      </c>
      <c r="R344" s="202">
        <v>0</v>
      </c>
      <c r="S344" s="105"/>
      <c r="T344" s="203">
        <v>1</v>
      </c>
      <c r="U344" s="203">
        <v>0</v>
      </c>
      <c r="V344" s="204">
        <v>0</v>
      </c>
      <c r="W344" s="204">
        <v>0</v>
      </c>
      <c r="X344" s="204">
        <v>0</v>
      </c>
      <c r="Y344" s="204">
        <v>0</v>
      </c>
      <c r="Z344" s="204">
        <v>0</v>
      </c>
      <c r="AA344" s="204">
        <v>0</v>
      </c>
      <c r="AB344" s="204">
        <v>0</v>
      </c>
      <c r="AC344" s="204">
        <v>0</v>
      </c>
      <c r="AD344" s="204">
        <v>0</v>
      </c>
      <c r="AE344" s="204">
        <v>0</v>
      </c>
      <c r="AF344" s="204">
        <v>0</v>
      </c>
      <c r="AG344" s="204">
        <v>0</v>
      </c>
      <c r="AH344" s="204"/>
      <c r="AI344" s="204"/>
      <c r="AJ344" s="204"/>
      <c r="AK344" s="204"/>
      <c r="AL344" s="204"/>
      <c r="AM344" s="204"/>
      <c r="AN344" s="73"/>
      <c r="AO344" s="57"/>
      <c r="AP344" s="45"/>
      <c r="AQ344" s="45"/>
      <c r="AR344" s="45"/>
      <c r="AS344" s="437"/>
      <c r="AT344" s="437"/>
    </row>
    <row r="345" spans="1:46" outlineLevel="3" x14ac:dyDescent="0.25">
      <c r="A345" s="45"/>
      <c r="B345" s="54"/>
      <c r="C345" s="87">
        <f t="shared" si="86"/>
        <v>4</v>
      </c>
      <c r="D345" s="73"/>
      <c r="E345" s="70"/>
      <c r="F345" s="70"/>
      <c r="G345" s="73"/>
      <c r="H345" s="76" t="s">
        <v>370</v>
      </c>
      <c r="I345" s="99">
        <v>1</v>
      </c>
      <c r="J345" s="96" t="str">
        <f t="shared" si="87"/>
        <v>adj head</v>
      </c>
      <c r="K345" s="199">
        <v>0</v>
      </c>
      <c r="L345" s="204">
        <v>0</v>
      </c>
      <c r="M345" s="201">
        <v>0</v>
      </c>
      <c r="N345" s="201">
        <v>300</v>
      </c>
      <c r="O345" s="76"/>
      <c r="P345" s="97">
        <v>0.1</v>
      </c>
      <c r="Q345" s="201">
        <v>0</v>
      </c>
      <c r="R345" s="201">
        <v>0</v>
      </c>
      <c r="S345" s="76"/>
      <c r="T345" s="203">
        <v>1</v>
      </c>
      <c r="U345" s="203">
        <v>0</v>
      </c>
      <c r="V345" s="204">
        <v>0</v>
      </c>
      <c r="W345" s="204">
        <v>0</v>
      </c>
      <c r="X345" s="204">
        <v>0</v>
      </c>
      <c r="Y345" s="204">
        <v>0</v>
      </c>
      <c r="Z345" s="204">
        <v>0</v>
      </c>
      <c r="AA345" s="204">
        <v>0</v>
      </c>
      <c r="AB345" s="204">
        <v>0</v>
      </c>
      <c r="AC345" s="204">
        <v>0</v>
      </c>
      <c r="AD345" s="204">
        <v>0</v>
      </c>
      <c r="AE345" s="204">
        <v>0</v>
      </c>
      <c r="AF345" s="204">
        <v>0</v>
      </c>
      <c r="AG345" s="204">
        <v>0</v>
      </c>
      <c r="AH345" s="204"/>
      <c r="AI345" s="204"/>
      <c r="AJ345" s="204"/>
      <c r="AK345" s="204"/>
      <c r="AL345" s="204"/>
      <c r="AM345" s="204"/>
      <c r="AN345" s="73"/>
      <c r="AO345" s="57"/>
      <c r="AP345" s="45"/>
      <c r="AQ345" s="45"/>
      <c r="AR345" s="45"/>
      <c r="AS345" s="437"/>
      <c r="AT345" s="437"/>
    </row>
    <row r="346" spans="1:46" outlineLevel="3" x14ac:dyDescent="0.25">
      <c r="A346" s="45"/>
      <c r="B346" s="54"/>
      <c r="C346" s="87">
        <f t="shared" si="86"/>
        <v>4</v>
      </c>
      <c r="D346" s="73"/>
      <c r="E346" s="70"/>
      <c r="F346" s="70"/>
      <c r="G346" s="73"/>
      <c r="H346" s="76" t="s">
        <v>371</v>
      </c>
      <c r="I346" s="99">
        <v>0</v>
      </c>
      <c r="J346" s="96" t="str">
        <f t="shared" si="87"/>
        <v>head</v>
      </c>
      <c r="K346" s="199">
        <v>0</v>
      </c>
      <c r="L346" s="204">
        <v>0</v>
      </c>
      <c r="M346" s="201">
        <v>0</v>
      </c>
      <c r="N346" s="201">
        <v>300</v>
      </c>
      <c r="O346" s="76"/>
      <c r="P346" s="97">
        <v>0.1</v>
      </c>
      <c r="Q346" s="201">
        <v>0</v>
      </c>
      <c r="R346" s="201">
        <v>0</v>
      </c>
      <c r="S346" s="76"/>
      <c r="T346" s="203">
        <v>1</v>
      </c>
      <c r="U346" s="203">
        <v>0</v>
      </c>
      <c r="V346" s="204">
        <v>0</v>
      </c>
      <c r="W346" s="204">
        <v>0</v>
      </c>
      <c r="X346" s="204">
        <v>0</v>
      </c>
      <c r="Y346" s="204">
        <v>0</v>
      </c>
      <c r="Z346" s="204">
        <v>0</v>
      </c>
      <c r="AA346" s="204">
        <v>0</v>
      </c>
      <c r="AB346" s="204">
        <v>0</v>
      </c>
      <c r="AC346" s="204">
        <v>0</v>
      </c>
      <c r="AD346" s="204">
        <v>0</v>
      </c>
      <c r="AE346" s="204">
        <v>0</v>
      </c>
      <c r="AF346" s="204">
        <v>0</v>
      </c>
      <c r="AG346" s="204">
        <v>0</v>
      </c>
      <c r="AH346" s="204"/>
      <c r="AI346" s="204"/>
      <c r="AJ346" s="204"/>
      <c r="AK346" s="204"/>
      <c r="AL346" s="204"/>
      <c r="AM346" s="204"/>
      <c r="AN346" s="73"/>
      <c r="AO346" s="57"/>
      <c r="AP346" s="45"/>
      <c r="AQ346" s="45"/>
      <c r="AR346" s="45"/>
      <c r="AS346" s="437"/>
      <c r="AT346" s="437"/>
    </row>
    <row r="347" spans="1:46" outlineLevel="3" x14ac:dyDescent="0.25">
      <c r="A347" s="45"/>
      <c r="B347" s="54"/>
      <c r="C347" s="87">
        <f t="shared" si="86"/>
        <v>4</v>
      </c>
      <c r="D347" s="73"/>
      <c r="E347" s="70"/>
      <c r="F347" s="70"/>
      <c r="G347" s="73"/>
      <c r="H347" s="76" t="s">
        <v>372</v>
      </c>
      <c r="I347" s="99">
        <v>1</v>
      </c>
      <c r="J347" s="96" t="str">
        <f t="shared" si="87"/>
        <v>adj head</v>
      </c>
      <c r="K347" s="199">
        <v>0</v>
      </c>
      <c r="L347" s="204">
        <v>0</v>
      </c>
      <c r="M347" s="201">
        <v>0</v>
      </c>
      <c r="N347" s="201">
        <v>300</v>
      </c>
      <c r="O347" s="76"/>
      <c r="P347" s="97">
        <v>0.1</v>
      </c>
      <c r="Q347" s="201">
        <v>0</v>
      </c>
      <c r="R347" s="201">
        <v>0</v>
      </c>
      <c r="S347" s="76"/>
      <c r="T347" s="204">
        <v>0</v>
      </c>
      <c r="U347" s="204">
        <v>0</v>
      </c>
      <c r="V347" s="204">
        <v>0</v>
      </c>
      <c r="W347" s="204">
        <v>0</v>
      </c>
      <c r="X347" s="203">
        <v>1</v>
      </c>
      <c r="Y347" s="204">
        <v>0</v>
      </c>
      <c r="Z347" s="204">
        <v>0</v>
      </c>
      <c r="AA347" s="204">
        <v>0</v>
      </c>
      <c r="AB347" s="204">
        <v>0</v>
      </c>
      <c r="AC347" s="204">
        <v>0</v>
      </c>
      <c r="AD347" s="204">
        <v>0</v>
      </c>
      <c r="AE347" s="204">
        <v>0</v>
      </c>
      <c r="AF347" s="204">
        <v>0</v>
      </c>
      <c r="AG347" s="204">
        <v>0</v>
      </c>
      <c r="AH347" s="204"/>
      <c r="AI347" s="204"/>
      <c r="AJ347" s="204"/>
      <c r="AK347" s="204"/>
      <c r="AL347" s="204"/>
      <c r="AM347" s="204"/>
      <c r="AN347" s="73"/>
      <c r="AO347" s="57"/>
      <c r="AP347" s="45"/>
      <c r="AQ347" s="45"/>
      <c r="AR347" s="45"/>
      <c r="AS347" s="437"/>
      <c r="AT347" s="437"/>
    </row>
    <row r="348" spans="1:46" outlineLevel="3" x14ac:dyDescent="0.25">
      <c r="A348" s="45"/>
      <c r="B348" s="54"/>
      <c r="C348" s="87">
        <f t="shared" si="86"/>
        <v>4</v>
      </c>
      <c r="D348" s="73"/>
      <c r="E348" s="70"/>
      <c r="F348" s="70"/>
      <c r="G348" s="73"/>
      <c r="H348" s="76" t="s">
        <v>373</v>
      </c>
      <c r="I348" s="99">
        <v>1</v>
      </c>
      <c r="J348" s="96" t="str">
        <f t="shared" si="87"/>
        <v>adj head</v>
      </c>
      <c r="K348" s="199">
        <v>0</v>
      </c>
      <c r="L348" s="204">
        <v>0</v>
      </c>
      <c r="M348" s="201">
        <v>0</v>
      </c>
      <c r="N348" s="201">
        <v>300</v>
      </c>
      <c r="O348" s="76"/>
      <c r="P348" s="97">
        <v>0.1</v>
      </c>
      <c r="Q348" s="201">
        <v>0</v>
      </c>
      <c r="R348" s="201">
        <v>0</v>
      </c>
      <c r="S348" s="76"/>
      <c r="T348" s="204">
        <v>0</v>
      </c>
      <c r="U348" s="204">
        <v>0</v>
      </c>
      <c r="V348" s="204">
        <v>0</v>
      </c>
      <c r="W348" s="204">
        <v>0</v>
      </c>
      <c r="X348" s="204">
        <v>0</v>
      </c>
      <c r="Y348" s="203">
        <v>1</v>
      </c>
      <c r="Z348" s="204">
        <v>0</v>
      </c>
      <c r="AA348" s="204">
        <v>0</v>
      </c>
      <c r="AB348" s="204">
        <v>0</v>
      </c>
      <c r="AC348" s="204">
        <v>0</v>
      </c>
      <c r="AD348" s="204">
        <v>0</v>
      </c>
      <c r="AE348" s="204">
        <v>0</v>
      </c>
      <c r="AF348" s="204">
        <v>0</v>
      </c>
      <c r="AG348" s="204">
        <v>0</v>
      </c>
      <c r="AH348" s="204"/>
      <c r="AI348" s="204"/>
      <c r="AJ348" s="204"/>
      <c r="AK348" s="204"/>
      <c r="AL348" s="204"/>
      <c r="AM348" s="204"/>
      <c r="AN348" s="73"/>
      <c r="AO348" s="57"/>
      <c r="AP348" s="45"/>
      <c r="AQ348" s="45"/>
      <c r="AR348" s="45"/>
      <c r="AS348" s="437"/>
      <c r="AT348" s="437"/>
    </row>
    <row r="349" spans="1:46" outlineLevel="3" x14ac:dyDescent="0.25">
      <c r="A349" s="45"/>
      <c r="B349" s="54"/>
      <c r="C349" s="87">
        <f t="shared" si="86"/>
        <v>4</v>
      </c>
      <c r="D349" s="73"/>
      <c r="E349" s="70"/>
      <c r="F349" s="70"/>
      <c r="G349" s="73"/>
      <c r="H349" s="76" t="s">
        <v>374</v>
      </c>
      <c r="I349" s="99">
        <v>1</v>
      </c>
      <c r="J349" s="96" t="str">
        <f t="shared" si="87"/>
        <v>adj head</v>
      </c>
      <c r="K349" s="199">
        <v>0.5</v>
      </c>
      <c r="L349" s="204">
        <v>0</v>
      </c>
      <c r="M349" s="201">
        <v>0</v>
      </c>
      <c r="N349" s="201">
        <v>200</v>
      </c>
      <c r="O349" s="76"/>
      <c r="P349" s="97">
        <v>0.1</v>
      </c>
      <c r="Q349" s="201">
        <v>0</v>
      </c>
      <c r="R349" s="201">
        <v>0</v>
      </c>
      <c r="S349" s="76"/>
      <c r="T349" s="204">
        <v>0</v>
      </c>
      <c r="U349" s="204">
        <v>0</v>
      </c>
      <c r="V349" s="204">
        <v>0</v>
      </c>
      <c r="W349" s="204">
        <v>0</v>
      </c>
      <c r="X349" s="204">
        <v>0</v>
      </c>
      <c r="Y349" s="204">
        <v>0</v>
      </c>
      <c r="Z349" s="204">
        <v>0</v>
      </c>
      <c r="AA349" s="204">
        <v>0</v>
      </c>
      <c r="AB349" s="204">
        <v>0</v>
      </c>
      <c r="AC349" s="204">
        <v>0</v>
      </c>
      <c r="AD349" s="204">
        <v>0</v>
      </c>
      <c r="AE349" s="203">
        <v>1</v>
      </c>
      <c r="AF349" s="204">
        <v>0</v>
      </c>
      <c r="AG349" s="204">
        <v>0</v>
      </c>
      <c r="AH349" s="204"/>
      <c r="AI349" s="204"/>
      <c r="AJ349" s="204"/>
      <c r="AK349" s="204"/>
      <c r="AL349" s="204"/>
      <c r="AM349" s="204"/>
      <c r="AN349" s="73"/>
      <c r="AO349" s="57"/>
      <c r="AP349" s="45"/>
      <c r="AQ349" s="45"/>
      <c r="AR349" s="45"/>
      <c r="AS349" s="437"/>
      <c r="AT349" s="437"/>
    </row>
    <row r="350" spans="1:46" outlineLevel="3" x14ac:dyDescent="0.25">
      <c r="A350" s="45"/>
      <c r="B350" s="54"/>
      <c r="C350" s="87">
        <f t="shared" si="86"/>
        <v>4</v>
      </c>
      <c r="D350" s="73"/>
      <c r="E350" s="70"/>
      <c r="F350" s="70"/>
      <c r="G350" s="73"/>
      <c r="H350" s="76" t="s">
        <v>375</v>
      </c>
      <c r="I350" s="99">
        <v>0</v>
      </c>
      <c r="J350" s="96" t="str">
        <f t="shared" si="87"/>
        <v>head</v>
      </c>
      <c r="K350" s="199">
        <v>0</v>
      </c>
      <c r="L350" s="204">
        <v>0</v>
      </c>
      <c r="M350" s="201">
        <v>0</v>
      </c>
      <c r="N350" s="201">
        <f>1/(1/200-1/300)</f>
        <v>600</v>
      </c>
      <c r="O350" s="76"/>
      <c r="P350" s="97">
        <v>0.1</v>
      </c>
      <c r="Q350" s="201">
        <v>0</v>
      </c>
      <c r="R350" s="201">
        <v>0</v>
      </c>
      <c r="S350" s="76"/>
      <c r="T350" s="204">
        <v>0</v>
      </c>
      <c r="U350" s="204">
        <v>0</v>
      </c>
      <c r="V350" s="203">
        <v>1</v>
      </c>
      <c r="W350" s="203">
        <v>0</v>
      </c>
      <c r="X350" s="204">
        <v>0</v>
      </c>
      <c r="Y350" s="204">
        <v>0</v>
      </c>
      <c r="Z350" s="204">
        <v>0</v>
      </c>
      <c r="AA350" s="204">
        <v>0</v>
      </c>
      <c r="AB350" s="204">
        <v>0</v>
      </c>
      <c r="AC350" s="204">
        <v>0</v>
      </c>
      <c r="AD350" s="204">
        <v>0</v>
      </c>
      <c r="AE350" s="204">
        <v>0</v>
      </c>
      <c r="AF350" s="204">
        <v>0</v>
      </c>
      <c r="AG350" s="204">
        <v>0</v>
      </c>
      <c r="AH350" s="204"/>
      <c r="AI350" s="204"/>
      <c r="AJ350" s="204"/>
      <c r="AK350" s="204"/>
      <c r="AL350" s="204"/>
      <c r="AM350" s="204"/>
      <c r="AN350" s="73"/>
      <c r="AO350" s="57"/>
      <c r="AP350" s="45"/>
      <c r="AQ350" s="45"/>
      <c r="AR350" s="45"/>
      <c r="AS350" s="437"/>
      <c r="AT350" s="437"/>
    </row>
    <row r="351" spans="1:46" outlineLevel="3" x14ac:dyDescent="0.25">
      <c r="A351" s="45"/>
      <c r="B351" s="54"/>
      <c r="C351" s="87">
        <f t="shared" si="86"/>
        <v>4</v>
      </c>
      <c r="D351" s="73"/>
      <c r="E351" s="70"/>
      <c r="F351" s="70"/>
      <c r="G351" s="73"/>
      <c r="H351" s="76" t="s">
        <v>376</v>
      </c>
      <c r="I351" s="99">
        <v>0</v>
      </c>
      <c r="J351" s="96" t="str">
        <f t="shared" si="87"/>
        <v>head</v>
      </c>
      <c r="K351" s="199">
        <v>0</v>
      </c>
      <c r="L351" s="204">
        <v>0</v>
      </c>
      <c r="M351" s="201">
        <v>0</v>
      </c>
      <c r="N351" s="201">
        <f>1/(1/200-1/300)</f>
        <v>600</v>
      </c>
      <c r="O351" s="76"/>
      <c r="P351" s="97">
        <v>0.1</v>
      </c>
      <c r="Q351" s="201">
        <v>0</v>
      </c>
      <c r="R351" s="201">
        <v>0</v>
      </c>
      <c r="S351" s="76"/>
      <c r="T351" s="204">
        <v>0</v>
      </c>
      <c r="U351" s="204">
        <v>0</v>
      </c>
      <c r="V351" s="204">
        <v>0</v>
      </c>
      <c r="W351" s="203">
        <v>1</v>
      </c>
      <c r="X351" s="204">
        <v>0</v>
      </c>
      <c r="Y351" s="204">
        <v>0</v>
      </c>
      <c r="Z351" s="204">
        <v>0</v>
      </c>
      <c r="AA351" s="204">
        <v>0</v>
      </c>
      <c r="AB351" s="204">
        <v>0</v>
      </c>
      <c r="AC351" s="204">
        <v>0</v>
      </c>
      <c r="AD351" s="204">
        <v>0</v>
      </c>
      <c r="AE351" s="204">
        <v>0</v>
      </c>
      <c r="AF351" s="204">
        <v>0</v>
      </c>
      <c r="AG351" s="204">
        <v>0</v>
      </c>
      <c r="AH351" s="204"/>
      <c r="AI351" s="204"/>
      <c r="AJ351" s="204"/>
      <c r="AK351" s="204"/>
      <c r="AL351" s="204"/>
      <c r="AM351" s="204"/>
      <c r="AN351" s="73"/>
      <c r="AO351" s="57"/>
      <c r="AP351" s="45"/>
      <c r="AQ351" s="45"/>
      <c r="AR351" s="45"/>
      <c r="AS351" s="437"/>
      <c r="AT351" s="437"/>
    </row>
    <row r="352" spans="1:46" outlineLevel="3" x14ac:dyDescent="0.25">
      <c r="A352" s="45"/>
      <c r="B352" s="54"/>
      <c r="C352" s="87">
        <f t="shared" si="86"/>
        <v>4</v>
      </c>
      <c r="D352" s="73"/>
      <c r="E352" s="70"/>
      <c r="F352" s="70"/>
      <c r="G352" s="73"/>
      <c r="H352" s="76" t="s">
        <v>377</v>
      </c>
      <c r="I352" s="99">
        <v>0</v>
      </c>
      <c r="J352" s="96" t="str">
        <f t="shared" si="87"/>
        <v>head</v>
      </c>
      <c r="K352" s="199">
        <v>0</v>
      </c>
      <c r="L352" s="204">
        <v>0</v>
      </c>
      <c r="M352" s="201">
        <v>0</v>
      </c>
      <c r="N352" s="201">
        <v>300</v>
      </c>
      <c r="O352" s="76"/>
      <c r="P352" s="97">
        <v>1</v>
      </c>
      <c r="Q352" s="201">
        <v>0</v>
      </c>
      <c r="R352" s="201">
        <v>0</v>
      </c>
      <c r="S352" s="76"/>
      <c r="T352" s="204">
        <v>0</v>
      </c>
      <c r="U352" s="204">
        <v>0</v>
      </c>
      <c r="V352" s="204">
        <v>0</v>
      </c>
      <c r="W352" s="204">
        <v>0</v>
      </c>
      <c r="X352" s="204">
        <v>0</v>
      </c>
      <c r="Y352" s="204">
        <v>0</v>
      </c>
      <c r="Z352" s="204">
        <v>0</v>
      </c>
      <c r="AA352" s="204">
        <v>0</v>
      </c>
      <c r="AB352" s="204">
        <v>0</v>
      </c>
      <c r="AC352" s="204">
        <v>0</v>
      </c>
      <c r="AD352" s="204">
        <v>0</v>
      </c>
      <c r="AE352" s="204">
        <v>0</v>
      </c>
      <c r="AF352" s="204">
        <v>0</v>
      </c>
      <c r="AG352" s="204">
        <v>0</v>
      </c>
      <c r="AH352" s="204"/>
      <c r="AI352" s="204"/>
      <c r="AJ352" s="204"/>
      <c r="AK352" s="204"/>
      <c r="AL352" s="204"/>
      <c r="AM352" s="204"/>
      <c r="AN352" s="73"/>
      <c r="AO352" s="57"/>
      <c r="AP352" s="45"/>
      <c r="AQ352" s="45"/>
      <c r="AR352" s="45"/>
      <c r="AS352" s="437"/>
      <c r="AT352" s="437"/>
    </row>
    <row r="353" spans="1:46" outlineLevel="3" x14ac:dyDescent="0.25">
      <c r="A353" s="45"/>
      <c r="B353" s="54"/>
      <c r="C353" s="87">
        <f t="shared" si="86"/>
        <v>4</v>
      </c>
      <c r="D353" s="73"/>
      <c r="E353" s="70"/>
      <c r="F353" s="70"/>
      <c r="G353" s="73"/>
      <c r="H353" s="76" t="s">
        <v>378</v>
      </c>
      <c r="I353" s="99">
        <v>0</v>
      </c>
      <c r="J353" s="96" t="str">
        <f t="shared" si="87"/>
        <v>head</v>
      </c>
      <c r="K353" s="199">
        <v>0.73</v>
      </c>
      <c r="L353" s="204">
        <v>0</v>
      </c>
      <c r="M353" s="201">
        <v>0</v>
      </c>
      <c r="N353" s="201">
        <f>3000/(8*2)</f>
        <v>187.5</v>
      </c>
      <c r="O353" s="76"/>
      <c r="P353" s="97">
        <v>1</v>
      </c>
      <c r="Q353" s="201">
        <v>0</v>
      </c>
      <c r="R353" s="201">
        <v>0</v>
      </c>
      <c r="S353" s="76"/>
      <c r="T353" s="204">
        <v>0</v>
      </c>
      <c r="U353" s="204">
        <v>0</v>
      </c>
      <c r="V353" s="204">
        <v>0</v>
      </c>
      <c r="W353" s="204">
        <v>0</v>
      </c>
      <c r="X353" s="204">
        <v>0</v>
      </c>
      <c r="Y353" s="204">
        <v>0</v>
      </c>
      <c r="Z353" s="204">
        <v>0</v>
      </c>
      <c r="AA353" s="204">
        <v>0</v>
      </c>
      <c r="AB353" s="204">
        <v>0</v>
      </c>
      <c r="AC353" s="204">
        <v>0</v>
      </c>
      <c r="AD353" s="204">
        <v>0</v>
      </c>
      <c r="AE353" s="204">
        <v>0</v>
      </c>
      <c r="AF353" s="204">
        <v>0</v>
      </c>
      <c r="AG353" s="204">
        <v>0</v>
      </c>
      <c r="AH353" s="204"/>
      <c r="AI353" s="204"/>
      <c r="AJ353" s="204"/>
      <c r="AK353" s="204"/>
      <c r="AL353" s="204"/>
      <c r="AM353" s="204"/>
      <c r="AN353" s="73"/>
      <c r="AO353" s="57"/>
      <c r="AP353" s="45"/>
      <c r="AQ353" s="45"/>
      <c r="AR353" s="45"/>
      <c r="AS353" s="437"/>
      <c r="AT353" s="437"/>
    </row>
    <row r="354" spans="1:46" outlineLevel="3" x14ac:dyDescent="0.25">
      <c r="A354" s="45"/>
      <c r="B354" s="54"/>
      <c r="C354" s="87">
        <f t="shared" si="86"/>
        <v>4</v>
      </c>
      <c r="D354" s="73"/>
      <c r="E354" s="70"/>
      <c r="F354" s="70"/>
      <c r="G354" s="73"/>
      <c r="H354" s="76" t="s">
        <v>379</v>
      </c>
      <c r="I354" s="99">
        <v>0</v>
      </c>
      <c r="J354" s="96" t="str">
        <f t="shared" si="87"/>
        <v>head</v>
      </c>
      <c r="K354" s="199">
        <v>0.98</v>
      </c>
      <c r="L354" s="204">
        <v>0</v>
      </c>
      <c r="M354" s="201">
        <v>0</v>
      </c>
      <c r="N354" s="201">
        <f>2000/(8*2)</f>
        <v>125</v>
      </c>
      <c r="O354" s="76"/>
      <c r="P354" s="97">
        <v>1</v>
      </c>
      <c r="Q354" s="201">
        <v>0</v>
      </c>
      <c r="R354" s="201">
        <v>0</v>
      </c>
      <c r="S354" s="76"/>
      <c r="T354" s="204">
        <v>0</v>
      </c>
      <c r="U354" s="204">
        <v>0</v>
      </c>
      <c r="V354" s="204">
        <v>0</v>
      </c>
      <c r="W354" s="204">
        <v>0</v>
      </c>
      <c r="X354" s="204">
        <v>0</v>
      </c>
      <c r="Y354" s="204">
        <v>0</v>
      </c>
      <c r="Z354" s="204">
        <v>0</v>
      </c>
      <c r="AA354" s="204">
        <v>0</v>
      </c>
      <c r="AB354" s="204">
        <v>0</v>
      </c>
      <c r="AC354" s="204">
        <v>0</v>
      </c>
      <c r="AD354" s="204">
        <v>0</v>
      </c>
      <c r="AE354" s="204">
        <v>0</v>
      </c>
      <c r="AF354" s="204">
        <v>0</v>
      </c>
      <c r="AG354" s="204">
        <v>0</v>
      </c>
      <c r="AH354" s="204"/>
      <c r="AI354" s="204"/>
      <c r="AJ354" s="204"/>
      <c r="AK354" s="204"/>
      <c r="AL354" s="204"/>
      <c r="AM354" s="204"/>
      <c r="AN354" s="73"/>
      <c r="AO354" s="57"/>
      <c r="AP354" s="45"/>
      <c r="AQ354" s="45"/>
      <c r="AR354" s="45"/>
      <c r="AS354" s="437"/>
      <c r="AT354" s="437"/>
    </row>
    <row r="355" spans="1:46" outlineLevel="3" x14ac:dyDescent="0.25">
      <c r="A355" s="45"/>
      <c r="B355" s="54"/>
      <c r="C355" s="87">
        <f t="shared" si="86"/>
        <v>4</v>
      </c>
      <c r="D355" s="73"/>
      <c r="E355" s="70"/>
      <c r="F355" s="70"/>
      <c r="G355" s="73"/>
      <c r="H355" s="76" t="s">
        <v>380</v>
      </c>
      <c r="I355" s="99">
        <v>0</v>
      </c>
      <c r="J355" s="96" t="str">
        <f t="shared" si="87"/>
        <v>head</v>
      </c>
      <c r="K355" s="199">
        <v>1.21</v>
      </c>
      <c r="L355" s="204">
        <v>0</v>
      </c>
      <c r="M355" s="201">
        <v>0</v>
      </c>
      <c r="N355" s="201">
        <f>1500/(8*2.5)</f>
        <v>75</v>
      </c>
      <c r="O355" s="76"/>
      <c r="P355" s="97">
        <v>1</v>
      </c>
      <c r="Q355" s="201">
        <v>0</v>
      </c>
      <c r="R355" s="201">
        <v>0</v>
      </c>
      <c r="S355" s="76"/>
      <c r="T355" s="204">
        <v>0</v>
      </c>
      <c r="U355" s="204">
        <v>0</v>
      </c>
      <c r="V355" s="204">
        <v>0</v>
      </c>
      <c r="W355" s="204">
        <v>0</v>
      </c>
      <c r="X355" s="204">
        <v>0</v>
      </c>
      <c r="Y355" s="204">
        <v>0</v>
      </c>
      <c r="Z355" s="204">
        <v>0</v>
      </c>
      <c r="AA355" s="204">
        <v>0</v>
      </c>
      <c r="AB355" s="204">
        <v>0</v>
      </c>
      <c r="AC355" s="204">
        <v>0</v>
      </c>
      <c r="AD355" s="204">
        <v>0</v>
      </c>
      <c r="AE355" s="204">
        <v>0</v>
      </c>
      <c r="AF355" s="204">
        <v>0</v>
      </c>
      <c r="AG355" s="204">
        <v>0</v>
      </c>
      <c r="AH355" s="204"/>
      <c r="AI355" s="204"/>
      <c r="AJ355" s="204"/>
      <c r="AK355" s="204"/>
      <c r="AL355" s="204"/>
      <c r="AM355" s="204"/>
      <c r="AN355" s="73"/>
      <c r="AO355" s="57"/>
      <c r="AP355" s="45"/>
      <c r="AQ355" s="45"/>
      <c r="AR355" s="45"/>
      <c r="AS355" s="437"/>
      <c r="AT355" s="437"/>
    </row>
    <row r="356" spans="1:46" outlineLevel="3" x14ac:dyDescent="0.25">
      <c r="A356" s="45"/>
      <c r="B356" s="54"/>
      <c r="C356" s="87">
        <f t="shared" si="86"/>
        <v>4</v>
      </c>
      <c r="D356" s="73"/>
      <c r="E356" s="70"/>
      <c r="F356" s="70"/>
      <c r="G356" s="73"/>
      <c r="H356" s="76" t="s">
        <v>381</v>
      </c>
      <c r="I356" s="99">
        <v>0</v>
      </c>
      <c r="J356" s="96" t="str">
        <f t="shared" si="87"/>
        <v>head</v>
      </c>
      <c r="K356" s="199">
        <v>1.41</v>
      </c>
      <c r="L356" s="204">
        <v>0</v>
      </c>
      <c r="M356" s="201">
        <v>0</v>
      </c>
      <c r="N356" s="201">
        <f>N355</f>
        <v>75</v>
      </c>
      <c r="O356" s="76"/>
      <c r="P356" s="97">
        <v>1</v>
      </c>
      <c r="Q356" s="201">
        <v>0</v>
      </c>
      <c r="R356" s="201">
        <v>0</v>
      </c>
      <c r="S356" s="76"/>
      <c r="T356" s="204">
        <v>0</v>
      </c>
      <c r="U356" s="204">
        <v>0</v>
      </c>
      <c r="V356" s="204">
        <v>0</v>
      </c>
      <c r="W356" s="204">
        <v>0</v>
      </c>
      <c r="X356" s="204">
        <v>0</v>
      </c>
      <c r="Y356" s="204">
        <v>0</v>
      </c>
      <c r="Z356" s="204">
        <v>0</v>
      </c>
      <c r="AA356" s="204">
        <v>0</v>
      </c>
      <c r="AB356" s="204">
        <v>0</v>
      </c>
      <c r="AC356" s="204">
        <v>0</v>
      </c>
      <c r="AD356" s="204">
        <v>0</v>
      </c>
      <c r="AE356" s="204">
        <v>0</v>
      </c>
      <c r="AF356" s="204">
        <v>0</v>
      </c>
      <c r="AG356" s="204">
        <v>0</v>
      </c>
      <c r="AH356" s="204"/>
      <c r="AI356" s="204"/>
      <c r="AJ356" s="204"/>
      <c r="AK356" s="204"/>
      <c r="AL356" s="204"/>
      <c r="AM356" s="204"/>
      <c r="AN356" s="73"/>
      <c r="AO356" s="57"/>
      <c r="AP356" s="45"/>
      <c r="AQ356" s="45"/>
      <c r="AR356" s="45"/>
      <c r="AS356" s="437"/>
      <c r="AT356" s="437"/>
    </row>
    <row r="357" spans="1:46" outlineLevel="3" x14ac:dyDescent="0.25">
      <c r="A357" s="45"/>
      <c r="B357" s="54"/>
      <c r="C357" s="87">
        <f t="shared" si="86"/>
        <v>4</v>
      </c>
      <c r="D357" s="73"/>
      <c r="E357" s="70"/>
      <c r="F357" s="70"/>
      <c r="G357" s="73"/>
      <c r="H357" s="76" t="s">
        <v>382</v>
      </c>
      <c r="I357" s="99">
        <v>0</v>
      </c>
      <c r="J357" s="96" t="str">
        <f t="shared" si="87"/>
        <v>head</v>
      </c>
      <c r="K357" s="199">
        <v>0</v>
      </c>
      <c r="L357" s="204">
        <v>0</v>
      </c>
      <c r="M357" s="201">
        <v>0</v>
      </c>
      <c r="N357" s="201">
        <v>400</v>
      </c>
      <c r="O357" s="76"/>
      <c r="P357" s="97">
        <v>0.05</v>
      </c>
      <c r="Q357" s="201">
        <v>0</v>
      </c>
      <c r="R357" s="201">
        <v>0</v>
      </c>
      <c r="S357" s="76"/>
      <c r="T357" s="204">
        <v>0</v>
      </c>
      <c r="U357" s="204">
        <v>0</v>
      </c>
      <c r="V357" s="204">
        <v>0</v>
      </c>
      <c r="W357" s="204">
        <v>0</v>
      </c>
      <c r="X357" s="204">
        <v>0</v>
      </c>
      <c r="Y357" s="204">
        <v>0</v>
      </c>
      <c r="Z357" s="204">
        <v>0</v>
      </c>
      <c r="AA357" s="204">
        <v>0</v>
      </c>
      <c r="AB357" s="204">
        <v>0</v>
      </c>
      <c r="AC357" s="204">
        <v>0</v>
      </c>
      <c r="AD357" s="204">
        <v>0</v>
      </c>
      <c r="AE357" s="204">
        <v>0</v>
      </c>
      <c r="AF357" s="204">
        <v>0</v>
      </c>
      <c r="AG357" s="204">
        <v>0</v>
      </c>
      <c r="AH357" s="204"/>
      <c r="AI357" s="204"/>
      <c r="AJ357" s="204"/>
      <c r="AK357" s="204"/>
      <c r="AL357" s="204"/>
      <c r="AM357" s="204"/>
      <c r="AN357" s="73"/>
      <c r="AO357" s="57"/>
      <c r="AP357" s="45"/>
      <c r="AQ357" s="45"/>
      <c r="AR357" s="45"/>
      <c r="AS357" s="437"/>
      <c r="AT357" s="437"/>
    </row>
    <row r="358" spans="1:46" outlineLevel="3" x14ac:dyDescent="0.25">
      <c r="A358" s="45"/>
      <c r="B358" s="54"/>
      <c r="C358" s="87">
        <f t="shared" si="86"/>
        <v>4</v>
      </c>
      <c r="D358" s="73"/>
      <c r="E358" s="70"/>
      <c r="F358" s="70"/>
      <c r="G358" s="73"/>
      <c r="H358" s="76" t="s">
        <v>383</v>
      </c>
      <c r="I358" s="99">
        <v>5</v>
      </c>
      <c r="J358" s="96" t="str">
        <f t="shared" si="87"/>
        <v>nyatf</v>
      </c>
      <c r="K358" s="199">
        <v>2.5</v>
      </c>
      <c r="L358" s="204">
        <v>0</v>
      </c>
      <c r="M358" s="201">
        <v>0</v>
      </c>
      <c r="N358" s="201">
        <v>225</v>
      </c>
      <c r="O358" s="76"/>
      <c r="P358" s="97">
        <v>1.95</v>
      </c>
      <c r="Q358" s="201">
        <v>0</v>
      </c>
      <c r="R358" s="201">
        <v>0</v>
      </c>
      <c r="S358" s="76"/>
      <c r="T358" s="203">
        <v>0</v>
      </c>
      <c r="U358" s="203">
        <v>0</v>
      </c>
      <c r="V358" s="204">
        <v>0</v>
      </c>
      <c r="W358" s="204">
        <v>0</v>
      </c>
      <c r="X358" s="203">
        <v>1</v>
      </c>
      <c r="Y358" s="203">
        <v>1</v>
      </c>
      <c r="Z358" s="203">
        <v>1</v>
      </c>
      <c r="AA358" s="203">
        <v>1.5</v>
      </c>
      <c r="AB358" s="203">
        <v>0.5</v>
      </c>
      <c r="AC358" s="204">
        <v>0</v>
      </c>
      <c r="AD358" s="204">
        <v>0</v>
      </c>
      <c r="AE358" s="204">
        <v>0</v>
      </c>
      <c r="AF358" s="204">
        <v>0</v>
      </c>
      <c r="AG358" s="204">
        <v>0</v>
      </c>
      <c r="AH358" s="204"/>
      <c r="AI358" s="204"/>
      <c r="AJ358" s="204"/>
      <c r="AK358" s="204"/>
      <c r="AL358" s="204"/>
      <c r="AM358" s="204"/>
      <c r="AN358" s="73"/>
      <c r="AO358" s="57"/>
      <c r="AP358" s="45"/>
      <c r="AQ358" s="45"/>
      <c r="AR358" s="45"/>
      <c r="AS358" s="437"/>
      <c r="AT358" s="437"/>
    </row>
    <row r="359" spans="1:46" outlineLevel="3" x14ac:dyDescent="0.25">
      <c r="A359" s="45"/>
      <c r="B359" s="54"/>
      <c r="C359" s="87">
        <f t="shared" si="86"/>
        <v>4</v>
      </c>
      <c r="D359" s="73"/>
      <c r="E359" s="70"/>
      <c r="F359" s="70"/>
      <c r="G359" s="73"/>
      <c r="H359" s="76" t="s">
        <v>384</v>
      </c>
      <c r="I359" s="99">
        <v>5</v>
      </c>
      <c r="J359" s="96" t="str">
        <f t="shared" si="87"/>
        <v>nyatf</v>
      </c>
      <c r="K359" s="199">
        <v>1.1000000000000001</v>
      </c>
      <c r="L359" s="204">
        <v>0</v>
      </c>
      <c r="M359" s="201">
        <v>0</v>
      </c>
      <c r="N359" s="201">
        <f>1/(1/150-1/225)</f>
        <v>449.99999999999989</v>
      </c>
      <c r="O359" s="76"/>
      <c r="P359" s="97">
        <v>0</v>
      </c>
      <c r="Q359" s="201">
        <v>0</v>
      </c>
      <c r="R359" s="201">
        <v>0</v>
      </c>
      <c r="S359" s="76"/>
      <c r="T359" s="204">
        <v>0</v>
      </c>
      <c r="U359" s="204">
        <v>0</v>
      </c>
      <c r="V359" s="204">
        <v>0</v>
      </c>
      <c r="W359" s="204">
        <v>0</v>
      </c>
      <c r="X359" s="204">
        <v>0</v>
      </c>
      <c r="Y359" s="204">
        <v>0</v>
      </c>
      <c r="Z359" s="204">
        <v>0</v>
      </c>
      <c r="AA359" s="204">
        <v>0</v>
      </c>
      <c r="AB359" s="203">
        <v>0.5</v>
      </c>
      <c r="AC359" s="204">
        <v>0</v>
      </c>
      <c r="AD359" s="204">
        <v>0</v>
      </c>
      <c r="AE359" s="204">
        <v>0</v>
      </c>
      <c r="AF359" s="204">
        <v>0</v>
      </c>
      <c r="AG359" s="204">
        <v>0</v>
      </c>
      <c r="AH359" s="204"/>
      <c r="AI359" s="204"/>
      <c r="AJ359" s="204"/>
      <c r="AK359" s="204"/>
      <c r="AL359" s="204"/>
      <c r="AM359" s="204"/>
      <c r="AN359" s="73"/>
      <c r="AO359" s="57"/>
      <c r="AP359" s="45"/>
      <c r="AQ359" s="45"/>
      <c r="AR359" s="45"/>
      <c r="AS359" s="437"/>
      <c r="AT359" s="437"/>
    </row>
    <row r="360" spans="1:46" outlineLevel="3" x14ac:dyDescent="0.25">
      <c r="A360" s="45"/>
      <c r="B360" s="54"/>
      <c r="C360" s="87">
        <f t="shared" si="86"/>
        <v>4</v>
      </c>
      <c r="D360" s="73"/>
      <c r="E360" s="70"/>
      <c r="F360" s="70"/>
      <c r="G360" s="73"/>
      <c r="H360" s="76" t="s">
        <v>385</v>
      </c>
      <c r="I360" s="99">
        <v>0</v>
      </c>
      <c r="J360" s="96" t="str">
        <f t="shared" si="87"/>
        <v>head</v>
      </c>
      <c r="K360" s="199">
        <v>0</v>
      </c>
      <c r="L360" s="204">
        <v>0</v>
      </c>
      <c r="M360" s="201">
        <v>0</v>
      </c>
      <c r="N360" s="201">
        <v>500</v>
      </c>
      <c r="O360" s="76"/>
      <c r="P360" s="97">
        <v>0.55000000000000004</v>
      </c>
      <c r="Q360" s="201">
        <v>0</v>
      </c>
      <c r="R360" s="201">
        <v>0</v>
      </c>
      <c r="S360" s="76"/>
      <c r="T360" s="204">
        <v>0</v>
      </c>
      <c r="U360" s="204">
        <v>0</v>
      </c>
      <c r="V360" s="204">
        <v>0</v>
      </c>
      <c r="W360" s="204">
        <v>0</v>
      </c>
      <c r="X360" s="204">
        <v>0</v>
      </c>
      <c r="Y360" s="204">
        <v>0</v>
      </c>
      <c r="Z360" s="204">
        <v>0</v>
      </c>
      <c r="AA360" s="204">
        <v>0</v>
      </c>
      <c r="AB360" s="204">
        <v>0</v>
      </c>
      <c r="AC360" s="204">
        <v>0</v>
      </c>
      <c r="AD360" s="204">
        <v>0</v>
      </c>
      <c r="AE360" s="204">
        <v>0</v>
      </c>
      <c r="AF360" s="204">
        <v>0</v>
      </c>
      <c r="AG360" s="204">
        <v>0</v>
      </c>
      <c r="AH360" s="204"/>
      <c r="AI360" s="204"/>
      <c r="AJ360" s="204"/>
      <c r="AK360" s="204"/>
      <c r="AL360" s="204"/>
      <c r="AM360" s="204"/>
      <c r="AN360" s="73"/>
      <c r="AO360" s="57"/>
      <c r="AP360" s="45"/>
      <c r="AQ360" s="45"/>
      <c r="AR360" s="45"/>
      <c r="AS360" s="437"/>
      <c r="AT360" s="437"/>
    </row>
    <row r="361" spans="1:46" outlineLevel="3" x14ac:dyDescent="0.25">
      <c r="A361" s="45"/>
      <c r="B361" s="54"/>
      <c r="C361" s="87">
        <f t="shared" si="86"/>
        <v>4</v>
      </c>
      <c r="D361" s="73"/>
      <c r="E361" s="70"/>
      <c r="F361" s="70"/>
      <c r="G361" s="73"/>
      <c r="H361" s="76" t="s">
        <v>386</v>
      </c>
      <c r="I361" s="99">
        <v>0</v>
      </c>
      <c r="J361" s="96" t="str">
        <f t="shared" si="87"/>
        <v>head</v>
      </c>
      <c r="K361" s="199">
        <v>0</v>
      </c>
      <c r="L361" s="204">
        <v>0</v>
      </c>
      <c r="M361" s="201">
        <v>0</v>
      </c>
      <c r="N361" s="201">
        <v>150</v>
      </c>
      <c r="O361" s="76"/>
      <c r="P361" s="97">
        <v>0.55000000000000004</v>
      </c>
      <c r="Q361" s="201">
        <v>0</v>
      </c>
      <c r="R361" s="201">
        <v>0</v>
      </c>
      <c r="S361" s="76"/>
      <c r="T361" s="203">
        <v>1</v>
      </c>
      <c r="U361" s="203">
        <v>0</v>
      </c>
      <c r="V361" s="204">
        <v>0</v>
      </c>
      <c r="W361" s="204">
        <v>0</v>
      </c>
      <c r="X361" s="203">
        <v>1</v>
      </c>
      <c r="Y361" s="203">
        <v>0</v>
      </c>
      <c r="Z361" s="203">
        <v>0</v>
      </c>
      <c r="AA361" s="204">
        <v>0</v>
      </c>
      <c r="AB361" s="204">
        <v>0</v>
      </c>
      <c r="AC361" s="204">
        <v>0</v>
      </c>
      <c r="AD361" s="204">
        <v>0</v>
      </c>
      <c r="AE361" s="204">
        <v>0</v>
      </c>
      <c r="AF361" s="204">
        <v>0</v>
      </c>
      <c r="AG361" s="204">
        <v>0</v>
      </c>
      <c r="AH361" s="204"/>
      <c r="AI361" s="204"/>
      <c r="AJ361" s="204"/>
      <c r="AK361" s="204"/>
      <c r="AL361" s="204"/>
      <c r="AM361" s="204"/>
      <c r="AN361" s="73"/>
      <c r="AO361" s="57"/>
      <c r="AP361" s="45"/>
      <c r="AQ361" s="45"/>
      <c r="AR361" s="45"/>
      <c r="AS361" s="437"/>
      <c r="AT361" s="437"/>
    </row>
    <row r="362" spans="1:46" outlineLevel="3" x14ac:dyDescent="0.25">
      <c r="A362" s="45"/>
      <c r="B362" s="54"/>
      <c r="C362" s="87">
        <f t="shared" si="86"/>
        <v>4</v>
      </c>
      <c r="D362" s="73"/>
      <c r="E362" s="70"/>
      <c r="F362" s="70"/>
      <c r="G362" s="73"/>
      <c r="H362" s="76" t="s">
        <v>387</v>
      </c>
      <c r="I362" s="99">
        <v>0</v>
      </c>
      <c r="J362" s="96" t="str">
        <f t="shared" si="87"/>
        <v>head</v>
      </c>
      <c r="K362" s="199">
        <v>0</v>
      </c>
      <c r="L362" s="204">
        <v>0</v>
      </c>
      <c r="M362" s="201">
        <v>300</v>
      </c>
      <c r="N362" s="201">
        <v>0</v>
      </c>
      <c r="O362" s="76"/>
      <c r="P362" s="97">
        <v>0.55000000000000004</v>
      </c>
      <c r="Q362" s="201">
        <v>0</v>
      </c>
      <c r="R362" s="201">
        <v>0</v>
      </c>
      <c r="S362" s="76"/>
      <c r="T362" s="204">
        <v>0</v>
      </c>
      <c r="U362" s="204">
        <v>0</v>
      </c>
      <c r="V362" s="204">
        <v>0</v>
      </c>
      <c r="W362" s="204">
        <v>0</v>
      </c>
      <c r="X362" s="204">
        <v>0</v>
      </c>
      <c r="Y362" s="204">
        <v>0</v>
      </c>
      <c r="Z362" s="204">
        <v>0</v>
      </c>
      <c r="AA362" s="204">
        <v>0</v>
      </c>
      <c r="AB362" s="204">
        <v>0</v>
      </c>
      <c r="AC362" s="204">
        <v>0</v>
      </c>
      <c r="AD362" s="204">
        <v>0</v>
      </c>
      <c r="AE362" s="204">
        <v>0</v>
      </c>
      <c r="AF362" s="204">
        <v>0</v>
      </c>
      <c r="AG362" s="204">
        <v>0</v>
      </c>
      <c r="AH362" s="204"/>
      <c r="AI362" s="204"/>
      <c r="AJ362" s="204"/>
      <c r="AK362" s="204"/>
      <c r="AL362" s="204"/>
      <c r="AM362" s="204"/>
      <c r="AN362" s="73"/>
      <c r="AO362" s="57"/>
      <c r="AP362" s="45"/>
      <c r="AQ362" s="45"/>
      <c r="AR362" s="45"/>
      <c r="AS362" s="437"/>
      <c r="AT362" s="437"/>
    </row>
    <row r="363" spans="1:46" outlineLevel="3" x14ac:dyDescent="0.25">
      <c r="A363" s="45"/>
      <c r="B363" s="54"/>
      <c r="C363" s="87">
        <f t="shared" si="86"/>
        <v>4</v>
      </c>
      <c r="D363" s="73"/>
      <c r="E363" s="70"/>
      <c r="F363" s="70"/>
      <c r="G363" s="73"/>
      <c r="H363" s="76" t="s">
        <v>388</v>
      </c>
      <c r="I363" s="99">
        <v>1</v>
      </c>
      <c r="J363" s="96" t="str">
        <f t="shared" si="87"/>
        <v>adj head</v>
      </c>
      <c r="K363" s="199">
        <v>2</v>
      </c>
      <c r="L363" s="204">
        <v>0</v>
      </c>
      <c r="M363" s="201">
        <v>0</v>
      </c>
      <c r="N363" s="201">
        <v>800</v>
      </c>
      <c r="O363" s="76"/>
      <c r="P363" s="97">
        <v>0.1</v>
      </c>
      <c r="Q363" s="201">
        <v>0</v>
      </c>
      <c r="R363" s="201">
        <v>0</v>
      </c>
      <c r="S363" s="76"/>
      <c r="T363" s="204">
        <v>0</v>
      </c>
      <c r="U363" s="204">
        <v>0</v>
      </c>
      <c r="V363" s="204">
        <v>0</v>
      </c>
      <c r="W363" s="204">
        <v>0</v>
      </c>
      <c r="X363" s="204">
        <v>0</v>
      </c>
      <c r="Y363" s="204">
        <v>0</v>
      </c>
      <c r="Z363" s="204">
        <v>0</v>
      </c>
      <c r="AA363" s="204">
        <v>0</v>
      </c>
      <c r="AB363" s="204">
        <v>0</v>
      </c>
      <c r="AC363" s="204">
        <v>0</v>
      </c>
      <c r="AD363" s="204">
        <v>0</v>
      </c>
      <c r="AE363" s="204">
        <v>0</v>
      </c>
      <c r="AF363" s="204">
        <v>0</v>
      </c>
      <c r="AG363" s="204">
        <v>0</v>
      </c>
      <c r="AH363" s="204"/>
      <c r="AI363" s="204"/>
      <c r="AJ363" s="204"/>
      <c r="AK363" s="204"/>
      <c r="AL363" s="204"/>
      <c r="AM363" s="204"/>
      <c r="AN363" s="73"/>
      <c r="AO363" s="57"/>
      <c r="AP363" s="45"/>
      <c r="AQ363" s="45"/>
      <c r="AR363" s="45"/>
      <c r="AS363" s="437"/>
      <c r="AT363" s="437"/>
    </row>
    <row r="364" spans="1:46" outlineLevel="3" x14ac:dyDescent="0.25">
      <c r="A364" s="45"/>
      <c r="B364" s="54"/>
      <c r="C364" s="87">
        <f t="shared" si="86"/>
        <v>4</v>
      </c>
      <c r="D364" s="73"/>
      <c r="E364" s="70"/>
      <c r="F364" s="70"/>
      <c r="G364" s="73"/>
      <c r="H364" s="76" t="s">
        <v>389</v>
      </c>
      <c r="I364" s="99">
        <v>1</v>
      </c>
      <c r="J364" s="96" t="str">
        <f t="shared" si="87"/>
        <v>adj head</v>
      </c>
      <c r="K364" s="199">
        <v>2</v>
      </c>
      <c r="L364" s="204">
        <v>0</v>
      </c>
      <c r="M364" s="201">
        <v>0</v>
      </c>
      <c r="N364" s="201">
        <v>800</v>
      </c>
      <c r="O364" s="76"/>
      <c r="P364" s="97">
        <v>0.05</v>
      </c>
      <c r="Q364" s="201">
        <v>0</v>
      </c>
      <c r="R364" s="201">
        <v>0</v>
      </c>
      <c r="S364" s="76"/>
      <c r="T364" s="204">
        <v>0</v>
      </c>
      <c r="U364" s="204">
        <v>0</v>
      </c>
      <c r="V364" s="204">
        <v>0</v>
      </c>
      <c r="W364" s="204">
        <v>0</v>
      </c>
      <c r="X364" s="204">
        <v>0</v>
      </c>
      <c r="Y364" s="204">
        <v>0</v>
      </c>
      <c r="Z364" s="204">
        <v>0</v>
      </c>
      <c r="AA364" s="204">
        <v>0</v>
      </c>
      <c r="AB364" s="204">
        <v>0</v>
      </c>
      <c r="AC364" s="204">
        <v>0</v>
      </c>
      <c r="AD364" s="204">
        <v>0</v>
      </c>
      <c r="AE364" s="204">
        <v>0</v>
      </c>
      <c r="AF364" s="204">
        <v>0</v>
      </c>
      <c r="AG364" s="204">
        <v>0</v>
      </c>
      <c r="AH364" s="204"/>
      <c r="AI364" s="204"/>
      <c r="AJ364" s="204"/>
      <c r="AK364" s="204"/>
      <c r="AL364" s="204"/>
      <c r="AM364" s="204"/>
      <c r="AN364" s="73"/>
      <c r="AO364" s="57"/>
      <c r="AP364" s="45"/>
      <c r="AQ364" s="45"/>
      <c r="AR364" s="45"/>
      <c r="AS364" s="437"/>
      <c r="AT364" s="437"/>
    </row>
    <row r="365" spans="1:46" outlineLevel="3" x14ac:dyDescent="0.25">
      <c r="A365" s="45"/>
      <c r="B365" s="54"/>
      <c r="C365" s="87">
        <f t="shared" si="86"/>
        <v>4</v>
      </c>
      <c r="D365" s="73"/>
      <c r="E365" s="70"/>
      <c r="F365" s="70"/>
      <c r="G365" s="73"/>
      <c r="H365" s="76" t="s">
        <v>390</v>
      </c>
      <c r="I365" s="99">
        <v>0</v>
      </c>
      <c r="J365" s="96" t="str">
        <f t="shared" si="87"/>
        <v>head</v>
      </c>
      <c r="K365" s="199">
        <v>0</v>
      </c>
      <c r="L365" s="204">
        <v>0</v>
      </c>
      <c r="M365" s="201">
        <v>0</v>
      </c>
      <c r="N365" s="201">
        <v>500</v>
      </c>
      <c r="O365" s="76"/>
      <c r="P365" s="97">
        <v>0.1</v>
      </c>
      <c r="Q365" s="201">
        <v>0</v>
      </c>
      <c r="R365" s="201">
        <v>0</v>
      </c>
      <c r="S365" s="76"/>
      <c r="T365" s="204">
        <v>0</v>
      </c>
      <c r="U365" s="204">
        <v>0</v>
      </c>
      <c r="V365" s="204">
        <v>0</v>
      </c>
      <c r="W365" s="204">
        <v>0</v>
      </c>
      <c r="X365" s="204">
        <v>0</v>
      </c>
      <c r="Y365" s="204">
        <v>0</v>
      </c>
      <c r="Z365" s="204">
        <v>0</v>
      </c>
      <c r="AA365" s="204">
        <v>0</v>
      </c>
      <c r="AB365" s="204">
        <v>0</v>
      </c>
      <c r="AC365" s="203">
        <v>1</v>
      </c>
      <c r="AD365" s="204">
        <v>0</v>
      </c>
      <c r="AE365" s="204">
        <v>0</v>
      </c>
      <c r="AF365" s="204">
        <v>0</v>
      </c>
      <c r="AG365" s="204">
        <v>0</v>
      </c>
      <c r="AH365" s="204"/>
      <c r="AI365" s="204"/>
      <c r="AJ365" s="204"/>
      <c r="AK365" s="204"/>
      <c r="AL365" s="204"/>
      <c r="AM365" s="204"/>
      <c r="AN365" s="73"/>
      <c r="AO365" s="57"/>
      <c r="AP365" s="45"/>
      <c r="AQ365" s="45"/>
      <c r="AR365" s="45"/>
      <c r="AS365" s="437"/>
      <c r="AT365" s="437"/>
    </row>
    <row r="366" spans="1:46" outlineLevel="3" x14ac:dyDescent="0.25">
      <c r="A366" s="45"/>
      <c r="B366" s="54"/>
      <c r="C366" s="87">
        <f t="shared" si="86"/>
        <v>4</v>
      </c>
      <c r="D366" s="73"/>
      <c r="E366" s="70"/>
      <c r="F366" s="70"/>
      <c r="G366" s="73"/>
      <c r="H366" s="76" t="s">
        <v>391</v>
      </c>
      <c r="I366" s="99">
        <v>1</v>
      </c>
      <c r="J366" s="96" t="str">
        <f t="shared" si="87"/>
        <v>adj head</v>
      </c>
      <c r="K366" s="199">
        <v>11</v>
      </c>
      <c r="L366" s="204">
        <v>0</v>
      </c>
      <c r="M366" s="201">
        <v>0</v>
      </c>
      <c r="N366" s="201">
        <v>300</v>
      </c>
      <c r="O366" s="76"/>
      <c r="P366" s="97">
        <v>0.55000000000000004</v>
      </c>
      <c r="Q366" s="201">
        <v>0</v>
      </c>
      <c r="R366" s="201">
        <v>1</v>
      </c>
      <c r="S366" s="76"/>
      <c r="T366" s="204">
        <v>0</v>
      </c>
      <c r="U366" s="204">
        <v>0</v>
      </c>
      <c r="V366" s="204">
        <v>0</v>
      </c>
      <c r="W366" s="204">
        <v>0</v>
      </c>
      <c r="X366" s="204">
        <v>0</v>
      </c>
      <c r="Y366" s="204">
        <v>0</v>
      </c>
      <c r="Z366" s="204">
        <v>0</v>
      </c>
      <c r="AA366" s="204">
        <v>0</v>
      </c>
      <c r="AB366" s="204">
        <v>0</v>
      </c>
      <c r="AC366" s="204">
        <v>0</v>
      </c>
      <c r="AD366" s="204">
        <v>0</v>
      </c>
      <c r="AE366" s="204">
        <v>0</v>
      </c>
      <c r="AF366" s="203">
        <v>1</v>
      </c>
      <c r="AG366" s="204">
        <v>0</v>
      </c>
      <c r="AH366" s="204"/>
      <c r="AI366" s="204"/>
      <c r="AJ366" s="204"/>
      <c r="AK366" s="204"/>
      <c r="AL366" s="204"/>
      <c r="AM366" s="204"/>
      <c r="AN366" s="73"/>
      <c r="AO366" s="57"/>
      <c r="AP366" s="45"/>
      <c r="AQ366" s="45"/>
      <c r="AR366" s="45"/>
      <c r="AS366" s="437"/>
      <c r="AT366" s="437"/>
    </row>
    <row r="367" spans="1:46" outlineLevel="3" x14ac:dyDescent="0.25">
      <c r="A367" s="45"/>
      <c r="B367" s="54"/>
      <c r="C367" s="87">
        <f t="shared" si="86"/>
        <v>4</v>
      </c>
      <c r="D367" s="73"/>
      <c r="E367" s="70"/>
      <c r="F367" s="70"/>
      <c r="G367" s="73"/>
      <c r="H367" s="76" t="s">
        <v>392</v>
      </c>
      <c r="I367" s="99">
        <v>0</v>
      </c>
      <c r="J367" s="96" t="str">
        <f t="shared" si="87"/>
        <v>head</v>
      </c>
      <c r="K367" s="199">
        <v>0</v>
      </c>
      <c r="L367" s="204">
        <v>0</v>
      </c>
      <c r="M367" s="201">
        <v>0</v>
      </c>
      <c r="N367" s="201">
        <v>800</v>
      </c>
      <c r="O367" s="76"/>
      <c r="P367" s="97">
        <v>0</v>
      </c>
      <c r="Q367" s="201">
        <v>0</v>
      </c>
      <c r="R367" s="201">
        <v>0</v>
      </c>
      <c r="S367" s="76"/>
      <c r="T367" s="204">
        <v>0</v>
      </c>
      <c r="U367" s="204">
        <v>0</v>
      </c>
      <c r="V367" s="204">
        <v>0</v>
      </c>
      <c r="W367" s="204">
        <v>0</v>
      </c>
      <c r="X367" s="204">
        <v>0</v>
      </c>
      <c r="Y367" s="204">
        <v>0</v>
      </c>
      <c r="Z367" s="204">
        <v>0</v>
      </c>
      <c r="AA367" s="204">
        <v>0</v>
      </c>
      <c r="AB367" s="204">
        <v>0</v>
      </c>
      <c r="AC367" s="204">
        <v>0</v>
      </c>
      <c r="AD367" s="203">
        <v>0.5</v>
      </c>
      <c r="AE367" s="204">
        <v>0</v>
      </c>
      <c r="AF367" s="204">
        <v>0</v>
      </c>
      <c r="AG367" s="204">
        <v>0</v>
      </c>
      <c r="AH367" s="204"/>
      <c r="AI367" s="204"/>
      <c r="AJ367" s="204"/>
      <c r="AK367" s="204"/>
      <c r="AL367" s="204"/>
      <c r="AM367" s="204"/>
      <c r="AN367" s="73"/>
      <c r="AO367" s="57"/>
      <c r="AP367" s="45"/>
      <c r="AQ367" s="45"/>
      <c r="AR367" s="45"/>
      <c r="AS367" s="437"/>
      <c r="AT367" s="437"/>
    </row>
    <row r="368" spans="1:46" outlineLevel="3" x14ac:dyDescent="0.25">
      <c r="A368" s="45"/>
      <c r="B368" s="54"/>
      <c r="C368" s="87">
        <f t="shared" si="86"/>
        <v>4</v>
      </c>
      <c r="D368" s="73"/>
      <c r="E368" s="70"/>
      <c r="F368" s="70"/>
      <c r="G368" s="73"/>
      <c r="H368" s="76" t="s">
        <v>393</v>
      </c>
      <c r="I368" s="99">
        <v>2</v>
      </c>
      <c r="J368" s="96" t="str">
        <f t="shared" si="87"/>
        <v>mob</v>
      </c>
      <c r="K368" s="199">
        <v>0</v>
      </c>
      <c r="L368" s="205">
        <v>0</v>
      </c>
      <c r="M368" s="206">
        <v>4</v>
      </c>
      <c r="N368" s="206">
        <v>0</v>
      </c>
      <c r="O368" s="76"/>
      <c r="P368" s="97">
        <v>0</v>
      </c>
      <c r="Q368" s="206">
        <v>0</v>
      </c>
      <c r="R368" s="206">
        <v>0</v>
      </c>
      <c r="S368" s="76"/>
      <c r="T368" s="204">
        <v>0</v>
      </c>
      <c r="U368" s="204">
        <v>0</v>
      </c>
      <c r="V368" s="204">
        <v>0</v>
      </c>
      <c r="W368" s="204">
        <v>0</v>
      </c>
      <c r="X368" s="204">
        <v>0</v>
      </c>
      <c r="Y368" s="204">
        <v>0</v>
      </c>
      <c r="Z368" s="204">
        <v>0</v>
      </c>
      <c r="AA368" s="204">
        <v>0</v>
      </c>
      <c r="AB368" s="204">
        <v>0</v>
      </c>
      <c r="AC368" s="204">
        <v>0</v>
      </c>
      <c r="AD368" s="204">
        <v>0</v>
      </c>
      <c r="AE368" s="204">
        <v>0</v>
      </c>
      <c r="AF368" s="204">
        <v>0</v>
      </c>
      <c r="AG368" s="203">
        <f>1/SUM($L368:$N368)</f>
        <v>0.25</v>
      </c>
      <c r="AH368" s="203"/>
      <c r="AI368" s="203"/>
      <c r="AJ368" s="203"/>
      <c r="AK368" s="203"/>
      <c r="AL368" s="203"/>
      <c r="AM368" s="203"/>
      <c r="AN368" s="73"/>
      <c r="AO368" s="57"/>
      <c r="AP368" s="45"/>
      <c r="AQ368" s="45"/>
      <c r="AR368" s="45"/>
      <c r="AS368" s="437"/>
      <c r="AT368" s="437"/>
    </row>
    <row r="369" spans="1:46" outlineLevel="3" x14ac:dyDescent="0.25">
      <c r="A369" s="45"/>
      <c r="B369" s="54"/>
      <c r="C369" s="87">
        <f t="shared" si="86"/>
        <v>4</v>
      </c>
      <c r="D369" s="73"/>
      <c r="E369" s="70"/>
      <c r="F369" s="70"/>
      <c r="G369" s="73"/>
      <c r="H369" s="76" t="s">
        <v>2319</v>
      </c>
      <c r="I369" s="99">
        <v>2</v>
      </c>
      <c r="J369" s="96" t="str">
        <f t="shared" si="87"/>
        <v>mob</v>
      </c>
      <c r="K369" s="199">
        <v>0</v>
      </c>
      <c r="L369" s="205">
        <v>0</v>
      </c>
      <c r="M369" s="206">
        <v>0</v>
      </c>
      <c r="N369" s="206">
        <f>8/3</f>
        <v>2.6666666666666665</v>
      </c>
      <c r="O369" s="76"/>
      <c r="P369" s="97">
        <v>0</v>
      </c>
      <c r="Q369" s="206">
        <v>0</v>
      </c>
      <c r="R369" s="206">
        <v>0</v>
      </c>
      <c r="S369" s="76"/>
      <c r="T369" s="204">
        <v>0</v>
      </c>
      <c r="U369" s="204">
        <v>0</v>
      </c>
      <c r="V369" s="204">
        <v>0</v>
      </c>
      <c r="W369" s="204">
        <v>0</v>
      </c>
      <c r="X369" s="204">
        <v>0</v>
      </c>
      <c r="Y369" s="204">
        <v>0</v>
      </c>
      <c r="Z369" s="204">
        <v>0</v>
      </c>
      <c r="AA369" s="204">
        <v>0</v>
      </c>
      <c r="AB369" s="204">
        <v>0</v>
      </c>
      <c r="AC369" s="204">
        <v>0</v>
      </c>
      <c r="AD369" s="204">
        <v>0</v>
      </c>
      <c r="AE369" s="204">
        <v>0</v>
      </c>
      <c r="AF369" s="204">
        <v>0</v>
      </c>
      <c r="AG369" s="203">
        <f>1/SUM($L369:$N369)</f>
        <v>0.375</v>
      </c>
      <c r="AH369" s="203"/>
      <c r="AI369" s="203"/>
      <c r="AJ369" s="203"/>
      <c r="AK369" s="203"/>
      <c r="AL369" s="203"/>
      <c r="AM369" s="203"/>
      <c r="AN369" s="73"/>
      <c r="AO369" s="57"/>
      <c r="AP369" s="45"/>
      <c r="AQ369" s="45"/>
      <c r="AR369" s="45"/>
      <c r="AS369" s="437"/>
      <c r="AT369" s="437"/>
    </row>
    <row r="370" spans="1:46" outlineLevel="3" x14ac:dyDescent="0.25">
      <c r="A370" s="45"/>
      <c r="B370" s="54"/>
      <c r="C370" s="87">
        <f t="shared" si="86"/>
        <v>4</v>
      </c>
      <c r="D370" s="73"/>
      <c r="E370" s="70"/>
      <c r="F370" s="70"/>
      <c r="G370" s="73"/>
      <c r="H370" s="76" t="s">
        <v>2320</v>
      </c>
      <c r="I370" s="99">
        <v>2</v>
      </c>
      <c r="J370" s="96" t="str">
        <f t="shared" si="87"/>
        <v>mob</v>
      </c>
      <c r="K370" s="199">
        <v>0</v>
      </c>
      <c r="L370" s="205">
        <v>0</v>
      </c>
      <c r="M370" s="206">
        <v>8</v>
      </c>
      <c r="N370" s="206">
        <v>0</v>
      </c>
      <c r="O370" s="76"/>
      <c r="P370" s="97">
        <v>0</v>
      </c>
      <c r="Q370" s="206">
        <v>0</v>
      </c>
      <c r="R370" s="206">
        <v>0</v>
      </c>
      <c r="S370" s="76"/>
      <c r="T370" s="208">
        <v>0</v>
      </c>
      <c r="U370" s="208">
        <v>0</v>
      </c>
      <c r="V370" s="208">
        <v>0</v>
      </c>
      <c r="W370" s="208">
        <v>0</v>
      </c>
      <c r="X370" s="208">
        <v>0</v>
      </c>
      <c r="Y370" s="208">
        <v>0</v>
      </c>
      <c r="Z370" s="208">
        <v>0</v>
      </c>
      <c r="AA370" s="208">
        <v>0</v>
      </c>
      <c r="AB370" s="208">
        <v>0</v>
      </c>
      <c r="AC370" s="208">
        <v>0</v>
      </c>
      <c r="AD370" s="208">
        <v>0</v>
      </c>
      <c r="AE370" s="208">
        <v>0</v>
      </c>
      <c r="AF370" s="208">
        <v>0</v>
      </c>
      <c r="AG370" s="203">
        <f>1/SUM($L370:$N370)</f>
        <v>0.125</v>
      </c>
      <c r="AH370" s="203"/>
      <c r="AI370" s="203"/>
      <c r="AJ370" s="203"/>
      <c r="AK370" s="203"/>
      <c r="AL370" s="203"/>
      <c r="AM370" s="203"/>
      <c r="AN370" s="73"/>
      <c r="AO370" s="57"/>
      <c r="AP370" s="45"/>
      <c r="AQ370" s="45"/>
      <c r="AR370" s="45"/>
      <c r="AS370" s="437"/>
      <c r="AT370" s="437"/>
    </row>
    <row r="371" spans="1:46" ht="5.0999999999999996" customHeight="1" outlineLevel="2" x14ac:dyDescent="0.25">
      <c r="A371" s="45"/>
      <c r="B371" s="54"/>
      <c r="C371" s="87">
        <f>INT($C$293)+2.005</f>
        <v>3.0049999999999999</v>
      </c>
      <c r="D371" s="73"/>
      <c r="E371" s="73"/>
      <c r="F371" s="73"/>
      <c r="G371" s="73"/>
      <c r="H371" s="73"/>
      <c r="I371" s="73"/>
      <c r="J371" s="73"/>
      <c r="K371" s="73"/>
      <c r="L371" s="73"/>
      <c r="M371" s="73"/>
      <c r="N371" s="73"/>
      <c r="O371" s="73"/>
      <c r="P371" s="73"/>
      <c r="Q371" s="73"/>
      <c r="R371" s="73"/>
      <c r="S371" s="73"/>
      <c r="T371" s="73"/>
      <c r="U371" s="73"/>
      <c r="V371" s="73"/>
      <c r="W371" s="73"/>
      <c r="X371" s="73"/>
      <c r="Y371" s="73"/>
      <c r="Z371" s="73"/>
      <c r="AA371" s="73"/>
      <c r="AB371" s="73"/>
      <c r="AC371" s="73"/>
      <c r="AD371" s="73"/>
      <c r="AE371" s="73"/>
      <c r="AF371" s="73"/>
      <c r="AG371" s="73"/>
      <c r="AH371" s="73"/>
      <c r="AI371" s="73"/>
      <c r="AJ371" s="73"/>
      <c r="AK371" s="73"/>
      <c r="AL371" s="73"/>
      <c r="AM371" s="73"/>
      <c r="AN371" s="73" t="s">
        <v>136</v>
      </c>
      <c r="AO371" s="57"/>
      <c r="AP371" s="45"/>
      <c r="AQ371" s="45"/>
      <c r="AR371" s="45"/>
      <c r="AS371" s="437"/>
      <c r="AT371" s="437"/>
    </row>
    <row r="372" spans="1:46" outlineLevel="3" x14ac:dyDescent="0.25">
      <c r="A372" s="45"/>
      <c r="B372" s="54"/>
      <c r="C372" s="87">
        <f>INT($C$293+3)</f>
        <v>4</v>
      </c>
      <c r="D372" s="73"/>
      <c r="E372" s="70"/>
      <c r="F372" s="70"/>
      <c r="G372" s="73"/>
      <c r="H372" s="109"/>
      <c r="I372" s="109"/>
      <c r="J372" s="79">
        <f>COUNTA(ia_h8_h4)</f>
        <v>1</v>
      </c>
      <c r="K372" s="109"/>
      <c r="L372" s="109"/>
      <c r="M372" s="109"/>
      <c r="N372" s="109"/>
      <c r="O372" s="109"/>
      <c r="P372" s="109"/>
      <c r="Q372" s="109"/>
      <c r="R372" s="109"/>
      <c r="S372" s="109"/>
      <c r="T372" s="109"/>
      <c r="U372" s="109"/>
      <c r="V372" s="109"/>
      <c r="W372" s="109"/>
      <c r="X372" s="109"/>
      <c r="Y372" s="109"/>
      <c r="Z372" s="109"/>
      <c r="AA372" s="109"/>
      <c r="AB372" s="109"/>
      <c r="AC372" s="109"/>
      <c r="AD372" s="109"/>
      <c r="AE372" s="109"/>
      <c r="AF372" s="109"/>
      <c r="AG372" s="109"/>
      <c r="AH372" s="467"/>
      <c r="AI372" s="467"/>
      <c r="AJ372" s="467"/>
      <c r="AK372" s="467"/>
      <c r="AL372" s="467"/>
      <c r="AM372" s="467"/>
      <c r="AN372" s="73"/>
      <c r="AO372" s="57"/>
      <c r="AP372" s="45"/>
      <c r="AQ372" s="45"/>
      <c r="AR372" s="45"/>
      <c r="AS372" s="437"/>
      <c r="AT372" s="437"/>
    </row>
    <row r="373" spans="1:46" outlineLevel="3" x14ac:dyDescent="0.25">
      <c r="A373" s="45"/>
      <c r="B373" s="54"/>
      <c r="C373" s="87">
        <f>INT($C$293+3)</f>
        <v>4</v>
      </c>
      <c r="D373" s="73"/>
      <c r="E373" s="70"/>
      <c r="F373" s="70"/>
      <c r="G373" s="73"/>
      <c r="H373" s="218" t="s">
        <v>351</v>
      </c>
      <c r="I373" s="269">
        <v>2</v>
      </c>
      <c r="J373" s="209" t="str">
        <f>INDEX($H$306:$H$314,I373+1,1)</f>
        <v>mob</v>
      </c>
      <c r="K373" s="218"/>
      <c r="L373" s="220">
        <v>0</v>
      </c>
      <c r="M373" s="268">
        <v>0</v>
      </c>
      <c r="N373" s="268">
        <f>4/3</f>
        <v>1.3333333333333333</v>
      </c>
      <c r="O373" s="218"/>
      <c r="P373" s="218"/>
      <c r="Q373" s="268">
        <v>1</v>
      </c>
      <c r="R373" s="268">
        <v>0</v>
      </c>
      <c r="S373" s="218"/>
      <c r="T373" s="222">
        <v>0</v>
      </c>
      <c r="U373" s="222">
        <v>0</v>
      </c>
      <c r="V373" s="222">
        <v>0</v>
      </c>
      <c r="W373" s="222">
        <v>0</v>
      </c>
      <c r="X373" s="222">
        <v>0</v>
      </c>
      <c r="Y373" s="222">
        <v>0</v>
      </c>
      <c r="Z373" s="222">
        <v>0</v>
      </c>
      <c r="AA373" s="222">
        <v>0</v>
      </c>
      <c r="AB373" s="222">
        <v>0</v>
      </c>
      <c r="AC373" s="222">
        <v>0</v>
      </c>
      <c r="AD373" s="222">
        <v>0</v>
      </c>
      <c r="AE373" s="222">
        <v>0</v>
      </c>
      <c r="AF373" s="222">
        <v>0</v>
      </c>
      <c r="AG373" s="223">
        <f>1/SUM($L373:$N373)</f>
        <v>0.75</v>
      </c>
      <c r="AH373" s="472"/>
      <c r="AI373" s="472"/>
      <c r="AJ373" s="472"/>
      <c r="AK373" s="472"/>
      <c r="AL373" s="472"/>
      <c r="AM373" s="472"/>
      <c r="AN373" s="73"/>
      <c r="AO373" s="57"/>
      <c r="AP373" s="45"/>
      <c r="AQ373" s="45"/>
      <c r="AR373" s="45"/>
      <c r="AS373" s="437"/>
      <c r="AT373" s="437"/>
    </row>
    <row r="374" spans="1:46" ht="5.0999999999999996" customHeight="1" outlineLevel="2" x14ac:dyDescent="0.25">
      <c r="A374" s="45"/>
      <c r="B374" s="54"/>
      <c r="C374" s="87">
        <f>INT($C$293)+2.005</f>
        <v>3.0049999999999999</v>
      </c>
      <c r="D374" s="73"/>
      <c r="E374" s="73"/>
      <c r="F374" s="73"/>
      <c r="G374" s="73"/>
      <c r="H374" s="73"/>
      <c r="I374" s="73"/>
      <c r="J374" s="73"/>
      <c r="K374" s="73"/>
      <c r="L374" s="73"/>
      <c r="M374" s="73"/>
      <c r="N374" s="73"/>
      <c r="O374" s="73"/>
      <c r="P374" s="73"/>
      <c r="Q374" s="73"/>
      <c r="R374" s="73"/>
      <c r="S374" s="73"/>
      <c r="T374" s="73"/>
      <c r="U374" s="73"/>
      <c r="V374" s="73"/>
      <c r="W374" s="73"/>
      <c r="X374" s="73"/>
      <c r="Y374" s="73"/>
      <c r="Z374" s="73"/>
      <c r="AA374" s="73"/>
      <c r="AB374" s="73"/>
      <c r="AC374" s="73"/>
      <c r="AD374" s="73"/>
      <c r="AE374" s="73"/>
      <c r="AF374" s="73"/>
      <c r="AG374" s="73"/>
      <c r="AH374" s="73"/>
      <c r="AI374" s="73"/>
      <c r="AJ374" s="73"/>
      <c r="AK374" s="73"/>
      <c r="AL374" s="73"/>
      <c r="AM374" s="73"/>
      <c r="AN374" s="73" t="s">
        <v>136</v>
      </c>
      <c r="AO374" s="57"/>
      <c r="AP374" s="45"/>
      <c r="AQ374" s="45"/>
      <c r="AR374" s="45"/>
      <c r="AS374" s="437"/>
      <c r="AT374" s="437"/>
    </row>
    <row r="375" spans="1:46" outlineLevel="3" x14ac:dyDescent="0.25">
      <c r="A375" s="45"/>
      <c r="B375" s="54"/>
      <c r="C375" s="87">
        <f>INT($C$293+3)</f>
        <v>4</v>
      </c>
      <c r="D375" s="73"/>
      <c r="E375" s="70"/>
      <c r="F375" s="70"/>
      <c r="G375" s="73"/>
      <c r="H375" s="210" t="s">
        <v>394</v>
      </c>
      <c r="I375" s="210"/>
      <c r="J375" s="211" t="str">
        <f>INDEX($H$306:$H$314,I375+1,1)</f>
        <v>head</v>
      </c>
      <c r="K375" s="210"/>
      <c r="L375" s="212">
        <v>2</v>
      </c>
      <c r="M375" s="213">
        <v>0</v>
      </c>
      <c r="N375" s="214">
        <v>0</v>
      </c>
      <c r="O375" s="210"/>
      <c r="P375" s="210"/>
      <c r="Q375" s="210"/>
      <c r="R375" s="210"/>
      <c r="S375" s="210"/>
      <c r="T375" s="215">
        <v>0</v>
      </c>
      <c r="U375" s="215">
        <v>0</v>
      </c>
      <c r="V375" s="215">
        <v>0</v>
      </c>
      <c r="W375" s="215">
        <v>0</v>
      </c>
      <c r="X375" s="215">
        <v>0</v>
      </c>
      <c r="Y375" s="215">
        <v>0</v>
      </c>
      <c r="Z375" s="215">
        <v>0</v>
      </c>
      <c r="AA375" s="215">
        <v>0</v>
      </c>
      <c r="AB375" s="215">
        <v>0</v>
      </c>
      <c r="AC375" s="215">
        <v>0</v>
      </c>
      <c r="AD375" s="215">
        <v>0</v>
      </c>
      <c r="AE375" s="215">
        <v>0</v>
      </c>
      <c r="AF375" s="215">
        <v>0</v>
      </c>
      <c r="AG375" s="216">
        <f>1/SUM($L375:$N375)</f>
        <v>0.5</v>
      </c>
      <c r="AH375" s="472"/>
      <c r="AI375" s="472"/>
      <c r="AJ375" s="472"/>
      <c r="AK375" s="472"/>
      <c r="AL375" s="472"/>
      <c r="AM375" s="472"/>
      <c r="AN375" s="73"/>
      <c r="AO375" s="57"/>
      <c r="AP375" s="45"/>
      <c r="AQ375" s="45"/>
      <c r="AR375" s="45"/>
      <c r="AS375" s="437"/>
      <c r="AT375" s="437"/>
    </row>
    <row r="376" spans="1:46" outlineLevel="3" x14ac:dyDescent="0.25">
      <c r="A376" s="45"/>
      <c r="B376" s="54"/>
      <c r="C376" s="87">
        <f>INT($C$293+3)</f>
        <v>4</v>
      </c>
      <c r="D376" s="73"/>
      <c r="E376" s="70"/>
      <c r="F376" s="70"/>
      <c r="G376" s="73"/>
      <c r="H376" s="109" t="s">
        <v>395</v>
      </c>
      <c r="I376" s="109"/>
      <c r="J376" s="96" t="str">
        <f>INDEX($H$306:$H$314,I376+1,1)</f>
        <v>head</v>
      </c>
      <c r="K376" s="109"/>
      <c r="L376" s="206">
        <v>4</v>
      </c>
      <c r="M376" s="217">
        <v>0</v>
      </c>
      <c r="N376" s="205">
        <v>0</v>
      </c>
      <c r="O376" s="109"/>
      <c r="P376" s="109"/>
      <c r="Q376" s="109"/>
      <c r="R376" s="109"/>
      <c r="S376" s="109"/>
      <c r="T376" s="204">
        <v>0</v>
      </c>
      <c r="U376" s="204">
        <v>0</v>
      </c>
      <c r="V376" s="204">
        <v>0</v>
      </c>
      <c r="W376" s="204">
        <v>0</v>
      </c>
      <c r="X376" s="204">
        <v>0</v>
      </c>
      <c r="Y376" s="204">
        <v>0</v>
      </c>
      <c r="Z376" s="204">
        <v>0</v>
      </c>
      <c r="AA376" s="204">
        <v>0</v>
      </c>
      <c r="AB376" s="204">
        <v>0</v>
      </c>
      <c r="AC376" s="204">
        <v>0</v>
      </c>
      <c r="AD376" s="204">
        <v>0</v>
      </c>
      <c r="AE376" s="204">
        <v>0</v>
      </c>
      <c r="AF376" s="204">
        <v>0</v>
      </c>
      <c r="AG376" s="204">
        <v>0</v>
      </c>
      <c r="AH376" s="204"/>
      <c r="AI376" s="204"/>
      <c r="AJ376" s="204"/>
      <c r="AK376" s="204"/>
      <c r="AL376" s="204"/>
      <c r="AM376" s="204"/>
      <c r="AN376" s="73"/>
      <c r="AO376" s="57"/>
      <c r="AP376" s="45"/>
      <c r="AQ376" s="45"/>
      <c r="AR376" s="45"/>
      <c r="AS376" s="437"/>
      <c r="AT376" s="437"/>
    </row>
    <row r="377" spans="1:46" outlineLevel="3" x14ac:dyDescent="0.25">
      <c r="A377" s="45"/>
      <c r="B377" s="54"/>
      <c r="C377" s="87">
        <f>INT($C$293+3)</f>
        <v>4</v>
      </c>
      <c r="D377" s="73"/>
      <c r="E377" s="70"/>
      <c r="F377" s="70"/>
      <c r="G377" s="73"/>
      <c r="H377" s="218" t="s">
        <v>396</v>
      </c>
      <c r="I377" s="218"/>
      <c r="J377" s="219" t="str">
        <f>INDEX($H$306:$H$314,I377+1,1)</f>
        <v>head</v>
      </c>
      <c r="K377" s="218"/>
      <c r="L377" s="220">
        <v>0</v>
      </c>
      <c r="M377" s="221">
        <v>0</v>
      </c>
      <c r="N377" s="207">
        <f>$N$373/(0.5*0.33)</f>
        <v>8.0808080808080796</v>
      </c>
      <c r="O377" s="218"/>
      <c r="P377" s="218"/>
      <c r="Q377" s="218"/>
      <c r="R377" s="218"/>
      <c r="S377" s="218"/>
      <c r="T377" s="222">
        <v>0</v>
      </c>
      <c r="U377" s="222">
        <v>0</v>
      </c>
      <c r="V377" s="222">
        <v>0</v>
      </c>
      <c r="W377" s="222">
        <v>0</v>
      </c>
      <c r="X377" s="222">
        <v>0</v>
      </c>
      <c r="Y377" s="222">
        <v>0</v>
      </c>
      <c r="Z377" s="222">
        <v>0</v>
      </c>
      <c r="AA377" s="222">
        <v>0</v>
      </c>
      <c r="AB377" s="222">
        <v>0</v>
      </c>
      <c r="AC377" s="222">
        <v>0</v>
      </c>
      <c r="AD377" s="222">
        <v>0</v>
      </c>
      <c r="AE377" s="222">
        <v>0</v>
      </c>
      <c r="AF377" s="222">
        <v>0</v>
      </c>
      <c r="AG377" s="223">
        <f>1/SUM($L377:$N377)</f>
        <v>0.12375000000000001</v>
      </c>
      <c r="AH377" s="472"/>
      <c r="AI377" s="472"/>
      <c r="AJ377" s="472"/>
      <c r="AK377" s="472"/>
      <c r="AL377" s="472"/>
      <c r="AM377" s="472"/>
      <c r="AN377" s="73"/>
      <c r="AO377" s="57"/>
      <c r="AP377" s="45"/>
      <c r="AQ377" s="45"/>
      <c r="AR377" s="45"/>
      <c r="AS377" s="437"/>
      <c r="AT377" s="437"/>
    </row>
    <row r="378" spans="1:46" ht="5.0999999999999996" customHeight="1" outlineLevel="2" x14ac:dyDescent="0.25">
      <c r="A378" s="45"/>
      <c r="B378" s="54"/>
      <c r="C378" s="87">
        <f>INT($C$293)+2.005</f>
        <v>3.0049999999999999</v>
      </c>
      <c r="D378" s="73"/>
      <c r="E378" s="73"/>
      <c r="F378" s="73"/>
      <c r="G378" s="73"/>
      <c r="H378" s="73"/>
      <c r="I378" s="73"/>
      <c r="J378" s="73"/>
      <c r="K378" s="73"/>
      <c r="L378" s="73"/>
      <c r="M378" s="73"/>
      <c r="N378" s="73"/>
      <c r="O378" s="73"/>
      <c r="P378" s="73"/>
      <c r="Q378" s="73"/>
      <c r="R378" s="73"/>
      <c r="S378" s="73"/>
      <c r="T378" s="73"/>
      <c r="U378" s="73"/>
      <c r="V378" s="73"/>
      <c r="W378" s="73"/>
      <c r="X378" s="73"/>
      <c r="Y378" s="73"/>
      <c r="Z378" s="73"/>
      <c r="AA378" s="73"/>
      <c r="AB378" s="73"/>
      <c r="AC378" s="73"/>
      <c r="AD378" s="73"/>
      <c r="AE378" s="73"/>
      <c r="AF378" s="73"/>
      <c r="AG378" s="73"/>
      <c r="AH378" s="73"/>
      <c r="AI378" s="73"/>
      <c r="AJ378" s="73"/>
      <c r="AK378" s="73"/>
      <c r="AL378" s="73"/>
      <c r="AM378" s="73"/>
      <c r="AN378" s="73" t="s">
        <v>136</v>
      </c>
      <c r="AO378" s="57"/>
      <c r="AP378" s="45"/>
      <c r="AQ378" s="45"/>
      <c r="AR378" s="45"/>
      <c r="AS378" s="437"/>
      <c r="AT378" s="437"/>
    </row>
    <row r="379" spans="1:46" ht="5.0999999999999996" customHeight="1" outlineLevel="2" x14ac:dyDescent="0.25">
      <c r="A379" s="45"/>
      <c r="B379" s="54"/>
      <c r="C379" s="87">
        <f>INT($C$293)+2.005</f>
        <v>3.0049999999999999</v>
      </c>
      <c r="D379" s="73"/>
      <c r="E379" s="73"/>
      <c r="F379" s="73"/>
      <c r="G379" s="73"/>
      <c r="H379" s="73"/>
      <c r="I379" s="73"/>
      <c r="J379" s="73"/>
      <c r="K379" s="73"/>
      <c r="L379" s="73"/>
      <c r="M379" s="73"/>
      <c r="N379" s="73"/>
      <c r="O379" s="73"/>
      <c r="P379" s="73"/>
      <c r="Q379" s="73"/>
      <c r="R379" s="73"/>
      <c r="S379" s="73"/>
      <c r="T379" s="73"/>
      <c r="U379" s="73"/>
      <c r="V379" s="73"/>
      <c r="W379" s="73"/>
      <c r="X379" s="73"/>
      <c r="Y379" s="73"/>
      <c r="Z379" s="73"/>
      <c r="AA379" s="73"/>
      <c r="AB379" s="73"/>
      <c r="AC379" s="73"/>
      <c r="AD379" s="73"/>
      <c r="AE379" s="73"/>
      <c r="AF379" s="73"/>
      <c r="AG379" s="73"/>
      <c r="AH379" s="73"/>
      <c r="AI379" s="73"/>
      <c r="AJ379" s="73"/>
      <c r="AK379" s="73"/>
      <c r="AL379" s="73"/>
      <c r="AM379" s="73"/>
      <c r="AN379" s="73"/>
      <c r="AO379" s="57"/>
      <c r="AP379" s="45"/>
      <c r="AQ379" s="45"/>
      <c r="AR379" s="45"/>
      <c r="AS379" s="437"/>
      <c r="AT379" s="437"/>
    </row>
    <row r="380" spans="1:46" ht="5.0999999999999996" customHeight="1" outlineLevel="1" x14ac:dyDescent="0.25">
      <c r="A380" s="45"/>
      <c r="B380" s="81"/>
      <c r="C380" s="100">
        <f>INT($C$293)+1.005</f>
        <v>2.0049999999999999</v>
      </c>
      <c r="D380" s="83"/>
      <c r="E380" s="83"/>
      <c r="F380" s="83"/>
      <c r="G380" s="83"/>
      <c r="H380" s="83"/>
      <c r="I380" s="83"/>
      <c r="J380" s="83"/>
      <c r="K380" s="83"/>
      <c r="L380" s="83"/>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4" t="s">
        <v>145</v>
      </c>
      <c r="AP380" s="45"/>
      <c r="AQ380" s="45"/>
      <c r="AR380" s="45"/>
      <c r="AS380" s="437"/>
      <c r="AT380" s="437"/>
    </row>
    <row r="381" spans="1:46" ht="5.0999999999999996" customHeight="1" x14ac:dyDescent="0.25">
      <c r="A381" s="45"/>
      <c r="B381" s="85"/>
      <c r="C381" s="102">
        <f>INT($C$293)+0.005</f>
        <v>1.0049999999999999</v>
      </c>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85"/>
      <c r="AJ381" s="85"/>
      <c r="AK381" s="85"/>
      <c r="AL381" s="85"/>
      <c r="AM381" s="85"/>
      <c r="AN381" s="85"/>
      <c r="AO381" s="85"/>
      <c r="AP381" s="45"/>
      <c r="AQ381" s="45"/>
      <c r="AR381" s="45"/>
      <c r="AS381" s="437"/>
      <c r="AT381" s="437"/>
    </row>
    <row r="382" spans="1:46" outlineLevel="2" x14ac:dyDescent="0.25">
      <c r="A382" s="45"/>
      <c r="B382" s="45"/>
      <c r="C382" s="87">
        <f>INT($C$293)+2</f>
        <v>3</v>
      </c>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37"/>
      <c r="AT382" s="437"/>
    </row>
    <row r="383" spans="1:46" outlineLevel="2" x14ac:dyDescent="0.25">
      <c r="A383" s="45"/>
      <c r="B383" s="45"/>
      <c r="C383" s="87">
        <f>INT($C$387)+2</f>
        <v>3</v>
      </c>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37"/>
      <c r="AT383" s="437"/>
    </row>
    <row r="384" spans="1:46" ht="5.0999999999999996" customHeight="1" thickBot="1" x14ac:dyDescent="0.3">
      <c r="A384" s="45"/>
      <c r="B384" s="48"/>
      <c r="C384" s="88">
        <f>INT($C$387)+0.005</f>
        <v>1.0049999999999999</v>
      </c>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5"/>
      <c r="AQ384" s="45"/>
      <c r="AR384" s="45"/>
      <c r="AS384" s="437"/>
      <c r="AT384" s="437"/>
    </row>
    <row r="385" spans="1:46" ht="5.0999999999999996" customHeight="1" outlineLevel="1" x14ac:dyDescent="0.25">
      <c r="A385" s="45"/>
      <c r="B385" s="50" t="s">
        <v>86</v>
      </c>
      <c r="C385" s="89">
        <f>INT($C$387)+1.005</f>
        <v>2.0049999999999999</v>
      </c>
      <c r="D385" s="52"/>
      <c r="E385" s="52"/>
      <c r="F385" s="52"/>
      <c r="G385" s="52"/>
      <c r="H385" s="52"/>
      <c r="I385" s="52"/>
      <c r="J385" s="52"/>
      <c r="K385" s="52"/>
      <c r="L385" s="52"/>
      <c r="M385" s="52"/>
      <c r="N385" s="52"/>
      <c r="O385" s="52"/>
      <c r="P385" s="52"/>
      <c r="Q385" s="52"/>
      <c r="R385" s="52"/>
      <c r="S385" s="52"/>
      <c r="T385" s="52"/>
      <c r="U385" s="52"/>
      <c r="V385" s="52"/>
      <c r="W385" s="52"/>
      <c r="X385" s="52"/>
      <c r="Y385" s="224"/>
      <c r="Z385" s="224"/>
      <c r="AA385" s="224"/>
      <c r="AB385" s="224"/>
      <c r="AC385" s="224"/>
      <c r="AD385" s="224"/>
      <c r="AE385" s="224"/>
      <c r="AF385" s="224"/>
      <c r="AG385" s="224"/>
      <c r="AH385" s="224"/>
      <c r="AI385" s="224"/>
      <c r="AJ385" s="224"/>
      <c r="AK385" s="224"/>
      <c r="AL385" s="224"/>
      <c r="AM385" s="224"/>
      <c r="AN385" s="52"/>
      <c r="AO385" s="53"/>
      <c r="AP385" s="45"/>
      <c r="AQ385" s="45"/>
      <c r="AR385" s="45"/>
      <c r="AS385" s="437"/>
      <c r="AT385" s="437"/>
    </row>
    <row r="386" spans="1:46" outlineLevel="4" x14ac:dyDescent="0.25">
      <c r="A386" s="45"/>
      <c r="B386" s="54"/>
      <c r="C386" s="87">
        <f>INT(MAX($C$398:$C$421))+1</f>
        <v>5</v>
      </c>
      <c r="D386" s="55"/>
      <c r="E386" s="55"/>
      <c r="F386" s="55"/>
      <c r="G386" s="55"/>
      <c r="H386" s="56"/>
      <c r="I386" s="56"/>
      <c r="J386" s="56"/>
      <c r="K386" s="56"/>
      <c r="L386" s="56"/>
      <c r="M386" s="56"/>
      <c r="N386" s="56"/>
      <c r="O386" s="56"/>
      <c r="P386" s="56"/>
      <c r="Q386" s="56"/>
      <c r="R386" s="56"/>
      <c r="S386" s="56"/>
      <c r="T386" s="56"/>
      <c r="U386" s="56"/>
      <c r="V386" s="56"/>
      <c r="W386" s="56"/>
      <c r="X386" s="56"/>
      <c r="Y386" s="225"/>
      <c r="Z386" s="225"/>
      <c r="AA386" s="225"/>
      <c r="AB386" s="225"/>
      <c r="AC386" s="225"/>
      <c r="AD386" s="225"/>
      <c r="AE386" s="225"/>
      <c r="AF386" s="225"/>
      <c r="AG386" s="225"/>
      <c r="AH386" s="225"/>
      <c r="AI386" s="225"/>
      <c r="AJ386" s="225"/>
      <c r="AK386" s="225"/>
      <c r="AL386" s="225"/>
      <c r="AM386" s="225"/>
      <c r="AN386" s="55"/>
      <c r="AO386" s="57"/>
      <c r="AP386" s="45"/>
      <c r="AQ386" s="45"/>
      <c r="AR386" s="45"/>
      <c r="AS386" s="437"/>
      <c r="AT386" s="437"/>
    </row>
    <row r="387" spans="1:46" ht="20.100000000000001" customHeight="1" x14ac:dyDescent="0.25">
      <c r="A387" s="45"/>
      <c r="B387" s="54"/>
      <c r="C387" s="87">
        <v>1.02</v>
      </c>
      <c r="D387" s="58"/>
      <c r="E387" s="59" t="s">
        <v>124</v>
      </c>
      <c r="F387" s="60"/>
      <c r="G387" s="61"/>
      <c r="H387" s="62" t="str">
        <f>COUNTIFS($B$1:$B387, "«")&amp;" Universal: Equation systems &amp; Groups"</f>
        <v>6 Universal: Equation systems &amp; Groups</v>
      </c>
      <c r="I387" s="63"/>
      <c r="J387" s="63"/>
      <c r="K387" s="63"/>
      <c r="L387" s="63"/>
      <c r="M387" s="63"/>
      <c r="N387" s="63"/>
      <c r="O387" s="63"/>
      <c r="P387" s="63"/>
      <c r="Q387" s="63"/>
      <c r="R387" s="63"/>
      <c r="S387" s="63"/>
      <c r="T387" s="63"/>
      <c r="U387" s="63"/>
      <c r="V387" s="63"/>
      <c r="W387" s="63"/>
      <c r="X387" s="63"/>
      <c r="Y387" s="226"/>
      <c r="Z387" s="226"/>
      <c r="AA387" s="226"/>
      <c r="AB387" s="226"/>
      <c r="AC387" s="226"/>
      <c r="AD387" s="226"/>
      <c r="AE387" s="226"/>
      <c r="AF387" s="226"/>
      <c r="AG387" s="226"/>
      <c r="AH387" s="226"/>
      <c r="AI387" s="226"/>
      <c r="AJ387" s="226"/>
      <c r="AK387" s="226"/>
      <c r="AL387" s="226"/>
      <c r="AM387" s="226"/>
      <c r="AN387" s="64"/>
      <c r="AO387" s="57"/>
      <c r="AP387" s="45"/>
      <c r="AQ387" s="45"/>
      <c r="AR387" s="45"/>
      <c r="AS387" s="437"/>
      <c r="AT387" s="437"/>
    </row>
    <row r="388" spans="1:46" ht="20.100000000000001" customHeight="1" outlineLevel="1" x14ac:dyDescent="0.25">
      <c r="A388" s="45"/>
      <c r="B388" s="54"/>
      <c r="C388" s="87">
        <f>INT($C$387)+1.02</f>
        <v>2.02</v>
      </c>
      <c r="D388" s="58"/>
      <c r="E388" s="59" t="s">
        <v>126</v>
      </c>
      <c r="F388" s="65">
        <v>1</v>
      </c>
      <c r="G388" s="66"/>
      <c r="H388" s="67" t="s">
        <v>397</v>
      </c>
      <c r="I388" s="68"/>
      <c r="J388" s="68"/>
      <c r="K388" s="68"/>
      <c r="L388" s="68"/>
      <c r="M388" s="68"/>
      <c r="N388" s="68"/>
      <c r="O388" s="68"/>
      <c r="P388" s="68"/>
      <c r="Q388" s="68"/>
      <c r="R388" s="68"/>
      <c r="S388" s="68"/>
      <c r="T388" s="68"/>
      <c r="U388" s="68"/>
      <c r="V388" s="68"/>
      <c r="W388" s="68"/>
      <c r="X388" s="68"/>
      <c r="Y388" s="227"/>
      <c r="Z388" s="227"/>
      <c r="AA388" s="227"/>
      <c r="AB388" s="227"/>
      <c r="AC388" s="227"/>
      <c r="AD388" s="227"/>
      <c r="AE388" s="227"/>
      <c r="AF388" s="227"/>
      <c r="AG388" s="227"/>
      <c r="AH388" s="227"/>
      <c r="AI388" s="227"/>
      <c r="AJ388" s="227"/>
      <c r="AK388" s="227"/>
      <c r="AL388" s="227"/>
      <c r="AM388" s="227"/>
      <c r="AN388" s="69"/>
      <c r="AO388" s="57"/>
      <c r="AP388" s="45"/>
      <c r="AQ388" s="45"/>
      <c r="AR388" s="45"/>
      <c r="AS388" s="437"/>
      <c r="AT388" s="437"/>
    </row>
    <row r="389" spans="1:46" ht="5.0999999999999996" customHeight="1" outlineLevel="2" x14ac:dyDescent="0.25">
      <c r="A389" s="45"/>
      <c r="B389" s="54"/>
      <c r="C389" s="87">
        <f>INT($C$387)+2.005</f>
        <v>3.0049999999999999</v>
      </c>
      <c r="D389" s="55"/>
      <c r="E389" s="55"/>
      <c r="F389" s="55"/>
      <c r="G389" s="55"/>
      <c r="H389" s="55"/>
      <c r="I389" s="55"/>
      <c r="J389" s="55"/>
      <c r="K389" s="55"/>
      <c r="L389" s="55"/>
      <c r="M389" s="55"/>
      <c r="N389" s="55"/>
      <c r="O389" s="55"/>
      <c r="P389" s="55"/>
      <c r="Q389" s="55"/>
      <c r="R389" s="55"/>
      <c r="S389" s="55"/>
      <c r="T389" s="55"/>
      <c r="U389" s="55"/>
      <c r="V389" s="55"/>
      <c r="W389" s="55"/>
      <c r="X389" s="55"/>
      <c r="Y389" s="55"/>
      <c r="Z389" s="55"/>
      <c r="AA389" s="55"/>
      <c r="AB389" s="55"/>
      <c r="AC389" s="55"/>
      <c r="AD389" s="55"/>
      <c r="AE389" s="55"/>
      <c r="AF389" s="55"/>
      <c r="AG389" s="55"/>
      <c r="AH389" s="55"/>
      <c r="AI389" s="55"/>
      <c r="AJ389" s="55"/>
      <c r="AK389" s="55"/>
      <c r="AL389" s="55"/>
      <c r="AM389" s="55"/>
      <c r="AN389" s="55"/>
      <c r="AO389" s="57"/>
      <c r="AP389" s="45"/>
      <c r="AQ389" s="45"/>
      <c r="AR389" s="45"/>
      <c r="AS389" s="437"/>
      <c r="AT389" s="437"/>
    </row>
    <row r="390" spans="1:46" outlineLevel="2" x14ac:dyDescent="0.25">
      <c r="A390" s="45"/>
      <c r="B390" s="54"/>
      <c r="C390" s="87">
        <f>INT($C$387)+2</f>
        <v>3</v>
      </c>
      <c r="D390" s="55"/>
      <c r="E390" s="70"/>
      <c r="F390" s="70"/>
      <c r="G390" s="55"/>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55"/>
      <c r="AO390" s="57"/>
      <c r="AP390" s="45"/>
      <c r="AQ390" s="45"/>
      <c r="AR390" s="45"/>
      <c r="AS390" s="437"/>
      <c r="AT390" s="437"/>
    </row>
    <row r="391" spans="1:46" ht="15" customHeight="1" outlineLevel="2" x14ac:dyDescent="0.25">
      <c r="A391" s="45"/>
      <c r="B391" s="54"/>
      <c r="C391" s="87">
        <f>INT($C$387)+2</f>
        <v>3</v>
      </c>
      <c r="D391" s="55"/>
      <c r="E391" s="70"/>
      <c r="F391" s="70"/>
      <c r="G391" s="55"/>
      <c r="H391" s="72"/>
      <c r="I391" s="72"/>
      <c r="J391" s="228" t="s">
        <v>2138</v>
      </c>
      <c r="K391" s="228"/>
      <c r="L391" s="228"/>
      <c r="M391" s="72" t="s">
        <v>398</v>
      </c>
      <c r="N391" s="272"/>
      <c r="O391" s="273"/>
      <c r="P391" s="272"/>
      <c r="Q391" s="273"/>
      <c r="R391" s="272"/>
      <c r="S391" s="273"/>
      <c r="T391" s="276"/>
      <c r="U391" s="244"/>
      <c r="V391" s="72"/>
      <c r="W391" s="72"/>
      <c r="X391" s="72"/>
      <c r="Y391" s="72"/>
      <c r="Z391" s="72"/>
      <c r="AA391" s="72"/>
      <c r="AB391" s="72"/>
      <c r="AC391" s="72"/>
      <c r="AD391" s="72"/>
      <c r="AE391" s="72"/>
      <c r="AF391" s="72"/>
      <c r="AG391" s="72"/>
      <c r="AH391" s="72"/>
      <c r="AI391" s="72"/>
      <c r="AJ391" s="72"/>
      <c r="AK391" s="72"/>
      <c r="AL391" s="72"/>
      <c r="AM391" s="72"/>
      <c r="AN391" s="55"/>
      <c r="AO391" s="57"/>
      <c r="AP391" s="45"/>
      <c r="AQ391" s="45"/>
      <c r="AR391" s="45"/>
      <c r="AS391" s="437"/>
      <c r="AT391" s="437"/>
    </row>
    <row r="392" spans="1:46" outlineLevel="2" x14ac:dyDescent="0.25">
      <c r="A392" s="45"/>
      <c r="B392" s="54"/>
      <c r="C392" s="87">
        <f>INT($C$387)+2</f>
        <v>3</v>
      </c>
      <c r="D392" s="55"/>
      <c r="E392" s="70"/>
      <c r="F392" s="70"/>
      <c r="G392" s="55"/>
      <c r="H392" s="72"/>
      <c r="I392" s="72"/>
      <c r="J392" s="229" t="s">
        <v>399</v>
      </c>
      <c r="K392" s="229" t="s">
        <v>400</v>
      </c>
      <c r="L392" s="229" t="s">
        <v>401</v>
      </c>
      <c r="M392" s="72" t="s">
        <v>402</v>
      </c>
      <c r="N392" s="274" t="s">
        <v>290</v>
      </c>
      <c r="O392" s="275"/>
      <c r="P392" s="274" t="s">
        <v>291</v>
      </c>
      <c r="Q392" s="275"/>
      <c r="R392" s="274" t="s">
        <v>403</v>
      </c>
      <c r="S392" s="275"/>
      <c r="T392" s="274" t="s">
        <v>292</v>
      </c>
      <c r="U392" s="275"/>
      <c r="V392" s="72"/>
      <c r="W392" s="72"/>
      <c r="X392" s="72"/>
      <c r="Y392" s="72"/>
      <c r="Z392" s="72"/>
      <c r="AA392" s="72"/>
      <c r="AB392" s="72"/>
      <c r="AC392" s="72"/>
      <c r="AD392" s="72"/>
      <c r="AE392" s="72"/>
      <c r="AF392" s="72"/>
      <c r="AG392" s="72"/>
      <c r="AH392" s="72"/>
      <c r="AI392" s="72"/>
      <c r="AJ392" s="72"/>
      <c r="AK392" s="72"/>
      <c r="AL392" s="72"/>
      <c r="AM392" s="72"/>
      <c r="AN392" s="55"/>
      <c r="AO392" s="57"/>
      <c r="AP392" s="45"/>
      <c r="AQ392" s="45"/>
      <c r="AR392" s="45"/>
      <c r="AS392" s="437"/>
      <c r="AT392" s="437"/>
    </row>
    <row r="393" spans="1:46" outlineLevel="2" x14ac:dyDescent="0.25">
      <c r="A393" s="45"/>
      <c r="B393" s="54"/>
      <c r="C393" s="87">
        <f>INT($C$387)+2</f>
        <v>3</v>
      </c>
      <c r="D393" s="55"/>
      <c r="E393" s="70"/>
      <c r="F393" s="70"/>
      <c r="G393" s="55"/>
      <c r="H393" s="72" t="s">
        <v>2137</v>
      </c>
      <c r="I393" s="72"/>
      <c r="J393" s="72">
        <v>0</v>
      </c>
      <c r="K393" s="72">
        <v>1</v>
      </c>
      <c r="L393" s="72">
        <v>2</v>
      </c>
      <c r="M393" s="72" t="s">
        <v>404</v>
      </c>
      <c r="N393" s="276"/>
      <c r="O393" s="244"/>
      <c r="P393" s="276"/>
      <c r="Q393" s="244"/>
      <c r="R393" s="276"/>
      <c r="S393" s="244"/>
      <c r="T393" s="276"/>
      <c r="U393" s="244"/>
      <c r="V393" s="72"/>
      <c r="W393" s="72"/>
      <c r="X393" s="72"/>
      <c r="Y393" s="72"/>
      <c r="Z393" s="72"/>
      <c r="AA393" s="72"/>
      <c r="AB393" s="72"/>
      <c r="AC393" s="72"/>
      <c r="AD393" s="72"/>
      <c r="AE393" s="72"/>
      <c r="AF393" s="72"/>
      <c r="AG393" s="72"/>
      <c r="AH393" s="72"/>
      <c r="AI393" s="72"/>
      <c r="AJ393" s="72"/>
      <c r="AK393" s="72"/>
      <c r="AL393" s="72"/>
      <c r="AM393" s="72"/>
      <c r="AN393" s="55"/>
      <c r="AO393" s="57"/>
      <c r="AP393" s="45"/>
      <c r="AQ393" s="45"/>
      <c r="AR393" s="45"/>
      <c r="AS393" s="437"/>
      <c r="AT393" s="437"/>
    </row>
    <row r="394" spans="1:46" ht="11.45" customHeight="1" outlineLevel="2" x14ac:dyDescent="0.25">
      <c r="A394" s="45"/>
      <c r="B394" s="54" t="s">
        <v>129</v>
      </c>
      <c r="C394" s="87">
        <f>INT($C$387)+2.01</f>
        <v>3.01</v>
      </c>
      <c r="D394" s="55"/>
      <c r="E394" s="55"/>
      <c r="F394" s="55"/>
      <c r="G394" s="55"/>
      <c r="H394" s="72"/>
      <c r="I394" s="72"/>
      <c r="J394" s="72"/>
      <c r="K394" s="72"/>
      <c r="L394" s="72"/>
      <c r="M394" s="72"/>
      <c r="N394" s="277"/>
      <c r="O394" s="278"/>
      <c r="P394" s="277"/>
      <c r="Q394" s="278"/>
      <c r="R394" s="277"/>
      <c r="S394" s="278"/>
      <c r="T394" s="277"/>
      <c r="U394" s="278"/>
      <c r="V394" s="72"/>
      <c r="W394" s="72"/>
      <c r="X394" s="72"/>
      <c r="Y394" s="72"/>
      <c r="Z394" s="72"/>
      <c r="AA394" s="72"/>
      <c r="AB394" s="72"/>
      <c r="AC394" s="72"/>
      <c r="AD394" s="72"/>
      <c r="AE394" s="72"/>
      <c r="AF394" s="72"/>
      <c r="AG394" s="72"/>
      <c r="AH394" s="72"/>
      <c r="AI394" s="72"/>
      <c r="AJ394" s="72"/>
      <c r="AK394" s="72"/>
      <c r="AL394" s="72"/>
      <c r="AM394" s="72"/>
      <c r="AN394" s="55"/>
      <c r="AO394" s="57"/>
      <c r="AP394" s="45"/>
      <c r="AQ394" s="45"/>
      <c r="AR394" s="45"/>
      <c r="AS394" s="437"/>
      <c r="AT394" s="437"/>
    </row>
    <row r="395" spans="1:46" outlineLevel="4" x14ac:dyDescent="0.25">
      <c r="A395" s="45"/>
      <c r="B395" s="54"/>
      <c r="C395" s="87">
        <f>INT(MAX($C$398:$C$421))+1</f>
        <v>5</v>
      </c>
      <c r="D395" s="73"/>
      <c r="E395" s="70"/>
      <c r="F395" s="70"/>
      <c r="G395" s="73"/>
      <c r="H395" s="70"/>
      <c r="I395" s="70"/>
      <c r="J395" s="70"/>
      <c r="K395" s="70"/>
      <c r="L395" s="70"/>
      <c r="M395" s="70"/>
      <c r="N395" s="70"/>
      <c r="O395" s="70"/>
      <c r="P395" s="70"/>
      <c r="Q395" s="70"/>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3"/>
      <c r="AO395" s="57"/>
      <c r="AP395" s="45"/>
      <c r="AQ395" s="45"/>
      <c r="AR395" s="45"/>
      <c r="AS395" s="437"/>
      <c r="AT395" s="437"/>
    </row>
    <row r="396" spans="1:46" outlineLevel="4" x14ac:dyDescent="0.25">
      <c r="A396" s="45"/>
      <c r="B396" s="54" t="s">
        <v>130</v>
      </c>
      <c r="C396" s="87">
        <f>INT(MAX($C$398:$C$421))+1</f>
        <v>5</v>
      </c>
      <c r="D396" s="73" t="s">
        <v>131</v>
      </c>
      <c r="E396" s="70"/>
      <c r="F396" s="70"/>
      <c r="G396" s="73"/>
      <c r="H396" s="70"/>
      <c r="I396" s="70"/>
      <c r="J396" s="70"/>
      <c r="K396" s="70"/>
      <c r="L396" s="70"/>
      <c r="M396" s="70"/>
      <c r="N396" s="70"/>
      <c r="O396" s="70"/>
      <c r="P396" s="70"/>
      <c r="Q396" s="70"/>
      <c r="R396" s="70"/>
      <c r="S396" s="70"/>
      <c r="T396" s="70"/>
      <c r="U396" s="70"/>
      <c r="V396" s="70"/>
      <c r="W396" s="70"/>
      <c r="X396" s="70"/>
      <c r="Y396" s="70"/>
      <c r="Z396" s="70"/>
      <c r="AA396" s="70"/>
      <c r="AB396" s="70"/>
      <c r="AC396" s="70"/>
      <c r="AD396" s="70"/>
      <c r="AE396" s="70"/>
      <c r="AF396" s="70"/>
      <c r="AG396" s="70"/>
      <c r="AH396" s="70"/>
      <c r="AI396" s="70"/>
      <c r="AJ396" s="70"/>
      <c r="AK396" s="70"/>
      <c r="AL396" s="70"/>
      <c r="AM396" s="70"/>
      <c r="AN396" s="73"/>
      <c r="AO396" s="57"/>
      <c r="AP396" s="45"/>
      <c r="AQ396" s="45"/>
      <c r="AR396" s="45"/>
      <c r="AS396" s="437"/>
      <c r="AT396" s="437"/>
    </row>
    <row r="397" spans="1:46" outlineLevel="1" x14ac:dyDescent="0.25">
      <c r="A397" s="45"/>
      <c r="B397" s="54"/>
      <c r="C397" s="87">
        <f>INT($C$387)+1</f>
        <v>2</v>
      </c>
      <c r="D397" s="73"/>
      <c r="E397" s="70"/>
      <c r="F397" s="70"/>
      <c r="G397" s="73"/>
      <c r="H397" s="90" t="s">
        <v>405</v>
      </c>
      <c r="I397" s="91"/>
      <c r="J397" s="92"/>
      <c r="K397" s="92"/>
      <c r="L397" s="92"/>
      <c r="M397" s="92"/>
      <c r="N397" s="92"/>
      <c r="O397" s="92"/>
      <c r="P397" s="92"/>
      <c r="Q397" s="92"/>
      <c r="R397" s="92"/>
      <c r="S397" s="92"/>
      <c r="T397" s="92"/>
      <c r="U397" s="92"/>
      <c r="V397" s="92"/>
      <c r="W397" s="92"/>
      <c r="X397" s="92"/>
      <c r="Y397" s="92"/>
      <c r="Z397" s="92"/>
      <c r="AA397" s="92"/>
      <c r="AB397" s="92"/>
      <c r="AC397" s="93"/>
      <c r="AD397" s="93"/>
      <c r="AE397" s="93"/>
      <c r="AF397" s="93"/>
      <c r="AG397" s="93"/>
      <c r="AH397" s="93"/>
      <c r="AI397" s="93"/>
      <c r="AJ397" s="93"/>
      <c r="AK397" s="93"/>
      <c r="AL397" s="93"/>
      <c r="AM397" s="93"/>
      <c r="AN397" s="73"/>
      <c r="AO397" s="57"/>
      <c r="AP397" s="45"/>
      <c r="AQ397" s="45"/>
      <c r="AR397" s="45"/>
      <c r="AS397" s="437"/>
      <c r="AT397" s="437"/>
    </row>
    <row r="398" spans="1:46" ht="5.0999999999999996" customHeight="1" outlineLevel="3" x14ac:dyDescent="0.25">
      <c r="A398" s="45"/>
      <c r="B398" s="54"/>
      <c r="C398" s="87">
        <f>INT($C$387)+3.005</f>
        <v>4.0049999999999999</v>
      </c>
      <c r="D398" s="73" t="s">
        <v>132</v>
      </c>
      <c r="E398" s="73"/>
      <c r="F398" s="73"/>
      <c r="G398" s="73"/>
      <c r="H398" s="94"/>
      <c r="I398" s="94"/>
      <c r="J398" s="94"/>
      <c r="K398" s="94"/>
      <c r="L398" s="94"/>
      <c r="M398" s="94"/>
      <c r="N398" s="94"/>
      <c r="O398" s="94"/>
      <c r="P398" s="94"/>
      <c r="Q398" s="94"/>
      <c r="R398" s="94"/>
      <c r="S398" s="94"/>
      <c r="T398" s="94"/>
      <c r="U398" s="94"/>
      <c r="V398" s="94"/>
      <c r="W398" s="94"/>
      <c r="X398" s="94"/>
      <c r="Y398" s="94"/>
      <c r="Z398" s="94"/>
      <c r="AA398" s="94"/>
      <c r="AB398" s="94"/>
      <c r="AC398" s="94"/>
      <c r="AD398" s="94"/>
      <c r="AE398" s="94"/>
      <c r="AF398" s="94"/>
      <c r="AG398" s="94"/>
      <c r="AH398" s="234"/>
      <c r="AI398" s="234"/>
      <c r="AJ398" s="234"/>
      <c r="AK398" s="234"/>
      <c r="AL398" s="234"/>
      <c r="AM398" s="234"/>
      <c r="AN398" s="73"/>
      <c r="AO398" s="57"/>
      <c r="AP398" s="45"/>
      <c r="AQ398" s="45"/>
      <c r="AR398" s="45"/>
      <c r="AS398" s="437"/>
      <c r="AT398" s="437"/>
    </row>
    <row r="399" spans="1:46" outlineLevel="2" x14ac:dyDescent="0.25">
      <c r="A399" s="45"/>
      <c r="B399" s="54"/>
      <c r="C399" s="87">
        <f>INT($C$387)+2</f>
        <v>3</v>
      </c>
      <c r="D399" s="73"/>
      <c r="E399" s="70"/>
      <c r="F399" s="70"/>
      <c r="G399" s="73"/>
      <c r="H399" s="76" t="s">
        <v>406</v>
      </c>
      <c r="I399" s="97" t="b">
        <v>0</v>
      </c>
      <c r="J399" s="230" t="s">
        <v>407</v>
      </c>
      <c r="K399" s="95"/>
      <c r="L399" s="95"/>
      <c r="M399" s="76"/>
      <c r="N399" s="230" t="s">
        <v>2661</v>
      </c>
      <c r="O399" s="95"/>
      <c r="P399" s="95"/>
      <c r="Q399" s="95"/>
      <c r="R399" s="95"/>
      <c r="S399" s="95"/>
      <c r="T399" s="95"/>
      <c r="U399" s="95"/>
      <c r="V399" s="76"/>
      <c r="W399" s="76"/>
      <c r="X399" s="76"/>
      <c r="Y399" s="76"/>
      <c r="Z399" s="76"/>
      <c r="AA399" s="76"/>
      <c r="AB399" s="76"/>
      <c r="AC399" s="76"/>
      <c r="AD399" s="76"/>
      <c r="AE399" s="76"/>
      <c r="AF399" s="76"/>
      <c r="AG399" s="76"/>
      <c r="AH399" s="76"/>
      <c r="AI399" s="76"/>
      <c r="AJ399" s="76"/>
      <c r="AK399" s="76"/>
      <c r="AL399" s="76"/>
      <c r="AM399" s="76"/>
      <c r="AN399" s="73"/>
      <c r="AO399" s="57"/>
      <c r="AP399" s="45"/>
      <c r="AQ399" s="45"/>
      <c r="AR399" s="45"/>
      <c r="AS399" s="437"/>
      <c r="AT399" s="437"/>
    </row>
    <row r="400" spans="1:46" outlineLevel="2" x14ac:dyDescent="0.25">
      <c r="A400" s="45"/>
      <c r="B400" s="54"/>
      <c r="C400" s="87">
        <f>INT($C$387)+2</f>
        <v>3</v>
      </c>
      <c r="D400" s="73"/>
      <c r="E400" s="70"/>
      <c r="F400" s="70"/>
      <c r="G400" s="73"/>
      <c r="H400" s="76"/>
      <c r="I400" s="231" t="s">
        <v>128</v>
      </c>
      <c r="J400" s="96">
        <v>0</v>
      </c>
      <c r="K400" s="96">
        <v>1</v>
      </c>
      <c r="L400" s="96">
        <v>2</v>
      </c>
      <c r="M400" s="96" t="s">
        <v>2800</v>
      </c>
      <c r="N400" s="96" t="s">
        <v>408</v>
      </c>
      <c r="O400" s="232" t="s">
        <v>409</v>
      </c>
      <c r="P400" s="96" t="s">
        <v>408</v>
      </c>
      <c r="Q400" s="232" t="s">
        <v>409</v>
      </c>
      <c r="R400" s="96" t="s">
        <v>408</v>
      </c>
      <c r="S400" s="232" t="s">
        <v>409</v>
      </c>
      <c r="T400" s="96" t="s">
        <v>408</v>
      </c>
      <c r="U400" s="232" t="s">
        <v>409</v>
      </c>
      <c r="V400" s="76"/>
      <c r="W400" s="76"/>
      <c r="X400" s="76"/>
      <c r="Y400" s="76"/>
      <c r="Z400" s="76"/>
      <c r="AA400" s="76"/>
      <c r="AB400" s="76"/>
      <c r="AC400" s="76"/>
      <c r="AD400" s="76"/>
      <c r="AE400" s="76"/>
      <c r="AF400" s="76"/>
      <c r="AG400" s="76"/>
      <c r="AH400" s="76"/>
      <c r="AI400" s="76"/>
      <c r="AJ400" s="76"/>
      <c r="AK400" s="76"/>
      <c r="AL400" s="76"/>
      <c r="AM400" s="76"/>
      <c r="AN400" s="73"/>
      <c r="AO400" s="57"/>
      <c r="AP400" s="45"/>
      <c r="AQ400" s="45"/>
      <c r="AR400" s="45"/>
      <c r="AS400" s="437"/>
      <c r="AT400" s="437"/>
    </row>
    <row r="401" spans="1:46" outlineLevel="2" x14ac:dyDescent="0.25">
      <c r="A401" s="45"/>
      <c r="B401" s="54"/>
      <c r="C401" s="87">
        <f>INT($C$387)+2</f>
        <v>3</v>
      </c>
      <c r="D401" s="73"/>
      <c r="E401" s="70"/>
      <c r="F401" s="70"/>
      <c r="G401" s="73"/>
      <c r="H401" s="284" t="s">
        <v>410</v>
      </c>
      <c r="I401" s="177">
        <v>0</v>
      </c>
      <c r="J401" s="79" t="b">
        <v>1</v>
      </c>
      <c r="K401" s="79" t="b">
        <v>1</v>
      </c>
      <c r="L401" s="79" t="b">
        <v>1</v>
      </c>
      <c r="M401" s="79">
        <v>1</v>
      </c>
      <c r="N401" s="300">
        <v>0</v>
      </c>
      <c r="O401" s="300">
        <v>0</v>
      </c>
      <c r="P401" s="99">
        <v>2</v>
      </c>
      <c r="Q401" s="99">
        <v>2</v>
      </c>
      <c r="R401" s="300">
        <v>0</v>
      </c>
      <c r="S401" s="300">
        <v>0</v>
      </c>
      <c r="T401" s="300">
        <v>0</v>
      </c>
      <c r="U401" s="300">
        <v>0</v>
      </c>
      <c r="V401" s="105"/>
      <c r="W401" s="105"/>
      <c r="X401" s="105"/>
      <c r="Y401" s="105"/>
      <c r="Z401" s="105"/>
      <c r="AA401" s="105"/>
      <c r="AB401" s="105"/>
      <c r="AC401" s="105"/>
      <c r="AD401" s="105"/>
      <c r="AE401" s="105"/>
      <c r="AF401" s="105"/>
      <c r="AG401" s="105"/>
      <c r="AH401" s="467"/>
      <c r="AI401" s="467"/>
      <c r="AJ401" s="467"/>
      <c r="AK401" s="467"/>
      <c r="AL401" s="467"/>
      <c r="AM401" s="467"/>
      <c r="AN401" s="73"/>
      <c r="AO401" s="57"/>
      <c r="AP401" s="45"/>
      <c r="AQ401" s="45"/>
      <c r="AR401" s="45"/>
      <c r="AS401" s="437"/>
      <c r="AT401" s="437"/>
    </row>
    <row r="402" spans="1:46" outlineLevel="2" x14ac:dyDescent="0.25">
      <c r="A402" s="45"/>
      <c r="B402" s="54"/>
      <c r="C402" s="87">
        <f>INT($C$387)+2</f>
        <v>3</v>
      </c>
      <c r="D402" s="73"/>
      <c r="E402" s="70"/>
      <c r="F402" s="70"/>
      <c r="G402" s="73"/>
      <c r="H402" s="284" t="s">
        <v>411</v>
      </c>
      <c r="I402" s="96">
        <v>1</v>
      </c>
      <c r="J402" s="79" t="b">
        <v>1</v>
      </c>
      <c r="K402" s="79" t="b">
        <v>1</v>
      </c>
      <c r="L402" s="79" t="b">
        <v>1</v>
      </c>
      <c r="M402" s="79">
        <v>2</v>
      </c>
      <c r="N402" s="300">
        <v>0</v>
      </c>
      <c r="O402" s="300">
        <v>0</v>
      </c>
      <c r="P402" s="300">
        <v>0</v>
      </c>
      <c r="Q402" s="300">
        <v>0</v>
      </c>
      <c r="R402" s="301">
        <v>2</v>
      </c>
      <c r="S402" s="301">
        <v>1</v>
      </c>
      <c r="T402" s="300">
        <v>0</v>
      </c>
      <c r="U402" s="300">
        <v>0</v>
      </c>
      <c r="V402" s="76"/>
      <c r="W402" s="76"/>
      <c r="X402" s="76"/>
      <c r="Y402" s="76"/>
      <c r="Z402" s="76"/>
      <c r="AA402" s="76"/>
      <c r="AB402" s="76"/>
      <c r="AC402" s="76"/>
      <c r="AD402" s="76"/>
      <c r="AE402" s="76"/>
      <c r="AF402" s="76"/>
      <c r="AG402" s="76"/>
      <c r="AH402" s="76"/>
      <c r="AI402" s="76"/>
      <c r="AJ402" s="76"/>
      <c r="AK402" s="76"/>
      <c r="AL402" s="76"/>
      <c r="AM402" s="76"/>
      <c r="AN402" s="73"/>
      <c r="AO402" s="57"/>
      <c r="AP402" s="45"/>
      <c r="AQ402" s="45"/>
      <c r="AR402" s="45"/>
      <c r="AS402" s="437"/>
      <c r="AT402" s="437"/>
    </row>
    <row r="403" spans="1:46" outlineLevel="3" x14ac:dyDescent="0.25">
      <c r="A403" s="45"/>
      <c r="B403" s="54"/>
      <c r="C403" s="87">
        <f t="shared" ref="C403:C421" si="88">INT($C$387)+3</f>
        <v>4</v>
      </c>
      <c r="D403" s="73"/>
      <c r="E403" s="70"/>
      <c r="F403" s="70"/>
      <c r="G403" s="73"/>
      <c r="H403" s="284" t="s">
        <v>412</v>
      </c>
      <c r="I403" s="177">
        <v>2</v>
      </c>
      <c r="J403" s="79" t="b">
        <v>1</v>
      </c>
      <c r="K403" s="79" t="b">
        <v>1</v>
      </c>
      <c r="L403" s="79" t="b">
        <v>0</v>
      </c>
      <c r="M403" s="79">
        <v>1</v>
      </c>
      <c r="N403" s="301">
        <v>1</v>
      </c>
      <c r="O403" s="301">
        <v>1</v>
      </c>
      <c r="P403" s="301">
        <v>1</v>
      </c>
      <c r="Q403" s="301">
        <v>1</v>
      </c>
      <c r="R403" s="300">
        <v>0</v>
      </c>
      <c r="S403" s="300">
        <v>0</v>
      </c>
      <c r="T403" s="301">
        <v>1</v>
      </c>
      <c r="U403" s="301">
        <v>1</v>
      </c>
      <c r="V403" s="76"/>
      <c r="W403" s="76"/>
      <c r="X403" s="76"/>
      <c r="Y403" s="76"/>
      <c r="Z403" s="76"/>
      <c r="AA403" s="76"/>
      <c r="AB403" s="76"/>
      <c r="AC403" s="76"/>
      <c r="AD403" s="76"/>
      <c r="AE403" s="76"/>
      <c r="AF403" s="76"/>
      <c r="AG403" s="76"/>
      <c r="AH403" s="76"/>
      <c r="AI403" s="76"/>
      <c r="AJ403" s="76"/>
      <c r="AK403" s="76"/>
      <c r="AL403" s="76"/>
      <c r="AM403" s="76"/>
      <c r="AN403" s="73"/>
      <c r="AO403" s="57"/>
      <c r="AP403" s="45"/>
      <c r="AQ403" s="45"/>
      <c r="AR403" s="45"/>
      <c r="AS403" s="437"/>
      <c r="AT403" s="437"/>
    </row>
    <row r="404" spans="1:46" outlineLevel="3" x14ac:dyDescent="0.25">
      <c r="A404" s="45"/>
      <c r="B404" s="54"/>
      <c r="C404" s="87">
        <f t="shared" si="88"/>
        <v>4</v>
      </c>
      <c r="D404" s="73"/>
      <c r="E404" s="70"/>
      <c r="F404" s="70"/>
      <c r="G404" s="73"/>
      <c r="H404" s="284" t="s">
        <v>2251</v>
      </c>
      <c r="I404" s="96">
        <v>3</v>
      </c>
      <c r="J404" s="79" t="b">
        <v>1</v>
      </c>
      <c r="K404" s="79" t="b">
        <v>1</v>
      </c>
      <c r="L404" s="79" t="b">
        <v>1</v>
      </c>
      <c r="M404" s="79">
        <v>1</v>
      </c>
      <c r="N404" s="300">
        <v>0</v>
      </c>
      <c r="O404" s="300">
        <v>0</v>
      </c>
      <c r="P404" s="301">
        <v>2</v>
      </c>
      <c r="Q404" s="301">
        <v>1</v>
      </c>
      <c r="R404" s="300">
        <v>0</v>
      </c>
      <c r="S404" s="300">
        <v>0</v>
      </c>
      <c r="T404" s="300">
        <v>0</v>
      </c>
      <c r="U404" s="300">
        <v>0</v>
      </c>
      <c r="V404" s="76"/>
      <c r="W404" s="76"/>
      <c r="X404" s="76"/>
      <c r="Y404" s="76"/>
      <c r="Z404" s="76"/>
      <c r="AA404" s="76"/>
      <c r="AB404" s="76"/>
      <c r="AC404" s="76"/>
      <c r="AD404" s="76"/>
      <c r="AE404" s="76"/>
      <c r="AF404" s="76"/>
      <c r="AG404" s="76"/>
      <c r="AH404" s="76"/>
      <c r="AI404" s="76"/>
      <c r="AJ404" s="76"/>
      <c r="AK404" s="76"/>
      <c r="AL404" s="76"/>
      <c r="AM404" s="76"/>
      <c r="AN404" s="73"/>
      <c r="AO404" s="57"/>
      <c r="AP404" s="45"/>
      <c r="AQ404" s="45"/>
      <c r="AR404" s="45"/>
      <c r="AS404" s="437"/>
      <c r="AT404" s="437"/>
    </row>
    <row r="405" spans="1:46" outlineLevel="3" x14ac:dyDescent="0.25">
      <c r="A405" s="45"/>
      <c r="B405" s="54"/>
      <c r="C405" s="87">
        <f t="shared" si="88"/>
        <v>4</v>
      </c>
      <c r="D405" s="73"/>
      <c r="E405" s="70"/>
      <c r="F405" s="70"/>
      <c r="G405" s="73"/>
      <c r="H405" s="284" t="s">
        <v>413</v>
      </c>
      <c r="I405" s="177">
        <v>4</v>
      </c>
      <c r="J405" s="79" t="b">
        <v>1</v>
      </c>
      <c r="K405" s="79" t="b">
        <v>1</v>
      </c>
      <c r="L405" s="79" t="b">
        <v>0</v>
      </c>
      <c r="M405" s="79">
        <v>1</v>
      </c>
      <c r="N405" s="99">
        <v>1</v>
      </c>
      <c r="O405" s="99">
        <v>1</v>
      </c>
      <c r="P405" s="99">
        <v>1</v>
      </c>
      <c r="Q405" s="99">
        <v>1</v>
      </c>
      <c r="R405" s="99">
        <v>1</v>
      </c>
      <c r="S405" s="99">
        <v>1</v>
      </c>
      <c r="T405" s="99">
        <v>1</v>
      </c>
      <c r="U405" s="99">
        <v>1</v>
      </c>
      <c r="V405" s="76"/>
      <c r="W405" s="76"/>
      <c r="X405" s="76"/>
      <c r="Y405" s="76"/>
      <c r="Z405" s="76"/>
      <c r="AA405" s="76"/>
      <c r="AB405" s="76"/>
      <c r="AC405" s="76"/>
      <c r="AD405" s="76"/>
      <c r="AE405" s="76"/>
      <c r="AF405" s="76"/>
      <c r="AG405" s="76"/>
      <c r="AH405" s="76"/>
      <c r="AI405" s="76"/>
      <c r="AJ405" s="76"/>
      <c r="AK405" s="76"/>
      <c r="AL405" s="76"/>
      <c r="AM405" s="76"/>
      <c r="AN405" s="73"/>
      <c r="AO405" s="57"/>
      <c r="AP405" s="45"/>
      <c r="AQ405" s="45"/>
      <c r="AR405" s="45"/>
      <c r="AS405" s="437"/>
      <c r="AT405" s="437"/>
    </row>
    <row r="406" spans="1:46" outlineLevel="3" x14ac:dyDescent="0.25">
      <c r="A406" s="45"/>
      <c r="B406" s="54"/>
      <c r="C406" s="87">
        <f t="shared" si="88"/>
        <v>4</v>
      </c>
      <c r="D406" s="73"/>
      <c r="E406" s="70"/>
      <c r="F406" s="70"/>
      <c r="G406" s="73"/>
      <c r="H406" s="284" t="s">
        <v>414</v>
      </c>
      <c r="I406" s="96">
        <v>5</v>
      </c>
      <c r="J406" s="79" t="b">
        <v>1</v>
      </c>
      <c r="K406" s="79" t="b">
        <v>1</v>
      </c>
      <c r="L406" s="79" t="b">
        <v>0</v>
      </c>
      <c r="M406" s="79">
        <v>1</v>
      </c>
      <c r="N406" s="99">
        <v>0</v>
      </c>
      <c r="O406" s="99">
        <v>0</v>
      </c>
      <c r="P406" s="99">
        <v>0</v>
      </c>
      <c r="Q406" s="99">
        <v>0</v>
      </c>
      <c r="R406" s="99">
        <v>0</v>
      </c>
      <c r="S406" s="99">
        <v>0</v>
      </c>
      <c r="T406" s="99">
        <v>0</v>
      </c>
      <c r="U406" s="99">
        <v>0</v>
      </c>
      <c r="V406" s="76"/>
      <c r="W406" s="76"/>
      <c r="X406" s="76"/>
      <c r="Y406" s="76"/>
      <c r="Z406" s="76"/>
      <c r="AA406" s="76"/>
      <c r="AB406" s="76"/>
      <c r="AC406" s="76"/>
      <c r="AD406" s="76"/>
      <c r="AE406" s="76"/>
      <c r="AF406" s="76"/>
      <c r="AG406" s="76"/>
      <c r="AH406" s="76"/>
      <c r="AI406" s="76"/>
      <c r="AJ406" s="76"/>
      <c r="AK406" s="76"/>
      <c r="AL406" s="76"/>
      <c r="AM406" s="76"/>
      <c r="AN406" s="73"/>
      <c r="AO406" s="57"/>
      <c r="AP406" s="45"/>
      <c r="AQ406" s="45"/>
      <c r="AR406" s="45"/>
      <c r="AS406" s="437"/>
      <c r="AT406" s="437"/>
    </row>
    <row r="407" spans="1:46" outlineLevel="3" x14ac:dyDescent="0.25">
      <c r="A407" s="45"/>
      <c r="B407" s="54"/>
      <c r="C407" s="87">
        <f t="shared" si="88"/>
        <v>4</v>
      </c>
      <c r="D407" s="73"/>
      <c r="E407" s="70"/>
      <c r="F407" s="70"/>
      <c r="G407" s="73"/>
      <c r="H407" s="284" t="s">
        <v>415</v>
      </c>
      <c r="I407" s="177">
        <v>6</v>
      </c>
      <c r="J407" s="79" t="b">
        <v>1</v>
      </c>
      <c r="K407" s="79" t="b">
        <v>0</v>
      </c>
      <c r="L407" s="79" t="b">
        <v>0</v>
      </c>
      <c r="M407" s="79">
        <v>1</v>
      </c>
      <c r="N407" s="99">
        <v>0</v>
      </c>
      <c r="O407" s="99">
        <v>0</v>
      </c>
      <c r="P407" s="99">
        <v>0</v>
      </c>
      <c r="Q407" s="99">
        <v>0</v>
      </c>
      <c r="R407" s="99">
        <v>0</v>
      </c>
      <c r="S407" s="99">
        <v>0</v>
      </c>
      <c r="T407" s="99">
        <v>0</v>
      </c>
      <c r="U407" s="99">
        <v>0</v>
      </c>
      <c r="V407" s="76"/>
      <c r="W407" s="76"/>
      <c r="X407" s="76"/>
      <c r="Y407" s="76"/>
      <c r="Z407" s="76"/>
      <c r="AA407" s="76"/>
      <c r="AB407" s="76"/>
      <c r="AC407" s="76"/>
      <c r="AD407" s="76"/>
      <c r="AE407" s="76"/>
      <c r="AF407" s="76"/>
      <c r="AG407" s="76"/>
      <c r="AH407" s="76"/>
      <c r="AI407" s="76"/>
      <c r="AJ407" s="76"/>
      <c r="AK407" s="76"/>
      <c r="AL407" s="76"/>
      <c r="AM407" s="76"/>
      <c r="AN407" s="73"/>
      <c r="AO407" s="57"/>
      <c r="AP407" s="45"/>
      <c r="AQ407" s="45"/>
      <c r="AR407" s="45"/>
      <c r="AS407" s="437"/>
      <c r="AT407" s="437"/>
    </row>
    <row r="408" spans="1:46" outlineLevel="3" x14ac:dyDescent="0.25">
      <c r="A408" s="45"/>
      <c r="B408" s="54"/>
      <c r="C408" s="87">
        <f t="shared" si="88"/>
        <v>4</v>
      </c>
      <c r="D408" s="73"/>
      <c r="E408" s="70"/>
      <c r="F408" s="70"/>
      <c r="G408" s="73"/>
      <c r="H408" s="284" t="s">
        <v>3230</v>
      </c>
      <c r="I408" s="96">
        <v>7</v>
      </c>
      <c r="J408" s="79" t="b">
        <v>1</v>
      </c>
      <c r="K408" s="79" t="b">
        <v>1</v>
      </c>
      <c r="L408" s="79" t="b">
        <v>1</v>
      </c>
      <c r="M408" s="79">
        <v>14</v>
      </c>
      <c r="N408" s="99">
        <v>0</v>
      </c>
      <c r="O408" s="99">
        <v>0</v>
      </c>
      <c r="P408" s="99">
        <v>0</v>
      </c>
      <c r="Q408" s="99">
        <v>0</v>
      </c>
      <c r="R408" s="99">
        <v>0</v>
      </c>
      <c r="S408" s="99">
        <v>0</v>
      </c>
      <c r="T408" s="99">
        <v>0</v>
      </c>
      <c r="U408" s="99">
        <v>0</v>
      </c>
      <c r="V408" s="76"/>
      <c r="W408" s="76"/>
      <c r="X408" s="76"/>
      <c r="Y408" s="76"/>
      <c r="Z408" s="76"/>
      <c r="AA408" s="76"/>
      <c r="AB408" s="76"/>
      <c r="AC408" s="76"/>
      <c r="AD408" s="76"/>
      <c r="AE408" s="76"/>
      <c r="AF408" s="76"/>
      <c r="AG408" s="76"/>
      <c r="AH408" s="76"/>
      <c r="AI408" s="76"/>
      <c r="AJ408" s="76"/>
      <c r="AK408" s="76"/>
      <c r="AL408" s="76"/>
      <c r="AM408" s="76"/>
      <c r="AN408" s="73"/>
      <c r="AO408" s="57"/>
      <c r="AP408" s="45"/>
      <c r="AQ408" s="45"/>
      <c r="AR408" s="45"/>
      <c r="AS408" s="437"/>
      <c r="AT408" s="437"/>
    </row>
    <row r="409" spans="1:46" outlineLevel="3" x14ac:dyDescent="0.25">
      <c r="A409" s="45"/>
      <c r="B409" s="54"/>
      <c r="C409" s="87">
        <f t="shared" si="88"/>
        <v>4</v>
      </c>
      <c r="D409" s="73"/>
      <c r="E409" s="70"/>
      <c r="F409" s="70"/>
      <c r="G409" s="73"/>
      <c r="H409" s="284"/>
      <c r="I409" s="177">
        <v>8</v>
      </c>
      <c r="J409" s="79" t="b">
        <v>0</v>
      </c>
      <c r="K409" s="79" t="b">
        <v>0</v>
      </c>
      <c r="L409" s="79" t="b">
        <v>0</v>
      </c>
      <c r="M409" s="79">
        <v>1</v>
      </c>
      <c r="N409" s="300">
        <v>0</v>
      </c>
      <c r="O409" s="300">
        <v>0</v>
      </c>
      <c r="P409" s="300">
        <v>0</v>
      </c>
      <c r="Q409" s="300">
        <v>0</v>
      </c>
      <c r="R409" s="300">
        <v>0</v>
      </c>
      <c r="S409" s="300">
        <v>0</v>
      </c>
      <c r="T409" s="300">
        <v>0</v>
      </c>
      <c r="U409" s="300">
        <v>0</v>
      </c>
      <c r="V409" s="76"/>
      <c r="W409" s="76"/>
      <c r="X409" s="76"/>
      <c r="Y409" s="76"/>
      <c r="Z409" s="76"/>
      <c r="AA409" s="76"/>
      <c r="AB409" s="76"/>
      <c r="AC409" s="76"/>
      <c r="AD409" s="76"/>
      <c r="AE409" s="76"/>
      <c r="AF409" s="76"/>
      <c r="AG409" s="76"/>
      <c r="AH409" s="76"/>
      <c r="AI409" s="76"/>
      <c r="AJ409" s="76"/>
      <c r="AK409" s="76"/>
      <c r="AL409" s="76"/>
      <c r="AM409" s="76"/>
      <c r="AN409" s="73"/>
      <c r="AO409" s="57"/>
      <c r="AP409" s="45"/>
      <c r="AQ409" s="45"/>
      <c r="AR409" s="45"/>
      <c r="AS409" s="437"/>
      <c r="AT409" s="437"/>
    </row>
    <row r="410" spans="1:46" outlineLevel="3" x14ac:dyDescent="0.25">
      <c r="A410" s="45"/>
      <c r="B410" s="54"/>
      <c r="C410" s="87">
        <f t="shared" si="88"/>
        <v>4</v>
      </c>
      <c r="D410" s="73"/>
      <c r="E410" s="70"/>
      <c r="F410" s="70"/>
      <c r="G410" s="73"/>
      <c r="H410" s="284"/>
      <c r="I410" s="96">
        <v>9</v>
      </c>
      <c r="J410" s="79" t="b">
        <v>0</v>
      </c>
      <c r="K410" s="79" t="b">
        <v>0</v>
      </c>
      <c r="L410" s="79" t="b">
        <v>0</v>
      </c>
      <c r="M410" s="79">
        <v>1</v>
      </c>
      <c r="N410" s="300">
        <v>0</v>
      </c>
      <c r="O410" s="300">
        <v>0</v>
      </c>
      <c r="P410" s="300">
        <v>0</v>
      </c>
      <c r="Q410" s="300">
        <v>0</v>
      </c>
      <c r="R410" s="300">
        <v>0</v>
      </c>
      <c r="S410" s="300">
        <v>0</v>
      </c>
      <c r="T410" s="300">
        <v>0</v>
      </c>
      <c r="U410" s="300">
        <v>0</v>
      </c>
      <c r="V410" s="76"/>
      <c r="W410" s="76"/>
      <c r="X410" s="76"/>
      <c r="Y410" s="76"/>
      <c r="Z410" s="76"/>
      <c r="AA410" s="76"/>
      <c r="AB410" s="76"/>
      <c r="AC410" s="76"/>
      <c r="AD410" s="76"/>
      <c r="AE410" s="76"/>
      <c r="AF410" s="76"/>
      <c r="AG410" s="76"/>
      <c r="AH410" s="76"/>
      <c r="AI410" s="76"/>
      <c r="AJ410" s="76"/>
      <c r="AK410" s="76"/>
      <c r="AL410" s="76"/>
      <c r="AM410" s="76"/>
      <c r="AN410" s="73"/>
      <c r="AO410" s="57"/>
      <c r="AP410" s="45"/>
      <c r="AQ410" s="45"/>
      <c r="AR410" s="45"/>
      <c r="AS410" s="437"/>
      <c r="AT410" s="437"/>
    </row>
    <row r="411" spans="1:46" outlineLevel="3" x14ac:dyDescent="0.25">
      <c r="A411" s="45"/>
      <c r="B411" s="54"/>
      <c r="C411" s="87">
        <f t="shared" si="88"/>
        <v>4</v>
      </c>
      <c r="D411" s="73"/>
      <c r="E411" s="70"/>
      <c r="F411" s="70"/>
      <c r="G411" s="73"/>
      <c r="H411" s="284" t="s">
        <v>416</v>
      </c>
      <c r="I411" s="177">
        <v>10</v>
      </c>
      <c r="J411" s="79" t="b">
        <v>1</v>
      </c>
      <c r="K411" s="79" t="b">
        <v>1</v>
      </c>
      <c r="L411" s="79" t="b">
        <v>0</v>
      </c>
      <c r="M411" s="79">
        <v>1</v>
      </c>
      <c r="N411" s="300">
        <v>0</v>
      </c>
      <c r="O411" s="300">
        <v>0</v>
      </c>
      <c r="P411" s="300">
        <v>0</v>
      </c>
      <c r="Q411" s="300">
        <v>0</v>
      </c>
      <c r="R411" s="301">
        <v>1</v>
      </c>
      <c r="S411" s="301">
        <v>1</v>
      </c>
      <c r="T411" s="300">
        <v>0</v>
      </c>
      <c r="U411" s="300">
        <v>0</v>
      </c>
      <c r="V411" s="76"/>
      <c r="W411" s="76"/>
      <c r="X411" s="76"/>
      <c r="Y411" s="76"/>
      <c r="Z411" s="76"/>
      <c r="AA411" s="76"/>
      <c r="AB411" s="76"/>
      <c r="AC411" s="76"/>
      <c r="AD411" s="76"/>
      <c r="AE411" s="76"/>
      <c r="AF411" s="76"/>
      <c r="AG411" s="76"/>
      <c r="AH411" s="76"/>
      <c r="AI411" s="76"/>
      <c r="AJ411" s="76"/>
      <c r="AK411" s="76"/>
      <c r="AL411" s="76"/>
      <c r="AM411" s="76"/>
      <c r="AN411" s="73"/>
      <c r="AO411" s="57"/>
      <c r="AP411" s="45"/>
      <c r="AQ411" s="45"/>
      <c r="AR411" s="45"/>
      <c r="AS411" s="437"/>
      <c r="AT411" s="437"/>
    </row>
    <row r="412" spans="1:46" outlineLevel="3" x14ac:dyDescent="0.25">
      <c r="A412" s="45"/>
      <c r="B412" s="54"/>
      <c r="C412" s="87">
        <f t="shared" si="88"/>
        <v>4</v>
      </c>
      <c r="D412" s="73"/>
      <c r="E412" s="70"/>
      <c r="F412" s="70"/>
      <c r="G412" s="73"/>
      <c r="H412" s="284" t="s">
        <v>417</v>
      </c>
      <c r="I412" s="96">
        <v>11</v>
      </c>
      <c r="J412" s="79" t="b">
        <v>1</v>
      </c>
      <c r="K412" s="79" t="b">
        <v>1</v>
      </c>
      <c r="L412" s="79" t="b">
        <v>0</v>
      </c>
      <c r="M412" s="79">
        <v>1</v>
      </c>
      <c r="N412" s="300">
        <v>0</v>
      </c>
      <c r="O412" s="300">
        <v>0</v>
      </c>
      <c r="P412" s="300">
        <v>0</v>
      </c>
      <c r="Q412" s="300">
        <v>0</v>
      </c>
      <c r="R412" s="99">
        <v>0</v>
      </c>
      <c r="S412" s="99">
        <v>0</v>
      </c>
      <c r="T412" s="300">
        <v>0</v>
      </c>
      <c r="U412" s="300">
        <v>0</v>
      </c>
      <c r="V412" s="76"/>
      <c r="W412" s="76"/>
      <c r="X412" s="76"/>
      <c r="Y412" s="76"/>
      <c r="Z412" s="76"/>
      <c r="AA412" s="76"/>
      <c r="AB412" s="76"/>
      <c r="AC412" s="76"/>
      <c r="AD412" s="76"/>
      <c r="AE412" s="76"/>
      <c r="AF412" s="76"/>
      <c r="AG412" s="76"/>
      <c r="AH412" s="76"/>
      <c r="AI412" s="76"/>
      <c r="AJ412" s="76"/>
      <c r="AK412" s="76"/>
      <c r="AL412" s="76"/>
      <c r="AM412" s="76"/>
      <c r="AN412" s="73"/>
      <c r="AO412" s="57"/>
      <c r="AP412" s="45"/>
      <c r="AQ412" s="45"/>
      <c r="AR412" s="45"/>
      <c r="AS412" s="437"/>
      <c r="AT412" s="437"/>
    </row>
    <row r="413" spans="1:46" outlineLevel="3" x14ac:dyDescent="0.25">
      <c r="A413" s="45"/>
      <c r="B413" s="54"/>
      <c r="C413" s="87">
        <f t="shared" si="88"/>
        <v>4</v>
      </c>
      <c r="D413" s="73"/>
      <c r="E413" s="70"/>
      <c r="F413" s="70"/>
      <c r="G413" s="73"/>
      <c r="H413" s="284" t="s">
        <v>418</v>
      </c>
      <c r="I413" s="177">
        <v>12</v>
      </c>
      <c r="J413" s="79" t="b">
        <v>1</v>
      </c>
      <c r="K413" s="79" t="b">
        <v>1</v>
      </c>
      <c r="L413" s="79" t="b">
        <v>0</v>
      </c>
      <c r="M413" s="79">
        <v>1</v>
      </c>
      <c r="N413" s="99">
        <v>0</v>
      </c>
      <c r="O413" s="99">
        <v>0</v>
      </c>
      <c r="P413" s="99">
        <v>0</v>
      </c>
      <c r="Q413" s="99">
        <v>0</v>
      </c>
      <c r="R413" s="99">
        <v>0</v>
      </c>
      <c r="S413" s="99">
        <v>0</v>
      </c>
      <c r="T413" s="99">
        <v>0</v>
      </c>
      <c r="U413" s="99">
        <v>0</v>
      </c>
      <c r="V413" s="76"/>
      <c r="W413" s="76"/>
      <c r="X413" s="76"/>
      <c r="Y413" s="76"/>
      <c r="Z413" s="76"/>
      <c r="AA413" s="76"/>
      <c r="AB413" s="76"/>
      <c r="AC413" s="76"/>
      <c r="AD413" s="76"/>
      <c r="AE413" s="76"/>
      <c r="AF413" s="76"/>
      <c r="AG413" s="76"/>
      <c r="AH413" s="76"/>
      <c r="AI413" s="76"/>
      <c r="AJ413" s="76"/>
      <c r="AK413" s="76"/>
      <c r="AL413" s="76"/>
      <c r="AM413" s="76"/>
      <c r="AN413" s="73"/>
      <c r="AO413" s="57"/>
      <c r="AP413" s="45"/>
      <c r="AQ413" s="45"/>
      <c r="AR413" s="45"/>
      <c r="AS413" s="437"/>
      <c r="AT413" s="437"/>
    </row>
    <row r="414" spans="1:46" outlineLevel="3" x14ac:dyDescent="0.25">
      <c r="A414" s="45"/>
      <c r="B414" s="54"/>
      <c r="C414" s="87">
        <f t="shared" si="88"/>
        <v>4</v>
      </c>
      <c r="D414" s="73"/>
      <c r="E414" s="70"/>
      <c r="F414" s="70"/>
      <c r="G414" s="73"/>
      <c r="H414" s="284" t="s">
        <v>2864</v>
      </c>
      <c r="I414" s="96">
        <v>13</v>
      </c>
      <c r="J414" s="79" t="b">
        <v>1</v>
      </c>
      <c r="K414" s="79" t="b">
        <v>0</v>
      </c>
      <c r="L414" s="79" t="b">
        <v>0</v>
      </c>
      <c r="M414" s="79">
        <v>1</v>
      </c>
      <c r="N414" s="99">
        <v>0</v>
      </c>
      <c r="O414" s="99">
        <v>0</v>
      </c>
      <c r="P414" s="99">
        <v>0</v>
      </c>
      <c r="Q414" s="99">
        <v>0</v>
      </c>
      <c r="R414" s="99">
        <v>0</v>
      </c>
      <c r="S414" s="99">
        <v>0</v>
      </c>
      <c r="T414" s="99">
        <v>0</v>
      </c>
      <c r="U414" s="99">
        <v>0</v>
      </c>
      <c r="V414" s="76"/>
      <c r="W414" s="76"/>
      <c r="X414" s="76"/>
      <c r="Y414" s="76"/>
      <c r="Z414" s="76"/>
      <c r="AA414" s="76"/>
      <c r="AB414" s="76"/>
      <c r="AC414" s="76"/>
      <c r="AD414" s="76"/>
      <c r="AE414" s="76"/>
      <c r="AF414" s="76"/>
      <c r="AG414" s="76"/>
      <c r="AH414" s="76"/>
      <c r="AI414" s="76"/>
      <c r="AJ414" s="76"/>
      <c r="AK414" s="76"/>
      <c r="AL414" s="76"/>
      <c r="AM414" s="76"/>
      <c r="AN414" s="73"/>
      <c r="AO414" s="57"/>
      <c r="AP414" s="45"/>
      <c r="AQ414" s="45"/>
      <c r="AR414" s="45"/>
      <c r="AS414" s="437"/>
      <c r="AT414" s="437"/>
    </row>
    <row r="415" spans="1:46" outlineLevel="3" x14ac:dyDescent="0.25">
      <c r="A415" s="45"/>
      <c r="B415" s="54"/>
      <c r="C415" s="87">
        <f t="shared" si="88"/>
        <v>4</v>
      </c>
      <c r="D415" s="73"/>
      <c r="E415" s="70"/>
      <c r="F415" s="70"/>
      <c r="G415" s="73"/>
      <c r="H415" s="284" t="s">
        <v>2140</v>
      </c>
      <c r="I415" s="177">
        <v>14</v>
      </c>
      <c r="J415" s="79" t="b">
        <v>0</v>
      </c>
      <c r="K415" s="79" t="b">
        <v>1</v>
      </c>
      <c r="L415" s="79" t="b">
        <v>0</v>
      </c>
      <c r="M415" s="79">
        <v>2</v>
      </c>
      <c r="N415" s="300">
        <v>0</v>
      </c>
      <c r="O415" s="300">
        <v>0</v>
      </c>
      <c r="P415" s="301">
        <v>1</v>
      </c>
      <c r="Q415" s="301">
        <v>1</v>
      </c>
      <c r="R415" s="300">
        <v>0</v>
      </c>
      <c r="S415" s="300">
        <v>0</v>
      </c>
      <c r="T415" s="300">
        <v>0</v>
      </c>
      <c r="U415" s="300">
        <v>0</v>
      </c>
      <c r="V415" s="76"/>
      <c r="W415" s="76"/>
      <c r="X415" s="76"/>
      <c r="Y415" s="76"/>
      <c r="Z415" s="76"/>
      <c r="AA415" s="76"/>
      <c r="AB415" s="76"/>
      <c r="AC415" s="76"/>
      <c r="AD415" s="76"/>
      <c r="AE415" s="76"/>
      <c r="AF415" s="76"/>
      <c r="AG415" s="76"/>
      <c r="AH415" s="76"/>
      <c r="AI415" s="76"/>
      <c r="AJ415" s="76"/>
      <c r="AK415" s="76"/>
      <c r="AL415" s="76"/>
      <c r="AM415" s="76"/>
      <c r="AN415" s="73"/>
      <c r="AO415" s="57"/>
      <c r="AP415" s="45"/>
      <c r="AQ415" s="45"/>
      <c r="AR415" s="45"/>
      <c r="AS415" s="437"/>
      <c r="AT415" s="437"/>
    </row>
    <row r="416" spans="1:46" outlineLevel="3" x14ac:dyDescent="0.25">
      <c r="A416" s="45"/>
      <c r="B416" s="54"/>
      <c r="C416" s="87">
        <f t="shared" si="88"/>
        <v>4</v>
      </c>
      <c r="D416" s="73"/>
      <c r="E416" s="70"/>
      <c r="F416" s="70"/>
      <c r="G416" s="73"/>
      <c r="H416" s="284" t="s">
        <v>2213</v>
      </c>
      <c r="I416" s="96">
        <v>15</v>
      </c>
      <c r="J416" s="79" t="b">
        <v>1</v>
      </c>
      <c r="K416" s="79" t="b">
        <v>1</v>
      </c>
      <c r="L416" s="79" t="b">
        <v>0</v>
      </c>
      <c r="M416" s="79">
        <v>1</v>
      </c>
      <c r="N416" s="301">
        <v>1</v>
      </c>
      <c r="O416" s="301">
        <v>1</v>
      </c>
      <c r="P416" s="301">
        <v>1</v>
      </c>
      <c r="Q416" s="301">
        <v>1</v>
      </c>
      <c r="R416" s="301">
        <v>1</v>
      </c>
      <c r="S416" s="301">
        <v>1</v>
      </c>
      <c r="T416" s="301">
        <v>1</v>
      </c>
      <c r="U416" s="301">
        <v>1</v>
      </c>
      <c r="V416" s="76"/>
      <c r="W416" s="76"/>
      <c r="X416" s="76"/>
      <c r="Y416" s="76"/>
      <c r="Z416" s="76"/>
      <c r="AA416" s="76"/>
      <c r="AB416" s="76"/>
      <c r="AC416" s="76"/>
      <c r="AD416" s="76"/>
      <c r="AE416" s="76"/>
      <c r="AF416" s="76"/>
      <c r="AG416" s="76"/>
      <c r="AH416" s="76"/>
      <c r="AI416" s="76"/>
      <c r="AJ416" s="76"/>
      <c r="AK416" s="76"/>
      <c r="AL416" s="76"/>
      <c r="AM416" s="76"/>
      <c r="AN416" s="73"/>
      <c r="AO416" s="57"/>
      <c r="AP416" s="45"/>
      <c r="AQ416" s="45"/>
      <c r="AR416" s="45"/>
      <c r="AS416" s="437"/>
      <c r="AT416" s="437"/>
    </row>
    <row r="417" spans="1:46" outlineLevel="3" x14ac:dyDescent="0.25">
      <c r="A417" s="45"/>
      <c r="B417" s="54"/>
      <c r="C417" s="87">
        <f t="shared" si="88"/>
        <v>4</v>
      </c>
      <c r="D417" s="73"/>
      <c r="E417" s="70"/>
      <c r="F417" s="70"/>
      <c r="G417" s="73"/>
      <c r="H417" s="284" t="s">
        <v>2252</v>
      </c>
      <c r="I417" s="177">
        <v>16</v>
      </c>
      <c r="J417" s="79" t="b">
        <v>1</v>
      </c>
      <c r="K417" s="79" t="b">
        <v>1</v>
      </c>
      <c r="L417" s="79" t="b">
        <v>0</v>
      </c>
      <c r="M417" s="79">
        <v>1</v>
      </c>
      <c r="N417" s="300">
        <v>0</v>
      </c>
      <c r="O417" s="300">
        <v>0</v>
      </c>
      <c r="P417" s="99">
        <v>1</v>
      </c>
      <c r="Q417" s="99">
        <v>1</v>
      </c>
      <c r="R417" s="300">
        <v>0</v>
      </c>
      <c r="S417" s="300">
        <v>0</v>
      </c>
      <c r="T417" s="300">
        <v>0</v>
      </c>
      <c r="U417" s="300">
        <v>0</v>
      </c>
      <c r="V417" s="76"/>
      <c r="W417" s="76"/>
      <c r="X417" s="76"/>
      <c r="Y417" s="76"/>
      <c r="Z417" s="76"/>
      <c r="AA417" s="76"/>
      <c r="AB417" s="76"/>
      <c r="AC417" s="76"/>
      <c r="AD417" s="76"/>
      <c r="AE417" s="76"/>
      <c r="AF417" s="76"/>
      <c r="AG417" s="76"/>
      <c r="AH417" s="76"/>
      <c r="AI417" s="76"/>
      <c r="AJ417" s="76"/>
      <c r="AK417" s="76"/>
      <c r="AL417" s="76"/>
      <c r="AM417" s="76"/>
      <c r="AN417" s="73"/>
      <c r="AO417" s="57"/>
      <c r="AP417" s="45"/>
      <c r="AQ417" s="45"/>
      <c r="AR417" s="45"/>
      <c r="AS417" s="437"/>
      <c r="AT417" s="437"/>
    </row>
    <row r="418" spans="1:46" outlineLevel="3" x14ac:dyDescent="0.25">
      <c r="A418" s="45"/>
      <c r="B418" s="54"/>
      <c r="C418" s="87">
        <f t="shared" si="88"/>
        <v>4</v>
      </c>
      <c r="D418" s="73"/>
      <c r="E418" s="70"/>
      <c r="F418" s="70"/>
      <c r="G418" s="73"/>
      <c r="H418" s="284"/>
      <c r="I418" s="96">
        <v>17</v>
      </c>
      <c r="J418" s="79" t="b">
        <v>0</v>
      </c>
      <c r="K418" s="79" t="b">
        <v>0</v>
      </c>
      <c r="L418" s="79" t="b">
        <v>0</v>
      </c>
      <c r="M418" s="79">
        <v>1</v>
      </c>
      <c r="N418" s="300">
        <v>0</v>
      </c>
      <c r="O418" s="300">
        <v>0</v>
      </c>
      <c r="P418" s="300">
        <v>0</v>
      </c>
      <c r="Q418" s="300">
        <v>0</v>
      </c>
      <c r="R418" s="300">
        <v>0</v>
      </c>
      <c r="S418" s="300">
        <v>0</v>
      </c>
      <c r="T418" s="300">
        <v>0</v>
      </c>
      <c r="U418" s="300">
        <v>0</v>
      </c>
      <c r="V418" s="76"/>
      <c r="W418" s="76"/>
      <c r="X418" s="76"/>
      <c r="Y418" s="76"/>
      <c r="Z418" s="76"/>
      <c r="AA418" s="76"/>
      <c r="AB418" s="76"/>
      <c r="AC418" s="76"/>
      <c r="AD418" s="76"/>
      <c r="AE418" s="76"/>
      <c r="AF418" s="76"/>
      <c r="AG418" s="76"/>
      <c r="AH418" s="76"/>
      <c r="AI418" s="76"/>
      <c r="AJ418" s="76"/>
      <c r="AK418" s="76"/>
      <c r="AL418" s="76"/>
      <c r="AM418" s="76"/>
      <c r="AN418" s="73"/>
      <c r="AO418" s="57"/>
      <c r="AP418" s="45"/>
      <c r="AQ418" s="45"/>
      <c r="AR418" s="45"/>
      <c r="AS418" s="437"/>
      <c r="AT418" s="437"/>
    </row>
    <row r="419" spans="1:46" outlineLevel="3" x14ac:dyDescent="0.25">
      <c r="A419" s="45"/>
      <c r="B419" s="54"/>
      <c r="C419" s="87">
        <f t="shared" si="88"/>
        <v>4</v>
      </c>
      <c r="D419" s="73"/>
      <c r="E419" s="70"/>
      <c r="F419" s="70"/>
      <c r="G419" s="73"/>
      <c r="H419" s="284"/>
      <c r="I419" s="96">
        <v>18</v>
      </c>
      <c r="J419" s="79" t="b">
        <v>0</v>
      </c>
      <c r="K419" s="79" t="b">
        <v>0</v>
      </c>
      <c r="L419" s="79" t="b">
        <v>0</v>
      </c>
      <c r="M419" s="79">
        <v>1</v>
      </c>
      <c r="N419" s="300">
        <v>0</v>
      </c>
      <c r="O419" s="300">
        <v>0</v>
      </c>
      <c r="P419" s="300">
        <v>0</v>
      </c>
      <c r="Q419" s="300">
        <v>0</v>
      </c>
      <c r="R419" s="300">
        <v>0</v>
      </c>
      <c r="S419" s="300">
        <v>0</v>
      </c>
      <c r="T419" s="300">
        <v>0</v>
      </c>
      <c r="U419" s="300">
        <v>0</v>
      </c>
      <c r="V419" s="76"/>
      <c r="W419" s="76"/>
      <c r="X419" s="76"/>
      <c r="Y419" s="76"/>
      <c r="Z419" s="76"/>
      <c r="AA419" s="76"/>
      <c r="AB419" s="76"/>
      <c r="AC419" s="76"/>
      <c r="AD419" s="76"/>
      <c r="AE419" s="76"/>
      <c r="AF419" s="76"/>
      <c r="AG419" s="76"/>
      <c r="AH419" s="76"/>
      <c r="AI419" s="76"/>
      <c r="AJ419" s="76"/>
      <c r="AK419" s="76"/>
      <c r="AL419" s="76"/>
      <c r="AM419" s="76"/>
      <c r="AN419" s="73"/>
      <c r="AO419" s="57"/>
      <c r="AP419" s="45"/>
      <c r="AQ419" s="45"/>
      <c r="AR419" s="45"/>
      <c r="AS419" s="437"/>
      <c r="AT419" s="437"/>
    </row>
    <row r="420" spans="1:46" outlineLevel="3" x14ac:dyDescent="0.25">
      <c r="A420" s="45"/>
      <c r="B420" s="54"/>
      <c r="C420" s="87">
        <f t="shared" si="88"/>
        <v>4</v>
      </c>
      <c r="D420" s="73"/>
      <c r="E420" s="70"/>
      <c r="F420" s="70"/>
      <c r="G420" s="73"/>
      <c r="H420" s="76"/>
      <c r="I420" s="76"/>
      <c r="J420" s="7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3"/>
      <c r="AO420" s="57"/>
      <c r="AP420" s="45"/>
      <c r="AQ420" s="45"/>
      <c r="AR420" s="45"/>
      <c r="AS420" s="437"/>
      <c r="AT420" s="437"/>
    </row>
    <row r="421" spans="1:46" outlineLevel="3" x14ac:dyDescent="0.25">
      <c r="A421" s="45"/>
      <c r="B421" s="54"/>
      <c r="C421" s="87">
        <f t="shared" si="88"/>
        <v>4</v>
      </c>
      <c r="D421" s="73"/>
      <c r="E421" s="70"/>
      <c r="F421" s="70"/>
      <c r="G421" s="73"/>
      <c r="H421" s="76"/>
      <c r="I421" s="76"/>
      <c r="J421" s="76"/>
      <c r="K421" s="76"/>
      <c r="L421" s="76"/>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3"/>
      <c r="AO421" s="57"/>
      <c r="AP421" s="45"/>
      <c r="AQ421" s="45"/>
      <c r="AR421" s="45"/>
      <c r="AS421" s="437"/>
      <c r="AT421" s="437"/>
    </row>
    <row r="422" spans="1:46" ht="5.0999999999999996" customHeight="1" outlineLevel="2" x14ac:dyDescent="0.25">
      <c r="A422" s="45"/>
      <c r="B422" s="54"/>
      <c r="C422" s="87">
        <f>INT($C$387)+2.005</f>
        <v>3.0049999999999999</v>
      </c>
      <c r="D422" s="73"/>
      <c r="E422" s="73"/>
      <c r="F422" s="73"/>
      <c r="G422" s="73"/>
      <c r="H422" s="73"/>
      <c r="I422" s="73"/>
      <c r="J422" s="73"/>
      <c r="K422" s="73"/>
      <c r="L422" s="73"/>
      <c r="M422" s="73"/>
      <c r="N422" s="73"/>
      <c r="O422" s="73"/>
      <c r="P422" s="73"/>
      <c r="Q422" s="73"/>
      <c r="R422" s="73"/>
      <c r="S422" s="73"/>
      <c r="T422" s="73"/>
      <c r="U422" s="73"/>
      <c r="V422" s="73"/>
      <c r="W422" s="73"/>
      <c r="X422" s="73"/>
      <c r="Y422" s="73"/>
      <c r="Z422" s="73"/>
      <c r="AA422" s="73"/>
      <c r="AB422" s="73"/>
      <c r="AC422" s="73"/>
      <c r="AD422" s="73"/>
      <c r="AE422" s="73"/>
      <c r="AF422" s="73"/>
      <c r="AG422" s="73"/>
      <c r="AH422" s="73"/>
      <c r="AI422" s="73"/>
      <c r="AJ422" s="73"/>
      <c r="AK422" s="73"/>
      <c r="AL422" s="73"/>
      <c r="AM422" s="73"/>
      <c r="AN422" s="73"/>
      <c r="AO422" s="57"/>
      <c r="AP422" s="45"/>
      <c r="AQ422" s="45"/>
      <c r="AR422" s="45"/>
      <c r="AS422" s="437"/>
      <c r="AT422" s="437"/>
    </row>
    <row r="423" spans="1:46" ht="5.0999999999999996" customHeight="1" outlineLevel="1" x14ac:dyDescent="0.25">
      <c r="A423" s="45"/>
      <c r="B423" s="81"/>
      <c r="C423" s="100">
        <f>INT($C$387)+1.005</f>
        <v>2.0049999999999999</v>
      </c>
      <c r="D423" s="83"/>
      <c r="E423" s="83"/>
      <c r="F423" s="83"/>
      <c r="G423" s="83"/>
      <c r="H423" s="83"/>
      <c r="I423" s="83"/>
      <c r="J423" s="83"/>
      <c r="K423" s="83"/>
      <c r="L423" s="83"/>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4" t="s">
        <v>145</v>
      </c>
      <c r="AP423" s="45"/>
      <c r="AQ423" s="45"/>
      <c r="AR423" s="45"/>
      <c r="AS423" s="437"/>
      <c r="AT423" s="437"/>
    </row>
    <row r="424" spans="1:46" ht="5.0999999999999996" customHeight="1" x14ac:dyDescent="0.25">
      <c r="A424" s="45"/>
      <c r="B424" s="85"/>
      <c r="C424" s="102">
        <f>INT($C$387)+0.005</f>
        <v>1.0049999999999999</v>
      </c>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85"/>
      <c r="AJ424" s="85"/>
      <c r="AK424" s="85"/>
      <c r="AL424" s="85"/>
      <c r="AM424" s="85"/>
      <c r="AN424" s="85"/>
      <c r="AO424" s="85"/>
      <c r="AP424" s="45"/>
      <c r="AQ424" s="45"/>
      <c r="AR424" s="45"/>
      <c r="AS424" s="437"/>
      <c r="AT424" s="437"/>
    </row>
    <row r="425" spans="1:46" outlineLevel="2" x14ac:dyDescent="0.25">
      <c r="A425" s="45"/>
      <c r="B425" s="45"/>
      <c r="C425" s="87">
        <f>INT($C$387)+2</f>
        <v>3</v>
      </c>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37"/>
      <c r="AT425" s="437"/>
    </row>
    <row r="426" spans="1:46" outlineLevel="2" x14ac:dyDescent="0.25">
      <c r="A426" s="45"/>
      <c r="B426" s="45"/>
      <c r="C426" s="87">
        <f>INT($C$6)+2</f>
        <v>3</v>
      </c>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37"/>
      <c r="AT426" s="437"/>
    </row>
  </sheetData>
  <mergeCells count="2">
    <mergeCell ref="J11:X11"/>
    <mergeCell ref="J12:X12"/>
  </mergeCells>
  <conditionalFormatting sqref="J401:L419">
    <cfRule type="cellIs" dxfId="2" priority="2" operator="equal">
      <formula>FALSE</formula>
    </cfRule>
  </conditionalFormatting>
  <conditionalFormatting sqref="J268:U283">
    <cfRule type="expression" dxfId="1" priority="3">
      <formula>(J268=0)</formula>
    </cfRule>
  </conditionalFormatting>
  <conditionalFormatting sqref="L96:M114">
    <cfRule type="expression" dxfId="0" priority="1">
      <formula>(L96=0)</formula>
    </cfRule>
  </conditionalFormatting>
  <dataValidations disablePrompts="1" count="1">
    <dataValidation type="list" allowBlank="1" showInputMessage="1" showErrorMessage="1" promptTitle="Sale month" prompt="Select a month for the price report" sqref="BA182" xr:uid="{93393A45-7C1A-43BC-8EFB-691645687FA5}">
      <formula1>$J$267:$U$267</formula1>
    </dataValidation>
  </dataValidation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83D19-AC4D-47DE-B080-377AD9ECDDAC}">
  <dimension ref="A1:AH118"/>
  <sheetViews>
    <sheetView topLeftCell="A45" workbookViewId="0">
      <selection activeCell="L37" sqref="L37"/>
    </sheetView>
  </sheetViews>
  <sheetFormatPr defaultRowHeight="15" x14ac:dyDescent="0.25"/>
  <cols>
    <col min="1" max="1" width="3" customWidth="1"/>
    <col min="2" max="2" width="4.7109375" customWidth="1"/>
    <col min="3" max="3" width="3.85546875" customWidth="1"/>
    <col min="4" max="4" width="2.85546875" customWidth="1"/>
    <col min="5" max="5" width="2.7109375" customWidth="1"/>
    <col min="6" max="6" width="4.5703125" customWidth="1"/>
    <col min="10" max="10" width="4.140625" customWidth="1"/>
  </cols>
  <sheetData>
    <row r="1" spans="1:34" ht="12" customHeight="1" x14ac:dyDescent="0.25">
      <c r="A1" s="7"/>
      <c r="B1" s="8"/>
      <c r="C1" s="8"/>
      <c r="D1" s="8"/>
      <c r="E1" s="8"/>
      <c r="F1" s="8"/>
      <c r="G1" s="8"/>
      <c r="H1" s="9"/>
      <c r="I1" s="9"/>
      <c r="J1" s="9"/>
      <c r="K1" s="9"/>
      <c r="L1" s="9"/>
      <c r="M1" s="9"/>
      <c r="N1" s="9"/>
      <c r="O1" s="9"/>
      <c r="P1" s="9"/>
      <c r="Q1" s="9"/>
      <c r="R1" s="9"/>
      <c r="S1" s="9"/>
      <c r="T1" s="9"/>
      <c r="U1" s="9"/>
      <c r="V1" s="9"/>
      <c r="W1" s="9"/>
      <c r="X1" s="9"/>
      <c r="Y1" s="9"/>
      <c r="Z1" s="9"/>
      <c r="AA1" s="9"/>
      <c r="AB1" s="9"/>
      <c r="AC1" s="9"/>
      <c r="AD1" s="9"/>
      <c r="AE1" s="9"/>
      <c r="AF1" s="8"/>
      <c r="AG1" s="8"/>
      <c r="AH1" s="8"/>
    </row>
    <row r="2" spans="1:34" ht="5.0999999999999996" customHeight="1" thickBot="1" x14ac:dyDescent="0.3">
      <c r="A2" s="7"/>
      <c r="B2" s="8"/>
      <c r="C2" s="8"/>
      <c r="D2" s="8"/>
      <c r="E2" s="8"/>
      <c r="F2" s="8"/>
      <c r="G2" s="8"/>
      <c r="H2" s="9"/>
      <c r="I2" s="9"/>
      <c r="J2" s="9"/>
      <c r="K2" s="9"/>
      <c r="L2" s="9"/>
      <c r="M2" s="9"/>
      <c r="N2" s="9"/>
      <c r="O2" s="9"/>
      <c r="P2" s="9"/>
      <c r="Q2" s="9"/>
      <c r="R2" s="9"/>
      <c r="S2" s="9"/>
      <c r="T2" s="9"/>
      <c r="U2" s="9"/>
      <c r="V2" s="9"/>
      <c r="W2" s="9"/>
      <c r="X2" s="9"/>
      <c r="Y2" s="9"/>
      <c r="Z2" s="9"/>
      <c r="AA2" s="9"/>
      <c r="AB2" s="9"/>
      <c r="AC2" s="9"/>
      <c r="AD2" s="9"/>
      <c r="AE2" s="9"/>
      <c r="AF2" s="8"/>
      <c r="AG2" s="8"/>
      <c r="AH2" s="8"/>
    </row>
    <row r="3" spans="1:34" ht="5.0999999999999996" customHeight="1" x14ac:dyDescent="0.25">
      <c r="A3" s="7"/>
      <c r="B3" s="8"/>
      <c r="C3" s="10" t="s">
        <v>86</v>
      </c>
      <c r="D3" s="10"/>
      <c r="E3" s="10"/>
      <c r="F3" s="10"/>
      <c r="G3" s="10"/>
      <c r="H3" s="10"/>
      <c r="I3" s="10"/>
      <c r="J3" s="10"/>
      <c r="K3" s="10"/>
      <c r="L3" s="11"/>
      <c r="M3" s="11"/>
      <c r="N3" s="11"/>
      <c r="O3" s="11"/>
      <c r="P3" s="11"/>
      <c r="Q3" s="11"/>
      <c r="R3" s="11"/>
      <c r="S3" s="11"/>
      <c r="T3" s="11"/>
      <c r="U3" s="11"/>
      <c r="V3" s="11"/>
      <c r="W3" s="11"/>
      <c r="X3" s="11"/>
      <c r="Y3" s="11"/>
      <c r="Z3" s="11"/>
      <c r="AA3" s="11"/>
      <c r="AB3" s="11"/>
      <c r="AC3" s="11"/>
      <c r="AD3" s="11"/>
      <c r="AE3" s="12"/>
      <c r="AF3" s="9"/>
      <c r="AG3" s="9"/>
      <c r="AH3" s="9"/>
    </row>
    <row r="4" spans="1:34" ht="12" customHeight="1" x14ac:dyDescent="0.25">
      <c r="A4" s="7"/>
      <c r="B4" s="8"/>
      <c r="C4" s="13"/>
      <c r="D4" s="13"/>
      <c r="E4" s="13" t="s">
        <v>87</v>
      </c>
      <c r="F4" s="14"/>
      <c r="G4" s="15" t="s">
        <v>2868</v>
      </c>
      <c r="H4" s="14"/>
      <c r="I4" s="14"/>
      <c r="J4" s="14"/>
      <c r="K4" s="14"/>
      <c r="L4" s="14"/>
      <c r="M4" s="14"/>
      <c r="N4" s="14"/>
      <c r="O4" s="14"/>
      <c r="P4" s="14"/>
      <c r="Q4" s="14"/>
      <c r="R4" s="14"/>
      <c r="S4" s="14"/>
      <c r="T4" s="14"/>
      <c r="U4" s="14"/>
      <c r="V4" s="16"/>
      <c r="W4" s="14"/>
      <c r="X4" s="16"/>
      <c r="Y4" s="16"/>
      <c r="Z4" s="16"/>
      <c r="AA4" s="16"/>
      <c r="AB4" s="16"/>
      <c r="AC4" s="16"/>
      <c r="AD4" s="16"/>
      <c r="AE4" s="17"/>
      <c r="AF4" s="9"/>
      <c r="AG4" s="9"/>
      <c r="AH4" s="9"/>
    </row>
    <row r="5" spans="1:34" ht="12" customHeight="1" x14ac:dyDescent="0.25">
      <c r="A5" s="7"/>
      <c r="B5" s="8"/>
      <c r="C5" s="13"/>
      <c r="D5" s="13"/>
      <c r="E5" s="18"/>
      <c r="F5" s="14"/>
      <c r="G5" s="14" t="s">
        <v>2865</v>
      </c>
      <c r="H5" s="14"/>
      <c r="I5" s="14"/>
      <c r="J5" s="14"/>
      <c r="K5" s="14"/>
      <c r="L5" s="14"/>
      <c r="M5" s="14"/>
      <c r="N5" s="14"/>
      <c r="O5" s="14"/>
      <c r="P5" s="14"/>
      <c r="Q5" s="14"/>
      <c r="R5" s="14"/>
      <c r="S5" s="14"/>
      <c r="T5" s="14"/>
      <c r="U5" s="14"/>
      <c r="V5" s="16"/>
      <c r="W5" s="19"/>
      <c r="X5" s="16"/>
      <c r="Y5" s="16"/>
      <c r="Z5" s="16"/>
      <c r="AA5" s="16"/>
      <c r="AB5" s="16"/>
      <c r="AC5" s="16"/>
      <c r="AD5" s="16"/>
      <c r="AE5" s="17"/>
      <c r="AF5" s="9"/>
      <c r="AG5" s="9"/>
      <c r="AH5" s="9"/>
    </row>
    <row r="6" spans="1:34" ht="12" customHeight="1" x14ac:dyDescent="0.25">
      <c r="A6" s="7"/>
      <c r="B6" s="8"/>
      <c r="C6" s="18"/>
      <c r="D6" s="13"/>
      <c r="E6" s="18"/>
      <c r="F6" s="14"/>
      <c r="G6" s="20">
        <v>2023</v>
      </c>
      <c r="H6" s="14"/>
      <c r="I6" s="14"/>
      <c r="J6" s="14"/>
      <c r="K6" s="14"/>
      <c r="L6" s="14"/>
      <c r="M6" s="14"/>
      <c r="N6" s="14"/>
      <c r="O6" s="14"/>
      <c r="P6" s="14"/>
      <c r="Q6" s="14"/>
      <c r="R6" s="14"/>
      <c r="S6" s="14"/>
      <c r="T6" s="14"/>
      <c r="U6" s="14"/>
      <c r="V6" s="16"/>
      <c r="W6" s="19"/>
      <c r="X6" s="16"/>
      <c r="Y6" s="16"/>
      <c r="Z6" s="16"/>
      <c r="AA6" s="16"/>
      <c r="AB6" s="16"/>
      <c r="AC6" s="16"/>
      <c r="AD6" s="16"/>
      <c r="AE6" s="17"/>
      <c r="AF6" s="9"/>
      <c r="AG6" s="9"/>
      <c r="AH6" s="9"/>
    </row>
    <row r="7" spans="1:34" ht="12" customHeight="1" x14ac:dyDescent="0.25">
      <c r="A7" s="7"/>
      <c r="B7" s="8"/>
      <c r="C7" s="18"/>
      <c r="D7" s="18"/>
      <c r="E7" s="18"/>
      <c r="F7" s="18"/>
      <c r="G7" s="18"/>
      <c r="H7" s="18"/>
      <c r="I7" s="18"/>
      <c r="J7" s="21"/>
      <c r="K7" s="21"/>
      <c r="L7" s="21"/>
      <c r="M7" s="21"/>
      <c r="N7" s="21"/>
      <c r="O7" s="21"/>
      <c r="P7" s="21"/>
      <c r="Q7" s="21"/>
      <c r="R7" s="21"/>
      <c r="S7" s="21"/>
      <c r="T7" s="21"/>
      <c r="U7" s="21"/>
      <c r="V7" s="21"/>
      <c r="W7" s="21"/>
      <c r="X7" s="21"/>
      <c r="Y7" s="21"/>
      <c r="Z7" s="21"/>
      <c r="AA7" s="21"/>
      <c r="AB7" s="21"/>
      <c r="AC7" s="21"/>
      <c r="AD7" s="21"/>
      <c r="AE7" s="17"/>
      <c r="AF7" s="9"/>
      <c r="AG7" s="9"/>
      <c r="AH7" s="9"/>
    </row>
    <row r="8" spans="1:34" ht="12" customHeight="1" x14ac:dyDescent="0.25">
      <c r="A8" s="7"/>
      <c r="B8" s="8"/>
      <c r="C8" s="18"/>
      <c r="D8" s="18"/>
      <c r="E8" s="18"/>
      <c r="F8" s="18"/>
      <c r="G8" s="18"/>
      <c r="H8" s="18"/>
      <c r="I8" s="18"/>
      <c r="J8" s="18"/>
      <c r="K8" s="18"/>
      <c r="L8" s="18"/>
      <c r="M8" s="18"/>
      <c r="N8" s="18"/>
      <c r="O8" s="18"/>
      <c r="P8" s="18"/>
      <c r="Q8" s="18"/>
      <c r="R8" s="18"/>
      <c r="S8" s="18"/>
      <c r="T8" s="18"/>
      <c r="U8" s="18"/>
      <c r="V8" s="18"/>
      <c r="W8" s="18"/>
      <c r="X8" s="18"/>
      <c r="Y8" s="18"/>
      <c r="Z8" s="18"/>
      <c r="AA8" s="18"/>
      <c r="AB8" s="21"/>
      <c r="AC8" s="21"/>
      <c r="AD8" s="21"/>
      <c r="AE8" s="17"/>
      <c r="AF8" s="9"/>
      <c r="AG8" s="9"/>
      <c r="AH8" s="9"/>
    </row>
    <row r="9" spans="1:34" ht="12" customHeight="1" x14ac:dyDescent="0.25">
      <c r="A9" s="7"/>
      <c r="B9" s="8"/>
      <c r="C9" s="18"/>
      <c r="D9" s="18"/>
      <c r="E9" s="18"/>
      <c r="F9" s="18"/>
      <c r="G9" s="18"/>
      <c r="H9" s="18"/>
      <c r="I9" s="18"/>
      <c r="J9" s="18"/>
      <c r="K9" s="18"/>
      <c r="L9" s="18"/>
      <c r="M9" s="18"/>
      <c r="N9" s="18"/>
      <c r="O9" s="18"/>
      <c r="P9" s="18"/>
      <c r="Q9" s="18"/>
      <c r="R9" s="18"/>
      <c r="S9" s="18"/>
      <c r="T9" s="18"/>
      <c r="U9" s="18"/>
      <c r="V9" s="18"/>
      <c r="W9" s="18"/>
      <c r="X9" s="18"/>
      <c r="Y9" s="18"/>
      <c r="Z9" s="18"/>
      <c r="AA9" s="18"/>
      <c r="AB9" s="21"/>
      <c r="AC9" s="21"/>
      <c r="AD9" s="21"/>
      <c r="AE9" s="17"/>
      <c r="AF9" s="9"/>
      <c r="AG9" s="9"/>
      <c r="AH9" s="9"/>
    </row>
    <row r="10" spans="1:34" ht="12" customHeight="1" x14ac:dyDescent="0.25">
      <c r="A10" s="7"/>
      <c r="B10" s="8"/>
      <c r="C10" s="18"/>
      <c r="D10" s="18"/>
      <c r="E10" s="18"/>
      <c r="F10" s="18"/>
      <c r="G10" s="18"/>
      <c r="H10" s="18"/>
      <c r="I10" s="18" t="s">
        <v>2869</v>
      </c>
      <c r="J10" s="18"/>
      <c r="K10" s="18" t="s">
        <v>2870</v>
      </c>
      <c r="L10" s="18"/>
      <c r="M10" s="18"/>
      <c r="N10" s="18"/>
      <c r="O10" s="18"/>
      <c r="P10" s="18"/>
      <c r="Q10" s="18"/>
      <c r="R10" s="18"/>
      <c r="S10" s="18"/>
      <c r="T10" s="18"/>
      <c r="U10" s="18"/>
      <c r="V10" s="18"/>
      <c r="W10" s="18"/>
      <c r="X10" s="18"/>
      <c r="Y10" s="18"/>
      <c r="Z10" s="18"/>
      <c r="AA10" s="18"/>
      <c r="AB10" s="21"/>
      <c r="AC10" s="21"/>
      <c r="AD10" s="21"/>
      <c r="AE10" s="17"/>
      <c r="AF10" s="9"/>
      <c r="AG10" s="9"/>
      <c r="AH10" s="9"/>
    </row>
    <row r="11" spans="1:34" ht="12" customHeight="1" x14ac:dyDescent="0.25">
      <c r="A11" s="7"/>
      <c r="B11" s="8"/>
      <c r="C11" s="18"/>
      <c r="D11" s="18"/>
      <c r="E11" s="18"/>
      <c r="F11" s="24"/>
      <c r="G11" s="24"/>
      <c r="H11" s="24" t="s">
        <v>2871</v>
      </c>
      <c r="I11" s="24"/>
      <c r="J11" s="24"/>
      <c r="K11" s="24"/>
      <c r="L11" s="24"/>
      <c r="M11" s="24"/>
      <c r="N11" s="24"/>
      <c r="O11" s="24"/>
      <c r="P11" s="24"/>
      <c r="Q11" s="24"/>
      <c r="R11" s="24"/>
      <c r="S11" s="24"/>
      <c r="T11" s="24"/>
      <c r="U11" s="24"/>
      <c r="V11" s="24"/>
      <c r="W11" s="24"/>
      <c r="X11" s="24"/>
      <c r="Y11" s="24"/>
      <c r="Z11" s="24"/>
      <c r="AA11" s="24"/>
      <c r="AB11" s="27"/>
      <c r="AC11" s="27"/>
      <c r="AD11" s="27"/>
      <c r="AE11" s="17"/>
      <c r="AF11" s="9"/>
      <c r="AG11" s="9"/>
      <c r="AH11" s="9"/>
    </row>
    <row r="12" spans="1:34" ht="12" customHeight="1" x14ac:dyDescent="0.25">
      <c r="A12" s="7"/>
      <c r="B12" s="8"/>
      <c r="C12" s="18"/>
      <c r="D12" s="18"/>
      <c r="E12" s="18"/>
      <c r="F12" s="24"/>
      <c r="G12" s="24"/>
      <c r="I12" s="24"/>
      <c r="J12" s="24"/>
      <c r="K12" s="24"/>
      <c r="L12" s="24"/>
      <c r="M12" s="24"/>
      <c r="N12" s="24"/>
      <c r="O12" s="24"/>
      <c r="P12" s="24"/>
      <c r="Q12" s="24"/>
      <c r="R12" s="24"/>
      <c r="S12" s="24"/>
      <c r="T12" s="24"/>
      <c r="U12" s="24"/>
      <c r="V12" s="24"/>
      <c r="W12" s="24"/>
      <c r="X12" s="24"/>
      <c r="Y12" s="24"/>
      <c r="Z12" s="24"/>
      <c r="AA12" s="24"/>
      <c r="AB12" s="27"/>
      <c r="AC12" s="27"/>
      <c r="AD12" s="27"/>
      <c r="AE12" s="17"/>
      <c r="AF12" s="9"/>
      <c r="AG12" s="9"/>
      <c r="AH12" s="9"/>
    </row>
    <row r="13" spans="1:34" ht="12" customHeight="1" x14ac:dyDescent="0.25">
      <c r="A13" s="7"/>
      <c r="B13" s="8"/>
      <c r="C13" s="18"/>
      <c r="D13" s="18"/>
      <c r="E13" s="18"/>
      <c r="F13" s="24"/>
      <c r="G13" s="24"/>
      <c r="H13" s="24" t="s">
        <v>969</v>
      </c>
      <c r="I13" s="475">
        <v>28</v>
      </c>
      <c r="J13" s="24"/>
      <c r="K13" s="473">
        <f>16/12</f>
        <v>1.3333333333333333</v>
      </c>
      <c r="L13" s="24"/>
      <c r="M13" s="24"/>
      <c r="N13" s="24"/>
      <c r="O13" s="24"/>
      <c r="P13" s="24"/>
      <c r="Q13" s="24"/>
      <c r="R13" s="24"/>
      <c r="S13" s="24"/>
      <c r="T13" s="24"/>
      <c r="U13" s="24"/>
      <c r="V13" s="24"/>
      <c r="W13" s="24"/>
      <c r="X13" s="24"/>
      <c r="Y13" s="24"/>
      <c r="Z13" s="24"/>
      <c r="AA13" s="24"/>
      <c r="AB13" s="27"/>
      <c r="AC13" s="27"/>
      <c r="AD13" s="27"/>
      <c r="AE13" s="17"/>
      <c r="AF13" s="9"/>
      <c r="AG13" s="9"/>
      <c r="AH13" s="9"/>
    </row>
    <row r="14" spans="1:34" ht="12" customHeight="1" x14ac:dyDescent="0.25">
      <c r="A14" s="7"/>
      <c r="B14" s="8"/>
      <c r="C14" s="18"/>
      <c r="D14" s="18"/>
      <c r="E14" s="18"/>
      <c r="F14" s="24"/>
      <c r="G14" s="24"/>
      <c r="H14" s="24"/>
      <c r="I14" s="476"/>
      <c r="J14" s="24"/>
      <c r="K14" s="476"/>
      <c r="L14" s="24"/>
      <c r="M14" s="24"/>
      <c r="N14" s="24"/>
      <c r="O14" s="24"/>
      <c r="P14" s="24"/>
      <c r="Q14" s="24"/>
      <c r="R14" s="24"/>
      <c r="S14" s="24"/>
      <c r="T14" s="24"/>
      <c r="U14" s="24"/>
      <c r="V14" s="24"/>
      <c r="W14" s="24"/>
      <c r="X14" s="24"/>
      <c r="Y14" s="24"/>
      <c r="Z14" s="24"/>
      <c r="AA14" s="24"/>
      <c r="AB14" s="27"/>
      <c r="AC14" s="27"/>
      <c r="AD14" s="27"/>
      <c r="AE14" s="17"/>
      <c r="AF14" s="9"/>
      <c r="AG14" s="9"/>
      <c r="AH14" s="9"/>
    </row>
    <row r="15" spans="1:34" ht="12" customHeight="1" x14ac:dyDescent="0.25">
      <c r="A15" s="7"/>
      <c r="B15" s="8"/>
      <c r="C15" s="18"/>
      <c r="D15" s="18"/>
      <c r="E15" s="18"/>
      <c r="F15" s="24"/>
      <c r="G15" s="24"/>
      <c r="H15" s="24" t="s">
        <v>2866</v>
      </c>
      <c r="I15" s="475">
        <v>265</v>
      </c>
      <c r="J15" s="24"/>
      <c r="K15" s="473">
        <f>44/28</f>
        <v>1.5714285714285714</v>
      </c>
      <c r="L15" s="24"/>
      <c r="M15" s="24"/>
      <c r="N15" s="24"/>
      <c r="O15" s="24"/>
      <c r="P15" s="24"/>
      <c r="Q15" s="24"/>
      <c r="R15" s="24"/>
      <c r="S15" s="24"/>
      <c r="T15" s="24"/>
      <c r="U15" s="24"/>
      <c r="V15" s="24"/>
      <c r="W15" s="24"/>
      <c r="X15" s="24"/>
      <c r="Y15" s="24"/>
      <c r="Z15" s="24"/>
      <c r="AA15" s="24"/>
      <c r="AB15" s="27"/>
      <c r="AC15" s="27"/>
      <c r="AD15" s="27"/>
      <c r="AE15" s="17"/>
      <c r="AF15" s="9"/>
      <c r="AG15" s="9"/>
      <c r="AH15" s="9"/>
    </row>
    <row r="16" spans="1:34" ht="12" customHeight="1" x14ac:dyDescent="0.25">
      <c r="A16" s="7"/>
      <c r="B16" s="8"/>
      <c r="C16" s="18"/>
      <c r="D16" s="18"/>
      <c r="E16" s="18"/>
      <c r="F16" s="24"/>
      <c r="G16" s="24"/>
      <c r="H16" s="24"/>
      <c r="I16" s="476"/>
      <c r="J16" s="24"/>
      <c r="K16" s="476"/>
      <c r="L16" s="24"/>
      <c r="M16" s="24"/>
      <c r="N16" s="24"/>
      <c r="O16" s="24"/>
      <c r="P16" s="24"/>
      <c r="Q16" s="24"/>
      <c r="R16" s="24"/>
      <c r="S16" s="24"/>
      <c r="T16" s="24"/>
      <c r="U16" s="24"/>
      <c r="V16" s="24"/>
      <c r="W16" s="24"/>
      <c r="X16" s="24"/>
      <c r="Y16" s="24"/>
      <c r="Z16" s="24"/>
      <c r="AA16" s="24"/>
      <c r="AB16" s="27"/>
      <c r="AC16" s="27"/>
      <c r="AD16" s="27"/>
      <c r="AE16" s="17"/>
      <c r="AF16" s="9"/>
      <c r="AG16" s="9"/>
      <c r="AH16" s="9"/>
    </row>
    <row r="17" spans="1:34" ht="12" customHeight="1" x14ac:dyDescent="0.25">
      <c r="A17" s="7"/>
      <c r="B17" s="8"/>
      <c r="C17" s="18"/>
      <c r="D17" s="18"/>
      <c r="E17" s="18"/>
      <c r="F17" s="24"/>
      <c r="G17" s="24"/>
      <c r="H17" s="24" t="s">
        <v>2867</v>
      </c>
      <c r="I17" s="475">
        <v>1</v>
      </c>
      <c r="J17" s="24"/>
      <c r="K17" s="473">
        <f>44/12</f>
        <v>3.6666666666666665</v>
      </c>
      <c r="L17" s="24"/>
      <c r="M17" s="24"/>
      <c r="N17" s="24"/>
      <c r="O17" s="24"/>
      <c r="P17" s="24"/>
      <c r="Q17" s="24"/>
      <c r="R17" s="24"/>
      <c r="S17" s="24"/>
      <c r="T17" s="24"/>
      <c r="U17" s="24"/>
      <c r="V17" s="24"/>
      <c r="W17" s="24"/>
      <c r="X17" s="24"/>
      <c r="Y17" s="24"/>
      <c r="Z17" s="24"/>
      <c r="AA17" s="24"/>
      <c r="AB17" s="27"/>
      <c r="AC17" s="27"/>
      <c r="AD17" s="27"/>
      <c r="AE17" s="17"/>
      <c r="AF17" s="9"/>
      <c r="AG17" s="9"/>
      <c r="AH17" s="9"/>
    </row>
    <row r="18" spans="1:34" ht="12" customHeight="1" x14ac:dyDescent="0.25">
      <c r="A18" s="7"/>
      <c r="B18" s="8"/>
      <c r="C18" s="18"/>
      <c r="D18" s="18"/>
      <c r="E18" s="18"/>
      <c r="F18" s="24"/>
      <c r="G18" s="24"/>
      <c r="H18" s="24"/>
      <c r="I18" s="24"/>
      <c r="J18" s="24"/>
      <c r="K18" s="24"/>
      <c r="L18" s="24"/>
      <c r="M18" s="24"/>
      <c r="N18" s="24"/>
      <c r="O18" s="24"/>
      <c r="P18" s="24"/>
      <c r="Q18" s="24"/>
      <c r="R18" s="24"/>
      <c r="S18" s="24"/>
      <c r="T18" s="24"/>
      <c r="U18" s="24"/>
      <c r="V18" s="24"/>
      <c r="W18" s="24"/>
      <c r="X18" s="24"/>
      <c r="Y18" s="24"/>
      <c r="Z18" s="24"/>
      <c r="AA18" s="24"/>
      <c r="AB18" s="27"/>
      <c r="AC18" s="27"/>
      <c r="AD18" s="27"/>
      <c r="AE18" s="17"/>
      <c r="AF18" s="9"/>
      <c r="AG18" s="9"/>
      <c r="AH18" s="9"/>
    </row>
    <row r="19" spans="1:34" ht="12" customHeight="1" x14ac:dyDescent="0.25">
      <c r="A19" s="7"/>
      <c r="B19" s="8"/>
      <c r="C19" s="18"/>
      <c r="D19" s="18"/>
      <c r="E19" s="18"/>
      <c r="F19" s="24"/>
      <c r="G19" s="28"/>
      <c r="H19" s="28"/>
      <c r="I19" s="31"/>
      <c r="J19" s="32"/>
      <c r="K19" s="32"/>
      <c r="L19" s="32"/>
      <c r="M19" s="32"/>
      <c r="N19" s="32"/>
      <c r="O19" s="32"/>
      <c r="P19" s="32"/>
      <c r="Q19" s="30"/>
      <c r="R19" s="30"/>
      <c r="S19" s="30"/>
      <c r="T19" s="30"/>
      <c r="U19" s="30"/>
      <c r="V19" s="30"/>
      <c r="W19" s="30"/>
      <c r="X19" s="30"/>
      <c r="Y19" s="27"/>
      <c r="Z19" s="27"/>
      <c r="AA19" s="27"/>
      <c r="AB19" s="27"/>
      <c r="AC19" s="27"/>
      <c r="AD19" s="27"/>
      <c r="AE19" s="17"/>
      <c r="AF19" s="9"/>
      <c r="AG19" s="9"/>
      <c r="AH19" s="9"/>
    </row>
    <row r="20" spans="1:34" ht="5.0999999999999996" customHeight="1" x14ac:dyDescent="0.25">
      <c r="A20" s="7"/>
      <c r="B20" s="8"/>
      <c r="C20" s="18"/>
      <c r="D20" s="18"/>
      <c r="E20" s="18"/>
      <c r="F20" s="33"/>
      <c r="G20" s="34"/>
      <c r="H20" s="34"/>
      <c r="I20" s="34"/>
      <c r="J20" s="35"/>
      <c r="K20" s="35"/>
      <c r="L20" s="35"/>
      <c r="M20" s="35"/>
      <c r="N20" s="35"/>
      <c r="O20" s="35"/>
      <c r="P20" s="35"/>
      <c r="Q20" s="35"/>
      <c r="R20" s="35"/>
      <c r="S20" s="35"/>
      <c r="T20" s="35"/>
      <c r="U20" s="35"/>
      <c r="V20" s="35"/>
      <c r="W20" s="35"/>
      <c r="X20" s="35"/>
      <c r="Y20" s="27"/>
      <c r="Z20" s="27"/>
      <c r="AA20" s="27"/>
      <c r="AB20" s="27"/>
      <c r="AC20" s="27"/>
      <c r="AD20" s="27"/>
      <c r="AE20" s="17"/>
      <c r="AF20" s="9"/>
      <c r="AG20" s="9"/>
      <c r="AH20" s="9"/>
    </row>
    <row r="21" spans="1:34" ht="24.95" customHeight="1" x14ac:dyDescent="0.25">
      <c r="A21" s="7"/>
      <c r="B21" s="8"/>
      <c r="C21" s="36"/>
      <c r="D21" s="36"/>
      <c r="E21" s="36"/>
      <c r="F21" s="36"/>
      <c r="G21" s="37" t="str">
        <f>G4</f>
        <v>Global Warming Potential and Conversion Factors</v>
      </c>
      <c r="H21" s="36"/>
      <c r="I21" s="36"/>
      <c r="J21" s="36"/>
      <c r="K21" s="36"/>
      <c r="L21" s="36"/>
      <c r="M21" s="36"/>
      <c r="N21" s="36"/>
      <c r="O21" s="36"/>
      <c r="P21" s="36"/>
      <c r="Q21" s="36"/>
      <c r="R21" s="36"/>
      <c r="S21" s="36"/>
      <c r="T21" s="36"/>
      <c r="U21" s="36"/>
      <c r="V21" s="36"/>
      <c r="W21" s="36"/>
      <c r="X21" s="36"/>
      <c r="Y21" s="36"/>
      <c r="Z21" s="36"/>
      <c r="AA21" s="36"/>
      <c r="AB21" s="36"/>
      <c r="AC21" s="36"/>
      <c r="AD21" s="36"/>
      <c r="AE21" s="38" t="s">
        <v>91</v>
      </c>
      <c r="AF21" s="9"/>
      <c r="AG21" s="9"/>
      <c r="AH21" s="9"/>
    </row>
    <row r="22" spans="1:34" ht="12" customHeight="1" x14ac:dyDescent="0.25">
      <c r="A22" s="7"/>
      <c r="B22" s="8"/>
      <c r="C22" s="8"/>
      <c r="D22" s="8"/>
      <c r="E22" s="8"/>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row>
    <row r="23" spans="1:34" ht="12" customHeight="1" x14ac:dyDescent="0.25">
      <c r="A23" s="7"/>
      <c r="B23" s="8"/>
      <c r="C23" s="8"/>
      <c r="D23" s="8"/>
      <c r="E23" s="8"/>
      <c r="F23" s="8"/>
      <c r="G23" s="8"/>
      <c r="H23" s="9"/>
      <c r="I23" s="9"/>
      <c r="J23" s="9"/>
      <c r="K23" s="9"/>
      <c r="L23" s="9"/>
      <c r="M23" s="9"/>
      <c r="N23" s="9"/>
      <c r="O23" s="9"/>
      <c r="P23" s="9"/>
      <c r="Q23" s="9"/>
      <c r="R23" s="9"/>
      <c r="S23" s="9"/>
      <c r="T23" s="9"/>
      <c r="U23" s="9"/>
      <c r="V23" s="9"/>
      <c r="W23" s="9"/>
      <c r="X23" s="9"/>
      <c r="Y23" s="9"/>
      <c r="Z23" s="9"/>
      <c r="AA23" s="9"/>
      <c r="AB23" s="9"/>
      <c r="AC23" s="9"/>
      <c r="AD23" s="9"/>
      <c r="AE23" s="9"/>
      <c r="AF23" s="8"/>
      <c r="AG23" s="8"/>
      <c r="AH23" s="8"/>
    </row>
    <row r="24" spans="1:34" ht="5.0999999999999996" customHeight="1" thickBot="1" x14ac:dyDescent="0.3">
      <c r="A24" s="7"/>
      <c r="B24" s="8"/>
      <c r="C24" s="8"/>
      <c r="D24" s="8"/>
      <c r="E24" s="8"/>
      <c r="F24" s="8"/>
      <c r="G24" s="8"/>
      <c r="H24" s="9"/>
      <c r="I24" s="9"/>
      <c r="J24" s="9"/>
      <c r="K24" s="9"/>
      <c r="L24" s="9"/>
      <c r="M24" s="9"/>
      <c r="N24" s="9"/>
      <c r="O24" s="9"/>
      <c r="P24" s="9"/>
      <c r="Q24" s="9"/>
      <c r="R24" s="9"/>
      <c r="S24" s="9"/>
      <c r="T24" s="9"/>
      <c r="U24" s="9"/>
      <c r="V24" s="9"/>
      <c r="W24" s="9"/>
      <c r="X24" s="9"/>
      <c r="Y24" s="9"/>
      <c r="Z24" s="9"/>
      <c r="AA24" s="9"/>
      <c r="AB24" s="9"/>
      <c r="AC24" s="9"/>
      <c r="AD24" s="9"/>
      <c r="AE24" s="9"/>
      <c r="AF24" s="8"/>
      <c r="AG24" s="8"/>
      <c r="AH24" s="8"/>
    </row>
    <row r="25" spans="1:34" ht="5.0999999999999996" customHeight="1" x14ac:dyDescent="0.25">
      <c r="A25" s="7"/>
      <c r="B25" s="8"/>
      <c r="C25" s="10" t="s">
        <v>86</v>
      </c>
      <c r="D25" s="10"/>
      <c r="E25" s="10"/>
      <c r="F25" s="10"/>
      <c r="G25" s="10"/>
      <c r="H25" s="10"/>
      <c r="I25" s="10"/>
      <c r="J25" s="10"/>
      <c r="K25" s="10"/>
      <c r="L25" s="11"/>
      <c r="M25" s="11"/>
      <c r="N25" s="11"/>
      <c r="O25" s="11"/>
      <c r="P25" s="11"/>
      <c r="Q25" s="11"/>
      <c r="R25" s="11"/>
      <c r="S25" s="11"/>
      <c r="T25" s="11"/>
      <c r="U25" s="11"/>
      <c r="V25" s="11"/>
      <c r="W25" s="11"/>
      <c r="X25" s="11"/>
      <c r="Y25" s="11"/>
      <c r="Z25" s="11"/>
      <c r="AA25" s="11"/>
      <c r="AB25" s="11"/>
      <c r="AC25" s="11"/>
      <c r="AD25" s="11"/>
      <c r="AE25" s="12"/>
      <c r="AF25" s="9"/>
      <c r="AG25" s="9"/>
      <c r="AH25" s="9"/>
    </row>
    <row r="26" spans="1:34" ht="12" customHeight="1" x14ac:dyDescent="0.25">
      <c r="A26" s="7"/>
      <c r="B26" s="8"/>
      <c r="C26" s="13"/>
      <c r="D26" s="13"/>
      <c r="E26" s="13" t="s">
        <v>87</v>
      </c>
      <c r="F26" s="14"/>
      <c r="G26" s="15" t="s">
        <v>2973</v>
      </c>
      <c r="H26" s="14"/>
      <c r="I26" s="14"/>
      <c r="J26" s="14"/>
      <c r="K26" s="14"/>
      <c r="L26" s="14"/>
      <c r="M26" s="14"/>
      <c r="N26" s="14"/>
      <c r="O26" s="14"/>
      <c r="P26" s="14"/>
      <c r="Q26" s="14"/>
      <c r="R26" s="14"/>
      <c r="S26" s="14"/>
      <c r="T26" s="14"/>
      <c r="U26" s="14"/>
      <c r="V26" s="16"/>
      <c r="W26" s="14"/>
      <c r="X26" s="16"/>
      <c r="Y26" s="16"/>
      <c r="Z26" s="16"/>
      <c r="AA26" s="16"/>
      <c r="AB26" s="16"/>
      <c r="AC26" s="16"/>
      <c r="AD26" s="16"/>
      <c r="AE26" s="17"/>
      <c r="AF26" s="9"/>
      <c r="AG26" s="9"/>
      <c r="AH26" s="9"/>
    </row>
    <row r="27" spans="1:34" ht="12" customHeight="1" x14ac:dyDescent="0.25">
      <c r="A27" s="7"/>
      <c r="B27" s="8"/>
      <c r="C27" s="13"/>
      <c r="D27" s="13"/>
      <c r="E27" s="18"/>
      <c r="F27" s="14"/>
      <c r="G27" s="14"/>
      <c r="H27" s="14"/>
      <c r="I27" s="14"/>
      <c r="J27" s="14"/>
      <c r="K27" s="14"/>
      <c r="L27" s="14"/>
      <c r="M27" s="14"/>
      <c r="N27" s="14"/>
      <c r="O27" s="14"/>
      <c r="P27" s="14"/>
      <c r="Q27" s="14"/>
      <c r="R27" s="14"/>
      <c r="S27" s="14"/>
      <c r="T27" s="14"/>
      <c r="U27" s="14"/>
      <c r="V27" s="16"/>
      <c r="W27" s="19"/>
      <c r="X27" s="16"/>
      <c r="Y27" s="16"/>
      <c r="Z27" s="16"/>
      <c r="AA27" s="16"/>
      <c r="AB27" s="16"/>
      <c r="AC27" s="16"/>
      <c r="AD27" s="16"/>
      <c r="AE27" s="17"/>
      <c r="AF27" s="9"/>
      <c r="AG27" s="9"/>
      <c r="AH27" s="9"/>
    </row>
    <row r="28" spans="1:34" ht="12" customHeight="1" x14ac:dyDescent="0.25">
      <c r="A28" s="7"/>
      <c r="B28" s="8"/>
      <c r="C28" s="18"/>
      <c r="D28" s="13"/>
      <c r="E28" s="18"/>
      <c r="F28" s="14"/>
      <c r="G28" s="20">
        <v>2023</v>
      </c>
      <c r="H28" s="14"/>
      <c r="I28" s="14"/>
      <c r="J28" s="14"/>
      <c r="K28" s="14"/>
      <c r="L28" s="14"/>
      <c r="M28" s="14"/>
      <c r="N28" s="14"/>
      <c r="O28" s="14"/>
      <c r="P28" s="14"/>
      <c r="Q28" s="14"/>
      <c r="R28" s="14"/>
      <c r="S28" s="14"/>
      <c r="T28" s="14"/>
      <c r="U28" s="14"/>
      <c r="V28" s="16"/>
      <c r="W28" s="19"/>
      <c r="X28" s="16"/>
      <c r="Y28" s="16"/>
      <c r="Z28" s="16"/>
      <c r="AA28" s="16"/>
      <c r="AB28" s="16"/>
      <c r="AC28" s="16"/>
      <c r="AD28" s="16"/>
      <c r="AE28" s="17"/>
      <c r="AF28" s="9"/>
      <c r="AG28" s="9"/>
      <c r="AH28" s="9"/>
    </row>
    <row r="29" spans="1:34" ht="12" customHeight="1" x14ac:dyDescent="0.25">
      <c r="A29" s="7"/>
      <c r="B29" s="8"/>
      <c r="C29" s="18"/>
      <c r="D29" s="18"/>
      <c r="E29" s="18"/>
      <c r="F29" s="18"/>
      <c r="G29" s="18"/>
      <c r="H29" s="18"/>
      <c r="I29" s="18"/>
      <c r="J29" s="21"/>
      <c r="K29" s="21"/>
      <c r="L29" s="21"/>
      <c r="M29" s="21"/>
      <c r="N29" s="21"/>
      <c r="O29" s="21"/>
      <c r="P29" s="21"/>
      <c r="Q29" s="21"/>
      <c r="R29" s="21"/>
      <c r="S29" s="21"/>
      <c r="T29" s="21"/>
      <c r="U29" s="21"/>
      <c r="V29" s="21"/>
      <c r="W29" s="21"/>
      <c r="X29" s="21"/>
      <c r="Y29" s="21"/>
      <c r="Z29" s="21"/>
      <c r="AA29" s="21"/>
      <c r="AB29" s="21"/>
      <c r="AC29" s="21"/>
      <c r="AD29" s="21"/>
      <c r="AE29" s="17"/>
      <c r="AF29" s="9"/>
      <c r="AG29" s="9"/>
      <c r="AH29" s="9"/>
    </row>
    <row r="30" spans="1:34" ht="12" customHeight="1" x14ac:dyDescent="0.25">
      <c r="A30" s="7"/>
      <c r="B30" s="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21"/>
      <c r="AC30" s="21"/>
      <c r="AD30" s="21"/>
      <c r="AE30" s="17"/>
      <c r="AF30" s="9"/>
      <c r="AG30" s="9"/>
      <c r="AH30" s="9"/>
    </row>
    <row r="31" spans="1:34" ht="12" customHeight="1" x14ac:dyDescent="0.25">
      <c r="A31" s="7"/>
      <c r="B31" s="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21"/>
      <c r="AC31" s="21"/>
      <c r="AD31" s="21"/>
      <c r="AE31" s="17"/>
      <c r="AF31" s="9"/>
      <c r="AG31" s="9"/>
      <c r="AH31" s="9"/>
    </row>
    <row r="32" spans="1:34" ht="12" customHeight="1" x14ac:dyDescent="0.25">
      <c r="A32" s="7"/>
      <c r="B32" s="8"/>
      <c r="C32" s="18"/>
      <c r="D32" s="18"/>
      <c r="E32" s="18"/>
      <c r="F32" s="24"/>
      <c r="G32" s="24"/>
      <c r="H32" s="479" t="s">
        <v>2974</v>
      </c>
      <c r="I32" s="24"/>
      <c r="J32" s="24"/>
      <c r="K32" s="24"/>
      <c r="L32" s="24"/>
      <c r="M32" s="24"/>
      <c r="N32" s="24"/>
      <c r="O32" s="24"/>
      <c r="P32" s="24"/>
      <c r="Q32" s="24"/>
      <c r="R32" s="24"/>
      <c r="S32" s="24"/>
      <c r="T32" s="24"/>
      <c r="U32" s="24"/>
      <c r="V32" s="24"/>
      <c r="W32" s="24"/>
      <c r="X32" s="24"/>
      <c r="Y32" s="24"/>
      <c r="Z32" s="24"/>
      <c r="AA32" s="24"/>
      <c r="AB32" s="24"/>
      <c r="AC32" s="24"/>
      <c r="AD32" s="24"/>
      <c r="AE32" s="17"/>
      <c r="AF32" s="9"/>
      <c r="AG32" s="9"/>
      <c r="AH32" s="9"/>
    </row>
    <row r="33" spans="1:34" ht="12" customHeight="1" x14ac:dyDescent="0.25">
      <c r="A33" s="7"/>
      <c r="B33" s="8"/>
      <c r="C33" s="18"/>
      <c r="D33" s="18"/>
      <c r="E33" s="18"/>
      <c r="F33" s="24"/>
      <c r="G33" s="24"/>
      <c r="H33" s="24" t="s">
        <v>2872</v>
      </c>
      <c r="J33" s="24"/>
      <c r="L33" s="624">
        <v>3.0000000000000001E-3</v>
      </c>
      <c r="M33" s="24"/>
      <c r="N33" s="24"/>
      <c r="O33" s="24"/>
      <c r="P33" s="24"/>
      <c r="Q33" s="24"/>
      <c r="R33" s="24"/>
      <c r="S33" s="24"/>
      <c r="T33" s="24"/>
      <c r="U33" s="24"/>
      <c r="V33" s="24"/>
      <c r="W33" s="24"/>
      <c r="X33" s="24"/>
      <c r="Y33" s="24"/>
      <c r="Z33" s="24"/>
      <c r="AA33" s="24"/>
      <c r="AB33" s="27"/>
      <c r="AC33" s="27"/>
      <c r="AD33" s="27"/>
      <c r="AE33" s="17"/>
      <c r="AF33" s="9"/>
      <c r="AG33" s="9"/>
      <c r="AH33" s="9"/>
    </row>
    <row r="34" spans="1:34" ht="12" customHeight="1" x14ac:dyDescent="0.25">
      <c r="A34" s="7"/>
      <c r="B34" s="8"/>
      <c r="C34" s="18"/>
      <c r="D34" s="18"/>
      <c r="E34" s="18"/>
      <c r="F34" s="24"/>
      <c r="G34" s="24"/>
      <c r="H34" s="480" t="s">
        <v>2873</v>
      </c>
      <c r="J34" s="24"/>
      <c r="L34" s="380">
        <v>4.0000000000000001E-3</v>
      </c>
      <c r="M34" s="24"/>
      <c r="N34" s="24"/>
      <c r="O34" s="24"/>
      <c r="P34" s="24"/>
      <c r="Q34" s="24"/>
      <c r="R34" s="24"/>
      <c r="S34" s="24"/>
      <c r="T34" s="24"/>
      <c r="U34" s="24"/>
      <c r="V34" s="24"/>
      <c r="W34" s="24"/>
      <c r="X34" s="24"/>
      <c r="Y34" s="24"/>
      <c r="Z34" s="24"/>
      <c r="AA34" s="24"/>
      <c r="AB34" s="27"/>
      <c r="AC34" s="27"/>
      <c r="AD34" s="27"/>
      <c r="AE34" s="17"/>
      <c r="AF34" s="9"/>
      <c r="AG34" s="9"/>
      <c r="AH34" s="9"/>
    </row>
    <row r="35" spans="1:34" ht="12" customHeight="1" x14ac:dyDescent="0.25">
      <c r="A35" s="7"/>
      <c r="B35" s="8"/>
      <c r="C35" s="18"/>
      <c r="D35" s="18"/>
      <c r="E35" s="18"/>
      <c r="F35" s="24"/>
      <c r="G35" s="24"/>
      <c r="H35" s="480" t="s">
        <v>2874</v>
      </c>
      <c r="J35" s="24"/>
      <c r="L35" s="380">
        <v>4.0000000000000001E-3</v>
      </c>
      <c r="M35" s="24"/>
      <c r="N35" s="24"/>
      <c r="O35" s="24"/>
      <c r="P35" s="24"/>
      <c r="Q35" s="24"/>
      <c r="R35" s="24"/>
      <c r="S35" s="24"/>
      <c r="T35" s="24"/>
      <c r="U35" s="24"/>
      <c r="V35" s="24"/>
      <c r="W35" s="24"/>
      <c r="X35" s="24"/>
      <c r="Y35" s="24"/>
      <c r="Z35" s="24"/>
      <c r="AA35" s="24"/>
      <c r="AB35" s="27"/>
      <c r="AC35" s="27"/>
      <c r="AD35" s="27"/>
      <c r="AE35" s="17"/>
      <c r="AF35" s="9"/>
      <c r="AG35" s="9"/>
      <c r="AH35" s="9"/>
    </row>
    <row r="36" spans="1:34" ht="12" customHeight="1" x14ac:dyDescent="0.25">
      <c r="A36" s="7"/>
      <c r="B36" s="8"/>
      <c r="C36" s="18"/>
      <c r="D36" s="18"/>
      <c r="E36" s="18"/>
      <c r="F36" s="24"/>
      <c r="G36" s="24"/>
      <c r="H36" s="481" t="s">
        <v>2963</v>
      </c>
      <c r="J36" s="24"/>
      <c r="L36" s="380">
        <v>1.0999999999999999E-2</v>
      </c>
      <c r="M36" s="24"/>
      <c r="N36" s="24"/>
      <c r="O36" s="24"/>
      <c r="P36" s="24"/>
      <c r="Q36" s="24"/>
      <c r="R36" s="24"/>
      <c r="S36" s="24"/>
      <c r="T36" s="24"/>
      <c r="U36" s="24"/>
      <c r="V36" s="24"/>
      <c r="W36" s="24"/>
      <c r="X36" s="24"/>
      <c r="Y36" s="24"/>
      <c r="Z36" s="24"/>
      <c r="AA36" s="24"/>
      <c r="AB36" s="27"/>
      <c r="AC36" s="27"/>
      <c r="AD36" s="27"/>
      <c r="AE36" s="17"/>
      <c r="AF36" s="9"/>
      <c r="AG36" s="9"/>
      <c r="AH36" s="9"/>
    </row>
    <row r="37" spans="1:34" ht="12" customHeight="1" x14ac:dyDescent="0.25">
      <c r="A37" s="7"/>
      <c r="B37" s="8"/>
      <c r="C37" s="18"/>
      <c r="D37" s="18"/>
      <c r="E37" s="18"/>
      <c r="F37" s="24"/>
      <c r="G37" s="24"/>
      <c r="H37" s="481" t="s">
        <v>2962</v>
      </c>
      <c r="J37" s="24"/>
      <c r="L37" s="623">
        <f>L51</f>
        <v>1.8E-3</v>
      </c>
      <c r="M37" s="24"/>
      <c r="N37" s="24"/>
      <c r="O37" s="24"/>
      <c r="P37" s="24"/>
      <c r="Q37" s="24"/>
      <c r="R37" s="24"/>
      <c r="S37" s="24"/>
      <c r="T37" s="24"/>
      <c r="U37" s="24"/>
      <c r="V37" s="24"/>
      <c r="W37" s="24"/>
      <c r="X37" s="24"/>
      <c r="Y37" s="24"/>
      <c r="Z37" s="24"/>
      <c r="AA37" s="24"/>
      <c r="AB37" s="27"/>
      <c r="AC37" s="27"/>
      <c r="AD37" s="27"/>
      <c r="AE37" s="17"/>
      <c r="AF37" s="9"/>
      <c r="AG37" s="9"/>
      <c r="AH37" s="9"/>
    </row>
    <row r="38" spans="1:34" ht="12" customHeight="1" x14ac:dyDescent="0.25">
      <c r="A38" s="7"/>
      <c r="B38" s="8"/>
      <c r="C38" s="18"/>
      <c r="D38" s="18"/>
      <c r="E38" s="18"/>
      <c r="F38" s="24"/>
      <c r="G38" s="24"/>
      <c r="J38" s="24"/>
      <c r="M38" s="24"/>
      <c r="N38" s="24"/>
      <c r="O38" s="24"/>
      <c r="P38" s="24"/>
      <c r="Q38" s="24"/>
      <c r="R38" s="24"/>
      <c r="S38" s="24"/>
      <c r="T38" s="24"/>
      <c r="U38" s="24"/>
      <c r="V38" s="24"/>
      <c r="W38" s="24"/>
      <c r="X38" s="24"/>
      <c r="Y38" s="24"/>
      <c r="Z38" s="24"/>
      <c r="AA38" s="24"/>
      <c r="AB38" s="27"/>
      <c r="AC38" s="27"/>
      <c r="AD38" s="27"/>
      <c r="AE38" s="17"/>
      <c r="AF38" s="9"/>
      <c r="AG38" s="9"/>
      <c r="AH38" s="9"/>
    </row>
    <row r="39" spans="1:34" ht="12" customHeight="1" x14ac:dyDescent="0.25">
      <c r="A39" s="7"/>
      <c r="B39" s="8"/>
      <c r="C39" s="18"/>
      <c r="D39" s="18"/>
      <c r="E39" s="18"/>
      <c r="F39" s="24"/>
      <c r="G39" s="24"/>
      <c r="H39" s="345" t="s">
        <v>2975</v>
      </c>
      <c r="J39" s="24"/>
      <c r="M39" s="24"/>
      <c r="N39" s="24"/>
      <c r="O39" s="24"/>
      <c r="P39" s="24"/>
      <c r="Q39" s="24"/>
      <c r="R39" s="24"/>
      <c r="S39" s="24"/>
      <c r="T39" s="24"/>
      <c r="U39" s="24"/>
      <c r="V39" s="24"/>
      <c r="W39" s="24"/>
      <c r="X39" s="24"/>
      <c r="Y39" s="24"/>
      <c r="Z39" s="24"/>
      <c r="AA39" s="24"/>
      <c r="AB39" s="27"/>
      <c r="AC39" s="27"/>
      <c r="AD39" s="27"/>
      <c r="AE39" s="17"/>
      <c r="AF39" s="9"/>
      <c r="AG39" s="9"/>
      <c r="AH39" s="9"/>
    </row>
    <row r="40" spans="1:34" ht="12" customHeight="1" x14ac:dyDescent="0.25">
      <c r="A40" s="7"/>
      <c r="B40" s="8"/>
      <c r="C40" s="18"/>
      <c r="D40" s="18"/>
      <c r="E40" s="18"/>
      <c r="F40" s="24"/>
      <c r="G40" s="24"/>
      <c r="H40" s="480" t="s">
        <v>2976</v>
      </c>
      <c r="J40" s="24"/>
      <c r="L40" s="380">
        <v>5.0299999999999997E-3</v>
      </c>
      <c r="M40" s="24"/>
      <c r="N40" s="24"/>
      <c r="O40" s="24"/>
      <c r="P40" s="24"/>
      <c r="Q40" s="24"/>
      <c r="R40" s="24"/>
      <c r="S40" s="24"/>
      <c r="T40" s="24"/>
      <c r="U40" s="24"/>
      <c r="V40" s="24"/>
      <c r="W40" s="24"/>
      <c r="X40" s="24"/>
      <c r="Y40" s="24"/>
      <c r="Z40" s="24"/>
      <c r="AA40" s="24"/>
      <c r="AB40" s="27"/>
      <c r="AC40" s="27"/>
      <c r="AD40" s="27"/>
      <c r="AE40" s="17"/>
      <c r="AF40" s="9"/>
      <c r="AG40" s="9"/>
      <c r="AH40" s="9"/>
    </row>
    <row r="41" spans="1:34" ht="12" customHeight="1" x14ac:dyDescent="0.25">
      <c r="A41" s="7"/>
      <c r="B41" s="8"/>
      <c r="C41" s="18"/>
      <c r="D41" s="18"/>
      <c r="E41" s="18"/>
      <c r="F41" s="24"/>
      <c r="G41" s="24"/>
      <c r="H41" s="480" t="s">
        <v>2978</v>
      </c>
      <c r="J41" s="24"/>
      <c r="L41" s="380">
        <v>7.6E-3</v>
      </c>
      <c r="M41" s="24"/>
      <c r="N41" s="24"/>
      <c r="O41" s="24"/>
      <c r="P41" s="24"/>
      <c r="Q41" s="24"/>
      <c r="R41" s="24"/>
      <c r="S41" s="24"/>
      <c r="T41" s="24"/>
      <c r="U41" s="24"/>
      <c r="V41" s="24"/>
      <c r="W41" s="24"/>
      <c r="X41" s="24"/>
      <c r="Y41" s="24"/>
      <c r="Z41" s="24"/>
      <c r="AA41" s="24"/>
      <c r="AB41" s="27"/>
      <c r="AC41" s="27"/>
      <c r="AD41" s="27"/>
      <c r="AE41" s="17"/>
      <c r="AF41" s="9"/>
      <c r="AG41" s="9"/>
      <c r="AH41" s="9"/>
    </row>
    <row r="42" spans="1:34" ht="12" customHeight="1" x14ac:dyDescent="0.25">
      <c r="A42" s="7"/>
      <c r="B42" s="8"/>
      <c r="C42" s="18"/>
      <c r="D42" s="18"/>
      <c r="E42" s="18"/>
      <c r="F42" s="24"/>
      <c r="G42" s="24"/>
      <c r="H42" s="480" t="s">
        <v>2977</v>
      </c>
      <c r="J42" s="24"/>
      <c r="L42" s="380">
        <v>3.5000000000000001E-3</v>
      </c>
      <c r="M42" s="24"/>
      <c r="N42" s="24"/>
      <c r="O42" s="24"/>
      <c r="P42" s="24"/>
      <c r="Q42" s="24"/>
      <c r="R42" s="24"/>
      <c r="S42" s="24"/>
      <c r="T42" s="24"/>
      <c r="U42" s="24"/>
      <c r="V42" s="24"/>
      <c r="W42" s="24"/>
      <c r="X42" s="24"/>
      <c r="Y42" s="24"/>
      <c r="Z42" s="24"/>
      <c r="AA42" s="24"/>
      <c r="AB42" s="27"/>
      <c r="AC42" s="27"/>
      <c r="AD42" s="27"/>
      <c r="AE42" s="17"/>
      <c r="AF42" s="9"/>
      <c r="AG42" s="9"/>
      <c r="AH42" s="9"/>
    </row>
    <row r="43" spans="1:34" ht="12" customHeight="1" x14ac:dyDescent="0.25">
      <c r="A43" s="7"/>
      <c r="B43" s="8"/>
      <c r="C43" s="18"/>
      <c r="D43" s="18"/>
      <c r="E43" s="18"/>
      <c r="F43" s="24"/>
      <c r="G43" s="24"/>
      <c r="J43" s="24"/>
      <c r="M43" s="24"/>
      <c r="N43" s="24"/>
      <c r="O43" s="24"/>
      <c r="P43" s="24"/>
      <c r="Q43" s="24"/>
      <c r="R43" s="24"/>
      <c r="S43" s="24"/>
      <c r="T43" s="24"/>
      <c r="U43" s="24"/>
      <c r="V43" s="24"/>
      <c r="W43" s="24"/>
      <c r="X43" s="24"/>
      <c r="Y43" s="24"/>
      <c r="Z43" s="24"/>
      <c r="AA43" s="24"/>
      <c r="AB43" s="27"/>
      <c r="AC43" s="27"/>
      <c r="AD43" s="27"/>
      <c r="AE43" s="17"/>
      <c r="AF43" s="9"/>
      <c r="AG43" s="9"/>
      <c r="AH43" s="9"/>
    </row>
    <row r="44" spans="1:34" ht="12" customHeight="1" x14ac:dyDescent="0.25">
      <c r="A44" s="7"/>
      <c r="B44" s="8"/>
      <c r="C44" s="18"/>
      <c r="D44" s="18"/>
      <c r="E44" s="18"/>
      <c r="F44" s="24"/>
      <c r="G44" s="24"/>
      <c r="H44" s="485" t="s">
        <v>315</v>
      </c>
      <c r="J44" s="24"/>
      <c r="M44" s="24"/>
      <c r="N44" s="24"/>
      <c r="O44" s="24"/>
      <c r="P44" s="24"/>
      <c r="Q44" s="24"/>
      <c r="R44" s="24"/>
      <c r="S44" s="24"/>
      <c r="T44" s="24"/>
      <c r="U44" s="24"/>
      <c r="V44" s="24"/>
      <c r="W44" s="24"/>
      <c r="X44" s="24"/>
      <c r="Y44" s="24"/>
      <c r="Z44" s="24"/>
      <c r="AA44" s="24"/>
      <c r="AB44" s="27"/>
      <c r="AC44" s="27"/>
      <c r="AD44" s="27"/>
      <c r="AE44" s="17"/>
      <c r="AF44" s="9"/>
      <c r="AG44" s="9"/>
      <c r="AH44" s="9"/>
    </row>
    <row r="45" spans="1:34" ht="12" customHeight="1" x14ac:dyDescent="0.25">
      <c r="A45" s="7"/>
      <c r="B45" s="8"/>
      <c r="C45" s="18"/>
      <c r="D45" s="18"/>
      <c r="E45" s="18"/>
      <c r="F45" s="24"/>
      <c r="G45" s="24"/>
      <c r="H45" s="480" t="s">
        <v>2994</v>
      </c>
      <c r="J45" s="24"/>
      <c r="L45" s="380">
        <v>2.7</v>
      </c>
      <c r="M45" s="24"/>
      <c r="N45" s="24"/>
      <c r="O45" s="24"/>
      <c r="P45" s="24"/>
      <c r="Q45" s="24"/>
      <c r="R45" s="24"/>
      <c r="S45" s="24"/>
      <c r="T45" s="24"/>
      <c r="U45" s="24"/>
      <c r="V45" s="24"/>
      <c r="W45" s="24"/>
      <c r="X45" s="24"/>
      <c r="Y45" s="24"/>
      <c r="Z45" s="24"/>
      <c r="AA45" s="24"/>
      <c r="AB45" s="27"/>
      <c r="AC45" s="27"/>
      <c r="AD45" s="27"/>
      <c r="AE45" s="17"/>
      <c r="AF45" s="9"/>
      <c r="AG45" s="9"/>
      <c r="AH45" s="9"/>
    </row>
    <row r="46" spans="1:34" ht="12" customHeight="1" x14ac:dyDescent="0.25">
      <c r="A46" s="7"/>
      <c r="B46" s="8"/>
      <c r="C46" s="18"/>
      <c r="D46" s="18"/>
      <c r="E46" s="18"/>
      <c r="F46" s="24"/>
      <c r="G46" s="24"/>
      <c r="H46" s="480" t="s">
        <v>2995</v>
      </c>
      <c r="J46" s="24"/>
      <c r="L46" s="380">
        <v>2.1229999999999999E-3</v>
      </c>
      <c r="M46" s="24"/>
      <c r="N46" s="24"/>
      <c r="O46" s="24"/>
      <c r="P46" s="24"/>
      <c r="Q46" s="24"/>
      <c r="R46" s="24"/>
      <c r="S46" s="24"/>
      <c r="T46" s="24"/>
      <c r="U46" s="24"/>
      <c r="V46" s="24"/>
      <c r="W46" s="24"/>
      <c r="X46" s="24"/>
      <c r="Y46" s="24"/>
      <c r="Z46" s="24"/>
      <c r="AA46" s="24"/>
      <c r="AB46" s="27"/>
      <c r="AC46" s="27"/>
      <c r="AD46" s="27"/>
      <c r="AE46" s="17"/>
      <c r="AF46" s="9"/>
      <c r="AG46" s="9"/>
      <c r="AH46" s="9"/>
    </row>
    <row r="47" spans="1:34" ht="12" customHeight="1" x14ac:dyDescent="0.25">
      <c r="A47" s="7"/>
      <c r="B47" s="8"/>
      <c r="C47" s="18"/>
      <c r="D47" s="18"/>
      <c r="E47" s="18"/>
      <c r="F47" s="24"/>
      <c r="G47" s="24"/>
      <c r="H47" s="480" t="s">
        <v>2996</v>
      </c>
      <c r="J47" s="24"/>
      <c r="L47" s="380">
        <v>1.3510000000000001E-2</v>
      </c>
      <c r="M47" s="24"/>
      <c r="N47" s="24"/>
      <c r="O47" s="24"/>
      <c r="P47" s="24"/>
      <c r="Q47" s="24"/>
      <c r="R47" s="24"/>
      <c r="S47" s="24"/>
      <c r="T47" s="24"/>
      <c r="U47" s="24"/>
      <c r="V47" s="24"/>
      <c r="W47" s="24"/>
      <c r="X47" s="24"/>
      <c r="Y47" s="24"/>
      <c r="Z47" s="24"/>
      <c r="AA47" s="24"/>
      <c r="AB47" s="27"/>
      <c r="AC47" s="27"/>
      <c r="AD47" s="27"/>
      <c r="AE47" s="17"/>
      <c r="AF47" s="9"/>
      <c r="AG47" s="9"/>
      <c r="AH47" s="9"/>
    </row>
    <row r="48" spans="1:34" ht="12" customHeight="1" x14ac:dyDescent="0.25">
      <c r="A48" s="7"/>
      <c r="B48" s="8"/>
      <c r="C48" s="18"/>
      <c r="D48" s="18"/>
      <c r="E48" s="18"/>
      <c r="F48" s="24"/>
      <c r="G48" s="24"/>
      <c r="J48" s="24"/>
      <c r="M48" s="24"/>
      <c r="N48" s="24"/>
      <c r="O48" s="24"/>
      <c r="P48" s="24"/>
      <c r="Q48" s="24"/>
      <c r="R48" s="24"/>
      <c r="S48" s="24"/>
      <c r="T48" s="24"/>
      <c r="U48" s="24"/>
      <c r="V48" s="24"/>
      <c r="W48" s="24"/>
      <c r="X48" s="24"/>
      <c r="Y48" s="24"/>
      <c r="Z48" s="24"/>
      <c r="AA48" s="24"/>
      <c r="AB48" s="27"/>
      <c r="AC48" s="27"/>
      <c r="AD48" s="27"/>
      <c r="AE48" s="17"/>
      <c r="AF48" s="9"/>
      <c r="AG48" s="9"/>
      <c r="AH48" s="9"/>
    </row>
    <row r="49" spans="1:34" ht="12" customHeight="1" x14ac:dyDescent="0.25">
      <c r="A49" s="7"/>
      <c r="B49" s="8"/>
      <c r="C49" s="18"/>
      <c r="D49" s="18"/>
      <c r="E49" s="18"/>
      <c r="F49" s="24"/>
      <c r="G49" s="24"/>
      <c r="H49" s="345" t="s">
        <v>2690</v>
      </c>
      <c r="J49" s="24"/>
      <c r="M49" s="24"/>
      <c r="N49" s="24"/>
      <c r="O49" s="24"/>
      <c r="P49" s="24"/>
      <c r="Q49" s="24"/>
      <c r="R49" s="24"/>
      <c r="S49" s="24"/>
      <c r="T49" s="24"/>
      <c r="U49" s="24"/>
      <c r="V49" s="24"/>
      <c r="W49" s="24"/>
      <c r="X49" s="24"/>
      <c r="Y49" s="24"/>
      <c r="Z49" s="24"/>
      <c r="AA49" s="24"/>
      <c r="AB49" s="27"/>
      <c r="AC49" s="27"/>
      <c r="AD49" s="27"/>
      <c r="AE49" s="17"/>
      <c r="AF49" s="9"/>
      <c r="AG49" s="9"/>
      <c r="AH49" s="9"/>
    </row>
    <row r="50" spans="1:34" ht="12" customHeight="1" x14ac:dyDescent="0.25">
      <c r="A50" s="7"/>
      <c r="B50" s="8"/>
      <c r="C50" s="18"/>
      <c r="D50" s="18"/>
      <c r="E50" s="18"/>
      <c r="F50" s="24"/>
      <c r="G50" s="24"/>
      <c r="H50" s="480" t="s">
        <v>3451</v>
      </c>
      <c r="J50" s="24"/>
      <c r="M50" s="380">
        <v>2.8999999999999998E-3</v>
      </c>
      <c r="N50" s="380">
        <v>8.0000000000000002E-3</v>
      </c>
      <c r="O50" s="24"/>
      <c r="P50" s="24"/>
      <c r="Q50" s="24"/>
      <c r="R50" s="24"/>
      <c r="S50" s="24"/>
      <c r="T50" s="24"/>
      <c r="U50" s="24"/>
      <c r="V50" s="24"/>
      <c r="W50" s="24"/>
      <c r="X50" s="24"/>
      <c r="Y50" s="24"/>
      <c r="Z50" s="24"/>
      <c r="AA50" s="24"/>
      <c r="AB50" s="27"/>
      <c r="AC50" s="27"/>
      <c r="AD50" s="27"/>
      <c r="AE50" s="17"/>
      <c r="AF50" s="9"/>
      <c r="AG50" s="9"/>
      <c r="AH50" s="9"/>
    </row>
    <row r="51" spans="1:34" ht="12" customHeight="1" x14ac:dyDescent="0.25">
      <c r="A51" s="7"/>
      <c r="B51" s="8"/>
      <c r="C51" s="18"/>
      <c r="D51" s="18"/>
      <c r="E51" s="18"/>
      <c r="F51" s="24"/>
      <c r="G51" s="24"/>
      <c r="H51" s="480" t="s">
        <v>3452</v>
      </c>
      <c r="J51" s="24"/>
      <c r="L51" s="380">
        <v>1.8E-3</v>
      </c>
      <c r="M51" s="24"/>
      <c r="N51" s="24"/>
      <c r="O51" s="24"/>
      <c r="P51" s="24"/>
      <c r="Q51" s="24"/>
      <c r="R51" s="24"/>
      <c r="S51" s="24"/>
      <c r="T51" s="24"/>
      <c r="U51" s="24"/>
      <c r="V51" s="24"/>
      <c r="W51" s="24"/>
      <c r="X51" s="24"/>
      <c r="Y51" s="24"/>
      <c r="Z51" s="24"/>
      <c r="AA51" s="24"/>
      <c r="AB51" s="27"/>
      <c r="AC51" s="27"/>
      <c r="AD51" s="27"/>
      <c r="AE51" s="17"/>
      <c r="AF51" s="9"/>
      <c r="AG51" s="9"/>
      <c r="AH51" s="9"/>
    </row>
    <row r="52" spans="1:34" ht="12" customHeight="1" x14ac:dyDescent="0.25">
      <c r="A52" s="7"/>
      <c r="B52" s="8"/>
      <c r="C52" s="18"/>
      <c r="D52" s="18"/>
      <c r="E52" s="18"/>
      <c r="F52" s="24"/>
      <c r="G52" s="24"/>
      <c r="H52" s="480" t="s">
        <v>3453</v>
      </c>
      <c r="J52" s="24"/>
      <c r="M52" s="380">
        <f>i_ef_fert_crop_r1</f>
        <v>2.8999999999999998E-3</v>
      </c>
      <c r="N52" s="380">
        <f>i_ef_fert_crop_r1</f>
        <v>8.0000000000000002E-3</v>
      </c>
      <c r="O52" s="24"/>
      <c r="P52" s="24"/>
      <c r="Q52" s="24"/>
      <c r="R52" s="24"/>
      <c r="S52" s="24"/>
      <c r="T52" s="24"/>
      <c r="U52" s="24"/>
      <c r="V52" s="24"/>
      <c r="W52" s="24"/>
      <c r="X52" s="24"/>
      <c r="Y52" s="24"/>
      <c r="Z52" s="24"/>
      <c r="AA52" s="24"/>
      <c r="AB52" s="27"/>
      <c r="AC52" s="27"/>
      <c r="AD52" s="27"/>
      <c r="AE52" s="17"/>
      <c r="AF52" s="9"/>
      <c r="AG52" s="9"/>
      <c r="AH52" s="9"/>
    </row>
    <row r="53" spans="1:34" ht="12" customHeight="1" x14ac:dyDescent="0.25">
      <c r="A53" s="7"/>
      <c r="B53" s="8"/>
      <c r="C53" s="18"/>
      <c r="D53" s="18"/>
      <c r="E53" s="18"/>
      <c r="F53" s="24"/>
      <c r="G53" s="24"/>
      <c r="H53" s="480" t="s">
        <v>3454</v>
      </c>
      <c r="J53" s="24"/>
      <c r="L53" s="380">
        <f>L51</f>
        <v>1.8E-3</v>
      </c>
      <c r="M53" s="24"/>
      <c r="N53" s="24"/>
      <c r="O53" s="24"/>
      <c r="P53" s="24"/>
      <c r="Q53" s="24"/>
      <c r="R53" s="24"/>
      <c r="S53" s="24"/>
      <c r="T53" s="24"/>
      <c r="U53" s="24"/>
      <c r="V53" s="24"/>
      <c r="W53" s="24"/>
      <c r="X53" s="24"/>
      <c r="Y53" s="24"/>
      <c r="Z53" s="24"/>
      <c r="AA53" s="24"/>
      <c r="AB53" s="27"/>
      <c r="AC53" s="27"/>
      <c r="AD53" s="27"/>
      <c r="AE53" s="17"/>
      <c r="AF53" s="9"/>
      <c r="AG53" s="9"/>
      <c r="AH53" s="9"/>
    </row>
    <row r="54" spans="1:34" ht="12" customHeight="1" x14ac:dyDescent="0.25">
      <c r="A54" s="7"/>
      <c r="B54" s="8"/>
      <c r="C54" s="18"/>
      <c r="D54" s="18"/>
      <c r="E54" s="18"/>
      <c r="F54" s="24"/>
      <c r="G54" s="24"/>
      <c r="H54" s="480" t="s">
        <v>2999</v>
      </c>
      <c r="J54" s="24"/>
      <c r="L54" s="380">
        <v>0.2</v>
      </c>
      <c r="M54" s="24"/>
      <c r="N54" s="24"/>
      <c r="O54" s="24"/>
      <c r="P54" s="24"/>
      <c r="Q54" s="24"/>
      <c r="R54" s="24"/>
      <c r="S54" s="24"/>
      <c r="T54" s="24"/>
      <c r="U54" s="24"/>
      <c r="V54" s="24"/>
      <c r="W54" s="24"/>
      <c r="X54" s="24"/>
      <c r="Y54" s="24"/>
      <c r="Z54" s="24"/>
      <c r="AA54" s="24"/>
      <c r="AB54" s="27"/>
      <c r="AC54" s="27"/>
      <c r="AD54" s="27"/>
      <c r="AE54" s="17"/>
      <c r="AF54" s="9"/>
      <c r="AG54" s="9"/>
      <c r="AH54" s="9"/>
    </row>
    <row r="55" spans="1:34" ht="12" customHeight="1" x14ac:dyDescent="0.25">
      <c r="A55" s="7"/>
      <c r="B55" s="8"/>
      <c r="C55" s="18"/>
      <c r="D55" s="18"/>
      <c r="E55" s="18"/>
      <c r="F55" s="24"/>
      <c r="G55" s="24"/>
      <c r="H55" s="480" t="s">
        <v>3000</v>
      </c>
      <c r="J55" s="24"/>
      <c r="L55" s="380">
        <v>0.12</v>
      </c>
      <c r="M55" s="24"/>
      <c r="N55" s="24"/>
      <c r="O55" s="24"/>
      <c r="P55" s="24"/>
      <c r="Q55" s="24"/>
      <c r="R55" s="24"/>
      <c r="S55" s="24"/>
      <c r="T55" s="24"/>
      <c r="U55" s="24"/>
      <c r="V55" s="24"/>
      <c r="W55" s="24"/>
      <c r="X55" s="24"/>
      <c r="Y55" s="24"/>
      <c r="Z55" s="24"/>
      <c r="AA55" s="24"/>
      <c r="AB55" s="27"/>
      <c r="AC55" s="27"/>
      <c r="AD55" s="27"/>
      <c r="AE55" s="17"/>
      <c r="AF55" s="9"/>
      <c r="AG55" s="9"/>
      <c r="AH55" s="9"/>
    </row>
    <row r="56" spans="1:34" ht="12" customHeight="1" x14ac:dyDescent="0.25">
      <c r="A56" s="7"/>
      <c r="B56" s="8"/>
      <c r="C56" s="18"/>
      <c r="D56" s="18"/>
      <c r="E56" s="18"/>
      <c r="F56" s="24"/>
      <c r="G56" s="24"/>
      <c r="H56" s="480" t="s">
        <v>3001</v>
      </c>
      <c r="J56" s="24"/>
      <c r="L56" s="380">
        <v>0.13</v>
      </c>
      <c r="M56" s="24"/>
      <c r="N56" s="24"/>
      <c r="O56" s="24"/>
      <c r="P56" s="24"/>
      <c r="Q56" s="24"/>
      <c r="R56" s="24"/>
      <c r="S56" s="24"/>
      <c r="T56" s="24"/>
      <c r="U56" s="24"/>
      <c r="V56" s="24"/>
      <c r="W56" s="24"/>
      <c r="X56" s="24"/>
      <c r="Y56" s="24"/>
      <c r="Z56" s="24"/>
      <c r="AA56" s="24"/>
      <c r="AB56" s="27"/>
      <c r="AC56" s="27"/>
      <c r="AD56" s="27"/>
      <c r="AE56" s="17"/>
      <c r="AF56" s="9"/>
      <c r="AG56" s="9"/>
      <c r="AH56" s="9"/>
    </row>
    <row r="57" spans="1:34" ht="12" customHeight="1" x14ac:dyDescent="0.25">
      <c r="A57" s="7"/>
      <c r="B57" s="8"/>
      <c r="C57" s="18"/>
      <c r="D57" s="18"/>
      <c r="E57" s="18"/>
      <c r="F57" s="24"/>
      <c r="G57" s="28"/>
      <c r="H57" s="28"/>
      <c r="I57" s="31"/>
      <c r="J57" s="32"/>
      <c r="K57" s="32"/>
      <c r="L57" s="32"/>
      <c r="M57" s="32"/>
      <c r="N57" s="32"/>
      <c r="O57" s="32"/>
      <c r="P57" s="32"/>
      <c r="Q57" s="30"/>
      <c r="R57" s="30"/>
      <c r="S57" s="30"/>
      <c r="T57" s="30"/>
      <c r="U57" s="30"/>
      <c r="V57" s="30"/>
      <c r="W57" s="30"/>
      <c r="X57" s="30"/>
      <c r="Y57" s="27"/>
      <c r="Z57" s="27"/>
      <c r="AA57" s="27"/>
      <c r="AB57" s="27"/>
      <c r="AC57" s="27"/>
      <c r="AD57" s="27"/>
      <c r="AE57" s="17"/>
      <c r="AF57" s="9"/>
      <c r="AG57" s="9"/>
      <c r="AH57" s="9"/>
    </row>
    <row r="58" spans="1:34" ht="5.0999999999999996" customHeight="1" x14ac:dyDescent="0.25">
      <c r="A58" s="7"/>
      <c r="B58" s="8"/>
      <c r="C58" s="18"/>
      <c r="D58" s="18"/>
      <c r="E58" s="18"/>
      <c r="F58" s="33"/>
      <c r="G58" s="34"/>
      <c r="H58" s="34"/>
      <c r="I58" s="34"/>
      <c r="J58" s="35"/>
      <c r="K58" s="35"/>
      <c r="L58" s="35"/>
      <c r="M58" s="35"/>
      <c r="N58" s="35"/>
      <c r="O58" s="35"/>
      <c r="P58" s="35"/>
      <c r="Q58" s="35"/>
      <c r="R58" s="35"/>
      <c r="S58" s="35"/>
      <c r="T58" s="35"/>
      <c r="U58" s="35"/>
      <c r="V58" s="35"/>
      <c r="W58" s="35"/>
      <c r="X58" s="35"/>
      <c r="Y58" s="27"/>
      <c r="Z58" s="27"/>
      <c r="AA58" s="27"/>
      <c r="AB58" s="27"/>
      <c r="AC58" s="27"/>
      <c r="AD58" s="27"/>
      <c r="AE58" s="17"/>
      <c r="AF58" s="9"/>
      <c r="AG58" s="9"/>
      <c r="AH58" s="9"/>
    </row>
    <row r="59" spans="1:34" ht="24.95" customHeight="1" x14ac:dyDescent="0.25">
      <c r="A59" s="7"/>
      <c r="B59" s="8"/>
      <c r="C59" s="36"/>
      <c r="D59" s="36"/>
      <c r="E59" s="36"/>
      <c r="F59" s="36"/>
      <c r="G59" s="37" t="str">
        <f>G26</f>
        <v>Emission Factors - National Inventory Report (NIR)</v>
      </c>
      <c r="H59" s="36"/>
      <c r="I59" s="36"/>
      <c r="J59" s="36"/>
      <c r="K59" s="36"/>
      <c r="L59" s="36"/>
      <c r="M59" s="36"/>
      <c r="N59" s="36"/>
      <c r="O59" s="36"/>
      <c r="P59" s="36"/>
      <c r="Q59" s="36"/>
      <c r="R59" s="36"/>
      <c r="S59" s="36"/>
      <c r="T59" s="36"/>
      <c r="U59" s="36"/>
      <c r="V59" s="36"/>
      <c r="W59" s="36"/>
      <c r="X59" s="36"/>
      <c r="Y59" s="36"/>
      <c r="Z59" s="36"/>
      <c r="AA59" s="36"/>
      <c r="AB59" s="36"/>
      <c r="AC59" s="36"/>
      <c r="AD59" s="36"/>
      <c r="AE59" s="38" t="s">
        <v>91</v>
      </c>
      <c r="AF59" s="9"/>
      <c r="AG59" s="9"/>
      <c r="AH59" s="9"/>
    </row>
    <row r="60" spans="1:34" ht="12" customHeight="1" x14ac:dyDescent="0.25">
      <c r="A60" s="7"/>
      <c r="B60" s="8"/>
      <c r="C60" s="8"/>
      <c r="D60" s="8"/>
      <c r="E60" s="8"/>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row>
    <row r="61" spans="1:34" ht="12" customHeight="1" x14ac:dyDescent="0.25">
      <c r="A61" s="7"/>
      <c r="B61" s="8"/>
      <c r="C61" s="8"/>
      <c r="D61" s="8"/>
      <c r="E61" s="8"/>
      <c r="F61" s="8"/>
      <c r="G61" s="8"/>
      <c r="H61" s="9"/>
      <c r="I61" s="9"/>
      <c r="J61" s="9"/>
      <c r="K61" s="9"/>
      <c r="L61" s="9"/>
      <c r="M61" s="9"/>
      <c r="N61" s="9"/>
      <c r="O61" s="9"/>
      <c r="P61" s="9"/>
      <c r="Q61" s="9"/>
      <c r="R61" s="9"/>
      <c r="S61" s="9"/>
      <c r="T61" s="9"/>
      <c r="U61" s="9"/>
      <c r="V61" s="9"/>
      <c r="W61" s="9"/>
      <c r="X61" s="9"/>
      <c r="Y61" s="9"/>
      <c r="Z61" s="9"/>
      <c r="AA61" s="9"/>
      <c r="AB61" s="9"/>
      <c r="AC61" s="9"/>
      <c r="AD61" s="9"/>
      <c r="AE61" s="9"/>
      <c r="AF61" s="8"/>
      <c r="AG61" s="8"/>
      <c r="AH61" s="8"/>
    </row>
    <row r="62" spans="1:34" ht="5.0999999999999996" customHeight="1" thickBot="1" x14ac:dyDescent="0.3">
      <c r="A62" s="7"/>
      <c r="B62" s="8"/>
      <c r="C62" s="8"/>
      <c r="D62" s="8"/>
      <c r="E62" s="8"/>
      <c r="F62" s="8"/>
      <c r="G62" s="8"/>
      <c r="H62" s="9"/>
      <c r="I62" s="9"/>
      <c r="J62" s="9"/>
      <c r="K62" s="9"/>
      <c r="L62" s="9"/>
      <c r="M62" s="9"/>
      <c r="N62" s="9"/>
      <c r="O62" s="9"/>
      <c r="P62" s="9"/>
      <c r="Q62" s="9"/>
      <c r="R62" s="9"/>
      <c r="S62" s="9"/>
      <c r="T62" s="9"/>
      <c r="U62" s="9"/>
      <c r="V62" s="9"/>
      <c r="W62" s="9"/>
      <c r="X62" s="9"/>
      <c r="Y62" s="9"/>
      <c r="Z62" s="9"/>
      <c r="AA62" s="9"/>
      <c r="AB62" s="9"/>
      <c r="AC62" s="9"/>
      <c r="AD62" s="9"/>
      <c r="AE62" s="9"/>
      <c r="AF62" s="8"/>
      <c r="AG62" s="8"/>
      <c r="AH62" s="8"/>
    </row>
    <row r="63" spans="1:34" ht="5.0999999999999996" customHeight="1" x14ac:dyDescent="0.25">
      <c r="A63" s="7"/>
      <c r="B63" s="8"/>
      <c r="C63" s="10" t="s">
        <v>86</v>
      </c>
      <c r="D63" s="10"/>
      <c r="E63" s="10"/>
      <c r="F63" s="10"/>
      <c r="G63" s="10"/>
      <c r="H63" s="10"/>
      <c r="I63" s="10"/>
      <c r="J63" s="10"/>
      <c r="K63" s="10"/>
      <c r="L63" s="11"/>
      <c r="M63" s="11"/>
      <c r="N63" s="11"/>
      <c r="O63" s="11"/>
      <c r="P63" s="11"/>
      <c r="Q63" s="11"/>
      <c r="R63" s="11"/>
      <c r="S63" s="11"/>
      <c r="T63" s="11"/>
      <c r="U63" s="11"/>
      <c r="V63" s="11"/>
      <c r="W63" s="11"/>
      <c r="X63" s="11"/>
      <c r="Y63" s="11"/>
      <c r="Z63" s="11"/>
      <c r="AA63" s="11"/>
      <c r="AB63" s="11"/>
      <c r="AC63" s="11"/>
      <c r="AD63" s="11"/>
      <c r="AE63" s="12"/>
      <c r="AF63" s="9"/>
      <c r="AG63" s="9"/>
      <c r="AH63" s="9"/>
    </row>
    <row r="64" spans="1:34" ht="12" customHeight="1" x14ac:dyDescent="0.25">
      <c r="A64" s="7"/>
      <c r="B64" s="8"/>
      <c r="C64" s="13"/>
      <c r="D64" s="13"/>
      <c r="E64" s="13" t="s">
        <v>87</v>
      </c>
      <c r="F64" s="14"/>
      <c r="G64" s="15" t="s">
        <v>2984</v>
      </c>
      <c r="H64" s="14"/>
      <c r="I64" s="14"/>
      <c r="J64" s="14"/>
      <c r="K64" s="14"/>
      <c r="L64" s="14"/>
      <c r="M64" s="14"/>
      <c r="N64" s="14"/>
      <c r="O64" s="14"/>
      <c r="P64" s="14"/>
      <c r="Q64" s="14"/>
      <c r="R64" s="14"/>
      <c r="S64" s="14"/>
      <c r="T64" s="14"/>
      <c r="U64" s="14"/>
      <c r="V64" s="16"/>
      <c r="W64" s="14"/>
      <c r="X64" s="16"/>
      <c r="Y64" s="16"/>
      <c r="Z64" s="16"/>
      <c r="AA64" s="16"/>
      <c r="AB64" s="16"/>
      <c r="AC64" s="16"/>
      <c r="AD64" s="16"/>
      <c r="AE64" s="17"/>
      <c r="AF64" s="9"/>
      <c r="AG64" s="9"/>
      <c r="AH64" s="9"/>
    </row>
    <row r="65" spans="1:34" ht="12" customHeight="1" x14ac:dyDescent="0.25">
      <c r="A65" s="7"/>
      <c r="B65" s="8"/>
      <c r="C65" s="13"/>
      <c r="D65" s="13"/>
      <c r="E65" s="18"/>
      <c r="F65" s="14"/>
      <c r="G65" s="14"/>
      <c r="H65" s="14"/>
      <c r="I65" s="14"/>
      <c r="J65" s="14"/>
      <c r="K65" s="14"/>
      <c r="L65" s="14"/>
      <c r="M65" s="14"/>
      <c r="N65" s="14"/>
      <c r="O65" s="14"/>
      <c r="P65" s="14"/>
      <c r="Q65" s="14"/>
      <c r="R65" s="14"/>
      <c r="S65" s="14"/>
      <c r="T65" s="14"/>
      <c r="U65" s="14"/>
      <c r="V65" s="16"/>
      <c r="W65" s="19"/>
      <c r="X65" s="16"/>
      <c r="Y65" s="16"/>
      <c r="Z65" s="16"/>
      <c r="AA65" s="16"/>
      <c r="AB65" s="16"/>
      <c r="AC65" s="16"/>
      <c r="AD65" s="16"/>
      <c r="AE65" s="17"/>
      <c r="AF65" s="9"/>
      <c r="AG65" s="9"/>
      <c r="AH65" s="9"/>
    </row>
    <row r="66" spans="1:34" ht="12" customHeight="1" x14ac:dyDescent="0.25">
      <c r="A66" s="7"/>
      <c r="B66" s="8"/>
      <c r="C66" s="18"/>
      <c r="D66" s="13"/>
      <c r="E66" s="18"/>
      <c r="F66" s="14"/>
      <c r="G66" s="20">
        <v>2023</v>
      </c>
      <c r="H66" s="14"/>
      <c r="I66" s="14"/>
      <c r="J66" s="14"/>
      <c r="K66" s="14"/>
      <c r="L66" s="14"/>
      <c r="M66" s="14"/>
      <c r="N66" s="14"/>
      <c r="O66" s="14"/>
      <c r="P66" s="14"/>
      <c r="Q66" s="14"/>
      <c r="R66" s="14"/>
      <c r="S66" s="14"/>
      <c r="T66" s="14"/>
      <c r="U66" s="14"/>
      <c r="V66" s="16"/>
      <c r="W66" s="19"/>
      <c r="X66" s="16"/>
      <c r="Y66" s="16"/>
      <c r="Z66" s="16"/>
      <c r="AA66" s="16"/>
      <c r="AB66" s="16"/>
      <c r="AC66" s="16"/>
      <c r="AD66" s="16"/>
      <c r="AE66" s="17"/>
      <c r="AF66" s="9"/>
      <c r="AG66" s="9"/>
      <c r="AH66" s="9"/>
    </row>
    <row r="67" spans="1:34" ht="12" customHeight="1" x14ac:dyDescent="0.25">
      <c r="A67" s="7"/>
      <c r="B67" s="8"/>
      <c r="C67" s="18"/>
      <c r="D67" s="18"/>
      <c r="E67" s="18"/>
      <c r="F67" s="18"/>
      <c r="G67" s="18"/>
      <c r="H67" s="18"/>
      <c r="I67" s="18"/>
      <c r="J67" s="21"/>
      <c r="K67" s="21"/>
      <c r="L67" s="21"/>
      <c r="M67" s="21"/>
      <c r="N67" s="21"/>
      <c r="O67" s="21"/>
      <c r="P67" s="21"/>
      <c r="Q67" s="21"/>
      <c r="R67" s="21"/>
      <c r="S67" s="21"/>
      <c r="T67" s="21"/>
      <c r="U67" s="21"/>
      <c r="V67" s="21"/>
      <c r="W67" s="21"/>
      <c r="X67" s="21"/>
      <c r="Y67" s="21"/>
      <c r="Z67" s="21"/>
      <c r="AA67" s="21"/>
      <c r="AB67" s="21"/>
      <c r="AC67" s="21"/>
      <c r="AD67" s="21"/>
      <c r="AE67" s="17"/>
      <c r="AF67" s="9"/>
      <c r="AG67" s="9"/>
      <c r="AH67" s="9"/>
    </row>
    <row r="68" spans="1:34" ht="12" customHeight="1" x14ac:dyDescent="0.25">
      <c r="A68" s="7"/>
      <c r="B68" s="8"/>
      <c r="C68" s="18"/>
      <c r="D68" s="18"/>
      <c r="E68" s="18"/>
      <c r="F68" s="18"/>
      <c r="G68" s="18"/>
      <c r="H68" s="18"/>
      <c r="I68" s="18"/>
      <c r="J68" s="18"/>
      <c r="K68" s="18"/>
      <c r="L68" s="18"/>
      <c r="M68" s="18"/>
      <c r="N68" s="18"/>
      <c r="O68" s="18"/>
      <c r="P68" s="18"/>
      <c r="Q68" s="18"/>
      <c r="R68" s="18"/>
      <c r="S68" s="18"/>
      <c r="T68" s="18"/>
      <c r="U68" s="18"/>
      <c r="V68" s="21"/>
      <c r="W68" s="18" t="s">
        <v>2989</v>
      </c>
      <c r="X68" s="21"/>
      <c r="Y68" s="18" t="s">
        <v>2989</v>
      </c>
      <c r="Z68" s="18"/>
      <c r="AA68" s="18"/>
      <c r="AB68" s="21"/>
      <c r="AC68" s="21"/>
      <c r="AD68" s="21"/>
      <c r="AE68" s="17"/>
      <c r="AF68" s="9"/>
      <c r="AG68" s="9"/>
      <c r="AH68" s="9"/>
    </row>
    <row r="69" spans="1:34" ht="12" customHeight="1" x14ac:dyDescent="0.25">
      <c r="A69" s="7"/>
      <c r="B69" s="8"/>
      <c r="C69" s="18"/>
      <c r="D69" s="18"/>
      <c r="E69" s="18"/>
      <c r="F69" s="18"/>
      <c r="G69" s="18" t="s">
        <v>2981</v>
      </c>
      <c r="H69" s="18"/>
      <c r="I69" s="18" t="s">
        <v>2983</v>
      </c>
      <c r="J69" s="18"/>
      <c r="K69" s="18"/>
      <c r="L69" s="18" t="s">
        <v>2982</v>
      </c>
      <c r="M69" s="18"/>
      <c r="N69" s="18" t="s">
        <v>2979</v>
      </c>
      <c r="O69" s="18"/>
      <c r="P69" s="18" t="s">
        <v>2980</v>
      </c>
      <c r="Q69" s="18"/>
      <c r="R69" s="18"/>
      <c r="S69" s="18"/>
      <c r="T69" s="18"/>
      <c r="U69" s="18" t="s">
        <v>2986</v>
      </c>
      <c r="V69" s="21"/>
      <c r="W69" s="18" t="s">
        <v>2987</v>
      </c>
      <c r="X69" s="21"/>
      <c r="Y69" s="18" t="s">
        <v>2988</v>
      </c>
      <c r="Z69" s="18"/>
      <c r="AA69" s="18" t="s">
        <v>2985</v>
      </c>
      <c r="AB69" s="21"/>
      <c r="AC69" s="21"/>
      <c r="AD69" s="21"/>
      <c r="AE69" s="17"/>
      <c r="AF69" s="9"/>
      <c r="AG69" s="9"/>
      <c r="AH69" s="9"/>
    </row>
    <row r="70" spans="1:34" ht="12" customHeight="1" x14ac:dyDescent="0.25">
      <c r="A70" s="7"/>
      <c r="B70" s="8"/>
      <c r="C70" s="18"/>
      <c r="D70" s="18"/>
      <c r="E70" s="18"/>
      <c r="F70" s="24"/>
      <c r="G70" s="380">
        <v>0.01</v>
      </c>
      <c r="H70" s="24"/>
      <c r="I70" s="380">
        <v>6.0000000000000001E-3</v>
      </c>
      <c r="J70" s="24"/>
      <c r="K70" s="24"/>
      <c r="L70" s="380">
        <v>0.4</v>
      </c>
      <c r="N70" s="380">
        <v>0.96</v>
      </c>
      <c r="O70" s="24"/>
      <c r="P70" s="510" t="str">
        <f>General!G66</f>
        <v>b</v>
      </c>
      <c r="Q70" s="380">
        <v>0.32</v>
      </c>
      <c r="R70" s="24"/>
      <c r="S70" s="24"/>
      <c r="T70" t="s">
        <v>2990</v>
      </c>
      <c r="U70" s="473">
        <v>0.4</v>
      </c>
      <c r="V70" s="24"/>
      <c r="W70" s="474">
        <v>1.4999999999999999E-2</v>
      </c>
      <c r="X70" s="484"/>
      <c r="Y70" s="474">
        <v>1.2E-2</v>
      </c>
      <c r="Z70" s="24"/>
      <c r="AA70" s="380">
        <v>0.1</v>
      </c>
      <c r="AB70" s="27"/>
      <c r="AC70" s="27"/>
      <c r="AD70" s="27"/>
      <c r="AE70" s="17"/>
      <c r="AF70" s="9"/>
      <c r="AG70" s="9"/>
      <c r="AH70" s="9"/>
    </row>
    <row r="71" spans="1:34" ht="12" customHeight="1" x14ac:dyDescent="0.25">
      <c r="A71" s="7"/>
      <c r="B71" s="8"/>
      <c r="C71" s="18"/>
      <c r="D71" s="18"/>
      <c r="E71" s="18"/>
      <c r="F71" s="24"/>
      <c r="G71" s="24"/>
      <c r="H71" s="24"/>
      <c r="I71" s="24"/>
      <c r="J71" s="24"/>
      <c r="K71" s="24"/>
      <c r="N71" s="24"/>
      <c r="O71" s="24"/>
      <c r="P71" s="510" t="str">
        <f>General!G67</f>
        <v>bd</v>
      </c>
      <c r="Q71" s="380">
        <v>0.32</v>
      </c>
      <c r="R71" s="24"/>
      <c r="S71" s="24"/>
      <c r="T71" t="s">
        <v>2991</v>
      </c>
      <c r="U71" s="473">
        <v>0.4</v>
      </c>
      <c r="V71" s="24"/>
      <c r="W71" s="474">
        <v>2.7E-2</v>
      </c>
      <c r="X71" s="484"/>
      <c r="Y71" s="474">
        <v>1.9E-2</v>
      </c>
      <c r="Z71" s="24"/>
      <c r="AA71" s="24"/>
      <c r="AB71" s="27"/>
      <c r="AC71" s="27"/>
      <c r="AD71" s="27"/>
      <c r="AE71" s="17"/>
      <c r="AF71" s="9"/>
      <c r="AG71" s="9"/>
      <c r="AH71" s="9"/>
    </row>
    <row r="72" spans="1:34" ht="12" customHeight="1" x14ac:dyDescent="0.25">
      <c r="A72" s="7"/>
      <c r="B72" s="8"/>
      <c r="C72" s="18"/>
      <c r="D72" s="18"/>
      <c r="E72" s="18"/>
      <c r="F72" s="24"/>
      <c r="G72" s="24"/>
      <c r="H72" s="24"/>
      <c r="I72" s="24"/>
      <c r="J72" s="24"/>
      <c r="K72" s="24"/>
      <c r="N72" s="24"/>
      <c r="O72" s="24"/>
      <c r="P72" s="510" t="str">
        <f>General!G68</f>
        <v>f</v>
      </c>
      <c r="Q72" s="380">
        <v>0.51</v>
      </c>
      <c r="R72" s="24"/>
      <c r="S72" s="24"/>
      <c r="T72" t="s">
        <v>2992</v>
      </c>
      <c r="U72" s="473">
        <v>0.8</v>
      </c>
      <c r="V72" s="24"/>
      <c r="W72" s="474">
        <v>1.4999999999999999E-2</v>
      </c>
      <c r="X72" s="484"/>
      <c r="Y72" s="474">
        <v>1.2E-2</v>
      </c>
      <c r="Z72" s="24"/>
      <c r="AA72" s="24"/>
      <c r="AB72" s="27"/>
      <c r="AC72" s="27"/>
      <c r="AD72" s="27"/>
      <c r="AE72" s="17"/>
      <c r="AF72" s="9"/>
      <c r="AG72" s="9"/>
      <c r="AH72" s="9"/>
    </row>
    <row r="73" spans="1:34" ht="12" customHeight="1" x14ac:dyDescent="0.25">
      <c r="A73" s="7"/>
      <c r="B73" s="8"/>
      <c r="C73" s="18"/>
      <c r="D73" s="18"/>
      <c r="E73" s="18"/>
      <c r="F73" s="24"/>
      <c r="G73" s="24"/>
      <c r="H73" s="24"/>
      <c r="I73" s="24"/>
      <c r="J73" s="24"/>
      <c r="K73" s="24"/>
      <c r="N73" s="24"/>
      <c r="O73" s="24"/>
      <c r="P73" s="510" t="str">
        <f>General!G69</f>
        <v>h</v>
      </c>
      <c r="Q73" s="380">
        <v>0.43</v>
      </c>
      <c r="R73" s="24"/>
      <c r="S73" s="24"/>
      <c r="T73" t="s">
        <v>2993</v>
      </c>
      <c r="U73" s="473">
        <v>0.4</v>
      </c>
      <c r="V73" s="24"/>
      <c r="W73" s="474">
        <v>1.4999999999999999E-2</v>
      </c>
      <c r="X73" s="484"/>
      <c r="Y73" s="474">
        <v>1.2E-2</v>
      </c>
      <c r="Z73" s="24"/>
      <c r="AA73" s="24"/>
      <c r="AB73" s="27"/>
      <c r="AC73" s="27"/>
      <c r="AD73" s="27"/>
      <c r="AE73" s="17"/>
      <c r="AF73" s="9"/>
      <c r="AG73" s="9"/>
      <c r="AH73" s="9"/>
    </row>
    <row r="74" spans="1:34" ht="12" customHeight="1" x14ac:dyDescent="0.25">
      <c r="A74" s="7"/>
      <c r="B74" s="8"/>
      <c r="C74" s="18"/>
      <c r="D74" s="18"/>
      <c r="E74" s="18"/>
      <c r="F74" s="24"/>
      <c r="G74" s="24"/>
      <c r="H74" s="24"/>
      <c r="I74" s="24"/>
      <c r="J74" s="24"/>
      <c r="K74" s="24"/>
      <c r="N74" s="24"/>
      <c r="O74" s="24"/>
      <c r="P74" s="510" t="str">
        <f>General!G70</f>
        <v>i</v>
      </c>
      <c r="Q74" s="380">
        <v>0.51</v>
      </c>
      <c r="R74" s="24"/>
      <c r="S74" s="24"/>
      <c r="T74" s="24"/>
      <c r="Z74" s="24"/>
      <c r="AA74" s="24"/>
      <c r="AB74" s="27"/>
      <c r="AC74" s="27"/>
      <c r="AD74" s="27"/>
      <c r="AE74" s="17"/>
      <c r="AF74" s="9"/>
      <c r="AG74" s="9"/>
      <c r="AH74" s="9"/>
    </row>
    <row r="75" spans="1:34" ht="12" customHeight="1" x14ac:dyDescent="0.25">
      <c r="A75" s="7"/>
      <c r="B75" s="8"/>
      <c r="C75" s="18"/>
      <c r="D75" s="18"/>
      <c r="E75" s="18"/>
      <c r="F75" s="24"/>
      <c r="G75" s="24"/>
      <c r="H75" s="24"/>
      <c r="I75" s="24"/>
      <c r="J75" s="24"/>
      <c r="K75" s="24"/>
      <c r="N75" s="24"/>
      <c r="O75" s="24"/>
      <c r="P75" s="510" t="str">
        <f>General!G71</f>
        <v>k</v>
      </c>
      <c r="Q75" s="380">
        <v>0.51</v>
      </c>
      <c r="R75" s="24"/>
      <c r="S75" s="24"/>
      <c r="T75" s="24"/>
      <c r="U75" s="24"/>
      <c r="V75" s="24"/>
      <c r="W75" s="24"/>
      <c r="X75" s="24"/>
      <c r="Y75" s="24"/>
      <c r="Z75" s="24"/>
      <c r="AA75" s="24"/>
      <c r="AB75" s="27"/>
      <c r="AC75" s="27"/>
      <c r="AD75" s="27"/>
      <c r="AE75" s="17"/>
      <c r="AF75" s="9"/>
      <c r="AG75" s="9"/>
      <c r="AH75" s="9"/>
    </row>
    <row r="76" spans="1:34" ht="12" customHeight="1" x14ac:dyDescent="0.25">
      <c r="A76" s="7"/>
      <c r="B76" s="8"/>
      <c r="C76" s="18"/>
      <c r="D76" s="18"/>
      <c r="E76" s="18"/>
      <c r="F76" s="24"/>
      <c r="G76" s="24"/>
      <c r="H76" s="24"/>
      <c r="I76" s="24"/>
      <c r="J76" s="24"/>
      <c r="K76" s="24"/>
      <c r="N76" s="24"/>
      <c r="O76" s="24"/>
      <c r="P76" s="510" t="str">
        <f>General!G72</f>
        <v>l</v>
      </c>
      <c r="Q76" s="380">
        <v>0.51</v>
      </c>
      <c r="R76" s="24"/>
      <c r="S76" s="24"/>
      <c r="T76" s="24"/>
      <c r="U76" s="24"/>
      <c r="V76" s="24"/>
      <c r="W76" s="24"/>
      <c r="X76" s="24"/>
      <c r="Y76" s="24"/>
      <c r="Z76" s="24"/>
      <c r="AA76" s="24"/>
      <c r="AB76" s="27"/>
      <c r="AC76" s="27"/>
      <c r="AD76" s="27"/>
      <c r="AE76" s="17"/>
      <c r="AF76" s="9"/>
      <c r="AG76" s="9"/>
      <c r="AH76" s="9"/>
    </row>
    <row r="77" spans="1:34" ht="12" customHeight="1" x14ac:dyDescent="0.25">
      <c r="A77" s="7"/>
      <c r="B77" s="8"/>
      <c r="C77" s="18"/>
      <c r="D77" s="18"/>
      <c r="E77" s="18"/>
      <c r="F77" s="24"/>
      <c r="G77" s="24"/>
      <c r="H77" s="24"/>
      <c r="I77" s="24"/>
      <c r="J77" s="24"/>
      <c r="K77" s="24"/>
      <c r="N77" s="24"/>
      <c r="O77" s="24"/>
      <c r="P77" s="510" t="str">
        <f>General!G73</f>
        <v>lf</v>
      </c>
      <c r="Q77" s="380">
        <v>0.51</v>
      </c>
      <c r="R77" s="24"/>
      <c r="S77" s="24"/>
      <c r="T77" s="24"/>
      <c r="U77" s="24"/>
      <c r="V77" s="24"/>
      <c r="W77" s="24"/>
      <c r="X77" s="24"/>
      <c r="Y77" s="24"/>
      <c r="Z77" s="24"/>
      <c r="AA77" s="24"/>
      <c r="AB77" s="27"/>
      <c r="AC77" s="27"/>
      <c r="AD77" s="27"/>
      <c r="AE77" s="17"/>
      <c r="AF77" s="9"/>
      <c r="AG77" s="9"/>
      <c r="AH77" s="9"/>
    </row>
    <row r="78" spans="1:34" ht="12" customHeight="1" x14ac:dyDescent="0.25">
      <c r="A78" s="7"/>
      <c r="B78" s="8"/>
      <c r="C78" s="18"/>
      <c r="D78" s="18"/>
      <c r="E78" s="18"/>
      <c r="F78" s="24"/>
      <c r="G78" s="24"/>
      <c r="H78" s="24"/>
      <c r="I78" s="24"/>
      <c r="J78" s="24"/>
      <c r="K78" s="24"/>
      <c r="N78" s="24"/>
      <c r="O78" s="24"/>
      <c r="P78" s="510" t="str">
        <f>General!G74</f>
        <v>ms</v>
      </c>
      <c r="Q78" s="524">
        <f>0.65*Q70+0.35*Q76</f>
        <v>0.38650000000000001</v>
      </c>
      <c r="R78" s="24"/>
      <c r="S78" s="24"/>
      <c r="T78" s="24"/>
      <c r="U78" s="24"/>
      <c r="V78" s="24"/>
      <c r="W78" s="24"/>
      <c r="X78" s="24"/>
      <c r="Y78" s="24"/>
      <c r="Z78" s="24"/>
      <c r="AA78" s="24"/>
      <c r="AB78" s="27"/>
      <c r="AC78" s="27"/>
      <c r="AD78" s="27"/>
      <c r="AE78" s="17"/>
      <c r="AF78" s="9"/>
      <c r="AG78" s="9"/>
      <c r="AH78" s="9"/>
    </row>
    <row r="79" spans="1:34" ht="12" customHeight="1" x14ac:dyDescent="0.25">
      <c r="A79" s="7"/>
      <c r="B79" s="8"/>
      <c r="C79" s="18"/>
      <c r="D79" s="18"/>
      <c r="E79" s="18"/>
      <c r="F79" s="24"/>
      <c r="G79" s="24"/>
      <c r="H79" s="24"/>
      <c r="I79" s="24"/>
      <c r="J79" s="24"/>
      <c r="K79" s="24"/>
      <c r="N79" s="24"/>
      <c r="O79" s="24"/>
      <c r="P79" s="510" t="str">
        <f>General!G75</f>
        <v>o</v>
      </c>
      <c r="Q79" s="380">
        <v>0.43</v>
      </c>
      <c r="R79" s="24"/>
      <c r="S79" s="24"/>
      <c r="T79" s="24"/>
      <c r="U79" s="24"/>
      <c r="V79" s="24"/>
      <c r="W79" s="24"/>
      <c r="X79" s="24"/>
      <c r="Y79" s="24"/>
      <c r="Z79" s="24"/>
      <c r="AA79" s="24"/>
      <c r="AB79" s="27"/>
      <c r="AC79" s="27"/>
      <c r="AD79" s="27"/>
      <c r="AE79" s="17"/>
      <c r="AF79" s="9"/>
      <c r="AG79" s="9"/>
      <c r="AH79" s="9"/>
    </row>
    <row r="80" spans="1:34" ht="12" customHeight="1" x14ac:dyDescent="0.25">
      <c r="A80" s="7"/>
      <c r="B80" s="8"/>
      <c r="C80" s="18"/>
      <c r="D80" s="18"/>
      <c r="E80" s="18"/>
      <c r="F80" s="24"/>
      <c r="G80" s="24"/>
      <c r="H80" s="24"/>
      <c r="I80" s="24"/>
      <c r="J80" s="24"/>
      <c r="K80" s="24"/>
      <c r="N80" s="24"/>
      <c r="O80" s="24"/>
      <c r="P80" s="510" t="str">
        <f>General!G76</f>
        <v>od</v>
      </c>
      <c r="Q80" s="380">
        <v>0.43</v>
      </c>
      <c r="R80" s="24"/>
      <c r="S80" s="24"/>
      <c r="T80" s="24"/>
      <c r="U80" s="24"/>
      <c r="V80" s="24"/>
      <c r="W80" s="24"/>
      <c r="X80" s="24"/>
      <c r="Y80" s="24"/>
      <c r="Z80" s="24"/>
      <c r="AA80" s="24"/>
      <c r="AB80" s="27"/>
      <c r="AC80" s="27"/>
      <c r="AD80" s="27"/>
      <c r="AE80" s="17"/>
      <c r="AF80" s="9"/>
      <c r="AG80" s="9"/>
      <c r="AH80" s="9"/>
    </row>
    <row r="81" spans="1:34" ht="12" customHeight="1" x14ac:dyDescent="0.25">
      <c r="A81" s="7"/>
      <c r="B81" s="8"/>
      <c r="C81" s="18"/>
      <c r="D81" s="18"/>
      <c r="E81" s="18"/>
      <c r="F81" s="24"/>
      <c r="G81" s="24"/>
      <c r="H81" s="24"/>
      <c r="I81" s="24"/>
      <c r="J81" s="24"/>
      <c r="K81" s="24"/>
      <c r="N81" s="24"/>
      <c r="O81" s="24"/>
      <c r="P81" s="510" t="str">
        <f>General!G77</f>
        <v>of</v>
      </c>
      <c r="Q81" s="380">
        <v>0.43</v>
      </c>
      <c r="R81" s="24"/>
      <c r="S81" s="24"/>
      <c r="T81" s="24"/>
      <c r="U81" s="24"/>
      <c r="V81" s="24"/>
      <c r="W81" s="24"/>
      <c r="X81" s="24"/>
      <c r="Y81" s="24"/>
      <c r="Z81" s="24"/>
      <c r="AA81" s="24"/>
      <c r="AB81" s="27"/>
      <c r="AC81" s="27"/>
      <c r="AD81" s="27"/>
      <c r="AE81" s="17"/>
      <c r="AF81" s="9"/>
      <c r="AG81" s="9"/>
      <c r="AH81" s="9"/>
    </row>
    <row r="82" spans="1:34" ht="12" customHeight="1" x14ac:dyDescent="0.25">
      <c r="A82" s="7"/>
      <c r="B82" s="8"/>
      <c r="C82" s="18"/>
      <c r="D82" s="18"/>
      <c r="E82" s="18"/>
      <c r="F82" s="24"/>
      <c r="G82" s="24"/>
      <c r="H82" s="24"/>
      <c r="I82" s="24"/>
      <c r="J82" s="24"/>
      <c r="K82" s="24"/>
      <c r="N82" s="24"/>
      <c r="O82" s="24"/>
      <c r="P82" s="510" t="str">
        <f>General!G78</f>
        <v>r</v>
      </c>
      <c r="Q82" s="380">
        <v>0.33</v>
      </c>
      <c r="R82" s="24"/>
      <c r="S82" s="24"/>
      <c r="T82" s="24"/>
      <c r="U82" s="24"/>
      <c r="V82" s="24"/>
      <c r="W82" s="24"/>
      <c r="X82" s="24"/>
      <c r="Y82" s="24"/>
      <c r="Z82" s="24"/>
      <c r="AA82" s="24"/>
      <c r="AB82" s="27"/>
      <c r="AC82" s="27"/>
      <c r="AD82" s="27"/>
      <c r="AE82" s="17"/>
      <c r="AF82" s="9"/>
      <c r="AG82" s="9"/>
      <c r="AH82" s="9"/>
    </row>
    <row r="83" spans="1:34" ht="12" customHeight="1" x14ac:dyDescent="0.25">
      <c r="A83" s="7"/>
      <c r="B83" s="8"/>
      <c r="C83" s="18"/>
      <c r="D83" s="18"/>
      <c r="E83" s="18"/>
      <c r="F83" s="24"/>
      <c r="G83" s="24"/>
      <c r="H83" s="24"/>
      <c r="I83" s="24"/>
      <c r="J83" s="24"/>
      <c r="K83" s="24"/>
      <c r="N83" s="24"/>
      <c r="O83" s="24"/>
      <c r="P83" s="510" t="str">
        <f>General!G79</f>
        <v>rd</v>
      </c>
      <c r="Q83" s="380">
        <v>0.33</v>
      </c>
      <c r="R83" s="24"/>
      <c r="S83" s="24"/>
      <c r="T83" s="24"/>
      <c r="U83" s="24"/>
      <c r="V83" s="24"/>
      <c r="W83" s="24"/>
      <c r="X83" s="24"/>
      <c r="Y83" s="24"/>
      <c r="Z83" s="24"/>
      <c r="AA83" s="24"/>
      <c r="AB83" s="27"/>
      <c r="AC83" s="27"/>
      <c r="AD83" s="27"/>
      <c r="AE83" s="17"/>
      <c r="AF83" s="9"/>
      <c r="AG83" s="9"/>
      <c r="AH83" s="9"/>
    </row>
    <row r="84" spans="1:34" ht="12" customHeight="1" x14ac:dyDescent="0.25">
      <c r="A84" s="7"/>
      <c r="B84" s="8"/>
      <c r="C84" s="18"/>
      <c r="D84" s="18"/>
      <c r="E84" s="18"/>
      <c r="F84" s="24"/>
      <c r="G84" s="24"/>
      <c r="H84" s="24"/>
      <c r="I84" s="24"/>
      <c r="J84" s="24"/>
      <c r="K84" s="24"/>
      <c r="N84" s="24"/>
      <c r="O84" s="24"/>
      <c r="P84" s="510" t="str">
        <f>General!G80</f>
        <v>v</v>
      </c>
      <c r="Q84" s="380">
        <v>0.51</v>
      </c>
      <c r="R84" s="24"/>
      <c r="S84" s="24"/>
      <c r="T84" s="24"/>
      <c r="U84" s="24"/>
      <c r="V84" s="24"/>
      <c r="W84" s="24"/>
      <c r="X84" s="24"/>
      <c r="Y84" s="24"/>
      <c r="Z84" s="24"/>
      <c r="AA84" s="24"/>
      <c r="AB84" s="27"/>
      <c r="AC84" s="27"/>
      <c r="AD84" s="27"/>
      <c r="AE84" s="17"/>
      <c r="AF84" s="9"/>
      <c r="AG84" s="9"/>
      <c r="AH84" s="9"/>
    </row>
    <row r="85" spans="1:34" ht="12" customHeight="1" x14ac:dyDescent="0.25">
      <c r="A85" s="7"/>
      <c r="B85" s="8"/>
      <c r="C85" s="18"/>
      <c r="D85" s="18"/>
      <c r="E85" s="18"/>
      <c r="F85" s="24"/>
      <c r="G85" s="24"/>
      <c r="H85" s="24"/>
      <c r="I85" s="24"/>
      <c r="J85" s="24"/>
      <c r="K85" s="24"/>
      <c r="N85" s="24"/>
      <c r="O85" s="24"/>
      <c r="P85" s="510" t="str">
        <f>General!G81</f>
        <v>w</v>
      </c>
      <c r="Q85" s="380">
        <v>0.28999999999999998</v>
      </c>
      <c r="R85" s="24"/>
      <c r="S85" s="24"/>
      <c r="T85" s="24"/>
      <c r="U85" s="24"/>
      <c r="V85" s="24"/>
      <c r="W85" s="24"/>
      <c r="X85" s="24"/>
      <c r="Y85" s="24"/>
      <c r="Z85" s="24"/>
      <c r="AA85" s="24"/>
      <c r="AB85" s="27"/>
      <c r="AC85" s="27"/>
      <c r="AD85" s="27"/>
      <c r="AE85" s="17"/>
      <c r="AF85" s="9"/>
      <c r="AG85" s="9"/>
      <c r="AH85" s="9"/>
    </row>
    <row r="86" spans="1:34" ht="12" customHeight="1" x14ac:dyDescent="0.25">
      <c r="A86" s="7"/>
      <c r="B86" s="8"/>
      <c r="C86" s="18"/>
      <c r="D86" s="18"/>
      <c r="E86" s="18"/>
      <c r="F86" s="24"/>
      <c r="G86" s="24"/>
      <c r="H86" s="24"/>
      <c r="I86" s="24"/>
      <c r="J86" s="24"/>
      <c r="K86" s="24"/>
      <c r="N86" s="24"/>
      <c r="O86" s="24"/>
      <c r="P86" s="510" t="str">
        <f>General!G82</f>
        <v>wd</v>
      </c>
      <c r="Q86" s="380">
        <v>0.28999999999999998</v>
      </c>
      <c r="R86" s="24"/>
      <c r="S86" s="24"/>
      <c r="T86" s="24"/>
      <c r="U86" s="24"/>
      <c r="V86" s="24"/>
      <c r="W86" s="24"/>
      <c r="X86" s="24"/>
      <c r="Y86" s="24"/>
      <c r="Z86" s="24"/>
      <c r="AA86" s="24"/>
      <c r="AB86" s="27"/>
      <c r="AC86" s="27"/>
      <c r="AD86" s="27"/>
      <c r="AE86" s="17"/>
      <c r="AF86" s="9"/>
      <c r="AG86" s="9"/>
      <c r="AH86" s="9"/>
    </row>
    <row r="87" spans="1:34" ht="12" customHeight="1" x14ac:dyDescent="0.25">
      <c r="A87" s="7"/>
      <c r="B87" s="8"/>
      <c r="C87" s="18"/>
      <c r="D87" s="18"/>
      <c r="E87" s="18"/>
      <c r="F87" s="24"/>
      <c r="G87" s="24"/>
      <c r="H87" s="24"/>
      <c r="I87" s="24"/>
      <c r="J87" s="24"/>
      <c r="K87" s="24"/>
      <c r="N87" s="24"/>
      <c r="O87" s="24"/>
      <c r="P87" s="510" t="str">
        <f>General!G83</f>
        <v>z</v>
      </c>
      <c r="Q87" s="380">
        <v>0.33</v>
      </c>
      <c r="R87" s="24"/>
      <c r="S87" s="24"/>
      <c r="T87" s="24"/>
      <c r="U87" s="24"/>
      <c r="V87" s="24"/>
      <c r="W87" s="24"/>
      <c r="X87" s="24"/>
      <c r="Y87" s="24"/>
      <c r="Z87" s="24"/>
      <c r="AA87" s="24"/>
      <c r="AB87" s="27"/>
      <c r="AC87" s="27"/>
      <c r="AD87" s="27"/>
      <c r="AE87" s="17"/>
      <c r="AF87" s="9"/>
      <c r="AG87" s="9"/>
      <c r="AH87" s="9"/>
    </row>
    <row r="88" spans="1:34" ht="12" customHeight="1" x14ac:dyDescent="0.25">
      <c r="A88" s="7"/>
      <c r="B88" s="8"/>
      <c r="C88" s="18"/>
      <c r="D88" s="18"/>
      <c r="E88" s="18"/>
      <c r="F88" s="24"/>
      <c r="G88" s="24"/>
      <c r="H88" s="480"/>
      <c r="I88" s="480"/>
      <c r="J88" s="24"/>
      <c r="K88" s="480"/>
      <c r="N88" s="480"/>
      <c r="O88" s="24"/>
      <c r="P88" s="510" t="str">
        <f>General!G84</f>
        <v>zd</v>
      </c>
      <c r="Q88" s="380">
        <v>0.33</v>
      </c>
      <c r="R88" s="24"/>
      <c r="S88" s="24"/>
      <c r="T88" s="24"/>
      <c r="U88" s="24"/>
      <c r="V88" s="24"/>
      <c r="W88" s="24"/>
      <c r="X88" s="24"/>
      <c r="Y88" s="24"/>
      <c r="Z88" s="24"/>
      <c r="AA88" s="24"/>
      <c r="AB88" s="27"/>
      <c r="AC88" s="27"/>
      <c r="AD88" s="27"/>
      <c r="AE88" s="17"/>
      <c r="AF88" s="9"/>
      <c r="AG88" s="9"/>
      <c r="AH88" s="9"/>
    </row>
    <row r="89" spans="1:34" ht="12" customHeight="1" x14ac:dyDescent="0.25">
      <c r="A89" s="7"/>
      <c r="B89" s="8"/>
      <c r="C89" s="18"/>
      <c r="D89" s="18"/>
      <c r="E89" s="18"/>
      <c r="F89" s="24"/>
      <c r="G89" s="28"/>
      <c r="H89" s="28"/>
      <c r="I89" s="483"/>
      <c r="J89" s="32"/>
      <c r="K89" s="32"/>
      <c r="L89" s="32"/>
      <c r="M89" s="32"/>
      <c r="N89" s="32"/>
      <c r="O89" s="32"/>
      <c r="P89" s="32"/>
      <c r="Q89" s="30"/>
      <c r="R89" s="30"/>
      <c r="S89" s="30"/>
      <c r="T89" s="30"/>
      <c r="U89" s="30"/>
      <c r="V89" s="30"/>
      <c r="W89" s="30"/>
      <c r="X89" s="30"/>
      <c r="Y89" s="27"/>
      <c r="Z89" s="27"/>
      <c r="AA89" s="27"/>
      <c r="AB89" s="27"/>
      <c r="AC89" s="27"/>
      <c r="AD89" s="27"/>
      <c r="AE89" s="17"/>
      <c r="AF89" s="9"/>
      <c r="AG89" s="9"/>
      <c r="AH89" s="9"/>
    </row>
    <row r="90" spans="1:34" ht="5.0999999999999996" customHeight="1" x14ac:dyDescent="0.25">
      <c r="A90" s="7"/>
      <c r="B90" s="8"/>
      <c r="C90" s="18"/>
      <c r="D90" s="18"/>
      <c r="E90" s="18"/>
      <c r="F90" s="33"/>
      <c r="G90" s="34"/>
      <c r="H90" s="34"/>
      <c r="I90" s="34"/>
      <c r="J90" s="35"/>
      <c r="K90" s="35"/>
      <c r="L90" s="35"/>
      <c r="M90" s="35"/>
      <c r="N90" s="35"/>
      <c r="O90" s="35"/>
      <c r="P90" s="35"/>
      <c r="Q90" s="35"/>
      <c r="R90" s="35"/>
      <c r="S90" s="35"/>
      <c r="T90" s="35"/>
      <c r="U90" s="35"/>
      <c r="V90" s="35"/>
      <c r="W90" s="35"/>
      <c r="X90" s="35"/>
      <c r="Y90" s="27"/>
      <c r="Z90" s="27"/>
      <c r="AA90" s="27"/>
      <c r="AB90" s="27"/>
      <c r="AC90" s="27"/>
      <c r="AD90" s="27"/>
      <c r="AE90" s="17"/>
      <c r="AF90" s="9"/>
      <c r="AG90" s="9"/>
      <c r="AH90" s="9"/>
    </row>
    <row r="91" spans="1:34" ht="24.95" customHeight="1" x14ac:dyDescent="0.25">
      <c r="A91" s="7"/>
      <c r="B91" s="8"/>
      <c r="C91" s="36"/>
      <c r="D91" s="36"/>
      <c r="E91" s="36"/>
      <c r="F91" s="36"/>
      <c r="G91" s="37" t="str">
        <f>G64</f>
        <v>Crop &amp; Pasture Residues &amp; Burning</v>
      </c>
      <c r="H91" s="36"/>
      <c r="I91" s="36"/>
      <c r="J91" s="36"/>
      <c r="K91" s="36"/>
      <c r="L91" s="36"/>
      <c r="M91" s="36"/>
      <c r="N91" s="36"/>
      <c r="O91" s="36"/>
      <c r="P91" s="36"/>
      <c r="Q91" s="36"/>
      <c r="R91" s="36"/>
      <c r="S91" s="36"/>
      <c r="T91" s="36"/>
      <c r="U91" s="36"/>
      <c r="V91" s="36"/>
      <c r="W91" s="36"/>
      <c r="X91" s="36"/>
      <c r="Y91" s="36"/>
      <c r="Z91" s="36"/>
      <c r="AA91" s="36"/>
      <c r="AB91" s="36"/>
      <c r="AC91" s="36"/>
      <c r="AD91" s="36"/>
      <c r="AE91" s="38" t="s">
        <v>91</v>
      </c>
      <c r="AF91" s="9"/>
      <c r="AG91" s="9"/>
      <c r="AH91" s="9"/>
    </row>
    <row r="92" spans="1:34" ht="12" customHeight="1" x14ac:dyDescent="0.25">
      <c r="A92" s="7"/>
      <c r="B92" s="8"/>
      <c r="C92" s="8"/>
      <c r="D92" s="8"/>
      <c r="E92" s="8"/>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row>
    <row r="93" spans="1:34" ht="12" customHeight="1" x14ac:dyDescent="0.25">
      <c r="A93" s="7"/>
      <c r="B93" s="8"/>
      <c r="C93" s="8"/>
      <c r="D93" s="8"/>
      <c r="E93" s="8"/>
      <c r="F93" s="8"/>
      <c r="G93" s="8"/>
      <c r="H93" s="9"/>
      <c r="I93" s="9"/>
      <c r="J93" s="9"/>
      <c r="K93" s="9"/>
      <c r="L93" s="9"/>
      <c r="M93" s="9"/>
      <c r="N93" s="9"/>
      <c r="O93" s="9"/>
      <c r="P93" s="9"/>
      <c r="Q93" s="9"/>
      <c r="R93" s="9"/>
      <c r="S93" s="9"/>
      <c r="T93" s="9"/>
      <c r="U93" s="9"/>
      <c r="V93" s="9"/>
      <c r="W93" s="9"/>
      <c r="X93" s="9"/>
      <c r="Y93" s="9"/>
      <c r="Z93" s="9"/>
      <c r="AA93" s="9"/>
      <c r="AB93" s="9"/>
      <c r="AC93" s="9"/>
      <c r="AD93" s="9"/>
      <c r="AE93" s="9"/>
      <c r="AF93" s="8"/>
      <c r="AG93" s="8"/>
      <c r="AH93" s="8"/>
    </row>
    <row r="94" spans="1:34" ht="5.0999999999999996" customHeight="1" thickBot="1" x14ac:dyDescent="0.3">
      <c r="A94" s="7"/>
      <c r="B94" s="8"/>
      <c r="C94" s="8"/>
      <c r="D94" s="8"/>
      <c r="E94" s="8"/>
      <c r="F94" s="8"/>
      <c r="G94" s="8"/>
      <c r="H94" s="9"/>
      <c r="I94" s="9"/>
      <c r="J94" s="9"/>
      <c r="K94" s="9"/>
      <c r="L94" s="9"/>
      <c r="M94" s="9"/>
      <c r="N94" s="9"/>
      <c r="O94" s="9"/>
      <c r="P94" s="9"/>
      <c r="Q94" s="9"/>
      <c r="R94" s="9"/>
      <c r="S94" s="9"/>
      <c r="T94" s="9"/>
      <c r="U94" s="9"/>
      <c r="V94" s="9"/>
      <c r="W94" s="9"/>
      <c r="X94" s="9"/>
      <c r="Y94" s="9"/>
      <c r="Z94" s="9"/>
      <c r="AA94" s="9"/>
      <c r="AB94" s="9"/>
      <c r="AC94" s="9"/>
      <c r="AD94" s="9"/>
      <c r="AE94" s="9"/>
      <c r="AF94" s="8"/>
      <c r="AG94" s="8"/>
      <c r="AH94" s="8"/>
    </row>
    <row r="95" spans="1:34" ht="5.0999999999999996" customHeight="1" x14ac:dyDescent="0.25">
      <c r="A95" s="7"/>
      <c r="B95" s="8"/>
      <c r="C95" s="10" t="s">
        <v>86</v>
      </c>
      <c r="D95" s="10"/>
      <c r="E95" s="10"/>
      <c r="F95" s="10"/>
      <c r="G95" s="10"/>
      <c r="H95" s="10"/>
      <c r="I95" s="10"/>
      <c r="J95" s="10"/>
      <c r="K95" s="10"/>
      <c r="L95" s="11"/>
      <c r="M95" s="11"/>
      <c r="N95" s="11"/>
      <c r="O95" s="11"/>
      <c r="P95" s="11"/>
      <c r="Q95" s="11"/>
      <c r="R95" s="11"/>
      <c r="S95" s="11"/>
      <c r="T95" s="11"/>
      <c r="U95" s="11"/>
      <c r="V95" s="11"/>
      <c r="W95" s="11"/>
      <c r="X95" s="11"/>
      <c r="Y95" s="11"/>
      <c r="Z95" s="11"/>
      <c r="AA95" s="11"/>
      <c r="AB95" s="11"/>
      <c r="AC95" s="11"/>
      <c r="AD95" s="11"/>
      <c r="AE95" s="12"/>
      <c r="AF95" s="9"/>
      <c r="AG95" s="9"/>
      <c r="AH95" s="9"/>
    </row>
    <row r="96" spans="1:34" ht="12" customHeight="1" x14ac:dyDescent="0.25">
      <c r="A96" s="7"/>
      <c r="B96" s="8"/>
      <c r="C96" s="13"/>
      <c r="D96" s="13"/>
      <c r="E96" s="13" t="s">
        <v>87</v>
      </c>
      <c r="F96" s="14"/>
      <c r="G96" s="15" t="s">
        <v>2964</v>
      </c>
      <c r="H96" s="14"/>
      <c r="I96" s="14"/>
      <c r="J96" s="14"/>
      <c r="K96" s="14"/>
      <c r="L96" s="14"/>
      <c r="M96" s="14"/>
      <c r="N96" s="14"/>
      <c r="O96" s="14"/>
      <c r="P96" s="14"/>
      <c r="Q96" s="14"/>
      <c r="R96" s="14"/>
      <c r="S96" s="14"/>
      <c r="T96" s="14"/>
      <c r="U96" s="14"/>
      <c r="V96" s="16"/>
      <c r="W96" s="14"/>
      <c r="X96" s="16"/>
      <c r="Y96" s="16"/>
      <c r="Z96" s="16"/>
      <c r="AA96" s="16"/>
      <c r="AB96" s="16"/>
      <c r="AC96" s="16"/>
      <c r="AD96" s="16"/>
      <c r="AE96" s="17"/>
      <c r="AF96" s="9"/>
      <c r="AG96" s="9"/>
      <c r="AH96" s="9"/>
    </row>
    <row r="97" spans="1:34" ht="12" customHeight="1" x14ac:dyDescent="0.25">
      <c r="A97" s="7"/>
      <c r="B97" s="8"/>
      <c r="C97" s="13"/>
      <c r="D97" s="13"/>
      <c r="E97" s="18"/>
      <c r="F97" s="14"/>
      <c r="G97" s="14"/>
      <c r="H97" s="14"/>
      <c r="I97" s="14"/>
      <c r="J97" s="14"/>
      <c r="K97" s="14"/>
      <c r="L97" s="14"/>
      <c r="M97" s="14"/>
      <c r="N97" s="14"/>
      <c r="O97" s="14"/>
      <c r="P97" s="14"/>
      <c r="Q97" s="14"/>
      <c r="R97" s="14"/>
      <c r="S97" s="14"/>
      <c r="T97" s="14"/>
      <c r="U97" s="14"/>
      <c r="V97" s="16"/>
      <c r="W97" s="19"/>
      <c r="X97" s="16"/>
      <c r="Y97" s="16"/>
      <c r="Z97" s="16"/>
      <c r="AA97" s="16"/>
      <c r="AB97" s="16"/>
      <c r="AC97" s="16"/>
      <c r="AD97" s="16"/>
      <c r="AE97" s="17"/>
      <c r="AF97" s="9"/>
      <c r="AG97" s="9"/>
      <c r="AH97" s="9"/>
    </row>
    <row r="98" spans="1:34" ht="12" customHeight="1" x14ac:dyDescent="0.25">
      <c r="A98" s="7"/>
      <c r="B98" s="8"/>
      <c r="C98" s="18"/>
      <c r="D98" s="13"/>
      <c r="E98" s="18"/>
      <c r="F98" s="14"/>
      <c r="G98" s="20">
        <v>2023</v>
      </c>
      <c r="H98" s="14"/>
      <c r="I98" s="14"/>
      <c r="J98" s="14"/>
      <c r="K98" s="14"/>
      <c r="L98" s="14"/>
      <c r="M98" s="14"/>
      <c r="N98" s="14"/>
      <c r="O98" s="14"/>
      <c r="P98" s="14"/>
      <c r="Q98" s="14"/>
      <c r="R98" s="14"/>
      <c r="S98" s="14"/>
      <c r="T98" s="14"/>
      <c r="U98" s="14"/>
      <c r="V98" s="16"/>
      <c r="W98" s="19"/>
      <c r="X98" s="16"/>
      <c r="Y98" s="16"/>
      <c r="Z98" s="16"/>
      <c r="AA98" s="16"/>
      <c r="AB98" s="16"/>
      <c r="AC98" s="16"/>
      <c r="AD98" s="16"/>
      <c r="AE98" s="17"/>
      <c r="AF98" s="9"/>
      <c r="AG98" s="9"/>
      <c r="AH98" s="9"/>
    </row>
    <row r="99" spans="1:34" ht="12" customHeight="1" x14ac:dyDescent="0.25">
      <c r="A99" s="7"/>
      <c r="B99" s="8"/>
      <c r="C99" s="18"/>
      <c r="D99" s="18"/>
      <c r="E99" s="18"/>
      <c r="F99" s="18"/>
      <c r="G99" s="18"/>
      <c r="H99" s="18"/>
      <c r="I99" s="18"/>
      <c r="J99" s="21"/>
      <c r="K99" s="21"/>
      <c r="L99" s="21"/>
      <c r="M99" s="21"/>
      <c r="N99" s="21"/>
      <c r="O99" s="21"/>
      <c r="P99" s="21"/>
      <c r="Q99" s="21"/>
      <c r="R99" s="21"/>
      <c r="S99" s="21"/>
      <c r="T99" s="21"/>
      <c r="U99" s="21"/>
      <c r="V99" s="21"/>
      <c r="W99" s="21"/>
      <c r="X99" s="21"/>
      <c r="Y99" s="21"/>
      <c r="Z99" s="21"/>
      <c r="AA99" s="21"/>
      <c r="AB99" s="21"/>
      <c r="AC99" s="21"/>
      <c r="AD99" s="21"/>
      <c r="AE99" s="17"/>
      <c r="AF99" s="9"/>
      <c r="AG99" s="9"/>
      <c r="AH99" s="9"/>
    </row>
    <row r="100" spans="1:34" ht="12" customHeight="1" x14ac:dyDescent="0.25">
      <c r="A100" s="7"/>
      <c r="B100" s="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21"/>
      <c r="AC100" s="21"/>
      <c r="AD100" s="21"/>
      <c r="AE100" s="17"/>
      <c r="AF100" s="9"/>
      <c r="AG100" s="9"/>
      <c r="AH100" s="9"/>
    </row>
    <row r="101" spans="1:34" ht="12" customHeight="1" x14ac:dyDescent="0.25">
      <c r="A101" s="7"/>
      <c r="B101" s="8"/>
      <c r="C101" s="18"/>
      <c r="D101" s="18"/>
      <c r="E101" s="18"/>
      <c r="F101" s="18"/>
      <c r="G101" s="18"/>
      <c r="H101" s="18"/>
      <c r="I101" s="18"/>
      <c r="J101" s="18"/>
      <c r="K101" s="18"/>
      <c r="L101" s="18" t="s">
        <v>2971</v>
      </c>
      <c r="M101" s="18"/>
      <c r="N101" s="18" t="s">
        <v>2970</v>
      </c>
      <c r="O101" s="18"/>
      <c r="P101" s="18" t="s">
        <v>2972</v>
      </c>
      <c r="Q101" s="18"/>
      <c r="R101" s="18"/>
      <c r="S101" s="18"/>
      <c r="T101" s="18"/>
      <c r="U101" s="18"/>
      <c r="V101" s="18"/>
      <c r="W101" s="18"/>
      <c r="X101" s="18"/>
      <c r="Y101" s="18"/>
      <c r="Z101" s="18"/>
      <c r="AA101" s="18"/>
      <c r="AB101" s="21"/>
      <c r="AC101" s="21"/>
      <c r="AD101" s="21"/>
      <c r="AE101" s="17"/>
      <c r="AF101" s="9"/>
      <c r="AG101" s="9"/>
      <c r="AH101" s="9"/>
    </row>
    <row r="102" spans="1:34" ht="12" customHeight="1" x14ac:dyDescent="0.25">
      <c r="A102" s="7"/>
      <c r="B102" s="8"/>
      <c r="C102" s="18"/>
      <c r="D102" s="18"/>
      <c r="E102" s="18"/>
      <c r="F102" s="24"/>
      <c r="G102" s="24"/>
      <c r="H102" s="479" t="s">
        <v>2966</v>
      </c>
      <c r="I102" s="480"/>
      <c r="J102" s="24"/>
      <c r="K102" s="480"/>
      <c r="L102" s="480"/>
      <c r="M102" s="24"/>
      <c r="N102" s="24"/>
      <c r="O102" s="24"/>
      <c r="P102" s="24"/>
      <c r="Q102" s="24"/>
      <c r="R102" s="24"/>
      <c r="S102" s="24"/>
      <c r="T102" s="24"/>
      <c r="U102" s="24"/>
      <c r="V102" s="24"/>
      <c r="W102" s="24"/>
      <c r="X102" s="24"/>
      <c r="Y102" s="24"/>
      <c r="Z102" s="24"/>
      <c r="AA102" s="24"/>
      <c r="AB102" s="27"/>
      <c r="AC102" s="27"/>
      <c r="AD102" s="27"/>
      <c r="AE102" s="17"/>
      <c r="AF102" s="9"/>
      <c r="AG102" s="9"/>
      <c r="AH102" s="9"/>
    </row>
    <row r="103" spans="1:34" ht="12" customHeight="1" x14ac:dyDescent="0.25">
      <c r="A103" s="7"/>
      <c r="B103" s="8"/>
      <c r="C103" s="18"/>
      <c r="D103" s="18"/>
      <c r="E103" s="18"/>
      <c r="F103" s="24"/>
      <c r="G103" s="24"/>
      <c r="H103" s="24"/>
      <c r="I103" s="480" t="s">
        <v>2967</v>
      </c>
      <c r="J103" s="24"/>
      <c r="K103" s="480"/>
      <c r="L103" s="474">
        <v>0.21</v>
      </c>
      <c r="M103" s="24"/>
      <c r="N103" s="474">
        <v>0.11</v>
      </c>
      <c r="O103" s="24"/>
      <c r="P103" s="24"/>
      <c r="Q103" s="24"/>
      <c r="R103" s="24"/>
      <c r="S103" s="24"/>
      <c r="T103" s="24"/>
      <c r="U103" s="24"/>
      <c r="V103" s="24"/>
      <c r="W103" s="24"/>
      <c r="X103" s="24"/>
      <c r="Y103" s="24"/>
      <c r="Z103" s="24"/>
      <c r="AA103" s="24"/>
      <c r="AB103" s="27"/>
      <c r="AC103" s="27"/>
      <c r="AD103" s="27"/>
      <c r="AE103" s="17"/>
      <c r="AF103" s="9"/>
      <c r="AG103" s="9"/>
      <c r="AH103" s="9"/>
    </row>
    <row r="104" spans="1:34" ht="12" customHeight="1" x14ac:dyDescent="0.25">
      <c r="A104" s="7"/>
      <c r="B104" s="8"/>
      <c r="C104" s="18"/>
      <c r="D104" s="18"/>
      <c r="E104" s="18"/>
      <c r="F104" s="24"/>
      <c r="G104" s="24"/>
      <c r="H104" s="24"/>
      <c r="I104" s="480"/>
      <c r="J104" s="24"/>
      <c r="K104" s="480"/>
      <c r="L104" s="480"/>
      <c r="M104" s="24"/>
      <c r="N104" s="24"/>
      <c r="O104" s="24"/>
      <c r="P104" s="24"/>
      <c r="Q104" s="24"/>
      <c r="R104" s="24"/>
      <c r="S104" s="24"/>
      <c r="T104" s="24"/>
      <c r="U104" s="24"/>
      <c r="V104" s="24"/>
      <c r="W104" s="24"/>
      <c r="X104" s="24"/>
      <c r="Y104" s="24"/>
      <c r="Z104" s="24"/>
      <c r="AA104" s="24"/>
      <c r="AB104" s="27"/>
      <c r="AC104" s="27"/>
      <c r="AD104" s="27"/>
      <c r="AE104" s="17"/>
      <c r="AF104" s="9"/>
      <c r="AG104" s="9"/>
      <c r="AH104" s="9"/>
    </row>
    <row r="105" spans="1:34" ht="12" customHeight="1" x14ac:dyDescent="0.25">
      <c r="A105" s="7"/>
      <c r="B105" s="8"/>
      <c r="C105" s="18"/>
      <c r="D105" s="18"/>
      <c r="E105" s="18"/>
      <c r="F105" s="24"/>
      <c r="G105" s="24"/>
      <c r="H105" s="479" t="s">
        <v>2965</v>
      </c>
      <c r="I105" s="480"/>
      <c r="J105" s="24"/>
      <c r="K105" s="480"/>
      <c r="L105" s="480"/>
      <c r="M105" s="24"/>
      <c r="N105" s="24"/>
      <c r="O105" s="24"/>
      <c r="P105" s="24"/>
      <c r="Q105" s="24"/>
      <c r="R105" s="24"/>
      <c r="S105" s="24"/>
      <c r="T105" s="24"/>
      <c r="U105" s="24"/>
      <c r="V105" s="24"/>
      <c r="W105" s="24"/>
      <c r="X105" s="24"/>
      <c r="Y105" s="24"/>
      <c r="Z105" s="24"/>
      <c r="AA105" s="24"/>
      <c r="AB105" s="27"/>
      <c r="AC105" s="27"/>
      <c r="AD105" s="27"/>
      <c r="AE105" s="17"/>
      <c r="AF105" s="9"/>
      <c r="AG105" s="9"/>
      <c r="AH105" s="9"/>
    </row>
    <row r="106" spans="1:34" ht="12" customHeight="1" x14ac:dyDescent="0.25">
      <c r="A106" s="7"/>
      <c r="B106" s="8"/>
      <c r="C106" s="18"/>
      <c r="D106" s="18"/>
      <c r="E106" s="18"/>
      <c r="F106" s="24"/>
      <c r="G106" s="24"/>
      <c r="H106" s="480"/>
      <c r="I106" s="480" t="s">
        <v>2968</v>
      </c>
      <c r="J106" s="24"/>
      <c r="K106" s="480"/>
      <c r="L106" s="380">
        <v>1</v>
      </c>
      <c r="M106" s="24"/>
      <c r="N106" s="380">
        <v>1</v>
      </c>
      <c r="O106" s="24"/>
      <c r="P106" s="380">
        <v>1</v>
      </c>
      <c r="Q106" s="24"/>
      <c r="R106" s="24"/>
      <c r="S106" s="24"/>
      <c r="T106" s="24"/>
      <c r="U106" s="24"/>
      <c r="V106" s="24"/>
      <c r="W106" s="24"/>
      <c r="X106" s="24"/>
      <c r="Y106" s="24"/>
      <c r="Z106" s="24"/>
      <c r="AA106" s="24"/>
      <c r="AB106" s="27"/>
      <c r="AC106" s="27"/>
      <c r="AD106" s="27"/>
      <c r="AE106" s="17"/>
      <c r="AF106" s="9"/>
      <c r="AG106" s="9"/>
      <c r="AH106" s="9"/>
    </row>
    <row r="107" spans="1:34" ht="12" customHeight="1" x14ac:dyDescent="0.25">
      <c r="A107" s="7"/>
      <c r="B107" s="8"/>
      <c r="C107" s="18"/>
      <c r="D107" s="18"/>
      <c r="E107" s="18"/>
      <c r="F107" s="24"/>
      <c r="G107" s="24"/>
      <c r="H107" s="480"/>
      <c r="I107" s="480" t="s">
        <v>2969</v>
      </c>
      <c r="J107" s="24"/>
      <c r="K107" s="480"/>
      <c r="L107" s="380">
        <v>0.24</v>
      </c>
      <c r="M107" s="24"/>
      <c r="N107" s="380">
        <v>0.24</v>
      </c>
      <c r="O107" s="24"/>
      <c r="P107" s="380">
        <v>0.24</v>
      </c>
      <c r="Q107" s="24"/>
      <c r="R107" s="24"/>
      <c r="S107" s="24"/>
      <c r="T107" s="24"/>
      <c r="U107" s="24"/>
      <c r="V107" s="24"/>
      <c r="W107" s="24"/>
      <c r="X107" s="24"/>
      <c r="Y107" s="24"/>
      <c r="Z107" s="24"/>
      <c r="AA107" s="24"/>
      <c r="AB107" s="27"/>
      <c r="AC107" s="27"/>
      <c r="AD107" s="27"/>
      <c r="AE107" s="17"/>
      <c r="AF107" s="9"/>
      <c r="AG107" s="9"/>
      <c r="AH107" s="9"/>
    </row>
    <row r="108" spans="1:34" ht="12" customHeight="1" x14ac:dyDescent="0.25">
      <c r="A108" s="7"/>
      <c r="B108" s="8"/>
      <c r="C108" s="18"/>
      <c r="D108" s="18"/>
      <c r="E108" s="18"/>
      <c r="F108" s="24"/>
      <c r="G108" s="24"/>
      <c r="H108" s="481"/>
      <c r="I108" s="481"/>
      <c r="J108" s="24"/>
      <c r="K108" s="480"/>
      <c r="L108" s="480"/>
      <c r="M108" s="24"/>
      <c r="N108" s="24"/>
      <c r="O108" s="24"/>
      <c r="P108" s="24"/>
      <c r="Q108" s="24"/>
      <c r="R108" s="24"/>
      <c r="S108" s="24"/>
      <c r="T108" s="24"/>
      <c r="U108" s="24"/>
      <c r="V108" s="24"/>
      <c r="W108" s="24"/>
      <c r="X108" s="24"/>
      <c r="Y108" s="24"/>
      <c r="Z108" s="24"/>
      <c r="AA108" s="24"/>
      <c r="AB108" s="27"/>
      <c r="AC108" s="27"/>
      <c r="AD108" s="27"/>
      <c r="AE108" s="17"/>
      <c r="AF108" s="9"/>
      <c r="AG108" s="9"/>
      <c r="AH108" s="9"/>
    </row>
    <row r="109" spans="1:34" ht="12" customHeight="1" x14ac:dyDescent="0.25">
      <c r="A109" s="7"/>
      <c r="B109" s="8"/>
      <c r="C109" s="18"/>
      <c r="D109" s="18"/>
      <c r="E109" s="18"/>
      <c r="F109" s="24"/>
      <c r="G109" s="24"/>
      <c r="H109" s="482"/>
      <c r="I109" s="481"/>
      <c r="J109" s="24"/>
      <c r="K109" s="480"/>
      <c r="L109" s="480"/>
      <c r="M109" s="24"/>
      <c r="N109" s="24"/>
      <c r="O109" s="24"/>
      <c r="P109" s="24"/>
      <c r="Q109" s="24"/>
      <c r="R109" s="24"/>
      <c r="S109" s="24"/>
      <c r="T109" s="24"/>
      <c r="U109" s="24"/>
      <c r="V109" s="24"/>
      <c r="W109" s="24"/>
      <c r="X109" s="24"/>
      <c r="Y109" s="24"/>
      <c r="Z109" s="24"/>
      <c r="AA109" s="24"/>
      <c r="AB109" s="27"/>
      <c r="AC109" s="27"/>
      <c r="AD109" s="27"/>
      <c r="AE109" s="17"/>
      <c r="AF109" s="9"/>
      <c r="AG109" s="9"/>
      <c r="AH109" s="9"/>
    </row>
    <row r="110" spans="1:34" ht="12" customHeight="1" x14ac:dyDescent="0.25">
      <c r="A110" s="7"/>
      <c r="B110" s="8"/>
      <c r="C110" s="18"/>
      <c r="D110" s="18"/>
      <c r="E110" s="18"/>
      <c r="F110" s="24"/>
      <c r="G110" s="24"/>
      <c r="H110" s="480"/>
      <c r="I110" s="345" t="s">
        <v>3002</v>
      </c>
      <c r="J110" s="24"/>
      <c r="K110" s="480"/>
      <c r="L110" s="480"/>
      <c r="M110" s="24"/>
      <c r="N110" s="24"/>
      <c r="O110" s="24"/>
      <c r="Q110" s="24"/>
      <c r="R110" s="24"/>
      <c r="S110" s="24"/>
      <c r="T110" s="24"/>
      <c r="U110" s="24"/>
      <c r="V110" s="24"/>
      <c r="W110" s="24"/>
      <c r="X110" s="24"/>
      <c r="Y110" s="24"/>
      <c r="Z110" s="24"/>
      <c r="AA110" s="24"/>
      <c r="AB110" s="27"/>
      <c r="AC110" s="27"/>
      <c r="AD110" s="27"/>
      <c r="AE110" s="17"/>
      <c r="AF110" s="9"/>
      <c r="AG110" s="9"/>
      <c r="AH110" s="9"/>
    </row>
    <row r="111" spans="1:34" ht="12" customHeight="1" x14ac:dyDescent="0.25">
      <c r="A111" s="7"/>
      <c r="B111" s="8"/>
      <c r="C111" s="18"/>
      <c r="D111" s="18"/>
      <c r="E111" s="18"/>
      <c r="F111" s="24"/>
      <c r="G111" s="24"/>
      <c r="H111" s="480"/>
      <c r="I111" s="325" t="s">
        <v>3003</v>
      </c>
      <c r="J111" s="24"/>
      <c r="K111" s="480"/>
      <c r="L111" s="480"/>
      <c r="M111" s="24"/>
      <c r="N111" s="380">
        <v>1</v>
      </c>
      <c r="O111" s="24"/>
      <c r="P111" s="24"/>
      <c r="Q111" s="24"/>
      <c r="R111" s="24"/>
      <c r="S111" s="24"/>
      <c r="T111" s="24"/>
      <c r="U111" s="24"/>
      <c r="V111" s="24"/>
      <c r="W111" s="24"/>
      <c r="X111" s="24"/>
      <c r="Y111" s="24"/>
      <c r="Z111" s="24"/>
      <c r="AA111" s="24"/>
      <c r="AB111" s="27"/>
      <c r="AC111" s="27"/>
      <c r="AD111" s="27"/>
      <c r="AE111" s="17"/>
      <c r="AF111" s="9"/>
      <c r="AG111" s="9"/>
      <c r="AH111" s="9"/>
    </row>
    <row r="112" spans="1:34" ht="12" customHeight="1" x14ac:dyDescent="0.25">
      <c r="A112" s="7"/>
      <c r="B112" s="8"/>
      <c r="C112" s="18"/>
      <c r="D112" s="18"/>
      <c r="E112" s="18"/>
      <c r="F112" s="24"/>
      <c r="G112" s="24"/>
      <c r="H112" s="480"/>
      <c r="I112" s="325" t="s">
        <v>3004</v>
      </c>
      <c r="J112" s="24"/>
      <c r="K112" s="480"/>
      <c r="L112" s="480"/>
      <c r="M112" s="24"/>
      <c r="N112" s="380">
        <v>0.9</v>
      </c>
      <c r="O112" s="24"/>
      <c r="Q112" s="24"/>
      <c r="R112" s="24"/>
      <c r="S112" s="24"/>
      <c r="T112" s="24"/>
      <c r="U112" s="24"/>
      <c r="V112" s="24"/>
      <c r="W112" s="24"/>
      <c r="X112" s="24"/>
      <c r="Y112" s="24"/>
      <c r="Z112" s="24"/>
      <c r="AA112" s="24"/>
      <c r="AB112" s="27"/>
      <c r="AC112" s="27"/>
      <c r="AD112" s="27"/>
      <c r="AE112" s="17"/>
      <c r="AF112" s="9"/>
      <c r="AG112" s="9"/>
      <c r="AH112" s="9"/>
    </row>
    <row r="113" spans="1:34" ht="12" customHeight="1" x14ac:dyDescent="0.25">
      <c r="A113" s="7"/>
      <c r="B113" s="8"/>
      <c r="C113" s="18"/>
      <c r="D113" s="18"/>
      <c r="E113" s="18"/>
      <c r="F113" s="24"/>
      <c r="G113" s="24"/>
      <c r="H113" s="480"/>
      <c r="I113" s="325" t="s">
        <v>3005</v>
      </c>
      <c r="J113" s="24"/>
      <c r="K113" s="480"/>
      <c r="L113" s="480"/>
      <c r="M113" s="24"/>
      <c r="N113" s="380">
        <v>0.95</v>
      </c>
      <c r="O113" s="24"/>
      <c r="Q113" s="24"/>
      <c r="R113" s="24"/>
      <c r="S113" s="24"/>
      <c r="T113" s="24"/>
      <c r="U113" s="24"/>
      <c r="V113" s="24"/>
      <c r="W113" s="24"/>
      <c r="X113" s="24"/>
      <c r="Y113" s="24"/>
      <c r="Z113" s="24"/>
      <c r="AA113" s="24"/>
      <c r="AB113" s="27"/>
      <c r="AC113" s="27"/>
      <c r="AD113" s="27"/>
      <c r="AE113" s="17"/>
      <c r="AF113" s="9"/>
      <c r="AG113" s="9"/>
      <c r="AH113" s="9"/>
    </row>
    <row r="114" spans="1:34" ht="12" customHeight="1" x14ac:dyDescent="0.25">
      <c r="A114" s="7"/>
      <c r="B114" s="8"/>
      <c r="C114" s="18"/>
      <c r="D114" s="18"/>
      <c r="E114" s="18"/>
      <c r="F114" s="24"/>
      <c r="G114" s="24"/>
      <c r="H114" s="480"/>
      <c r="I114" s="480"/>
      <c r="J114" s="24"/>
      <c r="K114" s="480"/>
      <c r="L114" s="480"/>
      <c r="M114" s="24"/>
      <c r="N114" s="24"/>
      <c r="O114" s="24"/>
      <c r="P114" s="24"/>
      <c r="Q114" s="24"/>
      <c r="R114" s="24"/>
      <c r="S114" s="24"/>
      <c r="T114" s="24"/>
      <c r="U114" s="24"/>
      <c r="V114" s="24"/>
      <c r="W114" s="24"/>
      <c r="X114" s="24"/>
      <c r="Y114" s="24"/>
      <c r="Z114" s="24"/>
      <c r="AA114" s="24"/>
      <c r="AB114" s="27"/>
      <c r="AC114" s="27"/>
      <c r="AD114" s="27"/>
      <c r="AE114" s="17"/>
      <c r="AF114" s="9"/>
      <c r="AG114" s="9"/>
      <c r="AH114" s="9"/>
    </row>
    <row r="115" spans="1:34" ht="12" customHeight="1" x14ac:dyDescent="0.25">
      <c r="A115" s="7"/>
      <c r="B115" s="8"/>
      <c r="C115" s="18"/>
      <c r="D115" s="18"/>
      <c r="E115" s="18"/>
      <c r="F115" s="24"/>
      <c r="G115" s="28"/>
      <c r="H115" s="28"/>
      <c r="I115" s="483"/>
      <c r="J115" s="32"/>
      <c r="K115" s="32"/>
      <c r="L115" s="32"/>
      <c r="M115" s="32"/>
      <c r="N115" s="32"/>
      <c r="O115" s="32"/>
      <c r="P115" s="32"/>
      <c r="Q115" s="30"/>
      <c r="R115" s="30"/>
      <c r="S115" s="30"/>
      <c r="T115" s="30"/>
      <c r="U115" s="30"/>
      <c r="V115" s="30"/>
      <c r="W115" s="30"/>
      <c r="X115" s="30"/>
      <c r="Y115" s="27"/>
      <c r="Z115" s="27"/>
      <c r="AA115" s="27"/>
      <c r="AB115" s="27"/>
      <c r="AC115" s="27"/>
      <c r="AD115" s="27"/>
      <c r="AE115" s="17"/>
      <c r="AF115" s="9"/>
      <c r="AG115" s="9"/>
      <c r="AH115" s="9"/>
    </row>
    <row r="116" spans="1:34" ht="5.0999999999999996" customHeight="1" x14ac:dyDescent="0.25">
      <c r="A116" s="7"/>
      <c r="B116" s="8"/>
      <c r="C116" s="18"/>
      <c r="D116" s="18"/>
      <c r="E116" s="18"/>
      <c r="F116" s="33"/>
      <c r="G116" s="34"/>
      <c r="H116" s="34"/>
      <c r="I116" s="34"/>
      <c r="J116" s="35"/>
      <c r="K116" s="35"/>
      <c r="L116" s="35"/>
      <c r="M116" s="35"/>
      <c r="N116" s="35"/>
      <c r="O116" s="35"/>
      <c r="P116" s="35"/>
      <c r="Q116" s="35"/>
      <c r="R116" s="35"/>
      <c r="S116" s="35"/>
      <c r="T116" s="35"/>
      <c r="U116" s="35"/>
      <c r="V116" s="35"/>
      <c r="W116" s="35"/>
      <c r="X116" s="35"/>
      <c r="Y116" s="27"/>
      <c r="Z116" s="27"/>
      <c r="AA116" s="27"/>
      <c r="AB116" s="27"/>
      <c r="AC116" s="27"/>
      <c r="AD116" s="27"/>
      <c r="AE116" s="17"/>
      <c r="AF116" s="9"/>
      <c r="AG116" s="9"/>
      <c r="AH116" s="9"/>
    </row>
    <row r="117" spans="1:34" ht="24.95" customHeight="1" x14ac:dyDescent="0.25">
      <c r="A117" s="7"/>
      <c r="B117" s="8"/>
      <c r="C117" s="36"/>
      <c r="D117" s="36"/>
      <c r="E117" s="36"/>
      <c r="F117" s="36"/>
      <c r="G117" s="37" t="str">
        <f>G96</f>
        <v>Other Factors</v>
      </c>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8" t="s">
        <v>91</v>
      </c>
      <c r="AF117" s="9"/>
      <c r="AG117" s="9"/>
      <c r="AH117" s="9"/>
    </row>
    <row r="118" spans="1:34" ht="12" customHeight="1" x14ac:dyDescent="0.25">
      <c r="A118" s="7"/>
      <c r="B118" s="8"/>
      <c r="C118" s="8"/>
      <c r="D118" s="8"/>
      <c r="E118" s="8"/>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row>
  </sheetData>
  <pageMargins left="0.7" right="0.7" top="0.75" bottom="0.75" header="0.3" footer="0.3"/>
  <pageSetup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19EFE-3FB6-4B9F-B9BA-B76EDF924F45}">
  <sheetPr>
    <outlinePr summaryBelow="0" summaryRight="0"/>
  </sheetPr>
  <dimension ref="A1:AO2127"/>
  <sheetViews>
    <sheetView tabSelected="1" topLeftCell="A3" zoomScale="85" zoomScaleNormal="85" workbookViewId="0">
      <pane xSplit="9" ySplit="36" topLeftCell="J369" activePane="bottomRight" state="frozen"/>
      <selection activeCell="A3" sqref="A3"/>
      <selection pane="topRight" activeCell="J3" sqref="J3"/>
      <selection pane="bottomLeft" activeCell="A39" sqref="A39"/>
      <selection pane="bottomRight" activeCell="J11" sqref="J11:AD11"/>
    </sheetView>
  </sheetViews>
  <sheetFormatPr defaultRowHeight="15" outlineLevelRow="4" outlineLevelCol="2" x14ac:dyDescent="0.25"/>
  <cols>
    <col min="1" max="1" width="4.7109375" customWidth="1"/>
    <col min="2" max="2" width="2.7109375" customWidth="1" collapsed="1"/>
    <col min="3" max="3" width="6.28515625" hidden="1" customWidth="1" outlineLevel="2"/>
    <col min="4" max="4" width="1.7109375" customWidth="1"/>
    <col min="5" max="6" width="9.140625" customWidth="1" outlineLevel="1"/>
    <col min="7" max="7" width="1.7109375" customWidth="1" outlineLevel="1"/>
    <col min="8" max="8" width="58.85546875" customWidth="1"/>
    <col min="9" max="9" width="15.42578125" customWidth="1"/>
    <col min="10" max="10" width="19.7109375" bestFit="1" customWidth="1" collapsed="1"/>
    <col min="11" max="11" width="9.42578125" hidden="1" customWidth="1" outlineLevel="1"/>
    <col min="12" max="16" width="9.140625" hidden="1" customWidth="1" outlineLevel="1"/>
    <col min="17" max="17" width="3.140625" hidden="1" customWidth="1" outlineLevel="1"/>
    <col min="18" max="19" width="24.7109375" hidden="1" customWidth="1" outlineLevel="1"/>
    <col min="20" max="20" width="7" customWidth="1"/>
    <col min="21" max="31" width="10.5703125" customWidth="1" outlineLevel="1"/>
    <col min="32" max="32" width="2" customWidth="1" outlineLevel="1"/>
    <col min="33" max="33" width="20.42578125" customWidth="1" outlineLevel="1"/>
    <col min="34" max="34" width="7" customWidth="1"/>
    <col min="35" max="36" width="10.5703125" customWidth="1" outlineLevel="1"/>
    <col min="37" max="37" width="1.7109375" customWidth="1"/>
    <col min="38" max="39" width="4.7109375" customWidth="1"/>
    <col min="41" max="41" width="46.140625" customWidth="1"/>
  </cols>
  <sheetData>
    <row r="1" spans="1:41" collapsed="1" x14ac:dyDescent="0.25">
      <c r="A1" s="45"/>
      <c r="B1" s="45"/>
      <c r="C1" s="46"/>
      <c r="D1" s="45"/>
      <c r="E1" s="45"/>
      <c r="F1" s="45"/>
      <c r="G1" s="45" t="str">
        <f>COUNTIFS($B$1:$B29, "«")&amp;" Parameters: Direct from Sheep Explorer December 2012 (downloaded  - CSIRO Plant Industries"</f>
        <v>2 Parameters: Direct from Sheep Explorer December 2012 (downloaded  - CSIRO Plant Industries</v>
      </c>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row>
    <row r="2" spans="1:41" hidden="1" outlineLevel="2" x14ac:dyDescent="0.25">
      <c r="A2" s="45"/>
      <c r="B2" s="45"/>
      <c r="C2" s="47">
        <f>INT($C$6)+2</f>
        <v>3</v>
      </c>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row>
    <row r="3" spans="1:41" ht="5.0999999999999996" customHeight="1" thickBot="1" x14ac:dyDescent="0.3">
      <c r="A3" s="45"/>
      <c r="B3" s="48"/>
      <c r="C3" s="49">
        <f>INT($C$6)+0.005</f>
        <v>1.0049999999999999</v>
      </c>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5"/>
      <c r="AN3" s="45"/>
      <c r="AO3" s="45"/>
    </row>
    <row r="4" spans="1:41" ht="5.0999999999999996" customHeight="1" outlineLevel="1" collapsed="1" x14ac:dyDescent="0.25">
      <c r="A4" s="45"/>
      <c r="B4" s="50" t="s">
        <v>86</v>
      </c>
      <c r="C4" s="51">
        <f>INT($C$6)+1.005</f>
        <v>2.0049999999999999</v>
      </c>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3"/>
      <c r="AM4" s="45"/>
      <c r="AN4" s="45"/>
      <c r="AO4" s="45"/>
    </row>
    <row r="5" spans="1:41" hidden="1" outlineLevel="4" x14ac:dyDescent="0.25">
      <c r="A5" s="45"/>
      <c r="B5" s="54"/>
      <c r="C5" s="47">
        <f>INT(MAX($C$9:$C$20))+1</f>
        <v>5</v>
      </c>
      <c r="D5" s="55"/>
      <c r="E5" s="56">
        <v>2</v>
      </c>
      <c r="F5" s="56">
        <v>2</v>
      </c>
      <c r="G5" s="56">
        <v>2.0099999999999998</v>
      </c>
      <c r="H5" s="56">
        <v>1.02</v>
      </c>
      <c r="I5" s="56">
        <v>1</v>
      </c>
      <c r="J5" s="56">
        <v>1</v>
      </c>
      <c r="K5" s="56">
        <v>1</v>
      </c>
      <c r="L5" s="56">
        <v>1</v>
      </c>
      <c r="M5" s="56">
        <v>1</v>
      </c>
      <c r="N5" s="56">
        <v>1</v>
      </c>
      <c r="O5" s="56">
        <v>1</v>
      </c>
      <c r="P5" s="56">
        <v>1</v>
      </c>
      <c r="Q5" s="56"/>
      <c r="R5" s="56">
        <v>1.024</v>
      </c>
      <c r="S5" s="56">
        <v>1.024</v>
      </c>
      <c r="T5" s="56"/>
      <c r="U5" s="56"/>
      <c r="V5" s="56"/>
      <c r="W5" s="56"/>
      <c r="X5" s="56"/>
      <c r="Y5" s="56"/>
      <c r="Z5" s="56"/>
      <c r="AA5" s="56"/>
      <c r="AB5" s="56"/>
      <c r="AC5" s="56"/>
      <c r="AD5" s="56"/>
      <c r="AE5" s="56"/>
      <c r="AF5" s="56"/>
      <c r="AG5" s="56"/>
      <c r="AH5" s="56"/>
      <c r="AI5" s="56"/>
      <c r="AJ5" s="56"/>
      <c r="AK5" s="55"/>
      <c r="AL5" s="57"/>
      <c r="AM5" s="45"/>
      <c r="AN5" s="45"/>
      <c r="AO5" s="45"/>
    </row>
    <row r="6" spans="1:41" ht="20.100000000000001" customHeight="1" x14ac:dyDescent="0.25">
      <c r="A6" s="45"/>
      <c r="B6" s="54"/>
      <c r="C6" s="47">
        <v>1.02</v>
      </c>
      <c r="D6" s="58"/>
      <c r="E6" s="59" t="s">
        <v>124</v>
      </c>
      <c r="F6" s="60">
        <v>2</v>
      </c>
      <c r="G6" s="61"/>
      <c r="H6" s="62" t="s">
        <v>420</v>
      </c>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4"/>
      <c r="AL6" s="57"/>
      <c r="AM6" s="45"/>
      <c r="AN6" s="45"/>
      <c r="AO6" s="45"/>
    </row>
    <row r="7" spans="1:41" ht="20.100000000000001" customHeight="1" outlineLevel="1" collapsed="1" x14ac:dyDescent="0.25">
      <c r="A7" s="45"/>
      <c r="B7" s="54"/>
      <c r="C7" s="47">
        <f>INT($C$6)+1.02</f>
        <v>2.02</v>
      </c>
      <c r="D7" s="58"/>
      <c r="E7" s="59" t="s">
        <v>126</v>
      </c>
      <c r="F7" s="65">
        <v>1</v>
      </c>
      <c r="G7" s="66"/>
      <c r="H7" s="67" t="s">
        <v>127</v>
      </c>
      <c r="I7" s="68"/>
      <c r="J7" s="68"/>
      <c r="K7" s="68"/>
      <c r="L7" s="68"/>
      <c r="M7" s="68"/>
      <c r="N7" s="68"/>
      <c r="O7" s="68"/>
      <c r="P7" s="68"/>
      <c r="Q7" s="68"/>
      <c r="R7" s="68"/>
      <c r="S7" s="68"/>
      <c r="T7" s="68"/>
      <c r="U7" s="68"/>
      <c r="V7" s="68"/>
      <c r="W7" s="68"/>
      <c r="X7" s="68"/>
      <c r="Y7" s="68"/>
      <c r="Z7" s="68"/>
      <c r="AA7" s="68"/>
      <c r="AB7" s="68"/>
      <c r="AC7" s="68"/>
      <c r="AD7" s="68"/>
      <c r="AE7" s="68"/>
      <c r="AF7" s="68"/>
      <c r="AG7" s="68"/>
      <c r="AH7" s="68"/>
      <c r="AI7" s="68"/>
      <c r="AJ7" s="68"/>
      <c r="AK7" s="69"/>
      <c r="AL7" s="57"/>
      <c r="AM7" s="45"/>
      <c r="AN7" s="45"/>
      <c r="AO7" s="45"/>
    </row>
    <row r="8" spans="1:41" ht="5.0999999999999996" hidden="1" customHeight="1" outlineLevel="2" x14ac:dyDescent="0.25">
      <c r="A8" s="45"/>
      <c r="B8" s="54"/>
      <c r="C8" s="47">
        <f>INT($C$6)+2.005</f>
        <v>3.0049999999999999</v>
      </c>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7"/>
      <c r="AM8" s="45"/>
      <c r="AN8" s="45"/>
      <c r="AO8" s="45"/>
    </row>
    <row r="9" spans="1:41" ht="5.0999999999999996" customHeight="1" outlineLevel="1" x14ac:dyDescent="0.25">
      <c r="A9" s="45"/>
      <c r="B9" s="54" t="s">
        <v>130</v>
      </c>
      <c r="C9" s="47">
        <f>INT($C$6)+1.005</f>
        <v>2.0049999999999999</v>
      </c>
      <c r="D9" s="73" t="s">
        <v>132</v>
      </c>
      <c r="E9" s="73"/>
      <c r="F9" s="73"/>
      <c r="G9" s="73"/>
      <c r="H9" s="74"/>
      <c r="I9" s="74"/>
      <c r="J9" s="74"/>
      <c r="K9" s="74"/>
      <c r="L9" s="74"/>
      <c r="M9" s="74"/>
      <c r="N9" s="74"/>
      <c r="O9" s="74"/>
      <c r="P9" s="74"/>
      <c r="Q9" s="234"/>
      <c r="R9" s="234"/>
      <c r="S9" s="234"/>
      <c r="T9" s="234"/>
      <c r="U9" s="234"/>
      <c r="V9" s="234"/>
      <c r="W9" s="234"/>
      <c r="X9" s="234"/>
      <c r="Y9" s="234"/>
      <c r="Z9" s="234"/>
      <c r="AA9" s="234"/>
      <c r="AB9" s="234"/>
      <c r="AC9" s="234"/>
      <c r="AD9" s="234"/>
      <c r="AE9" s="234"/>
      <c r="AF9" s="234"/>
      <c r="AG9" s="234"/>
      <c r="AH9" s="234"/>
      <c r="AI9" s="234"/>
      <c r="AJ9" s="234"/>
      <c r="AK9" s="73"/>
      <c r="AL9" s="57"/>
      <c r="AM9" s="45"/>
      <c r="AN9" s="45"/>
      <c r="AO9" s="45"/>
    </row>
    <row r="10" spans="1:41" outlineLevel="1" x14ac:dyDescent="0.25">
      <c r="A10" s="45"/>
      <c r="B10" s="54"/>
      <c r="C10" s="47">
        <f>INT($C$6)+1</f>
        <v>2</v>
      </c>
      <c r="D10" s="73"/>
      <c r="E10" s="70"/>
      <c r="F10" s="70"/>
      <c r="G10" s="73"/>
      <c r="H10" s="75" t="s">
        <v>133</v>
      </c>
      <c r="I10" s="76"/>
      <c r="J10" s="109"/>
      <c r="K10" s="109"/>
      <c r="L10" s="109"/>
      <c r="M10" s="109"/>
      <c r="N10" s="109"/>
      <c r="O10" s="109"/>
      <c r="P10" s="109"/>
      <c r="Q10" s="109"/>
      <c r="R10" s="109"/>
      <c r="S10" s="109"/>
      <c r="T10" s="109"/>
      <c r="U10" s="109"/>
      <c r="V10" s="109"/>
      <c r="W10" s="109"/>
      <c r="X10" s="109"/>
      <c r="Y10" s="109"/>
      <c r="Z10" s="109"/>
      <c r="AA10" s="109"/>
      <c r="AB10" s="109"/>
      <c r="AC10" s="109"/>
      <c r="AD10" s="109"/>
      <c r="AE10" s="109"/>
      <c r="AF10" s="76"/>
      <c r="AG10" s="76"/>
      <c r="AH10" s="76"/>
      <c r="AI10" s="76"/>
      <c r="AJ10" s="76"/>
      <c r="AK10" s="73"/>
      <c r="AL10" s="57"/>
      <c r="AM10" s="45"/>
      <c r="AN10" s="45"/>
      <c r="AO10" s="45"/>
    </row>
    <row r="11" spans="1:41" ht="45" customHeight="1" outlineLevel="1" x14ac:dyDescent="0.25">
      <c r="A11" s="45"/>
      <c r="B11" s="54"/>
      <c r="C11" s="47">
        <f>INT($C$6)+1.045</f>
        <v>2.0449999999999999</v>
      </c>
      <c r="D11" s="73"/>
      <c r="E11" s="70"/>
      <c r="F11" s="70"/>
      <c r="G11" s="73"/>
      <c r="H11" s="76" t="s">
        <v>134</v>
      </c>
      <c r="I11" s="299">
        <v>46324.338368518504</v>
      </c>
      <c r="J11" s="646" t="s">
        <v>3859</v>
      </c>
      <c r="K11" s="647"/>
      <c r="L11" s="647"/>
      <c r="M11" s="647"/>
      <c r="N11" s="647"/>
      <c r="O11" s="647"/>
      <c r="P11" s="647"/>
      <c r="Q11" s="647"/>
      <c r="R11" s="647"/>
      <c r="S11" s="647"/>
      <c r="T11" s="647"/>
      <c r="U11" s="647"/>
      <c r="V11" s="647"/>
      <c r="W11" s="647"/>
      <c r="X11" s="647"/>
      <c r="Y11" s="647"/>
      <c r="Z11" s="647"/>
      <c r="AA11" s="647"/>
      <c r="AB11" s="647"/>
      <c r="AC11" s="647"/>
      <c r="AD11" s="648"/>
      <c r="AE11" s="629"/>
      <c r="AF11" s="312"/>
      <c r="AG11" s="76"/>
      <c r="AH11" s="76"/>
      <c r="AI11" s="76"/>
      <c r="AJ11" s="76"/>
      <c r="AK11" s="73"/>
      <c r="AL11" s="57"/>
      <c r="AM11" s="45"/>
      <c r="AN11" s="45"/>
      <c r="AO11" s="45"/>
    </row>
    <row r="12" spans="1:41" ht="45" customHeight="1" outlineLevel="1" collapsed="1" x14ac:dyDescent="0.25">
      <c r="A12" s="45"/>
      <c r="B12" s="54"/>
      <c r="C12" s="47">
        <f>INT($C$6)+1.045</f>
        <v>2.0449999999999999</v>
      </c>
      <c r="D12" s="73"/>
      <c r="E12" s="70"/>
      <c r="F12" s="70"/>
      <c r="G12" s="73"/>
      <c r="H12" s="76" t="s">
        <v>135</v>
      </c>
      <c r="I12" s="271">
        <v>46310.415828356498</v>
      </c>
      <c r="J12" s="643" t="s">
        <v>3854</v>
      </c>
      <c r="K12" s="644"/>
      <c r="L12" s="644"/>
      <c r="M12" s="644"/>
      <c r="N12" s="644"/>
      <c r="O12" s="644"/>
      <c r="P12" s="644"/>
      <c r="Q12" s="644"/>
      <c r="R12" s="644"/>
      <c r="S12" s="644"/>
      <c r="T12" s="644"/>
      <c r="U12" s="644"/>
      <c r="V12" s="644"/>
      <c r="W12" s="644"/>
      <c r="X12" s="644"/>
      <c r="Y12" s="644"/>
      <c r="Z12" s="644"/>
      <c r="AA12" s="644"/>
      <c r="AB12" s="644"/>
      <c r="AC12" s="644"/>
      <c r="AD12" s="645"/>
      <c r="AE12" s="630"/>
      <c r="AF12" s="312"/>
      <c r="AG12" s="76"/>
      <c r="AH12" s="76"/>
      <c r="AI12" s="76"/>
      <c r="AJ12" s="76"/>
      <c r="AK12" s="73"/>
      <c r="AL12" s="57"/>
      <c r="AM12" s="45"/>
      <c r="AN12" s="45"/>
      <c r="AO12" s="45"/>
    </row>
    <row r="13" spans="1:41" ht="5.0999999999999996" hidden="1" customHeight="1" outlineLevel="3" x14ac:dyDescent="0.25">
      <c r="A13" s="45"/>
      <c r="B13" s="54"/>
      <c r="C13" s="47">
        <f>INT($C$6)+3.005</f>
        <v>4.0049999999999999</v>
      </c>
      <c r="D13" s="73"/>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t="s">
        <v>136</v>
      </c>
      <c r="AL13" s="57"/>
      <c r="AM13" s="45"/>
      <c r="AN13" s="45"/>
      <c r="AO13" s="45"/>
    </row>
    <row r="14" spans="1:41" ht="5.0999999999999996" hidden="1" customHeight="1" outlineLevel="3" x14ac:dyDescent="0.25">
      <c r="A14" s="45"/>
      <c r="B14" s="54"/>
      <c r="C14" s="47">
        <f>INT($C$6)+3.005</f>
        <v>4.0049999999999999</v>
      </c>
      <c r="D14" s="73" t="s">
        <v>132</v>
      </c>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57"/>
      <c r="AM14" s="45"/>
      <c r="AN14" s="45"/>
      <c r="AO14" s="45"/>
    </row>
    <row r="15" spans="1:41" hidden="1" outlineLevel="3" x14ac:dyDescent="0.25">
      <c r="A15" s="45"/>
      <c r="B15" s="54"/>
      <c r="C15" s="47">
        <f>INT($C$6)+3</f>
        <v>4</v>
      </c>
      <c r="D15" s="73"/>
      <c r="E15" s="70"/>
      <c r="F15" s="70"/>
      <c r="G15" s="73"/>
      <c r="H15" s="75" t="s">
        <v>137</v>
      </c>
      <c r="I15" s="78" t="s">
        <v>138</v>
      </c>
      <c r="J15" s="78" t="s">
        <v>138</v>
      </c>
      <c r="K15" s="79">
        <v>15</v>
      </c>
      <c r="L15" s="78" t="s">
        <v>139</v>
      </c>
      <c r="M15" s="79">
        <v>8.43</v>
      </c>
      <c r="N15" s="76" t="s">
        <v>140</v>
      </c>
      <c r="O15" s="76"/>
      <c r="P15" s="80">
        <v>1</v>
      </c>
      <c r="Q15" s="76"/>
      <c r="R15" s="76"/>
      <c r="S15" s="76"/>
      <c r="T15" s="76"/>
      <c r="U15" s="76"/>
      <c r="V15" s="76"/>
      <c r="W15" s="76"/>
      <c r="X15" s="76"/>
      <c r="Y15" s="76"/>
      <c r="Z15" s="76"/>
      <c r="AA15" s="76"/>
      <c r="AB15" s="76"/>
      <c r="AC15" s="76"/>
      <c r="AD15" s="76"/>
      <c r="AE15" s="76"/>
      <c r="AF15" s="76"/>
      <c r="AG15" s="76"/>
      <c r="AH15" s="76"/>
      <c r="AI15" s="76"/>
      <c r="AJ15" s="76"/>
      <c r="AK15" s="73"/>
      <c r="AL15" s="57"/>
      <c r="AM15" s="45"/>
      <c r="AN15" s="45"/>
      <c r="AO15" s="45"/>
    </row>
    <row r="16" spans="1:41" hidden="1" outlineLevel="3" x14ac:dyDescent="0.25">
      <c r="A16" s="45"/>
      <c r="B16" s="54"/>
      <c r="C16" s="47">
        <f>INT($C$6)+3</f>
        <v>4</v>
      </c>
      <c r="D16" s="73"/>
      <c r="E16" s="70"/>
      <c r="F16" s="70"/>
      <c r="G16" s="73"/>
      <c r="H16" s="76" t="s">
        <v>141</v>
      </c>
      <c r="I16" s="76"/>
      <c r="J16" s="76"/>
      <c r="K16" s="76"/>
      <c r="L16" s="76"/>
      <c r="M16" s="79" t="b">
        <v>1</v>
      </c>
      <c r="N16" s="76"/>
      <c r="O16" s="76"/>
      <c r="P16" s="76"/>
      <c r="Q16" s="76"/>
      <c r="R16" s="76"/>
      <c r="S16" s="76"/>
      <c r="T16" s="76"/>
      <c r="U16" s="76"/>
      <c r="V16" s="76"/>
      <c r="W16" s="76"/>
      <c r="X16" s="76"/>
      <c r="Y16" s="76"/>
      <c r="Z16" s="76"/>
      <c r="AA16" s="76"/>
      <c r="AB16" s="76"/>
      <c r="AC16" s="76"/>
      <c r="AD16" s="76"/>
      <c r="AE16" s="76"/>
      <c r="AF16" s="76"/>
      <c r="AG16" s="76"/>
      <c r="AH16" s="76"/>
      <c r="AI16" s="76"/>
      <c r="AJ16" s="76"/>
      <c r="AK16" s="73"/>
      <c r="AL16" s="57"/>
      <c r="AM16" s="45"/>
      <c r="AN16" s="45"/>
      <c r="AO16" s="45"/>
    </row>
    <row r="17" spans="1:41" hidden="1" outlineLevel="3" x14ac:dyDescent="0.25">
      <c r="A17" s="45"/>
      <c r="B17" s="54"/>
      <c r="C17" s="47">
        <f>INT($C$6)+3</f>
        <v>4</v>
      </c>
      <c r="D17" s="73"/>
      <c r="E17" s="70"/>
      <c r="F17" s="70"/>
      <c r="G17" s="73"/>
      <c r="H17" s="76" t="s">
        <v>142</v>
      </c>
      <c r="I17" s="76"/>
      <c r="J17" s="76"/>
      <c r="K17" s="76"/>
      <c r="L17" s="76"/>
      <c r="M17" s="79" t="b">
        <v>1</v>
      </c>
      <c r="N17" s="76"/>
      <c r="O17" s="76"/>
      <c r="P17" s="76"/>
      <c r="Q17" s="76"/>
      <c r="R17" s="76"/>
      <c r="S17" s="76"/>
      <c r="T17" s="76"/>
      <c r="U17" s="76"/>
      <c r="V17" s="76"/>
      <c r="W17" s="76"/>
      <c r="X17" s="76"/>
      <c r="Y17" s="76"/>
      <c r="Z17" s="76"/>
      <c r="AA17" s="76"/>
      <c r="AB17" s="76"/>
      <c r="AC17" s="76"/>
      <c r="AD17" s="76"/>
      <c r="AE17" s="76"/>
      <c r="AF17" s="76"/>
      <c r="AG17" s="76"/>
      <c r="AH17" s="76"/>
      <c r="AI17" s="76"/>
      <c r="AJ17" s="76"/>
      <c r="AK17" s="73"/>
      <c r="AL17" s="57"/>
      <c r="AM17" s="45"/>
      <c r="AN17" s="45"/>
      <c r="AO17" s="45"/>
    </row>
    <row r="18" spans="1:41" hidden="1" outlineLevel="3" x14ac:dyDescent="0.25">
      <c r="A18" s="45"/>
      <c r="B18" s="54"/>
      <c r="C18" s="47">
        <f>INT($C$6)+3</f>
        <v>4</v>
      </c>
      <c r="D18" s="73"/>
      <c r="E18" s="70"/>
      <c r="F18" s="70"/>
      <c r="G18" s="73"/>
      <c r="H18" s="76" t="s">
        <v>143</v>
      </c>
      <c r="I18" s="76"/>
      <c r="J18" s="76"/>
      <c r="K18" s="76"/>
      <c r="L18" s="76"/>
      <c r="M18" s="79" t="b">
        <v>1</v>
      </c>
      <c r="N18" s="76"/>
      <c r="O18" s="76"/>
      <c r="P18" s="76"/>
      <c r="Q18" s="76"/>
      <c r="R18" s="76"/>
      <c r="S18" s="76"/>
      <c r="T18" s="76"/>
      <c r="U18" s="76"/>
      <c r="V18" s="76"/>
      <c r="W18" s="76"/>
      <c r="X18" s="76"/>
      <c r="Y18" s="76"/>
      <c r="Z18" s="76"/>
      <c r="AA18" s="76"/>
      <c r="AB18" s="76"/>
      <c r="AC18" s="76"/>
      <c r="AD18" s="76"/>
      <c r="AE18" s="76"/>
      <c r="AF18" s="76"/>
      <c r="AG18" s="76"/>
      <c r="AH18" s="76"/>
      <c r="AI18" s="76"/>
      <c r="AJ18" s="76"/>
      <c r="AK18" s="73"/>
      <c r="AL18" s="57"/>
      <c r="AM18" s="45"/>
      <c r="AN18" s="45"/>
      <c r="AO18" s="45"/>
    </row>
    <row r="19" spans="1:41" hidden="1" outlineLevel="3" x14ac:dyDescent="0.25">
      <c r="A19" s="45"/>
      <c r="B19" s="54"/>
      <c r="C19" s="47">
        <f>INT($C$6)+3</f>
        <v>4</v>
      </c>
      <c r="D19" s="73"/>
      <c r="E19" s="70"/>
      <c r="F19" s="70"/>
      <c r="G19" s="73"/>
      <c r="H19" s="76" t="s">
        <v>144</v>
      </c>
      <c r="I19" s="76"/>
      <c r="J19" s="76"/>
      <c r="K19" s="76"/>
      <c r="L19" s="76"/>
      <c r="M19" s="79" t="b">
        <v>1</v>
      </c>
      <c r="N19" s="76"/>
      <c r="O19" s="76"/>
      <c r="P19" s="76"/>
      <c r="Q19" s="76"/>
      <c r="R19" s="76"/>
      <c r="S19" s="76"/>
      <c r="T19" s="76"/>
      <c r="U19" s="76"/>
      <c r="V19" s="76"/>
      <c r="W19" s="76"/>
      <c r="X19" s="76"/>
      <c r="Y19" s="76"/>
      <c r="Z19" s="76"/>
      <c r="AA19" s="76"/>
      <c r="AB19" s="76"/>
      <c r="AC19" s="76"/>
      <c r="AD19" s="76"/>
      <c r="AE19" s="76"/>
      <c r="AF19" s="76"/>
      <c r="AG19" s="76"/>
      <c r="AH19" s="76"/>
      <c r="AI19" s="76"/>
      <c r="AJ19" s="76"/>
      <c r="AK19" s="73"/>
      <c r="AL19" s="57"/>
      <c r="AM19" s="45"/>
      <c r="AN19" s="45"/>
      <c r="AO19" s="45"/>
    </row>
    <row r="20" spans="1:41" ht="5.0999999999999996" hidden="1" customHeight="1" outlineLevel="3" x14ac:dyDescent="0.25">
      <c r="A20" s="45"/>
      <c r="B20" s="54"/>
      <c r="C20" s="47">
        <f>INT($C$6)+3.005</f>
        <v>4.0049999999999999</v>
      </c>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t="s">
        <v>136</v>
      </c>
      <c r="AL20" s="57"/>
      <c r="AM20" s="45"/>
      <c r="AN20" s="45"/>
      <c r="AO20" s="45"/>
    </row>
    <row r="21" spans="1:41" ht="5.0999999999999996" hidden="1" customHeight="1" outlineLevel="2" x14ac:dyDescent="0.25">
      <c r="A21" s="45"/>
      <c r="B21" s="54"/>
      <c r="C21" s="47">
        <f>INT($C$6)+2.005</f>
        <v>3.0049999999999999</v>
      </c>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57"/>
      <c r="AM21" s="45"/>
      <c r="AN21" s="45"/>
      <c r="AO21" s="45"/>
    </row>
    <row r="22" spans="1:41" ht="5.0999999999999996" customHeight="1" outlineLevel="1" x14ac:dyDescent="0.25">
      <c r="A22" s="45"/>
      <c r="B22" s="81"/>
      <c r="C22" s="82">
        <f>INT($C$6)+1.005</f>
        <v>2.0049999999999999</v>
      </c>
      <c r="D22" s="83"/>
      <c r="E22" s="83"/>
      <c r="F22" s="83"/>
      <c r="G22" s="83"/>
      <c r="H22" s="83"/>
      <c r="I22" s="83"/>
      <c r="J22" s="83"/>
      <c r="K22" s="83"/>
      <c r="L22" s="83"/>
      <c r="M22" s="83"/>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4" t="s">
        <v>145</v>
      </c>
      <c r="AM22" s="45"/>
      <c r="AN22" s="45"/>
      <c r="AO22" s="45"/>
    </row>
    <row r="23" spans="1:41" ht="5.0999999999999996" customHeight="1" collapsed="1" x14ac:dyDescent="0.25">
      <c r="A23" s="45"/>
      <c r="B23" s="85"/>
      <c r="C23" s="86">
        <f>INT($C$6)+0.005</f>
        <v>1.0049999999999999</v>
      </c>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45"/>
      <c r="AN23" s="45"/>
      <c r="AO23" s="45"/>
    </row>
    <row r="24" spans="1:41" hidden="1" outlineLevel="2" x14ac:dyDescent="0.25">
      <c r="A24" s="45"/>
      <c r="B24" s="45"/>
      <c r="C24" s="47">
        <f>INT($C$6)+2</f>
        <v>3</v>
      </c>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row>
    <row r="25" spans="1:41" hidden="1" outlineLevel="2" x14ac:dyDescent="0.25">
      <c r="A25" s="45"/>
      <c r="B25" s="45"/>
      <c r="C25" s="47">
        <f>INT($C$29)+2</f>
        <v>3</v>
      </c>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row>
    <row r="26" spans="1:41" ht="5.0999999999999996" customHeight="1" thickBot="1" x14ac:dyDescent="0.3">
      <c r="A26" s="45"/>
      <c r="B26" s="48"/>
      <c r="C26" s="49">
        <f>INT($C$29)+0.005</f>
        <v>1.0049999999999999</v>
      </c>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5"/>
      <c r="AN26" s="45"/>
      <c r="AO26" s="45"/>
    </row>
    <row r="27" spans="1:41" ht="5.0999999999999996" customHeight="1" outlineLevel="1" collapsed="1" x14ac:dyDescent="0.25">
      <c r="A27" s="45"/>
      <c r="B27" s="50" t="s">
        <v>86</v>
      </c>
      <c r="C27" s="51">
        <f>INT($C$29)+1.005</f>
        <v>2.0049999999999999</v>
      </c>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3"/>
      <c r="AM27" s="45"/>
      <c r="AN27" s="45"/>
      <c r="AO27" s="45"/>
    </row>
    <row r="28" spans="1:41" hidden="1" outlineLevel="4" x14ac:dyDescent="0.25">
      <c r="A28" s="45"/>
      <c r="B28" s="54"/>
      <c r="C28" s="47">
        <f>INT(MAX($C$39:$C$2116))+1</f>
        <v>5</v>
      </c>
      <c r="D28" s="55"/>
      <c r="E28" s="55"/>
      <c r="F28" s="55"/>
      <c r="G28" s="55"/>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5"/>
      <c r="AL28" s="57"/>
      <c r="AM28" s="45"/>
      <c r="AN28" s="45"/>
      <c r="AO28" s="45"/>
    </row>
    <row r="29" spans="1:41" ht="20.100000000000001" customHeight="1" x14ac:dyDescent="0.25">
      <c r="A29" s="45"/>
      <c r="B29" s="54"/>
      <c r="C29" s="47">
        <v>1.02</v>
      </c>
      <c r="D29" s="58"/>
      <c r="E29" s="59" t="s">
        <v>124</v>
      </c>
      <c r="F29" s="60"/>
      <c r="G29" s="61"/>
      <c r="H29" s="235" t="str">
        <f>COUNTIFS($B$1:$B29, "«")&amp;" Parameters for the stock generator"</f>
        <v>2 Parameters for the stock generator</v>
      </c>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4"/>
      <c r="AL29" s="57"/>
      <c r="AM29" s="45"/>
      <c r="AN29" s="45"/>
      <c r="AO29" s="45"/>
    </row>
    <row r="30" spans="1:41" ht="20.100000000000001" customHeight="1" outlineLevel="1" collapsed="1" x14ac:dyDescent="0.25">
      <c r="A30" s="45"/>
      <c r="B30" s="54"/>
      <c r="C30" s="47">
        <f>INT($C$29)+1.02</f>
        <v>2.02</v>
      </c>
      <c r="D30" s="58"/>
      <c r="E30" s="59" t="s">
        <v>126</v>
      </c>
      <c r="F30" s="65">
        <v>1</v>
      </c>
      <c r="G30" s="66"/>
      <c r="H30" s="236" t="s">
        <v>2933</v>
      </c>
      <c r="I30" s="68"/>
      <c r="J30" s="68"/>
      <c r="K30" s="68"/>
      <c r="L30" s="68"/>
      <c r="M30" s="68"/>
      <c r="N30" s="68"/>
      <c r="O30" s="68"/>
      <c r="P30" s="68"/>
      <c r="Q30" s="68"/>
      <c r="R30" s="68"/>
      <c r="S30" s="68"/>
      <c r="T30" s="237"/>
      <c r="U30" s="237"/>
      <c r="V30" s="237"/>
      <c r="W30" s="237"/>
      <c r="X30" s="237"/>
      <c r="Y30" s="237"/>
      <c r="Z30" s="237"/>
      <c r="AA30" s="237"/>
      <c r="AB30" s="237"/>
      <c r="AC30" s="237"/>
      <c r="AD30" s="237"/>
      <c r="AE30" s="237"/>
      <c r="AF30" s="237"/>
      <c r="AG30" s="237"/>
      <c r="AH30" s="237"/>
      <c r="AI30" s="237"/>
      <c r="AJ30" s="237"/>
      <c r="AK30" s="69"/>
      <c r="AL30" s="57"/>
      <c r="AM30" s="45"/>
      <c r="AN30" s="45"/>
      <c r="AO30" s="45"/>
    </row>
    <row r="31" spans="1:41" ht="5.0999999999999996" hidden="1" customHeight="1" outlineLevel="2" x14ac:dyDescent="0.25">
      <c r="A31" s="45"/>
      <c r="B31" s="54"/>
      <c r="C31" s="47">
        <f>INT($C$29)+2.005</f>
        <v>3.0049999999999999</v>
      </c>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7"/>
      <c r="AM31" s="45"/>
      <c r="AN31" s="45"/>
      <c r="AO31" s="45"/>
    </row>
    <row r="32" spans="1:41" hidden="1" outlineLevel="2" x14ac:dyDescent="0.25">
      <c r="A32" s="45"/>
      <c r="B32" s="54"/>
      <c r="C32" s="47">
        <f>INT($C$29)+2</f>
        <v>3</v>
      </c>
      <c r="D32" s="55"/>
      <c r="E32" s="70"/>
      <c r="F32" s="70"/>
      <c r="G32" s="55"/>
      <c r="H32" s="71"/>
      <c r="I32" s="71"/>
      <c r="J32" s="71"/>
      <c r="K32" s="71"/>
      <c r="L32" s="71"/>
      <c r="M32" s="71"/>
      <c r="N32" s="71"/>
      <c r="O32" s="71"/>
      <c r="P32" s="71"/>
      <c r="Q32" s="71"/>
      <c r="R32" s="71"/>
      <c r="S32" s="71"/>
      <c r="T32" s="71"/>
      <c r="U32" s="238">
        <v>0</v>
      </c>
      <c r="V32" s="238">
        <v>1</v>
      </c>
      <c r="W32" s="238">
        <v>2</v>
      </c>
      <c r="X32" s="238">
        <v>3</v>
      </c>
      <c r="Y32" s="238">
        <v>4</v>
      </c>
      <c r="Z32" s="238">
        <v>5</v>
      </c>
      <c r="AA32" s="238">
        <v>6</v>
      </c>
      <c r="AB32" s="238">
        <v>7</v>
      </c>
      <c r="AC32" s="238">
        <v>8</v>
      </c>
      <c r="AD32" s="238">
        <v>9</v>
      </c>
      <c r="AE32" s="238">
        <v>10</v>
      </c>
      <c r="AF32" s="71"/>
      <c r="AG32" s="71"/>
      <c r="AH32" s="71"/>
      <c r="AI32" s="71"/>
      <c r="AJ32" s="71"/>
      <c r="AK32" s="55"/>
      <c r="AL32" s="57"/>
      <c r="AM32" s="45"/>
      <c r="AN32" s="45"/>
      <c r="AO32" s="45"/>
    </row>
    <row r="33" spans="1:41" outlineLevel="1" x14ac:dyDescent="0.25">
      <c r="A33" s="45"/>
      <c r="B33" s="54"/>
      <c r="C33" s="47">
        <f>INT($C$29)+2</f>
        <v>3</v>
      </c>
      <c r="D33" s="55"/>
      <c r="E33" s="70"/>
      <c r="F33" s="70"/>
      <c r="G33" s="55"/>
      <c r="H33" s="72" t="s">
        <v>3283</v>
      </c>
      <c r="I33" s="72"/>
      <c r="J33" s="72"/>
      <c r="K33" s="239" t="s">
        <v>421</v>
      </c>
      <c r="L33" s="239"/>
      <c r="M33" s="239"/>
      <c r="N33" s="239"/>
      <c r="O33" s="239"/>
      <c r="P33" s="239"/>
      <c r="Q33" s="72"/>
      <c r="R33" s="72"/>
      <c r="S33" s="72"/>
      <c r="T33" s="72"/>
      <c r="U33" s="240" t="s">
        <v>422</v>
      </c>
      <c r="V33" s="239"/>
      <c r="W33" s="239"/>
      <c r="X33" s="239"/>
      <c r="Y33" s="239"/>
      <c r="Z33" s="239"/>
      <c r="AA33" s="239"/>
      <c r="AB33" s="239"/>
      <c r="AC33" s="239"/>
      <c r="AD33" s="239"/>
      <c r="AE33" s="239"/>
      <c r="AF33" s="239"/>
      <c r="AG33" s="241"/>
      <c r="AH33" s="72"/>
      <c r="AI33" s="240" t="s">
        <v>423</v>
      </c>
      <c r="AJ33" s="242"/>
      <c r="AK33" s="55"/>
      <c r="AL33" s="57"/>
      <c r="AM33" s="45"/>
      <c r="AN33" s="45"/>
      <c r="AO33" s="45"/>
    </row>
    <row r="34" spans="1:41" outlineLevel="1" x14ac:dyDescent="0.25">
      <c r="A34" s="45"/>
      <c r="B34" s="54"/>
      <c r="C34" s="47">
        <f>INT($C$29)+2</f>
        <v>3</v>
      </c>
      <c r="D34" s="55"/>
      <c r="E34" s="70"/>
      <c r="F34" s="70"/>
      <c r="G34" s="55"/>
      <c r="H34" s="72"/>
      <c r="I34" s="72"/>
      <c r="J34" s="72"/>
      <c r="K34" s="239" t="s">
        <v>424</v>
      </c>
      <c r="L34" s="239"/>
      <c r="M34" s="239" t="s">
        <v>425</v>
      </c>
      <c r="N34" s="239"/>
      <c r="O34" s="239"/>
      <c r="P34" s="239"/>
      <c r="Q34" s="72"/>
      <c r="R34" s="72"/>
      <c r="S34" s="72"/>
      <c r="T34" s="72"/>
      <c r="U34" s="240" t="s">
        <v>3823</v>
      </c>
      <c r="V34" s="239"/>
      <c r="W34" s="239" t="s">
        <v>3822</v>
      </c>
      <c r="X34" s="239"/>
      <c r="Y34" s="239"/>
      <c r="Z34" s="239"/>
      <c r="AA34" s="239"/>
      <c r="AB34" s="239" t="s">
        <v>426</v>
      </c>
      <c r="AC34" s="72" t="s">
        <v>427</v>
      </c>
      <c r="AD34" s="72" t="s">
        <v>428</v>
      </c>
      <c r="AE34" s="239" t="s">
        <v>3824</v>
      </c>
      <c r="AF34" s="72"/>
      <c r="AG34" s="72"/>
      <c r="AH34" s="72"/>
      <c r="AI34" s="240" t="s">
        <v>429</v>
      </c>
      <c r="AJ34" s="242"/>
      <c r="AK34" s="55"/>
      <c r="AL34" s="57"/>
      <c r="AM34" s="45"/>
      <c r="AN34" s="45"/>
      <c r="AO34" s="45"/>
    </row>
    <row r="35" spans="1:41" ht="15" customHeight="1" outlineLevel="1" x14ac:dyDescent="0.25">
      <c r="A35" s="45"/>
      <c r="B35" s="54"/>
      <c r="C35" s="47">
        <f>INT($C$29)+2</f>
        <v>3</v>
      </c>
      <c r="D35" s="55"/>
      <c r="E35" s="70"/>
      <c r="F35" s="70" t="s">
        <v>430</v>
      </c>
      <c r="G35" s="55"/>
      <c r="H35" s="72" t="s">
        <v>431</v>
      </c>
      <c r="I35" s="72" t="s">
        <v>432</v>
      </c>
      <c r="J35" s="72"/>
      <c r="K35" s="72" t="s">
        <v>433</v>
      </c>
      <c r="L35" s="72" t="s">
        <v>434</v>
      </c>
      <c r="M35" s="72" t="s">
        <v>435</v>
      </c>
      <c r="N35" s="72" t="s">
        <v>436</v>
      </c>
      <c r="O35" s="243" t="s">
        <v>437</v>
      </c>
      <c r="P35" s="72" t="s">
        <v>438</v>
      </c>
      <c r="Q35" s="72"/>
      <c r="R35" s="72" t="s">
        <v>439</v>
      </c>
      <c r="S35" s="72" t="s">
        <v>440</v>
      </c>
      <c r="T35" s="72"/>
      <c r="U35" s="244" t="s">
        <v>441</v>
      </c>
      <c r="V35" s="72" t="s">
        <v>442</v>
      </c>
      <c r="W35" s="229" t="s">
        <v>3829</v>
      </c>
      <c r="X35" s="229" t="s">
        <v>3825</v>
      </c>
      <c r="Y35" s="72" t="s">
        <v>3826</v>
      </c>
      <c r="Z35" s="72" t="s">
        <v>3827</v>
      </c>
      <c r="AA35" s="72" t="s">
        <v>3828</v>
      </c>
      <c r="AB35" s="72" t="s">
        <v>444</v>
      </c>
      <c r="AC35" s="72" t="s">
        <v>445</v>
      </c>
      <c r="AD35" s="72" t="s">
        <v>446</v>
      </c>
      <c r="AE35" s="72" t="s">
        <v>443</v>
      </c>
      <c r="AF35" s="72"/>
      <c r="AG35" s="72" t="s">
        <v>447</v>
      </c>
      <c r="AH35" s="72"/>
      <c r="AI35" s="240" t="s">
        <v>448</v>
      </c>
      <c r="AJ35" s="242"/>
      <c r="AK35" s="55"/>
      <c r="AL35" s="57"/>
      <c r="AM35" s="45"/>
      <c r="AN35" s="45"/>
      <c r="AO35" s="45"/>
    </row>
    <row r="36" spans="1:41" ht="11.45" customHeight="1" outlineLevel="1" collapsed="1" x14ac:dyDescent="0.25">
      <c r="A36" s="45"/>
      <c r="B36" s="54" t="s">
        <v>129</v>
      </c>
      <c r="C36" s="47">
        <f>INT($C$29)+2.01</f>
        <v>3.01</v>
      </c>
      <c r="D36" s="55"/>
      <c r="E36" s="55"/>
      <c r="F36" s="55"/>
      <c r="G36" s="55"/>
      <c r="H36" s="72"/>
      <c r="I36" s="72"/>
      <c r="J36" s="72"/>
      <c r="K36" s="72"/>
      <c r="L36" s="72"/>
      <c r="M36" s="72"/>
      <c r="N36" s="72"/>
      <c r="O36" s="72"/>
      <c r="P36" s="72"/>
      <c r="Q36" s="72"/>
      <c r="R36" s="72"/>
      <c r="S36" s="72"/>
      <c r="T36" s="72"/>
      <c r="U36" s="329">
        <v>0</v>
      </c>
      <c r="V36" s="329">
        <v>1</v>
      </c>
      <c r="W36" s="329">
        <v>2</v>
      </c>
      <c r="X36" s="329">
        <v>3</v>
      </c>
      <c r="Y36" s="329">
        <v>4</v>
      </c>
      <c r="Z36" s="329">
        <v>5</v>
      </c>
      <c r="AA36" s="329">
        <v>6</v>
      </c>
      <c r="AB36" s="329">
        <v>7</v>
      </c>
      <c r="AC36" s="329">
        <v>8</v>
      </c>
      <c r="AD36" s="329">
        <v>9</v>
      </c>
      <c r="AE36" s="329">
        <v>10</v>
      </c>
      <c r="AF36" s="72"/>
      <c r="AG36" s="72"/>
      <c r="AH36" s="72"/>
      <c r="AI36" s="245" t="s">
        <v>449</v>
      </c>
      <c r="AJ36" s="245" t="s">
        <v>450</v>
      </c>
      <c r="AK36" s="55"/>
      <c r="AL36" s="57"/>
      <c r="AM36" s="45"/>
      <c r="AN36" s="45"/>
      <c r="AO36" s="45"/>
    </row>
    <row r="37" spans="1:41" hidden="1" outlineLevel="4" x14ac:dyDescent="0.25">
      <c r="A37" s="45"/>
      <c r="B37" s="54"/>
      <c r="C37" s="47">
        <f>INT(MAX($C$39:$C$2116))+1</f>
        <v>5</v>
      </c>
      <c r="D37" s="73"/>
      <c r="E37" s="70"/>
      <c r="F37" s="70"/>
      <c r="G37" s="73"/>
      <c r="H37" s="70"/>
      <c r="I37" s="70"/>
      <c r="J37" s="70"/>
      <c r="K37" s="70"/>
      <c r="L37" s="70"/>
      <c r="M37" s="70"/>
      <c r="N37" s="70"/>
      <c r="O37" s="70"/>
      <c r="P37" s="70"/>
      <c r="Q37" s="70"/>
      <c r="R37" s="70"/>
      <c r="S37" s="70"/>
      <c r="T37" s="70"/>
      <c r="U37" s="70"/>
      <c r="V37" s="70"/>
      <c r="W37" s="70"/>
      <c r="X37" s="70"/>
      <c r="Y37" s="70"/>
      <c r="Z37" s="70"/>
      <c r="AA37" s="70"/>
      <c r="AB37" s="70"/>
      <c r="AC37" s="70"/>
      <c r="AD37" s="70"/>
      <c r="AE37" s="70"/>
      <c r="AF37" s="70"/>
      <c r="AG37" s="70"/>
      <c r="AH37" s="70"/>
      <c r="AI37" s="70"/>
      <c r="AJ37" s="70"/>
      <c r="AK37" s="73"/>
      <c r="AL37" s="57"/>
      <c r="AM37" s="45"/>
      <c r="AN37" s="45"/>
      <c r="AO37" s="45"/>
    </row>
    <row r="38" spans="1:41" hidden="1" outlineLevel="4" x14ac:dyDescent="0.25">
      <c r="A38" s="45"/>
      <c r="B38" s="54" t="s">
        <v>130</v>
      </c>
      <c r="C38" s="47">
        <f>INT(MAX($C$39:$C$2116))+1</f>
        <v>5</v>
      </c>
      <c r="D38" s="73" t="s">
        <v>131</v>
      </c>
      <c r="E38" s="70"/>
      <c r="F38" s="70"/>
      <c r="G38" s="73"/>
      <c r="H38" s="70"/>
      <c r="I38" s="70"/>
      <c r="J38" s="70"/>
      <c r="K38" s="70"/>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3"/>
      <c r="AL38" s="57"/>
      <c r="AM38" s="45"/>
      <c r="AN38" s="45"/>
      <c r="AO38" s="45"/>
    </row>
    <row r="39" spans="1:41" ht="5.0999999999999996" hidden="1" customHeight="1" outlineLevel="2" x14ac:dyDescent="0.25">
      <c r="A39" s="45"/>
      <c r="B39" s="54"/>
      <c r="C39" s="47">
        <f>INT($C$29)+2.005</f>
        <v>3.0049999999999999</v>
      </c>
      <c r="D39" s="73" t="s">
        <v>132</v>
      </c>
      <c r="E39" s="73"/>
      <c r="F39" s="73"/>
      <c r="G39" s="73"/>
      <c r="H39" s="94"/>
      <c r="I39" s="94"/>
      <c r="J39" s="94"/>
      <c r="K39" s="94"/>
      <c r="L39" s="94"/>
      <c r="M39" s="94"/>
      <c r="N39" s="94"/>
      <c r="O39" s="94"/>
      <c r="P39" s="94"/>
      <c r="Q39" s="94"/>
      <c r="R39" s="94"/>
      <c r="S39" s="94"/>
      <c r="T39" s="94"/>
      <c r="U39" s="94"/>
      <c r="V39" s="94"/>
      <c r="W39" s="94"/>
      <c r="X39" s="94"/>
      <c r="Y39" s="94"/>
      <c r="Z39" s="94"/>
      <c r="AA39" s="94"/>
      <c r="AB39" s="94"/>
      <c r="AC39" s="94"/>
      <c r="AD39" s="94"/>
      <c r="AE39" s="94"/>
      <c r="AF39" s="94"/>
      <c r="AG39" s="94"/>
      <c r="AH39" s="94"/>
      <c r="AI39" s="94"/>
      <c r="AJ39" s="234"/>
      <c r="AK39" s="73"/>
      <c r="AL39" s="57"/>
      <c r="AM39" s="45"/>
      <c r="AN39" s="45"/>
      <c r="AO39" s="45"/>
    </row>
    <row r="40" spans="1:41" outlineLevel="1" x14ac:dyDescent="0.25">
      <c r="A40" s="45"/>
      <c r="B40" s="54"/>
      <c r="C40" s="47">
        <f t="shared" ref="C40:C70" si="0">INT($C$29)+2</f>
        <v>3</v>
      </c>
      <c r="D40" s="73"/>
      <c r="E40" s="70"/>
      <c r="F40" s="70"/>
      <c r="G40" s="73"/>
      <c r="H40" s="246"/>
      <c r="I40" s="96"/>
      <c r="J40" s="96"/>
      <c r="K40" s="76"/>
      <c r="L40" s="76"/>
      <c r="M40" s="76"/>
      <c r="N40" s="76"/>
      <c r="O40" s="76"/>
      <c r="P40" s="76"/>
      <c r="Q40" s="76"/>
      <c r="R40" s="76"/>
      <c r="S40" s="76"/>
      <c r="T40" s="76"/>
      <c r="U40" s="247"/>
      <c r="V40" s="247"/>
      <c r="W40" s="247"/>
      <c r="X40" s="247"/>
      <c r="Y40" s="247"/>
      <c r="Z40" s="247"/>
      <c r="AA40" s="247"/>
      <c r="AB40" s="247"/>
      <c r="AC40" s="247"/>
      <c r="AD40" s="247"/>
      <c r="AE40" s="247"/>
      <c r="AF40" s="76"/>
      <c r="AG40" s="76"/>
      <c r="AH40" s="76" t="s">
        <v>451</v>
      </c>
      <c r="AI40" s="76" t="b">
        <v>1</v>
      </c>
      <c r="AJ40" s="97" t="b">
        <v>0</v>
      </c>
      <c r="AK40" s="73"/>
      <c r="AL40" s="57"/>
      <c r="AM40" s="45"/>
      <c r="AN40" s="45"/>
      <c r="AO40" s="45"/>
    </row>
    <row r="41" spans="1:41" outlineLevel="1" x14ac:dyDescent="0.25">
      <c r="A41" s="45"/>
      <c r="B41" s="54"/>
      <c r="C41" s="47">
        <f t="shared" si="0"/>
        <v>3</v>
      </c>
      <c r="D41" s="73"/>
      <c r="E41" s="70"/>
      <c r="F41" s="70"/>
      <c r="G41" s="73"/>
      <c r="H41" s="246"/>
      <c r="I41" s="96"/>
      <c r="J41" s="96"/>
      <c r="K41" s="76"/>
      <c r="L41" s="76"/>
      <c r="M41" s="76"/>
      <c r="N41" s="76"/>
      <c r="O41" s="76"/>
      <c r="P41" s="76"/>
      <c r="Q41" s="76"/>
      <c r="R41" s="76"/>
      <c r="S41" s="76"/>
      <c r="T41" s="76"/>
      <c r="U41" s="247"/>
      <c r="V41" s="247"/>
      <c r="W41" s="247"/>
      <c r="X41" s="247"/>
      <c r="Y41" s="247"/>
      <c r="Z41" s="247"/>
      <c r="AA41" s="247"/>
      <c r="AB41" s="247"/>
      <c r="AC41" s="247"/>
      <c r="AD41" s="247"/>
      <c r="AE41" s="247"/>
      <c r="AF41" s="76"/>
      <c r="AG41" s="76"/>
      <c r="AH41" s="76" t="s">
        <v>452</v>
      </c>
      <c r="AI41" s="76">
        <v>-2</v>
      </c>
      <c r="AJ41" s="97"/>
      <c r="AK41" s="73"/>
      <c r="AL41" s="57"/>
      <c r="AM41" s="45"/>
      <c r="AN41" s="45"/>
      <c r="AO41" s="45"/>
    </row>
    <row r="42" spans="1:41" outlineLevel="1" collapsed="1" x14ac:dyDescent="0.25">
      <c r="A42" s="45"/>
      <c r="B42" s="54"/>
      <c r="C42" s="47">
        <f t="shared" si="0"/>
        <v>3</v>
      </c>
      <c r="D42" s="73"/>
      <c r="E42" s="70"/>
      <c r="F42" s="70"/>
      <c r="G42" s="73"/>
      <c r="H42" s="246" t="s">
        <v>453</v>
      </c>
      <c r="I42" s="96"/>
      <c r="J42" s="96"/>
      <c r="K42" s="76"/>
      <c r="L42" s="76"/>
      <c r="M42" s="76"/>
      <c r="N42" s="76"/>
      <c r="O42" s="76"/>
      <c r="P42" s="76"/>
      <c r="Q42" s="76"/>
      <c r="R42" s="76"/>
      <c r="S42" s="76"/>
      <c r="T42" s="76"/>
      <c r="U42" s="247"/>
      <c r="V42" s="247"/>
      <c r="W42" s="247"/>
      <c r="X42" s="247"/>
      <c r="Y42" s="247"/>
      <c r="Z42" s="247"/>
      <c r="AA42" s="247"/>
      <c r="AB42" s="247"/>
      <c r="AC42" s="247"/>
      <c r="AD42" s="247"/>
      <c r="AE42" s="247"/>
      <c r="AF42" s="76"/>
      <c r="AG42" s="76"/>
      <c r="AH42" s="76" t="s">
        <v>454</v>
      </c>
      <c r="AI42" s="76">
        <f>1-SUM(AJ42:AK42)</f>
        <v>1</v>
      </c>
      <c r="AJ42" s="97">
        <v>0</v>
      </c>
      <c r="AK42" s="73"/>
      <c r="AL42" s="57"/>
      <c r="AM42" s="45"/>
      <c r="AN42" s="45"/>
      <c r="AO42" s="45"/>
    </row>
    <row r="43" spans="1:41" hidden="1" outlineLevel="2" x14ac:dyDescent="0.25">
      <c r="A43" s="45"/>
      <c r="B43" s="54"/>
      <c r="C43" s="47">
        <f t="shared" si="0"/>
        <v>3</v>
      </c>
      <c r="D43" s="73"/>
      <c r="E43" s="70"/>
      <c r="F43" s="70"/>
      <c r="G43" s="73"/>
      <c r="H43" s="129" t="s">
        <v>455</v>
      </c>
      <c r="I43" s="96"/>
      <c r="J43" s="96"/>
      <c r="K43" s="76"/>
      <c r="L43" s="76"/>
      <c r="M43" s="76"/>
      <c r="N43" s="76"/>
      <c r="O43" s="76"/>
      <c r="P43" s="76"/>
      <c r="Q43" s="76"/>
      <c r="R43" s="76"/>
      <c r="S43" s="76"/>
      <c r="T43" s="76"/>
      <c r="U43" s="97">
        <v>1</v>
      </c>
      <c r="V43" s="97">
        <v>1</v>
      </c>
      <c r="W43" s="97">
        <v>1</v>
      </c>
      <c r="X43" s="97">
        <v>1</v>
      </c>
      <c r="Y43" s="97">
        <v>1</v>
      </c>
      <c r="Z43" s="97">
        <v>1</v>
      </c>
      <c r="AA43" s="97">
        <v>1</v>
      </c>
      <c r="AB43" s="97">
        <v>2</v>
      </c>
      <c r="AC43" s="97">
        <v>2</v>
      </c>
      <c r="AD43" s="97">
        <v>2</v>
      </c>
      <c r="AE43" s="97">
        <v>2</v>
      </c>
      <c r="AF43" s="76"/>
      <c r="AG43" s="97"/>
      <c r="AH43" s="76"/>
      <c r="AI43" s="97">
        <v>1</v>
      </c>
      <c r="AJ43" s="97">
        <v>1</v>
      </c>
      <c r="AK43" s="73"/>
      <c r="AL43" s="57"/>
      <c r="AM43" s="45"/>
      <c r="AN43" s="45"/>
      <c r="AO43" s="45"/>
    </row>
    <row r="44" spans="1:41" hidden="1" outlineLevel="2" x14ac:dyDescent="0.25">
      <c r="A44" s="45"/>
      <c r="B44" s="54"/>
      <c r="C44" s="47">
        <f t="shared" si="0"/>
        <v>3</v>
      </c>
      <c r="D44" s="73"/>
      <c r="E44" s="70"/>
      <c r="F44" s="70" t="s">
        <v>3276</v>
      </c>
      <c r="G44" s="73"/>
      <c r="H44" s="129" t="s">
        <v>2950</v>
      </c>
      <c r="I44" s="96" t="s">
        <v>687</v>
      </c>
      <c r="J44" s="96"/>
      <c r="K44" s="76"/>
      <c r="L44" s="76"/>
      <c r="M44" s="76"/>
      <c r="N44" s="76"/>
      <c r="O44" s="76"/>
      <c r="P44" s="76"/>
      <c r="Q44" s="76"/>
      <c r="R44" s="76"/>
      <c r="S44" s="76"/>
      <c r="T44" s="76" t="s">
        <v>3273</v>
      </c>
      <c r="U44" s="248">
        <v>45</v>
      </c>
      <c r="V44" s="97">
        <v>60</v>
      </c>
      <c r="W44" s="97">
        <v>50</v>
      </c>
      <c r="X44" s="97">
        <v>60</v>
      </c>
      <c r="Y44" s="97">
        <v>60</v>
      </c>
      <c r="Z44" s="97">
        <v>60</v>
      </c>
      <c r="AA44" s="97">
        <v>60</v>
      </c>
      <c r="AB44" s="97">
        <v>70</v>
      </c>
      <c r="AC44" s="97">
        <v>70</v>
      </c>
      <c r="AD44" s="97">
        <v>80</v>
      </c>
      <c r="AE44" s="97">
        <v>60</v>
      </c>
      <c r="AF44" s="76"/>
      <c r="AG44" s="97"/>
      <c r="AH44" s="76"/>
      <c r="AI44" s="97">
        <v>1</v>
      </c>
      <c r="AJ44" s="97">
        <v>1</v>
      </c>
      <c r="AK44" s="73"/>
      <c r="AL44" s="57"/>
      <c r="AM44" s="45"/>
      <c r="AN44" s="45"/>
      <c r="AO44" s="45"/>
    </row>
    <row r="45" spans="1:41" hidden="1" outlineLevel="2" x14ac:dyDescent="0.25">
      <c r="A45" s="45"/>
      <c r="B45" s="54"/>
      <c r="C45" s="47">
        <f t="shared" si="0"/>
        <v>3</v>
      </c>
      <c r="D45" s="73"/>
      <c r="E45" s="70"/>
      <c r="F45" s="70"/>
      <c r="G45" s="73"/>
      <c r="H45" s="129" t="s">
        <v>3801</v>
      </c>
      <c r="I45" s="96" t="s">
        <v>90</v>
      </c>
      <c r="J45" s="96"/>
      <c r="K45" s="76"/>
      <c r="L45" s="76"/>
      <c r="M45" s="76"/>
      <c r="N45" s="76"/>
      <c r="O45" s="76"/>
      <c r="P45" s="76"/>
      <c r="Q45" s="76"/>
      <c r="R45" s="76"/>
      <c r="S45" s="76"/>
      <c r="T45" s="76"/>
      <c r="U45" s="266">
        <v>0.25</v>
      </c>
      <c r="V45" s="266">
        <v>0.25</v>
      </c>
      <c r="W45" s="266">
        <v>0.25</v>
      </c>
      <c r="X45" s="266">
        <v>0.25</v>
      </c>
      <c r="Y45" s="266">
        <v>0.25</v>
      </c>
      <c r="Z45" s="266">
        <v>0.25</v>
      </c>
      <c r="AA45" s="266">
        <v>0.25</v>
      </c>
      <c r="AB45" s="266">
        <v>0.25</v>
      </c>
      <c r="AC45" s="266">
        <v>0.25</v>
      </c>
      <c r="AD45" s="266">
        <v>0.25</v>
      </c>
      <c r="AE45" s="266">
        <v>0.25</v>
      </c>
      <c r="AF45" s="76"/>
      <c r="AG45" s="97" t="s">
        <v>3802</v>
      </c>
      <c r="AH45" s="76"/>
      <c r="AI45" s="97">
        <v>1</v>
      </c>
      <c r="AJ45" s="97">
        <v>1</v>
      </c>
      <c r="AK45" s="73"/>
      <c r="AL45" s="57"/>
      <c r="AM45" s="45"/>
      <c r="AN45" s="45"/>
      <c r="AO45" s="45"/>
    </row>
    <row r="46" spans="1:41" hidden="1" outlineLevel="2" x14ac:dyDescent="0.25">
      <c r="A46" s="45"/>
      <c r="B46" s="54"/>
      <c r="C46" s="47">
        <f t="shared" si="0"/>
        <v>3</v>
      </c>
      <c r="D46" s="73"/>
      <c r="E46" s="70"/>
      <c r="F46" s="70"/>
      <c r="G46" s="73"/>
      <c r="H46" s="129" t="s">
        <v>2935</v>
      </c>
      <c r="I46" s="96" t="s">
        <v>687</v>
      </c>
      <c r="J46" s="96"/>
      <c r="K46" s="76"/>
      <c r="L46" s="76"/>
      <c r="M46" s="76"/>
      <c r="N46" s="76"/>
      <c r="O46" s="76"/>
      <c r="P46" s="76"/>
      <c r="Q46" s="76"/>
      <c r="R46" s="76"/>
      <c r="S46" s="76"/>
      <c r="T46" s="76"/>
      <c r="U46" s="610">
        <f t="shared" ref="U46:AE46" si="1">3.058*U44/(U$385*U$391)</f>
        <v>27.53301320528211</v>
      </c>
      <c r="V46" s="610">
        <f t="shared" si="1"/>
        <v>36.710684273709482</v>
      </c>
      <c r="W46" s="610">
        <f t="shared" si="1"/>
        <v>30.592236894757896</v>
      </c>
      <c r="X46" s="610">
        <f t="shared" si="1"/>
        <v>36.710684273709482</v>
      </c>
      <c r="Y46" s="610">
        <f t="shared" si="1"/>
        <v>36.710684273709482</v>
      </c>
      <c r="Z46" s="610">
        <f t="shared" si="1"/>
        <v>36.710684273709482</v>
      </c>
      <c r="AA46" s="610">
        <f t="shared" si="1"/>
        <v>36.710684273709482</v>
      </c>
      <c r="AB46" s="610">
        <f t="shared" si="1"/>
        <v>42.829131652661061</v>
      </c>
      <c r="AC46" s="610">
        <f t="shared" si="1"/>
        <v>42.829131652661061</v>
      </c>
      <c r="AD46" s="610">
        <f t="shared" si="1"/>
        <v>48.947579031612641</v>
      </c>
      <c r="AE46" s="610">
        <f t="shared" si="1"/>
        <v>36.710684273709482</v>
      </c>
      <c r="AF46" s="76"/>
      <c r="AG46" s="97" t="s">
        <v>2949</v>
      </c>
      <c r="AH46" s="76"/>
      <c r="AI46" s="97">
        <v>1</v>
      </c>
      <c r="AJ46" s="97">
        <v>1</v>
      </c>
      <c r="AK46" s="73"/>
      <c r="AL46" s="57"/>
      <c r="AM46" s="45"/>
      <c r="AN46" s="45"/>
      <c r="AO46" s="45"/>
    </row>
    <row r="47" spans="1:41" hidden="1" outlineLevel="2" x14ac:dyDescent="0.25">
      <c r="A47" s="45"/>
      <c r="B47" s="54"/>
      <c r="C47" s="47">
        <f t="shared" si="0"/>
        <v>3</v>
      </c>
      <c r="D47" s="73"/>
      <c r="E47" s="70"/>
      <c r="F47" s="70"/>
      <c r="G47" s="73"/>
      <c r="H47" s="129" t="s">
        <v>456</v>
      </c>
      <c r="I47" s="96"/>
      <c r="J47" s="96"/>
      <c r="K47" s="76"/>
      <c r="L47" s="76"/>
      <c r="M47" s="76"/>
      <c r="N47" s="76"/>
      <c r="O47" s="76"/>
      <c r="P47" s="76"/>
      <c r="Q47" s="76"/>
      <c r="R47" s="76"/>
      <c r="S47" s="76"/>
      <c r="T47" s="76"/>
      <c r="U47" s="248">
        <v>1</v>
      </c>
      <c r="V47" s="97">
        <v>1</v>
      </c>
      <c r="W47" s="97">
        <v>1</v>
      </c>
      <c r="X47" s="97">
        <v>1</v>
      </c>
      <c r="Y47" s="97">
        <v>1</v>
      </c>
      <c r="Z47" s="97">
        <v>1</v>
      </c>
      <c r="AA47" s="97">
        <v>1</v>
      </c>
      <c r="AB47" s="97">
        <v>1</v>
      </c>
      <c r="AC47" s="97">
        <v>1</v>
      </c>
      <c r="AD47" s="97">
        <v>1</v>
      </c>
      <c r="AE47" s="97">
        <v>0</v>
      </c>
      <c r="AF47" s="76"/>
      <c r="AG47" s="97"/>
      <c r="AH47" s="76"/>
      <c r="AI47" s="97">
        <v>1</v>
      </c>
      <c r="AJ47" s="97">
        <v>1</v>
      </c>
      <c r="AK47" s="73"/>
      <c r="AL47" s="57"/>
      <c r="AM47" s="45"/>
      <c r="AN47" s="45"/>
      <c r="AO47" s="45"/>
    </row>
    <row r="48" spans="1:41" hidden="1" outlineLevel="2" x14ac:dyDescent="0.25">
      <c r="A48" s="45"/>
      <c r="B48" s="54"/>
      <c r="C48" s="47">
        <f t="shared" si="0"/>
        <v>3</v>
      </c>
      <c r="D48" s="73"/>
      <c r="E48" s="70"/>
      <c r="F48" s="70"/>
      <c r="G48" s="73"/>
      <c r="H48" s="129" t="s">
        <v>457</v>
      </c>
      <c r="I48" s="96"/>
      <c r="J48" s="96"/>
      <c r="K48" s="76"/>
      <c r="L48" s="76"/>
      <c r="M48" s="76"/>
      <c r="N48" s="76"/>
      <c r="O48" s="76"/>
      <c r="P48" s="76"/>
      <c r="Q48" s="76"/>
      <c r="R48" s="76"/>
      <c r="S48" s="76"/>
      <c r="T48" s="76"/>
      <c r="U48" s="248">
        <v>1</v>
      </c>
      <c r="V48" s="97">
        <v>1</v>
      </c>
      <c r="W48" s="97">
        <v>1</v>
      </c>
      <c r="X48" s="97">
        <v>1</v>
      </c>
      <c r="Y48" s="97">
        <v>1</v>
      </c>
      <c r="Z48" s="97">
        <v>1</v>
      </c>
      <c r="AA48" s="97">
        <v>1</v>
      </c>
      <c r="AB48" s="97">
        <v>0.75</v>
      </c>
      <c r="AC48" s="97">
        <v>0.75</v>
      </c>
      <c r="AD48" s="97">
        <v>0.5</v>
      </c>
      <c r="AE48" s="97">
        <v>0</v>
      </c>
      <c r="AF48" s="76"/>
      <c r="AG48" s="97" t="s">
        <v>458</v>
      </c>
      <c r="AH48" s="76"/>
      <c r="AI48" s="97">
        <v>1</v>
      </c>
      <c r="AJ48" s="97">
        <v>1</v>
      </c>
      <c r="AK48" s="73"/>
      <c r="AL48" s="57"/>
      <c r="AM48" s="45"/>
      <c r="AN48" s="45"/>
      <c r="AO48" s="45"/>
    </row>
    <row r="49" spans="1:41" hidden="1" outlineLevel="2" x14ac:dyDescent="0.25">
      <c r="A49" s="45"/>
      <c r="B49" s="54"/>
      <c r="C49" s="47">
        <f t="shared" si="0"/>
        <v>3</v>
      </c>
      <c r="D49" s="73"/>
      <c r="E49" s="70"/>
      <c r="F49" s="70"/>
      <c r="G49" s="73"/>
      <c r="H49" s="129" t="s">
        <v>459</v>
      </c>
      <c r="I49" s="96" t="s">
        <v>460</v>
      </c>
      <c r="J49" s="96"/>
      <c r="K49" s="76"/>
      <c r="L49" s="76"/>
      <c r="M49" s="76"/>
      <c r="N49" s="76"/>
      <c r="O49" s="76"/>
      <c r="P49" s="76"/>
      <c r="Q49" s="76"/>
      <c r="R49" s="76"/>
      <c r="S49" s="76"/>
      <c r="T49" s="76"/>
      <c r="U49" s="97">
        <v>0.5</v>
      </c>
      <c r="V49" s="97">
        <v>0.5</v>
      </c>
      <c r="W49" s="97">
        <v>0.5</v>
      </c>
      <c r="X49" s="97">
        <v>0.5</v>
      </c>
      <c r="Y49" s="97">
        <v>0.5</v>
      </c>
      <c r="Z49" s="97">
        <v>0.5</v>
      </c>
      <c r="AA49" s="97">
        <v>0.5</v>
      </c>
      <c r="AB49" s="97">
        <v>0.5</v>
      </c>
      <c r="AC49" s="97">
        <v>0.5</v>
      </c>
      <c r="AD49" s="97">
        <v>0.5</v>
      </c>
      <c r="AE49" s="97">
        <v>0.5</v>
      </c>
      <c r="AF49" s="76"/>
      <c r="AG49" s="97" t="s">
        <v>458</v>
      </c>
      <c r="AH49" s="76"/>
      <c r="AI49" s="97">
        <v>1</v>
      </c>
      <c r="AJ49" s="97">
        <v>1</v>
      </c>
      <c r="AK49" s="73"/>
      <c r="AL49" s="57"/>
      <c r="AM49" s="45"/>
      <c r="AN49" s="45"/>
      <c r="AO49" s="45"/>
    </row>
    <row r="50" spans="1:41" hidden="1" outlineLevel="2" x14ac:dyDescent="0.25">
      <c r="A50" s="45"/>
      <c r="B50" s="54"/>
      <c r="C50" s="47">
        <f t="shared" si="0"/>
        <v>3</v>
      </c>
      <c r="D50" s="73"/>
      <c r="E50" s="70"/>
      <c r="F50" s="70"/>
      <c r="G50" s="73"/>
      <c r="H50" s="129" t="s">
        <v>461</v>
      </c>
      <c r="I50" s="96" t="s">
        <v>460</v>
      </c>
      <c r="J50" s="96"/>
      <c r="K50" s="76"/>
      <c r="L50" s="76"/>
      <c r="M50" s="76"/>
      <c r="N50" s="76"/>
      <c r="O50" s="76"/>
      <c r="P50" s="76"/>
      <c r="Q50" s="76"/>
      <c r="R50" s="76"/>
      <c r="S50" s="76"/>
      <c r="T50" s="76"/>
      <c r="U50" s="97">
        <v>0.5</v>
      </c>
      <c r="V50" s="97">
        <v>0.5</v>
      </c>
      <c r="W50" s="97">
        <v>0.5</v>
      </c>
      <c r="X50" s="97">
        <v>0.5</v>
      </c>
      <c r="Y50" s="97">
        <v>0.5</v>
      </c>
      <c r="Z50" s="97">
        <v>0.5</v>
      </c>
      <c r="AA50" s="97">
        <v>0.5</v>
      </c>
      <c r="AB50" s="97">
        <v>0.5</v>
      </c>
      <c r="AC50" s="97">
        <v>0.5</v>
      </c>
      <c r="AD50" s="97">
        <v>0.5</v>
      </c>
      <c r="AE50" s="97">
        <v>0.5</v>
      </c>
      <c r="AF50" s="76"/>
      <c r="AG50" s="97" t="s">
        <v>458</v>
      </c>
      <c r="AH50" s="76"/>
      <c r="AI50" s="97">
        <v>1</v>
      </c>
      <c r="AJ50" s="97">
        <v>1</v>
      </c>
      <c r="AK50" s="73"/>
      <c r="AL50" s="57"/>
      <c r="AM50" s="45"/>
      <c r="AN50" s="45"/>
      <c r="AO50" s="45"/>
    </row>
    <row r="51" spans="1:41" hidden="1" outlineLevel="2" x14ac:dyDescent="0.25">
      <c r="A51" s="45"/>
      <c r="B51" s="54"/>
      <c r="C51" s="47">
        <f t="shared" si="0"/>
        <v>3</v>
      </c>
      <c r="D51" s="73"/>
      <c r="E51" s="70"/>
      <c r="F51" s="70" t="s">
        <v>3275</v>
      </c>
      <c r="G51" s="73"/>
      <c r="H51" s="129" t="s">
        <v>3846</v>
      </c>
      <c r="I51" s="96" t="s">
        <v>462</v>
      </c>
      <c r="J51" s="96"/>
      <c r="K51" s="76"/>
      <c r="L51" s="76"/>
      <c r="M51" s="76"/>
      <c r="N51" s="76"/>
      <c r="O51" s="76"/>
      <c r="P51" s="76"/>
      <c r="Q51" s="76"/>
      <c r="R51" s="76"/>
      <c r="S51" s="76"/>
      <c r="T51" s="76" t="s">
        <v>3273</v>
      </c>
      <c r="U51" s="97">
        <v>3.5</v>
      </c>
      <c r="V51" s="97">
        <v>3.8</v>
      </c>
      <c r="W51" s="97">
        <v>3.5</v>
      </c>
      <c r="X51" s="97">
        <v>3.8</v>
      </c>
      <c r="Y51" s="97">
        <v>3.8</v>
      </c>
      <c r="Z51" s="97">
        <v>3.8</v>
      </c>
      <c r="AA51" s="97">
        <v>3.8</v>
      </c>
      <c r="AB51" s="97">
        <v>3</v>
      </c>
      <c r="AC51" s="97">
        <v>3</v>
      </c>
      <c r="AD51" s="97">
        <v>3</v>
      </c>
      <c r="AE51" s="97">
        <v>1.5</v>
      </c>
      <c r="AF51" s="76"/>
      <c r="AG51" s="97"/>
      <c r="AH51" s="76"/>
      <c r="AI51" s="97">
        <v>1</v>
      </c>
      <c r="AJ51" s="97">
        <v>1</v>
      </c>
      <c r="AK51" s="73"/>
      <c r="AL51" s="57"/>
      <c r="AM51" s="45"/>
      <c r="AN51" s="45"/>
      <c r="AO51" s="45"/>
    </row>
    <row r="52" spans="1:41" hidden="1" outlineLevel="2" x14ac:dyDescent="0.25">
      <c r="A52" s="45"/>
      <c r="B52" s="54"/>
      <c r="C52" s="47">
        <f t="shared" si="0"/>
        <v>3</v>
      </c>
      <c r="D52" s="73"/>
      <c r="E52" s="70"/>
      <c r="F52" s="70" t="s">
        <v>3847</v>
      </c>
      <c r="G52" s="73"/>
      <c r="H52" s="129" t="s">
        <v>3848</v>
      </c>
      <c r="I52" s="96" t="s">
        <v>90</v>
      </c>
      <c r="J52" s="96"/>
      <c r="K52" s="76"/>
      <c r="L52" s="76"/>
      <c r="M52" s="76"/>
      <c r="N52" s="76"/>
      <c r="O52" s="76"/>
      <c r="P52" s="76"/>
      <c r="Q52" s="76"/>
      <c r="R52" s="76"/>
      <c r="S52" s="76"/>
      <c r="T52" s="76" t="s">
        <v>3273</v>
      </c>
      <c r="U52" s="97">
        <v>0</v>
      </c>
      <c r="V52" s="97">
        <v>0</v>
      </c>
      <c r="W52" s="97">
        <v>0</v>
      </c>
      <c r="X52" s="97">
        <v>0</v>
      </c>
      <c r="Y52" s="97">
        <v>0</v>
      </c>
      <c r="Z52" s="97">
        <v>0</v>
      </c>
      <c r="AA52" s="97">
        <v>0</v>
      </c>
      <c r="AB52" s="97">
        <v>0</v>
      </c>
      <c r="AC52" s="97">
        <v>0</v>
      </c>
      <c r="AD52" s="97">
        <v>0</v>
      </c>
      <c r="AE52" s="97">
        <v>0</v>
      </c>
      <c r="AF52" s="76"/>
      <c r="AG52" s="97"/>
      <c r="AH52" s="76"/>
      <c r="AI52" s="97">
        <v>1</v>
      </c>
      <c r="AJ52" s="97">
        <v>1</v>
      </c>
      <c r="AK52" s="73"/>
      <c r="AL52" s="57"/>
      <c r="AM52" s="45"/>
      <c r="AN52" s="45"/>
      <c r="AO52" s="45"/>
    </row>
    <row r="53" spans="1:41" hidden="1" outlineLevel="2" x14ac:dyDescent="0.25">
      <c r="A53" s="45"/>
      <c r="B53" s="54"/>
      <c r="C53" s="47">
        <f t="shared" si="0"/>
        <v>3</v>
      </c>
      <c r="D53" s="73"/>
      <c r="E53" s="70"/>
      <c r="F53" s="70" t="s">
        <v>3274</v>
      </c>
      <c r="G53" s="73"/>
      <c r="H53" s="129" t="s">
        <v>463</v>
      </c>
      <c r="I53" s="96" t="s">
        <v>1396</v>
      </c>
      <c r="J53" s="96"/>
      <c r="K53" s="76"/>
      <c r="L53" s="76"/>
      <c r="M53" s="76"/>
      <c r="N53" s="76"/>
      <c r="O53" s="76"/>
      <c r="P53" s="76"/>
      <c r="Q53" s="76"/>
      <c r="R53" s="76"/>
      <c r="S53" s="76"/>
      <c r="T53" s="76" t="s">
        <v>3273</v>
      </c>
      <c r="U53" s="97">
        <v>17.5</v>
      </c>
      <c r="V53" s="97">
        <v>19</v>
      </c>
      <c r="W53" s="97">
        <v>17.5</v>
      </c>
      <c r="X53" s="97">
        <v>19</v>
      </c>
      <c r="Y53" s="97">
        <v>19</v>
      </c>
      <c r="Z53" s="97">
        <v>19</v>
      </c>
      <c r="AA53" s="97">
        <v>19</v>
      </c>
      <c r="AB53" s="97">
        <v>34.5</v>
      </c>
      <c r="AC53" s="97">
        <v>28</v>
      </c>
      <c r="AD53" s="97">
        <v>34.5</v>
      </c>
      <c r="AE53" s="97">
        <v>34.5</v>
      </c>
      <c r="AF53" s="76"/>
      <c r="AG53" s="97"/>
      <c r="AH53" s="76"/>
      <c r="AI53" s="97">
        <v>1</v>
      </c>
      <c r="AJ53" s="97">
        <v>1</v>
      </c>
      <c r="AK53" s="73"/>
      <c r="AL53" s="57"/>
      <c r="AM53" s="45"/>
      <c r="AN53" s="45"/>
      <c r="AO53" s="45"/>
    </row>
    <row r="54" spans="1:41" hidden="1" outlineLevel="2" x14ac:dyDescent="0.25">
      <c r="A54" s="45"/>
      <c r="B54" s="54"/>
      <c r="C54" s="47">
        <f t="shared" si="0"/>
        <v>3</v>
      </c>
      <c r="D54" s="73"/>
      <c r="E54" s="70"/>
      <c r="F54" s="70"/>
      <c r="G54" s="73"/>
      <c r="H54" s="76" t="s">
        <v>2943</v>
      </c>
      <c r="I54" s="96" t="s">
        <v>90</v>
      </c>
      <c r="J54" s="96"/>
      <c r="K54" s="76"/>
      <c r="L54" s="76"/>
      <c r="M54" s="76"/>
      <c r="N54" s="76"/>
      <c r="O54" s="76"/>
      <c r="P54" s="76"/>
      <c r="Q54" s="76"/>
      <c r="R54" s="76"/>
      <c r="S54" s="76"/>
      <c r="T54" s="76"/>
      <c r="U54" s="118">
        <v>2.1000000000000001E-2</v>
      </c>
      <c r="V54" s="118">
        <v>2.1000000000000001E-2</v>
      </c>
      <c r="W54" s="118">
        <v>2.1000000000000001E-2</v>
      </c>
      <c r="X54" s="118">
        <v>2.1000000000000001E-2</v>
      </c>
      <c r="Y54" s="118">
        <v>2.1000000000000001E-2</v>
      </c>
      <c r="Z54" s="118">
        <v>2.1000000000000001E-2</v>
      </c>
      <c r="AA54" s="118">
        <v>2.1000000000000001E-2</v>
      </c>
      <c r="AB54" s="118">
        <v>2.1000000000000001E-2</v>
      </c>
      <c r="AC54" s="118">
        <v>2.1000000000000001E-2</v>
      </c>
      <c r="AD54" s="118">
        <v>2.1000000000000001E-2</v>
      </c>
      <c r="AE54" s="118">
        <v>2.1000000000000001E-2</v>
      </c>
      <c r="AF54" s="76"/>
      <c r="AG54" s="97" t="s">
        <v>3804</v>
      </c>
      <c r="AH54" s="76"/>
      <c r="AI54" s="97">
        <v>1</v>
      </c>
      <c r="AJ54" s="97">
        <v>1</v>
      </c>
      <c r="AK54" s="73"/>
      <c r="AL54" s="57"/>
      <c r="AM54" s="45"/>
      <c r="AN54" s="45"/>
      <c r="AO54" s="45"/>
    </row>
    <row r="55" spans="1:41" hidden="1" outlineLevel="2" x14ac:dyDescent="0.25">
      <c r="A55" s="45"/>
      <c r="B55" s="54"/>
      <c r="C55" s="47">
        <f t="shared" si="0"/>
        <v>3</v>
      </c>
      <c r="D55" s="73"/>
      <c r="E55" s="70"/>
      <c r="F55" s="70"/>
      <c r="G55" s="73"/>
      <c r="H55" s="76" t="s">
        <v>2944</v>
      </c>
      <c r="I55" s="96" t="s">
        <v>90</v>
      </c>
      <c r="J55" s="96"/>
      <c r="K55" s="76"/>
      <c r="L55" s="76"/>
      <c r="M55" s="76"/>
      <c r="N55" s="76"/>
      <c r="O55" s="76"/>
      <c r="P55" s="76"/>
      <c r="Q55" s="76"/>
      <c r="R55" s="76"/>
      <c r="S55" s="76"/>
      <c r="T55" s="76"/>
      <c r="U55" s="251">
        <f t="shared" ref="U55:AE55" si="2">(1-U54)*U$403</f>
        <v>0.1266728280961183</v>
      </c>
      <c r="V55" s="251">
        <f t="shared" si="2"/>
        <v>0.1266728280961183</v>
      </c>
      <c r="W55" s="251">
        <f t="shared" si="2"/>
        <v>0.1266728280961183</v>
      </c>
      <c r="X55" s="251">
        <f t="shared" si="2"/>
        <v>0.1266728280961183</v>
      </c>
      <c r="Y55" s="251">
        <f t="shared" si="2"/>
        <v>0.1266728280961183</v>
      </c>
      <c r="Z55" s="251">
        <f t="shared" si="2"/>
        <v>0.1266728280961183</v>
      </c>
      <c r="AA55" s="251">
        <f t="shared" si="2"/>
        <v>0.1266728280961183</v>
      </c>
      <c r="AB55" s="251">
        <f t="shared" si="2"/>
        <v>0.1266728280961183</v>
      </c>
      <c r="AC55" s="251">
        <f t="shared" si="2"/>
        <v>0.1266728280961183</v>
      </c>
      <c r="AD55" s="251">
        <f t="shared" si="2"/>
        <v>0.1266728280961183</v>
      </c>
      <c r="AE55" s="251">
        <f t="shared" si="2"/>
        <v>0.1266728280961183</v>
      </c>
      <c r="AF55" s="76"/>
      <c r="AG55" s="76"/>
      <c r="AH55" s="76"/>
      <c r="AI55" s="97">
        <v>1</v>
      </c>
      <c r="AJ55" s="97">
        <v>1</v>
      </c>
      <c r="AK55" s="73"/>
      <c r="AL55" s="57"/>
      <c r="AM55" s="45"/>
      <c r="AN55" s="45"/>
      <c r="AO55" s="45"/>
    </row>
    <row r="56" spans="1:41" hidden="1" outlineLevel="2" x14ac:dyDescent="0.25">
      <c r="A56" s="45"/>
      <c r="B56" s="54"/>
      <c r="C56" s="47">
        <f t="shared" si="0"/>
        <v>3</v>
      </c>
      <c r="D56" s="73"/>
      <c r="E56" s="70"/>
      <c r="F56" s="70"/>
      <c r="G56" s="73"/>
      <c r="H56" s="76" t="s">
        <v>2945</v>
      </c>
      <c r="I56" s="96" t="s">
        <v>90</v>
      </c>
      <c r="J56" s="96"/>
      <c r="K56" s="76"/>
      <c r="L56" s="76"/>
      <c r="M56" s="76"/>
      <c r="N56" s="76"/>
      <c r="O56" s="76"/>
      <c r="P56" s="76"/>
      <c r="Q56" s="76"/>
      <c r="R56" s="76"/>
      <c r="S56" s="76"/>
      <c r="T56" s="76"/>
      <c r="U56" s="249">
        <f t="shared" ref="U56:AD56" si="3">1-(U54+U55)</f>
        <v>0.85232717190388174</v>
      </c>
      <c r="V56" s="249">
        <f t="shared" si="3"/>
        <v>0.85232717190388174</v>
      </c>
      <c r="W56" s="249">
        <f t="shared" si="3"/>
        <v>0.85232717190388174</v>
      </c>
      <c r="X56" s="249">
        <f t="shared" si="3"/>
        <v>0.85232717190388174</v>
      </c>
      <c r="Y56" s="249">
        <f t="shared" ref="Y56" si="4">1-(Y54+Y55)</f>
        <v>0.85232717190388174</v>
      </c>
      <c r="Z56" s="249">
        <f t="shared" ref="Z56:AA56" si="5">1-(Z54+Z55)</f>
        <v>0.85232717190388174</v>
      </c>
      <c r="AA56" s="249">
        <f t="shared" si="5"/>
        <v>0.85232717190388174</v>
      </c>
      <c r="AB56" s="249">
        <f t="shared" si="3"/>
        <v>0.85232717190388174</v>
      </c>
      <c r="AC56" s="249">
        <f t="shared" si="3"/>
        <v>0.85232717190388174</v>
      </c>
      <c r="AD56" s="249">
        <f t="shared" si="3"/>
        <v>0.85232717190388174</v>
      </c>
      <c r="AE56" s="249">
        <f t="shared" ref="AE56" si="6">1-(AE54+AE55)</f>
        <v>0.85232717190388174</v>
      </c>
      <c r="AF56" s="76"/>
      <c r="AG56" s="76"/>
      <c r="AH56" s="76"/>
      <c r="AI56" s="97">
        <v>1</v>
      </c>
      <c r="AJ56" s="97">
        <v>1</v>
      </c>
      <c r="AK56" s="73"/>
      <c r="AL56" s="57"/>
      <c r="AM56" s="45"/>
      <c r="AN56" s="45"/>
      <c r="AO56" s="45"/>
    </row>
    <row r="57" spans="1:41" hidden="1" outlineLevel="2" x14ac:dyDescent="0.25">
      <c r="A57" s="45"/>
      <c r="B57" s="54"/>
      <c r="C57" s="47">
        <f t="shared" si="0"/>
        <v>3</v>
      </c>
      <c r="D57" s="73"/>
      <c r="E57" s="70"/>
      <c r="F57" s="70"/>
      <c r="G57" s="73"/>
      <c r="H57" s="76" t="s">
        <v>2509</v>
      </c>
      <c r="I57" s="96" t="s">
        <v>90</v>
      </c>
      <c r="J57" s="96"/>
      <c r="K57" s="76"/>
      <c r="L57" s="76"/>
      <c r="M57" s="76"/>
      <c r="N57" s="76"/>
      <c r="O57" s="76"/>
      <c r="P57" s="76"/>
      <c r="Q57" s="76"/>
      <c r="R57" s="76"/>
      <c r="S57" s="76"/>
      <c r="T57" s="76"/>
      <c r="U57" s="118">
        <v>1.1000000000000001</v>
      </c>
      <c r="V57" s="118">
        <v>1.25</v>
      </c>
      <c r="W57" s="118">
        <v>1.1000000000000001</v>
      </c>
      <c r="X57" s="118">
        <v>1.25</v>
      </c>
      <c r="Y57" s="118">
        <v>1.25</v>
      </c>
      <c r="Z57" s="118">
        <v>1.25</v>
      </c>
      <c r="AA57" s="118">
        <v>1.25</v>
      </c>
      <c r="AB57" s="118">
        <v>1.35</v>
      </c>
      <c r="AC57" s="250">
        <f>AB57</f>
        <v>1.35</v>
      </c>
      <c r="AD57" s="250">
        <f>AC57</f>
        <v>1.35</v>
      </c>
      <c r="AE57" s="250">
        <f>AD57</f>
        <v>1.35</v>
      </c>
      <c r="AF57" s="76"/>
      <c r="AG57" s="97" t="s">
        <v>2274</v>
      </c>
      <c r="AH57" s="76"/>
      <c r="AI57" s="97">
        <v>1</v>
      </c>
      <c r="AJ57" s="97">
        <v>1</v>
      </c>
      <c r="AK57" s="73"/>
      <c r="AL57" s="57"/>
      <c r="AM57" s="45"/>
      <c r="AN57" s="45"/>
      <c r="AO57" s="45"/>
    </row>
    <row r="58" spans="1:41" hidden="1" outlineLevel="2" x14ac:dyDescent="0.25">
      <c r="A58" s="45"/>
      <c r="B58" s="54"/>
      <c r="C58" s="47">
        <f t="shared" si="0"/>
        <v>3</v>
      </c>
      <c r="D58" s="73"/>
      <c r="E58" s="70"/>
      <c r="F58" s="70"/>
      <c r="G58" s="73"/>
      <c r="H58" s="76" t="s">
        <v>2535</v>
      </c>
      <c r="I58" s="96" t="s">
        <v>90</v>
      </c>
      <c r="J58" s="96"/>
      <c r="K58" s="76"/>
      <c r="L58" s="76"/>
      <c r="M58" s="76"/>
      <c r="N58" s="76"/>
      <c r="O58" s="76"/>
      <c r="P58" s="76"/>
      <c r="Q58" s="76"/>
      <c r="R58" s="76"/>
      <c r="S58" s="76"/>
      <c r="T58" s="76"/>
      <c r="U58" s="118">
        <v>0.02</v>
      </c>
      <c r="V58" s="118">
        <v>0.02</v>
      </c>
      <c r="W58" s="118">
        <v>0.02</v>
      </c>
      <c r="X58" s="118">
        <v>0.02</v>
      </c>
      <c r="Y58" s="118">
        <v>0.02</v>
      </c>
      <c r="Z58" s="118">
        <v>0.02</v>
      </c>
      <c r="AA58" s="118">
        <v>0.02</v>
      </c>
      <c r="AB58" s="118">
        <v>0.11</v>
      </c>
      <c r="AC58" s="118">
        <v>0.11</v>
      </c>
      <c r="AD58" s="118">
        <v>0.11</v>
      </c>
      <c r="AE58" s="118">
        <v>0.11</v>
      </c>
      <c r="AF58" s="76"/>
      <c r="AG58" s="97" t="s">
        <v>2536</v>
      </c>
      <c r="AH58" s="76"/>
      <c r="AI58" s="97">
        <v>1</v>
      </c>
      <c r="AJ58" s="97">
        <v>1</v>
      </c>
      <c r="AK58" s="73"/>
      <c r="AL58" s="57"/>
      <c r="AM58" s="45"/>
      <c r="AN58" s="45"/>
      <c r="AO58" s="45"/>
    </row>
    <row r="59" spans="1:41" hidden="1" outlineLevel="2" x14ac:dyDescent="0.25">
      <c r="A59" s="45"/>
      <c r="B59" s="54"/>
      <c r="C59" s="47">
        <f t="shared" si="0"/>
        <v>3</v>
      </c>
      <c r="D59" s="73"/>
      <c r="E59" s="70"/>
      <c r="F59" s="70"/>
      <c r="G59" s="73"/>
      <c r="H59" s="76" t="s">
        <v>2709</v>
      </c>
      <c r="I59" s="96" t="s">
        <v>2354</v>
      </c>
      <c r="J59" s="96"/>
      <c r="K59" s="76"/>
      <c r="L59" s="76"/>
      <c r="M59" s="76"/>
      <c r="N59" s="76"/>
      <c r="O59" s="76"/>
      <c r="P59" s="76"/>
      <c r="Q59" s="76"/>
      <c r="R59" s="76"/>
      <c r="S59" s="76"/>
      <c r="T59" s="76"/>
      <c r="U59" s="258">
        <v>40</v>
      </c>
      <c r="V59" s="258">
        <v>40</v>
      </c>
      <c r="W59" s="258">
        <v>40</v>
      </c>
      <c r="X59" s="258">
        <v>40</v>
      </c>
      <c r="Y59" s="258">
        <v>40</v>
      </c>
      <c r="Z59" s="258">
        <v>40</v>
      </c>
      <c r="AA59" s="258">
        <v>40</v>
      </c>
      <c r="AB59" s="258">
        <v>40</v>
      </c>
      <c r="AC59" s="371">
        <f t="shared" ref="AC59:AD62" si="7">AB59</f>
        <v>40</v>
      </c>
      <c r="AD59" s="371">
        <f t="shared" si="7"/>
        <v>40</v>
      </c>
      <c r="AE59" s="371">
        <f>AD59</f>
        <v>40</v>
      </c>
      <c r="AF59" s="76"/>
      <c r="AG59" s="97" t="s">
        <v>2506</v>
      </c>
      <c r="AH59" s="76"/>
      <c r="AI59" s="97">
        <v>1</v>
      </c>
      <c r="AJ59" s="97">
        <v>1</v>
      </c>
      <c r="AK59" s="73"/>
      <c r="AL59" s="57"/>
      <c r="AM59" s="45"/>
      <c r="AN59" s="45"/>
      <c r="AO59" s="45"/>
    </row>
    <row r="60" spans="1:41" hidden="1" outlineLevel="2" x14ac:dyDescent="0.25">
      <c r="A60" s="45"/>
      <c r="B60" s="54"/>
      <c r="C60" s="47">
        <f t="shared" si="0"/>
        <v>3</v>
      </c>
      <c r="D60" s="73"/>
      <c r="E60" s="70"/>
      <c r="F60" s="70"/>
      <c r="G60" s="73"/>
      <c r="H60" s="76" t="s">
        <v>464</v>
      </c>
      <c r="I60" s="96" t="s">
        <v>90</v>
      </c>
      <c r="J60" s="372" t="s">
        <v>2256</v>
      </c>
      <c r="K60" s="76"/>
      <c r="L60" s="76"/>
      <c r="M60" s="76"/>
      <c r="N60" s="76"/>
      <c r="O60" s="76"/>
      <c r="P60" s="76"/>
      <c r="Q60" s="76"/>
      <c r="R60" s="76"/>
      <c r="S60" s="76"/>
      <c r="T60" s="76"/>
      <c r="U60" s="118">
        <v>0.8</v>
      </c>
      <c r="V60" s="118">
        <v>0.88</v>
      </c>
      <c r="W60" s="118">
        <v>0.88</v>
      </c>
      <c r="X60" s="118">
        <v>0.88</v>
      </c>
      <c r="Y60" s="118">
        <v>0.88</v>
      </c>
      <c r="Z60" s="118">
        <v>0.88</v>
      </c>
      <c r="AA60" s="118">
        <v>0.88</v>
      </c>
      <c r="AB60" s="118">
        <v>0.94</v>
      </c>
      <c r="AC60" s="250">
        <f t="shared" si="7"/>
        <v>0.94</v>
      </c>
      <c r="AD60" s="250">
        <f t="shared" si="7"/>
        <v>0.94</v>
      </c>
      <c r="AE60" s="250">
        <f>AD60</f>
        <v>0.94</v>
      </c>
      <c r="AF60" s="76"/>
      <c r="AG60" s="76"/>
      <c r="AH60" s="76"/>
      <c r="AI60" s="97">
        <v>1</v>
      </c>
      <c r="AJ60" s="97">
        <v>1</v>
      </c>
      <c r="AK60" s="73"/>
      <c r="AL60" s="57"/>
      <c r="AM60" s="45"/>
      <c r="AN60" s="45"/>
      <c r="AO60" s="45"/>
    </row>
    <row r="61" spans="1:41" hidden="1" outlineLevel="2" x14ac:dyDescent="0.25">
      <c r="A61" s="45"/>
      <c r="B61" s="54"/>
      <c r="C61" s="47">
        <f t="shared" si="0"/>
        <v>3</v>
      </c>
      <c r="D61" s="73"/>
      <c r="E61" s="70"/>
      <c r="F61" s="70"/>
      <c r="G61" s="73"/>
      <c r="H61" s="76" t="s">
        <v>465</v>
      </c>
      <c r="I61" s="96" t="s">
        <v>90</v>
      </c>
      <c r="J61" s="96"/>
      <c r="K61" s="76"/>
      <c r="L61" s="76"/>
      <c r="M61" s="76"/>
      <c r="N61" s="76"/>
      <c r="O61" s="76"/>
      <c r="P61" s="76"/>
      <c r="Q61" s="76"/>
      <c r="R61" s="76"/>
      <c r="S61" s="76"/>
      <c r="T61" s="76"/>
      <c r="U61" s="118">
        <v>0.55000000000000004</v>
      </c>
      <c r="V61" s="118">
        <v>0.65</v>
      </c>
      <c r="W61" s="118">
        <v>0.65</v>
      </c>
      <c r="X61" s="118">
        <v>0.65</v>
      </c>
      <c r="Y61" s="118">
        <v>0.65</v>
      </c>
      <c r="Z61" s="118">
        <v>0.65</v>
      </c>
      <c r="AA61" s="118">
        <v>0.65</v>
      </c>
      <c r="AB61" s="118">
        <v>0.75</v>
      </c>
      <c r="AC61" s="250">
        <f t="shared" si="7"/>
        <v>0.75</v>
      </c>
      <c r="AD61" s="250">
        <f t="shared" si="7"/>
        <v>0.75</v>
      </c>
      <c r="AE61" s="250">
        <f>AD61</f>
        <v>0.75</v>
      </c>
      <c r="AF61" s="76"/>
      <c r="AG61" s="76"/>
      <c r="AH61" s="76"/>
      <c r="AI61" s="97">
        <v>1</v>
      </c>
      <c r="AJ61" s="97">
        <v>1</v>
      </c>
      <c r="AK61" s="73"/>
      <c r="AL61" s="57"/>
      <c r="AM61" s="45"/>
      <c r="AN61" s="45"/>
      <c r="AO61" s="45"/>
    </row>
    <row r="62" spans="1:41" hidden="1" outlineLevel="2" x14ac:dyDescent="0.25">
      <c r="A62" s="45"/>
      <c r="B62" s="54"/>
      <c r="C62" s="47">
        <f t="shared" si="0"/>
        <v>3</v>
      </c>
      <c r="D62" s="73"/>
      <c r="E62" s="70"/>
      <c r="F62" s="70"/>
      <c r="G62" s="73"/>
      <c r="H62" s="76" t="s">
        <v>466</v>
      </c>
      <c r="I62" s="96" t="s">
        <v>90</v>
      </c>
      <c r="J62" s="96"/>
      <c r="K62" s="76"/>
      <c r="L62" s="76"/>
      <c r="M62" s="76"/>
      <c r="N62" s="76"/>
      <c r="O62" s="76"/>
      <c r="P62" s="76"/>
      <c r="Q62" s="76"/>
      <c r="R62" s="76"/>
      <c r="S62" s="76"/>
      <c r="T62" s="76"/>
      <c r="U62" s="118">
        <v>0.4</v>
      </c>
      <c r="V62" s="118">
        <v>0.5</v>
      </c>
      <c r="W62" s="118">
        <v>0.5</v>
      </c>
      <c r="X62" s="118">
        <v>0.5</v>
      </c>
      <c r="Y62" s="118">
        <v>0.5</v>
      </c>
      <c r="Z62" s="118">
        <v>0.5</v>
      </c>
      <c r="AA62" s="118">
        <v>0.5</v>
      </c>
      <c r="AB62" s="118">
        <v>0.55000000000000004</v>
      </c>
      <c r="AC62" s="250">
        <f t="shared" si="7"/>
        <v>0.55000000000000004</v>
      </c>
      <c r="AD62" s="250">
        <f t="shared" si="7"/>
        <v>0.55000000000000004</v>
      </c>
      <c r="AE62" s="250">
        <f>AD62</f>
        <v>0.55000000000000004</v>
      </c>
      <c r="AF62" s="76"/>
      <c r="AG62" s="76"/>
      <c r="AH62" s="76"/>
      <c r="AI62" s="97">
        <v>1</v>
      </c>
      <c r="AJ62" s="97">
        <v>1</v>
      </c>
      <c r="AK62" s="73"/>
      <c r="AL62" s="57"/>
      <c r="AM62" s="45"/>
      <c r="AN62" s="45"/>
      <c r="AO62" s="45"/>
    </row>
    <row r="63" spans="1:41" hidden="1" outlineLevel="2" x14ac:dyDescent="0.25">
      <c r="A63" s="45"/>
      <c r="B63" s="54"/>
      <c r="C63" s="47">
        <f t="shared" si="0"/>
        <v>3</v>
      </c>
      <c r="D63" s="73"/>
      <c r="E63" s="70"/>
      <c r="F63" s="70"/>
      <c r="G63" s="73"/>
      <c r="H63" s="129" t="s">
        <v>2247</v>
      </c>
      <c r="I63" s="96" t="s">
        <v>90</v>
      </c>
      <c r="J63" s="96"/>
      <c r="K63" s="76"/>
      <c r="L63" s="76"/>
      <c r="M63" s="76"/>
      <c r="N63" s="76"/>
      <c r="O63" s="76"/>
      <c r="P63" s="76"/>
      <c r="Q63" s="76"/>
      <c r="R63" s="76"/>
      <c r="S63" s="76"/>
      <c r="T63" s="76"/>
      <c r="U63" s="118">
        <v>0.12</v>
      </c>
      <c r="V63" s="118">
        <v>0.12</v>
      </c>
      <c r="W63" s="118">
        <v>0.12</v>
      </c>
      <c r="X63" s="118">
        <v>0.12</v>
      </c>
      <c r="Y63" s="118">
        <v>0.12</v>
      </c>
      <c r="Z63" s="118">
        <v>0.12</v>
      </c>
      <c r="AA63" s="118">
        <v>0.12</v>
      </c>
      <c r="AB63" s="118">
        <v>0.12</v>
      </c>
      <c r="AC63" s="118">
        <v>0.12</v>
      </c>
      <c r="AD63" s="118">
        <v>0.12</v>
      </c>
      <c r="AE63" s="118">
        <v>0.12</v>
      </c>
      <c r="AF63" s="76"/>
      <c r="AG63" s="97" t="s">
        <v>2708</v>
      </c>
      <c r="AH63" s="76"/>
      <c r="AI63" s="97">
        <v>1</v>
      </c>
      <c r="AJ63" s="97">
        <v>1</v>
      </c>
      <c r="AK63" s="73"/>
      <c r="AL63" s="57"/>
      <c r="AM63" s="45"/>
      <c r="AN63" s="45"/>
      <c r="AO63" s="45"/>
    </row>
    <row r="64" spans="1:41" hidden="1" outlineLevel="2" x14ac:dyDescent="0.25">
      <c r="A64" s="45"/>
      <c r="B64" s="54"/>
      <c r="C64" s="47">
        <f t="shared" si="0"/>
        <v>3</v>
      </c>
      <c r="D64" s="73"/>
      <c r="E64" s="70"/>
      <c r="F64" s="70"/>
      <c r="G64" s="73"/>
      <c r="H64" s="129" t="s">
        <v>2707</v>
      </c>
      <c r="I64" s="96" t="s">
        <v>90</v>
      </c>
      <c r="J64" s="96"/>
      <c r="K64" s="76"/>
      <c r="L64" s="76"/>
      <c r="M64" s="76"/>
      <c r="N64" s="76"/>
      <c r="O64" s="76"/>
      <c r="P64" s="76"/>
      <c r="Q64" s="76"/>
      <c r="R64" s="76"/>
      <c r="S64" s="76"/>
      <c r="T64" s="76"/>
      <c r="U64" s="118">
        <v>0.2</v>
      </c>
      <c r="V64" s="118">
        <v>0.2</v>
      </c>
      <c r="W64" s="118">
        <v>0.2</v>
      </c>
      <c r="X64" s="118">
        <v>0.2</v>
      </c>
      <c r="Y64" s="118">
        <v>0.2</v>
      </c>
      <c r="Z64" s="118">
        <v>0.2</v>
      </c>
      <c r="AA64" s="118">
        <v>0.2</v>
      </c>
      <c r="AB64" s="118">
        <v>0.2</v>
      </c>
      <c r="AC64" s="118">
        <v>0.2</v>
      </c>
      <c r="AD64" s="118">
        <v>0.2</v>
      </c>
      <c r="AE64" s="118">
        <v>0.2</v>
      </c>
      <c r="AF64" s="76"/>
      <c r="AG64" s="97" t="s">
        <v>2708</v>
      </c>
      <c r="AH64" s="76"/>
      <c r="AI64" s="97">
        <v>1</v>
      </c>
      <c r="AJ64" s="97">
        <v>1</v>
      </c>
      <c r="AK64" s="73"/>
      <c r="AL64" s="57"/>
      <c r="AM64" s="45"/>
      <c r="AN64" s="45"/>
      <c r="AO64" s="45"/>
    </row>
    <row r="65" spans="1:41" hidden="1" outlineLevel="2" x14ac:dyDescent="0.25">
      <c r="A65" s="45"/>
      <c r="B65" s="54"/>
      <c r="C65" s="47">
        <f t="shared" si="0"/>
        <v>3</v>
      </c>
      <c r="D65" s="73"/>
      <c r="E65" s="70"/>
      <c r="F65" s="70"/>
      <c r="G65" s="73"/>
      <c r="H65" s="129" t="s">
        <v>2249</v>
      </c>
      <c r="I65" s="96" t="s">
        <v>90</v>
      </c>
      <c r="J65" s="96"/>
      <c r="K65" s="76"/>
      <c r="L65" s="76"/>
      <c r="M65" s="76"/>
      <c r="N65" s="76"/>
      <c r="O65" s="76"/>
      <c r="P65" s="76"/>
      <c r="Q65" s="76"/>
      <c r="R65" s="76"/>
      <c r="S65" s="76"/>
      <c r="T65" s="76"/>
      <c r="U65" s="118">
        <v>0.12</v>
      </c>
      <c r="V65" s="118">
        <v>0.12</v>
      </c>
      <c r="W65" s="118">
        <v>0.12</v>
      </c>
      <c r="X65" s="118">
        <v>0.12</v>
      </c>
      <c r="Y65" s="118">
        <v>0.12</v>
      </c>
      <c r="Z65" s="118">
        <v>0.12</v>
      </c>
      <c r="AA65" s="118">
        <v>0.12</v>
      </c>
      <c r="AB65" s="118">
        <v>0.12</v>
      </c>
      <c r="AC65" s="118">
        <v>0.12</v>
      </c>
      <c r="AD65" s="118">
        <v>0.12</v>
      </c>
      <c r="AE65" s="118">
        <v>0.12</v>
      </c>
      <c r="AF65" s="76"/>
      <c r="AG65" s="97" t="s">
        <v>2708</v>
      </c>
      <c r="AH65" s="76"/>
      <c r="AI65" s="97">
        <v>1</v>
      </c>
      <c r="AJ65" s="97">
        <v>1</v>
      </c>
      <c r="AK65" s="73"/>
      <c r="AL65" s="57"/>
      <c r="AM65" s="45"/>
      <c r="AN65" s="45"/>
      <c r="AO65" s="45"/>
    </row>
    <row r="66" spans="1:41" hidden="1" outlineLevel="2" x14ac:dyDescent="0.25">
      <c r="A66" s="45"/>
      <c r="B66" s="54"/>
      <c r="C66" s="47">
        <f t="shared" si="0"/>
        <v>3</v>
      </c>
      <c r="D66" s="73"/>
      <c r="E66" s="70"/>
      <c r="F66" s="70"/>
      <c r="G66" s="73"/>
      <c r="H66" s="129" t="s">
        <v>2248</v>
      </c>
      <c r="I66" s="96" t="s">
        <v>2212</v>
      </c>
      <c r="J66" s="96"/>
      <c r="K66" s="76"/>
      <c r="L66" s="76"/>
      <c r="M66" s="76"/>
      <c r="N66" s="76"/>
      <c r="O66" s="76"/>
      <c r="P66" s="76"/>
      <c r="Q66" s="76"/>
      <c r="R66" s="76"/>
      <c r="S66" s="76"/>
      <c r="T66" s="76"/>
      <c r="U66" s="258">
        <f t="shared" ref="U66:AE66" si="8">0.15*U$63</f>
        <v>1.7999999999999999E-2</v>
      </c>
      <c r="V66" s="258">
        <f t="shared" si="8"/>
        <v>1.7999999999999999E-2</v>
      </c>
      <c r="W66" s="258">
        <f t="shared" si="8"/>
        <v>1.7999999999999999E-2</v>
      </c>
      <c r="X66" s="258">
        <f t="shared" si="8"/>
        <v>1.7999999999999999E-2</v>
      </c>
      <c r="Y66" s="258">
        <f t="shared" si="8"/>
        <v>1.7999999999999999E-2</v>
      </c>
      <c r="Z66" s="258">
        <f t="shared" si="8"/>
        <v>1.7999999999999999E-2</v>
      </c>
      <c r="AA66" s="258">
        <f t="shared" si="8"/>
        <v>1.7999999999999999E-2</v>
      </c>
      <c r="AB66" s="258">
        <f t="shared" si="8"/>
        <v>1.7999999999999999E-2</v>
      </c>
      <c r="AC66" s="258">
        <f t="shared" si="8"/>
        <v>1.7999999999999999E-2</v>
      </c>
      <c r="AD66" s="258">
        <f t="shared" si="8"/>
        <v>1.7999999999999999E-2</v>
      </c>
      <c r="AE66" s="258">
        <f t="shared" si="8"/>
        <v>1.7999999999999999E-2</v>
      </c>
      <c r="AF66" s="76"/>
      <c r="AG66" s="97" t="s">
        <v>2727</v>
      </c>
      <c r="AH66" s="76"/>
      <c r="AI66" s="97">
        <v>1</v>
      </c>
      <c r="AJ66" s="97">
        <v>1</v>
      </c>
      <c r="AK66" s="73"/>
      <c r="AL66" s="57"/>
      <c r="AM66" s="45"/>
      <c r="AN66" s="45"/>
      <c r="AO66" s="45"/>
    </row>
    <row r="67" spans="1:41" outlineLevel="1" collapsed="1" x14ac:dyDescent="0.25">
      <c r="A67" s="45"/>
      <c r="B67" s="54"/>
      <c r="C67" s="47">
        <f t="shared" si="0"/>
        <v>3</v>
      </c>
      <c r="D67" s="73"/>
      <c r="E67" s="70"/>
      <c r="F67" s="70"/>
      <c r="G67" s="73"/>
      <c r="H67" s="76"/>
      <c r="I67" s="97">
        <v>7</v>
      </c>
      <c r="J67" s="76"/>
      <c r="K67" s="76"/>
      <c r="L67" s="79">
        <v>-7</v>
      </c>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3"/>
      <c r="AL67" s="57"/>
      <c r="AM67" s="45"/>
      <c r="AN67" s="45"/>
      <c r="AO67" s="45"/>
    </row>
    <row r="68" spans="1:41" hidden="1" outlineLevel="2" x14ac:dyDescent="0.25">
      <c r="A68" s="45"/>
      <c r="B68" s="54"/>
      <c r="C68" s="47">
        <f t="shared" si="0"/>
        <v>3</v>
      </c>
      <c r="D68" s="73"/>
      <c r="E68" s="70"/>
      <c r="F68" s="70"/>
      <c r="G68" s="73"/>
      <c r="H68" s="76" t="s">
        <v>2199</v>
      </c>
      <c r="I68" s="96" t="s">
        <v>90</v>
      </c>
      <c r="J68" s="372" t="s">
        <v>2255</v>
      </c>
      <c r="K68" s="76"/>
      <c r="L68" s="76"/>
      <c r="M68" s="76"/>
      <c r="N68" s="76"/>
      <c r="O68" s="76"/>
      <c r="P68" s="76"/>
      <c r="Q68" s="76"/>
      <c r="R68" s="76"/>
      <c r="S68" s="76"/>
      <c r="T68" s="76"/>
      <c r="U68" s="118">
        <v>0</v>
      </c>
      <c r="V68" s="251">
        <f t="shared" ref="V68:V75" si="9">U68</f>
        <v>0</v>
      </c>
      <c r="W68" s="251">
        <f t="shared" ref="W68:X75" si="10">U68</f>
        <v>0</v>
      </c>
      <c r="X68" s="251">
        <f t="shared" si="10"/>
        <v>0</v>
      </c>
      <c r="Y68" s="251">
        <f t="shared" ref="Y68:Y75" si="11">W68</f>
        <v>0</v>
      </c>
      <c r="Z68" s="251">
        <f t="shared" ref="Z68:Z75" si="12">X68</f>
        <v>0</v>
      </c>
      <c r="AA68" s="251">
        <f t="shared" ref="AA68:AA75" si="13">Y68</f>
        <v>0</v>
      </c>
      <c r="AB68" s="250">
        <f t="shared" ref="AB68:AE75" si="14">AA68</f>
        <v>0</v>
      </c>
      <c r="AC68" s="250">
        <f t="shared" si="14"/>
        <v>0</v>
      </c>
      <c r="AD68" s="250">
        <f t="shared" si="14"/>
        <v>0</v>
      </c>
      <c r="AE68" s="250">
        <f t="shared" si="14"/>
        <v>0</v>
      </c>
      <c r="AF68" s="76"/>
      <c r="AG68" s="76"/>
      <c r="AH68" s="76"/>
      <c r="AI68" s="97">
        <v>1</v>
      </c>
      <c r="AJ68" s="97">
        <v>1</v>
      </c>
      <c r="AK68" s="73"/>
      <c r="AL68" s="57"/>
      <c r="AM68" s="45"/>
      <c r="AN68" s="45"/>
      <c r="AO68" s="45"/>
    </row>
    <row r="69" spans="1:41" hidden="1" outlineLevel="2" x14ac:dyDescent="0.25">
      <c r="A69" s="45"/>
      <c r="B69" s="54"/>
      <c r="C69" s="47">
        <f t="shared" si="0"/>
        <v>3</v>
      </c>
      <c r="D69" s="73"/>
      <c r="E69" s="70"/>
      <c r="F69" s="70">
        <v>0</v>
      </c>
      <c r="G69" s="73"/>
      <c r="H69" s="76" t="s">
        <v>2557</v>
      </c>
      <c r="I69" s="96" t="s">
        <v>90</v>
      </c>
      <c r="J69" s="96"/>
      <c r="K69" s="76"/>
      <c r="L69" s="76"/>
      <c r="M69" s="76"/>
      <c r="N69" s="76"/>
      <c r="O69" s="76"/>
      <c r="P69" s="76"/>
      <c r="Q69" s="76"/>
      <c r="R69" s="76"/>
      <c r="S69" s="76"/>
      <c r="T69" s="76"/>
      <c r="U69" s="252">
        <f t="shared" ref="U69:U75" si="15">0.96^$F69*(1-0.96)/(1-0.96^$I$67)*($F69&lt;$I$67)*(1-$U$68)</f>
        <v>0.16093178091915078</v>
      </c>
      <c r="V69" s="251">
        <f t="shared" si="9"/>
        <v>0.16093178091915078</v>
      </c>
      <c r="W69" s="251">
        <f t="shared" si="10"/>
        <v>0.16093178091915078</v>
      </c>
      <c r="X69" s="251">
        <f t="shared" si="10"/>
        <v>0.16093178091915078</v>
      </c>
      <c r="Y69" s="251">
        <f t="shared" si="11"/>
        <v>0.16093178091915078</v>
      </c>
      <c r="Z69" s="251">
        <f t="shared" si="12"/>
        <v>0.16093178091915078</v>
      </c>
      <c r="AA69" s="251">
        <f t="shared" si="13"/>
        <v>0.16093178091915078</v>
      </c>
      <c r="AB69" s="250">
        <f t="shared" si="14"/>
        <v>0.16093178091915078</v>
      </c>
      <c r="AC69" s="250">
        <f t="shared" si="14"/>
        <v>0.16093178091915078</v>
      </c>
      <c r="AD69" s="250">
        <f t="shared" si="14"/>
        <v>0.16093178091915078</v>
      </c>
      <c r="AE69" s="250">
        <f t="shared" si="14"/>
        <v>0.16093178091915078</v>
      </c>
      <c r="AF69" s="76"/>
      <c r="AG69" s="76"/>
      <c r="AH69" s="76"/>
      <c r="AI69" s="97">
        <v>1</v>
      </c>
      <c r="AJ69" s="97">
        <v>1</v>
      </c>
      <c r="AK69" s="73"/>
      <c r="AL69" s="57"/>
      <c r="AM69" s="45"/>
      <c r="AN69" s="45"/>
      <c r="AO69" s="45"/>
    </row>
    <row r="70" spans="1:41" hidden="1" outlineLevel="2" x14ac:dyDescent="0.25">
      <c r="A70" s="45"/>
      <c r="B70" s="54"/>
      <c r="C70" s="47">
        <f t="shared" si="0"/>
        <v>3</v>
      </c>
      <c r="D70" s="73"/>
      <c r="E70" s="70"/>
      <c r="F70" s="70">
        <v>1</v>
      </c>
      <c r="G70" s="73"/>
      <c r="H70" s="76" t="s">
        <v>467</v>
      </c>
      <c r="I70" s="96" t="s">
        <v>90</v>
      </c>
      <c r="J70" s="96"/>
      <c r="K70" s="76"/>
      <c r="L70" s="76"/>
      <c r="M70" s="76"/>
      <c r="N70" s="76"/>
      <c r="O70" s="76"/>
      <c r="P70" s="76"/>
      <c r="Q70" s="76"/>
      <c r="R70" s="76"/>
      <c r="S70" s="76"/>
      <c r="T70" s="76"/>
      <c r="U70" s="252">
        <f t="shared" si="15"/>
        <v>0.15449450968238473</v>
      </c>
      <c r="V70" s="251">
        <f t="shared" si="9"/>
        <v>0.15449450968238473</v>
      </c>
      <c r="W70" s="251">
        <f t="shared" si="10"/>
        <v>0.15449450968238473</v>
      </c>
      <c r="X70" s="251">
        <f t="shared" si="10"/>
        <v>0.15449450968238473</v>
      </c>
      <c r="Y70" s="251">
        <f t="shared" si="11"/>
        <v>0.15449450968238473</v>
      </c>
      <c r="Z70" s="251">
        <f t="shared" si="12"/>
        <v>0.15449450968238473</v>
      </c>
      <c r="AA70" s="251">
        <f t="shared" si="13"/>
        <v>0.15449450968238473</v>
      </c>
      <c r="AB70" s="250">
        <f t="shared" si="14"/>
        <v>0.15449450968238473</v>
      </c>
      <c r="AC70" s="250">
        <f t="shared" si="14"/>
        <v>0.15449450968238473</v>
      </c>
      <c r="AD70" s="250">
        <f t="shared" si="14"/>
        <v>0.15449450968238473</v>
      </c>
      <c r="AE70" s="250">
        <f t="shared" si="14"/>
        <v>0.15449450968238473</v>
      </c>
      <c r="AF70" s="76"/>
      <c r="AG70" s="76"/>
      <c r="AH70" s="76"/>
      <c r="AI70" s="97">
        <v>1</v>
      </c>
      <c r="AJ70" s="97">
        <v>1</v>
      </c>
      <c r="AK70" s="73"/>
      <c r="AL70" s="57"/>
      <c r="AM70" s="45"/>
      <c r="AN70" s="45"/>
      <c r="AO70" s="45"/>
    </row>
    <row r="71" spans="1:41" hidden="1" outlineLevel="2" x14ac:dyDescent="0.25">
      <c r="A71" s="45"/>
      <c r="B71" s="54"/>
      <c r="C71" s="47">
        <f t="shared" ref="C71:C100" si="16">INT($C$29)+2</f>
        <v>3</v>
      </c>
      <c r="D71" s="73"/>
      <c r="E71" s="70"/>
      <c r="F71" s="70">
        <v>2</v>
      </c>
      <c r="G71" s="73"/>
      <c r="H71" s="76" t="s">
        <v>468</v>
      </c>
      <c r="I71" s="96" t="s">
        <v>90</v>
      </c>
      <c r="J71" s="96"/>
      <c r="K71" s="76"/>
      <c r="L71" s="76"/>
      <c r="M71" s="76"/>
      <c r="N71" s="76"/>
      <c r="O71" s="76"/>
      <c r="P71" s="76"/>
      <c r="Q71" s="76"/>
      <c r="R71" s="76"/>
      <c r="S71" s="76"/>
      <c r="T71" s="76"/>
      <c r="U71" s="252">
        <f t="shared" si="15"/>
        <v>0.14831472929508935</v>
      </c>
      <c r="V71" s="251">
        <f t="shared" si="9"/>
        <v>0.14831472929508935</v>
      </c>
      <c r="W71" s="251">
        <f t="shared" si="10"/>
        <v>0.14831472929508935</v>
      </c>
      <c r="X71" s="251">
        <f t="shared" si="10"/>
        <v>0.14831472929508935</v>
      </c>
      <c r="Y71" s="251">
        <f t="shared" si="11"/>
        <v>0.14831472929508935</v>
      </c>
      <c r="Z71" s="251">
        <f t="shared" si="12"/>
        <v>0.14831472929508935</v>
      </c>
      <c r="AA71" s="251">
        <f t="shared" si="13"/>
        <v>0.14831472929508935</v>
      </c>
      <c r="AB71" s="250">
        <f t="shared" si="14"/>
        <v>0.14831472929508935</v>
      </c>
      <c r="AC71" s="250">
        <f t="shared" si="14"/>
        <v>0.14831472929508935</v>
      </c>
      <c r="AD71" s="250">
        <f t="shared" si="14"/>
        <v>0.14831472929508935</v>
      </c>
      <c r="AE71" s="250">
        <f t="shared" si="14"/>
        <v>0.14831472929508935</v>
      </c>
      <c r="AF71" s="76"/>
      <c r="AG71" s="76"/>
      <c r="AH71" s="76"/>
      <c r="AI71" s="97">
        <v>1</v>
      </c>
      <c r="AJ71" s="97">
        <v>1</v>
      </c>
      <c r="AK71" s="73"/>
      <c r="AL71" s="57"/>
      <c r="AM71" s="45"/>
      <c r="AN71" s="45"/>
      <c r="AO71" s="45"/>
    </row>
    <row r="72" spans="1:41" hidden="1" outlineLevel="2" x14ac:dyDescent="0.25">
      <c r="A72" s="45"/>
      <c r="B72" s="54"/>
      <c r="C72" s="47">
        <f t="shared" si="16"/>
        <v>3</v>
      </c>
      <c r="D72" s="73"/>
      <c r="E72" s="70"/>
      <c r="F72" s="70">
        <v>3</v>
      </c>
      <c r="G72" s="73"/>
      <c r="H72" s="76" t="s">
        <v>469</v>
      </c>
      <c r="I72" s="96" t="s">
        <v>90</v>
      </c>
      <c r="J72" s="96"/>
      <c r="K72" s="76"/>
      <c r="L72" s="76"/>
      <c r="M72" s="76"/>
      <c r="N72" s="76"/>
      <c r="O72" s="76"/>
      <c r="P72" s="76"/>
      <c r="Q72" s="76"/>
      <c r="R72" s="76"/>
      <c r="S72" s="76"/>
      <c r="T72" s="76"/>
      <c r="U72" s="252">
        <f t="shared" si="15"/>
        <v>0.14238214012328579</v>
      </c>
      <c r="V72" s="251">
        <f t="shared" si="9"/>
        <v>0.14238214012328579</v>
      </c>
      <c r="W72" s="251">
        <f t="shared" si="10"/>
        <v>0.14238214012328579</v>
      </c>
      <c r="X72" s="251">
        <f t="shared" si="10"/>
        <v>0.14238214012328579</v>
      </c>
      <c r="Y72" s="251">
        <f t="shared" si="11"/>
        <v>0.14238214012328579</v>
      </c>
      <c r="Z72" s="251">
        <f t="shared" si="12"/>
        <v>0.14238214012328579</v>
      </c>
      <c r="AA72" s="251">
        <f t="shared" si="13"/>
        <v>0.14238214012328579</v>
      </c>
      <c r="AB72" s="250">
        <f t="shared" si="14"/>
        <v>0.14238214012328579</v>
      </c>
      <c r="AC72" s="250">
        <f t="shared" si="14"/>
        <v>0.14238214012328579</v>
      </c>
      <c r="AD72" s="250">
        <f t="shared" si="14"/>
        <v>0.14238214012328579</v>
      </c>
      <c r="AE72" s="250">
        <f t="shared" si="14"/>
        <v>0.14238214012328579</v>
      </c>
      <c r="AF72" s="76"/>
      <c r="AG72" s="76"/>
      <c r="AH72" s="76"/>
      <c r="AI72" s="97">
        <v>1</v>
      </c>
      <c r="AJ72" s="97">
        <v>1</v>
      </c>
      <c r="AK72" s="73"/>
      <c r="AL72" s="57"/>
      <c r="AM72" s="45"/>
      <c r="AN72" s="45"/>
      <c r="AO72" s="45"/>
    </row>
    <row r="73" spans="1:41" hidden="1" outlineLevel="2" x14ac:dyDescent="0.25">
      <c r="A73" s="45"/>
      <c r="B73" s="54"/>
      <c r="C73" s="47">
        <f t="shared" si="16"/>
        <v>3</v>
      </c>
      <c r="D73" s="73"/>
      <c r="E73" s="70"/>
      <c r="F73" s="70">
        <v>4</v>
      </c>
      <c r="G73" s="73"/>
      <c r="H73" s="76" t="s">
        <v>470</v>
      </c>
      <c r="I73" s="96" t="s">
        <v>90</v>
      </c>
      <c r="J73" s="96"/>
      <c r="K73" s="76"/>
      <c r="L73" s="76"/>
      <c r="M73" s="76"/>
      <c r="N73" s="76"/>
      <c r="O73" s="76"/>
      <c r="P73" s="76"/>
      <c r="Q73" s="76"/>
      <c r="R73" s="76"/>
      <c r="S73" s="76"/>
      <c r="T73" s="76"/>
      <c r="U73" s="252">
        <f t="shared" si="15"/>
        <v>0.13668685451835433</v>
      </c>
      <c r="V73" s="251">
        <f t="shared" si="9"/>
        <v>0.13668685451835433</v>
      </c>
      <c r="W73" s="251">
        <f t="shared" si="10"/>
        <v>0.13668685451835433</v>
      </c>
      <c r="X73" s="251">
        <f t="shared" si="10"/>
        <v>0.13668685451835433</v>
      </c>
      <c r="Y73" s="251">
        <f t="shared" si="11"/>
        <v>0.13668685451835433</v>
      </c>
      <c r="Z73" s="251">
        <f t="shared" si="12"/>
        <v>0.13668685451835433</v>
      </c>
      <c r="AA73" s="251">
        <f t="shared" si="13"/>
        <v>0.13668685451835433</v>
      </c>
      <c r="AB73" s="250">
        <f t="shared" si="14"/>
        <v>0.13668685451835433</v>
      </c>
      <c r="AC73" s="250">
        <f t="shared" si="14"/>
        <v>0.13668685451835433</v>
      </c>
      <c r="AD73" s="250">
        <f t="shared" si="14"/>
        <v>0.13668685451835433</v>
      </c>
      <c r="AE73" s="250">
        <f t="shared" si="14"/>
        <v>0.13668685451835433</v>
      </c>
      <c r="AF73" s="76"/>
      <c r="AG73" s="76"/>
      <c r="AH73" s="76"/>
      <c r="AI73" s="97">
        <v>1</v>
      </c>
      <c r="AJ73" s="97">
        <v>1</v>
      </c>
      <c r="AK73" s="73"/>
      <c r="AL73" s="57"/>
      <c r="AM73" s="45"/>
      <c r="AN73" s="45"/>
      <c r="AO73" s="45"/>
    </row>
    <row r="74" spans="1:41" hidden="1" outlineLevel="2" x14ac:dyDescent="0.25">
      <c r="A74" s="45"/>
      <c r="B74" s="54"/>
      <c r="C74" s="47">
        <f t="shared" si="16"/>
        <v>3</v>
      </c>
      <c r="D74" s="73"/>
      <c r="E74" s="70"/>
      <c r="F74" s="70">
        <v>5</v>
      </c>
      <c r="G74" s="73"/>
      <c r="H74" s="76" t="s">
        <v>471</v>
      </c>
      <c r="I74" s="96" t="s">
        <v>90</v>
      </c>
      <c r="J74" s="96"/>
      <c r="K74" s="76"/>
      <c r="L74" s="76"/>
      <c r="M74" s="76"/>
      <c r="N74" s="76"/>
      <c r="O74" s="76"/>
      <c r="P74" s="76"/>
      <c r="Q74" s="76"/>
      <c r="R74" s="76"/>
      <c r="S74" s="76"/>
      <c r="T74" s="76"/>
      <c r="U74" s="252">
        <f t="shared" si="15"/>
        <v>0.13121938033762018</v>
      </c>
      <c r="V74" s="251">
        <f t="shared" si="9"/>
        <v>0.13121938033762018</v>
      </c>
      <c r="W74" s="251">
        <f t="shared" si="10"/>
        <v>0.13121938033762018</v>
      </c>
      <c r="X74" s="251">
        <f t="shared" si="10"/>
        <v>0.13121938033762018</v>
      </c>
      <c r="Y74" s="251">
        <f t="shared" si="11"/>
        <v>0.13121938033762018</v>
      </c>
      <c r="Z74" s="251">
        <f t="shared" si="12"/>
        <v>0.13121938033762018</v>
      </c>
      <c r="AA74" s="251">
        <f t="shared" si="13"/>
        <v>0.13121938033762018</v>
      </c>
      <c r="AB74" s="250">
        <f t="shared" si="14"/>
        <v>0.13121938033762018</v>
      </c>
      <c r="AC74" s="250">
        <f t="shared" si="14"/>
        <v>0.13121938033762018</v>
      </c>
      <c r="AD74" s="250">
        <f t="shared" si="14"/>
        <v>0.13121938033762018</v>
      </c>
      <c r="AE74" s="250">
        <f t="shared" si="14"/>
        <v>0.13121938033762018</v>
      </c>
      <c r="AF74" s="76"/>
      <c r="AG74" s="76"/>
      <c r="AH74" s="76"/>
      <c r="AI74" s="97">
        <v>1</v>
      </c>
      <c r="AJ74" s="97">
        <v>1</v>
      </c>
      <c r="AK74" s="73"/>
      <c r="AL74" s="57"/>
      <c r="AM74" s="45"/>
      <c r="AN74" s="45"/>
      <c r="AO74" s="45"/>
    </row>
    <row r="75" spans="1:41" hidden="1" outlineLevel="2" x14ac:dyDescent="0.25">
      <c r="A75" s="45"/>
      <c r="B75" s="54"/>
      <c r="C75" s="47">
        <f t="shared" si="16"/>
        <v>3</v>
      </c>
      <c r="D75" s="73"/>
      <c r="E75" s="70"/>
      <c r="F75" s="70">
        <v>6</v>
      </c>
      <c r="G75" s="73"/>
      <c r="H75" s="76" t="s">
        <v>472</v>
      </c>
      <c r="I75" s="96" t="s">
        <v>90</v>
      </c>
      <c r="J75" s="96"/>
      <c r="K75" s="76"/>
      <c r="L75" s="76"/>
      <c r="M75" s="76"/>
      <c r="N75" s="76"/>
      <c r="O75" s="76"/>
      <c r="P75" s="76"/>
      <c r="Q75" s="76"/>
      <c r="R75" s="76"/>
      <c r="S75" s="76"/>
      <c r="T75" s="76"/>
      <c r="U75" s="252">
        <f t="shared" si="15"/>
        <v>0.12597060512411537</v>
      </c>
      <c r="V75" s="251">
        <f t="shared" si="9"/>
        <v>0.12597060512411537</v>
      </c>
      <c r="W75" s="251">
        <f t="shared" si="10"/>
        <v>0.12597060512411537</v>
      </c>
      <c r="X75" s="251">
        <f t="shared" si="10"/>
        <v>0.12597060512411537</v>
      </c>
      <c r="Y75" s="251">
        <f t="shared" si="11"/>
        <v>0.12597060512411537</v>
      </c>
      <c r="Z75" s="251">
        <f t="shared" si="12"/>
        <v>0.12597060512411537</v>
      </c>
      <c r="AA75" s="251">
        <f t="shared" si="13"/>
        <v>0.12597060512411537</v>
      </c>
      <c r="AB75" s="250">
        <f t="shared" si="14"/>
        <v>0.12597060512411537</v>
      </c>
      <c r="AC75" s="250">
        <f t="shared" si="14"/>
        <v>0.12597060512411537</v>
      </c>
      <c r="AD75" s="250">
        <f t="shared" si="14"/>
        <v>0.12597060512411537</v>
      </c>
      <c r="AE75" s="250">
        <f t="shared" si="14"/>
        <v>0.12597060512411537</v>
      </c>
      <c r="AF75" s="76"/>
      <c r="AG75" s="76"/>
      <c r="AH75" s="76"/>
      <c r="AI75" s="97">
        <v>1</v>
      </c>
      <c r="AJ75" s="97">
        <v>1</v>
      </c>
      <c r="AK75" s="73"/>
      <c r="AL75" s="57"/>
      <c r="AM75" s="45"/>
      <c r="AN75" s="45"/>
      <c r="AO75" s="45"/>
    </row>
    <row r="76" spans="1:41" outlineLevel="1" collapsed="1" x14ac:dyDescent="0.25">
      <c r="A76" s="45"/>
      <c r="B76" s="54"/>
      <c r="C76" s="47">
        <f t="shared" si="16"/>
        <v>3</v>
      </c>
      <c r="D76" s="73"/>
      <c r="E76" s="70"/>
      <c r="F76" s="70"/>
      <c r="G76" s="73"/>
      <c r="H76" s="246" t="s">
        <v>2934</v>
      </c>
      <c r="I76" s="96"/>
      <c r="J76" s="9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3"/>
      <c r="AL76" s="57"/>
      <c r="AM76" s="45"/>
      <c r="AN76" s="45"/>
      <c r="AO76" s="45"/>
    </row>
    <row r="77" spans="1:41" hidden="1" outlineLevel="2" x14ac:dyDescent="0.25">
      <c r="A77" s="45"/>
      <c r="B77" s="54"/>
      <c r="C77" s="47">
        <f t="shared" si="16"/>
        <v>3</v>
      </c>
      <c r="D77" s="73"/>
      <c r="E77" s="70"/>
      <c r="F77" s="70"/>
      <c r="G77" s="73"/>
      <c r="H77" s="76" t="s">
        <v>473</v>
      </c>
      <c r="I77" s="96" t="s">
        <v>474</v>
      </c>
      <c r="J77" s="96"/>
      <c r="K77" s="76"/>
      <c r="L77" s="76"/>
      <c r="M77" s="76"/>
      <c r="N77" s="76"/>
      <c r="O77" s="76"/>
      <c r="P77" s="76"/>
      <c r="Q77" s="76"/>
      <c r="R77" s="76"/>
      <c r="S77" s="76"/>
      <c r="T77" s="76"/>
      <c r="U77" s="97">
        <v>13</v>
      </c>
      <c r="V77" s="97">
        <v>13</v>
      </c>
      <c r="W77" s="97">
        <v>13</v>
      </c>
      <c r="X77" s="97">
        <v>13</v>
      </c>
      <c r="Y77" s="97">
        <v>13</v>
      </c>
      <c r="Z77" s="97">
        <v>13</v>
      </c>
      <c r="AA77" s="97">
        <v>13</v>
      </c>
      <c r="AB77" s="97">
        <v>13</v>
      </c>
      <c r="AC77" s="97">
        <v>13</v>
      </c>
      <c r="AD77" s="97">
        <v>13</v>
      </c>
      <c r="AE77" s="97">
        <v>13</v>
      </c>
      <c r="AF77" s="76"/>
      <c r="AG77" s="76"/>
      <c r="AH77" s="76"/>
      <c r="AI77" s="97">
        <v>1</v>
      </c>
      <c r="AJ77" s="97">
        <v>1</v>
      </c>
      <c r="AK77" s="73"/>
      <c r="AL77" s="57"/>
      <c r="AM77" s="45"/>
      <c r="AN77" s="45"/>
      <c r="AO77" s="45"/>
    </row>
    <row r="78" spans="1:41" hidden="1" outlineLevel="2" x14ac:dyDescent="0.25">
      <c r="A78" s="45"/>
      <c r="B78" s="54"/>
      <c r="C78" s="47">
        <f t="shared" si="16"/>
        <v>3</v>
      </c>
      <c r="D78" s="73"/>
      <c r="E78" s="70"/>
      <c r="F78" s="70"/>
      <c r="G78" s="73"/>
      <c r="H78" s="76" t="s">
        <v>475</v>
      </c>
      <c r="I78" s="96" t="s">
        <v>474</v>
      </c>
      <c r="J78" s="96"/>
      <c r="K78" s="76"/>
      <c r="L78" s="76"/>
      <c r="M78" s="76"/>
      <c r="N78" s="76"/>
      <c r="O78" s="76"/>
      <c r="P78" s="76"/>
      <c r="Q78" s="76"/>
      <c r="R78" s="76"/>
      <c r="S78" s="76"/>
      <c r="T78" s="76"/>
      <c r="U78" s="253">
        <f t="shared" ref="U78:AD79" si="17">U77</f>
        <v>13</v>
      </c>
      <c r="V78" s="253">
        <f t="shared" si="17"/>
        <v>13</v>
      </c>
      <c r="W78" s="253">
        <f t="shared" si="17"/>
        <v>13</v>
      </c>
      <c r="X78" s="253">
        <f t="shared" si="17"/>
        <v>13</v>
      </c>
      <c r="Y78" s="253">
        <f t="shared" ref="Y78" si="18">Y77</f>
        <v>13</v>
      </c>
      <c r="Z78" s="253">
        <f t="shared" ref="Z78:AA78" si="19">Z77</f>
        <v>13</v>
      </c>
      <c r="AA78" s="253">
        <f t="shared" si="19"/>
        <v>13</v>
      </c>
      <c r="AB78" s="253">
        <f t="shared" si="17"/>
        <v>13</v>
      </c>
      <c r="AC78" s="253">
        <f t="shared" si="17"/>
        <v>13</v>
      </c>
      <c r="AD78" s="253">
        <f t="shared" si="17"/>
        <v>13</v>
      </c>
      <c r="AE78" s="253">
        <f t="shared" ref="AE78" si="20">AE77</f>
        <v>13</v>
      </c>
      <c r="AF78" s="76"/>
      <c r="AG78" s="76"/>
      <c r="AH78" s="76"/>
      <c r="AI78" s="97">
        <v>1</v>
      </c>
      <c r="AJ78" s="97">
        <v>1</v>
      </c>
      <c r="AK78" s="73"/>
      <c r="AL78" s="57"/>
      <c r="AM78" s="45"/>
      <c r="AN78" s="45"/>
      <c r="AO78" s="45"/>
    </row>
    <row r="79" spans="1:41" hidden="1" outlineLevel="2" x14ac:dyDescent="0.25">
      <c r="A79" s="45"/>
      <c r="B79" s="54"/>
      <c r="C79" s="47">
        <f t="shared" si="16"/>
        <v>3</v>
      </c>
      <c r="D79" s="73"/>
      <c r="E79" s="70"/>
      <c r="F79" s="70"/>
      <c r="G79" s="73"/>
      <c r="H79" s="76" t="s">
        <v>476</v>
      </c>
      <c r="I79" s="96" t="s">
        <v>474</v>
      </c>
      <c r="J79" s="96"/>
      <c r="K79" s="76"/>
      <c r="L79" s="76"/>
      <c r="M79" s="76"/>
      <c r="N79" s="76"/>
      <c r="O79" s="76"/>
      <c r="P79" s="76"/>
      <c r="Q79" s="76"/>
      <c r="R79" s="76"/>
      <c r="S79" s="76"/>
      <c r="T79" s="76"/>
      <c r="U79" s="253">
        <f t="shared" si="17"/>
        <v>13</v>
      </c>
      <c r="V79" s="253">
        <f t="shared" si="17"/>
        <v>13</v>
      </c>
      <c r="W79" s="253">
        <f t="shared" si="17"/>
        <v>13</v>
      </c>
      <c r="X79" s="253">
        <f t="shared" si="17"/>
        <v>13</v>
      </c>
      <c r="Y79" s="253">
        <f t="shared" ref="Y79" si="21">Y78</f>
        <v>13</v>
      </c>
      <c r="Z79" s="253">
        <f t="shared" ref="Z79:AA79" si="22">Z78</f>
        <v>13</v>
      </c>
      <c r="AA79" s="253">
        <f t="shared" si="22"/>
        <v>13</v>
      </c>
      <c r="AB79" s="253">
        <f t="shared" si="17"/>
        <v>13</v>
      </c>
      <c r="AC79" s="253">
        <f t="shared" si="17"/>
        <v>13</v>
      </c>
      <c r="AD79" s="253">
        <f t="shared" si="17"/>
        <v>13</v>
      </c>
      <c r="AE79" s="253">
        <f t="shared" ref="AE79" si="23">AE78</f>
        <v>13</v>
      </c>
      <c r="AF79" s="76"/>
      <c r="AG79" s="76"/>
      <c r="AH79" s="76"/>
      <c r="AI79" s="97">
        <v>1</v>
      </c>
      <c r="AJ79" s="97">
        <v>1</v>
      </c>
      <c r="AK79" s="73"/>
      <c r="AL79" s="57"/>
      <c r="AM79" s="45"/>
      <c r="AN79" s="45"/>
      <c r="AO79" s="45"/>
    </row>
    <row r="80" spans="1:41" hidden="1" outlineLevel="2" x14ac:dyDescent="0.25">
      <c r="A80" s="45"/>
      <c r="B80" s="54"/>
      <c r="C80" s="47">
        <f t="shared" si="16"/>
        <v>3</v>
      </c>
      <c r="D80" s="73"/>
      <c r="E80" s="70"/>
      <c r="F80" s="70"/>
      <c r="G80" s="73"/>
      <c r="H80" s="76" t="s">
        <v>477</v>
      </c>
      <c r="I80" s="96" t="s">
        <v>474</v>
      </c>
      <c r="J80" s="96"/>
      <c r="K80" s="76"/>
      <c r="L80" s="76"/>
      <c r="M80" s="76"/>
      <c r="N80" s="76"/>
      <c r="O80" s="76"/>
      <c r="P80" s="76"/>
      <c r="Q80" s="76"/>
      <c r="R80" s="76"/>
      <c r="S80" s="76"/>
      <c r="T80" s="76"/>
      <c r="U80" s="97">
        <v>24</v>
      </c>
      <c r="V80" s="97">
        <v>24</v>
      </c>
      <c r="W80" s="97">
        <v>24</v>
      </c>
      <c r="X80" s="97">
        <v>24</v>
      </c>
      <c r="Y80" s="97">
        <v>24</v>
      </c>
      <c r="Z80" s="97">
        <v>24</v>
      </c>
      <c r="AA80" s="97">
        <v>24</v>
      </c>
      <c r="AB80" s="97">
        <v>24</v>
      </c>
      <c r="AC80" s="97">
        <v>24</v>
      </c>
      <c r="AD80" s="97">
        <v>24</v>
      </c>
      <c r="AE80" s="97">
        <v>24</v>
      </c>
      <c r="AF80" s="76"/>
      <c r="AG80" s="76"/>
      <c r="AH80" s="76"/>
      <c r="AI80" s="97">
        <v>1</v>
      </c>
      <c r="AJ80" s="97">
        <v>1</v>
      </c>
      <c r="AK80" s="73"/>
      <c r="AL80" s="57"/>
      <c r="AM80" s="45"/>
      <c r="AN80" s="45"/>
      <c r="AO80" s="45"/>
    </row>
    <row r="81" spans="1:41" hidden="1" outlineLevel="2" x14ac:dyDescent="0.25">
      <c r="A81" s="45"/>
      <c r="B81" s="54"/>
      <c r="C81" s="47">
        <f t="shared" si="16"/>
        <v>3</v>
      </c>
      <c r="D81" s="73"/>
      <c r="E81" s="70"/>
      <c r="F81" s="70"/>
      <c r="G81" s="73"/>
      <c r="H81" s="76" t="s">
        <v>478</v>
      </c>
      <c r="I81" s="96" t="s">
        <v>474</v>
      </c>
      <c r="J81" s="96"/>
      <c r="K81" s="76"/>
      <c r="L81" s="76"/>
      <c r="M81" s="76"/>
      <c r="N81" s="76"/>
      <c r="O81" s="76"/>
      <c r="P81" s="76"/>
      <c r="Q81" s="76"/>
      <c r="R81" s="76"/>
      <c r="S81" s="76"/>
      <c r="T81" s="76"/>
      <c r="U81" s="97">
        <v>120</v>
      </c>
      <c r="V81" s="97">
        <v>120</v>
      </c>
      <c r="W81" s="97">
        <v>120</v>
      </c>
      <c r="X81" s="97">
        <v>120</v>
      </c>
      <c r="Y81" s="97">
        <v>120</v>
      </c>
      <c r="Z81" s="97">
        <v>120</v>
      </c>
      <c r="AA81" s="97">
        <v>120</v>
      </c>
      <c r="AB81" s="97">
        <v>120</v>
      </c>
      <c r="AC81" s="97">
        <v>120</v>
      </c>
      <c r="AD81" s="97">
        <v>120</v>
      </c>
      <c r="AE81" s="97">
        <v>120</v>
      </c>
      <c r="AF81" s="76"/>
      <c r="AG81" s="76"/>
      <c r="AH81" s="76"/>
      <c r="AI81" s="97">
        <v>1</v>
      </c>
      <c r="AJ81" s="97">
        <v>1</v>
      </c>
      <c r="AK81" s="73"/>
      <c r="AL81" s="57"/>
      <c r="AM81" s="45"/>
      <c r="AN81" s="45"/>
      <c r="AO81" s="45"/>
    </row>
    <row r="82" spans="1:41" hidden="1" outlineLevel="2" x14ac:dyDescent="0.25">
      <c r="A82" s="45"/>
      <c r="B82" s="54"/>
      <c r="C82" s="47">
        <f t="shared" si="16"/>
        <v>3</v>
      </c>
      <c r="D82" s="73"/>
      <c r="E82" s="70"/>
      <c r="F82" s="70"/>
      <c r="G82" s="73"/>
      <c r="H82" s="76" t="s">
        <v>479</v>
      </c>
      <c r="I82" s="96" t="s">
        <v>474</v>
      </c>
      <c r="J82" s="96"/>
      <c r="K82" s="76"/>
      <c r="L82" s="76"/>
      <c r="M82" s="76"/>
      <c r="N82" s="76"/>
      <c r="O82" s="76"/>
      <c r="P82" s="76"/>
      <c r="Q82" s="76"/>
      <c r="R82" s="76"/>
      <c r="S82" s="76"/>
      <c r="T82" s="76"/>
      <c r="U82" s="97">
        <v>68</v>
      </c>
      <c r="V82" s="97">
        <v>68</v>
      </c>
      <c r="W82" s="97">
        <v>68</v>
      </c>
      <c r="X82" s="97">
        <v>68</v>
      </c>
      <c r="Y82" s="97">
        <v>68</v>
      </c>
      <c r="Z82" s="97">
        <v>68</v>
      </c>
      <c r="AA82" s="97">
        <v>68</v>
      </c>
      <c r="AB82" s="97">
        <v>68</v>
      </c>
      <c r="AC82" s="97">
        <v>68</v>
      </c>
      <c r="AD82" s="97">
        <v>68</v>
      </c>
      <c r="AE82" s="97">
        <v>68</v>
      </c>
      <c r="AF82" s="76"/>
      <c r="AG82" s="76"/>
      <c r="AH82" s="76"/>
      <c r="AI82" s="97">
        <v>1</v>
      </c>
      <c r="AJ82" s="97">
        <v>1</v>
      </c>
      <c r="AK82" s="73"/>
      <c r="AL82" s="57"/>
      <c r="AM82" s="45"/>
      <c r="AN82" s="45"/>
      <c r="AO82" s="45"/>
    </row>
    <row r="83" spans="1:41" hidden="1" outlineLevel="2" x14ac:dyDescent="0.25">
      <c r="A83" s="45"/>
      <c r="B83" s="54"/>
      <c r="C83" s="47">
        <f t="shared" si="16"/>
        <v>3</v>
      </c>
      <c r="D83" s="73"/>
      <c r="E83" s="70"/>
      <c r="F83" s="70"/>
      <c r="G83" s="73"/>
      <c r="H83" s="76" t="s">
        <v>480</v>
      </c>
      <c r="I83" s="96" t="s">
        <v>474</v>
      </c>
      <c r="J83" s="96"/>
      <c r="K83" s="76"/>
      <c r="L83" s="76"/>
      <c r="M83" s="76"/>
      <c r="N83" s="76"/>
      <c r="O83" s="76"/>
      <c r="P83" s="76"/>
      <c r="Q83" s="76"/>
      <c r="R83" s="76"/>
      <c r="S83" s="76"/>
      <c r="T83" s="76"/>
      <c r="U83" s="97">
        <v>120</v>
      </c>
      <c r="V83" s="97">
        <v>120</v>
      </c>
      <c r="W83" s="97">
        <v>120</v>
      </c>
      <c r="X83" s="97">
        <v>120</v>
      </c>
      <c r="Y83" s="97">
        <v>120</v>
      </c>
      <c r="Z83" s="97">
        <v>120</v>
      </c>
      <c r="AA83" s="97">
        <v>120</v>
      </c>
      <c r="AB83" s="97">
        <v>120</v>
      </c>
      <c r="AC83" s="97">
        <v>120</v>
      </c>
      <c r="AD83" s="97">
        <v>120</v>
      </c>
      <c r="AE83" s="97">
        <v>120</v>
      </c>
      <c r="AF83" s="76"/>
      <c r="AG83" s="76"/>
      <c r="AH83" s="76"/>
      <c r="AI83" s="97">
        <v>1</v>
      </c>
      <c r="AJ83" s="97">
        <v>1</v>
      </c>
      <c r="AK83" s="73"/>
      <c r="AL83" s="57"/>
      <c r="AM83" s="45"/>
      <c r="AN83" s="45"/>
      <c r="AO83" s="45"/>
    </row>
    <row r="84" spans="1:41" hidden="1" outlineLevel="2" x14ac:dyDescent="0.25">
      <c r="A84" s="45"/>
      <c r="B84" s="54"/>
      <c r="C84" s="47">
        <f t="shared" si="16"/>
        <v>3</v>
      </c>
      <c r="D84" s="73"/>
      <c r="E84" s="70"/>
      <c r="F84" s="70"/>
      <c r="G84" s="73"/>
      <c r="H84" s="76" t="s">
        <v>2268</v>
      </c>
      <c r="I84" s="96" t="s">
        <v>474</v>
      </c>
      <c r="J84" s="96"/>
      <c r="K84" s="76"/>
      <c r="L84" s="76"/>
      <c r="M84" s="76"/>
      <c r="N84" s="76"/>
      <c r="O84" s="76"/>
      <c r="P84" s="76"/>
      <c r="Q84" s="76"/>
      <c r="R84" s="76"/>
      <c r="S84" s="76"/>
      <c r="T84" s="76"/>
      <c r="U84" s="97">
        <v>120</v>
      </c>
      <c r="V84" s="97">
        <v>120</v>
      </c>
      <c r="W84" s="97">
        <v>120</v>
      </c>
      <c r="X84" s="97">
        <v>120</v>
      </c>
      <c r="Y84" s="97">
        <v>120</v>
      </c>
      <c r="Z84" s="97">
        <v>120</v>
      </c>
      <c r="AA84" s="97">
        <v>120</v>
      </c>
      <c r="AB84" s="97">
        <v>120</v>
      </c>
      <c r="AC84" s="97">
        <v>120</v>
      </c>
      <c r="AD84" s="97">
        <v>120</v>
      </c>
      <c r="AE84" s="97">
        <v>120</v>
      </c>
      <c r="AF84" s="76"/>
      <c r="AG84" s="76"/>
      <c r="AH84" s="76"/>
      <c r="AI84" s="97">
        <v>1</v>
      </c>
      <c r="AJ84" s="97">
        <v>1</v>
      </c>
      <c r="AK84" s="73"/>
      <c r="AL84" s="57"/>
      <c r="AM84" s="45"/>
      <c r="AN84" s="45"/>
      <c r="AO84" s="45"/>
    </row>
    <row r="85" spans="1:41" hidden="1" outlineLevel="2" x14ac:dyDescent="0.25">
      <c r="A85" s="45"/>
      <c r="B85" s="54"/>
      <c r="C85" s="47">
        <f t="shared" si="16"/>
        <v>3</v>
      </c>
      <c r="D85" s="73"/>
      <c r="E85" s="70"/>
      <c r="F85" s="70"/>
      <c r="G85" s="73"/>
      <c r="H85" s="76" t="s">
        <v>2280</v>
      </c>
      <c r="I85" s="96" t="s">
        <v>474</v>
      </c>
      <c r="J85" s="96"/>
      <c r="K85" s="76"/>
      <c r="L85" s="76"/>
      <c r="M85" s="76"/>
      <c r="N85" s="76"/>
      <c r="O85" s="76"/>
      <c r="P85" s="76"/>
      <c r="Q85" s="76"/>
      <c r="R85" s="76"/>
      <c r="S85" s="76"/>
      <c r="T85" s="76"/>
      <c r="U85" s="97">
        <v>0</v>
      </c>
      <c r="V85" s="97">
        <v>0</v>
      </c>
      <c r="W85" s="97">
        <v>0</v>
      </c>
      <c r="X85" s="97">
        <v>0</v>
      </c>
      <c r="Y85" s="97">
        <v>0</v>
      </c>
      <c r="Z85" s="97">
        <v>0</v>
      </c>
      <c r="AA85" s="97">
        <v>0</v>
      </c>
      <c r="AB85" s="97">
        <v>0</v>
      </c>
      <c r="AC85" s="97">
        <v>0</v>
      </c>
      <c r="AD85" s="97">
        <v>0</v>
      </c>
      <c r="AE85" s="97">
        <v>0</v>
      </c>
      <c r="AF85" s="76"/>
      <c r="AG85" s="76"/>
      <c r="AH85" s="76"/>
      <c r="AI85" s="97">
        <v>1</v>
      </c>
      <c r="AJ85" s="97">
        <v>1</v>
      </c>
      <c r="AK85" s="73"/>
      <c r="AL85" s="57"/>
      <c r="AM85" s="45"/>
      <c r="AN85" s="45"/>
      <c r="AO85" s="45"/>
    </row>
    <row r="86" spans="1:41" hidden="1" outlineLevel="2" x14ac:dyDescent="0.25">
      <c r="A86" s="45"/>
      <c r="B86" s="54"/>
      <c r="C86" s="47">
        <f t="shared" si="16"/>
        <v>3</v>
      </c>
      <c r="D86" s="73"/>
      <c r="E86" s="70"/>
      <c r="F86" s="70"/>
      <c r="G86" s="73"/>
      <c r="H86" s="76" t="s">
        <v>475</v>
      </c>
      <c r="I86" s="96" t="s">
        <v>474</v>
      </c>
      <c r="J86" s="96"/>
      <c r="K86" s="76"/>
      <c r="L86" s="76"/>
      <c r="M86" s="76"/>
      <c r="N86" s="76"/>
      <c r="O86" s="76"/>
      <c r="P86" s="76"/>
      <c r="Q86" s="76"/>
      <c r="R86" s="76"/>
      <c r="S86" s="76"/>
      <c r="T86" s="76"/>
      <c r="U86" s="253">
        <f t="shared" ref="U86:AD87" si="24">U85</f>
        <v>0</v>
      </c>
      <c r="V86" s="253">
        <f t="shared" si="24"/>
        <v>0</v>
      </c>
      <c r="W86" s="253">
        <f t="shared" si="24"/>
        <v>0</v>
      </c>
      <c r="X86" s="253">
        <f t="shared" si="24"/>
        <v>0</v>
      </c>
      <c r="Y86" s="253">
        <f t="shared" ref="Y86" si="25">Y85</f>
        <v>0</v>
      </c>
      <c r="Z86" s="253">
        <f t="shared" ref="Z86:AA86" si="26">Z85</f>
        <v>0</v>
      </c>
      <c r="AA86" s="253">
        <f t="shared" si="26"/>
        <v>0</v>
      </c>
      <c r="AB86" s="253">
        <f t="shared" si="24"/>
        <v>0</v>
      </c>
      <c r="AC86" s="253">
        <f t="shared" si="24"/>
        <v>0</v>
      </c>
      <c r="AD86" s="253">
        <f t="shared" si="24"/>
        <v>0</v>
      </c>
      <c r="AE86" s="253">
        <f t="shared" ref="AE86" si="27">AE85</f>
        <v>0</v>
      </c>
      <c r="AF86" s="76"/>
      <c r="AG86" s="76"/>
      <c r="AH86" s="76"/>
      <c r="AI86" s="97">
        <v>1</v>
      </c>
      <c r="AJ86" s="97">
        <v>1</v>
      </c>
      <c r="AK86" s="73"/>
      <c r="AL86" s="57"/>
      <c r="AM86" s="45"/>
      <c r="AN86" s="45"/>
      <c r="AO86" s="45"/>
    </row>
    <row r="87" spans="1:41" hidden="1" outlineLevel="2" x14ac:dyDescent="0.25">
      <c r="A87" s="45"/>
      <c r="B87" s="54"/>
      <c r="C87" s="47">
        <f t="shared" si="16"/>
        <v>3</v>
      </c>
      <c r="D87" s="73"/>
      <c r="E87" s="70"/>
      <c r="F87" s="70"/>
      <c r="G87" s="73"/>
      <c r="H87" s="76" t="s">
        <v>476</v>
      </c>
      <c r="I87" s="96" t="s">
        <v>474</v>
      </c>
      <c r="J87" s="96"/>
      <c r="K87" s="76"/>
      <c r="L87" s="76"/>
      <c r="M87" s="76"/>
      <c r="N87" s="76"/>
      <c r="O87" s="76"/>
      <c r="P87" s="76"/>
      <c r="Q87" s="76"/>
      <c r="R87" s="76"/>
      <c r="S87" s="76"/>
      <c r="T87" s="76"/>
      <c r="U87" s="253">
        <f t="shared" si="24"/>
        <v>0</v>
      </c>
      <c r="V87" s="253">
        <f t="shared" si="24"/>
        <v>0</v>
      </c>
      <c r="W87" s="253">
        <f t="shared" si="24"/>
        <v>0</v>
      </c>
      <c r="X87" s="253">
        <f t="shared" si="24"/>
        <v>0</v>
      </c>
      <c r="Y87" s="253">
        <f t="shared" ref="Y87" si="28">Y86</f>
        <v>0</v>
      </c>
      <c r="Z87" s="253">
        <f t="shared" ref="Z87:AA87" si="29">Z86</f>
        <v>0</v>
      </c>
      <c r="AA87" s="253">
        <f t="shared" si="29"/>
        <v>0</v>
      </c>
      <c r="AB87" s="253">
        <f t="shared" si="24"/>
        <v>0</v>
      </c>
      <c r="AC87" s="253">
        <f t="shared" si="24"/>
        <v>0</v>
      </c>
      <c r="AD87" s="253">
        <f t="shared" si="24"/>
        <v>0</v>
      </c>
      <c r="AE87" s="253">
        <f t="shared" ref="AE87" si="30">AE86</f>
        <v>0</v>
      </c>
      <c r="AF87" s="76"/>
      <c r="AG87" s="76"/>
      <c r="AH87" s="76"/>
      <c r="AI87" s="97">
        <v>1</v>
      </c>
      <c r="AJ87" s="97">
        <v>1</v>
      </c>
      <c r="AK87" s="73"/>
      <c r="AL87" s="57"/>
      <c r="AM87" s="45"/>
      <c r="AN87" s="45"/>
      <c r="AO87" s="45"/>
    </row>
    <row r="88" spans="1:41" hidden="1" outlineLevel="2" x14ac:dyDescent="0.25">
      <c r="A88" s="45"/>
      <c r="B88" s="54"/>
      <c r="C88" s="47">
        <f t="shared" si="16"/>
        <v>3</v>
      </c>
      <c r="D88" s="73"/>
      <c r="E88" s="70"/>
      <c r="F88" s="70"/>
      <c r="G88" s="73"/>
      <c r="H88" s="76" t="s">
        <v>477</v>
      </c>
      <c r="I88" s="96" t="s">
        <v>474</v>
      </c>
      <c r="J88" s="96"/>
      <c r="K88" s="76"/>
      <c r="L88" s="76"/>
      <c r="M88" s="76"/>
      <c r="N88" s="76"/>
      <c r="O88" s="76"/>
      <c r="P88" s="76"/>
      <c r="Q88" s="76"/>
      <c r="R88" s="76"/>
      <c r="S88" s="76"/>
      <c r="T88" s="76"/>
      <c r="U88" s="253">
        <f t="shared" ref="U88:AD88" si="31">U77</f>
        <v>13</v>
      </c>
      <c r="V88" s="253">
        <f t="shared" si="31"/>
        <v>13</v>
      </c>
      <c r="W88" s="253">
        <f t="shared" si="31"/>
        <v>13</v>
      </c>
      <c r="X88" s="253">
        <f t="shared" si="31"/>
        <v>13</v>
      </c>
      <c r="Y88" s="253">
        <f t="shared" ref="Y88" si="32">Y77</f>
        <v>13</v>
      </c>
      <c r="Z88" s="253">
        <f t="shared" ref="Z88:AA88" si="33">Z77</f>
        <v>13</v>
      </c>
      <c r="AA88" s="253">
        <f t="shared" si="33"/>
        <v>13</v>
      </c>
      <c r="AB88" s="253">
        <f t="shared" si="31"/>
        <v>13</v>
      </c>
      <c r="AC88" s="253">
        <f t="shared" si="31"/>
        <v>13</v>
      </c>
      <c r="AD88" s="253">
        <f t="shared" si="31"/>
        <v>13</v>
      </c>
      <c r="AE88" s="253">
        <f t="shared" ref="AE88" si="34">AE77</f>
        <v>13</v>
      </c>
      <c r="AF88" s="76"/>
      <c r="AG88" s="76"/>
      <c r="AH88" s="76"/>
      <c r="AI88" s="97">
        <v>1</v>
      </c>
      <c r="AJ88" s="97">
        <v>1</v>
      </c>
      <c r="AK88" s="73"/>
      <c r="AL88" s="57"/>
      <c r="AM88" s="45"/>
      <c r="AN88" s="45"/>
      <c r="AO88" s="45"/>
    </row>
    <row r="89" spans="1:41" hidden="1" outlineLevel="2" x14ac:dyDescent="0.25">
      <c r="A89" s="45"/>
      <c r="B89" s="54"/>
      <c r="C89" s="47">
        <f t="shared" si="16"/>
        <v>3</v>
      </c>
      <c r="D89" s="73"/>
      <c r="E89" s="70"/>
      <c r="F89" s="70"/>
      <c r="G89" s="73"/>
      <c r="H89" s="76" t="s">
        <v>478</v>
      </c>
      <c r="I89" s="96" t="s">
        <v>474</v>
      </c>
      <c r="J89" s="96"/>
      <c r="K89" s="76"/>
      <c r="L89" s="76"/>
      <c r="M89" s="76"/>
      <c r="N89" s="76"/>
      <c r="O89" s="76"/>
      <c r="P89" s="76"/>
      <c r="Q89" s="76"/>
      <c r="R89" s="76"/>
      <c r="S89" s="76"/>
      <c r="T89" s="76"/>
      <c r="U89" s="97">
        <v>10</v>
      </c>
      <c r="V89" s="97">
        <v>10</v>
      </c>
      <c r="W89" s="97">
        <v>10</v>
      </c>
      <c r="X89" s="97">
        <v>10</v>
      </c>
      <c r="Y89" s="97">
        <v>10</v>
      </c>
      <c r="Z89" s="97">
        <v>10</v>
      </c>
      <c r="AA89" s="97">
        <v>10</v>
      </c>
      <c r="AB89" s="97">
        <v>10</v>
      </c>
      <c r="AC89" s="97">
        <v>10</v>
      </c>
      <c r="AD89" s="97">
        <v>10</v>
      </c>
      <c r="AE89" s="97">
        <v>10</v>
      </c>
      <c r="AF89" s="76"/>
      <c r="AG89" s="76"/>
      <c r="AH89" s="76"/>
      <c r="AI89" s="97">
        <v>1</v>
      </c>
      <c r="AJ89" s="97">
        <v>1</v>
      </c>
      <c r="AK89" s="73"/>
      <c r="AL89" s="57"/>
      <c r="AM89" s="45"/>
      <c r="AN89" s="45"/>
      <c r="AO89" s="45"/>
    </row>
    <row r="90" spans="1:41" hidden="1" outlineLevel="2" x14ac:dyDescent="0.25">
      <c r="A90" s="45"/>
      <c r="B90" s="54"/>
      <c r="C90" s="47">
        <f t="shared" si="16"/>
        <v>3</v>
      </c>
      <c r="D90" s="73"/>
      <c r="E90" s="70"/>
      <c r="F90" s="70"/>
      <c r="G90" s="73"/>
      <c r="H90" s="76" t="s">
        <v>479</v>
      </c>
      <c r="I90" s="96" t="s">
        <v>474</v>
      </c>
      <c r="J90" s="96"/>
      <c r="K90" s="76"/>
      <c r="L90" s="76"/>
      <c r="M90" s="76"/>
      <c r="N90" s="76"/>
      <c r="O90" s="76"/>
      <c r="P90" s="76"/>
      <c r="Q90" s="76"/>
      <c r="R90" s="76"/>
      <c r="S90" s="76"/>
      <c r="T90" s="76"/>
      <c r="U90" s="97">
        <v>10</v>
      </c>
      <c r="V90" s="97">
        <v>10</v>
      </c>
      <c r="W90" s="97">
        <v>10</v>
      </c>
      <c r="X90" s="97">
        <v>10</v>
      </c>
      <c r="Y90" s="97">
        <v>10</v>
      </c>
      <c r="Z90" s="97">
        <v>10</v>
      </c>
      <c r="AA90" s="97">
        <v>10</v>
      </c>
      <c r="AB90" s="97">
        <v>10</v>
      </c>
      <c r="AC90" s="97">
        <v>10</v>
      </c>
      <c r="AD90" s="97">
        <v>10</v>
      </c>
      <c r="AE90" s="97">
        <v>10</v>
      </c>
      <c r="AF90" s="76"/>
      <c r="AG90" s="76"/>
      <c r="AH90" s="76"/>
      <c r="AI90" s="97">
        <v>1</v>
      </c>
      <c r="AJ90" s="97">
        <v>1</v>
      </c>
      <c r="AK90" s="73"/>
      <c r="AL90" s="57"/>
      <c r="AM90" s="45"/>
      <c r="AN90" s="45"/>
      <c r="AO90" s="45"/>
    </row>
    <row r="91" spans="1:41" hidden="1" outlineLevel="2" x14ac:dyDescent="0.25">
      <c r="A91" s="45"/>
      <c r="B91" s="54"/>
      <c r="C91" s="47">
        <f t="shared" si="16"/>
        <v>3</v>
      </c>
      <c r="D91" s="73"/>
      <c r="E91" s="70"/>
      <c r="F91" s="70"/>
      <c r="G91" s="73"/>
      <c r="H91" s="76" t="s">
        <v>480</v>
      </c>
      <c r="I91" s="96" t="s">
        <v>474</v>
      </c>
      <c r="J91" s="96"/>
      <c r="K91" s="76"/>
      <c r="L91" s="76"/>
      <c r="M91" s="76"/>
      <c r="N91" s="76"/>
      <c r="O91" s="76"/>
      <c r="P91" s="76"/>
      <c r="Q91" s="76"/>
      <c r="R91" s="76"/>
      <c r="S91" s="76"/>
      <c r="T91" s="76"/>
      <c r="U91" s="97">
        <v>5</v>
      </c>
      <c r="V91" s="97">
        <v>5</v>
      </c>
      <c r="W91" s="97">
        <v>5</v>
      </c>
      <c r="X91" s="97">
        <v>5</v>
      </c>
      <c r="Y91" s="97">
        <v>5</v>
      </c>
      <c r="Z91" s="97">
        <v>5</v>
      </c>
      <c r="AA91" s="97">
        <v>5</v>
      </c>
      <c r="AB91" s="97">
        <v>5</v>
      </c>
      <c r="AC91" s="97">
        <v>5</v>
      </c>
      <c r="AD91" s="97">
        <v>5</v>
      </c>
      <c r="AE91" s="97">
        <v>5</v>
      </c>
      <c r="AF91" s="76"/>
      <c r="AG91" s="76"/>
      <c r="AH91" s="76"/>
      <c r="AI91" s="97">
        <v>1</v>
      </c>
      <c r="AJ91" s="97">
        <v>1</v>
      </c>
      <c r="AK91" s="73"/>
      <c r="AL91" s="57"/>
      <c r="AM91" s="45"/>
      <c r="AN91" s="45"/>
      <c r="AO91" s="45"/>
    </row>
    <row r="92" spans="1:41" hidden="1" outlineLevel="2" x14ac:dyDescent="0.25">
      <c r="A92" s="45"/>
      <c r="B92" s="54"/>
      <c r="C92" s="47">
        <f t="shared" si="16"/>
        <v>3</v>
      </c>
      <c r="D92" s="73"/>
      <c r="E92" s="70"/>
      <c r="F92" s="70"/>
      <c r="G92" s="73"/>
      <c r="H92" s="76" t="s">
        <v>2268</v>
      </c>
      <c r="I92" s="96" t="s">
        <v>474</v>
      </c>
      <c r="J92" s="96"/>
      <c r="K92" s="76"/>
      <c r="L92" s="76"/>
      <c r="M92" s="76"/>
      <c r="N92" s="76"/>
      <c r="O92" s="76"/>
      <c r="P92" s="76"/>
      <c r="Q92" s="76"/>
      <c r="R92" s="76"/>
      <c r="S92" s="76"/>
      <c r="T92" s="76"/>
      <c r="U92" s="97">
        <v>24</v>
      </c>
      <c r="V92" s="97">
        <v>24</v>
      </c>
      <c r="W92" s="97">
        <v>24</v>
      </c>
      <c r="X92" s="97">
        <v>24</v>
      </c>
      <c r="Y92" s="97">
        <v>24</v>
      </c>
      <c r="Z92" s="97">
        <v>24</v>
      </c>
      <c r="AA92" s="97">
        <v>24</v>
      </c>
      <c r="AB92" s="97">
        <v>24</v>
      </c>
      <c r="AC92" s="97">
        <v>24</v>
      </c>
      <c r="AD92" s="97">
        <v>24</v>
      </c>
      <c r="AE92" s="97">
        <v>24</v>
      </c>
      <c r="AF92" s="76"/>
      <c r="AG92" s="76"/>
      <c r="AH92" s="76"/>
      <c r="AI92" s="97">
        <v>1</v>
      </c>
      <c r="AJ92" s="97">
        <v>1</v>
      </c>
      <c r="AK92" s="73"/>
      <c r="AL92" s="57"/>
      <c r="AM92" s="45"/>
      <c r="AN92" s="45"/>
      <c r="AO92" s="45"/>
    </row>
    <row r="93" spans="1:41" hidden="1" outlineLevel="2" x14ac:dyDescent="0.25">
      <c r="A93" s="45"/>
      <c r="B93" s="54"/>
      <c r="C93" s="47">
        <f t="shared" si="16"/>
        <v>3</v>
      </c>
      <c r="D93" s="73"/>
      <c r="E93" s="70"/>
      <c r="F93" s="70"/>
      <c r="G93" s="73"/>
      <c r="H93" s="76" t="s">
        <v>481</v>
      </c>
      <c r="I93" s="96" t="s">
        <v>90</v>
      </c>
      <c r="J93" s="96"/>
      <c r="K93" s="76"/>
      <c r="L93" s="76"/>
      <c r="M93" s="76"/>
      <c r="N93" s="76"/>
      <c r="O93" s="76"/>
      <c r="P93" s="76"/>
      <c r="Q93" s="76"/>
      <c r="R93" s="76"/>
      <c r="S93" s="76"/>
      <c r="T93" s="76"/>
      <c r="U93" s="254">
        <v>-2.5000000000000001E-2</v>
      </c>
      <c r="V93" s="254">
        <v>-2.5000000000000001E-2</v>
      </c>
      <c r="W93" s="254">
        <v>-2.5000000000000001E-2</v>
      </c>
      <c r="X93" s="254">
        <v>-2.5000000000000001E-2</v>
      </c>
      <c r="Y93" s="254">
        <v>-2.5000000000000001E-2</v>
      </c>
      <c r="Z93" s="254">
        <v>-2.5000000000000001E-2</v>
      </c>
      <c r="AA93" s="254">
        <v>-2.5000000000000001E-2</v>
      </c>
      <c r="AB93" s="254">
        <v>0</v>
      </c>
      <c r="AC93" s="254">
        <v>-5.0000000000000001E-3</v>
      </c>
      <c r="AD93" s="254">
        <v>1.4999999999999999E-2</v>
      </c>
      <c r="AE93" s="254">
        <v>0</v>
      </c>
      <c r="AF93" s="76"/>
      <c r="AG93" s="97" t="s">
        <v>482</v>
      </c>
      <c r="AH93" s="76"/>
      <c r="AI93" s="97">
        <v>1</v>
      </c>
      <c r="AJ93" s="97">
        <v>1</v>
      </c>
      <c r="AK93" s="73"/>
      <c r="AL93" s="57"/>
      <c r="AM93" s="45"/>
      <c r="AN93" s="45"/>
      <c r="AO93" s="45"/>
    </row>
    <row r="94" spans="1:41" hidden="1" outlineLevel="2" x14ac:dyDescent="0.25">
      <c r="A94" s="45"/>
      <c r="B94" s="54"/>
      <c r="C94" s="47">
        <f t="shared" si="16"/>
        <v>3</v>
      </c>
      <c r="D94" s="73"/>
      <c r="E94" s="70"/>
      <c r="F94" s="70"/>
      <c r="G94" s="73"/>
      <c r="H94" s="76"/>
      <c r="I94" s="96"/>
      <c r="J94" s="9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3"/>
      <c r="AL94" s="57"/>
      <c r="AM94" s="45"/>
      <c r="AN94" s="45"/>
      <c r="AO94" s="45"/>
    </row>
    <row r="95" spans="1:41" outlineLevel="1" collapsed="1" x14ac:dyDescent="0.25">
      <c r="A95" s="45"/>
      <c r="B95" s="54"/>
      <c r="C95" s="47">
        <f t="shared" si="16"/>
        <v>3</v>
      </c>
      <c r="D95" s="73"/>
      <c r="E95" s="70"/>
      <c r="F95" s="70"/>
      <c r="G95" s="73"/>
      <c r="H95" s="246" t="s">
        <v>3821</v>
      </c>
      <c r="I95" s="96"/>
      <c r="J95" s="9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3"/>
      <c r="AL95" s="57"/>
      <c r="AM95" s="45"/>
      <c r="AN95" s="45"/>
      <c r="AO95" s="45"/>
    </row>
    <row r="96" spans="1:41" hidden="1" outlineLevel="2" x14ac:dyDescent="0.25">
      <c r="A96" s="45"/>
      <c r="B96" s="54"/>
      <c r="C96" s="47">
        <f t="shared" si="16"/>
        <v>3</v>
      </c>
      <c r="D96" s="73"/>
      <c r="E96" s="70"/>
      <c r="F96" s="70"/>
      <c r="G96" s="73"/>
      <c r="H96" s="129" t="s">
        <v>483</v>
      </c>
      <c r="I96" s="96" t="s">
        <v>2215</v>
      </c>
      <c r="J96" s="96"/>
      <c r="K96" s="76"/>
      <c r="L96" s="76"/>
      <c r="M96" s="76"/>
      <c r="N96" s="76"/>
      <c r="O96" s="76"/>
      <c r="P96" s="76"/>
      <c r="Q96" s="76"/>
      <c r="R96" s="76"/>
      <c r="S96" s="76"/>
      <c r="T96" s="76"/>
      <c r="U96" s="115">
        <v>0.45</v>
      </c>
      <c r="V96" s="115">
        <v>0.45</v>
      </c>
      <c r="W96" s="115">
        <v>0.45</v>
      </c>
      <c r="X96" s="115">
        <v>0.45</v>
      </c>
      <c r="Y96" s="115">
        <v>0.45</v>
      </c>
      <c r="Z96" s="115">
        <v>0.45</v>
      </c>
      <c r="AA96" s="115">
        <v>0.45</v>
      </c>
      <c r="AB96" s="302">
        <f t="shared" ref="AB96:AE99" si="35">AA96</f>
        <v>0.45</v>
      </c>
      <c r="AC96" s="302">
        <f t="shared" si="35"/>
        <v>0.45</v>
      </c>
      <c r="AD96" s="302">
        <f t="shared" si="35"/>
        <v>0.45</v>
      </c>
      <c r="AE96" s="302">
        <f t="shared" si="35"/>
        <v>0.45</v>
      </c>
      <c r="AF96" s="76"/>
      <c r="AG96" s="76"/>
      <c r="AH96" s="76"/>
      <c r="AI96" s="97">
        <v>1</v>
      </c>
      <c r="AJ96" s="97">
        <v>1</v>
      </c>
      <c r="AK96" s="73"/>
      <c r="AL96" s="57"/>
      <c r="AM96" s="45"/>
      <c r="AN96" s="45"/>
      <c r="AO96" s="45"/>
    </row>
    <row r="97" spans="1:41" hidden="1" outlineLevel="2" x14ac:dyDescent="0.25">
      <c r="A97" s="45"/>
      <c r="B97" s="54"/>
      <c r="C97" s="47">
        <f t="shared" si="16"/>
        <v>3</v>
      </c>
      <c r="D97" s="73"/>
      <c r="E97" s="70"/>
      <c r="F97" s="70"/>
      <c r="G97" s="73"/>
      <c r="H97" s="129" t="s">
        <v>484</v>
      </c>
      <c r="I97" s="96" t="s">
        <v>2216</v>
      </c>
      <c r="J97" s="96"/>
      <c r="K97" s="76"/>
      <c r="L97" s="76"/>
      <c r="M97" s="76"/>
      <c r="N97" s="76"/>
      <c r="O97" s="76"/>
      <c r="P97" s="76"/>
      <c r="Q97" s="76"/>
      <c r="R97" s="76"/>
      <c r="S97" s="76"/>
      <c r="T97" s="76"/>
      <c r="U97" s="115">
        <v>0.15</v>
      </c>
      <c r="V97" s="115">
        <v>0.15</v>
      </c>
      <c r="W97" s="115">
        <v>0.15</v>
      </c>
      <c r="X97" s="115">
        <v>0.15</v>
      </c>
      <c r="Y97" s="115">
        <v>0.15</v>
      </c>
      <c r="Z97" s="115">
        <v>0.15</v>
      </c>
      <c r="AA97" s="115">
        <v>0.15</v>
      </c>
      <c r="AB97" s="302">
        <f t="shared" si="35"/>
        <v>0.15</v>
      </c>
      <c r="AC97" s="302">
        <f t="shared" si="35"/>
        <v>0.15</v>
      </c>
      <c r="AD97" s="302">
        <f t="shared" si="35"/>
        <v>0.15</v>
      </c>
      <c r="AE97" s="302">
        <f t="shared" si="35"/>
        <v>0.15</v>
      </c>
      <c r="AF97" s="76"/>
      <c r="AG97" s="76"/>
      <c r="AH97" s="76"/>
      <c r="AI97" s="97">
        <v>1</v>
      </c>
      <c r="AJ97" s="97">
        <v>1</v>
      </c>
      <c r="AK97" s="73"/>
      <c r="AL97" s="57"/>
      <c r="AM97" s="45"/>
      <c r="AN97" s="45"/>
      <c r="AO97" s="45"/>
    </row>
    <row r="98" spans="1:41" hidden="1" outlineLevel="2" x14ac:dyDescent="0.25">
      <c r="A98" s="45"/>
      <c r="B98" s="54"/>
      <c r="C98" s="47">
        <f t="shared" si="16"/>
        <v>3</v>
      </c>
      <c r="D98" s="73"/>
      <c r="E98" s="70"/>
      <c r="F98" s="70"/>
      <c r="G98" s="73"/>
      <c r="H98" s="129" t="s">
        <v>485</v>
      </c>
      <c r="I98" s="96"/>
      <c r="J98" s="96"/>
      <c r="K98" s="76"/>
      <c r="L98" s="76"/>
      <c r="M98" s="76"/>
      <c r="N98" s="76"/>
      <c r="O98" s="76"/>
      <c r="P98" s="76"/>
      <c r="Q98" s="76"/>
      <c r="R98" s="76"/>
      <c r="S98" s="76"/>
      <c r="T98" s="76"/>
      <c r="U98" s="97">
        <v>17</v>
      </c>
      <c r="V98" s="97">
        <v>19</v>
      </c>
      <c r="W98" s="97">
        <v>17</v>
      </c>
      <c r="X98" s="97">
        <v>19</v>
      </c>
      <c r="Y98" s="97">
        <v>19</v>
      </c>
      <c r="Z98" s="97">
        <v>19</v>
      </c>
      <c r="AA98" s="97">
        <v>19</v>
      </c>
      <c r="AB98" s="255">
        <f t="shared" si="35"/>
        <v>19</v>
      </c>
      <c r="AC98" s="255">
        <f t="shared" si="35"/>
        <v>19</v>
      </c>
      <c r="AD98" s="255">
        <f t="shared" si="35"/>
        <v>19</v>
      </c>
      <c r="AE98" s="255">
        <f t="shared" si="35"/>
        <v>19</v>
      </c>
      <c r="AF98" s="76"/>
      <c r="AG98" s="76"/>
      <c r="AH98" s="76"/>
      <c r="AI98" s="97">
        <v>1</v>
      </c>
      <c r="AJ98" s="97">
        <v>1</v>
      </c>
      <c r="AK98" s="73"/>
      <c r="AL98" s="57"/>
      <c r="AM98" s="45"/>
      <c r="AN98" s="45"/>
      <c r="AO98" s="45"/>
    </row>
    <row r="99" spans="1:41" hidden="1" outlineLevel="2" x14ac:dyDescent="0.25">
      <c r="A99" s="45"/>
      <c r="B99" s="54"/>
      <c r="C99" s="47">
        <f t="shared" si="16"/>
        <v>3</v>
      </c>
      <c r="D99" s="73"/>
      <c r="E99" s="70"/>
      <c r="F99" s="70"/>
      <c r="G99" s="73"/>
      <c r="H99" s="129" t="s">
        <v>486</v>
      </c>
      <c r="I99" s="96" t="s">
        <v>460</v>
      </c>
      <c r="J99" s="96"/>
      <c r="K99" s="76"/>
      <c r="L99" s="76"/>
      <c r="M99" s="76"/>
      <c r="N99" s="76"/>
      <c r="O99" s="76"/>
      <c r="P99" s="76"/>
      <c r="Q99" s="76"/>
      <c r="R99" s="76"/>
      <c r="S99" s="76"/>
      <c r="T99" s="76"/>
      <c r="U99" s="97">
        <v>2.5</v>
      </c>
      <c r="V99" s="97">
        <v>2.5</v>
      </c>
      <c r="W99" s="97">
        <v>2.5</v>
      </c>
      <c r="X99" s="97">
        <v>2.5</v>
      </c>
      <c r="Y99" s="97">
        <v>2.5</v>
      </c>
      <c r="Z99" s="97">
        <v>2.5</v>
      </c>
      <c r="AA99" s="97">
        <v>2.5</v>
      </c>
      <c r="AB99" s="255">
        <f t="shared" si="35"/>
        <v>2.5</v>
      </c>
      <c r="AC99" s="255">
        <f t="shared" si="35"/>
        <v>2.5</v>
      </c>
      <c r="AD99" s="255">
        <f t="shared" si="35"/>
        <v>2.5</v>
      </c>
      <c r="AE99" s="255">
        <f t="shared" si="35"/>
        <v>2.5</v>
      </c>
      <c r="AF99" s="76"/>
      <c r="AG99" s="76"/>
      <c r="AH99" s="76"/>
      <c r="AI99" s="97">
        <v>1</v>
      </c>
      <c r="AJ99" s="97">
        <v>1</v>
      </c>
      <c r="AK99" s="73"/>
      <c r="AL99" s="57"/>
      <c r="AM99" s="45"/>
      <c r="AN99" s="45"/>
      <c r="AO99" s="45"/>
    </row>
    <row r="100" spans="1:41" hidden="1" outlineLevel="2" x14ac:dyDescent="0.25">
      <c r="A100" s="45"/>
      <c r="B100" s="54"/>
      <c r="C100" s="47">
        <f t="shared" si="16"/>
        <v>3</v>
      </c>
      <c r="D100" s="73"/>
      <c r="E100" s="70"/>
      <c r="F100" s="70"/>
      <c r="G100" s="73"/>
      <c r="H100" s="76"/>
      <c r="I100" s="96"/>
      <c r="J100" s="9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3"/>
      <c r="AL100" s="57"/>
      <c r="AM100" s="45"/>
      <c r="AN100" s="45"/>
      <c r="AO100" s="45"/>
    </row>
    <row r="101" spans="1:41" outlineLevel="1" collapsed="1" x14ac:dyDescent="0.25">
      <c r="A101" s="45"/>
      <c r="B101" s="54"/>
      <c r="C101" s="47">
        <f>INT($C$29)+1</f>
        <v>2</v>
      </c>
      <c r="D101" s="73"/>
      <c r="E101" s="70"/>
      <c r="F101" s="256" t="s">
        <v>487</v>
      </c>
      <c r="G101" s="73"/>
      <c r="H101" s="246" t="s">
        <v>488</v>
      </c>
      <c r="I101" s="96"/>
      <c r="J101" s="96"/>
      <c r="K101" s="79">
        <v>27</v>
      </c>
      <c r="L101" s="76"/>
      <c r="M101" s="79">
        <v>0</v>
      </c>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3"/>
      <c r="AL101" s="57"/>
      <c r="AM101" s="45"/>
      <c r="AN101" s="45"/>
      <c r="AO101" s="45"/>
    </row>
    <row r="102" spans="1:41" hidden="1" outlineLevel="3" x14ac:dyDescent="0.25">
      <c r="A102" s="45"/>
      <c r="B102" s="54"/>
      <c r="C102" s="47">
        <f>INT($C$29)+3</f>
        <v>4</v>
      </c>
      <c r="D102" s="73"/>
      <c r="E102" s="70" t="s">
        <v>489</v>
      </c>
      <c r="F102" s="70" t="s">
        <v>490</v>
      </c>
      <c r="G102" s="73"/>
      <c r="H102" s="76" t="s">
        <v>491</v>
      </c>
      <c r="I102" s="96"/>
      <c r="J102" s="9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v>1</v>
      </c>
      <c r="AJ102" s="76">
        <v>1</v>
      </c>
      <c r="AK102" s="73"/>
      <c r="AL102" s="57"/>
      <c r="AM102" s="45"/>
      <c r="AN102" s="45"/>
      <c r="AO102" s="45"/>
    </row>
    <row r="103" spans="1:41" hidden="1" outlineLevel="2" x14ac:dyDescent="0.25">
      <c r="A103" s="45"/>
      <c r="B103" s="54"/>
      <c r="C103" s="47">
        <f>INT($C$29)+2</f>
        <v>3</v>
      </c>
      <c r="D103" s="73"/>
      <c r="E103" s="70"/>
      <c r="F103" s="70" t="s">
        <v>492</v>
      </c>
      <c r="G103" s="73"/>
      <c r="H103" s="76" t="s">
        <v>3813</v>
      </c>
      <c r="I103" s="96" t="s">
        <v>493</v>
      </c>
      <c r="J103" s="96"/>
      <c r="K103" s="332">
        <v>1.5699999999999999E-2</v>
      </c>
      <c r="L103" s="332">
        <v>1.5699999999999999E-2</v>
      </c>
      <c r="M103" s="332">
        <v>1.15E-2</v>
      </c>
      <c r="N103" s="332">
        <v>1.15E-2</v>
      </c>
      <c r="O103" s="332">
        <v>1.15E-2</v>
      </c>
      <c r="P103" s="332">
        <v>1.15E-2</v>
      </c>
      <c r="Q103" s="76"/>
      <c r="R103" s="76" t="s">
        <v>494</v>
      </c>
      <c r="S103" s="76" t="s">
        <v>494</v>
      </c>
      <c r="T103" s="76" t="s">
        <v>3273</v>
      </c>
      <c r="U103" s="627">
        <f t="shared" ref="U103:AE106" si="36">INDEX($K103:$Q103,1,U$43)</f>
        <v>1.5699999999999999E-2</v>
      </c>
      <c r="V103" s="627">
        <f t="shared" si="36"/>
        <v>1.5699999999999999E-2</v>
      </c>
      <c r="W103" s="627">
        <f t="shared" si="36"/>
        <v>1.5699999999999999E-2</v>
      </c>
      <c r="X103" s="627">
        <f t="shared" si="36"/>
        <v>1.5699999999999999E-2</v>
      </c>
      <c r="Y103" s="627">
        <f t="shared" si="36"/>
        <v>1.5699999999999999E-2</v>
      </c>
      <c r="Z103" s="627">
        <f t="shared" si="36"/>
        <v>1.5699999999999999E-2</v>
      </c>
      <c r="AA103" s="627">
        <f t="shared" si="36"/>
        <v>1.5699999999999999E-2</v>
      </c>
      <c r="AB103" s="627">
        <f t="shared" si="36"/>
        <v>1.5699999999999999E-2</v>
      </c>
      <c r="AC103" s="627">
        <f t="shared" si="36"/>
        <v>1.5699999999999999E-2</v>
      </c>
      <c r="AD103" s="627">
        <f t="shared" si="36"/>
        <v>1.5699999999999999E-2</v>
      </c>
      <c r="AE103" s="627">
        <f t="shared" si="36"/>
        <v>1.5699999999999999E-2</v>
      </c>
      <c r="AF103" s="76"/>
      <c r="AG103" s="76"/>
      <c r="AH103" s="76"/>
      <c r="AI103" s="97">
        <v>1</v>
      </c>
      <c r="AJ103" s="97">
        <v>1</v>
      </c>
      <c r="AK103" s="73"/>
      <c r="AL103" s="57"/>
      <c r="AM103" s="45"/>
      <c r="AN103" s="45"/>
      <c r="AO103" s="45"/>
    </row>
    <row r="104" spans="1:41" hidden="1" outlineLevel="2" x14ac:dyDescent="0.25">
      <c r="A104" s="45"/>
      <c r="B104" s="54"/>
      <c r="C104" s="47">
        <f>INT($C$29)+2</f>
        <v>3</v>
      </c>
      <c r="D104" s="73"/>
      <c r="E104" s="70"/>
      <c r="F104" s="70" t="s">
        <v>495</v>
      </c>
      <c r="G104" s="73"/>
      <c r="H104" s="76" t="s">
        <v>496</v>
      </c>
      <c r="I104" s="96" t="s">
        <v>497</v>
      </c>
      <c r="J104" s="96"/>
      <c r="K104" s="97">
        <v>0.27</v>
      </c>
      <c r="L104" s="97">
        <v>0.27</v>
      </c>
      <c r="M104" s="97">
        <v>0.27</v>
      </c>
      <c r="N104" s="97">
        <v>0.27</v>
      </c>
      <c r="O104" s="97">
        <v>0.27</v>
      </c>
      <c r="P104" s="97">
        <v>0.27</v>
      </c>
      <c r="Q104" s="76"/>
      <c r="R104" s="76" t="s">
        <v>498</v>
      </c>
      <c r="S104" s="76" t="s">
        <v>498</v>
      </c>
      <c r="T104" s="76"/>
      <c r="U104" s="253">
        <f t="shared" si="36"/>
        <v>0.27</v>
      </c>
      <c r="V104" s="253">
        <f t="shared" si="36"/>
        <v>0.27</v>
      </c>
      <c r="W104" s="253">
        <f t="shared" si="36"/>
        <v>0.27</v>
      </c>
      <c r="X104" s="253">
        <f t="shared" si="36"/>
        <v>0.27</v>
      </c>
      <c r="Y104" s="253">
        <f t="shared" si="36"/>
        <v>0.27</v>
      </c>
      <c r="Z104" s="253">
        <f t="shared" si="36"/>
        <v>0.27</v>
      </c>
      <c r="AA104" s="253">
        <f t="shared" si="36"/>
        <v>0.27</v>
      </c>
      <c r="AB104" s="253">
        <f t="shared" si="36"/>
        <v>0.27</v>
      </c>
      <c r="AC104" s="253">
        <f t="shared" si="36"/>
        <v>0.27</v>
      </c>
      <c r="AD104" s="253">
        <f t="shared" si="36"/>
        <v>0.27</v>
      </c>
      <c r="AE104" s="253">
        <f t="shared" si="36"/>
        <v>0.27</v>
      </c>
      <c r="AF104" s="76"/>
      <c r="AG104" s="76"/>
      <c r="AH104" s="76"/>
      <c r="AI104" s="97">
        <v>1</v>
      </c>
      <c r="AJ104" s="97">
        <v>1</v>
      </c>
      <c r="AK104" s="73"/>
      <c r="AL104" s="57"/>
      <c r="AM104" s="45"/>
      <c r="AN104" s="45"/>
      <c r="AO104" s="45"/>
    </row>
    <row r="105" spans="1:41" hidden="1" outlineLevel="2" x14ac:dyDescent="0.25">
      <c r="A105" s="45"/>
      <c r="B105" s="54"/>
      <c r="C105" s="47">
        <f>INT($C$29)+2</f>
        <v>3</v>
      </c>
      <c r="D105" s="73"/>
      <c r="E105" s="70"/>
      <c r="F105" s="70" t="s">
        <v>499</v>
      </c>
      <c r="G105" s="73"/>
      <c r="H105" s="257" t="s">
        <v>500</v>
      </c>
      <c r="I105" s="96" t="s">
        <v>497</v>
      </c>
      <c r="J105" s="96"/>
      <c r="K105" s="97">
        <v>0.4</v>
      </c>
      <c r="L105" s="97">
        <v>0.4</v>
      </c>
      <c r="M105" s="97">
        <v>0.4</v>
      </c>
      <c r="N105" s="97">
        <v>0.4</v>
      </c>
      <c r="O105" s="97">
        <v>0.4</v>
      </c>
      <c r="P105" s="97">
        <v>0.4</v>
      </c>
      <c r="Q105" s="76"/>
      <c r="R105" s="76" t="s">
        <v>501</v>
      </c>
      <c r="S105" s="76" t="s">
        <v>501</v>
      </c>
      <c r="T105" s="76"/>
      <c r="U105" s="253">
        <f t="shared" si="36"/>
        <v>0.4</v>
      </c>
      <c r="V105" s="253">
        <f t="shared" si="36"/>
        <v>0.4</v>
      </c>
      <c r="W105" s="253">
        <f t="shared" si="36"/>
        <v>0.4</v>
      </c>
      <c r="X105" s="253">
        <f t="shared" si="36"/>
        <v>0.4</v>
      </c>
      <c r="Y105" s="253">
        <f t="shared" si="36"/>
        <v>0.4</v>
      </c>
      <c r="Z105" s="253">
        <f t="shared" si="36"/>
        <v>0.4</v>
      </c>
      <c r="AA105" s="253">
        <f t="shared" si="36"/>
        <v>0.4</v>
      </c>
      <c r="AB105" s="253">
        <f t="shared" si="36"/>
        <v>0.4</v>
      </c>
      <c r="AC105" s="253">
        <f t="shared" si="36"/>
        <v>0.4</v>
      </c>
      <c r="AD105" s="253">
        <f t="shared" si="36"/>
        <v>0.4</v>
      </c>
      <c r="AE105" s="253">
        <f t="shared" si="36"/>
        <v>0.4</v>
      </c>
      <c r="AF105" s="76"/>
      <c r="AG105" s="76"/>
      <c r="AH105" s="76"/>
      <c r="AI105" s="97">
        <v>1</v>
      </c>
      <c r="AJ105" s="97">
        <v>1</v>
      </c>
      <c r="AK105" s="73"/>
      <c r="AL105" s="57"/>
      <c r="AM105" s="45"/>
      <c r="AN105" s="45"/>
      <c r="AO105" s="45"/>
    </row>
    <row r="106" spans="1:41" hidden="1" outlineLevel="2" x14ac:dyDescent="0.25">
      <c r="A106" s="45"/>
      <c r="B106" s="54"/>
      <c r="C106" s="47">
        <f>INT($C$29)+2</f>
        <v>3</v>
      </c>
      <c r="D106" s="73"/>
      <c r="E106" s="70"/>
      <c r="F106" s="70" t="s">
        <v>502</v>
      </c>
      <c r="G106" s="73"/>
      <c r="H106" s="257" t="s">
        <v>503</v>
      </c>
      <c r="I106" s="96" t="s">
        <v>497</v>
      </c>
      <c r="J106" s="96"/>
      <c r="K106" s="97">
        <v>0.6</v>
      </c>
      <c r="L106" s="97">
        <v>0.6</v>
      </c>
      <c r="M106" s="97">
        <v>1</v>
      </c>
      <c r="N106" s="97">
        <v>1</v>
      </c>
      <c r="O106" s="97">
        <v>1</v>
      </c>
      <c r="P106" s="97">
        <v>1</v>
      </c>
      <c r="Q106" s="76"/>
      <c r="R106" s="76" t="s">
        <v>504</v>
      </c>
      <c r="S106" s="76" t="s">
        <v>505</v>
      </c>
      <c r="T106" s="76"/>
      <c r="U106" s="253">
        <f t="shared" si="36"/>
        <v>0.6</v>
      </c>
      <c r="V106" s="253">
        <f t="shared" si="36"/>
        <v>0.6</v>
      </c>
      <c r="W106" s="253">
        <f t="shared" si="36"/>
        <v>0.6</v>
      </c>
      <c r="X106" s="253">
        <f t="shared" si="36"/>
        <v>0.6</v>
      </c>
      <c r="Y106" s="253">
        <f t="shared" si="36"/>
        <v>0.6</v>
      </c>
      <c r="Z106" s="253">
        <f t="shared" si="36"/>
        <v>0.6</v>
      </c>
      <c r="AA106" s="253">
        <f t="shared" si="36"/>
        <v>0.6</v>
      </c>
      <c r="AB106" s="253">
        <f t="shared" si="36"/>
        <v>0.6</v>
      </c>
      <c r="AC106" s="253">
        <f t="shared" si="36"/>
        <v>0.6</v>
      </c>
      <c r="AD106" s="253">
        <f t="shared" si="36"/>
        <v>0.6</v>
      </c>
      <c r="AE106" s="253">
        <f t="shared" si="36"/>
        <v>0.6</v>
      </c>
      <c r="AF106" s="76"/>
      <c r="AG106" s="76"/>
      <c r="AH106" s="76"/>
      <c r="AI106" s="97">
        <v>1</v>
      </c>
      <c r="AJ106" s="97">
        <v>1</v>
      </c>
      <c r="AK106" s="73"/>
      <c r="AL106" s="57"/>
      <c r="AM106" s="45"/>
      <c r="AN106" s="45"/>
      <c r="AO106" s="45"/>
    </row>
    <row r="107" spans="1:41" hidden="1" outlineLevel="2" collapsed="1" x14ac:dyDescent="0.25">
      <c r="A107" s="45"/>
      <c r="B107" s="54"/>
      <c r="C107" s="47">
        <f>INT($C$29)+2</f>
        <v>3</v>
      </c>
      <c r="D107" s="73"/>
      <c r="E107" s="70"/>
      <c r="F107" s="70" t="s">
        <v>506</v>
      </c>
      <c r="G107" s="73"/>
      <c r="H107" s="76" t="s">
        <v>2749</v>
      </c>
      <c r="I107" s="96" t="s">
        <v>1701</v>
      </c>
      <c r="J107" s="96"/>
      <c r="K107" s="332">
        <v>0.15</v>
      </c>
      <c r="L107" s="332">
        <v>0.15</v>
      </c>
      <c r="M107" s="332">
        <v>0.15</v>
      </c>
      <c r="N107" s="332">
        <v>0.15</v>
      </c>
      <c r="O107" s="332">
        <v>0.15</v>
      </c>
      <c r="P107" s="332">
        <v>0.15</v>
      </c>
      <c r="Q107" s="76"/>
      <c r="R107" s="76" t="s">
        <v>507</v>
      </c>
      <c r="S107" s="76" t="s">
        <v>507</v>
      </c>
      <c r="T107" s="76"/>
      <c r="U107" s="266">
        <v>0.19</v>
      </c>
      <c r="V107" s="266">
        <v>0.19</v>
      </c>
      <c r="W107" s="266">
        <v>0.19</v>
      </c>
      <c r="X107" s="266">
        <v>0.19</v>
      </c>
      <c r="Y107" s="266">
        <v>0.19</v>
      </c>
      <c r="Z107" s="266">
        <v>0.19</v>
      </c>
      <c r="AA107" s="266">
        <v>0.19</v>
      </c>
      <c r="AB107" s="266">
        <v>0.25</v>
      </c>
      <c r="AC107" s="266">
        <v>0.25</v>
      </c>
      <c r="AD107" s="266">
        <v>0.25</v>
      </c>
      <c r="AE107" s="266">
        <v>0.25</v>
      </c>
      <c r="AF107" s="76"/>
      <c r="AG107" s="97" t="s">
        <v>2250</v>
      </c>
      <c r="AH107" s="76"/>
      <c r="AI107" s="97">
        <v>1</v>
      </c>
      <c r="AJ107" s="97">
        <v>1</v>
      </c>
      <c r="AK107" s="73"/>
      <c r="AL107" s="57"/>
      <c r="AM107" s="45"/>
      <c r="AN107" s="45"/>
      <c r="AO107" s="45"/>
    </row>
    <row r="108" spans="1:41" hidden="1" outlineLevel="3" x14ac:dyDescent="0.25">
      <c r="A108" s="45"/>
      <c r="B108" s="54"/>
      <c r="C108" s="47">
        <f t="shared" ref="C108:C128" si="37">INT($C$29)+3</f>
        <v>4</v>
      </c>
      <c r="D108" s="73"/>
      <c r="E108" s="70"/>
      <c r="F108" s="70" t="s">
        <v>508</v>
      </c>
      <c r="G108" s="73"/>
      <c r="H108" s="76" t="s">
        <v>509</v>
      </c>
      <c r="I108" s="96" t="s">
        <v>497</v>
      </c>
      <c r="J108" s="9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97">
        <v>1</v>
      </c>
      <c r="AJ108" s="97">
        <v>1</v>
      </c>
      <c r="AK108" s="73"/>
      <c r="AL108" s="57"/>
      <c r="AM108" s="45"/>
      <c r="AN108" s="45"/>
      <c r="AO108" s="45"/>
    </row>
    <row r="109" spans="1:41" hidden="1" outlineLevel="2" x14ac:dyDescent="0.25">
      <c r="A109" s="45"/>
      <c r="B109" s="54"/>
      <c r="C109" s="47">
        <f t="shared" si="37"/>
        <v>4</v>
      </c>
      <c r="D109" s="73"/>
      <c r="E109" s="70"/>
      <c r="F109" s="70" t="s">
        <v>510</v>
      </c>
      <c r="G109" s="73"/>
      <c r="H109" s="76" t="s">
        <v>511</v>
      </c>
      <c r="I109" s="96" t="s">
        <v>2212</v>
      </c>
      <c r="J109" s="96"/>
      <c r="K109" s="76"/>
      <c r="L109" s="76"/>
      <c r="M109" s="76"/>
      <c r="N109" s="76"/>
      <c r="O109" s="76"/>
      <c r="P109" s="76"/>
      <c r="Q109" s="76"/>
      <c r="R109" s="76"/>
      <c r="S109" s="76"/>
      <c r="T109" s="76"/>
      <c r="U109" s="97">
        <v>0.2</v>
      </c>
      <c r="V109" s="97">
        <v>0.25</v>
      </c>
      <c r="W109" s="97">
        <v>0.2</v>
      </c>
      <c r="X109" s="97">
        <v>0.25</v>
      </c>
      <c r="Y109" s="97">
        <v>0.25</v>
      </c>
      <c r="Z109" s="97">
        <v>0.25</v>
      </c>
      <c r="AA109" s="97">
        <v>0.25</v>
      </c>
      <c r="AB109" s="97">
        <v>0.3</v>
      </c>
      <c r="AC109" s="97">
        <v>0.3</v>
      </c>
      <c r="AD109" s="97">
        <v>0.3</v>
      </c>
      <c r="AE109" s="97">
        <v>0.3</v>
      </c>
      <c r="AF109" s="76"/>
      <c r="AG109" s="97" t="s">
        <v>458</v>
      </c>
      <c r="AH109" s="76"/>
      <c r="AI109" s="97">
        <v>1</v>
      </c>
      <c r="AJ109" s="97">
        <v>1</v>
      </c>
      <c r="AK109" s="73"/>
      <c r="AL109" s="57"/>
      <c r="AM109" s="45"/>
      <c r="AN109" s="45"/>
      <c r="AO109" s="45"/>
    </row>
    <row r="110" spans="1:41" hidden="1" outlineLevel="2" x14ac:dyDescent="0.25">
      <c r="A110" s="45"/>
      <c r="B110" s="54"/>
      <c r="C110" s="47">
        <f t="shared" si="37"/>
        <v>4</v>
      </c>
      <c r="D110" s="73"/>
      <c r="E110" s="70"/>
      <c r="F110" s="70" t="s">
        <v>2899</v>
      </c>
      <c r="G110" s="73"/>
      <c r="H110" s="76" t="s">
        <v>2900</v>
      </c>
      <c r="I110" s="96" t="s">
        <v>497</v>
      </c>
      <c r="J110" s="96"/>
      <c r="K110" s="76"/>
      <c r="L110" s="76"/>
      <c r="M110" s="76"/>
      <c r="N110" s="76"/>
      <c r="O110" s="76"/>
      <c r="P110" s="76"/>
      <c r="Q110" s="76"/>
      <c r="R110" s="76"/>
      <c r="S110" s="76"/>
      <c r="T110" s="76"/>
      <c r="U110" s="97">
        <v>2.5</v>
      </c>
      <c r="V110" s="97">
        <v>2.5</v>
      </c>
      <c r="W110" s="97">
        <v>2.5</v>
      </c>
      <c r="X110" s="97">
        <v>2.5</v>
      </c>
      <c r="Y110" s="97">
        <v>2.5</v>
      </c>
      <c r="Z110" s="97">
        <v>2.5</v>
      </c>
      <c r="AA110" s="97">
        <v>2.5</v>
      </c>
      <c r="AB110" s="97">
        <v>2.5</v>
      </c>
      <c r="AC110" s="97">
        <v>2.5</v>
      </c>
      <c r="AD110" s="97">
        <v>2.5</v>
      </c>
      <c r="AE110" s="97">
        <v>2.5</v>
      </c>
      <c r="AF110" s="76"/>
      <c r="AG110" s="97" t="s">
        <v>3842</v>
      </c>
      <c r="AH110" s="76"/>
      <c r="AI110" s="97">
        <v>1</v>
      </c>
      <c r="AJ110" s="97">
        <v>1</v>
      </c>
      <c r="AK110" s="73"/>
      <c r="AL110" s="57"/>
      <c r="AM110" s="45"/>
      <c r="AN110" s="45"/>
      <c r="AO110" s="45"/>
    </row>
    <row r="111" spans="1:41" hidden="1" outlineLevel="2" x14ac:dyDescent="0.25">
      <c r="A111" s="45"/>
      <c r="B111" s="54"/>
      <c r="C111" s="47">
        <f t="shared" si="37"/>
        <v>4</v>
      </c>
      <c r="D111" s="73"/>
      <c r="E111" s="70"/>
      <c r="F111" s="70" t="s">
        <v>2902</v>
      </c>
      <c r="G111" s="73" t="s">
        <v>131</v>
      </c>
      <c r="H111" s="76" t="s">
        <v>2903</v>
      </c>
      <c r="I111" s="96" t="s">
        <v>497</v>
      </c>
      <c r="J111" s="96"/>
      <c r="K111" s="76"/>
      <c r="L111" s="76"/>
      <c r="M111" s="76"/>
      <c r="N111" s="76"/>
      <c r="O111" s="76"/>
      <c r="P111" s="76"/>
      <c r="Q111" s="76"/>
      <c r="R111" s="76"/>
      <c r="S111" s="76"/>
      <c r="T111" s="76"/>
      <c r="U111" s="97">
        <v>0.06</v>
      </c>
      <c r="V111" s="97">
        <v>0.06</v>
      </c>
      <c r="W111" s="97">
        <v>0.06</v>
      </c>
      <c r="X111" s="97">
        <v>0.06</v>
      </c>
      <c r="Y111" s="97">
        <v>0.06</v>
      </c>
      <c r="Z111" s="97">
        <v>0.06</v>
      </c>
      <c r="AA111" s="97">
        <v>0.06</v>
      </c>
      <c r="AB111" s="97">
        <v>0.06</v>
      </c>
      <c r="AC111" s="97">
        <v>0.06</v>
      </c>
      <c r="AD111" s="97">
        <v>0.06</v>
      </c>
      <c r="AE111" s="97">
        <v>0.06</v>
      </c>
      <c r="AF111" s="76"/>
      <c r="AG111" s="97" t="s">
        <v>2901</v>
      </c>
      <c r="AH111" s="76"/>
      <c r="AI111" s="97">
        <v>1</v>
      </c>
      <c r="AJ111" s="97">
        <v>1</v>
      </c>
      <c r="AK111" s="73"/>
      <c r="AL111" s="57"/>
      <c r="AM111" s="45"/>
      <c r="AN111" s="45"/>
      <c r="AO111" s="45"/>
    </row>
    <row r="112" spans="1:41" hidden="1" outlineLevel="2" x14ac:dyDescent="0.25">
      <c r="A112" s="45"/>
      <c r="B112" s="54"/>
      <c r="C112" s="47">
        <f t="shared" si="37"/>
        <v>4</v>
      </c>
      <c r="D112" s="73"/>
      <c r="E112" s="70"/>
      <c r="F112" s="70" t="s">
        <v>2904</v>
      </c>
      <c r="G112" s="73" t="s">
        <v>131</v>
      </c>
      <c r="H112" s="76" t="s">
        <v>2905</v>
      </c>
      <c r="I112" s="96" t="s">
        <v>497</v>
      </c>
      <c r="J112" s="96"/>
      <c r="K112" s="76"/>
      <c r="L112" s="76"/>
      <c r="M112" s="76"/>
      <c r="N112" s="76"/>
      <c r="O112" s="76"/>
      <c r="P112" s="76"/>
      <c r="Q112" s="76"/>
      <c r="R112" s="76"/>
      <c r="S112" s="76"/>
      <c r="T112" s="76"/>
      <c r="U112" s="97">
        <v>2.4870000000000001</v>
      </c>
      <c r="V112" s="97">
        <v>2.4870000000000001</v>
      </c>
      <c r="W112" s="97">
        <v>2.4870000000000001</v>
      </c>
      <c r="X112" s="97">
        <v>2.4870000000000001</v>
      </c>
      <c r="Y112" s="97">
        <v>2.4870000000000001</v>
      </c>
      <c r="Z112" s="97">
        <v>2.4870000000000001</v>
      </c>
      <c r="AA112" s="97">
        <v>2.4870000000000001</v>
      </c>
      <c r="AB112" s="97">
        <v>2.4870000000000001</v>
      </c>
      <c r="AC112" s="97">
        <v>2.4870000000000001</v>
      </c>
      <c r="AD112" s="97">
        <v>2.4870000000000001</v>
      </c>
      <c r="AE112" s="97">
        <v>2.4870000000000001</v>
      </c>
      <c r="AF112" s="76"/>
      <c r="AG112" s="97" t="s">
        <v>2906</v>
      </c>
      <c r="AH112" s="76"/>
      <c r="AI112" s="97">
        <v>1</v>
      </c>
      <c r="AJ112" s="97">
        <v>1</v>
      </c>
      <c r="AK112" s="73"/>
      <c r="AL112" s="57"/>
      <c r="AM112" s="45"/>
      <c r="AN112" s="45"/>
      <c r="AO112" s="45"/>
    </row>
    <row r="113" spans="1:41" hidden="1" outlineLevel="2" x14ac:dyDescent="0.25">
      <c r="A113" s="45"/>
      <c r="B113" s="54"/>
      <c r="C113" s="47">
        <f t="shared" si="37"/>
        <v>4</v>
      </c>
      <c r="D113" s="73"/>
      <c r="E113" s="70"/>
      <c r="F113" s="70" t="s">
        <v>2907</v>
      </c>
      <c r="G113" s="73" t="s">
        <v>131</v>
      </c>
      <c r="H113" s="76" t="s">
        <v>2908</v>
      </c>
      <c r="I113" s="96" t="s">
        <v>497</v>
      </c>
      <c r="J113" s="96"/>
      <c r="K113" s="76"/>
      <c r="L113" s="76"/>
      <c r="M113" s="76"/>
      <c r="N113" s="76"/>
      <c r="O113" s="76"/>
      <c r="P113" s="76"/>
      <c r="Q113" s="76"/>
      <c r="R113" s="76"/>
      <c r="S113" s="76"/>
      <c r="T113" s="76"/>
      <c r="U113" s="97">
        <v>-1.482</v>
      </c>
      <c r="V113" s="97">
        <v>-1.482</v>
      </c>
      <c r="W113" s="97">
        <v>-1.482</v>
      </c>
      <c r="X113" s="97">
        <v>-1.482</v>
      </c>
      <c r="Y113" s="97">
        <v>-1.482</v>
      </c>
      <c r="Z113" s="97">
        <v>-1.482</v>
      </c>
      <c r="AA113" s="97">
        <v>-1.482</v>
      </c>
      <c r="AB113" s="97">
        <v>-1.482</v>
      </c>
      <c r="AC113" s="97">
        <v>-1.482</v>
      </c>
      <c r="AD113" s="97">
        <v>-1.482</v>
      </c>
      <c r="AE113" s="97">
        <v>-1.482</v>
      </c>
      <c r="AF113" s="76"/>
      <c r="AG113" s="97"/>
      <c r="AH113" s="76"/>
      <c r="AI113" s="97">
        <v>1</v>
      </c>
      <c r="AJ113" s="97">
        <v>1</v>
      </c>
      <c r="AK113" s="73"/>
      <c r="AL113" s="57"/>
      <c r="AM113" s="45"/>
      <c r="AN113" s="45"/>
      <c r="AO113" s="45"/>
    </row>
    <row r="114" spans="1:41" hidden="1" outlineLevel="2" x14ac:dyDescent="0.25">
      <c r="A114" s="45"/>
      <c r="B114" s="54"/>
      <c r="C114" s="47">
        <f t="shared" si="37"/>
        <v>4</v>
      </c>
      <c r="D114" s="73"/>
      <c r="E114" s="70"/>
      <c r="F114" s="70" t="s">
        <v>2909</v>
      </c>
      <c r="G114" s="73" t="s">
        <v>131</v>
      </c>
      <c r="H114" s="76" t="s">
        <v>2910</v>
      </c>
      <c r="I114" s="96" t="s">
        <v>497</v>
      </c>
      <c r="J114" s="96"/>
      <c r="K114" s="76"/>
      <c r="L114" s="76"/>
      <c r="M114" s="76"/>
      <c r="N114" s="76"/>
      <c r="O114" s="76"/>
      <c r="P114" s="76"/>
      <c r="Q114" s="76"/>
      <c r="R114" s="76"/>
      <c r="S114" s="76"/>
      <c r="T114" s="76"/>
      <c r="U114" s="97">
        <v>1E-3</v>
      </c>
      <c r="V114" s="97">
        <v>1E-3</v>
      </c>
      <c r="W114" s="97">
        <v>1E-3</v>
      </c>
      <c r="X114" s="97">
        <v>1E-3</v>
      </c>
      <c r="Y114" s="97">
        <v>1E-3</v>
      </c>
      <c r="Z114" s="97">
        <v>1E-3</v>
      </c>
      <c r="AA114" s="97">
        <v>1E-3</v>
      </c>
      <c r="AB114" s="97">
        <v>1E-3</v>
      </c>
      <c r="AC114" s="97">
        <v>1E-3</v>
      </c>
      <c r="AD114" s="97">
        <v>1E-3</v>
      </c>
      <c r="AE114" s="97">
        <v>1E-3</v>
      </c>
      <c r="AF114" s="76"/>
      <c r="AG114" s="97"/>
      <c r="AH114" s="76"/>
      <c r="AI114" s="97">
        <v>1</v>
      </c>
      <c r="AJ114" s="97">
        <v>1</v>
      </c>
      <c r="AK114" s="73"/>
      <c r="AL114" s="57"/>
      <c r="AM114" s="45"/>
      <c r="AN114" s="45"/>
      <c r="AO114" s="45"/>
    </row>
    <row r="115" spans="1:41" hidden="1" outlineLevel="2" x14ac:dyDescent="0.25">
      <c r="A115" s="45"/>
      <c r="B115" s="54"/>
      <c r="C115" s="47">
        <f t="shared" si="37"/>
        <v>4</v>
      </c>
      <c r="D115" s="73"/>
      <c r="E115" s="70"/>
      <c r="F115" s="70" t="s">
        <v>2911</v>
      </c>
      <c r="G115" s="73" t="s">
        <v>131</v>
      </c>
      <c r="H115" s="76" t="s">
        <v>2912</v>
      </c>
      <c r="I115" s="96" t="s">
        <v>497</v>
      </c>
      <c r="J115" s="96"/>
      <c r="K115" s="76"/>
      <c r="L115" s="76"/>
      <c r="M115" s="76"/>
      <c r="N115" s="76"/>
      <c r="O115" s="76"/>
      <c r="P115" s="76"/>
      <c r="Q115" s="76"/>
      <c r="R115" s="76"/>
      <c r="S115" s="76"/>
      <c r="T115" s="76"/>
      <c r="U115" s="97">
        <v>9.0999999999999998E-2</v>
      </c>
      <c r="V115" s="97">
        <v>9.0999999999999998E-2</v>
      </c>
      <c r="W115" s="97">
        <v>9.0999999999999998E-2</v>
      </c>
      <c r="X115" s="97">
        <v>9.0999999999999998E-2</v>
      </c>
      <c r="Y115" s="97">
        <v>9.0999999999999998E-2</v>
      </c>
      <c r="Z115" s="97">
        <v>9.0999999999999998E-2</v>
      </c>
      <c r="AA115" s="97">
        <v>9.0999999999999998E-2</v>
      </c>
      <c r="AB115" s="97">
        <v>9.0999999999999998E-2</v>
      </c>
      <c r="AC115" s="97">
        <v>9.0999999999999998E-2</v>
      </c>
      <c r="AD115" s="97">
        <v>9.0999999999999998E-2</v>
      </c>
      <c r="AE115" s="97">
        <v>9.0999999999999998E-2</v>
      </c>
      <c r="AF115" s="76"/>
      <c r="AG115" s="97"/>
      <c r="AH115" s="76"/>
      <c r="AI115" s="97">
        <v>1</v>
      </c>
      <c r="AJ115" s="97">
        <v>1</v>
      </c>
      <c r="AK115" s="73"/>
      <c r="AL115" s="57"/>
      <c r="AM115" s="45"/>
      <c r="AN115" s="45"/>
      <c r="AO115" s="45"/>
    </row>
    <row r="116" spans="1:41" hidden="1" outlineLevel="2" x14ac:dyDescent="0.25">
      <c r="A116" s="45"/>
      <c r="B116" s="54"/>
      <c r="C116" s="47">
        <f t="shared" si="37"/>
        <v>4</v>
      </c>
      <c r="D116" s="73"/>
      <c r="E116" s="70"/>
      <c r="F116" s="70" t="s">
        <v>2913</v>
      </c>
      <c r="G116" s="73" t="s">
        <v>131</v>
      </c>
      <c r="H116" s="76" t="s">
        <v>2914</v>
      </c>
      <c r="I116" s="96" t="s">
        <v>497</v>
      </c>
      <c r="J116" s="96"/>
      <c r="K116" s="76"/>
      <c r="L116" s="76"/>
      <c r="M116" s="76"/>
      <c r="N116" s="76"/>
      <c r="O116" s="76"/>
      <c r="P116" s="76"/>
      <c r="Q116" s="76"/>
      <c r="R116" s="76"/>
      <c r="S116" s="76"/>
      <c r="T116" s="76"/>
      <c r="U116" s="97">
        <v>0.106</v>
      </c>
      <c r="V116" s="97">
        <v>0.106</v>
      </c>
      <c r="W116" s="97">
        <v>0.106</v>
      </c>
      <c r="X116" s="97">
        <v>0.106</v>
      </c>
      <c r="Y116" s="97">
        <v>0.106</v>
      </c>
      <c r="Z116" s="97">
        <v>0.106</v>
      </c>
      <c r="AA116" s="97">
        <v>0.106</v>
      </c>
      <c r="AB116" s="97">
        <v>0.106</v>
      </c>
      <c r="AC116" s="97">
        <v>0.106</v>
      </c>
      <c r="AD116" s="97">
        <v>0.106</v>
      </c>
      <c r="AE116" s="97">
        <v>0.106</v>
      </c>
      <c r="AF116" s="76"/>
      <c r="AG116" s="97"/>
      <c r="AH116" s="76"/>
      <c r="AI116" s="97">
        <v>1</v>
      </c>
      <c r="AJ116" s="97">
        <v>1</v>
      </c>
      <c r="AK116" s="73"/>
      <c r="AL116" s="57"/>
      <c r="AM116" s="45"/>
      <c r="AN116" s="45"/>
      <c r="AO116" s="45"/>
    </row>
    <row r="117" spans="1:41" hidden="1" outlineLevel="2" x14ac:dyDescent="0.25">
      <c r="A117" s="45"/>
      <c r="B117" s="54"/>
      <c r="C117" s="47">
        <f t="shared" si="37"/>
        <v>4</v>
      </c>
      <c r="D117" s="73"/>
      <c r="E117" s="70"/>
      <c r="F117" s="70" t="s">
        <v>2915</v>
      </c>
      <c r="G117" s="73" t="s">
        <v>131</v>
      </c>
      <c r="H117" s="76" t="s">
        <v>2916</v>
      </c>
      <c r="I117" s="96" t="s">
        <v>497</v>
      </c>
      <c r="J117" s="96"/>
      <c r="K117" s="76"/>
      <c r="L117" s="76"/>
      <c r="M117" s="76"/>
      <c r="N117" s="76"/>
      <c r="O117" s="76"/>
      <c r="P117" s="76"/>
      <c r="Q117" s="76"/>
      <c r="R117" s="76"/>
      <c r="S117" s="76"/>
      <c r="T117" s="76"/>
      <c r="U117" s="97">
        <v>-4.0000000000000001E-3</v>
      </c>
      <c r="V117" s="97">
        <v>-4.0000000000000001E-3</v>
      </c>
      <c r="W117" s="97">
        <v>-4.0000000000000001E-3</v>
      </c>
      <c r="X117" s="97">
        <v>-4.0000000000000001E-3</v>
      </c>
      <c r="Y117" s="97">
        <v>-4.0000000000000001E-3</v>
      </c>
      <c r="Z117" s="97">
        <v>-4.0000000000000001E-3</v>
      </c>
      <c r="AA117" s="97">
        <v>-4.0000000000000001E-3</v>
      </c>
      <c r="AB117" s="97">
        <v>-4.0000000000000001E-3</v>
      </c>
      <c r="AC117" s="97">
        <v>-4.0000000000000001E-3</v>
      </c>
      <c r="AD117" s="97">
        <v>-4.0000000000000001E-3</v>
      </c>
      <c r="AE117" s="97">
        <v>-4.0000000000000001E-3</v>
      </c>
      <c r="AF117" s="76"/>
      <c r="AG117" s="97"/>
      <c r="AH117" s="76"/>
      <c r="AI117" s="97">
        <v>1</v>
      </c>
      <c r="AJ117" s="97">
        <v>1</v>
      </c>
      <c r="AK117" s="73"/>
      <c r="AL117" s="57"/>
      <c r="AM117" s="45"/>
      <c r="AN117" s="45"/>
      <c r="AO117" s="45"/>
    </row>
    <row r="118" spans="1:41" hidden="1" outlineLevel="2" x14ac:dyDescent="0.25">
      <c r="A118" s="45"/>
      <c r="B118" s="54"/>
      <c r="C118" s="47">
        <f t="shared" si="37"/>
        <v>4</v>
      </c>
      <c r="D118" s="73"/>
      <c r="E118" s="70"/>
      <c r="F118" s="70" t="s">
        <v>2917</v>
      </c>
      <c r="G118" s="73" t="s">
        <v>131</v>
      </c>
      <c r="H118" s="76" t="s">
        <v>2918</v>
      </c>
      <c r="I118" s="96" t="s">
        <v>497</v>
      </c>
      <c r="J118" s="96"/>
      <c r="K118" s="76"/>
      <c r="L118" s="76"/>
      <c r="M118" s="76"/>
      <c r="N118" s="76"/>
      <c r="O118" s="76"/>
      <c r="P118" s="76"/>
      <c r="Q118" s="76"/>
      <c r="R118" s="76"/>
      <c r="S118" s="76"/>
      <c r="T118" s="76"/>
      <c r="U118" s="97">
        <v>0.35</v>
      </c>
      <c r="V118" s="97">
        <v>0.35</v>
      </c>
      <c r="W118" s="97">
        <v>0.35</v>
      </c>
      <c r="X118" s="97">
        <v>0.35</v>
      </c>
      <c r="Y118" s="97">
        <v>0.35</v>
      </c>
      <c r="Z118" s="97">
        <v>0.35</v>
      </c>
      <c r="AA118" s="97">
        <v>0.35</v>
      </c>
      <c r="AB118" s="97">
        <v>0.35</v>
      </c>
      <c r="AC118" s="97">
        <v>0.35</v>
      </c>
      <c r="AD118" s="97">
        <v>0.35</v>
      </c>
      <c r="AE118" s="97">
        <v>0.35</v>
      </c>
      <c r="AF118" s="76"/>
      <c r="AG118" s="97"/>
      <c r="AH118" s="76"/>
      <c r="AI118" s="97">
        <v>1</v>
      </c>
      <c r="AJ118" s="97">
        <v>1</v>
      </c>
      <c r="AK118" s="73"/>
      <c r="AL118" s="57"/>
      <c r="AM118" s="45"/>
      <c r="AN118" s="45"/>
      <c r="AO118" s="45"/>
    </row>
    <row r="119" spans="1:41" hidden="1" outlineLevel="2" x14ac:dyDescent="0.25">
      <c r="A119" s="45"/>
      <c r="B119" s="54"/>
      <c r="C119" s="47">
        <f t="shared" si="37"/>
        <v>4</v>
      </c>
      <c r="D119" s="73"/>
      <c r="E119" s="70"/>
      <c r="F119" s="70" t="s">
        <v>2919</v>
      </c>
      <c r="G119" s="73" t="s">
        <v>131</v>
      </c>
      <c r="H119" s="76" t="s">
        <v>2920</v>
      </c>
      <c r="I119" s="96" t="s">
        <v>497</v>
      </c>
      <c r="J119" s="96"/>
      <c r="K119" s="76"/>
      <c r="L119" s="76"/>
      <c r="M119" s="76"/>
      <c r="N119" s="76"/>
      <c r="O119" s="76"/>
      <c r="P119" s="76"/>
      <c r="Q119" s="76"/>
      <c r="R119" s="76"/>
      <c r="S119" s="76"/>
      <c r="T119" s="76"/>
      <c r="U119" s="97">
        <v>0.98797000000000001</v>
      </c>
      <c r="V119" s="97">
        <v>0.98797000000000001</v>
      </c>
      <c r="W119" s="97">
        <v>0.98797000000000001</v>
      </c>
      <c r="X119" s="97">
        <v>0.98797000000000001</v>
      </c>
      <c r="Y119" s="97">
        <v>0.98797000000000001</v>
      </c>
      <c r="Z119" s="97">
        <v>0.98797000000000001</v>
      </c>
      <c r="AA119" s="97">
        <v>0.98797000000000001</v>
      </c>
      <c r="AB119" s="97">
        <v>0.98797000000000001</v>
      </c>
      <c r="AC119" s="97">
        <v>0.98797000000000001</v>
      </c>
      <c r="AD119" s="97">
        <v>0.98797000000000001</v>
      </c>
      <c r="AE119" s="97">
        <v>0.98797000000000001</v>
      </c>
      <c r="AF119" s="76"/>
      <c r="AG119" s="97"/>
      <c r="AH119" s="76"/>
      <c r="AI119" s="97">
        <v>1</v>
      </c>
      <c r="AJ119" s="97">
        <v>1</v>
      </c>
      <c r="AK119" s="73"/>
      <c r="AL119" s="57"/>
      <c r="AM119" s="45"/>
      <c r="AN119" s="45"/>
      <c r="AO119" s="45"/>
    </row>
    <row r="120" spans="1:41" hidden="1" outlineLevel="2" x14ac:dyDescent="0.25">
      <c r="A120" s="45"/>
      <c r="B120" s="54"/>
      <c r="C120" s="47">
        <f t="shared" si="37"/>
        <v>4</v>
      </c>
      <c r="D120" s="73"/>
      <c r="E120" s="70"/>
      <c r="F120" s="70" t="s">
        <v>2921</v>
      </c>
      <c r="G120" s="73" t="s">
        <v>131</v>
      </c>
      <c r="H120" s="76" t="s">
        <v>2922</v>
      </c>
      <c r="I120" s="96" t="s">
        <v>497</v>
      </c>
      <c r="J120" s="96"/>
      <c r="K120" s="76"/>
      <c r="L120" s="76"/>
      <c r="M120" s="76"/>
      <c r="N120" s="76"/>
      <c r="O120" s="76"/>
      <c r="P120" s="76"/>
      <c r="Q120" s="76"/>
      <c r="R120" s="76"/>
      <c r="S120" s="76"/>
      <c r="T120" s="76"/>
      <c r="U120" s="97">
        <v>-0.38035000000000002</v>
      </c>
      <c r="V120" s="97">
        <v>-0.38035000000000002</v>
      </c>
      <c r="W120" s="97">
        <v>-0.38035000000000002</v>
      </c>
      <c r="X120" s="97">
        <v>-0.38035000000000002</v>
      </c>
      <c r="Y120" s="97">
        <v>-0.38035000000000002</v>
      </c>
      <c r="Z120" s="97">
        <v>-0.38035000000000002</v>
      </c>
      <c r="AA120" s="97">
        <v>-0.38035000000000002</v>
      </c>
      <c r="AB120" s="97">
        <v>-0.38035000000000002</v>
      </c>
      <c r="AC120" s="97">
        <v>-0.38035000000000002</v>
      </c>
      <c r="AD120" s="97">
        <v>-0.38035000000000002</v>
      </c>
      <c r="AE120" s="97">
        <v>-0.38035000000000002</v>
      </c>
      <c r="AF120" s="76"/>
      <c r="AG120" s="97"/>
      <c r="AH120" s="76"/>
      <c r="AI120" s="97">
        <v>1</v>
      </c>
      <c r="AJ120" s="97">
        <v>1</v>
      </c>
      <c r="AK120" s="73"/>
      <c r="AL120" s="57"/>
      <c r="AM120" s="45"/>
      <c r="AN120" s="45"/>
      <c r="AO120" s="45"/>
    </row>
    <row r="121" spans="1:41" hidden="1" outlineLevel="2" x14ac:dyDescent="0.25">
      <c r="A121" s="45"/>
      <c r="B121" s="54"/>
      <c r="C121" s="47">
        <f t="shared" si="37"/>
        <v>4</v>
      </c>
      <c r="D121" s="73"/>
      <c r="E121" s="70"/>
      <c r="F121" s="70" t="s">
        <v>2923</v>
      </c>
      <c r="G121" s="73" t="s">
        <v>131</v>
      </c>
      <c r="H121" s="76" t="s">
        <v>2924</v>
      </c>
      <c r="I121" s="96" t="s">
        <v>497</v>
      </c>
      <c r="J121" s="96"/>
      <c r="K121" s="76"/>
      <c r="L121" s="76"/>
      <c r="M121" s="76"/>
      <c r="N121" s="76"/>
      <c r="O121" s="76"/>
      <c r="P121" s="76"/>
      <c r="Q121" s="76"/>
      <c r="R121" s="76"/>
      <c r="S121" s="76"/>
      <c r="T121" s="76"/>
      <c r="U121" s="97">
        <v>-0.14499000000000001</v>
      </c>
      <c r="V121" s="97">
        <v>-0.14499000000000001</v>
      </c>
      <c r="W121" s="97">
        <v>-0.14499000000000001</v>
      </c>
      <c r="X121" s="97">
        <v>-0.14499000000000001</v>
      </c>
      <c r="Y121" s="97">
        <v>-0.14499000000000001</v>
      </c>
      <c r="Z121" s="97">
        <v>-0.14499000000000001</v>
      </c>
      <c r="AA121" s="97">
        <v>-0.14499000000000001</v>
      </c>
      <c r="AB121" s="97">
        <v>-0.14499000000000001</v>
      </c>
      <c r="AC121" s="97">
        <v>-0.14499000000000001</v>
      </c>
      <c r="AD121" s="97">
        <v>-0.14499000000000001</v>
      </c>
      <c r="AE121" s="97">
        <v>-0.14499000000000001</v>
      </c>
      <c r="AF121" s="76"/>
      <c r="AG121" s="97"/>
      <c r="AH121" s="76"/>
      <c r="AI121" s="97">
        <v>1</v>
      </c>
      <c r="AJ121" s="97">
        <v>1</v>
      </c>
      <c r="AK121" s="73"/>
      <c r="AL121" s="57"/>
      <c r="AM121" s="45"/>
      <c r="AN121" s="45"/>
      <c r="AO121" s="45"/>
    </row>
    <row r="122" spans="1:41" hidden="1" outlineLevel="2" x14ac:dyDescent="0.25">
      <c r="A122" s="45"/>
      <c r="B122" s="54"/>
      <c r="C122" s="47">
        <f t="shared" si="37"/>
        <v>4</v>
      </c>
      <c r="D122" s="73"/>
      <c r="E122" s="70"/>
      <c r="F122" s="70" t="s">
        <v>2925</v>
      </c>
      <c r="G122" s="73" t="s">
        <v>131</v>
      </c>
      <c r="H122" s="76" t="s">
        <v>2926</v>
      </c>
      <c r="I122" s="96" t="s">
        <v>497</v>
      </c>
      <c r="J122" s="96"/>
      <c r="K122" s="76"/>
      <c r="L122" s="76"/>
      <c r="M122" s="76"/>
      <c r="N122" s="76"/>
      <c r="O122" s="76"/>
      <c r="P122" s="76"/>
      <c r="Q122" s="76"/>
      <c r="R122" s="76"/>
      <c r="S122" s="76"/>
      <c r="T122" s="76"/>
      <c r="U122" s="97">
        <v>2.7320000000000002</v>
      </c>
      <c r="V122" s="97">
        <v>2.7320000000000002</v>
      </c>
      <c r="W122" s="97">
        <v>2.7320000000000002</v>
      </c>
      <c r="X122" s="97">
        <v>2.7320000000000002</v>
      </c>
      <c r="Y122" s="97">
        <v>2.7320000000000002</v>
      </c>
      <c r="Z122" s="97">
        <v>2.7320000000000002</v>
      </c>
      <c r="AA122" s="97">
        <v>2.7320000000000002</v>
      </c>
      <c r="AB122" s="97">
        <v>2.7320000000000002</v>
      </c>
      <c r="AC122" s="97">
        <v>2.7320000000000002</v>
      </c>
      <c r="AD122" s="97">
        <v>2.7320000000000002</v>
      </c>
      <c r="AE122" s="97">
        <v>2.7320000000000002</v>
      </c>
      <c r="AF122" s="76"/>
      <c r="AG122" s="97"/>
      <c r="AH122" s="76"/>
      <c r="AI122" s="97">
        <v>1</v>
      </c>
      <c r="AJ122" s="97">
        <v>1</v>
      </c>
      <c r="AK122" s="73"/>
      <c r="AL122" s="57"/>
      <c r="AM122" s="45"/>
      <c r="AN122" s="45"/>
      <c r="AO122" s="45"/>
    </row>
    <row r="123" spans="1:41" hidden="1" outlineLevel="2" x14ac:dyDescent="0.25">
      <c r="A123" s="45"/>
      <c r="B123" s="54"/>
      <c r="C123" s="47">
        <f t="shared" si="37"/>
        <v>4</v>
      </c>
      <c r="D123" s="73"/>
      <c r="E123" s="70"/>
      <c r="F123" s="70" t="s">
        <v>2927</v>
      </c>
      <c r="G123" s="73" t="s">
        <v>131</v>
      </c>
      <c r="H123" s="76" t="s">
        <v>2928</v>
      </c>
      <c r="I123" s="96" t="s">
        <v>497</v>
      </c>
      <c r="J123" s="96"/>
      <c r="K123" s="76"/>
      <c r="L123" s="76"/>
      <c r="M123" s="76"/>
      <c r="N123" s="76"/>
      <c r="O123" s="76"/>
      <c r="P123" s="76"/>
      <c r="Q123" s="76"/>
      <c r="R123" s="76"/>
      <c r="S123" s="76"/>
      <c r="T123" s="76"/>
      <c r="U123" s="97">
        <v>-1.7310000000000001</v>
      </c>
      <c r="V123" s="97">
        <v>-1.7310000000000001</v>
      </c>
      <c r="W123" s="97">
        <v>-1.7310000000000001</v>
      </c>
      <c r="X123" s="97">
        <v>-1.7310000000000001</v>
      </c>
      <c r="Y123" s="97">
        <v>-1.7310000000000001</v>
      </c>
      <c r="Z123" s="97">
        <v>-1.7310000000000001</v>
      </c>
      <c r="AA123" s="97">
        <v>-1.7310000000000001</v>
      </c>
      <c r="AB123" s="97">
        <v>-1.7310000000000001</v>
      </c>
      <c r="AC123" s="97">
        <v>-1.7310000000000001</v>
      </c>
      <c r="AD123" s="97">
        <v>-1.7310000000000001</v>
      </c>
      <c r="AE123" s="97">
        <v>-1.7310000000000001</v>
      </c>
      <c r="AF123" s="76"/>
      <c r="AG123" s="97"/>
      <c r="AH123" s="76"/>
      <c r="AI123" s="97">
        <v>1</v>
      </c>
      <c r="AJ123" s="97">
        <v>1</v>
      </c>
      <c r="AK123" s="73"/>
      <c r="AL123" s="57"/>
      <c r="AM123" s="45"/>
      <c r="AN123" s="45"/>
      <c r="AO123" s="45"/>
    </row>
    <row r="124" spans="1:41" hidden="1" outlineLevel="2" x14ac:dyDescent="0.25">
      <c r="A124" s="45"/>
      <c r="B124" s="54"/>
      <c r="C124" s="47">
        <f t="shared" si="37"/>
        <v>4</v>
      </c>
      <c r="D124" s="73"/>
      <c r="E124" s="70"/>
      <c r="F124" s="70" t="s">
        <v>2929</v>
      </c>
      <c r="G124" s="73" t="s">
        <v>131</v>
      </c>
      <c r="H124" s="76" t="s">
        <v>2930</v>
      </c>
      <c r="I124" s="96" t="s">
        <v>497</v>
      </c>
      <c r="J124" s="96"/>
      <c r="K124" s="76"/>
      <c r="L124" s="76"/>
      <c r="M124" s="76"/>
      <c r="N124" s="76"/>
      <c r="O124" s="76"/>
      <c r="P124" s="76"/>
      <c r="Q124" s="76"/>
      <c r="R124" s="76"/>
      <c r="S124" s="76"/>
      <c r="T124" s="76"/>
      <c r="U124" s="97">
        <v>-1.4E-3</v>
      </c>
      <c r="V124" s="97">
        <v>-1.4E-3</v>
      </c>
      <c r="W124" s="97">
        <v>-1.4E-3</v>
      </c>
      <c r="X124" s="97">
        <v>-1.4E-3</v>
      </c>
      <c r="Y124" s="97">
        <v>-1.4E-3</v>
      </c>
      <c r="Z124" s="97">
        <v>-1.4E-3</v>
      </c>
      <c r="AA124" s="97">
        <v>-1.4E-3</v>
      </c>
      <c r="AB124" s="97">
        <v>-1.4E-3</v>
      </c>
      <c r="AC124" s="97">
        <v>-1.4E-3</v>
      </c>
      <c r="AD124" s="97">
        <v>-1.4E-3</v>
      </c>
      <c r="AE124" s="97">
        <v>-1.4E-3</v>
      </c>
      <c r="AF124" s="76"/>
      <c r="AG124" s="97"/>
      <c r="AH124" s="76"/>
      <c r="AI124" s="97">
        <v>1</v>
      </c>
      <c r="AJ124" s="97">
        <v>1</v>
      </c>
      <c r="AK124" s="73"/>
      <c r="AL124" s="57"/>
      <c r="AM124" s="45"/>
      <c r="AN124" s="45"/>
      <c r="AO124" s="45"/>
    </row>
    <row r="125" spans="1:41" hidden="1" outlineLevel="2" x14ac:dyDescent="0.25">
      <c r="A125" s="45"/>
      <c r="B125" s="54"/>
      <c r="C125" s="47">
        <f t="shared" si="37"/>
        <v>4</v>
      </c>
      <c r="D125" s="73"/>
      <c r="E125" s="70"/>
      <c r="F125" s="70" t="s">
        <v>3832</v>
      </c>
      <c r="G125" s="73" t="s">
        <v>131</v>
      </c>
      <c r="H125" s="76" t="s">
        <v>3836</v>
      </c>
      <c r="I125" s="96" t="s">
        <v>497</v>
      </c>
      <c r="J125" s="96"/>
      <c r="K125" s="76"/>
      <c r="L125" s="76"/>
      <c r="M125" s="76"/>
      <c r="N125" s="76"/>
      <c r="O125" s="76"/>
      <c r="P125" s="76"/>
      <c r="Q125" s="76"/>
      <c r="R125" s="76"/>
      <c r="S125" s="76"/>
      <c r="T125" s="76"/>
      <c r="U125" s="97">
        <f>AVERAGE(0.29,0.3)</f>
        <v>0.29499999999999998</v>
      </c>
      <c r="V125" s="97">
        <f t="shared" ref="V125:AE125" si="38">AVERAGE(0.29,0.3)</f>
        <v>0.29499999999999998</v>
      </c>
      <c r="W125" s="97">
        <f t="shared" si="38"/>
        <v>0.29499999999999998</v>
      </c>
      <c r="X125" s="97">
        <f t="shared" si="38"/>
        <v>0.29499999999999998</v>
      </c>
      <c r="Y125" s="97">
        <f t="shared" si="38"/>
        <v>0.29499999999999998</v>
      </c>
      <c r="Z125" s="97">
        <f t="shared" si="38"/>
        <v>0.29499999999999998</v>
      </c>
      <c r="AA125" s="97">
        <f t="shared" si="38"/>
        <v>0.29499999999999998</v>
      </c>
      <c r="AB125" s="97">
        <f t="shared" si="38"/>
        <v>0.29499999999999998</v>
      </c>
      <c r="AC125" s="97">
        <f t="shared" si="38"/>
        <v>0.29499999999999998</v>
      </c>
      <c r="AD125" s="97">
        <f t="shared" si="38"/>
        <v>0.29499999999999998</v>
      </c>
      <c r="AE125" s="97">
        <f t="shared" si="38"/>
        <v>0.29499999999999998</v>
      </c>
      <c r="AF125" s="76"/>
      <c r="AG125" s="97" t="s">
        <v>3839</v>
      </c>
      <c r="AH125" s="76"/>
      <c r="AI125" s="97">
        <v>1</v>
      </c>
      <c r="AJ125" s="97">
        <v>1</v>
      </c>
      <c r="AK125" s="73"/>
      <c r="AL125" s="57"/>
      <c r="AM125" s="45"/>
      <c r="AN125" s="45"/>
      <c r="AO125" s="45"/>
    </row>
    <row r="126" spans="1:41" hidden="1" outlineLevel="2" x14ac:dyDescent="0.25">
      <c r="A126" s="45"/>
      <c r="B126" s="54"/>
      <c r="C126" s="47">
        <f t="shared" si="37"/>
        <v>4</v>
      </c>
      <c r="D126" s="73"/>
      <c r="E126" s="70"/>
      <c r="F126" s="70" t="s">
        <v>3833</v>
      </c>
      <c r="G126" s="73" t="s">
        <v>131</v>
      </c>
      <c r="H126" s="76" t="s">
        <v>3837</v>
      </c>
      <c r="I126" s="96" t="s">
        <v>497</v>
      </c>
      <c r="J126" s="96"/>
      <c r="K126" s="76"/>
      <c r="L126" s="76"/>
      <c r="M126" s="76"/>
      <c r="N126" s="76"/>
      <c r="O126" s="76"/>
      <c r="P126" s="76"/>
      <c r="Q126" s="76"/>
      <c r="R126" s="76"/>
      <c r="S126" s="76"/>
      <c r="T126" s="76"/>
      <c r="U126" s="97">
        <f>AVERAGE(0.65,0.76)</f>
        <v>0.70500000000000007</v>
      </c>
      <c r="V126" s="97">
        <f t="shared" ref="V126:AE126" si="39">AVERAGE(0.65,0.76)</f>
        <v>0.70500000000000007</v>
      </c>
      <c r="W126" s="97">
        <f t="shared" si="39"/>
        <v>0.70500000000000007</v>
      </c>
      <c r="X126" s="97">
        <f t="shared" si="39"/>
        <v>0.70500000000000007</v>
      </c>
      <c r="Y126" s="97">
        <f t="shared" si="39"/>
        <v>0.70500000000000007</v>
      </c>
      <c r="Z126" s="97">
        <f t="shared" si="39"/>
        <v>0.70500000000000007</v>
      </c>
      <c r="AA126" s="97">
        <f t="shared" si="39"/>
        <v>0.70500000000000007</v>
      </c>
      <c r="AB126" s="97">
        <f t="shared" si="39"/>
        <v>0.70500000000000007</v>
      </c>
      <c r="AC126" s="97">
        <f t="shared" si="39"/>
        <v>0.70500000000000007</v>
      </c>
      <c r="AD126" s="97">
        <f t="shared" si="39"/>
        <v>0.70500000000000007</v>
      </c>
      <c r="AE126" s="97">
        <f t="shared" si="39"/>
        <v>0.70500000000000007</v>
      </c>
      <c r="AF126" s="76"/>
      <c r="AG126" s="97" t="s">
        <v>3839</v>
      </c>
      <c r="AH126" s="76"/>
      <c r="AI126" s="97">
        <v>1</v>
      </c>
      <c r="AJ126" s="97">
        <v>1</v>
      </c>
      <c r="AK126" s="73"/>
      <c r="AL126" s="57"/>
      <c r="AM126" s="45"/>
      <c r="AN126" s="45"/>
      <c r="AO126" s="45"/>
    </row>
    <row r="127" spans="1:41" hidden="1" outlineLevel="2" x14ac:dyDescent="0.25">
      <c r="A127" s="45"/>
      <c r="B127" s="54"/>
      <c r="C127" s="47">
        <f t="shared" si="37"/>
        <v>4</v>
      </c>
      <c r="D127" s="73"/>
      <c r="E127" s="70"/>
      <c r="F127" s="70" t="s">
        <v>3834</v>
      </c>
      <c r="G127" s="73" t="s">
        <v>131</v>
      </c>
      <c r="H127" s="76" t="s">
        <v>3840</v>
      </c>
      <c r="I127" s="96" t="s">
        <v>497</v>
      </c>
      <c r="J127" s="96"/>
      <c r="K127" s="76"/>
      <c r="L127" s="76"/>
      <c r="M127" s="76"/>
      <c r="N127" s="76"/>
      <c r="O127" s="76"/>
      <c r="P127" s="76"/>
      <c r="Q127" s="76"/>
      <c r="R127" s="76"/>
      <c r="S127" s="76"/>
      <c r="T127" s="76"/>
      <c r="U127" s="97">
        <v>1.2</v>
      </c>
      <c r="V127" s="97">
        <v>1.2</v>
      </c>
      <c r="W127" s="97">
        <v>1.2</v>
      </c>
      <c r="X127" s="97">
        <v>1.2</v>
      </c>
      <c r="Y127" s="97">
        <v>1.2</v>
      </c>
      <c r="Z127" s="97">
        <v>1.2</v>
      </c>
      <c r="AA127" s="97">
        <v>1.2</v>
      </c>
      <c r="AB127" s="97">
        <v>1.2</v>
      </c>
      <c r="AC127" s="97">
        <v>1.2</v>
      </c>
      <c r="AD127" s="97">
        <v>1.2</v>
      </c>
      <c r="AE127" s="97">
        <v>1.2</v>
      </c>
      <c r="AF127" s="76"/>
      <c r="AG127" s="97" t="s">
        <v>3838</v>
      </c>
      <c r="AH127" s="76"/>
      <c r="AI127" s="97">
        <v>1</v>
      </c>
      <c r="AJ127" s="97">
        <v>1</v>
      </c>
      <c r="AK127" s="73"/>
      <c r="AL127" s="57"/>
      <c r="AM127" s="45"/>
      <c r="AN127" s="45"/>
      <c r="AO127" s="45"/>
    </row>
    <row r="128" spans="1:41" hidden="1" outlineLevel="2" x14ac:dyDescent="0.25">
      <c r="A128" s="45"/>
      <c r="B128" s="54"/>
      <c r="C128" s="47">
        <f t="shared" si="37"/>
        <v>4</v>
      </c>
      <c r="D128" s="73"/>
      <c r="E128" s="70"/>
      <c r="F128" s="70" t="s">
        <v>3835</v>
      </c>
      <c r="G128" s="73" t="s">
        <v>131</v>
      </c>
      <c r="H128" s="76" t="s">
        <v>3841</v>
      </c>
      <c r="I128" s="96" t="s">
        <v>497</v>
      </c>
      <c r="J128" s="96"/>
      <c r="K128" s="76"/>
      <c r="L128" s="76"/>
      <c r="M128" s="76"/>
      <c r="N128" s="76"/>
      <c r="O128" s="76"/>
      <c r="P128" s="76"/>
      <c r="Q128" s="76"/>
      <c r="R128" s="76"/>
      <c r="S128" s="76"/>
      <c r="T128" s="76"/>
      <c r="U128" s="97">
        <v>0.22</v>
      </c>
      <c r="V128" s="97">
        <v>0.22</v>
      </c>
      <c r="W128" s="97">
        <v>0.22</v>
      </c>
      <c r="X128" s="97">
        <v>0.22</v>
      </c>
      <c r="Y128" s="97">
        <v>0.22</v>
      </c>
      <c r="Z128" s="97">
        <v>0.22</v>
      </c>
      <c r="AA128" s="97">
        <v>0.22</v>
      </c>
      <c r="AB128" s="97">
        <v>0.22</v>
      </c>
      <c r="AC128" s="97">
        <v>0.22</v>
      </c>
      <c r="AD128" s="97">
        <v>0.22</v>
      </c>
      <c r="AE128" s="97">
        <v>0.22</v>
      </c>
      <c r="AF128" s="76"/>
      <c r="AG128" s="97" t="s">
        <v>3838</v>
      </c>
      <c r="AH128" s="76"/>
      <c r="AI128" s="97">
        <v>1</v>
      </c>
      <c r="AJ128" s="97">
        <v>1</v>
      </c>
      <c r="AK128" s="73"/>
      <c r="AL128" s="57"/>
      <c r="AM128" s="45"/>
      <c r="AN128" s="45"/>
      <c r="AO128" s="45"/>
    </row>
    <row r="129" spans="1:41" outlineLevel="1" collapsed="1" x14ac:dyDescent="0.25">
      <c r="A129" s="45"/>
      <c r="B129" s="54"/>
      <c r="C129" s="47">
        <f>INT($C$29)+1</f>
        <v>2</v>
      </c>
      <c r="D129" s="73"/>
      <c r="E129" s="70"/>
      <c r="F129" s="256" t="s">
        <v>512</v>
      </c>
      <c r="G129" s="73"/>
      <c r="H129" s="246" t="s">
        <v>513</v>
      </c>
      <c r="I129" s="96"/>
      <c r="J129" s="96" t="s">
        <v>514</v>
      </c>
      <c r="K129" s="79">
        <v>24</v>
      </c>
      <c r="L129" s="76"/>
      <c r="M129" s="79">
        <v>0</v>
      </c>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3"/>
      <c r="AL129" s="57"/>
      <c r="AM129" s="45"/>
      <c r="AN129" s="45"/>
      <c r="AO129" s="45"/>
    </row>
    <row r="130" spans="1:41" hidden="1" outlineLevel="3" x14ac:dyDescent="0.25">
      <c r="A130" s="45"/>
      <c r="B130" s="54"/>
      <c r="C130" s="47">
        <f>INT($C$29)+3</f>
        <v>4</v>
      </c>
      <c r="D130" s="73"/>
      <c r="E130" s="70" t="s">
        <v>515</v>
      </c>
      <c r="F130" s="70" t="s">
        <v>516</v>
      </c>
      <c r="G130" s="73"/>
      <c r="H130" s="76" t="s">
        <v>491</v>
      </c>
      <c r="I130" s="96"/>
      <c r="J130" s="9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v>1</v>
      </c>
      <c r="AJ130" s="76">
        <v>1</v>
      </c>
      <c r="AK130" s="73"/>
      <c r="AL130" s="57"/>
      <c r="AM130" s="45"/>
      <c r="AN130" s="45"/>
      <c r="AO130" s="45"/>
    </row>
    <row r="131" spans="1:41" hidden="1" outlineLevel="2" x14ac:dyDescent="0.25">
      <c r="A131" s="45"/>
      <c r="B131" s="54"/>
      <c r="C131" s="47">
        <f t="shared" ref="C131:C148" si="40">INT($C$29)+2</f>
        <v>3</v>
      </c>
      <c r="D131" s="73"/>
      <c r="E131" s="70"/>
      <c r="F131" s="70" t="s">
        <v>517</v>
      </c>
      <c r="G131" s="73"/>
      <c r="H131" s="76" t="s">
        <v>518</v>
      </c>
      <c r="I131" s="96" t="s">
        <v>519</v>
      </c>
      <c r="J131" s="96"/>
      <c r="K131" s="97">
        <v>0.04</v>
      </c>
      <c r="L131" s="97">
        <v>0.05</v>
      </c>
      <c r="M131" s="97">
        <v>2.5000000000000001E-2</v>
      </c>
      <c r="N131" s="97">
        <v>2.5000000000000001E-2</v>
      </c>
      <c r="O131" s="97">
        <v>2.5000000000000001E-2</v>
      </c>
      <c r="P131" s="97">
        <v>2.5000000000000001E-2</v>
      </c>
      <c r="Q131" s="76"/>
      <c r="R131" s="76" t="s">
        <v>2275</v>
      </c>
      <c r="S131" s="76" t="s">
        <v>507</v>
      </c>
      <c r="T131" s="76" t="s">
        <v>3273</v>
      </c>
      <c r="U131" s="253">
        <f t="shared" ref="U131:W145" si="41">INDEX($K131:$Q131,1,U$43)</f>
        <v>0.04</v>
      </c>
      <c r="V131" s="253">
        <f t="shared" si="41"/>
        <v>0.04</v>
      </c>
      <c r="W131" s="253">
        <f t="shared" si="41"/>
        <v>0.04</v>
      </c>
      <c r="X131" s="628">
        <v>4.2500000000000003E-2</v>
      </c>
      <c r="Y131" s="628">
        <v>4.2500000000000003E-2</v>
      </c>
      <c r="Z131" s="628">
        <v>4.2500000000000003E-2</v>
      </c>
      <c r="AA131" s="628">
        <v>4.2500000000000003E-2</v>
      </c>
      <c r="AB131" s="253">
        <f t="shared" ref="AB131:AE145" si="42">INDEX($K131:$Q131,1,AB$43)</f>
        <v>0.05</v>
      </c>
      <c r="AC131" s="253">
        <f t="shared" si="42"/>
        <v>0.05</v>
      </c>
      <c r="AD131" s="253">
        <f t="shared" si="42"/>
        <v>0.05</v>
      </c>
      <c r="AE131" s="253">
        <f t="shared" si="42"/>
        <v>0.05</v>
      </c>
      <c r="AF131" s="76"/>
      <c r="AG131" s="76" t="s">
        <v>3820</v>
      </c>
      <c r="AH131" s="76"/>
      <c r="AI131" s="97">
        <v>1</v>
      </c>
      <c r="AJ131" s="97">
        <v>1</v>
      </c>
      <c r="AK131" s="73"/>
      <c r="AL131" s="57"/>
      <c r="AM131" s="45"/>
      <c r="AN131" s="45"/>
      <c r="AO131" s="45"/>
    </row>
    <row r="132" spans="1:41" hidden="1" outlineLevel="2" x14ac:dyDescent="0.25">
      <c r="A132" s="45"/>
      <c r="B132" s="54"/>
      <c r="C132" s="47">
        <f t="shared" si="40"/>
        <v>3</v>
      </c>
      <c r="D132" s="73"/>
      <c r="E132" s="70"/>
      <c r="F132" s="70" t="s">
        <v>520</v>
      </c>
      <c r="G132" s="73"/>
      <c r="H132" s="76" t="s">
        <v>521</v>
      </c>
      <c r="I132" s="96" t="s">
        <v>497</v>
      </c>
      <c r="J132" s="96"/>
      <c r="K132" s="97">
        <v>1.7</v>
      </c>
      <c r="L132" s="97">
        <v>1.7</v>
      </c>
      <c r="M132" s="97">
        <v>1.7</v>
      </c>
      <c r="N132" s="97">
        <v>1.7</v>
      </c>
      <c r="O132" s="97">
        <v>1.7</v>
      </c>
      <c r="P132" s="97">
        <v>1.7</v>
      </c>
      <c r="Q132" s="76"/>
      <c r="R132" s="76" t="s">
        <v>507</v>
      </c>
      <c r="S132" s="76" t="s">
        <v>507</v>
      </c>
      <c r="T132" s="76" t="s">
        <v>3273</v>
      </c>
      <c r="U132" s="253">
        <f t="shared" si="41"/>
        <v>1.7</v>
      </c>
      <c r="V132" s="253">
        <f t="shared" si="41"/>
        <v>1.7</v>
      </c>
      <c r="W132" s="253">
        <f t="shared" ref="W132:AA145" si="43">INDEX($K132:$Q132,1,W$43)</f>
        <v>1.7</v>
      </c>
      <c r="X132" s="253">
        <f t="shared" si="43"/>
        <v>1.7</v>
      </c>
      <c r="Y132" s="253">
        <f t="shared" si="43"/>
        <v>1.7</v>
      </c>
      <c r="Z132" s="253">
        <f t="shared" si="43"/>
        <v>1.7</v>
      </c>
      <c r="AA132" s="253">
        <f t="shared" si="43"/>
        <v>1.7</v>
      </c>
      <c r="AB132" s="253">
        <f t="shared" si="42"/>
        <v>1.7</v>
      </c>
      <c r="AC132" s="253">
        <f t="shared" si="42"/>
        <v>1.7</v>
      </c>
      <c r="AD132" s="253">
        <f t="shared" si="42"/>
        <v>1.7</v>
      </c>
      <c r="AE132" s="253">
        <f t="shared" si="42"/>
        <v>1.7</v>
      </c>
      <c r="AF132" s="76"/>
      <c r="AG132" s="76"/>
      <c r="AH132" s="76"/>
      <c r="AI132" s="97">
        <v>1</v>
      </c>
      <c r="AJ132" s="97">
        <v>1</v>
      </c>
      <c r="AK132" s="73"/>
      <c r="AL132" s="57"/>
      <c r="AM132" s="45"/>
      <c r="AN132" s="45"/>
      <c r="AO132" s="45"/>
    </row>
    <row r="133" spans="1:41" hidden="1" outlineLevel="2" x14ac:dyDescent="0.25">
      <c r="A133" s="45"/>
      <c r="B133" s="54"/>
      <c r="C133" s="47">
        <f t="shared" si="40"/>
        <v>3</v>
      </c>
      <c r="D133" s="73"/>
      <c r="E133" s="70"/>
      <c r="F133" s="70" t="s">
        <v>522</v>
      </c>
      <c r="G133" s="73"/>
      <c r="H133" s="76" t="s">
        <v>523</v>
      </c>
      <c r="I133" s="96" t="s">
        <v>524</v>
      </c>
      <c r="J133" s="96"/>
      <c r="K133" s="97">
        <v>0.5</v>
      </c>
      <c r="L133" s="97">
        <v>0.5</v>
      </c>
      <c r="M133" s="97">
        <v>0.22</v>
      </c>
      <c r="N133" s="97">
        <v>0.22</v>
      </c>
      <c r="O133" s="97">
        <v>0.22</v>
      </c>
      <c r="P133" s="97">
        <v>0.22</v>
      </c>
      <c r="Q133" s="76"/>
      <c r="R133" s="76" t="s">
        <v>507</v>
      </c>
      <c r="S133" s="76" t="s">
        <v>507</v>
      </c>
      <c r="T133" s="76"/>
      <c r="U133" s="253">
        <f t="shared" si="41"/>
        <v>0.5</v>
      </c>
      <c r="V133" s="253">
        <f t="shared" si="41"/>
        <v>0.5</v>
      </c>
      <c r="W133" s="253">
        <f t="shared" si="43"/>
        <v>0.5</v>
      </c>
      <c r="X133" s="253">
        <f t="shared" si="43"/>
        <v>0.5</v>
      </c>
      <c r="Y133" s="253">
        <f t="shared" si="43"/>
        <v>0.5</v>
      </c>
      <c r="Z133" s="253">
        <f t="shared" si="43"/>
        <v>0.5</v>
      </c>
      <c r="AA133" s="253">
        <f t="shared" si="43"/>
        <v>0.5</v>
      </c>
      <c r="AB133" s="253">
        <f t="shared" si="42"/>
        <v>0.5</v>
      </c>
      <c r="AC133" s="253">
        <f t="shared" si="42"/>
        <v>0.5</v>
      </c>
      <c r="AD133" s="253">
        <f t="shared" si="42"/>
        <v>0.5</v>
      </c>
      <c r="AE133" s="253">
        <f t="shared" si="42"/>
        <v>0.5</v>
      </c>
      <c r="AF133" s="76"/>
      <c r="AG133" s="76"/>
      <c r="AH133" s="76"/>
      <c r="AI133" s="97">
        <v>1</v>
      </c>
      <c r="AJ133" s="97">
        <v>1</v>
      </c>
      <c r="AK133" s="73"/>
      <c r="AL133" s="57"/>
      <c r="AM133" s="45"/>
      <c r="AN133" s="45"/>
      <c r="AO133" s="45"/>
    </row>
    <row r="134" spans="1:41" hidden="1" outlineLevel="2" x14ac:dyDescent="0.25">
      <c r="A134" s="45"/>
      <c r="B134" s="54"/>
      <c r="C134" s="47">
        <f t="shared" si="40"/>
        <v>3</v>
      </c>
      <c r="D134" s="73"/>
      <c r="E134" s="70"/>
      <c r="F134" s="70" t="s">
        <v>525</v>
      </c>
      <c r="G134" s="73"/>
      <c r="H134" s="76" t="s">
        <v>523</v>
      </c>
      <c r="I134" s="96" t="s">
        <v>526</v>
      </c>
      <c r="J134" s="96"/>
      <c r="K134" s="97">
        <v>25</v>
      </c>
      <c r="L134" s="97">
        <v>25</v>
      </c>
      <c r="M134" s="97">
        <v>60</v>
      </c>
      <c r="N134" s="97">
        <v>60</v>
      </c>
      <c r="O134" s="97">
        <v>60</v>
      </c>
      <c r="P134" s="97">
        <v>60</v>
      </c>
      <c r="Q134" s="76"/>
      <c r="R134" s="76" t="s">
        <v>507</v>
      </c>
      <c r="S134" s="76" t="s">
        <v>507</v>
      </c>
      <c r="T134" s="76"/>
      <c r="U134" s="253">
        <f t="shared" si="41"/>
        <v>25</v>
      </c>
      <c r="V134" s="253">
        <f t="shared" si="41"/>
        <v>25</v>
      </c>
      <c r="W134" s="253">
        <f t="shared" si="43"/>
        <v>25</v>
      </c>
      <c r="X134" s="253">
        <f t="shared" si="43"/>
        <v>25</v>
      </c>
      <c r="Y134" s="253">
        <f t="shared" si="43"/>
        <v>25</v>
      </c>
      <c r="Z134" s="253">
        <f t="shared" si="43"/>
        <v>25</v>
      </c>
      <c r="AA134" s="253">
        <f t="shared" si="43"/>
        <v>25</v>
      </c>
      <c r="AB134" s="253">
        <f t="shared" si="42"/>
        <v>25</v>
      </c>
      <c r="AC134" s="253">
        <f t="shared" si="42"/>
        <v>25</v>
      </c>
      <c r="AD134" s="253">
        <f t="shared" si="42"/>
        <v>25</v>
      </c>
      <c r="AE134" s="253">
        <f t="shared" si="42"/>
        <v>25</v>
      </c>
      <c r="AF134" s="76"/>
      <c r="AG134" s="76"/>
      <c r="AH134" s="76"/>
      <c r="AI134" s="97">
        <v>1</v>
      </c>
      <c r="AJ134" s="97">
        <v>1</v>
      </c>
      <c r="AK134" s="73"/>
      <c r="AL134" s="57"/>
      <c r="AM134" s="45"/>
      <c r="AN134" s="45"/>
      <c r="AO134" s="45"/>
    </row>
    <row r="135" spans="1:41" hidden="1" outlineLevel="2" x14ac:dyDescent="0.25">
      <c r="A135" s="45"/>
      <c r="B135" s="54"/>
      <c r="C135" s="47">
        <f t="shared" si="40"/>
        <v>3</v>
      </c>
      <c r="D135" s="73"/>
      <c r="E135" s="70"/>
      <c r="F135" s="70" t="s">
        <v>527</v>
      </c>
      <c r="G135" s="73"/>
      <c r="H135" s="76" t="s">
        <v>528</v>
      </c>
      <c r="I135" s="96" t="s">
        <v>497</v>
      </c>
      <c r="J135" s="96"/>
      <c r="K135" s="97">
        <v>0.01</v>
      </c>
      <c r="L135" s="97">
        <v>0.01</v>
      </c>
      <c r="M135" s="97">
        <v>0.02</v>
      </c>
      <c r="N135" s="97">
        <v>0.01</v>
      </c>
      <c r="O135" s="97">
        <v>0.02</v>
      </c>
      <c r="P135" s="97">
        <v>0.02</v>
      </c>
      <c r="Q135" s="76"/>
      <c r="R135" s="76" t="s">
        <v>529</v>
      </c>
      <c r="S135" s="76" t="s">
        <v>529</v>
      </c>
      <c r="T135" s="76"/>
      <c r="U135" s="253">
        <f t="shared" si="41"/>
        <v>0.01</v>
      </c>
      <c r="V135" s="253">
        <f t="shared" si="41"/>
        <v>0.01</v>
      </c>
      <c r="W135" s="253">
        <f t="shared" si="43"/>
        <v>0.01</v>
      </c>
      <c r="X135" s="253">
        <f t="shared" si="43"/>
        <v>0.01</v>
      </c>
      <c r="Y135" s="253">
        <f t="shared" si="43"/>
        <v>0.01</v>
      </c>
      <c r="Z135" s="253">
        <f t="shared" si="43"/>
        <v>0.01</v>
      </c>
      <c r="AA135" s="253">
        <f t="shared" si="43"/>
        <v>0.01</v>
      </c>
      <c r="AB135" s="253">
        <f t="shared" si="42"/>
        <v>0.01</v>
      </c>
      <c r="AC135" s="253">
        <f t="shared" si="42"/>
        <v>0.01</v>
      </c>
      <c r="AD135" s="253">
        <f t="shared" si="42"/>
        <v>0.01</v>
      </c>
      <c r="AE135" s="253">
        <f t="shared" si="42"/>
        <v>0.01</v>
      </c>
      <c r="AF135" s="76"/>
      <c r="AG135" s="76"/>
      <c r="AH135" s="76"/>
      <c r="AI135" s="97">
        <v>1</v>
      </c>
      <c r="AJ135" s="97">
        <v>1</v>
      </c>
      <c r="AK135" s="73"/>
      <c r="AL135" s="57"/>
      <c r="AM135" s="45"/>
      <c r="AN135" s="45"/>
      <c r="AO135" s="45"/>
    </row>
    <row r="136" spans="1:41" hidden="1" outlineLevel="2" x14ac:dyDescent="0.25">
      <c r="A136" s="45"/>
      <c r="B136" s="54"/>
      <c r="C136" s="47">
        <f t="shared" si="40"/>
        <v>3</v>
      </c>
      <c r="D136" s="73"/>
      <c r="E136" s="70"/>
      <c r="F136" s="70" t="s">
        <v>530</v>
      </c>
      <c r="G136" s="73"/>
      <c r="H136" s="76" t="s">
        <v>531</v>
      </c>
      <c r="I136" s="96" t="s">
        <v>532</v>
      </c>
      <c r="J136" s="96"/>
      <c r="K136" s="97">
        <v>25</v>
      </c>
      <c r="L136" s="97">
        <v>25</v>
      </c>
      <c r="M136" s="97">
        <v>25</v>
      </c>
      <c r="N136" s="97">
        <v>25</v>
      </c>
      <c r="O136" s="97">
        <v>25</v>
      </c>
      <c r="P136" s="97">
        <v>25</v>
      </c>
      <c r="Q136" s="76"/>
      <c r="R136" s="76" t="s">
        <v>529</v>
      </c>
      <c r="S136" s="76" t="s">
        <v>529</v>
      </c>
      <c r="T136" s="76"/>
      <c r="U136" s="253">
        <f t="shared" si="41"/>
        <v>25</v>
      </c>
      <c r="V136" s="253">
        <f t="shared" si="41"/>
        <v>25</v>
      </c>
      <c r="W136" s="253">
        <f t="shared" si="43"/>
        <v>25</v>
      </c>
      <c r="X136" s="253">
        <f t="shared" si="43"/>
        <v>25</v>
      </c>
      <c r="Y136" s="253">
        <f t="shared" si="43"/>
        <v>25</v>
      </c>
      <c r="Z136" s="253">
        <f t="shared" si="43"/>
        <v>25</v>
      </c>
      <c r="AA136" s="253">
        <f t="shared" si="43"/>
        <v>25</v>
      </c>
      <c r="AB136" s="253">
        <f t="shared" si="42"/>
        <v>25</v>
      </c>
      <c r="AC136" s="253">
        <f t="shared" si="42"/>
        <v>25</v>
      </c>
      <c r="AD136" s="253">
        <f t="shared" si="42"/>
        <v>25</v>
      </c>
      <c r="AE136" s="253">
        <f t="shared" si="42"/>
        <v>25</v>
      </c>
      <c r="AF136" s="76"/>
      <c r="AG136" s="76"/>
      <c r="AH136" s="76"/>
      <c r="AI136" s="97">
        <v>1</v>
      </c>
      <c r="AJ136" s="97">
        <v>1</v>
      </c>
      <c r="AK136" s="73"/>
      <c r="AL136" s="57"/>
      <c r="AM136" s="45"/>
      <c r="AN136" s="45"/>
      <c r="AO136" s="45"/>
    </row>
    <row r="137" spans="1:41" hidden="1" outlineLevel="2" x14ac:dyDescent="0.25">
      <c r="A137" s="45"/>
      <c r="B137" s="54"/>
      <c r="C137" s="47">
        <f t="shared" si="40"/>
        <v>3</v>
      </c>
      <c r="D137" s="73"/>
      <c r="E137" s="70"/>
      <c r="F137" s="70" t="s">
        <v>533</v>
      </c>
      <c r="G137" s="73"/>
      <c r="H137" s="76" t="s">
        <v>534</v>
      </c>
      <c r="I137" s="96" t="s">
        <v>532</v>
      </c>
      <c r="J137" s="96"/>
      <c r="K137" s="97">
        <v>22</v>
      </c>
      <c r="L137" s="97">
        <v>22</v>
      </c>
      <c r="M137" s="97">
        <v>22</v>
      </c>
      <c r="N137" s="97">
        <v>22</v>
      </c>
      <c r="O137" s="97">
        <v>22</v>
      </c>
      <c r="P137" s="97">
        <v>22</v>
      </c>
      <c r="Q137" s="76"/>
      <c r="R137" s="76" t="s">
        <v>529</v>
      </c>
      <c r="S137" s="76" t="s">
        <v>529</v>
      </c>
      <c r="T137" s="76"/>
      <c r="U137" s="253">
        <f t="shared" si="41"/>
        <v>22</v>
      </c>
      <c r="V137" s="253">
        <f t="shared" si="41"/>
        <v>22</v>
      </c>
      <c r="W137" s="253">
        <f t="shared" si="43"/>
        <v>22</v>
      </c>
      <c r="X137" s="253">
        <f t="shared" si="43"/>
        <v>22</v>
      </c>
      <c r="Y137" s="253">
        <f t="shared" si="43"/>
        <v>22</v>
      </c>
      <c r="Z137" s="253">
        <f t="shared" si="43"/>
        <v>22</v>
      </c>
      <c r="AA137" s="253">
        <f t="shared" si="43"/>
        <v>22</v>
      </c>
      <c r="AB137" s="253">
        <f t="shared" si="42"/>
        <v>22</v>
      </c>
      <c r="AC137" s="253">
        <f t="shared" si="42"/>
        <v>22</v>
      </c>
      <c r="AD137" s="253">
        <f t="shared" si="42"/>
        <v>22</v>
      </c>
      <c r="AE137" s="253">
        <f t="shared" si="42"/>
        <v>22</v>
      </c>
      <c r="AF137" s="76"/>
      <c r="AG137" s="76"/>
      <c r="AH137" s="76"/>
      <c r="AI137" s="97">
        <v>1</v>
      </c>
      <c r="AJ137" s="97">
        <v>1</v>
      </c>
      <c r="AK137" s="73"/>
      <c r="AL137" s="57"/>
      <c r="AM137" s="45"/>
      <c r="AN137" s="45"/>
      <c r="AO137" s="45"/>
    </row>
    <row r="138" spans="1:41" hidden="1" outlineLevel="2" x14ac:dyDescent="0.25">
      <c r="A138" s="45"/>
      <c r="B138" s="54"/>
      <c r="C138" s="47">
        <f t="shared" si="40"/>
        <v>3</v>
      </c>
      <c r="D138" s="73"/>
      <c r="E138" s="70"/>
      <c r="F138" s="70" t="s">
        <v>535</v>
      </c>
      <c r="G138" s="73"/>
      <c r="H138" s="76" t="s">
        <v>536</v>
      </c>
      <c r="I138" s="96" t="s">
        <v>526</v>
      </c>
      <c r="J138" s="96"/>
      <c r="K138" s="97">
        <v>28</v>
      </c>
      <c r="L138" s="97">
        <v>28</v>
      </c>
      <c r="M138" s="97">
        <v>62</v>
      </c>
      <c r="N138" s="97">
        <v>62</v>
      </c>
      <c r="O138" s="97">
        <v>62</v>
      </c>
      <c r="P138" s="97">
        <v>81</v>
      </c>
      <c r="Q138" s="76"/>
      <c r="R138" s="76" t="s">
        <v>507</v>
      </c>
      <c r="S138" s="76" t="s">
        <v>507</v>
      </c>
      <c r="T138" s="76"/>
      <c r="U138" s="253">
        <f t="shared" si="41"/>
        <v>28</v>
      </c>
      <c r="V138" s="253">
        <f t="shared" si="41"/>
        <v>28</v>
      </c>
      <c r="W138" s="253">
        <f t="shared" si="43"/>
        <v>28</v>
      </c>
      <c r="X138" s="253">
        <f t="shared" si="43"/>
        <v>28</v>
      </c>
      <c r="Y138" s="253">
        <f t="shared" si="43"/>
        <v>28</v>
      </c>
      <c r="Z138" s="253">
        <f t="shared" si="43"/>
        <v>28</v>
      </c>
      <c r="AA138" s="253">
        <f t="shared" si="43"/>
        <v>28</v>
      </c>
      <c r="AB138" s="253">
        <f t="shared" si="42"/>
        <v>28</v>
      </c>
      <c r="AC138" s="253">
        <f t="shared" si="42"/>
        <v>28</v>
      </c>
      <c r="AD138" s="253">
        <f t="shared" si="42"/>
        <v>28</v>
      </c>
      <c r="AE138" s="253">
        <f t="shared" si="42"/>
        <v>28</v>
      </c>
      <c r="AF138" s="76"/>
      <c r="AG138" s="76"/>
      <c r="AH138" s="76"/>
      <c r="AI138" s="97">
        <v>1</v>
      </c>
      <c r="AJ138" s="97">
        <v>1</v>
      </c>
      <c r="AK138" s="73"/>
      <c r="AL138" s="57"/>
      <c r="AM138" s="45"/>
      <c r="AN138" s="45"/>
      <c r="AO138" s="45"/>
    </row>
    <row r="139" spans="1:41" hidden="1" outlineLevel="2" x14ac:dyDescent="0.25">
      <c r="A139" s="45"/>
      <c r="B139" s="54"/>
      <c r="C139" s="47">
        <f t="shared" si="40"/>
        <v>3</v>
      </c>
      <c r="D139" s="73"/>
      <c r="E139" s="70"/>
      <c r="F139" s="70" t="s">
        <v>537</v>
      </c>
      <c r="G139" s="73"/>
      <c r="H139" s="76" t="s">
        <v>538</v>
      </c>
      <c r="I139" s="96" t="s">
        <v>497</v>
      </c>
      <c r="J139" s="96"/>
      <c r="K139" s="97">
        <v>1.4</v>
      </c>
      <c r="L139" s="97">
        <v>1.4</v>
      </c>
      <c r="M139" s="97">
        <v>1.7</v>
      </c>
      <c r="N139" s="97">
        <v>1.7</v>
      </c>
      <c r="O139" s="97">
        <v>1.7</v>
      </c>
      <c r="P139" s="97">
        <v>0.7</v>
      </c>
      <c r="Q139" s="76"/>
      <c r="R139" s="76" t="s">
        <v>507</v>
      </c>
      <c r="S139" s="76" t="s">
        <v>507</v>
      </c>
      <c r="T139" s="76"/>
      <c r="U139" s="253">
        <f t="shared" si="41"/>
        <v>1.4</v>
      </c>
      <c r="V139" s="253">
        <f t="shared" si="41"/>
        <v>1.4</v>
      </c>
      <c r="W139" s="253">
        <f t="shared" si="43"/>
        <v>1.4</v>
      </c>
      <c r="X139" s="253">
        <f t="shared" si="43"/>
        <v>1.4</v>
      </c>
      <c r="Y139" s="253">
        <f t="shared" si="43"/>
        <v>1.4</v>
      </c>
      <c r="Z139" s="253">
        <f t="shared" si="43"/>
        <v>1.4</v>
      </c>
      <c r="AA139" s="253">
        <f t="shared" si="43"/>
        <v>1.4</v>
      </c>
      <c r="AB139" s="253">
        <f t="shared" si="42"/>
        <v>1.4</v>
      </c>
      <c r="AC139" s="253">
        <f t="shared" si="42"/>
        <v>1.4</v>
      </c>
      <c r="AD139" s="253">
        <f t="shared" si="42"/>
        <v>1.4</v>
      </c>
      <c r="AE139" s="253">
        <f t="shared" si="42"/>
        <v>1.4</v>
      </c>
      <c r="AF139" s="76"/>
      <c r="AG139" s="76"/>
      <c r="AH139" s="76"/>
      <c r="AI139" s="97">
        <v>1</v>
      </c>
      <c r="AJ139" s="97">
        <v>1</v>
      </c>
      <c r="AK139" s="73"/>
      <c r="AL139" s="57"/>
      <c r="AM139" s="45"/>
      <c r="AN139" s="45"/>
      <c r="AO139" s="45"/>
    </row>
    <row r="140" spans="1:41" hidden="1" outlineLevel="2" x14ac:dyDescent="0.25">
      <c r="A140" s="45"/>
      <c r="B140" s="54"/>
      <c r="C140" s="47">
        <f t="shared" si="40"/>
        <v>3</v>
      </c>
      <c r="D140" s="73"/>
      <c r="E140" s="70"/>
      <c r="F140" s="70" t="s">
        <v>539</v>
      </c>
      <c r="G140" s="73"/>
      <c r="H140" s="76" t="s">
        <v>540</v>
      </c>
      <c r="I140" s="96" t="s">
        <v>541</v>
      </c>
      <c r="J140" s="96"/>
      <c r="K140" s="76"/>
      <c r="L140" s="76"/>
      <c r="M140" s="97">
        <v>0.6</v>
      </c>
      <c r="N140" s="97">
        <v>0.6</v>
      </c>
      <c r="O140" s="97">
        <v>0.6</v>
      </c>
      <c r="P140" s="97">
        <v>0.6</v>
      </c>
      <c r="Q140" s="76"/>
      <c r="R140" s="76"/>
      <c r="S140" s="76"/>
      <c r="T140" s="76"/>
      <c r="U140" s="253">
        <f t="shared" si="41"/>
        <v>0</v>
      </c>
      <c r="V140" s="253">
        <f t="shared" si="41"/>
        <v>0</v>
      </c>
      <c r="W140" s="253">
        <f t="shared" si="43"/>
        <v>0</v>
      </c>
      <c r="X140" s="253">
        <f t="shared" si="43"/>
        <v>0</v>
      </c>
      <c r="Y140" s="253">
        <f t="shared" si="43"/>
        <v>0</v>
      </c>
      <c r="Z140" s="253">
        <f t="shared" si="43"/>
        <v>0</v>
      </c>
      <c r="AA140" s="253">
        <f t="shared" si="43"/>
        <v>0</v>
      </c>
      <c r="AB140" s="253">
        <f t="shared" si="42"/>
        <v>0</v>
      </c>
      <c r="AC140" s="253">
        <f t="shared" si="42"/>
        <v>0</v>
      </c>
      <c r="AD140" s="253">
        <f t="shared" si="42"/>
        <v>0</v>
      </c>
      <c r="AE140" s="253">
        <f t="shared" si="42"/>
        <v>0</v>
      </c>
      <c r="AF140" s="76"/>
      <c r="AG140" s="76"/>
      <c r="AH140" s="76"/>
      <c r="AI140" s="97">
        <v>1</v>
      </c>
      <c r="AJ140" s="97">
        <v>1</v>
      </c>
      <c r="AK140" s="73"/>
      <c r="AL140" s="57"/>
      <c r="AM140" s="45"/>
      <c r="AN140" s="45"/>
      <c r="AO140" s="45"/>
    </row>
    <row r="141" spans="1:41" hidden="1" outlineLevel="2" x14ac:dyDescent="0.25">
      <c r="A141" s="45"/>
      <c r="B141" s="54"/>
      <c r="C141" s="47">
        <f t="shared" si="40"/>
        <v>3</v>
      </c>
      <c r="D141" s="73"/>
      <c r="E141" s="70"/>
      <c r="F141" s="70" t="s">
        <v>542</v>
      </c>
      <c r="G141" s="73"/>
      <c r="H141" s="76" t="s">
        <v>540</v>
      </c>
      <c r="I141" s="96" t="s">
        <v>497</v>
      </c>
      <c r="J141" s="96"/>
      <c r="K141" s="76"/>
      <c r="L141" s="76"/>
      <c r="M141" s="97">
        <v>0.05</v>
      </c>
      <c r="N141" s="97">
        <v>0.05</v>
      </c>
      <c r="O141" s="97">
        <v>0.05</v>
      </c>
      <c r="P141" s="97">
        <v>0.05</v>
      </c>
      <c r="Q141" s="76"/>
      <c r="R141" s="76"/>
      <c r="S141" s="76"/>
      <c r="T141" s="76"/>
      <c r="U141" s="253">
        <f t="shared" si="41"/>
        <v>0</v>
      </c>
      <c r="V141" s="253">
        <f t="shared" si="41"/>
        <v>0</v>
      </c>
      <c r="W141" s="253">
        <f t="shared" si="43"/>
        <v>0</v>
      </c>
      <c r="X141" s="253">
        <f t="shared" si="43"/>
        <v>0</v>
      </c>
      <c r="Y141" s="253">
        <f t="shared" si="43"/>
        <v>0</v>
      </c>
      <c r="Z141" s="253">
        <f t="shared" si="43"/>
        <v>0</v>
      </c>
      <c r="AA141" s="253">
        <f t="shared" si="43"/>
        <v>0</v>
      </c>
      <c r="AB141" s="253">
        <f t="shared" si="42"/>
        <v>0</v>
      </c>
      <c r="AC141" s="253">
        <f t="shared" si="42"/>
        <v>0</v>
      </c>
      <c r="AD141" s="253">
        <f t="shared" si="42"/>
        <v>0</v>
      </c>
      <c r="AE141" s="253">
        <f t="shared" si="42"/>
        <v>0</v>
      </c>
      <c r="AF141" s="76"/>
      <c r="AG141" s="76"/>
      <c r="AH141" s="76"/>
      <c r="AI141" s="97">
        <v>1</v>
      </c>
      <c r="AJ141" s="97">
        <v>1</v>
      </c>
      <c r="AK141" s="73"/>
      <c r="AL141" s="57"/>
      <c r="AM141" s="45"/>
      <c r="AN141" s="45"/>
      <c r="AO141" s="45"/>
    </row>
    <row r="142" spans="1:41" hidden="1" outlineLevel="2" x14ac:dyDescent="0.25">
      <c r="A142" s="45"/>
      <c r="B142" s="54"/>
      <c r="C142" s="47">
        <f t="shared" si="40"/>
        <v>3</v>
      </c>
      <c r="D142" s="73"/>
      <c r="E142" s="70"/>
      <c r="F142" s="70" t="s">
        <v>543</v>
      </c>
      <c r="G142" s="73"/>
      <c r="H142" s="76" t="s">
        <v>544</v>
      </c>
      <c r="I142" s="96" t="s">
        <v>497</v>
      </c>
      <c r="J142" s="96"/>
      <c r="K142" s="97">
        <v>0.15</v>
      </c>
      <c r="L142" s="97">
        <v>0.15</v>
      </c>
      <c r="M142" s="97">
        <v>0.15</v>
      </c>
      <c r="N142" s="97">
        <v>0.15</v>
      </c>
      <c r="O142" s="97">
        <v>0.15</v>
      </c>
      <c r="P142" s="97">
        <v>0.15</v>
      </c>
      <c r="Q142" s="76"/>
      <c r="R142" s="76" t="s">
        <v>545</v>
      </c>
      <c r="S142" s="76" t="s">
        <v>545</v>
      </c>
      <c r="T142" s="76"/>
      <c r="U142" s="253">
        <f t="shared" si="41"/>
        <v>0.15</v>
      </c>
      <c r="V142" s="253">
        <f t="shared" si="41"/>
        <v>0.15</v>
      </c>
      <c r="W142" s="253">
        <f t="shared" si="43"/>
        <v>0.15</v>
      </c>
      <c r="X142" s="253">
        <f t="shared" si="43"/>
        <v>0.15</v>
      </c>
      <c r="Y142" s="253">
        <f t="shared" si="43"/>
        <v>0.15</v>
      </c>
      <c r="Z142" s="253">
        <f t="shared" si="43"/>
        <v>0.15</v>
      </c>
      <c r="AA142" s="253">
        <f t="shared" si="43"/>
        <v>0.15</v>
      </c>
      <c r="AB142" s="253">
        <f t="shared" si="42"/>
        <v>0.15</v>
      </c>
      <c r="AC142" s="253">
        <f t="shared" si="42"/>
        <v>0.15</v>
      </c>
      <c r="AD142" s="253">
        <f t="shared" si="42"/>
        <v>0.15</v>
      </c>
      <c r="AE142" s="253">
        <f t="shared" si="42"/>
        <v>0.15</v>
      </c>
      <c r="AF142" s="76"/>
      <c r="AG142" s="76"/>
      <c r="AH142" s="76"/>
      <c r="AI142" s="97">
        <v>1</v>
      </c>
      <c r="AJ142" s="97">
        <v>1</v>
      </c>
      <c r="AK142" s="73"/>
      <c r="AL142" s="57"/>
      <c r="AM142" s="45"/>
      <c r="AN142" s="45"/>
      <c r="AO142" s="45"/>
    </row>
    <row r="143" spans="1:41" hidden="1" outlineLevel="2" x14ac:dyDescent="0.25">
      <c r="A143" s="45"/>
      <c r="B143" s="54"/>
      <c r="C143" s="47">
        <f t="shared" si="40"/>
        <v>3</v>
      </c>
      <c r="D143" s="73"/>
      <c r="E143" s="70"/>
      <c r="F143" s="70" t="s">
        <v>546</v>
      </c>
      <c r="G143" s="73"/>
      <c r="H143" s="76" t="s">
        <v>544</v>
      </c>
      <c r="I143" s="96" t="s">
        <v>524</v>
      </c>
      <c r="J143" s="96"/>
      <c r="K143" s="97">
        <v>0.02</v>
      </c>
      <c r="L143" s="97">
        <v>0.02</v>
      </c>
      <c r="M143" s="97">
        <v>5.0000000000000001E-3</v>
      </c>
      <c r="N143" s="97">
        <v>5.0000000000000001E-3</v>
      </c>
      <c r="O143" s="97">
        <v>5.0000000000000001E-3</v>
      </c>
      <c r="P143" s="97">
        <v>5.0000000000000001E-3</v>
      </c>
      <c r="Q143" s="76"/>
      <c r="R143" s="76" t="s">
        <v>545</v>
      </c>
      <c r="S143" s="76" t="s">
        <v>545</v>
      </c>
      <c r="T143" s="76"/>
      <c r="U143" s="253">
        <f t="shared" si="41"/>
        <v>0.02</v>
      </c>
      <c r="V143" s="253">
        <f t="shared" si="41"/>
        <v>0.02</v>
      </c>
      <c r="W143" s="253">
        <f t="shared" si="43"/>
        <v>0.02</v>
      </c>
      <c r="X143" s="253">
        <f t="shared" si="43"/>
        <v>0.02</v>
      </c>
      <c r="Y143" s="253">
        <f t="shared" si="43"/>
        <v>0.02</v>
      </c>
      <c r="Z143" s="253">
        <f t="shared" si="43"/>
        <v>0.02</v>
      </c>
      <c r="AA143" s="253">
        <f t="shared" si="43"/>
        <v>0.02</v>
      </c>
      <c r="AB143" s="253">
        <f t="shared" si="42"/>
        <v>0.02</v>
      </c>
      <c r="AC143" s="253">
        <f t="shared" si="42"/>
        <v>0.02</v>
      </c>
      <c r="AD143" s="253">
        <f t="shared" si="42"/>
        <v>0.02</v>
      </c>
      <c r="AE143" s="253">
        <f t="shared" si="42"/>
        <v>0.02</v>
      </c>
      <c r="AF143" s="76"/>
      <c r="AG143" s="76"/>
      <c r="AH143" s="76"/>
      <c r="AI143" s="97">
        <v>1</v>
      </c>
      <c r="AJ143" s="97">
        <v>1</v>
      </c>
      <c r="AK143" s="73"/>
      <c r="AL143" s="57"/>
      <c r="AM143" s="45"/>
      <c r="AN143" s="45"/>
      <c r="AO143" s="45"/>
    </row>
    <row r="144" spans="1:41" hidden="1" outlineLevel="2" x14ac:dyDescent="0.25">
      <c r="A144" s="45"/>
      <c r="B144" s="54"/>
      <c r="C144" s="47">
        <f t="shared" si="40"/>
        <v>3</v>
      </c>
      <c r="D144" s="73"/>
      <c r="E144" s="70"/>
      <c r="F144" s="70" t="s">
        <v>547</v>
      </c>
      <c r="G144" s="73"/>
      <c r="H144" s="76" t="s">
        <v>544</v>
      </c>
      <c r="I144" s="96" t="s">
        <v>524</v>
      </c>
      <c r="J144" s="96"/>
      <c r="K144" s="97">
        <v>2E-3</v>
      </c>
      <c r="L144" s="97">
        <v>2E-3</v>
      </c>
      <c r="M144" s="97">
        <v>2E-3</v>
      </c>
      <c r="N144" s="97">
        <v>2E-3</v>
      </c>
      <c r="O144" s="97">
        <v>2E-3</v>
      </c>
      <c r="P144" s="97">
        <v>2E-3</v>
      </c>
      <c r="Q144" s="76"/>
      <c r="R144" s="76" t="s">
        <v>545</v>
      </c>
      <c r="S144" s="76" t="s">
        <v>545</v>
      </c>
      <c r="T144" s="76"/>
      <c r="U144" s="253">
        <f t="shared" si="41"/>
        <v>2E-3</v>
      </c>
      <c r="V144" s="253">
        <f t="shared" si="41"/>
        <v>2E-3</v>
      </c>
      <c r="W144" s="253">
        <f t="shared" si="43"/>
        <v>2E-3</v>
      </c>
      <c r="X144" s="253">
        <f t="shared" si="43"/>
        <v>2E-3</v>
      </c>
      <c r="Y144" s="253">
        <f t="shared" si="43"/>
        <v>2E-3</v>
      </c>
      <c r="Z144" s="253">
        <f t="shared" si="43"/>
        <v>2E-3</v>
      </c>
      <c r="AA144" s="253">
        <f t="shared" si="43"/>
        <v>2E-3</v>
      </c>
      <c r="AB144" s="253">
        <f t="shared" si="42"/>
        <v>2E-3</v>
      </c>
      <c r="AC144" s="253">
        <f t="shared" si="42"/>
        <v>2E-3</v>
      </c>
      <c r="AD144" s="253">
        <f t="shared" si="42"/>
        <v>2E-3</v>
      </c>
      <c r="AE144" s="253">
        <f t="shared" si="42"/>
        <v>2E-3</v>
      </c>
      <c r="AF144" s="76"/>
      <c r="AG144" s="76"/>
      <c r="AH144" s="76"/>
      <c r="AI144" s="97">
        <v>1</v>
      </c>
      <c r="AJ144" s="97">
        <v>1</v>
      </c>
      <c r="AK144" s="73"/>
      <c r="AL144" s="57"/>
      <c r="AM144" s="45"/>
      <c r="AN144" s="45"/>
      <c r="AO144" s="45"/>
    </row>
    <row r="145" spans="1:41" hidden="1" outlineLevel="2" collapsed="1" x14ac:dyDescent="0.25">
      <c r="A145" s="45"/>
      <c r="B145" s="54"/>
      <c r="C145" s="47">
        <f t="shared" si="40"/>
        <v>3</v>
      </c>
      <c r="D145" s="73"/>
      <c r="E145" s="70"/>
      <c r="F145" s="70" t="s">
        <v>548</v>
      </c>
      <c r="G145" s="73"/>
      <c r="H145" s="76" t="s">
        <v>549</v>
      </c>
      <c r="I145" s="96" t="s">
        <v>497</v>
      </c>
      <c r="J145" s="96"/>
      <c r="K145" s="97">
        <v>0.5</v>
      </c>
      <c r="L145" s="97">
        <v>0.5</v>
      </c>
      <c r="M145" s="97">
        <v>0.5</v>
      </c>
      <c r="N145" s="97">
        <v>0.5</v>
      </c>
      <c r="O145" s="97">
        <v>0.5</v>
      </c>
      <c r="P145" s="97">
        <v>0.5</v>
      </c>
      <c r="Q145" s="76"/>
      <c r="R145" s="76" t="s">
        <v>545</v>
      </c>
      <c r="S145" s="76" t="s">
        <v>545</v>
      </c>
      <c r="T145" s="76"/>
      <c r="U145" s="253">
        <f t="shared" si="41"/>
        <v>0.5</v>
      </c>
      <c r="V145" s="253">
        <f t="shared" si="41"/>
        <v>0.5</v>
      </c>
      <c r="W145" s="253">
        <f t="shared" si="43"/>
        <v>0.5</v>
      </c>
      <c r="X145" s="253">
        <f t="shared" si="43"/>
        <v>0.5</v>
      </c>
      <c r="Y145" s="253">
        <f t="shared" si="43"/>
        <v>0.5</v>
      </c>
      <c r="Z145" s="253">
        <f t="shared" si="43"/>
        <v>0.5</v>
      </c>
      <c r="AA145" s="253">
        <f t="shared" si="43"/>
        <v>0.5</v>
      </c>
      <c r="AB145" s="253">
        <f t="shared" si="42"/>
        <v>0.5</v>
      </c>
      <c r="AC145" s="253">
        <f t="shared" si="42"/>
        <v>0.5</v>
      </c>
      <c r="AD145" s="253">
        <f t="shared" si="42"/>
        <v>0.5</v>
      </c>
      <c r="AE145" s="253">
        <f t="shared" si="42"/>
        <v>0.5</v>
      </c>
      <c r="AF145" s="76"/>
      <c r="AG145" s="76"/>
      <c r="AH145" s="76"/>
      <c r="AI145" s="97">
        <v>1</v>
      </c>
      <c r="AJ145" s="97">
        <v>1</v>
      </c>
      <c r="AK145" s="73"/>
      <c r="AL145" s="57"/>
      <c r="AM145" s="45"/>
      <c r="AN145" s="45"/>
      <c r="AO145" s="45"/>
    </row>
    <row r="146" spans="1:41" hidden="1" outlineLevel="3" x14ac:dyDescent="0.25">
      <c r="A146" s="45"/>
      <c r="B146" s="54"/>
      <c r="C146" s="47">
        <f t="shared" si="40"/>
        <v>3</v>
      </c>
      <c r="D146" s="73"/>
      <c r="E146" s="70"/>
      <c r="F146" s="70" t="s">
        <v>550</v>
      </c>
      <c r="G146" s="73"/>
      <c r="H146" s="76" t="s">
        <v>551</v>
      </c>
      <c r="I146" s="96" t="s">
        <v>497</v>
      </c>
      <c r="J146" s="9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97">
        <v>1</v>
      </c>
      <c r="AJ146" s="97">
        <v>1</v>
      </c>
      <c r="AK146" s="73"/>
      <c r="AL146" s="57"/>
      <c r="AM146" s="45"/>
      <c r="AN146" s="45"/>
      <c r="AO146" s="45"/>
    </row>
    <row r="147" spans="1:41" hidden="1" outlineLevel="2" x14ac:dyDescent="0.25">
      <c r="A147" s="45"/>
      <c r="B147" s="54"/>
      <c r="C147" s="47">
        <f t="shared" si="40"/>
        <v>3</v>
      </c>
      <c r="D147" s="73"/>
      <c r="E147" s="70"/>
      <c r="F147" s="70" t="s">
        <v>552</v>
      </c>
      <c r="G147" s="73"/>
      <c r="H147" s="76" t="s">
        <v>553</v>
      </c>
      <c r="I147" s="96" t="s">
        <v>497</v>
      </c>
      <c r="J147" s="96"/>
      <c r="K147" s="97">
        <v>0.01</v>
      </c>
      <c r="L147" s="97">
        <v>0.01</v>
      </c>
      <c r="M147" s="97">
        <v>0.01</v>
      </c>
      <c r="N147" s="97">
        <v>0.01</v>
      </c>
      <c r="O147" s="97">
        <v>0.01</v>
      </c>
      <c r="P147" s="97">
        <v>0.01</v>
      </c>
      <c r="Q147" s="76"/>
      <c r="R147" s="76" t="s">
        <v>554</v>
      </c>
      <c r="S147" s="76" t="s">
        <v>554</v>
      </c>
      <c r="T147" s="76"/>
      <c r="U147" s="253">
        <f t="shared" ref="U147:AE148" si="44">INDEX($K147:$Q147,1,U$43)</f>
        <v>0.01</v>
      </c>
      <c r="V147" s="253">
        <f t="shared" si="44"/>
        <v>0.01</v>
      </c>
      <c r="W147" s="253">
        <f t="shared" si="44"/>
        <v>0.01</v>
      </c>
      <c r="X147" s="253">
        <f t="shared" si="44"/>
        <v>0.01</v>
      </c>
      <c r="Y147" s="253">
        <f t="shared" si="44"/>
        <v>0.01</v>
      </c>
      <c r="Z147" s="253">
        <f t="shared" si="44"/>
        <v>0.01</v>
      </c>
      <c r="AA147" s="253">
        <f t="shared" si="44"/>
        <v>0.01</v>
      </c>
      <c r="AB147" s="253">
        <f t="shared" si="44"/>
        <v>0.01</v>
      </c>
      <c r="AC147" s="253">
        <f t="shared" si="44"/>
        <v>0.01</v>
      </c>
      <c r="AD147" s="253">
        <f t="shared" si="44"/>
        <v>0.01</v>
      </c>
      <c r="AE147" s="253">
        <f t="shared" si="44"/>
        <v>0.01</v>
      </c>
      <c r="AF147" s="76"/>
      <c r="AG147" s="76"/>
      <c r="AH147" s="76"/>
      <c r="AI147" s="97">
        <v>1</v>
      </c>
      <c r="AJ147" s="97">
        <v>1</v>
      </c>
      <c r="AK147" s="73"/>
      <c r="AL147" s="57"/>
      <c r="AM147" s="45"/>
      <c r="AN147" s="45"/>
      <c r="AO147" s="45"/>
    </row>
    <row r="148" spans="1:41" hidden="1" outlineLevel="2" collapsed="1" x14ac:dyDescent="0.25">
      <c r="A148" s="45"/>
      <c r="B148" s="54"/>
      <c r="C148" s="47">
        <f t="shared" si="40"/>
        <v>3</v>
      </c>
      <c r="D148" s="73"/>
      <c r="E148" s="70"/>
      <c r="F148" s="70" t="s">
        <v>555</v>
      </c>
      <c r="G148" s="73"/>
      <c r="H148" s="76" t="s">
        <v>556</v>
      </c>
      <c r="I148" s="96" t="s">
        <v>497</v>
      </c>
      <c r="J148" s="96"/>
      <c r="K148" s="97">
        <v>20</v>
      </c>
      <c r="L148" s="97">
        <v>20</v>
      </c>
      <c r="M148" s="97">
        <v>20</v>
      </c>
      <c r="N148" s="97">
        <v>20</v>
      </c>
      <c r="O148" s="97">
        <v>20</v>
      </c>
      <c r="P148" s="97">
        <v>20</v>
      </c>
      <c r="Q148" s="76"/>
      <c r="R148" s="76" t="s">
        <v>554</v>
      </c>
      <c r="S148" s="76" t="s">
        <v>554</v>
      </c>
      <c r="T148" s="76"/>
      <c r="U148" s="253">
        <f t="shared" si="44"/>
        <v>20</v>
      </c>
      <c r="V148" s="253">
        <f t="shared" si="44"/>
        <v>20</v>
      </c>
      <c r="W148" s="253">
        <f t="shared" si="44"/>
        <v>20</v>
      </c>
      <c r="X148" s="253">
        <f t="shared" si="44"/>
        <v>20</v>
      </c>
      <c r="Y148" s="253">
        <f t="shared" si="44"/>
        <v>20</v>
      </c>
      <c r="Z148" s="253">
        <f t="shared" si="44"/>
        <v>20</v>
      </c>
      <c r="AA148" s="253">
        <f t="shared" si="44"/>
        <v>20</v>
      </c>
      <c r="AB148" s="253">
        <f t="shared" si="44"/>
        <v>20</v>
      </c>
      <c r="AC148" s="253">
        <f t="shared" si="44"/>
        <v>20</v>
      </c>
      <c r="AD148" s="253">
        <f t="shared" si="44"/>
        <v>20</v>
      </c>
      <c r="AE148" s="253">
        <f t="shared" si="44"/>
        <v>20</v>
      </c>
      <c r="AF148" s="76"/>
      <c r="AG148" s="76"/>
      <c r="AH148" s="76"/>
      <c r="AI148" s="97">
        <v>1</v>
      </c>
      <c r="AJ148" s="97">
        <v>1</v>
      </c>
      <c r="AK148" s="73"/>
      <c r="AL148" s="57"/>
      <c r="AM148" s="45"/>
      <c r="AN148" s="45"/>
      <c r="AO148" s="45"/>
    </row>
    <row r="149" spans="1:41" hidden="1" outlineLevel="3" x14ac:dyDescent="0.25">
      <c r="A149" s="45"/>
      <c r="B149" s="54"/>
      <c r="C149" s="47">
        <f>INT($C$29)+3</f>
        <v>4</v>
      </c>
      <c r="D149" s="73"/>
      <c r="E149" s="70"/>
      <c r="F149" s="70" t="s">
        <v>557</v>
      </c>
      <c r="G149" s="73"/>
      <c r="H149" s="76" t="s">
        <v>558</v>
      </c>
      <c r="I149" s="96"/>
      <c r="J149" s="9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97">
        <v>1</v>
      </c>
      <c r="AJ149" s="97">
        <v>1</v>
      </c>
      <c r="AK149" s="73"/>
      <c r="AL149" s="57"/>
      <c r="AM149" s="45"/>
      <c r="AN149" s="45"/>
      <c r="AO149" s="45"/>
    </row>
    <row r="150" spans="1:41" hidden="1" outlineLevel="2" x14ac:dyDescent="0.25">
      <c r="A150" s="45"/>
      <c r="B150" s="54"/>
      <c r="C150" s="47">
        <f>INT($C$29)+2</f>
        <v>3</v>
      </c>
      <c r="D150" s="73"/>
      <c r="E150" s="70"/>
      <c r="F150" s="70" t="s">
        <v>559</v>
      </c>
      <c r="G150" s="73"/>
      <c r="H150" s="76" t="s">
        <v>560</v>
      </c>
      <c r="I150" s="96" t="s">
        <v>497</v>
      </c>
      <c r="J150" s="96"/>
      <c r="K150" s="97">
        <v>1.5</v>
      </c>
      <c r="L150" s="97">
        <v>1.7</v>
      </c>
      <c r="M150" s="97">
        <v>1.5</v>
      </c>
      <c r="N150" s="97">
        <v>1.5</v>
      </c>
      <c r="O150" s="97">
        <v>1.5</v>
      </c>
      <c r="P150" s="97">
        <v>1.5</v>
      </c>
      <c r="Q150" s="76"/>
      <c r="R150" s="76" t="s">
        <v>2276</v>
      </c>
      <c r="S150" s="76" t="s">
        <v>545</v>
      </c>
      <c r="T150" s="76"/>
      <c r="U150" s="253">
        <f t="shared" ref="U150:AE153" si="45">INDEX($K150:$Q150,1,U$43)</f>
        <v>1.5</v>
      </c>
      <c r="V150" s="253">
        <f t="shared" si="45"/>
        <v>1.5</v>
      </c>
      <c r="W150" s="253">
        <f t="shared" si="45"/>
        <v>1.5</v>
      </c>
      <c r="X150" s="253">
        <f t="shared" si="45"/>
        <v>1.5</v>
      </c>
      <c r="Y150" s="253">
        <f t="shared" si="45"/>
        <v>1.5</v>
      </c>
      <c r="Z150" s="253">
        <f t="shared" si="45"/>
        <v>1.5</v>
      </c>
      <c r="AA150" s="253">
        <f t="shared" si="45"/>
        <v>1.5</v>
      </c>
      <c r="AB150" s="253">
        <f t="shared" si="45"/>
        <v>1.7</v>
      </c>
      <c r="AC150" s="253">
        <f t="shared" si="45"/>
        <v>1.7</v>
      </c>
      <c r="AD150" s="253">
        <f t="shared" si="45"/>
        <v>1.7</v>
      </c>
      <c r="AE150" s="253">
        <f t="shared" si="45"/>
        <v>1.7</v>
      </c>
      <c r="AF150" s="76"/>
      <c r="AG150" s="76"/>
      <c r="AH150" s="76"/>
      <c r="AI150" s="97">
        <v>1</v>
      </c>
      <c r="AJ150" s="97">
        <v>1</v>
      </c>
      <c r="AK150" s="73"/>
      <c r="AL150" s="57"/>
      <c r="AM150" s="45"/>
      <c r="AN150" s="45"/>
      <c r="AO150" s="45"/>
    </row>
    <row r="151" spans="1:41" hidden="1" outlineLevel="2" x14ac:dyDescent="0.25">
      <c r="A151" s="45"/>
      <c r="B151" s="54"/>
      <c r="C151" s="47">
        <f t="shared" ref="C151:C152" si="46">INT($C$29)+2</f>
        <v>3</v>
      </c>
      <c r="D151" s="73"/>
      <c r="E151" s="70"/>
      <c r="F151" s="70" t="s">
        <v>561</v>
      </c>
      <c r="G151" s="73"/>
      <c r="H151" s="76" t="s">
        <v>518</v>
      </c>
      <c r="I151" s="96" t="s">
        <v>497</v>
      </c>
      <c r="J151" s="96"/>
      <c r="K151" s="261">
        <f>K$131*(K$132-1)</f>
        <v>2.7999999999999997E-2</v>
      </c>
      <c r="L151" s="261">
        <f t="shared" ref="L151:P151" si="47">L$131*(L$132-1)</f>
        <v>3.4999999999999996E-2</v>
      </c>
      <c r="M151" s="261">
        <f t="shared" si="47"/>
        <v>1.7499999999999998E-2</v>
      </c>
      <c r="N151" s="261">
        <f t="shared" si="47"/>
        <v>1.7499999999999998E-2</v>
      </c>
      <c r="O151" s="261">
        <f t="shared" si="47"/>
        <v>1.7499999999999998E-2</v>
      </c>
      <c r="P151" s="261">
        <f t="shared" si="47"/>
        <v>1.7499999999999998E-2</v>
      </c>
      <c r="Q151" s="76"/>
      <c r="R151" s="76" t="s">
        <v>3819</v>
      </c>
      <c r="S151" s="76" t="s">
        <v>3818</v>
      </c>
      <c r="T151" s="76" t="s">
        <v>3273</v>
      </c>
      <c r="U151" s="253">
        <f t="shared" si="45"/>
        <v>2.7999999999999997E-2</v>
      </c>
      <c r="V151" s="253">
        <f t="shared" si="45"/>
        <v>2.7999999999999997E-2</v>
      </c>
      <c r="W151" s="253">
        <f t="shared" si="45"/>
        <v>2.7999999999999997E-2</v>
      </c>
      <c r="X151" s="628">
        <f t="shared" ref="X151:AA151" si="48">X$131*(X$132-1)</f>
        <v>2.9749999999999999E-2</v>
      </c>
      <c r="Y151" s="628">
        <f t="shared" si="48"/>
        <v>2.9749999999999999E-2</v>
      </c>
      <c r="Z151" s="628">
        <f t="shared" si="48"/>
        <v>2.9749999999999999E-2</v>
      </c>
      <c r="AA151" s="628">
        <f t="shared" si="48"/>
        <v>2.9749999999999999E-2</v>
      </c>
      <c r="AB151" s="253">
        <f t="shared" si="45"/>
        <v>3.4999999999999996E-2</v>
      </c>
      <c r="AC151" s="253">
        <f t="shared" si="45"/>
        <v>3.4999999999999996E-2</v>
      </c>
      <c r="AD151" s="253">
        <f t="shared" si="45"/>
        <v>3.4999999999999996E-2</v>
      </c>
      <c r="AE151" s="253">
        <f t="shared" si="45"/>
        <v>3.4999999999999996E-2</v>
      </c>
      <c r="AF151" s="76"/>
      <c r="AG151" s="76"/>
      <c r="AH151" s="76"/>
      <c r="AI151" s="97">
        <v>1</v>
      </c>
      <c r="AJ151" s="97">
        <v>1</v>
      </c>
      <c r="AK151" s="73"/>
      <c r="AL151" s="57"/>
      <c r="AM151" s="45"/>
      <c r="AN151" s="45"/>
      <c r="AO151" s="45"/>
    </row>
    <row r="152" spans="1:41" hidden="1" outlineLevel="2" x14ac:dyDescent="0.25">
      <c r="A152" s="45"/>
      <c r="B152" s="54"/>
      <c r="C152" s="47">
        <f t="shared" si="46"/>
        <v>3</v>
      </c>
      <c r="D152" s="73"/>
      <c r="E152" s="70"/>
      <c r="F152" s="70" t="s">
        <v>3816</v>
      </c>
      <c r="G152" s="73"/>
      <c r="H152" s="76" t="s">
        <v>521</v>
      </c>
      <c r="I152" s="96" t="s">
        <v>497</v>
      </c>
      <c r="J152" s="96"/>
      <c r="K152" s="261">
        <f>K$132</f>
        <v>1.7</v>
      </c>
      <c r="L152" s="261">
        <f t="shared" ref="L152:P152" si="49">L$132</f>
        <v>1.7</v>
      </c>
      <c r="M152" s="261">
        <f t="shared" si="49"/>
        <v>1.7</v>
      </c>
      <c r="N152" s="261">
        <f t="shared" si="49"/>
        <v>1.7</v>
      </c>
      <c r="O152" s="261">
        <f t="shared" si="49"/>
        <v>1.7</v>
      </c>
      <c r="P152" s="261">
        <f t="shared" si="49"/>
        <v>1.7</v>
      </c>
      <c r="Q152" s="76"/>
      <c r="R152" s="76" t="s">
        <v>507</v>
      </c>
      <c r="S152" s="76" t="s">
        <v>507</v>
      </c>
      <c r="T152" s="76" t="s">
        <v>3273</v>
      </c>
      <c r="U152" s="253">
        <f t="shared" si="45"/>
        <v>1.7</v>
      </c>
      <c r="V152" s="253">
        <f t="shared" si="45"/>
        <v>1.7</v>
      </c>
      <c r="W152" s="253">
        <f t="shared" si="45"/>
        <v>1.7</v>
      </c>
      <c r="X152" s="253">
        <f t="shared" si="45"/>
        <v>1.7</v>
      </c>
      <c r="Y152" s="253">
        <f t="shared" si="45"/>
        <v>1.7</v>
      </c>
      <c r="Z152" s="253">
        <f t="shared" si="45"/>
        <v>1.7</v>
      </c>
      <c r="AA152" s="253">
        <f t="shared" si="45"/>
        <v>1.7</v>
      </c>
      <c r="AB152" s="253">
        <f t="shared" si="45"/>
        <v>1.7</v>
      </c>
      <c r="AC152" s="253">
        <f t="shared" si="45"/>
        <v>1.7</v>
      </c>
      <c r="AD152" s="253">
        <f t="shared" si="45"/>
        <v>1.7</v>
      </c>
      <c r="AE152" s="253">
        <f t="shared" si="45"/>
        <v>1.7</v>
      </c>
      <c r="AF152" s="76"/>
      <c r="AG152" s="76"/>
      <c r="AH152" s="76"/>
      <c r="AI152" s="97">
        <v>1</v>
      </c>
      <c r="AJ152" s="97">
        <v>1</v>
      </c>
      <c r="AK152" s="73"/>
      <c r="AL152" s="57"/>
      <c r="AM152" s="45"/>
      <c r="AN152" s="45"/>
      <c r="AO152" s="45"/>
    </row>
    <row r="153" spans="1:41" hidden="1" outlineLevel="2" x14ac:dyDescent="0.25">
      <c r="A153" s="45"/>
      <c r="B153" s="54"/>
      <c r="C153" s="47">
        <f>INT($C$29)+2</f>
        <v>3</v>
      </c>
      <c r="D153" s="73"/>
      <c r="E153" s="70"/>
      <c r="F153" s="70" t="s">
        <v>3817</v>
      </c>
      <c r="G153" s="73"/>
      <c r="H153" s="76" t="s">
        <v>562</v>
      </c>
      <c r="I153" s="96" t="s">
        <v>497</v>
      </c>
      <c r="J153" s="96"/>
      <c r="K153" s="97">
        <v>3</v>
      </c>
      <c r="L153" s="97">
        <v>3</v>
      </c>
      <c r="M153" s="97">
        <v>3</v>
      </c>
      <c r="N153" s="97">
        <v>3</v>
      </c>
      <c r="O153" s="97">
        <v>3</v>
      </c>
      <c r="P153" s="97">
        <v>3</v>
      </c>
      <c r="Q153" s="76"/>
      <c r="R153" s="76"/>
      <c r="S153" s="76" t="s">
        <v>501</v>
      </c>
      <c r="T153" s="76"/>
      <c r="U153" s="253">
        <f t="shared" si="45"/>
        <v>3</v>
      </c>
      <c r="V153" s="253">
        <f t="shared" si="45"/>
        <v>3</v>
      </c>
      <c r="W153" s="253">
        <f t="shared" si="45"/>
        <v>3</v>
      </c>
      <c r="X153" s="253">
        <f t="shared" si="45"/>
        <v>3</v>
      </c>
      <c r="Y153" s="253">
        <f t="shared" si="45"/>
        <v>3</v>
      </c>
      <c r="Z153" s="253">
        <f t="shared" si="45"/>
        <v>3</v>
      </c>
      <c r="AA153" s="253">
        <f t="shared" si="45"/>
        <v>3</v>
      </c>
      <c r="AB153" s="253">
        <f t="shared" si="45"/>
        <v>3</v>
      </c>
      <c r="AC153" s="253">
        <f t="shared" si="45"/>
        <v>3</v>
      </c>
      <c r="AD153" s="253">
        <f t="shared" si="45"/>
        <v>3</v>
      </c>
      <c r="AE153" s="253">
        <f t="shared" si="45"/>
        <v>3</v>
      </c>
      <c r="AF153" s="76"/>
      <c r="AG153" s="76"/>
      <c r="AH153" s="76"/>
      <c r="AI153" s="97">
        <v>1</v>
      </c>
      <c r="AJ153" s="97">
        <v>1</v>
      </c>
      <c r="AK153" s="73"/>
      <c r="AL153" s="57"/>
      <c r="AM153" s="45"/>
      <c r="AN153" s="45"/>
      <c r="AO153" s="45"/>
    </row>
    <row r="154" spans="1:41" outlineLevel="1" collapsed="1" x14ac:dyDescent="0.25">
      <c r="A154" s="45"/>
      <c r="B154" s="54"/>
      <c r="C154" s="47">
        <f>INT($C$29)+1</f>
        <v>2</v>
      </c>
      <c r="D154" s="73"/>
      <c r="E154" s="70"/>
      <c r="F154" s="256" t="s">
        <v>563</v>
      </c>
      <c r="G154" s="73"/>
      <c r="H154" s="246" t="s">
        <v>564</v>
      </c>
      <c r="I154" s="96"/>
      <c r="J154" s="96" t="s">
        <v>514</v>
      </c>
      <c r="K154" s="79">
        <v>23</v>
      </c>
      <c r="L154" s="76"/>
      <c r="M154" s="79">
        <v>0</v>
      </c>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3"/>
      <c r="AL154" s="57"/>
      <c r="AM154" s="45"/>
      <c r="AN154" s="45"/>
      <c r="AO154" s="45"/>
    </row>
    <row r="155" spans="1:41" hidden="1" outlineLevel="3" x14ac:dyDescent="0.25">
      <c r="A155" s="45"/>
      <c r="B155" s="54"/>
      <c r="C155" s="47">
        <f>INT($C$29)+3</f>
        <v>4</v>
      </c>
      <c r="D155" s="73"/>
      <c r="E155" s="70" t="s">
        <v>565</v>
      </c>
      <c r="F155" s="70" t="s">
        <v>566</v>
      </c>
      <c r="G155" s="73"/>
      <c r="H155" s="76" t="s">
        <v>491</v>
      </c>
      <c r="I155" s="96"/>
      <c r="J155" s="9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v>1</v>
      </c>
      <c r="AJ155" s="76">
        <v>1</v>
      </c>
      <c r="AK155" s="73"/>
      <c r="AL155" s="57"/>
      <c r="AM155" s="45"/>
      <c r="AN155" s="45"/>
      <c r="AO155" s="45"/>
    </row>
    <row r="156" spans="1:41" hidden="1" outlineLevel="2" x14ac:dyDescent="0.25">
      <c r="A156" s="45"/>
      <c r="B156" s="54"/>
      <c r="C156" s="47">
        <f t="shared" ref="C156:C169" si="50">INT($C$29)+2</f>
        <v>3</v>
      </c>
      <c r="D156" s="73"/>
      <c r="E156" s="70"/>
      <c r="F156" s="70" t="s">
        <v>567</v>
      </c>
      <c r="G156" s="73"/>
      <c r="H156" s="76" t="s">
        <v>568</v>
      </c>
      <c r="I156" s="96" t="s">
        <v>569</v>
      </c>
      <c r="J156" s="96"/>
      <c r="K156" s="97">
        <v>0.8</v>
      </c>
      <c r="L156" s="97">
        <v>0.8</v>
      </c>
      <c r="M156" s="97">
        <v>0.8</v>
      </c>
      <c r="N156" s="97">
        <v>0.8</v>
      </c>
      <c r="O156" s="97">
        <v>0.8</v>
      </c>
      <c r="P156" s="97">
        <v>0.8</v>
      </c>
      <c r="Q156" s="76"/>
      <c r="R156" s="76" t="s">
        <v>507</v>
      </c>
      <c r="S156" s="76" t="s">
        <v>507</v>
      </c>
      <c r="T156" s="76"/>
      <c r="U156" s="253">
        <f t="shared" ref="U156:AE169" si="51">INDEX($K156:$Q156,1,U$43)</f>
        <v>0.8</v>
      </c>
      <c r="V156" s="253">
        <f t="shared" si="51"/>
        <v>0.8</v>
      </c>
      <c r="W156" s="253">
        <f t="shared" si="51"/>
        <v>0.8</v>
      </c>
      <c r="X156" s="253">
        <f t="shared" si="51"/>
        <v>0.8</v>
      </c>
      <c r="Y156" s="253">
        <f t="shared" si="51"/>
        <v>0.8</v>
      </c>
      <c r="Z156" s="253">
        <f t="shared" si="51"/>
        <v>0.8</v>
      </c>
      <c r="AA156" s="253">
        <f t="shared" si="51"/>
        <v>0.8</v>
      </c>
      <c r="AB156" s="253">
        <f t="shared" si="51"/>
        <v>0.8</v>
      </c>
      <c r="AC156" s="253">
        <f t="shared" si="51"/>
        <v>0.8</v>
      </c>
      <c r="AD156" s="253">
        <f t="shared" si="51"/>
        <v>0.8</v>
      </c>
      <c r="AE156" s="253">
        <f t="shared" si="51"/>
        <v>0.8</v>
      </c>
      <c r="AF156" s="76"/>
      <c r="AG156" s="76"/>
      <c r="AH156" s="76"/>
      <c r="AI156" s="97">
        <v>1</v>
      </c>
      <c r="AJ156" s="97">
        <v>1</v>
      </c>
      <c r="AK156" s="73"/>
      <c r="AL156" s="57"/>
      <c r="AM156" s="45"/>
      <c r="AN156" s="45"/>
      <c r="AO156" s="45"/>
    </row>
    <row r="157" spans="1:41" hidden="1" outlineLevel="2" x14ac:dyDescent="0.25">
      <c r="A157" s="45"/>
      <c r="B157" s="54"/>
      <c r="C157" s="47">
        <f t="shared" si="50"/>
        <v>3</v>
      </c>
      <c r="D157" s="73"/>
      <c r="E157" s="70"/>
      <c r="F157" s="70" t="s">
        <v>570</v>
      </c>
      <c r="G157" s="73"/>
      <c r="H157" s="76" t="s">
        <v>571</v>
      </c>
      <c r="I157" s="96" t="s">
        <v>497</v>
      </c>
      <c r="J157" s="96"/>
      <c r="K157" s="97">
        <v>0.17</v>
      </c>
      <c r="L157" s="97">
        <v>0.17</v>
      </c>
      <c r="M157" s="97">
        <v>0.17</v>
      </c>
      <c r="N157" s="97">
        <v>0.17</v>
      </c>
      <c r="O157" s="97">
        <v>0.17</v>
      </c>
      <c r="P157" s="97">
        <v>0.17</v>
      </c>
      <c r="Q157" s="76"/>
      <c r="R157" s="76" t="s">
        <v>507</v>
      </c>
      <c r="S157" s="76" t="s">
        <v>507</v>
      </c>
      <c r="T157" s="76"/>
      <c r="U157" s="253">
        <f t="shared" si="51"/>
        <v>0.17</v>
      </c>
      <c r="V157" s="253">
        <f t="shared" si="51"/>
        <v>0.17</v>
      </c>
      <c r="W157" s="253">
        <f t="shared" si="51"/>
        <v>0.17</v>
      </c>
      <c r="X157" s="253">
        <f t="shared" si="51"/>
        <v>0.17</v>
      </c>
      <c r="Y157" s="253">
        <f t="shared" si="51"/>
        <v>0.17</v>
      </c>
      <c r="Z157" s="253">
        <f t="shared" si="51"/>
        <v>0.17</v>
      </c>
      <c r="AA157" s="253">
        <f t="shared" si="51"/>
        <v>0.17</v>
      </c>
      <c r="AB157" s="253">
        <f t="shared" si="51"/>
        <v>0.17</v>
      </c>
      <c r="AC157" s="253">
        <f t="shared" si="51"/>
        <v>0.17</v>
      </c>
      <c r="AD157" s="253">
        <f t="shared" si="51"/>
        <v>0.17</v>
      </c>
      <c r="AE157" s="253">
        <f t="shared" si="51"/>
        <v>0.17</v>
      </c>
      <c r="AF157" s="76"/>
      <c r="AG157" s="76"/>
      <c r="AH157" s="76"/>
      <c r="AI157" s="97">
        <v>1</v>
      </c>
      <c r="AJ157" s="97">
        <v>1</v>
      </c>
      <c r="AK157" s="73"/>
      <c r="AL157" s="57"/>
      <c r="AM157" s="45"/>
      <c r="AN157" s="45"/>
      <c r="AO157" s="45"/>
    </row>
    <row r="158" spans="1:41" hidden="1" outlineLevel="2" x14ac:dyDescent="0.25">
      <c r="A158" s="45"/>
      <c r="B158" s="54"/>
      <c r="C158" s="47">
        <f t="shared" si="50"/>
        <v>3</v>
      </c>
      <c r="D158" s="73"/>
      <c r="E158" s="70"/>
      <c r="F158" s="70" t="s">
        <v>572</v>
      </c>
      <c r="G158" s="73"/>
      <c r="H158" s="76" t="s">
        <v>573</v>
      </c>
      <c r="I158" s="96" t="s">
        <v>497</v>
      </c>
      <c r="J158" s="96"/>
      <c r="K158" s="97">
        <v>1.7</v>
      </c>
      <c r="L158" s="97">
        <v>1.7</v>
      </c>
      <c r="M158" s="97">
        <v>1.7</v>
      </c>
      <c r="N158" s="97">
        <v>1.7</v>
      </c>
      <c r="O158" s="97">
        <v>1.7</v>
      </c>
      <c r="P158" s="97">
        <v>1.7</v>
      </c>
      <c r="Q158" s="76"/>
      <c r="R158" s="76" t="s">
        <v>507</v>
      </c>
      <c r="S158" s="76" t="s">
        <v>507</v>
      </c>
      <c r="T158" s="76"/>
      <c r="U158" s="253">
        <f t="shared" si="51"/>
        <v>1.7</v>
      </c>
      <c r="V158" s="253">
        <f t="shared" si="51"/>
        <v>1.7</v>
      </c>
      <c r="W158" s="253">
        <f t="shared" si="51"/>
        <v>1.7</v>
      </c>
      <c r="X158" s="253">
        <f t="shared" si="51"/>
        <v>1.7</v>
      </c>
      <c r="Y158" s="253">
        <f t="shared" si="51"/>
        <v>1.7</v>
      </c>
      <c r="Z158" s="253">
        <f t="shared" si="51"/>
        <v>1.7</v>
      </c>
      <c r="AA158" s="253">
        <f t="shared" si="51"/>
        <v>1.7</v>
      </c>
      <c r="AB158" s="253">
        <f t="shared" si="51"/>
        <v>1.7</v>
      </c>
      <c r="AC158" s="253">
        <f t="shared" si="51"/>
        <v>1.7</v>
      </c>
      <c r="AD158" s="253">
        <f t="shared" si="51"/>
        <v>1.7</v>
      </c>
      <c r="AE158" s="253">
        <f t="shared" si="51"/>
        <v>1.7</v>
      </c>
      <c r="AF158" s="76"/>
      <c r="AG158" s="76"/>
      <c r="AH158" s="76"/>
      <c r="AI158" s="97">
        <v>1</v>
      </c>
      <c r="AJ158" s="97">
        <v>1</v>
      </c>
      <c r="AK158" s="73"/>
      <c r="AL158" s="57"/>
      <c r="AM158" s="45"/>
      <c r="AN158" s="45"/>
      <c r="AO158" s="45"/>
    </row>
    <row r="159" spans="1:41" hidden="1" outlineLevel="2" x14ac:dyDescent="0.25">
      <c r="A159" s="45"/>
      <c r="B159" s="54"/>
      <c r="C159" s="47">
        <f t="shared" si="50"/>
        <v>3</v>
      </c>
      <c r="D159" s="73"/>
      <c r="E159" s="70"/>
      <c r="F159" s="70" t="s">
        <v>574</v>
      </c>
      <c r="G159" s="73"/>
      <c r="H159" s="76" t="s">
        <v>575</v>
      </c>
      <c r="I159" s="96" t="s">
        <v>541</v>
      </c>
      <c r="J159" s="96"/>
      <c r="K159" s="97">
        <v>1.1199999999999999E-3</v>
      </c>
      <c r="L159" s="97">
        <v>1.1199999999999999E-3</v>
      </c>
      <c r="M159" s="97">
        <v>7.7999999999999999E-4</v>
      </c>
      <c r="N159" s="97">
        <v>7.7999999999999999E-4</v>
      </c>
      <c r="O159" s="97">
        <v>7.7999999999999999E-4</v>
      </c>
      <c r="P159" s="97">
        <v>7.7999999999999999E-4</v>
      </c>
      <c r="Q159" s="76"/>
      <c r="R159" s="76" t="s">
        <v>507</v>
      </c>
      <c r="S159" s="76" t="s">
        <v>507</v>
      </c>
      <c r="T159" s="76"/>
      <c r="U159" s="253">
        <f t="shared" si="51"/>
        <v>1.1199999999999999E-3</v>
      </c>
      <c r="V159" s="253">
        <f t="shared" si="51"/>
        <v>1.1199999999999999E-3</v>
      </c>
      <c r="W159" s="253">
        <f t="shared" si="51"/>
        <v>1.1199999999999999E-3</v>
      </c>
      <c r="X159" s="253">
        <f t="shared" si="51"/>
        <v>1.1199999999999999E-3</v>
      </c>
      <c r="Y159" s="253">
        <f t="shared" si="51"/>
        <v>1.1199999999999999E-3</v>
      </c>
      <c r="Z159" s="253">
        <f t="shared" si="51"/>
        <v>1.1199999999999999E-3</v>
      </c>
      <c r="AA159" s="253">
        <f t="shared" si="51"/>
        <v>1.1199999999999999E-3</v>
      </c>
      <c r="AB159" s="253">
        <f t="shared" si="51"/>
        <v>1.1199999999999999E-3</v>
      </c>
      <c r="AC159" s="253">
        <f t="shared" si="51"/>
        <v>1.1199999999999999E-3</v>
      </c>
      <c r="AD159" s="253">
        <f t="shared" si="51"/>
        <v>1.1199999999999999E-3</v>
      </c>
      <c r="AE159" s="253">
        <f t="shared" si="51"/>
        <v>1.1199999999999999E-3</v>
      </c>
      <c r="AF159" s="76"/>
      <c r="AG159" s="76"/>
      <c r="AH159" s="76"/>
      <c r="AI159" s="97">
        <v>1</v>
      </c>
      <c r="AJ159" s="97">
        <v>1</v>
      </c>
      <c r="AK159" s="73"/>
      <c r="AL159" s="57"/>
      <c r="AM159" s="45"/>
      <c r="AN159" s="45"/>
      <c r="AO159" s="45"/>
    </row>
    <row r="160" spans="1:41" hidden="1" outlineLevel="2" x14ac:dyDescent="0.25">
      <c r="A160" s="45"/>
      <c r="B160" s="54"/>
      <c r="C160" s="47">
        <f t="shared" si="50"/>
        <v>3</v>
      </c>
      <c r="D160" s="73"/>
      <c r="E160" s="70"/>
      <c r="F160" s="70" t="s">
        <v>576</v>
      </c>
      <c r="G160" s="73"/>
      <c r="H160" s="76" t="s">
        <v>577</v>
      </c>
      <c r="I160" s="96" t="s">
        <v>497</v>
      </c>
      <c r="J160" s="96"/>
      <c r="K160" s="97">
        <v>0.6</v>
      </c>
      <c r="L160" s="97">
        <v>0.6</v>
      </c>
      <c r="M160" s="97">
        <v>0.6</v>
      </c>
      <c r="N160" s="97">
        <v>0.6</v>
      </c>
      <c r="O160" s="97">
        <v>0.6</v>
      </c>
      <c r="P160" s="97">
        <v>0.6</v>
      </c>
      <c r="Q160" s="76"/>
      <c r="R160" s="76" t="s">
        <v>507</v>
      </c>
      <c r="S160" s="76" t="s">
        <v>507</v>
      </c>
      <c r="T160" s="76"/>
      <c r="U160" s="253">
        <f t="shared" si="51"/>
        <v>0.6</v>
      </c>
      <c r="V160" s="253">
        <f t="shared" si="51"/>
        <v>0.6</v>
      </c>
      <c r="W160" s="253">
        <f t="shared" si="51"/>
        <v>0.6</v>
      </c>
      <c r="X160" s="253">
        <f t="shared" si="51"/>
        <v>0.6</v>
      </c>
      <c r="Y160" s="253">
        <f t="shared" si="51"/>
        <v>0.6</v>
      </c>
      <c r="Z160" s="253">
        <f t="shared" si="51"/>
        <v>0.6</v>
      </c>
      <c r="AA160" s="253">
        <f t="shared" si="51"/>
        <v>0.6</v>
      </c>
      <c r="AB160" s="253">
        <f t="shared" si="51"/>
        <v>0.6</v>
      </c>
      <c r="AC160" s="253">
        <f t="shared" si="51"/>
        <v>0.6</v>
      </c>
      <c r="AD160" s="253">
        <f t="shared" si="51"/>
        <v>0.6</v>
      </c>
      <c r="AE160" s="253">
        <f t="shared" si="51"/>
        <v>0.6</v>
      </c>
      <c r="AF160" s="76"/>
      <c r="AG160" s="76"/>
      <c r="AH160" s="76"/>
      <c r="AI160" s="97">
        <v>1</v>
      </c>
      <c r="AJ160" s="97">
        <v>1</v>
      </c>
      <c r="AK160" s="73"/>
      <c r="AL160" s="57"/>
      <c r="AM160" s="45"/>
      <c r="AN160" s="45"/>
      <c r="AO160" s="45"/>
    </row>
    <row r="161" spans="1:41" hidden="1" outlineLevel="2" x14ac:dyDescent="0.25">
      <c r="A161" s="45"/>
      <c r="B161" s="54"/>
      <c r="C161" s="47">
        <f t="shared" si="50"/>
        <v>3</v>
      </c>
      <c r="D161" s="73"/>
      <c r="E161" s="70"/>
      <c r="F161" s="70" t="s">
        <v>578</v>
      </c>
      <c r="G161" s="73"/>
      <c r="H161" s="76" t="s">
        <v>579</v>
      </c>
      <c r="I161" s="96" t="s">
        <v>541</v>
      </c>
      <c r="J161" s="96"/>
      <c r="K161" s="97">
        <v>1.1199999999999999E-3</v>
      </c>
      <c r="L161" s="97">
        <v>1.1199999999999999E-3</v>
      </c>
      <c r="M161" s="97">
        <v>7.3999999999999999E-4</v>
      </c>
      <c r="N161" s="97">
        <v>7.3999999999999999E-4</v>
      </c>
      <c r="O161" s="97">
        <v>7.3999999999999999E-4</v>
      </c>
      <c r="P161" s="97">
        <v>7.3999999999999999E-4</v>
      </c>
      <c r="Q161" s="76"/>
      <c r="R161" s="76" t="s">
        <v>507</v>
      </c>
      <c r="S161" s="76" t="s">
        <v>507</v>
      </c>
      <c r="T161" s="76"/>
      <c r="U161" s="253">
        <f t="shared" si="51"/>
        <v>1.1199999999999999E-3</v>
      </c>
      <c r="V161" s="253">
        <f t="shared" si="51"/>
        <v>1.1199999999999999E-3</v>
      </c>
      <c r="W161" s="253">
        <f t="shared" si="51"/>
        <v>1.1199999999999999E-3</v>
      </c>
      <c r="X161" s="253">
        <f t="shared" si="51"/>
        <v>1.1199999999999999E-3</v>
      </c>
      <c r="Y161" s="253">
        <f t="shared" si="51"/>
        <v>1.1199999999999999E-3</v>
      </c>
      <c r="Z161" s="253">
        <f t="shared" si="51"/>
        <v>1.1199999999999999E-3</v>
      </c>
      <c r="AA161" s="253">
        <f t="shared" si="51"/>
        <v>1.1199999999999999E-3</v>
      </c>
      <c r="AB161" s="253">
        <f t="shared" si="51"/>
        <v>1.1199999999999999E-3</v>
      </c>
      <c r="AC161" s="253">
        <f t="shared" si="51"/>
        <v>1.1199999999999999E-3</v>
      </c>
      <c r="AD161" s="253">
        <f t="shared" si="51"/>
        <v>1.1199999999999999E-3</v>
      </c>
      <c r="AE161" s="253">
        <f t="shared" si="51"/>
        <v>1.1199999999999999E-3</v>
      </c>
      <c r="AF161" s="76"/>
      <c r="AG161" s="76"/>
      <c r="AH161" s="76"/>
      <c r="AI161" s="97">
        <v>1</v>
      </c>
      <c r="AJ161" s="97">
        <v>1</v>
      </c>
      <c r="AK161" s="73"/>
      <c r="AL161" s="57"/>
      <c r="AM161" s="45"/>
      <c r="AN161" s="45"/>
      <c r="AO161" s="45"/>
    </row>
    <row r="162" spans="1:41" hidden="1" outlineLevel="2" x14ac:dyDescent="0.25">
      <c r="A162" s="45"/>
      <c r="B162" s="54"/>
      <c r="C162" s="47">
        <f t="shared" si="50"/>
        <v>3</v>
      </c>
      <c r="D162" s="73"/>
      <c r="E162" s="70"/>
      <c r="F162" s="70" t="s">
        <v>580</v>
      </c>
      <c r="G162" s="73"/>
      <c r="H162" s="76" t="s">
        <v>581</v>
      </c>
      <c r="I162" s="96" t="s">
        <v>497</v>
      </c>
      <c r="J162" s="96"/>
      <c r="K162" s="97">
        <v>0</v>
      </c>
      <c r="L162" s="97">
        <v>0</v>
      </c>
      <c r="M162" s="97">
        <v>0.5</v>
      </c>
      <c r="N162" s="97">
        <v>0.5</v>
      </c>
      <c r="O162" s="97">
        <v>0.5</v>
      </c>
      <c r="P162" s="97">
        <v>0.5</v>
      </c>
      <c r="Q162" s="76"/>
      <c r="R162" s="76"/>
      <c r="S162" s="76" t="s">
        <v>582</v>
      </c>
      <c r="T162" s="76"/>
      <c r="U162" s="253">
        <f t="shared" si="51"/>
        <v>0</v>
      </c>
      <c r="V162" s="253">
        <f t="shared" si="51"/>
        <v>0</v>
      </c>
      <c r="W162" s="253">
        <f t="shared" si="51"/>
        <v>0</v>
      </c>
      <c r="X162" s="253">
        <f t="shared" si="51"/>
        <v>0</v>
      </c>
      <c r="Y162" s="253">
        <f t="shared" si="51"/>
        <v>0</v>
      </c>
      <c r="Z162" s="253">
        <f t="shared" si="51"/>
        <v>0</v>
      </c>
      <c r="AA162" s="253">
        <f t="shared" si="51"/>
        <v>0</v>
      </c>
      <c r="AB162" s="253">
        <f t="shared" si="51"/>
        <v>0</v>
      </c>
      <c r="AC162" s="253">
        <f t="shared" si="51"/>
        <v>0</v>
      </c>
      <c r="AD162" s="253">
        <f t="shared" si="51"/>
        <v>0</v>
      </c>
      <c r="AE162" s="253">
        <f t="shared" si="51"/>
        <v>0</v>
      </c>
      <c r="AF162" s="76"/>
      <c r="AG162" s="76"/>
      <c r="AH162" s="76"/>
      <c r="AI162" s="97">
        <v>1</v>
      </c>
      <c r="AJ162" s="97">
        <v>1</v>
      </c>
      <c r="AK162" s="73"/>
      <c r="AL162" s="57"/>
      <c r="AM162" s="45"/>
      <c r="AN162" s="45"/>
      <c r="AO162" s="45"/>
    </row>
    <row r="163" spans="1:41" hidden="1" outlineLevel="2" x14ac:dyDescent="0.25">
      <c r="A163" s="45"/>
      <c r="B163" s="54"/>
      <c r="C163" s="47">
        <f t="shared" si="50"/>
        <v>3</v>
      </c>
      <c r="D163" s="73"/>
      <c r="E163" s="70"/>
      <c r="F163" s="70" t="s">
        <v>583</v>
      </c>
      <c r="G163" s="73"/>
      <c r="H163" s="76" t="s">
        <v>584</v>
      </c>
      <c r="I163" s="96" t="s">
        <v>526</v>
      </c>
      <c r="J163" s="96"/>
      <c r="K163" s="76"/>
      <c r="L163" s="76"/>
      <c r="M163" s="97">
        <v>64</v>
      </c>
      <c r="N163" s="97">
        <v>64</v>
      </c>
      <c r="O163" s="97">
        <v>64</v>
      </c>
      <c r="P163" s="97">
        <v>150</v>
      </c>
      <c r="Q163" s="76"/>
      <c r="R163" s="76"/>
      <c r="S163" s="76" t="s">
        <v>582</v>
      </c>
      <c r="T163" s="76"/>
      <c r="U163" s="253">
        <f t="shared" si="51"/>
        <v>0</v>
      </c>
      <c r="V163" s="253">
        <f t="shared" si="51"/>
        <v>0</v>
      </c>
      <c r="W163" s="253">
        <f t="shared" si="51"/>
        <v>0</v>
      </c>
      <c r="X163" s="253">
        <f t="shared" si="51"/>
        <v>0</v>
      </c>
      <c r="Y163" s="253">
        <f t="shared" si="51"/>
        <v>0</v>
      </c>
      <c r="Z163" s="253">
        <f t="shared" si="51"/>
        <v>0</v>
      </c>
      <c r="AA163" s="253">
        <f t="shared" si="51"/>
        <v>0</v>
      </c>
      <c r="AB163" s="253">
        <f t="shared" si="51"/>
        <v>0</v>
      </c>
      <c r="AC163" s="253">
        <f t="shared" si="51"/>
        <v>0</v>
      </c>
      <c r="AD163" s="253">
        <f t="shared" si="51"/>
        <v>0</v>
      </c>
      <c r="AE163" s="253">
        <f t="shared" si="51"/>
        <v>0</v>
      </c>
      <c r="AF163" s="76"/>
      <c r="AG163" s="76"/>
      <c r="AH163" s="76"/>
      <c r="AI163" s="97">
        <v>1</v>
      </c>
      <c r="AJ163" s="97">
        <v>1</v>
      </c>
      <c r="AK163" s="73"/>
      <c r="AL163" s="57"/>
      <c r="AM163" s="45"/>
      <c r="AN163" s="45"/>
      <c r="AO163" s="45"/>
    </row>
    <row r="164" spans="1:41" hidden="1" outlineLevel="2" x14ac:dyDescent="0.25">
      <c r="A164" s="45"/>
      <c r="B164" s="54"/>
      <c r="C164" s="47">
        <f t="shared" si="50"/>
        <v>3</v>
      </c>
      <c r="D164" s="73"/>
      <c r="E164" s="70"/>
      <c r="F164" s="70" t="s">
        <v>585</v>
      </c>
      <c r="G164" s="73"/>
      <c r="H164" s="76" t="s">
        <v>586</v>
      </c>
      <c r="I164" s="96" t="s">
        <v>497</v>
      </c>
      <c r="J164" s="96"/>
      <c r="K164" s="76"/>
      <c r="L164" s="76"/>
      <c r="M164" s="97">
        <v>1.7</v>
      </c>
      <c r="N164" s="97">
        <v>1.7</v>
      </c>
      <c r="O164" s="97">
        <v>1.7</v>
      </c>
      <c r="P164" s="97">
        <v>1.7</v>
      </c>
      <c r="Q164" s="76"/>
      <c r="R164" s="76"/>
      <c r="S164" s="76" t="s">
        <v>582</v>
      </c>
      <c r="T164" s="76"/>
      <c r="U164" s="253">
        <f t="shared" si="51"/>
        <v>0</v>
      </c>
      <c r="V164" s="253">
        <f t="shared" si="51"/>
        <v>0</v>
      </c>
      <c r="W164" s="253">
        <f t="shared" si="51"/>
        <v>0</v>
      </c>
      <c r="X164" s="253">
        <f t="shared" si="51"/>
        <v>0</v>
      </c>
      <c r="Y164" s="253">
        <f t="shared" si="51"/>
        <v>0</v>
      </c>
      <c r="Z164" s="253">
        <f t="shared" si="51"/>
        <v>0</v>
      </c>
      <c r="AA164" s="253">
        <f t="shared" si="51"/>
        <v>0</v>
      </c>
      <c r="AB164" s="253">
        <f t="shared" si="51"/>
        <v>0</v>
      </c>
      <c r="AC164" s="253">
        <f t="shared" si="51"/>
        <v>0</v>
      </c>
      <c r="AD164" s="253">
        <f t="shared" si="51"/>
        <v>0</v>
      </c>
      <c r="AE164" s="253">
        <f t="shared" si="51"/>
        <v>0</v>
      </c>
      <c r="AF164" s="76"/>
      <c r="AG164" s="76"/>
      <c r="AH164" s="76"/>
      <c r="AI164" s="97">
        <v>1</v>
      </c>
      <c r="AJ164" s="97">
        <v>1</v>
      </c>
      <c r="AK164" s="73"/>
      <c r="AL164" s="57"/>
      <c r="AM164" s="45"/>
      <c r="AN164" s="45"/>
      <c r="AO164" s="45"/>
    </row>
    <row r="165" spans="1:41" hidden="1" outlineLevel="2" x14ac:dyDescent="0.25">
      <c r="A165" s="45"/>
      <c r="B165" s="54"/>
      <c r="C165" s="47">
        <f t="shared" si="50"/>
        <v>3</v>
      </c>
      <c r="D165" s="73"/>
      <c r="E165" s="70"/>
      <c r="F165" s="70" t="s">
        <v>587</v>
      </c>
      <c r="G165" s="73"/>
      <c r="H165" s="76" t="s">
        <v>586</v>
      </c>
      <c r="I165" s="96" t="s">
        <v>497</v>
      </c>
      <c r="J165" s="96"/>
      <c r="K165" s="76"/>
      <c r="L165" s="76"/>
      <c r="M165" s="97">
        <v>0.1</v>
      </c>
      <c r="N165" s="97">
        <v>0.1</v>
      </c>
      <c r="O165" s="97">
        <v>0.1</v>
      </c>
      <c r="P165" s="97">
        <v>0.1</v>
      </c>
      <c r="Q165" s="76"/>
      <c r="R165" s="76"/>
      <c r="S165" s="76" t="s">
        <v>582</v>
      </c>
      <c r="T165" s="76"/>
      <c r="U165" s="253">
        <f t="shared" si="51"/>
        <v>0</v>
      </c>
      <c r="V165" s="253">
        <f t="shared" si="51"/>
        <v>0</v>
      </c>
      <c r="W165" s="253">
        <f t="shared" si="51"/>
        <v>0</v>
      </c>
      <c r="X165" s="253">
        <f t="shared" si="51"/>
        <v>0</v>
      </c>
      <c r="Y165" s="253">
        <f t="shared" si="51"/>
        <v>0</v>
      </c>
      <c r="Z165" s="253">
        <f t="shared" si="51"/>
        <v>0</v>
      </c>
      <c r="AA165" s="253">
        <f t="shared" si="51"/>
        <v>0</v>
      </c>
      <c r="AB165" s="253">
        <f t="shared" si="51"/>
        <v>0</v>
      </c>
      <c r="AC165" s="253">
        <f t="shared" si="51"/>
        <v>0</v>
      </c>
      <c r="AD165" s="253">
        <f t="shared" si="51"/>
        <v>0</v>
      </c>
      <c r="AE165" s="253">
        <f t="shared" si="51"/>
        <v>0</v>
      </c>
      <c r="AF165" s="76"/>
      <c r="AG165" s="76"/>
      <c r="AH165" s="76"/>
      <c r="AI165" s="97">
        <v>1</v>
      </c>
      <c r="AJ165" s="97">
        <v>1</v>
      </c>
      <c r="AK165" s="73"/>
      <c r="AL165" s="57"/>
      <c r="AM165" s="45"/>
      <c r="AN165" s="45"/>
      <c r="AO165" s="45"/>
    </row>
    <row r="166" spans="1:41" hidden="1" outlineLevel="2" x14ac:dyDescent="0.25">
      <c r="A166" s="45"/>
      <c r="B166" s="54"/>
      <c r="C166" s="47">
        <f t="shared" si="50"/>
        <v>3</v>
      </c>
      <c r="D166" s="73"/>
      <c r="E166" s="70"/>
      <c r="F166" s="70" t="s">
        <v>588</v>
      </c>
      <c r="G166" s="73"/>
      <c r="H166" s="76" t="s">
        <v>589</v>
      </c>
      <c r="I166" s="96" t="s">
        <v>590</v>
      </c>
      <c r="J166" s="96"/>
      <c r="K166" s="97">
        <v>10.5</v>
      </c>
      <c r="L166" s="97">
        <v>10.5</v>
      </c>
      <c r="M166" s="97">
        <v>10.5</v>
      </c>
      <c r="N166" s="97">
        <v>10.5</v>
      </c>
      <c r="O166" s="97">
        <v>10.5</v>
      </c>
      <c r="P166" s="97">
        <v>10.5</v>
      </c>
      <c r="Q166" s="76"/>
      <c r="R166" s="76" t="s">
        <v>591</v>
      </c>
      <c r="S166" s="76" t="s">
        <v>582</v>
      </c>
      <c r="T166" s="76"/>
      <c r="U166" s="253">
        <f t="shared" si="51"/>
        <v>10.5</v>
      </c>
      <c r="V166" s="253">
        <f t="shared" si="51"/>
        <v>10.5</v>
      </c>
      <c r="W166" s="253">
        <f t="shared" si="51"/>
        <v>10.5</v>
      </c>
      <c r="X166" s="253">
        <f t="shared" si="51"/>
        <v>10.5</v>
      </c>
      <c r="Y166" s="253">
        <f t="shared" si="51"/>
        <v>10.5</v>
      </c>
      <c r="Z166" s="253">
        <f t="shared" si="51"/>
        <v>10.5</v>
      </c>
      <c r="AA166" s="253">
        <f t="shared" si="51"/>
        <v>10.5</v>
      </c>
      <c r="AB166" s="253">
        <f t="shared" si="51"/>
        <v>10.5</v>
      </c>
      <c r="AC166" s="253">
        <f t="shared" si="51"/>
        <v>10.5</v>
      </c>
      <c r="AD166" s="253">
        <f t="shared" si="51"/>
        <v>10.5</v>
      </c>
      <c r="AE166" s="253">
        <f t="shared" si="51"/>
        <v>10.5</v>
      </c>
      <c r="AF166" s="76"/>
      <c r="AG166" s="76"/>
      <c r="AH166" s="76"/>
      <c r="AI166" s="97">
        <v>1</v>
      </c>
      <c r="AJ166" s="97">
        <v>1</v>
      </c>
      <c r="AK166" s="73"/>
      <c r="AL166" s="57"/>
      <c r="AM166" s="45"/>
      <c r="AN166" s="45"/>
      <c r="AO166" s="45"/>
    </row>
    <row r="167" spans="1:41" hidden="1" outlineLevel="2" x14ac:dyDescent="0.25">
      <c r="A167" s="45"/>
      <c r="B167" s="54"/>
      <c r="C167" s="47">
        <f t="shared" si="50"/>
        <v>3</v>
      </c>
      <c r="D167" s="73"/>
      <c r="E167" s="70"/>
      <c r="F167" s="70" t="s">
        <v>592</v>
      </c>
      <c r="G167" s="73"/>
      <c r="H167" s="76" t="s">
        <v>593</v>
      </c>
      <c r="I167" s="96" t="s">
        <v>497</v>
      </c>
      <c r="J167" s="96"/>
      <c r="K167" s="97">
        <v>1</v>
      </c>
      <c r="L167" s="97">
        <v>1</v>
      </c>
      <c r="M167" s="97">
        <v>1</v>
      </c>
      <c r="N167" s="97">
        <v>1</v>
      </c>
      <c r="O167" s="97">
        <v>1</v>
      </c>
      <c r="P167" s="97">
        <v>1</v>
      </c>
      <c r="Q167" s="76"/>
      <c r="R167" s="76" t="s">
        <v>582</v>
      </c>
      <c r="S167" s="76" t="s">
        <v>582</v>
      </c>
      <c r="T167" s="76"/>
      <c r="U167" s="253">
        <f t="shared" si="51"/>
        <v>1</v>
      </c>
      <c r="V167" s="253">
        <f t="shared" si="51"/>
        <v>1</v>
      </c>
      <c r="W167" s="253">
        <f t="shared" si="51"/>
        <v>1</v>
      </c>
      <c r="X167" s="253">
        <f t="shared" si="51"/>
        <v>1</v>
      </c>
      <c r="Y167" s="253">
        <f t="shared" si="51"/>
        <v>1</v>
      </c>
      <c r="Z167" s="253">
        <f t="shared" si="51"/>
        <v>1</v>
      </c>
      <c r="AA167" s="253">
        <f t="shared" si="51"/>
        <v>1</v>
      </c>
      <c r="AB167" s="253">
        <f t="shared" si="51"/>
        <v>1</v>
      </c>
      <c r="AC167" s="253">
        <f t="shared" si="51"/>
        <v>1</v>
      </c>
      <c r="AD167" s="253">
        <f t="shared" si="51"/>
        <v>1</v>
      </c>
      <c r="AE167" s="253">
        <f t="shared" si="51"/>
        <v>1</v>
      </c>
      <c r="AF167" s="76"/>
      <c r="AG167" s="76"/>
      <c r="AH167" s="76"/>
      <c r="AI167" s="97">
        <v>1</v>
      </c>
      <c r="AJ167" s="97">
        <v>1</v>
      </c>
      <c r="AK167" s="73"/>
      <c r="AL167" s="57"/>
      <c r="AM167" s="45"/>
      <c r="AN167" s="45"/>
      <c r="AO167" s="45"/>
    </row>
    <row r="168" spans="1:41" hidden="1" outlineLevel="2" x14ac:dyDescent="0.25">
      <c r="A168" s="45"/>
      <c r="B168" s="54"/>
      <c r="C168" s="47">
        <f t="shared" si="50"/>
        <v>3</v>
      </c>
      <c r="D168" s="73"/>
      <c r="E168" s="70"/>
      <c r="F168" s="70" t="s">
        <v>594</v>
      </c>
      <c r="G168" s="73"/>
      <c r="H168" s="76" t="s">
        <v>595</v>
      </c>
      <c r="I168" s="96" t="s">
        <v>497</v>
      </c>
      <c r="J168" s="96"/>
      <c r="K168" s="97">
        <v>0.35</v>
      </c>
      <c r="L168" s="97">
        <v>0.35</v>
      </c>
      <c r="M168" s="97">
        <v>0.35</v>
      </c>
      <c r="N168" s="97">
        <v>0.35</v>
      </c>
      <c r="O168" s="97">
        <v>0.35</v>
      </c>
      <c r="P168" s="97">
        <v>0.35</v>
      </c>
      <c r="Q168" s="76"/>
      <c r="R168" s="76" t="s">
        <v>582</v>
      </c>
      <c r="S168" s="76" t="s">
        <v>582</v>
      </c>
      <c r="T168" s="76"/>
      <c r="U168" s="253">
        <f t="shared" si="51"/>
        <v>0.35</v>
      </c>
      <c r="V168" s="253">
        <f t="shared" si="51"/>
        <v>0.35</v>
      </c>
      <c r="W168" s="253">
        <f t="shared" si="51"/>
        <v>0.35</v>
      </c>
      <c r="X168" s="253">
        <f t="shared" si="51"/>
        <v>0.35</v>
      </c>
      <c r="Y168" s="253">
        <f t="shared" si="51"/>
        <v>0.35</v>
      </c>
      <c r="Z168" s="253">
        <f t="shared" si="51"/>
        <v>0.35</v>
      </c>
      <c r="AA168" s="253">
        <f t="shared" si="51"/>
        <v>0.35</v>
      </c>
      <c r="AB168" s="253">
        <f t="shared" si="51"/>
        <v>0.35</v>
      </c>
      <c r="AC168" s="253">
        <f t="shared" si="51"/>
        <v>0.35</v>
      </c>
      <c r="AD168" s="253">
        <f t="shared" si="51"/>
        <v>0.35</v>
      </c>
      <c r="AE168" s="253">
        <f t="shared" si="51"/>
        <v>0.35</v>
      </c>
      <c r="AF168" s="76"/>
      <c r="AG168" s="76"/>
      <c r="AH168" s="76"/>
      <c r="AI168" s="97">
        <v>1</v>
      </c>
      <c r="AJ168" s="97">
        <v>1</v>
      </c>
      <c r="AK168" s="73"/>
      <c r="AL168" s="57"/>
      <c r="AM168" s="45"/>
      <c r="AN168" s="45"/>
      <c r="AO168" s="45"/>
    </row>
    <row r="169" spans="1:41" hidden="1" outlineLevel="2" collapsed="1" x14ac:dyDescent="0.25">
      <c r="A169" s="45"/>
      <c r="B169" s="54"/>
      <c r="C169" s="47">
        <f t="shared" si="50"/>
        <v>3</v>
      </c>
      <c r="D169" s="73"/>
      <c r="E169" s="70"/>
      <c r="F169" s="70" t="s">
        <v>596</v>
      </c>
      <c r="G169" s="73"/>
      <c r="H169" s="76" t="s">
        <v>597</v>
      </c>
      <c r="I169" s="96" t="s">
        <v>497</v>
      </c>
      <c r="J169" s="96"/>
      <c r="K169" s="97">
        <v>1</v>
      </c>
      <c r="L169" s="97">
        <v>1</v>
      </c>
      <c r="M169" s="97">
        <v>1</v>
      </c>
      <c r="N169" s="97">
        <v>1</v>
      </c>
      <c r="O169" s="97">
        <v>1</v>
      </c>
      <c r="P169" s="97">
        <v>1</v>
      </c>
      <c r="Q169" s="76"/>
      <c r="R169" s="76" t="s">
        <v>582</v>
      </c>
      <c r="S169" s="76" t="s">
        <v>582</v>
      </c>
      <c r="T169" s="76"/>
      <c r="U169" s="253">
        <f t="shared" si="51"/>
        <v>1</v>
      </c>
      <c r="V169" s="253">
        <f t="shared" si="51"/>
        <v>1</v>
      </c>
      <c r="W169" s="253">
        <f t="shared" si="51"/>
        <v>1</v>
      </c>
      <c r="X169" s="253">
        <f t="shared" si="51"/>
        <v>1</v>
      </c>
      <c r="Y169" s="253">
        <f t="shared" si="51"/>
        <v>1</v>
      </c>
      <c r="Z169" s="253">
        <f t="shared" si="51"/>
        <v>1</v>
      </c>
      <c r="AA169" s="253">
        <f t="shared" si="51"/>
        <v>1</v>
      </c>
      <c r="AB169" s="253">
        <f t="shared" si="51"/>
        <v>1</v>
      </c>
      <c r="AC169" s="253">
        <f t="shared" si="51"/>
        <v>1</v>
      </c>
      <c r="AD169" s="253">
        <f t="shared" si="51"/>
        <v>1</v>
      </c>
      <c r="AE169" s="253">
        <f t="shared" si="51"/>
        <v>1</v>
      </c>
      <c r="AF169" s="76"/>
      <c r="AG169" s="76"/>
      <c r="AH169" s="76"/>
      <c r="AI169" s="97">
        <v>1</v>
      </c>
      <c r="AJ169" s="97">
        <v>1</v>
      </c>
      <c r="AK169" s="73"/>
      <c r="AL169" s="57"/>
      <c r="AM169" s="45"/>
      <c r="AN169" s="45"/>
      <c r="AO169" s="45"/>
    </row>
    <row r="170" spans="1:41" hidden="1" outlineLevel="3" x14ac:dyDescent="0.25">
      <c r="A170" s="45"/>
      <c r="B170" s="54"/>
      <c r="C170" s="47">
        <f>INT($C$29)+3</f>
        <v>4</v>
      </c>
      <c r="D170" s="73"/>
      <c r="E170" s="70"/>
      <c r="F170" s="70" t="s">
        <v>598</v>
      </c>
      <c r="G170" s="73"/>
      <c r="H170" s="76" t="s">
        <v>599</v>
      </c>
      <c r="I170" s="96"/>
      <c r="J170" s="9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v>1</v>
      </c>
      <c r="AJ170" s="76">
        <v>1</v>
      </c>
      <c r="AK170" s="73"/>
      <c r="AL170" s="57"/>
      <c r="AM170" s="45"/>
      <c r="AN170" s="45"/>
      <c r="AO170" s="45"/>
    </row>
    <row r="171" spans="1:41" hidden="1" outlineLevel="3" x14ac:dyDescent="0.25">
      <c r="A171" s="45"/>
      <c r="B171" s="54"/>
      <c r="C171" s="47">
        <f>INT($C$29)+3</f>
        <v>4</v>
      </c>
      <c r="D171" s="73"/>
      <c r="E171" s="70"/>
      <c r="F171" s="70" t="s">
        <v>600</v>
      </c>
      <c r="G171" s="73"/>
      <c r="H171" s="76" t="s">
        <v>599</v>
      </c>
      <c r="I171" s="96"/>
      <c r="J171" s="96"/>
      <c r="K171" s="76"/>
      <c r="L171" s="76"/>
      <c r="M171" s="76"/>
      <c r="N171" s="76"/>
      <c r="O171" s="76"/>
      <c r="P171" s="76"/>
      <c r="Q171" s="76"/>
      <c r="R171" s="76"/>
      <c r="S171" s="76"/>
      <c r="T171" s="76"/>
      <c r="U171" s="76"/>
      <c r="V171" s="76"/>
      <c r="W171" s="76"/>
      <c r="X171" s="76"/>
      <c r="Y171" s="76"/>
      <c r="Z171" s="76"/>
      <c r="AA171" s="76"/>
      <c r="AB171" s="76"/>
      <c r="AC171" s="76"/>
      <c r="AD171" s="76"/>
      <c r="AE171" s="76"/>
      <c r="AF171" s="76"/>
      <c r="AG171" s="76"/>
      <c r="AH171" s="76"/>
      <c r="AI171" s="76">
        <v>1</v>
      </c>
      <c r="AJ171" s="76">
        <v>1</v>
      </c>
      <c r="AK171" s="73"/>
      <c r="AL171" s="57"/>
      <c r="AM171" s="45"/>
      <c r="AN171" s="45"/>
      <c r="AO171" s="45"/>
    </row>
    <row r="172" spans="1:41" hidden="1" outlineLevel="3" x14ac:dyDescent="0.25">
      <c r="A172" s="45"/>
      <c r="B172" s="54"/>
      <c r="C172" s="47">
        <f>INT($C$29)+3</f>
        <v>4</v>
      </c>
      <c r="D172" s="73"/>
      <c r="E172" s="70"/>
      <c r="F172" s="70" t="s">
        <v>601</v>
      </c>
      <c r="G172" s="73"/>
      <c r="H172" s="76" t="s">
        <v>599</v>
      </c>
      <c r="I172" s="96"/>
      <c r="J172" s="96"/>
      <c r="K172" s="76"/>
      <c r="L172" s="76"/>
      <c r="M172" s="76"/>
      <c r="N172" s="76"/>
      <c r="O172" s="76"/>
      <c r="P172" s="76"/>
      <c r="Q172" s="76"/>
      <c r="R172" s="76"/>
      <c r="S172" s="76"/>
      <c r="T172" s="76"/>
      <c r="U172" s="76"/>
      <c r="V172" s="76"/>
      <c r="W172" s="76"/>
      <c r="X172" s="76"/>
      <c r="Y172" s="76"/>
      <c r="Z172" s="76"/>
      <c r="AA172" s="76"/>
      <c r="AB172" s="76"/>
      <c r="AC172" s="76"/>
      <c r="AD172" s="76"/>
      <c r="AE172" s="76"/>
      <c r="AF172" s="76"/>
      <c r="AG172" s="76"/>
      <c r="AH172" s="76"/>
      <c r="AI172" s="76">
        <v>1</v>
      </c>
      <c r="AJ172" s="76">
        <v>1</v>
      </c>
      <c r="AK172" s="73"/>
      <c r="AL172" s="57"/>
      <c r="AM172" s="45"/>
      <c r="AN172" s="45"/>
      <c r="AO172" s="45"/>
    </row>
    <row r="173" spans="1:41" hidden="1" outlineLevel="3" x14ac:dyDescent="0.25">
      <c r="A173" s="45"/>
      <c r="B173" s="54"/>
      <c r="C173" s="47">
        <f>INT($C$29)+3</f>
        <v>4</v>
      </c>
      <c r="D173" s="73"/>
      <c r="E173" s="70"/>
      <c r="F173" s="70" t="s">
        <v>602</v>
      </c>
      <c r="G173" s="73"/>
      <c r="H173" s="76" t="s">
        <v>599</v>
      </c>
      <c r="I173" s="96"/>
      <c r="J173" s="96"/>
      <c r="K173" s="76"/>
      <c r="L173" s="76"/>
      <c r="M173" s="76"/>
      <c r="N173" s="76"/>
      <c r="O173" s="76"/>
      <c r="P173" s="76"/>
      <c r="Q173" s="76"/>
      <c r="R173" s="76"/>
      <c r="S173" s="76"/>
      <c r="T173" s="76"/>
      <c r="U173" s="76"/>
      <c r="V173" s="76"/>
      <c r="W173" s="76"/>
      <c r="X173" s="76"/>
      <c r="Y173" s="76"/>
      <c r="Z173" s="76"/>
      <c r="AA173" s="76"/>
      <c r="AB173" s="76"/>
      <c r="AC173" s="76"/>
      <c r="AD173" s="76"/>
      <c r="AE173" s="76"/>
      <c r="AF173" s="76"/>
      <c r="AG173" s="76"/>
      <c r="AH173" s="76"/>
      <c r="AI173" s="76">
        <v>1</v>
      </c>
      <c r="AJ173" s="76">
        <v>1</v>
      </c>
      <c r="AK173" s="73"/>
      <c r="AL173" s="57"/>
      <c r="AM173" s="45"/>
      <c r="AN173" s="45"/>
      <c r="AO173" s="45"/>
    </row>
    <row r="174" spans="1:41" hidden="1" outlineLevel="3" x14ac:dyDescent="0.25">
      <c r="A174" s="45"/>
      <c r="B174" s="54"/>
      <c r="C174" s="47">
        <f>INT($C$29)+3</f>
        <v>4</v>
      </c>
      <c r="D174" s="73"/>
      <c r="E174" s="70"/>
      <c r="F174" s="70" t="s">
        <v>603</v>
      </c>
      <c r="G174" s="73"/>
      <c r="H174" s="76" t="s">
        <v>599</v>
      </c>
      <c r="I174" s="96"/>
      <c r="J174" s="96"/>
      <c r="K174" s="76"/>
      <c r="L174" s="76"/>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v>1</v>
      </c>
      <c r="AJ174" s="76">
        <v>1</v>
      </c>
      <c r="AK174" s="73"/>
      <c r="AL174" s="57"/>
      <c r="AM174" s="45"/>
      <c r="AN174" s="45"/>
      <c r="AO174" s="45"/>
    </row>
    <row r="175" spans="1:41" hidden="1" outlineLevel="2" x14ac:dyDescent="0.25">
      <c r="A175" s="45"/>
      <c r="B175" s="54"/>
      <c r="C175" s="47">
        <f>INT($C$29)+2</f>
        <v>3</v>
      </c>
      <c r="D175" s="73"/>
      <c r="E175" s="70"/>
      <c r="F175" s="70" t="s">
        <v>604</v>
      </c>
      <c r="G175" s="73"/>
      <c r="H175" s="76" t="s">
        <v>605</v>
      </c>
      <c r="I175" s="96" t="s">
        <v>590</v>
      </c>
      <c r="J175" s="96"/>
      <c r="K175" s="97">
        <v>11.5</v>
      </c>
      <c r="L175" s="97">
        <v>11.5</v>
      </c>
      <c r="M175" s="97">
        <v>11.5</v>
      </c>
      <c r="N175" s="97">
        <v>11.5</v>
      </c>
      <c r="O175" s="97">
        <v>11.5</v>
      </c>
      <c r="P175" s="97">
        <v>11.5</v>
      </c>
      <c r="Q175" s="76"/>
      <c r="R175" s="76" t="s">
        <v>606</v>
      </c>
      <c r="S175" s="76"/>
      <c r="T175" s="76"/>
      <c r="U175" s="253">
        <f t="shared" ref="U175:AE177" si="52">INDEX($K175:$Q175,1,U$43)</f>
        <v>11.5</v>
      </c>
      <c r="V175" s="253">
        <f t="shared" si="52"/>
        <v>11.5</v>
      </c>
      <c r="W175" s="253">
        <f t="shared" si="52"/>
        <v>11.5</v>
      </c>
      <c r="X175" s="253">
        <f t="shared" si="52"/>
        <v>11.5</v>
      </c>
      <c r="Y175" s="253">
        <f t="shared" si="52"/>
        <v>11.5</v>
      </c>
      <c r="Z175" s="253">
        <f t="shared" si="52"/>
        <v>11.5</v>
      </c>
      <c r="AA175" s="253">
        <f t="shared" si="52"/>
        <v>11.5</v>
      </c>
      <c r="AB175" s="253">
        <f t="shared" si="52"/>
        <v>11.5</v>
      </c>
      <c r="AC175" s="253">
        <f t="shared" si="52"/>
        <v>11.5</v>
      </c>
      <c r="AD175" s="253">
        <f t="shared" si="52"/>
        <v>11.5</v>
      </c>
      <c r="AE175" s="253">
        <f t="shared" si="52"/>
        <v>11.5</v>
      </c>
      <c r="AF175" s="76"/>
      <c r="AG175" s="76"/>
      <c r="AH175" s="76"/>
      <c r="AI175" s="97">
        <v>1</v>
      </c>
      <c r="AJ175" s="97">
        <v>1</v>
      </c>
      <c r="AK175" s="73"/>
      <c r="AL175" s="57"/>
      <c r="AM175" s="45"/>
      <c r="AN175" s="45"/>
      <c r="AO175" s="45"/>
    </row>
    <row r="176" spans="1:41" hidden="1" outlineLevel="2" x14ac:dyDescent="0.25">
      <c r="A176" s="45"/>
      <c r="B176" s="54"/>
      <c r="C176" s="47">
        <f>INT($C$29)+2</f>
        <v>3</v>
      </c>
      <c r="D176" s="73"/>
      <c r="E176" s="70"/>
      <c r="F176" s="70" t="s">
        <v>607</v>
      </c>
      <c r="G176" s="73"/>
      <c r="H176" s="76" t="s">
        <v>608</v>
      </c>
      <c r="I176" s="96" t="s">
        <v>590</v>
      </c>
      <c r="J176" s="96"/>
      <c r="K176" s="97">
        <v>0</v>
      </c>
      <c r="L176" s="97">
        <v>0</v>
      </c>
      <c r="M176" s="97">
        <v>0</v>
      </c>
      <c r="N176" s="97">
        <v>0</v>
      </c>
      <c r="O176" s="97">
        <v>0</v>
      </c>
      <c r="P176" s="97">
        <v>0</v>
      </c>
      <c r="Q176" s="76"/>
      <c r="R176" s="76" t="s">
        <v>609</v>
      </c>
      <c r="S176" s="76" t="s">
        <v>609</v>
      </c>
      <c r="T176" s="76"/>
      <c r="U176" s="253">
        <f t="shared" si="52"/>
        <v>0</v>
      </c>
      <c r="V176" s="253">
        <f t="shared" si="52"/>
        <v>0</v>
      </c>
      <c r="W176" s="253">
        <f t="shared" si="52"/>
        <v>0</v>
      </c>
      <c r="X176" s="253">
        <f t="shared" si="52"/>
        <v>0</v>
      </c>
      <c r="Y176" s="253">
        <f t="shared" si="52"/>
        <v>0</v>
      </c>
      <c r="Z176" s="253">
        <f t="shared" si="52"/>
        <v>0</v>
      </c>
      <c r="AA176" s="253">
        <f t="shared" si="52"/>
        <v>0</v>
      </c>
      <c r="AB176" s="253">
        <f t="shared" si="52"/>
        <v>0</v>
      </c>
      <c r="AC176" s="253">
        <f t="shared" si="52"/>
        <v>0</v>
      </c>
      <c r="AD176" s="253">
        <f t="shared" si="52"/>
        <v>0</v>
      </c>
      <c r="AE176" s="253">
        <f t="shared" si="52"/>
        <v>0</v>
      </c>
      <c r="AF176" s="76"/>
      <c r="AG176" s="76"/>
      <c r="AH176" s="76"/>
      <c r="AI176" s="97">
        <v>1</v>
      </c>
      <c r="AJ176" s="97">
        <v>1</v>
      </c>
      <c r="AK176" s="73"/>
      <c r="AL176" s="57"/>
      <c r="AM176" s="45"/>
      <c r="AN176" s="45"/>
      <c r="AO176" s="45"/>
    </row>
    <row r="177" spans="1:41" hidden="1" outlineLevel="2" x14ac:dyDescent="0.25">
      <c r="A177" s="45"/>
      <c r="B177" s="54"/>
      <c r="C177" s="47">
        <f>INT($C$29)+2</f>
        <v>3</v>
      </c>
      <c r="D177" s="73"/>
      <c r="E177" s="70"/>
      <c r="F177" s="70" t="s">
        <v>610</v>
      </c>
      <c r="G177" s="73"/>
      <c r="H177" s="76" t="s">
        <v>611</v>
      </c>
      <c r="I177" s="96" t="s">
        <v>590</v>
      </c>
      <c r="J177" s="96"/>
      <c r="K177" s="97">
        <f t="shared" ref="K177:P177" si="53">K$156-(1/K$158)</f>
        <v>0.21176470588235297</v>
      </c>
      <c r="L177" s="97">
        <f t="shared" si="53"/>
        <v>0.21176470588235297</v>
      </c>
      <c r="M177" s="97">
        <f t="shared" si="53"/>
        <v>0.21176470588235297</v>
      </c>
      <c r="N177" s="97">
        <f t="shared" si="53"/>
        <v>0.21176470588235297</v>
      </c>
      <c r="O177" s="97">
        <f t="shared" si="53"/>
        <v>0.21176470588235297</v>
      </c>
      <c r="P177" s="97">
        <f t="shared" si="53"/>
        <v>0.21176470588235297</v>
      </c>
      <c r="Q177" s="76"/>
      <c r="R177" s="76" t="s">
        <v>612</v>
      </c>
      <c r="S177" s="76" t="s">
        <v>612</v>
      </c>
      <c r="T177" s="76"/>
      <c r="U177" s="253">
        <f t="shared" si="52"/>
        <v>0.21176470588235297</v>
      </c>
      <c r="V177" s="253">
        <f t="shared" si="52"/>
        <v>0.21176470588235297</v>
      </c>
      <c r="W177" s="253">
        <f t="shared" si="52"/>
        <v>0.21176470588235297</v>
      </c>
      <c r="X177" s="253">
        <f t="shared" si="52"/>
        <v>0.21176470588235297</v>
      </c>
      <c r="Y177" s="253">
        <f t="shared" si="52"/>
        <v>0.21176470588235297</v>
      </c>
      <c r="Z177" s="253">
        <f t="shared" si="52"/>
        <v>0.21176470588235297</v>
      </c>
      <c r="AA177" s="253">
        <f t="shared" si="52"/>
        <v>0.21176470588235297</v>
      </c>
      <c r="AB177" s="253">
        <f t="shared" si="52"/>
        <v>0.21176470588235297</v>
      </c>
      <c r="AC177" s="253">
        <f t="shared" si="52"/>
        <v>0.21176470588235297</v>
      </c>
      <c r="AD177" s="253">
        <f t="shared" si="52"/>
        <v>0.21176470588235297</v>
      </c>
      <c r="AE177" s="253">
        <f t="shared" si="52"/>
        <v>0.21176470588235297</v>
      </c>
      <c r="AF177" s="76"/>
      <c r="AG177" s="76"/>
      <c r="AH177" s="76"/>
      <c r="AI177" s="97">
        <v>1</v>
      </c>
      <c r="AJ177" s="97">
        <v>1</v>
      </c>
      <c r="AK177" s="73"/>
      <c r="AL177" s="57"/>
      <c r="AM177" s="45"/>
      <c r="AN177" s="45"/>
      <c r="AO177" s="45"/>
    </row>
    <row r="178" spans="1:41" outlineLevel="1" collapsed="1" x14ac:dyDescent="0.25">
      <c r="A178" s="45"/>
      <c r="B178" s="54"/>
      <c r="C178" s="47">
        <f>INT($C$29)+1</f>
        <v>2</v>
      </c>
      <c r="D178" s="73"/>
      <c r="E178" s="70"/>
      <c r="F178" s="256" t="s">
        <v>613</v>
      </c>
      <c r="G178" s="73"/>
      <c r="H178" s="246" t="s">
        <v>614</v>
      </c>
      <c r="I178" s="96"/>
      <c r="J178" s="96" t="s">
        <v>514</v>
      </c>
      <c r="K178" s="79">
        <v>40</v>
      </c>
      <c r="L178" s="76"/>
      <c r="M178" s="79">
        <v>0</v>
      </c>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3"/>
      <c r="AL178" s="57"/>
      <c r="AM178" s="45"/>
      <c r="AN178" s="45"/>
      <c r="AO178" s="45"/>
    </row>
    <row r="179" spans="1:41" hidden="1" outlineLevel="3" x14ac:dyDescent="0.25">
      <c r="A179" s="45"/>
      <c r="B179" s="54"/>
      <c r="C179" s="47">
        <f>INT($C$29)+3</f>
        <v>4</v>
      </c>
      <c r="D179" s="73"/>
      <c r="E179" s="70" t="s">
        <v>615</v>
      </c>
      <c r="F179" s="70" t="s">
        <v>616</v>
      </c>
      <c r="G179" s="73"/>
      <c r="H179" s="76" t="s">
        <v>491</v>
      </c>
      <c r="I179" s="96"/>
      <c r="J179" s="96"/>
      <c r="K179" s="76"/>
      <c r="L179" s="76"/>
      <c r="M179" s="76"/>
      <c r="N179" s="76"/>
      <c r="O179" s="76"/>
      <c r="P179" s="76"/>
      <c r="Q179" s="76"/>
      <c r="R179" s="76"/>
      <c r="S179" s="76"/>
      <c r="T179" s="76"/>
      <c r="U179" s="76"/>
      <c r="V179" s="76"/>
      <c r="W179" s="76"/>
      <c r="X179" s="76"/>
      <c r="Y179" s="76"/>
      <c r="Z179" s="76"/>
      <c r="AA179" s="76"/>
      <c r="AB179" s="76"/>
      <c r="AC179" s="76"/>
      <c r="AD179" s="76"/>
      <c r="AE179" s="76"/>
      <c r="AF179" s="76"/>
      <c r="AG179" s="76"/>
      <c r="AH179" s="76"/>
      <c r="AI179" s="76">
        <v>1</v>
      </c>
      <c r="AJ179" s="76">
        <v>1</v>
      </c>
      <c r="AK179" s="73"/>
      <c r="AL179" s="57"/>
      <c r="AM179" s="45"/>
      <c r="AN179" s="45"/>
      <c r="AO179" s="45"/>
    </row>
    <row r="180" spans="1:41" hidden="1" outlineLevel="2" x14ac:dyDescent="0.25">
      <c r="A180" s="45"/>
      <c r="B180" s="54"/>
      <c r="C180" s="47">
        <f t="shared" ref="C180:C218" si="54">INT($C$29)+2</f>
        <v>3</v>
      </c>
      <c r="D180" s="73"/>
      <c r="E180" s="70"/>
      <c r="F180" s="70" t="s">
        <v>617</v>
      </c>
      <c r="G180" s="73"/>
      <c r="H180" s="76" t="s">
        <v>618</v>
      </c>
      <c r="I180" s="96" t="s">
        <v>497</v>
      </c>
      <c r="J180" s="96"/>
      <c r="K180" s="97">
        <v>0.5</v>
      </c>
      <c r="L180" s="97">
        <v>0.5</v>
      </c>
      <c r="M180" s="97">
        <v>0.5</v>
      </c>
      <c r="N180" s="97">
        <v>0.5</v>
      </c>
      <c r="O180" s="97">
        <v>0.5</v>
      </c>
      <c r="P180" s="97">
        <v>0.5</v>
      </c>
      <c r="Q180" s="76"/>
      <c r="R180" s="76" t="s">
        <v>2819</v>
      </c>
      <c r="S180" s="76" t="s">
        <v>2819</v>
      </c>
      <c r="T180" s="76"/>
      <c r="U180" s="253">
        <f t="shared" ref="U180:AE189" si="55">INDEX($K180:$Q180,1,U$43)</f>
        <v>0.5</v>
      </c>
      <c r="V180" s="253">
        <f t="shared" si="55"/>
        <v>0.5</v>
      </c>
      <c r="W180" s="253">
        <f t="shared" si="55"/>
        <v>0.5</v>
      </c>
      <c r="X180" s="253">
        <f t="shared" si="55"/>
        <v>0.5</v>
      </c>
      <c r="Y180" s="253">
        <f t="shared" si="55"/>
        <v>0.5</v>
      </c>
      <c r="Z180" s="253">
        <f t="shared" si="55"/>
        <v>0.5</v>
      </c>
      <c r="AA180" s="253">
        <f t="shared" si="55"/>
        <v>0.5</v>
      </c>
      <c r="AB180" s="253">
        <f t="shared" si="55"/>
        <v>0.5</v>
      </c>
      <c r="AC180" s="253">
        <f t="shared" si="55"/>
        <v>0.5</v>
      </c>
      <c r="AD180" s="253">
        <f t="shared" si="55"/>
        <v>0.5</v>
      </c>
      <c r="AE180" s="253">
        <f t="shared" si="55"/>
        <v>0.5</v>
      </c>
      <c r="AF180" s="76"/>
      <c r="AG180" s="76"/>
      <c r="AH180" s="76"/>
      <c r="AI180" s="97">
        <v>1</v>
      </c>
      <c r="AJ180" s="97">
        <v>1</v>
      </c>
      <c r="AK180" s="73"/>
      <c r="AL180" s="57"/>
      <c r="AM180" s="45"/>
      <c r="AN180" s="45"/>
      <c r="AO180" s="45"/>
    </row>
    <row r="181" spans="1:41" hidden="1" outlineLevel="2" x14ac:dyDescent="0.25">
      <c r="A181" s="45"/>
      <c r="B181" s="54"/>
      <c r="C181" s="47">
        <f t="shared" si="54"/>
        <v>3</v>
      </c>
      <c r="D181" s="73"/>
      <c r="E181" s="70"/>
      <c r="F181" s="70" t="s">
        <v>619</v>
      </c>
      <c r="G181" s="73"/>
      <c r="H181" s="76" t="s">
        <v>620</v>
      </c>
      <c r="I181" s="96" t="s">
        <v>621</v>
      </c>
      <c r="J181" s="96"/>
      <c r="K181" s="97">
        <v>0.02</v>
      </c>
      <c r="L181" s="97">
        <v>0.02</v>
      </c>
      <c r="M181" s="97">
        <v>0.02</v>
      </c>
      <c r="N181" s="97">
        <v>0.02</v>
      </c>
      <c r="O181" s="97">
        <v>0.02</v>
      </c>
      <c r="P181" s="97">
        <v>0.02</v>
      </c>
      <c r="Q181" s="76"/>
      <c r="R181" s="76" t="s">
        <v>2819</v>
      </c>
      <c r="S181" s="76" t="s">
        <v>2819</v>
      </c>
      <c r="T181" s="76"/>
      <c r="U181" s="253">
        <f t="shared" si="55"/>
        <v>0.02</v>
      </c>
      <c r="V181" s="253">
        <f t="shared" si="55"/>
        <v>0.02</v>
      </c>
      <c r="W181" s="253">
        <f t="shared" si="55"/>
        <v>0.02</v>
      </c>
      <c r="X181" s="253">
        <f t="shared" si="55"/>
        <v>0.02</v>
      </c>
      <c r="Y181" s="253">
        <f t="shared" si="55"/>
        <v>0.02</v>
      </c>
      <c r="Z181" s="253">
        <f t="shared" si="55"/>
        <v>0.02</v>
      </c>
      <c r="AA181" s="253">
        <f t="shared" si="55"/>
        <v>0.02</v>
      </c>
      <c r="AB181" s="253">
        <f t="shared" si="55"/>
        <v>0.02</v>
      </c>
      <c r="AC181" s="253">
        <f t="shared" si="55"/>
        <v>0.02</v>
      </c>
      <c r="AD181" s="253">
        <f t="shared" si="55"/>
        <v>0.02</v>
      </c>
      <c r="AE181" s="253">
        <f t="shared" si="55"/>
        <v>0.02</v>
      </c>
      <c r="AF181" s="76"/>
      <c r="AG181" s="76"/>
      <c r="AH181" s="76"/>
      <c r="AI181" s="97">
        <v>1</v>
      </c>
      <c r="AJ181" s="97">
        <v>1</v>
      </c>
      <c r="AK181" s="73"/>
      <c r="AL181" s="57"/>
      <c r="AM181" s="45"/>
      <c r="AN181" s="45"/>
      <c r="AO181" s="45"/>
    </row>
    <row r="182" spans="1:41" hidden="1" outlineLevel="2" x14ac:dyDescent="0.25">
      <c r="A182" s="45"/>
      <c r="B182" s="54"/>
      <c r="C182" s="47">
        <f t="shared" si="54"/>
        <v>3</v>
      </c>
      <c r="D182" s="73"/>
      <c r="E182" s="70"/>
      <c r="F182" s="70" t="s">
        <v>623</v>
      </c>
      <c r="G182" s="73"/>
      <c r="H182" s="76" t="s">
        <v>2818</v>
      </c>
      <c r="I182" s="96" t="s">
        <v>497</v>
      </c>
      <c r="J182" s="96"/>
      <c r="K182" s="97">
        <v>0.85</v>
      </c>
      <c r="L182" s="97">
        <v>0.85</v>
      </c>
      <c r="M182" s="97">
        <v>0.85</v>
      </c>
      <c r="N182" s="97">
        <v>0.85</v>
      </c>
      <c r="O182" s="97">
        <v>0.85</v>
      </c>
      <c r="P182" s="97">
        <v>0.85</v>
      </c>
      <c r="Q182" s="76"/>
      <c r="R182" s="76" t="s">
        <v>2819</v>
      </c>
      <c r="S182" s="76" t="s">
        <v>2819</v>
      </c>
      <c r="T182" s="76"/>
      <c r="U182" s="253">
        <f t="shared" si="55"/>
        <v>0.85</v>
      </c>
      <c r="V182" s="253">
        <f t="shared" si="55"/>
        <v>0.85</v>
      </c>
      <c r="W182" s="253">
        <f t="shared" si="55"/>
        <v>0.85</v>
      </c>
      <c r="X182" s="253">
        <f t="shared" si="55"/>
        <v>0.85</v>
      </c>
      <c r="Y182" s="253">
        <f t="shared" si="55"/>
        <v>0.85</v>
      </c>
      <c r="Z182" s="253">
        <f t="shared" si="55"/>
        <v>0.85</v>
      </c>
      <c r="AA182" s="253">
        <f t="shared" si="55"/>
        <v>0.85</v>
      </c>
      <c r="AB182" s="253">
        <f t="shared" si="55"/>
        <v>0.85</v>
      </c>
      <c r="AC182" s="253">
        <f t="shared" si="55"/>
        <v>0.85</v>
      </c>
      <c r="AD182" s="253">
        <f t="shared" si="55"/>
        <v>0.85</v>
      </c>
      <c r="AE182" s="253">
        <f t="shared" si="55"/>
        <v>0.85</v>
      </c>
      <c r="AF182" s="76"/>
      <c r="AG182" s="76"/>
      <c r="AH182" s="76"/>
      <c r="AI182" s="97">
        <v>1</v>
      </c>
      <c r="AJ182" s="97">
        <v>1</v>
      </c>
      <c r="AK182" s="73"/>
      <c r="AL182" s="57"/>
      <c r="AM182" s="45"/>
      <c r="AN182" s="45"/>
      <c r="AO182" s="45"/>
    </row>
    <row r="183" spans="1:41" hidden="1" outlineLevel="2" x14ac:dyDescent="0.25">
      <c r="A183" s="45"/>
      <c r="B183" s="54"/>
      <c r="C183" s="47">
        <f t="shared" si="54"/>
        <v>3</v>
      </c>
      <c r="D183" s="73"/>
      <c r="E183" s="70"/>
      <c r="F183" s="70" t="s">
        <v>624</v>
      </c>
      <c r="G183" s="73"/>
      <c r="H183" s="76" t="s">
        <v>625</v>
      </c>
      <c r="I183" s="96" t="s">
        <v>569</v>
      </c>
      <c r="J183" s="96"/>
      <c r="K183" s="97">
        <v>0.7</v>
      </c>
      <c r="L183" s="97">
        <v>0.7</v>
      </c>
      <c r="M183" s="97">
        <v>0.7</v>
      </c>
      <c r="N183" s="97">
        <v>0.7</v>
      </c>
      <c r="O183" s="97">
        <v>0.7</v>
      </c>
      <c r="P183" s="97">
        <v>0.7</v>
      </c>
      <c r="Q183" s="76"/>
      <c r="R183" s="76" t="s">
        <v>2821</v>
      </c>
      <c r="S183" s="76" t="s">
        <v>2821</v>
      </c>
      <c r="T183" s="76"/>
      <c r="U183" s="253">
        <f t="shared" si="55"/>
        <v>0.7</v>
      </c>
      <c r="V183" s="253">
        <f t="shared" si="55"/>
        <v>0.7</v>
      </c>
      <c r="W183" s="253">
        <f t="shared" si="55"/>
        <v>0.7</v>
      </c>
      <c r="X183" s="253">
        <f t="shared" si="55"/>
        <v>0.7</v>
      </c>
      <c r="Y183" s="253">
        <f t="shared" si="55"/>
        <v>0.7</v>
      </c>
      <c r="Z183" s="253">
        <f t="shared" si="55"/>
        <v>0.7</v>
      </c>
      <c r="AA183" s="253">
        <f t="shared" si="55"/>
        <v>0.7</v>
      </c>
      <c r="AB183" s="253">
        <f t="shared" si="55"/>
        <v>0.7</v>
      </c>
      <c r="AC183" s="253">
        <f t="shared" si="55"/>
        <v>0.7</v>
      </c>
      <c r="AD183" s="253">
        <f t="shared" si="55"/>
        <v>0.7</v>
      </c>
      <c r="AE183" s="253">
        <f t="shared" si="55"/>
        <v>0.7</v>
      </c>
      <c r="AF183" s="76"/>
      <c r="AG183" s="76"/>
      <c r="AH183" s="76"/>
      <c r="AI183" s="97">
        <v>1</v>
      </c>
      <c r="AJ183" s="97">
        <v>1</v>
      </c>
      <c r="AK183" s="73"/>
      <c r="AL183" s="57"/>
      <c r="AM183" s="45"/>
      <c r="AN183" s="45"/>
      <c r="AO183" s="45"/>
    </row>
    <row r="184" spans="1:41" hidden="1" outlineLevel="2" x14ac:dyDescent="0.25">
      <c r="A184" s="45"/>
      <c r="B184" s="54"/>
      <c r="C184" s="47">
        <f t="shared" si="54"/>
        <v>3</v>
      </c>
      <c r="D184" s="73"/>
      <c r="E184" s="70"/>
      <c r="F184" s="70" t="s">
        <v>626</v>
      </c>
      <c r="G184" s="73"/>
      <c r="H184" s="76" t="s">
        <v>627</v>
      </c>
      <c r="I184" s="96" t="s">
        <v>497</v>
      </c>
      <c r="J184" s="96"/>
      <c r="K184" s="97">
        <v>0.4</v>
      </c>
      <c r="L184" s="97">
        <v>0.4</v>
      </c>
      <c r="M184" s="97">
        <v>0.4</v>
      </c>
      <c r="N184" s="97">
        <v>0.4</v>
      </c>
      <c r="O184" s="97">
        <v>0.4</v>
      </c>
      <c r="P184" s="97">
        <v>0.4</v>
      </c>
      <c r="Q184" s="76"/>
      <c r="R184" s="76" t="s">
        <v>2819</v>
      </c>
      <c r="S184" s="76" t="s">
        <v>2819</v>
      </c>
      <c r="T184" s="76"/>
      <c r="U184" s="253">
        <f t="shared" si="55"/>
        <v>0.4</v>
      </c>
      <c r="V184" s="253">
        <f t="shared" si="55"/>
        <v>0.4</v>
      </c>
      <c r="W184" s="253">
        <f t="shared" si="55"/>
        <v>0.4</v>
      </c>
      <c r="X184" s="253">
        <f t="shared" si="55"/>
        <v>0.4</v>
      </c>
      <c r="Y184" s="253">
        <f t="shared" si="55"/>
        <v>0.4</v>
      </c>
      <c r="Z184" s="253">
        <f t="shared" si="55"/>
        <v>0.4</v>
      </c>
      <c r="AA184" s="253">
        <f t="shared" si="55"/>
        <v>0.4</v>
      </c>
      <c r="AB184" s="253">
        <f t="shared" si="55"/>
        <v>0.4</v>
      </c>
      <c r="AC184" s="253">
        <f t="shared" si="55"/>
        <v>0.4</v>
      </c>
      <c r="AD184" s="253">
        <f t="shared" si="55"/>
        <v>0.4</v>
      </c>
      <c r="AE184" s="253">
        <f t="shared" si="55"/>
        <v>0.4</v>
      </c>
      <c r="AF184" s="76"/>
      <c r="AG184" s="76"/>
      <c r="AH184" s="76"/>
      <c r="AI184" s="97">
        <v>1</v>
      </c>
      <c r="AJ184" s="97">
        <v>1</v>
      </c>
      <c r="AK184" s="73"/>
      <c r="AL184" s="57"/>
      <c r="AM184" s="45"/>
      <c r="AN184" s="45"/>
      <c r="AO184" s="45"/>
    </row>
    <row r="185" spans="1:41" hidden="1" outlineLevel="2" x14ac:dyDescent="0.25">
      <c r="A185" s="45"/>
      <c r="B185" s="54"/>
      <c r="C185" s="47">
        <f t="shared" si="54"/>
        <v>3</v>
      </c>
      <c r="D185" s="73"/>
      <c r="E185" s="70"/>
      <c r="F185" s="70" t="s">
        <v>628</v>
      </c>
      <c r="G185" s="73"/>
      <c r="H185" s="76" t="s">
        <v>629</v>
      </c>
      <c r="I185" s="96" t="s">
        <v>621</v>
      </c>
      <c r="J185" s="96"/>
      <c r="K185" s="97">
        <v>0.02</v>
      </c>
      <c r="L185" s="97">
        <v>0.02</v>
      </c>
      <c r="M185" s="97">
        <v>0.02</v>
      </c>
      <c r="N185" s="97">
        <v>0.02</v>
      </c>
      <c r="O185" s="97">
        <v>0.02</v>
      </c>
      <c r="P185" s="97">
        <v>0.02</v>
      </c>
      <c r="Q185" s="76"/>
      <c r="R185" s="76" t="s">
        <v>2819</v>
      </c>
      <c r="S185" s="76" t="s">
        <v>2819</v>
      </c>
      <c r="T185" s="76"/>
      <c r="U185" s="253">
        <f t="shared" si="55"/>
        <v>0.02</v>
      </c>
      <c r="V185" s="253">
        <f t="shared" si="55"/>
        <v>0.02</v>
      </c>
      <c r="W185" s="253">
        <f t="shared" si="55"/>
        <v>0.02</v>
      </c>
      <c r="X185" s="253">
        <f t="shared" si="55"/>
        <v>0.02</v>
      </c>
      <c r="Y185" s="253">
        <f t="shared" si="55"/>
        <v>0.02</v>
      </c>
      <c r="Z185" s="253">
        <f t="shared" si="55"/>
        <v>0.02</v>
      </c>
      <c r="AA185" s="253">
        <f t="shared" si="55"/>
        <v>0.02</v>
      </c>
      <c r="AB185" s="253">
        <f t="shared" si="55"/>
        <v>0.02</v>
      </c>
      <c r="AC185" s="253">
        <f t="shared" si="55"/>
        <v>0.02</v>
      </c>
      <c r="AD185" s="253">
        <f t="shared" si="55"/>
        <v>0.02</v>
      </c>
      <c r="AE185" s="253">
        <f t="shared" si="55"/>
        <v>0.02</v>
      </c>
      <c r="AF185" s="76"/>
      <c r="AG185" s="76"/>
      <c r="AH185" s="76"/>
      <c r="AI185" s="97">
        <v>1</v>
      </c>
      <c r="AJ185" s="97">
        <v>1</v>
      </c>
      <c r="AK185" s="73"/>
      <c r="AL185" s="57"/>
      <c r="AM185" s="45"/>
      <c r="AN185" s="45"/>
      <c r="AO185" s="45"/>
    </row>
    <row r="186" spans="1:41" hidden="1" outlineLevel="2" x14ac:dyDescent="0.25">
      <c r="A186" s="45"/>
      <c r="B186" s="54"/>
      <c r="C186" s="47">
        <f t="shared" si="54"/>
        <v>3</v>
      </c>
      <c r="D186" s="73"/>
      <c r="E186" s="70"/>
      <c r="F186" s="70" t="s">
        <v>630</v>
      </c>
      <c r="G186" s="73"/>
      <c r="H186" s="76" t="s">
        <v>631</v>
      </c>
      <c r="I186" s="96" t="s">
        <v>569</v>
      </c>
      <c r="J186" s="96"/>
      <c r="K186" s="97">
        <v>0.6</v>
      </c>
      <c r="L186" s="97">
        <v>0.6</v>
      </c>
      <c r="M186" s="97">
        <v>0.6</v>
      </c>
      <c r="N186" s="97">
        <v>0.6</v>
      </c>
      <c r="O186" s="97">
        <v>0.6</v>
      </c>
      <c r="P186" s="97">
        <v>0.6</v>
      </c>
      <c r="Q186" s="76"/>
      <c r="R186" s="76" t="s">
        <v>2822</v>
      </c>
      <c r="S186" s="76" t="s">
        <v>2822</v>
      </c>
      <c r="T186" s="76"/>
      <c r="U186" s="253">
        <f t="shared" si="55"/>
        <v>0.6</v>
      </c>
      <c r="V186" s="253">
        <f t="shared" si="55"/>
        <v>0.6</v>
      </c>
      <c r="W186" s="253">
        <f t="shared" si="55"/>
        <v>0.6</v>
      </c>
      <c r="X186" s="253">
        <f t="shared" si="55"/>
        <v>0.6</v>
      </c>
      <c r="Y186" s="253">
        <f t="shared" si="55"/>
        <v>0.6</v>
      </c>
      <c r="Z186" s="253">
        <f t="shared" si="55"/>
        <v>0.6</v>
      </c>
      <c r="AA186" s="253">
        <f t="shared" si="55"/>
        <v>0.6</v>
      </c>
      <c r="AB186" s="253">
        <f t="shared" si="55"/>
        <v>0.6</v>
      </c>
      <c r="AC186" s="253">
        <f t="shared" si="55"/>
        <v>0.6</v>
      </c>
      <c r="AD186" s="253">
        <f t="shared" si="55"/>
        <v>0.6</v>
      </c>
      <c r="AE186" s="253">
        <f t="shared" si="55"/>
        <v>0.6</v>
      </c>
      <c r="AF186" s="76"/>
      <c r="AG186" s="76"/>
      <c r="AH186" s="76"/>
      <c r="AI186" s="97">
        <v>1</v>
      </c>
      <c r="AJ186" s="97">
        <v>1</v>
      </c>
      <c r="AK186" s="73"/>
      <c r="AL186" s="57"/>
      <c r="AM186" s="45"/>
      <c r="AN186" s="45"/>
      <c r="AO186" s="45"/>
    </row>
    <row r="187" spans="1:41" hidden="1" outlineLevel="2" x14ac:dyDescent="0.25">
      <c r="A187" s="45"/>
      <c r="B187" s="54"/>
      <c r="C187" s="47">
        <f t="shared" si="54"/>
        <v>3</v>
      </c>
      <c r="D187" s="73"/>
      <c r="E187" s="70"/>
      <c r="F187" s="70" t="s">
        <v>632</v>
      </c>
      <c r="G187" s="73"/>
      <c r="H187" s="76" t="s">
        <v>633</v>
      </c>
      <c r="I187" s="96" t="s">
        <v>569</v>
      </c>
      <c r="J187" s="96"/>
      <c r="K187" s="97">
        <v>0.13300000000000001</v>
      </c>
      <c r="L187" s="97">
        <v>0.13300000000000001</v>
      </c>
      <c r="M187" s="97">
        <v>0.13300000000000001</v>
      </c>
      <c r="N187" s="97">
        <v>0.13300000000000001</v>
      </c>
      <c r="O187" s="97">
        <v>0.13300000000000001</v>
      </c>
      <c r="P187" s="97">
        <v>0.13300000000000001</v>
      </c>
      <c r="Q187" s="76"/>
      <c r="R187" s="76" t="s">
        <v>2819</v>
      </c>
      <c r="S187" s="76" t="s">
        <v>2819</v>
      </c>
      <c r="T187" s="76"/>
      <c r="U187" s="253">
        <f t="shared" si="55"/>
        <v>0.13300000000000001</v>
      </c>
      <c r="V187" s="253">
        <f t="shared" si="55"/>
        <v>0.13300000000000001</v>
      </c>
      <c r="W187" s="253">
        <f t="shared" si="55"/>
        <v>0.13300000000000001</v>
      </c>
      <c r="X187" s="253">
        <f t="shared" si="55"/>
        <v>0.13300000000000001</v>
      </c>
      <c r="Y187" s="253">
        <f t="shared" si="55"/>
        <v>0.13300000000000001</v>
      </c>
      <c r="Z187" s="253">
        <f t="shared" si="55"/>
        <v>0.13300000000000001</v>
      </c>
      <c r="AA187" s="253">
        <f t="shared" si="55"/>
        <v>0.13300000000000001</v>
      </c>
      <c r="AB187" s="253">
        <f t="shared" si="55"/>
        <v>0.13300000000000001</v>
      </c>
      <c r="AC187" s="253">
        <f t="shared" si="55"/>
        <v>0.13300000000000001</v>
      </c>
      <c r="AD187" s="253">
        <f t="shared" si="55"/>
        <v>0.13300000000000001</v>
      </c>
      <c r="AE187" s="253">
        <f t="shared" si="55"/>
        <v>0.13300000000000001</v>
      </c>
      <c r="AF187" s="76"/>
      <c r="AG187" s="76"/>
      <c r="AH187" s="76"/>
      <c r="AI187" s="97">
        <v>1</v>
      </c>
      <c r="AJ187" s="97">
        <v>1</v>
      </c>
      <c r="AK187" s="73"/>
      <c r="AL187" s="57"/>
      <c r="AM187" s="45"/>
      <c r="AN187" s="45"/>
      <c r="AO187" s="45"/>
    </row>
    <row r="188" spans="1:41" hidden="1" outlineLevel="2" x14ac:dyDescent="0.25">
      <c r="A188" s="45"/>
      <c r="B188" s="54"/>
      <c r="C188" s="47">
        <f t="shared" si="54"/>
        <v>3</v>
      </c>
      <c r="D188" s="73"/>
      <c r="E188" s="70"/>
      <c r="F188" s="70" t="s">
        <v>634</v>
      </c>
      <c r="G188" s="73"/>
      <c r="H188" s="76" t="s">
        <v>635</v>
      </c>
      <c r="I188" s="96" t="s">
        <v>497</v>
      </c>
      <c r="J188" s="96"/>
      <c r="K188" s="97">
        <v>0.95</v>
      </c>
      <c r="L188" s="97">
        <v>0.95</v>
      </c>
      <c r="M188" s="97">
        <v>0.95</v>
      </c>
      <c r="N188" s="97">
        <v>0.95</v>
      </c>
      <c r="O188" s="97">
        <v>0.95</v>
      </c>
      <c r="P188" s="97">
        <v>0.95</v>
      </c>
      <c r="Q188" s="76"/>
      <c r="R188" s="76" t="s">
        <v>2819</v>
      </c>
      <c r="S188" s="76" t="s">
        <v>2819</v>
      </c>
      <c r="T188" s="76"/>
      <c r="U188" s="253">
        <f t="shared" si="55"/>
        <v>0.95</v>
      </c>
      <c r="V188" s="253">
        <f t="shared" si="55"/>
        <v>0.95</v>
      </c>
      <c r="W188" s="253">
        <f t="shared" si="55"/>
        <v>0.95</v>
      </c>
      <c r="X188" s="253">
        <f t="shared" si="55"/>
        <v>0.95</v>
      </c>
      <c r="Y188" s="253">
        <f t="shared" si="55"/>
        <v>0.95</v>
      </c>
      <c r="Z188" s="253">
        <f t="shared" si="55"/>
        <v>0.95</v>
      </c>
      <c r="AA188" s="253">
        <f t="shared" si="55"/>
        <v>0.95</v>
      </c>
      <c r="AB188" s="253">
        <f t="shared" si="55"/>
        <v>0.95</v>
      </c>
      <c r="AC188" s="253">
        <f t="shared" si="55"/>
        <v>0.95</v>
      </c>
      <c r="AD188" s="253">
        <f t="shared" si="55"/>
        <v>0.95</v>
      </c>
      <c r="AE188" s="253">
        <f t="shared" si="55"/>
        <v>0.95</v>
      </c>
      <c r="AF188" s="76"/>
      <c r="AG188" s="76"/>
      <c r="AH188" s="76"/>
      <c r="AI188" s="97">
        <v>1</v>
      </c>
      <c r="AJ188" s="97">
        <v>1</v>
      </c>
      <c r="AK188" s="73"/>
      <c r="AL188" s="57"/>
      <c r="AM188" s="45"/>
      <c r="AN188" s="45"/>
      <c r="AO188" s="45"/>
    </row>
    <row r="189" spans="1:41" hidden="1" outlineLevel="2" x14ac:dyDescent="0.25">
      <c r="A189" s="45"/>
      <c r="B189" s="54"/>
      <c r="C189" s="47">
        <f t="shared" si="54"/>
        <v>3</v>
      </c>
      <c r="D189" s="73"/>
      <c r="E189" s="70"/>
      <c r="F189" s="70" t="s">
        <v>636</v>
      </c>
      <c r="G189" s="73"/>
      <c r="H189" s="76" t="s">
        <v>637</v>
      </c>
      <c r="I189" s="96" t="s">
        <v>569</v>
      </c>
      <c r="J189" s="96"/>
      <c r="K189" s="97">
        <v>0.84</v>
      </c>
      <c r="L189" s="97">
        <v>0.84</v>
      </c>
      <c r="M189" s="97">
        <v>0.84</v>
      </c>
      <c r="N189" s="97">
        <v>0.84</v>
      </c>
      <c r="O189" s="97">
        <v>0.84</v>
      </c>
      <c r="P189" s="97">
        <v>0.84</v>
      </c>
      <c r="Q189" s="76"/>
      <c r="R189" s="76" t="s">
        <v>2819</v>
      </c>
      <c r="S189" s="76" t="s">
        <v>2819</v>
      </c>
      <c r="T189" s="76"/>
      <c r="U189" s="253">
        <f t="shared" si="55"/>
        <v>0.84</v>
      </c>
      <c r="V189" s="253">
        <f t="shared" si="55"/>
        <v>0.84</v>
      </c>
      <c r="W189" s="253">
        <f t="shared" si="55"/>
        <v>0.84</v>
      </c>
      <c r="X189" s="253">
        <f t="shared" si="55"/>
        <v>0.84</v>
      </c>
      <c r="Y189" s="253">
        <f t="shared" si="55"/>
        <v>0.84</v>
      </c>
      <c r="Z189" s="253">
        <f t="shared" si="55"/>
        <v>0.84</v>
      </c>
      <c r="AA189" s="253">
        <f t="shared" si="55"/>
        <v>0.84</v>
      </c>
      <c r="AB189" s="253">
        <f t="shared" si="55"/>
        <v>0.84</v>
      </c>
      <c r="AC189" s="253">
        <f t="shared" si="55"/>
        <v>0.84</v>
      </c>
      <c r="AD189" s="253">
        <f t="shared" si="55"/>
        <v>0.84</v>
      </c>
      <c r="AE189" s="253">
        <f t="shared" si="55"/>
        <v>0.84</v>
      </c>
      <c r="AF189" s="76"/>
      <c r="AG189" s="76"/>
      <c r="AH189" s="76"/>
      <c r="AI189" s="97">
        <v>1</v>
      </c>
      <c r="AJ189" s="97">
        <v>1</v>
      </c>
      <c r="AK189" s="73"/>
      <c r="AL189" s="57"/>
      <c r="AM189" s="45"/>
      <c r="AN189" s="45"/>
      <c r="AO189" s="45"/>
    </row>
    <row r="190" spans="1:41" hidden="1" outlineLevel="2" x14ac:dyDescent="0.25">
      <c r="A190" s="45"/>
      <c r="B190" s="54"/>
      <c r="C190" s="47">
        <f t="shared" si="54"/>
        <v>3</v>
      </c>
      <c r="D190" s="73"/>
      <c r="E190" s="70"/>
      <c r="F190" s="70" t="s">
        <v>638</v>
      </c>
      <c r="G190" s="73"/>
      <c r="H190" s="76" t="s">
        <v>639</v>
      </c>
      <c r="I190" s="96" t="s">
        <v>569</v>
      </c>
      <c r="J190" s="96"/>
      <c r="K190" s="97">
        <v>0.8</v>
      </c>
      <c r="L190" s="97">
        <v>0.8</v>
      </c>
      <c r="M190" s="97">
        <v>0.8</v>
      </c>
      <c r="N190" s="97">
        <v>0.8</v>
      </c>
      <c r="O190" s="97">
        <v>0.8</v>
      </c>
      <c r="P190" s="97">
        <v>0.8</v>
      </c>
      <c r="Q190" s="76"/>
      <c r="R190" s="76" t="s">
        <v>2819</v>
      </c>
      <c r="S190" s="76" t="s">
        <v>2819</v>
      </c>
      <c r="T190" s="76"/>
      <c r="U190" s="253">
        <f t="shared" ref="U190:AE199" si="56">INDEX($K190:$Q190,1,U$43)</f>
        <v>0.8</v>
      </c>
      <c r="V190" s="253">
        <f t="shared" si="56"/>
        <v>0.8</v>
      </c>
      <c r="W190" s="253">
        <f t="shared" si="56"/>
        <v>0.8</v>
      </c>
      <c r="X190" s="253">
        <f t="shared" si="56"/>
        <v>0.8</v>
      </c>
      <c r="Y190" s="253">
        <f t="shared" si="56"/>
        <v>0.8</v>
      </c>
      <c r="Z190" s="253">
        <f t="shared" si="56"/>
        <v>0.8</v>
      </c>
      <c r="AA190" s="253">
        <f t="shared" si="56"/>
        <v>0.8</v>
      </c>
      <c r="AB190" s="253">
        <f t="shared" si="56"/>
        <v>0.8</v>
      </c>
      <c r="AC190" s="253">
        <f t="shared" si="56"/>
        <v>0.8</v>
      </c>
      <c r="AD190" s="253">
        <f t="shared" si="56"/>
        <v>0.8</v>
      </c>
      <c r="AE190" s="253">
        <f t="shared" si="56"/>
        <v>0.8</v>
      </c>
      <c r="AF190" s="76"/>
      <c r="AG190" s="76"/>
      <c r="AH190" s="76"/>
      <c r="AI190" s="97">
        <v>1</v>
      </c>
      <c r="AJ190" s="97">
        <v>1</v>
      </c>
      <c r="AK190" s="73"/>
      <c r="AL190" s="57"/>
      <c r="AM190" s="45"/>
      <c r="AN190" s="45"/>
      <c r="AO190" s="45"/>
    </row>
    <row r="191" spans="1:41" hidden="1" outlineLevel="2" x14ac:dyDescent="0.25">
      <c r="A191" s="45"/>
      <c r="B191" s="54"/>
      <c r="C191" s="47">
        <f t="shared" si="54"/>
        <v>3</v>
      </c>
      <c r="D191" s="73"/>
      <c r="E191" s="70"/>
      <c r="F191" s="70" t="s">
        <v>640</v>
      </c>
      <c r="G191" s="73"/>
      <c r="H191" s="76" t="s">
        <v>2820</v>
      </c>
      <c r="I191" s="96" t="s">
        <v>497</v>
      </c>
      <c r="J191" s="96"/>
      <c r="K191" s="97">
        <v>0.7</v>
      </c>
      <c r="L191" s="97">
        <v>0.7</v>
      </c>
      <c r="M191" s="97">
        <v>0.7</v>
      </c>
      <c r="N191" s="97">
        <v>0.7</v>
      </c>
      <c r="O191" s="97">
        <v>0.7</v>
      </c>
      <c r="P191" s="97">
        <v>0.7</v>
      </c>
      <c r="Q191" s="76"/>
      <c r="R191" s="76" t="s">
        <v>2819</v>
      </c>
      <c r="S191" s="76" t="s">
        <v>2819</v>
      </c>
      <c r="T191" s="76"/>
      <c r="U191" s="253">
        <f t="shared" si="56"/>
        <v>0.7</v>
      </c>
      <c r="V191" s="253">
        <f t="shared" si="56"/>
        <v>0.7</v>
      </c>
      <c r="W191" s="253">
        <f t="shared" si="56"/>
        <v>0.7</v>
      </c>
      <c r="X191" s="253">
        <f t="shared" si="56"/>
        <v>0.7</v>
      </c>
      <c r="Y191" s="253">
        <f t="shared" si="56"/>
        <v>0.7</v>
      </c>
      <c r="Z191" s="253">
        <f t="shared" si="56"/>
        <v>0.7</v>
      </c>
      <c r="AA191" s="253">
        <f t="shared" si="56"/>
        <v>0.7</v>
      </c>
      <c r="AB191" s="253">
        <f t="shared" si="56"/>
        <v>0.7</v>
      </c>
      <c r="AC191" s="253">
        <f t="shared" si="56"/>
        <v>0.7</v>
      </c>
      <c r="AD191" s="253">
        <f t="shared" si="56"/>
        <v>0.7</v>
      </c>
      <c r="AE191" s="253">
        <f t="shared" si="56"/>
        <v>0.7</v>
      </c>
      <c r="AF191" s="76"/>
      <c r="AG191" s="76"/>
      <c r="AH191" s="76"/>
      <c r="AI191" s="97">
        <v>1</v>
      </c>
      <c r="AJ191" s="97">
        <v>1</v>
      </c>
      <c r="AK191" s="73"/>
      <c r="AL191" s="57"/>
      <c r="AM191" s="45"/>
      <c r="AN191" s="45"/>
      <c r="AO191" s="45"/>
    </row>
    <row r="192" spans="1:41" hidden="1" outlineLevel="2" x14ac:dyDescent="0.25">
      <c r="A192" s="45"/>
      <c r="B192" s="54"/>
      <c r="C192" s="47">
        <f t="shared" si="54"/>
        <v>3</v>
      </c>
      <c r="D192" s="73"/>
      <c r="E192" s="70"/>
      <c r="F192" s="70" t="s">
        <v>641</v>
      </c>
      <c r="G192" s="73"/>
      <c r="H192" s="76" t="s">
        <v>642</v>
      </c>
      <c r="I192" s="96" t="s">
        <v>621</v>
      </c>
      <c r="J192" s="96"/>
      <c r="K192" s="97">
        <v>3.5000000000000003E-2</v>
      </c>
      <c r="L192" s="97">
        <v>3.5000000000000003E-2</v>
      </c>
      <c r="M192" s="97">
        <v>3.5000000000000003E-2</v>
      </c>
      <c r="N192" s="97">
        <v>3.5000000000000003E-2</v>
      </c>
      <c r="O192" s="97">
        <v>3.5000000000000003E-2</v>
      </c>
      <c r="P192" s="97">
        <v>3.5000000000000003E-2</v>
      </c>
      <c r="Q192" s="76"/>
      <c r="R192" s="76" t="s">
        <v>2819</v>
      </c>
      <c r="S192" s="76" t="s">
        <v>2819</v>
      </c>
      <c r="T192" s="76"/>
      <c r="U192" s="253">
        <f t="shared" si="56"/>
        <v>3.5000000000000003E-2</v>
      </c>
      <c r="V192" s="253">
        <f t="shared" si="56"/>
        <v>3.5000000000000003E-2</v>
      </c>
      <c r="W192" s="253">
        <f t="shared" si="56"/>
        <v>3.5000000000000003E-2</v>
      </c>
      <c r="X192" s="253">
        <f t="shared" si="56"/>
        <v>3.5000000000000003E-2</v>
      </c>
      <c r="Y192" s="253">
        <f t="shared" si="56"/>
        <v>3.5000000000000003E-2</v>
      </c>
      <c r="Z192" s="253">
        <f t="shared" si="56"/>
        <v>3.5000000000000003E-2</v>
      </c>
      <c r="AA192" s="253">
        <f t="shared" si="56"/>
        <v>3.5000000000000003E-2</v>
      </c>
      <c r="AB192" s="253">
        <f t="shared" si="56"/>
        <v>3.5000000000000003E-2</v>
      </c>
      <c r="AC192" s="253">
        <f t="shared" si="56"/>
        <v>3.5000000000000003E-2</v>
      </c>
      <c r="AD192" s="253">
        <f t="shared" si="56"/>
        <v>3.5000000000000003E-2</v>
      </c>
      <c r="AE192" s="253">
        <f t="shared" si="56"/>
        <v>3.5000000000000003E-2</v>
      </c>
      <c r="AF192" s="76"/>
      <c r="AG192" s="76"/>
      <c r="AH192" s="76"/>
      <c r="AI192" s="97">
        <v>1</v>
      </c>
      <c r="AJ192" s="97">
        <v>1</v>
      </c>
      <c r="AK192" s="73"/>
      <c r="AL192" s="57"/>
      <c r="AM192" s="45"/>
      <c r="AN192" s="45"/>
      <c r="AO192" s="45"/>
    </row>
    <row r="193" spans="1:41" hidden="1" outlineLevel="2" x14ac:dyDescent="0.25">
      <c r="A193" s="45"/>
      <c r="B193" s="54"/>
      <c r="C193" s="47">
        <f t="shared" si="54"/>
        <v>3</v>
      </c>
      <c r="D193" s="73"/>
      <c r="E193" s="70"/>
      <c r="F193" s="70" t="s">
        <v>643</v>
      </c>
      <c r="G193" s="73"/>
      <c r="H193" s="76" t="s">
        <v>642</v>
      </c>
      <c r="I193" s="96" t="s">
        <v>621</v>
      </c>
      <c r="J193" s="96"/>
      <c r="K193" s="97">
        <v>0.33</v>
      </c>
      <c r="L193" s="97">
        <v>0.33</v>
      </c>
      <c r="M193" s="97">
        <v>0.33</v>
      </c>
      <c r="N193" s="97">
        <v>0.33</v>
      </c>
      <c r="O193" s="97">
        <v>0.33</v>
      </c>
      <c r="P193" s="97">
        <v>0.33</v>
      </c>
      <c r="Q193" s="76"/>
      <c r="R193" s="76" t="s">
        <v>2819</v>
      </c>
      <c r="S193" s="76" t="s">
        <v>2819</v>
      </c>
      <c r="T193" s="76"/>
      <c r="U193" s="253">
        <f t="shared" si="56"/>
        <v>0.33</v>
      </c>
      <c r="V193" s="253">
        <f t="shared" si="56"/>
        <v>0.33</v>
      </c>
      <c r="W193" s="253">
        <f t="shared" si="56"/>
        <v>0.33</v>
      </c>
      <c r="X193" s="253">
        <f t="shared" si="56"/>
        <v>0.33</v>
      </c>
      <c r="Y193" s="253">
        <f t="shared" si="56"/>
        <v>0.33</v>
      </c>
      <c r="Z193" s="253">
        <f t="shared" si="56"/>
        <v>0.33</v>
      </c>
      <c r="AA193" s="253">
        <f t="shared" si="56"/>
        <v>0.33</v>
      </c>
      <c r="AB193" s="253">
        <f t="shared" si="56"/>
        <v>0.33</v>
      </c>
      <c r="AC193" s="253">
        <f t="shared" si="56"/>
        <v>0.33</v>
      </c>
      <c r="AD193" s="253">
        <f t="shared" si="56"/>
        <v>0.33</v>
      </c>
      <c r="AE193" s="253">
        <f t="shared" si="56"/>
        <v>0.33</v>
      </c>
      <c r="AF193" s="76"/>
      <c r="AG193" s="76"/>
      <c r="AH193" s="76"/>
      <c r="AI193" s="97">
        <v>1</v>
      </c>
      <c r="AJ193" s="97">
        <v>1</v>
      </c>
      <c r="AK193" s="73"/>
      <c r="AL193" s="57"/>
      <c r="AM193" s="45"/>
      <c r="AN193" s="45"/>
      <c r="AO193" s="45"/>
    </row>
    <row r="194" spans="1:41" hidden="1" outlineLevel="2" x14ac:dyDescent="0.25">
      <c r="A194" s="45"/>
      <c r="B194" s="54"/>
      <c r="C194" s="47">
        <f t="shared" si="54"/>
        <v>3</v>
      </c>
      <c r="D194" s="73"/>
      <c r="E194" s="70"/>
      <c r="F194" s="70" t="s">
        <v>644</v>
      </c>
      <c r="G194" s="73"/>
      <c r="H194" s="76" t="s">
        <v>645</v>
      </c>
      <c r="I194" s="96" t="s">
        <v>621</v>
      </c>
      <c r="J194" s="96"/>
      <c r="K194" s="97">
        <v>0.12</v>
      </c>
      <c r="L194" s="97">
        <v>0.12</v>
      </c>
      <c r="M194" s="97">
        <v>0.12</v>
      </c>
      <c r="N194" s="97">
        <v>0.12</v>
      </c>
      <c r="O194" s="97">
        <v>0.12</v>
      </c>
      <c r="P194" s="97">
        <v>0.12</v>
      </c>
      <c r="Q194" s="76"/>
      <c r="R194" s="76" t="s">
        <v>2819</v>
      </c>
      <c r="S194" s="76" t="s">
        <v>2819</v>
      </c>
      <c r="T194" s="76"/>
      <c r="U194" s="253">
        <f t="shared" si="56"/>
        <v>0.12</v>
      </c>
      <c r="V194" s="253">
        <f t="shared" si="56"/>
        <v>0.12</v>
      </c>
      <c r="W194" s="253">
        <f t="shared" si="56"/>
        <v>0.12</v>
      </c>
      <c r="X194" s="253">
        <f t="shared" si="56"/>
        <v>0.12</v>
      </c>
      <c r="Y194" s="253">
        <f t="shared" si="56"/>
        <v>0.12</v>
      </c>
      <c r="Z194" s="253">
        <f t="shared" si="56"/>
        <v>0.12</v>
      </c>
      <c r="AA194" s="253">
        <f t="shared" si="56"/>
        <v>0.12</v>
      </c>
      <c r="AB194" s="253">
        <f t="shared" si="56"/>
        <v>0.12</v>
      </c>
      <c r="AC194" s="253">
        <f t="shared" si="56"/>
        <v>0.12</v>
      </c>
      <c r="AD194" s="253">
        <f t="shared" si="56"/>
        <v>0.12</v>
      </c>
      <c r="AE194" s="253">
        <f t="shared" si="56"/>
        <v>0.12</v>
      </c>
      <c r="AF194" s="76"/>
      <c r="AG194" s="76"/>
      <c r="AH194" s="76"/>
      <c r="AI194" s="97">
        <v>1</v>
      </c>
      <c r="AJ194" s="97">
        <v>1</v>
      </c>
      <c r="AK194" s="73"/>
      <c r="AL194" s="57"/>
      <c r="AM194" s="45"/>
      <c r="AN194" s="45"/>
      <c r="AO194" s="45"/>
    </row>
    <row r="195" spans="1:41" hidden="1" outlineLevel="2" x14ac:dyDescent="0.25">
      <c r="A195" s="45"/>
      <c r="B195" s="54"/>
      <c r="C195" s="47">
        <f t="shared" si="54"/>
        <v>3</v>
      </c>
      <c r="D195" s="73"/>
      <c r="E195" s="70"/>
      <c r="F195" s="70" t="s">
        <v>646</v>
      </c>
      <c r="G195" s="73"/>
      <c r="H195" s="76" t="s">
        <v>647</v>
      </c>
      <c r="I195" s="96" t="s">
        <v>621</v>
      </c>
      <c r="J195" s="96"/>
      <c r="K195" s="97">
        <v>4.2999999999999997E-2</v>
      </c>
      <c r="L195" s="97">
        <v>4.2999999999999997E-2</v>
      </c>
      <c r="M195" s="97">
        <v>4.2999999999999997E-2</v>
      </c>
      <c r="N195" s="97">
        <v>4.2999999999999997E-2</v>
      </c>
      <c r="O195" s="97">
        <v>4.2999999999999997E-2</v>
      </c>
      <c r="P195" s="97">
        <v>4.2999999999999997E-2</v>
      </c>
      <c r="Q195" s="76"/>
      <c r="R195" s="76" t="s">
        <v>2819</v>
      </c>
      <c r="S195" s="76" t="s">
        <v>2819</v>
      </c>
      <c r="T195" s="76"/>
      <c r="U195" s="253">
        <f t="shared" si="56"/>
        <v>4.2999999999999997E-2</v>
      </c>
      <c r="V195" s="253">
        <f t="shared" si="56"/>
        <v>4.2999999999999997E-2</v>
      </c>
      <c r="W195" s="253">
        <f t="shared" si="56"/>
        <v>4.2999999999999997E-2</v>
      </c>
      <c r="X195" s="253">
        <f t="shared" si="56"/>
        <v>4.2999999999999997E-2</v>
      </c>
      <c r="Y195" s="253">
        <f t="shared" si="56"/>
        <v>4.2999999999999997E-2</v>
      </c>
      <c r="Z195" s="253">
        <f t="shared" si="56"/>
        <v>4.2999999999999997E-2</v>
      </c>
      <c r="AA195" s="253">
        <f t="shared" si="56"/>
        <v>4.2999999999999997E-2</v>
      </c>
      <c r="AB195" s="253">
        <f t="shared" si="56"/>
        <v>4.2999999999999997E-2</v>
      </c>
      <c r="AC195" s="253">
        <f t="shared" si="56"/>
        <v>4.2999999999999997E-2</v>
      </c>
      <c r="AD195" s="253">
        <f t="shared" si="56"/>
        <v>4.2999999999999997E-2</v>
      </c>
      <c r="AE195" s="253">
        <f t="shared" si="56"/>
        <v>4.2999999999999997E-2</v>
      </c>
      <c r="AF195" s="76"/>
      <c r="AG195" s="76"/>
      <c r="AH195" s="76"/>
      <c r="AI195" s="97">
        <v>1</v>
      </c>
      <c r="AJ195" s="97">
        <v>1</v>
      </c>
      <c r="AK195" s="73"/>
      <c r="AL195" s="57"/>
      <c r="AM195" s="45"/>
      <c r="AN195" s="45"/>
      <c r="AO195" s="45"/>
    </row>
    <row r="196" spans="1:41" hidden="1" outlineLevel="2" x14ac:dyDescent="0.25">
      <c r="A196" s="45"/>
      <c r="B196" s="54"/>
      <c r="C196" s="47">
        <f t="shared" si="54"/>
        <v>3</v>
      </c>
      <c r="D196" s="73"/>
      <c r="E196" s="70"/>
      <c r="F196" s="70" t="s">
        <v>648</v>
      </c>
      <c r="G196" s="73"/>
      <c r="H196" s="76" t="s">
        <v>3852</v>
      </c>
      <c r="I196" s="96" t="s">
        <v>621</v>
      </c>
      <c r="J196" s="96"/>
      <c r="K196" s="97">
        <v>0.43</v>
      </c>
      <c r="L196" s="97">
        <v>0.43</v>
      </c>
      <c r="M196" s="76"/>
      <c r="N196" s="76"/>
      <c r="O196" s="76"/>
      <c r="P196" s="76"/>
      <c r="Q196" s="76"/>
      <c r="R196" s="76" t="s">
        <v>2819</v>
      </c>
      <c r="S196" s="76"/>
      <c r="T196" s="76"/>
      <c r="U196" s="253">
        <f t="shared" si="56"/>
        <v>0.43</v>
      </c>
      <c r="V196" s="253">
        <f t="shared" si="56"/>
        <v>0.43</v>
      </c>
      <c r="W196" s="253">
        <f t="shared" si="56"/>
        <v>0.43</v>
      </c>
      <c r="X196" s="253">
        <f t="shared" si="56"/>
        <v>0.43</v>
      </c>
      <c r="Y196" s="253">
        <f t="shared" si="56"/>
        <v>0.43</v>
      </c>
      <c r="Z196" s="253">
        <f t="shared" si="56"/>
        <v>0.43</v>
      </c>
      <c r="AA196" s="253">
        <f t="shared" si="56"/>
        <v>0.43</v>
      </c>
      <c r="AB196" s="253">
        <f t="shared" si="56"/>
        <v>0.43</v>
      </c>
      <c r="AC196" s="253">
        <f t="shared" si="56"/>
        <v>0.43</v>
      </c>
      <c r="AD196" s="253">
        <f t="shared" si="56"/>
        <v>0.43</v>
      </c>
      <c r="AE196" s="253">
        <f t="shared" si="56"/>
        <v>0.43</v>
      </c>
      <c r="AF196" s="76"/>
      <c r="AG196" s="76"/>
      <c r="AH196" s="76"/>
      <c r="AI196" s="97">
        <v>1</v>
      </c>
      <c r="AJ196" s="97">
        <v>1</v>
      </c>
      <c r="AK196" s="73"/>
      <c r="AL196" s="57"/>
      <c r="AM196" s="45"/>
      <c r="AN196" s="45"/>
      <c r="AO196" s="45"/>
    </row>
    <row r="197" spans="1:41" hidden="1" outlineLevel="2" x14ac:dyDescent="0.25">
      <c r="A197" s="45"/>
      <c r="B197" s="54"/>
      <c r="C197" s="47">
        <f t="shared" si="54"/>
        <v>3</v>
      </c>
      <c r="D197" s="73"/>
      <c r="E197" s="70"/>
      <c r="F197" s="70" t="s">
        <v>2805</v>
      </c>
      <c r="G197" s="73"/>
      <c r="H197" s="76" t="s">
        <v>3180</v>
      </c>
      <c r="I197" s="96" t="s">
        <v>2817</v>
      </c>
      <c r="J197" s="96"/>
      <c r="K197" s="97">
        <v>8.9999999999999993E-3</v>
      </c>
      <c r="L197" s="97">
        <v>8.9999999999999993E-3</v>
      </c>
      <c r="M197" s="97">
        <v>8.9999999999999993E-3</v>
      </c>
      <c r="N197" s="97">
        <v>8.9999999999999993E-3</v>
      </c>
      <c r="O197" s="97">
        <v>8.9999999999999993E-3</v>
      </c>
      <c r="P197" s="97">
        <v>8.9999999999999993E-3</v>
      </c>
      <c r="Q197" s="76"/>
      <c r="R197" s="76" t="s">
        <v>3177</v>
      </c>
      <c r="S197" s="76" t="s">
        <v>3177</v>
      </c>
      <c r="T197" s="76"/>
      <c r="U197" s="253">
        <f t="shared" si="56"/>
        <v>8.9999999999999993E-3</v>
      </c>
      <c r="V197" s="253">
        <f t="shared" si="56"/>
        <v>8.9999999999999993E-3</v>
      </c>
      <c r="W197" s="253">
        <f t="shared" si="56"/>
        <v>8.9999999999999993E-3</v>
      </c>
      <c r="X197" s="253">
        <f t="shared" si="56"/>
        <v>8.9999999999999993E-3</v>
      </c>
      <c r="Y197" s="253">
        <f t="shared" si="56"/>
        <v>8.9999999999999993E-3</v>
      </c>
      <c r="Z197" s="253">
        <f t="shared" si="56"/>
        <v>8.9999999999999993E-3</v>
      </c>
      <c r="AA197" s="253">
        <f t="shared" si="56"/>
        <v>8.9999999999999993E-3</v>
      </c>
      <c r="AB197" s="253">
        <f t="shared" si="56"/>
        <v>8.9999999999999993E-3</v>
      </c>
      <c r="AC197" s="253">
        <f t="shared" si="56"/>
        <v>8.9999999999999993E-3</v>
      </c>
      <c r="AD197" s="253">
        <f t="shared" si="56"/>
        <v>8.9999999999999993E-3</v>
      </c>
      <c r="AE197" s="253">
        <f t="shared" si="56"/>
        <v>8.9999999999999993E-3</v>
      </c>
      <c r="AF197" s="76"/>
      <c r="AG197" s="76"/>
      <c r="AH197" s="76"/>
      <c r="AI197" s="97">
        <v>1</v>
      </c>
      <c r="AJ197" s="97">
        <v>1</v>
      </c>
      <c r="AK197" s="73"/>
      <c r="AL197" s="57"/>
      <c r="AM197" s="45"/>
      <c r="AN197" s="45"/>
      <c r="AO197" s="45"/>
    </row>
    <row r="198" spans="1:41" hidden="1" outlineLevel="2" x14ac:dyDescent="0.25">
      <c r="A198" s="45"/>
      <c r="B198" s="54"/>
      <c r="C198" s="47">
        <f t="shared" si="54"/>
        <v>3</v>
      </c>
      <c r="D198" s="73"/>
      <c r="E198" s="70"/>
      <c r="F198" s="70" t="s">
        <v>2806</v>
      </c>
      <c r="G198" s="73"/>
      <c r="H198" s="76" t="s">
        <v>3181</v>
      </c>
      <c r="I198" s="96" t="s">
        <v>2817</v>
      </c>
      <c r="J198" s="96"/>
      <c r="K198" s="97">
        <v>7.6536</v>
      </c>
      <c r="L198" s="97">
        <v>7.6536</v>
      </c>
      <c r="M198" s="97">
        <v>7.6536</v>
      </c>
      <c r="N198" s="97">
        <v>7.6536</v>
      </c>
      <c r="O198" s="97">
        <v>7.6536</v>
      </c>
      <c r="P198" s="97">
        <v>7.6536</v>
      </c>
      <c r="Q198" s="76"/>
      <c r="R198" s="76" t="s">
        <v>3177</v>
      </c>
      <c r="S198" s="76" t="s">
        <v>3177</v>
      </c>
      <c r="T198" s="76"/>
      <c r="U198" s="253">
        <f t="shared" si="56"/>
        <v>7.6536</v>
      </c>
      <c r="V198" s="253">
        <f t="shared" si="56"/>
        <v>7.6536</v>
      </c>
      <c r="W198" s="253">
        <f t="shared" si="56"/>
        <v>7.6536</v>
      </c>
      <c r="X198" s="253">
        <f t="shared" si="56"/>
        <v>7.6536</v>
      </c>
      <c r="Y198" s="253">
        <f t="shared" si="56"/>
        <v>7.6536</v>
      </c>
      <c r="Z198" s="253">
        <f t="shared" si="56"/>
        <v>7.6536</v>
      </c>
      <c r="AA198" s="253">
        <f t="shared" si="56"/>
        <v>7.6536</v>
      </c>
      <c r="AB198" s="253">
        <f t="shared" si="56"/>
        <v>7.6536</v>
      </c>
      <c r="AC198" s="253">
        <f t="shared" si="56"/>
        <v>7.6536</v>
      </c>
      <c r="AD198" s="253">
        <f t="shared" si="56"/>
        <v>7.6536</v>
      </c>
      <c r="AE198" s="253">
        <f t="shared" si="56"/>
        <v>7.6536</v>
      </c>
      <c r="AF198" s="76"/>
      <c r="AG198" s="76"/>
      <c r="AH198" s="76"/>
      <c r="AI198" s="97">
        <v>1</v>
      </c>
      <c r="AJ198" s="97">
        <v>1</v>
      </c>
      <c r="AK198" s="73"/>
      <c r="AL198" s="57"/>
      <c r="AM198" s="45"/>
      <c r="AN198" s="45"/>
      <c r="AO198" s="45"/>
    </row>
    <row r="199" spans="1:41" hidden="1" outlineLevel="2" x14ac:dyDescent="0.25">
      <c r="A199" s="45"/>
      <c r="B199" s="54"/>
      <c r="C199" s="47">
        <f t="shared" si="54"/>
        <v>3</v>
      </c>
      <c r="D199" s="73"/>
      <c r="E199" s="70"/>
      <c r="F199" s="70" t="s">
        <v>2810</v>
      </c>
      <c r="G199" s="73"/>
      <c r="H199" s="76" t="s">
        <v>2857</v>
      </c>
      <c r="I199" s="96" t="s">
        <v>2817</v>
      </c>
      <c r="J199" s="96"/>
      <c r="K199" s="97">
        <v>0.43</v>
      </c>
      <c r="L199" s="97">
        <v>0.43</v>
      </c>
      <c r="M199" s="97">
        <v>0.43</v>
      </c>
      <c r="N199" s="97">
        <v>0.43</v>
      </c>
      <c r="O199" s="97">
        <v>0.43</v>
      </c>
      <c r="P199" s="97">
        <v>0.43</v>
      </c>
      <c r="Q199" s="76"/>
      <c r="R199" s="76" t="s">
        <v>2816</v>
      </c>
      <c r="S199" s="76" t="s">
        <v>2816</v>
      </c>
      <c r="T199" s="76"/>
      <c r="U199" s="253">
        <f t="shared" si="56"/>
        <v>0.43</v>
      </c>
      <c r="V199" s="253">
        <f t="shared" si="56"/>
        <v>0.43</v>
      </c>
      <c r="W199" s="253">
        <f t="shared" si="56"/>
        <v>0.43</v>
      </c>
      <c r="X199" s="253">
        <f t="shared" si="56"/>
        <v>0.43</v>
      </c>
      <c r="Y199" s="253">
        <f t="shared" si="56"/>
        <v>0.43</v>
      </c>
      <c r="Z199" s="253">
        <f t="shared" si="56"/>
        <v>0.43</v>
      </c>
      <c r="AA199" s="253">
        <f t="shared" si="56"/>
        <v>0.43</v>
      </c>
      <c r="AB199" s="253">
        <f t="shared" si="56"/>
        <v>0.43</v>
      </c>
      <c r="AC199" s="253">
        <f t="shared" si="56"/>
        <v>0.43</v>
      </c>
      <c r="AD199" s="253">
        <f t="shared" si="56"/>
        <v>0.43</v>
      </c>
      <c r="AE199" s="253">
        <f t="shared" si="56"/>
        <v>0.43</v>
      </c>
      <c r="AF199" s="76"/>
      <c r="AG199" s="76"/>
      <c r="AH199" s="76"/>
      <c r="AI199" s="97">
        <v>1</v>
      </c>
      <c r="AJ199" s="97">
        <v>1</v>
      </c>
      <c r="AK199" s="73"/>
      <c r="AL199" s="57"/>
      <c r="AM199" s="45"/>
      <c r="AN199" s="45"/>
      <c r="AO199" s="45"/>
    </row>
    <row r="200" spans="1:41" hidden="1" outlineLevel="2" x14ac:dyDescent="0.25">
      <c r="A200" s="45"/>
      <c r="B200" s="54"/>
      <c r="C200" s="47">
        <f t="shared" si="54"/>
        <v>3</v>
      </c>
      <c r="D200" s="73"/>
      <c r="E200" s="70"/>
      <c r="F200" s="70" t="s">
        <v>2811</v>
      </c>
      <c r="G200" s="73"/>
      <c r="H200" s="76" t="s">
        <v>2858</v>
      </c>
      <c r="I200" s="96" t="s">
        <v>2817</v>
      </c>
      <c r="J200" s="96"/>
      <c r="K200" s="97">
        <f>1/0.4-1</f>
        <v>1.5</v>
      </c>
      <c r="L200" s="97">
        <f t="shared" ref="L200:P201" si="57">K200</f>
        <v>1.5</v>
      </c>
      <c r="M200" s="97">
        <f t="shared" si="57"/>
        <v>1.5</v>
      </c>
      <c r="N200" s="97">
        <f t="shared" si="57"/>
        <v>1.5</v>
      </c>
      <c r="O200" s="97">
        <f t="shared" si="57"/>
        <v>1.5</v>
      </c>
      <c r="P200" s="97">
        <f t="shared" si="57"/>
        <v>1.5</v>
      </c>
      <c r="Q200" s="76"/>
      <c r="R200" s="76" t="s">
        <v>2816</v>
      </c>
      <c r="S200" s="76" t="s">
        <v>2816</v>
      </c>
      <c r="T200" s="76"/>
      <c r="U200" s="253">
        <f t="shared" ref="U200:AE209" si="58">INDEX($K200:$Q200,1,U$43)</f>
        <v>1.5</v>
      </c>
      <c r="V200" s="253">
        <f t="shared" si="58"/>
        <v>1.5</v>
      </c>
      <c r="W200" s="253">
        <f t="shared" si="58"/>
        <v>1.5</v>
      </c>
      <c r="X200" s="253">
        <f t="shared" si="58"/>
        <v>1.5</v>
      </c>
      <c r="Y200" s="253">
        <f t="shared" si="58"/>
        <v>1.5</v>
      </c>
      <c r="Z200" s="253">
        <f t="shared" si="58"/>
        <v>1.5</v>
      </c>
      <c r="AA200" s="253">
        <f t="shared" si="58"/>
        <v>1.5</v>
      </c>
      <c r="AB200" s="253">
        <f t="shared" si="58"/>
        <v>1.5</v>
      </c>
      <c r="AC200" s="253">
        <f t="shared" si="58"/>
        <v>1.5</v>
      </c>
      <c r="AD200" s="253">
        <f t="shared" si="58"/>
        <v>1.5</v>
      </c>
      <c r="AE200" s="253">
        <f t="shared" si="58"/>
        <v>1.5</v>
      </c>
      <c r="AF200" s="76"/>
      <c r="AG200" s="76"/>
      <c r="AH200" s="76"/>
      <c r="AI200" s="97">
        <v>1</v>
      </c>
      <c r="AJ200" s="97">
        <v>1</v>
      </c>
      <c r="AK200" s="73"/>
      <c r="AL200" s="57"/>
      <c r="AM200" s="45"/>
      <c r="AN200" s="45"/>
      <c r="AO200" s="45"/>
    </row>
    <row r="201" spans="1:41" hidden="1" outlineLevel="2" x14ac:dyDescent="0.25">
      <c r="A201" s="45"/>
      <c r="B201" s="54"/>
      <c r="C201" s="47">
        <f t="shared" si="54"/>
        <v>3</v>
      </c>
      <c r="D201" s="73"/>
      <c r="E201" s="70"/>
      <c r="F201" s="70" t="s">
        <v>2807</v>
      </c>
      <c r="G201" s="73"/>
      <c r="H201" s="76" t="s">
        <v>2859</v>
      </c>
      <c r="I201" s="96" t="s">
        <v>2817</v>
      </c>
      <c r="J201" s="96"/>
      <c r="K201" s="97">
        <f>1/0.4-1</f>
        <v>1.5</v>
      </c>
      <c r="L201" s="97">
        <f t="shared" si="57"/>
        <v>1.5</v>
      </c>
      <c r="M201" s="97">
        <f t="shared" si="57"/>
        <v>1.5</v>
      </c>
      <c r="N201" s="97">
        <f t="shared" si="57"/>
        <v>1.5</v>
      </c>
      <c r="O201" s="97">
        <f t="shared" si="57"/>
        <v>1.5</v>
      </c>
      <c r="P201" s="97">
        <f t="shared" si="57"/>
        <v>1.5</v>
      </c>
      <c r="Q201" s="76"/>
      <c r="R201" s="76" t="s">
        <v>2816</v>
      </c>
      <c r="S201" s="76" t="s">
        <v>2816</v>
      </c>
      <c r="T201" s="76"/>
      <c r="U201" s="253">
        <f t="shared" si="58"/>
        <v>1.5</v>
      </c>
      <c r="V201" s="253">
        <f t="shared" si="58"/>
        <v>1.5</v>
      </c>
      <c r="W201" s="253">
        <f t="shared" si="58"/>
        <v>1.5</v>
      </c>
      <c r="X201" s="253">
        <f t="shared" si="58"/>
        <v>1.5</v>
      </c>
      <c r="Y201" s="253">
        <f t="shared" si="58"/>
        <v>1.5</v>
      </c>
      <c r="Z201" s="253">
        <f t="shared" si="58"/>
        <v>1.5</v>
      </c>
      <c r="AA201" s="253">
        <f t="shared" si="58"/>
        <v>1.5</v>
      </c>
      <c r="AB201" s="253">
        <f t="shared" si="58"/>
        <v>1.5</v>
      </c>
      <c r="AC201" s="253">
        <f t="shared" si="58"/>
        <v>1.5</v>
      </c>
      <c r="AD201" s="253">
        <f t="shared" si="58"/>
        <v>1.5</v>
      </c>
      <c r="AE201" s="253">
        <f t="shared" si="58"/>
        <v>1.5</v>
      </c>
      <c r="AF201" s="76"/>
      <c r="AG201" s="76"/>
      <c r="AH201" s="76"/>
      <c r="AI201" s="97">
        <v>1</v>
      </c>
      <c r="AJ201" s="97">
        <v>1</v>
      </c>
      <c r="AK201" s="73"/>
      <c r="AL201" s="57"/>
      <c r="AM201" s="45"/>
      <c r="AN201" s="45"/>
      <c r="AO201" s="45"/>
    </row>
    <row r="202" spans="1:41" hidden="1" outlineLevel="2" x14ac:dyDescent="0.25">
      <c r="A202" s="45"/>
      <c r="B202" s="54"/>
      <c r="C202" s="47">
        <f t="shared" si="54"/>
        <v>3</v>
      </c>
      <c r="D202" s="73"/>
      <c r="E202" s="70"/>
      <c r="F202" s="70" t="s">
        <v>2808</v>
      </c>
      <c r="G202" s="73"/>
      <c r="H202" s="76" t="s">
        <v>2860</v>
      </c>
      <c r="I202" s="96" t="s">
        <v>2817</v>
      </c>
      <c r="J202" s="96"/>
      <c r="K202" s="97">
        <f>1/0.4-1</f>
        <v>1.5</v>
      </c>
      <c r="L202" s="334">
        <f>K202</f>
        <v>1.5</v>
      </c>
      <c r="M202" s="76"/>
      <c r="N202" s="76"/>
      <c r="O202" s="76"/>
      <c r="P202" s="76"/>
      <c r="Q202" s="76"/>
      <c r="R202" s="76" t="s">
        <v>2816</v>
      </c>
      <c r="S202" s="76"/>
      <c r="T202" s="76"/>
      <c r="U202" s="253">
        <f t="shared" si="58"/>
        <v>1.5</v>
      </c>
      <c r="V202" s="253">
        <f t="shared" si="58"/>
        <v>1.5</v>
      </c>
      <c r="W202" s="253">
        <f t="shared" si="58"/>
        <v>1.5</v>
      </c>
      <c r="X202" s="253">
        <f t="shared" si="58"/>
        <v>1.5</v>
      </c>
      <c r="Y202" s="253">
        <f t="shared" si="58"/>
        <v>1.5</v>
      </c>
      <c r="Z202" s="253">
        <f t="shared" si="58"/>
        <v>1.5</v>
      </c>
      <c r="AA202" s="253">
        <f t="shared" si="58"/>
        <v>1.5</v>
      </c>
      <c r="AB202" s="253">
        <f t="shared" si="58"/>
        <v>1.5</v>
      </c>
      <c r="AC202" s="253">
        <f t="shared" si="58"/>
        <v>1.5</v>
      </c>
      <c r="AD202" s="253">
        <f t="shared" si="58"/>
        <v>1.5</v>
      </c>
      <c r="AE202" s="253">
        <f t="shared" si="58"/>
        <v>1.5</v>
      </c>
      <c r="AF202" s="76"/>
      <c r="AG202" s="76"/>
      <c r="AH202" s="76"/>
      <c r="AI202" s="97">
        <v>1</v>
      </c>
      <c r="AJ202" s="97">
        <v>1</v>
      </c>
      <c r="AK202" s="73"/>
      <c r="AL202" s="57"/>
      <c r="AM202" s="45"/>
      <c r="AN202" s="45"/>
      <c r="AO202" s="45"/>
    </row>
    <row r="203" spans="1:41" hidden="1" outlineLevel="2" x14ac:dyDescent="0.25">
      <c r="A203" s="45"/>
      <c r="B203" s="54"/>
      <c r="C203" s="47">
        <f t="shared" si="54"/>
        <v>3</v>
      </c>
      <c r="D203" s="73"/>
      <c r="E203" s="70"/>
      <c r="F203" s="70" t="s">
        <v>2809</v>
      </c>
      <c r="G203" s="73"/>
      <c r="H203" s="76" t="s">
        <v>3178</v>
      </c>
      <c r="I203" s="96" t="s">
        <v>2817</v>
      </c>
      <c r="J203" s="96"/>
      <c r="K203" s="97">
        <f t="shared" ref="K203:P203" si="59">1/0.2-1</f>
        <v>4</v>
      </c>
      <c r="L203" s="97">
        <f t="shared" si="59"/>
        <v>4</v>
      </c>
      <c r="M203" s="97">
        <f t="shared" si="59"/>
        <v>4</v>
      </c>
      <c r="N203" s="97">
        <f t="shared" si="59"/>
        <v>4</v>
      </c>
      <c r="O203" s="97">
        <f t="shared" si="59"/>
        <v>4</v>
      </c>
      <c r="P203" s="97">
        <f t="shared" si="59"/>
        <v>4</v>
      </c>
      <c r="Q203" s="76"/>
      <c r="R203" s="76" t="s">
        <v>3177</v>
      </c>
      <c r="S203" s="76" t="s">
        <v>3177</v>
      </c>
      <c r="T203" s="76"/>
      <c r="U203" s="253">
        <f t="shared" si="58"/>
        <v>4</v>
      </c>
      <c r="V203" s="253">
        <f t="shared" si="58"/>
        <v>4</v>
      </c>
      <c r="W203" s="253">
        <f t="shared" si="58"/>
        <v>4</v>
      </c>
      <c r="X203" s="253">
        <f t="shared" si="58"/>
        <v>4</v>
      </c>
      <c r="Y203" s="253">
        <f t="shared" si="58"/>
        <v>4</v>
      </c>
      <c r="Z203" s="253">
        <f t="shared" si="58"/>
        <v>4</v>
      </c>
      <c r="AA203" s="253">
        <f t="shared" si="58"/>
        <v>4</v>
      </c>
      <c r="AB203" s="253">
        <f t="shared" si="58"/>
        <v>4</v>
      </c>
      <c r="AC203" s="253">
        <f t="shared" si="58"/>
        <v>4</v>
      </c>
      <c r="AD203" s="253">
        <f t="shared" si="58"/>
        <v>4</v>
      </c>
      <c r="AE203" s="253">
        <f t="shared" si="58"/>
        <v>4</v>
      </c>
      <c r="AF203" s="76"/>
      <c r="AG203" s="76"/>
      <c r="AH203" s="76"/>
      <c r="AI203" s="97">
        <v>1</v>
      </c>
      <c r="AJ203" s="97">
        <v>1</v>
      </c>
      <c r="AK203" s="73"/>
      <c r="AL203" s="57"/>
      <c r="AM203" s="45"/>
      <c r="AN203" s="45"/>
      <c r="AO203" s="45"/>
    </row>
    <row r="204" spans="1:41" hidden="1" outlineLevel="2" x14ac:dyDescent="0.25">
      <c r="A204" s="45"/>
      <c r="B204" s="54"/>
      <c r="C204" s="47">
        <f t="shared" si="54"/>
        <v>3</v>
      </c>
      <c r="D204" s="73"/>
      <c r="E204" s="70"/>
      <c r="F204" s="70" t="s">
        <v>2812</v>
      </c>
      <c r="G204" s="73"/>
      <c r="H204" s="76" t="s">
        <v>3179</v>
      </c>
      <c r="I204" s="96" t="s">
        <v>2817</v>
      </c>
      <c r="J204" s="96"/>
      <c r="K204" s="97">
        <f t="shared" ref="K204:P204" si="60">1/0.9-1</f>
        <v>0.11111111111111116</v>
      </c>
      <c r="L204" s="97">
        <f t="shared" si="60"/>
        <v>0.11111111111111116</v>
      </c>
      <c r="M204" s="97">
        <f t="shared" si="60"/>
        <v>0.11111111111111116</v>
      </c>
      <c r="N204" s="97">
        <f t="shared" si="60"/>
        <v>0.11111111111111116</v>
      </c>
      <c r="O204" s="97">
        <f t="shared" si="60"/>
        <v>0.11111111111111116</v>
      </c>
      <c r="P204" s="97">
        <f t="shared" si="60"/>
        <v>0.11111111111111116</v>
      </c>
      <c r="Q204" s="76"/>
      <c r="R204" s="76" t="s">
        <v>3177</v>
      </c>
      <c r="S204" s="76" t="s">
        <v>3177</v>
      </c>
      <c r="T204" s="76"/>
      <c r="U204" s="253">
        <f t="shared" si="58"/>
        <v>0.11111111111111116</v>
      </c>
      <c r="V204" s="253">
        <f t="shared" si="58"/>
        <v>0.11111111111111116</v>
      </c>
      <c r="W204" s="253">
        <f t="shared" si="58"/>
        <v>0.11111111111111116</v>
      </c>
      <c r="X204" s="253">
        <f t="shared" si="58"/>
        <v>0.11111111111111116</v>
      </c>
      <c r="Y204" s="253">
        <f t="shared" si="58"/>
        <v>0.11111111111111116</v>
      </c>
      <c r="Z204" s="253">
        <f t="shared" si="58"/>
        <v>0.11111111111111116</v>
      </c>
      <c r="AA204" s="253">
        <f t="shared" si="58"/>
        <v>0.11111111111111116</v>
      </c>
      <c r="AB204" s="253">
        <f t="shared" si="58"/>
        <v>0.11111111111111116</v>
      </c>
      <c r="AC204" s="253">
        <f t="shared" si="58"/>
        <v>0.11111111111111116</v>
      </c>
      <c r="AD204" s="253">
        <f t="shared" si="58"/>
        <v>0.11111111111111116</v>
      </c>
      <c r="AE204" s="253">
        <f t="shared" si="58"/>
        <v>0.11111111111111116</v>
      </c>
      <c r="AF204" s="76"/>
      <c r="AG204" s="76"/>
      <c r="AH204" s="76"/>
      <c r="AI204" s="97">
        <v>1</v>
      </c>
      <c r="AJ204" s="97">
        <v>1</v>
      </c>
      <c r="AK204" s="73"/>
      <c r="AL204" s="57"/>
      <c r="AM204" s="45"/>
      <c r="AN204" s="45"/>
      <c r="AO204" s="45"/>
    </row>
    <row r="205" spans="1:41" hidden="1" outlineLevel="2" x14ac:dyDescent="0.25">
      <c r="A205" s="45"/>
      <c r="B205" s="54"/>
      <c r="C205" s="47">
        <f t="shared" si="54"/>
        <v>3</v>
      </c>
      <c r="D205" s="73"/>
      <c r="E205" s="70"/>
      <c r="F205" s="70" t="s">
        <v>2813</v>
      </c>
      <c r="G205" s="73"/>
      <c r="H205" s="76" t="s">
        <v>2861</v>
      </c>
      <c r="I205" s="96" t="s">
        <v>2817</v>
      </c>
      <c r="J205" s="96"/>
      <c r="K205" s="97">
        <v>0</v>
      </c>
      <c r="L205" s="97">
        <v>0</v>
      </c>
      <c r="M205" s="97">
        <v>0</v>
      </c>
      <c r="N205" s="97">
        <v>0</v>
      </c>
      <c r="O205" s="97">
        <v>0</v>
      </c>
      <c r="P205" s="97">
        <v>0</v>
      </c>
      <c r="Q205" s="76"/>
      <c r="R205" s="76" t="s">
        <v>2816</v>
      </c>
      <c r="S205" s="76" t="s">
        <v>2816</v>
      </c>
      <c r="T205" s="76"/>
      <c r="U205" s="253">
        <f t="shared" si="58"/>
        <v>0</v>
      </c>
      <c r="V205" s="253">
        <f t="shared" si="58"/>
        <v>0</v>
      </c>
      <c r="W205" s="253">
        <f t="shared" si="58"/>
        <v>0</v>
      </c>
      <c r="X205" s="253">
        <f t="shared" si="58"/>
        <v>0</v>
      </c>
      <c r="Y205" s="253">
        <f t="shared" si="58"/>
        <v>0</v>
      </c>
      <c r="Z205" s="253">
        <f t="shared" si="58"/>
        <v>0</v>
      </c>
      <c r="AA205" s="253">
        <f t="shared" si="58"/>
        <v>0</v>
      </c>
      <c r="AB205" s="253">
        <f t="shared" si="58"/>
        <v>0</v>
      </c>
      <c r="AC205" s="253">
        <f t="shared" si="58"/>
        <v>0</v>
      </c>
      <c r="AD205" s="253">
        <f t="shared" si="58"/>
        <v>0</v>
      </c>
      <c r="AE205" s="253">
        <f t="shared" si="58"/>
        <v>0</v>
      </c>
      <c r="AF205" s="76"/>
      <c r="AG205" s="76"/>
      <c r="AH205" s="76"/>
      <c r="AI205" s="97">
        <v>1</v>
      </c>
      <c r="AJ205" s="97">
        <v>1</v>
      </c>
      <c r="AK205" s="73"/>
      <c r="AL205" s="57"/>
      <c r="AM205" s="45"/>
      <c r="AN205" s="45"/>
      <c r="AO205" s="45"/>
    </row>
    <row r="206" spans="1:41" hidden="1" outlineLevel="2" x14ac:dyDescent="0.25">
      <c r="A206" s="45"/>
      <c r="B206" s="54"/>
      <c r="C206" s="47">
        <f t="shared" si="54"/>
        <v>3</v>
      </c>
      <c r="D206" s="73"/>
      <c r="E206" s="70"/>
      <c r="F206" s="70" t="s">
        <v>2814</v>
      </c>
      <c r="G206" s="73"/>
      <c r="H206" s="76" t="s">
        <v>2862</v>
      </c>
      <c r="I206" s="96" t="s">
        <v>2817</v>
      </c>
      <c r="J206" s="96"/>
      <c r="K206" s="97">
        <v>0</v>
      </c>
      <c r="L206" s="97">
        <v>0</v>
      </c>
      <c r="M206" s="97">
        <v>0</v>
      </c>
      <c r="N206" s="97">
        <v>0</v>
      </c>
      <c r="O206" s="97">
        <v>0</v>
      </c>
      <c r="P206" s="97">
        <v>0</v>
      </c>
      <c r="Q206" s="76"/>
      <c r="R206" s="76" t="s">
        <v>2816</v>
      </c>
      <c r="S206" s="76" t="s">
        <v>2816</v>
      </c>
      <c r="T206" s="76"/>
      <c r="U206" s="253">
        <f t="shared" si="58"/>
        <v>0</v>
      </c>
      <c r="V206" s="253">
        <f t="shared" si="58"/>
        <v>0</v>
      </c>
      <c r="W206" s="253">
        <f t="shared" si="58"/>
        <v>0</v>
      </c>
      <c r="X206" s="253">
        <f t="shared" si="58"/>
        <v>0</v>
      </c>
      <c r="Y206" s="253">
        <f t="shared" si="58"/>
        <v>0</v>
      </c>
      <c r="Z206" s="253">
        <f t="shared" si="58"/>
        <v>0</v>
      </c>
      <c r="AA206" s="253">
        <f t="shared" si="58"/>
        <v>0</v>
      </c>
      <c r="AB206" s="253">
        <f t="shared" si="58"/>
        <v>0</v>
      </c>
      <c r="AC206" s="253">
        <f t="shared" si="58"/>
        <v>0</v>
      </c>
      <c r="AD206" s="253">
        <f t="shared" si="58"/>
        <v>0</v>
      </c>
      <c r="AE206" s="253">
        <f t="shared" si="58"/>
        <v>0</v>
      </c>
      <c r="AF206" s="76"/>
      <c r="AG206" s="76"/>
      <c r="AH206" s="76"/>
      <c r="AI206" s="97">
        <v>1</v>
      </c>
      <c r="AJ206" s="97">
        <v>1</v>
      </c>
      <c r="AK206" s="73"/>
      <c r="AL206" s="57"/>
      <c r="AM206" s="45"/>
      <c r="AN206" s="45"/>
      <c r="AO206" s="45"/>
    </row>
    <row r="207" spans="1:41" hidden="1" outlineLevel="2" x14ac:dyDescent="0.25">
      <c r="A207" s="45"/>
      <c r="B207" s="54"/>
      <c r="C207" s="47">
        <f t="shared" si="54"/>
        <v>3</v>
      </c>
      <c r="D207" s="73"/>
      <c r="E207" s="70"/>
      <c r="F207" s="70" t="s">
        <v>2815</v>
      </c>
      <c r="G207" s="73"/>
      <c r="H207" s="76" t="s">
        <v>2863</v>
      </c>
      <c r="I207" s="96" t="s">
        <v>2817</v>
      </c>
      <c r="J207" s="96"/>
      <c r="K207" s="97">
        <v>0</v>
      </c>
      <c r="L207" s="97">
        <v>0</v>
      </c>
      <c r="M207" s="97">
        <v>0</v>
      </c>
      <c r="N207" s="97">
        <v>0</v>
      </c>
      <c r="O207" s="97">
        <v>0</v>
      </c>
      <c r="P207" s="97">
        <v>0</v>
      </c>
      <c r="Q207" s="76"/>
      <c r="R207" s="76" t="s">
        <v>2816</v>
      </c>
      <c r="S207" s="76" t="s">
        <v>2816</v>
      </c>
      <c r="T207" s="76"/>
      <c r="U207" s="253">
        <f t="shared" si="58"/>
        <v>0</v>
      </c>
      <c r="V207" s="253">
        <f t="shared" si="58"/>
        <v>0</v>
      </c>
      <c r="W207" s="253">
        <f t="shared" si="58"/>
        <v>0</v>
      </c>
      <c r="X207" s="253">
        <f t="shared" si="58"/>
        <v>0</v>
      </c>
      <c r="Y207" s="253">
        <f t="shared" si="58"/>
        <v>0</v>
      </c>
      <c r="Z207" s="253">
        <f t="shared" si="58"/>
        <v>0</v>
      </c>
      <c r="AA207" s="253">
        <f t="shared" si="58"/>
        <v>0</v>
      </c>
      <c r="AB207" s="253">
        <f t="shared" si="58"/>
        <v>0</v>
      </c>
      <c r="AC207" s="253">
        <f t="shared" si="58"/>
        <v>0</v>
      </c>
      <c r="AD207" s="253">
        <f t="shared" si="58"/>
        <v>0</v>
      </c>
      <c r="AE207" s="253">
        <f t="shared" si="58"/>
        <v>0</v>
      </c>
      <c r="AF207" s="76"/>
      <c r="AG207" s="76"/>
      <c r="AH207" s="76"/>
      <c r="AI207" s="97">
        <v>1</v>
      </c>
      <c r="AJ207" s="97">
        <v>1</v>
      </c>
      <c r="AK207" s="73"/>
      <c r="AL207" s="57"/>
      <c r="AM207" s="45"/>
      <c r="AN207" s="45"/>
      <c r="AO207" s="45"/>
    </row>
    <row r="208" spans="1:41" hidden="1" outlineLevel="2" x14ac:dyDescent="0.25">
      <c r="A208" s="45"/>
      <c r="B208" s="54"/>
      <c r="C208" s="47">
        <f t="shared" si="54"/>
        <v>3</v>
      </c>
      <c r="D208" s="73"/>
      <c r="E208" s="70"/>
      <c r="F208" s="70" t="s">
        <v>3231</v>
      </c>
      <c r="G208" s="73"/>
      <c r="H208" s="76" t="s">
        <v>3239</v>
      </c>
      <c r="I208" s="96" t="s">
        <v>621</v>
      </c>
      <c r="J208" s="96"/>
      <c r="K208" s="281">
        <f>K$184 / 0.7</f>
        <v>0.57142857142857151</v>
      </c>
      <c r="L208" s="281">
        <f t="shared" ref="L208:L214" si="61">K208</f>
        <v>0.57142857142857151</v>
      </c>
      <c r="M208" s="76"/>
      <c r="N208" s="76"/>
      <c r="O208" s="76"/>
      <c r="P208" s="76"/>
      <c r="Q208" s="76"/>
      <c r="R208" s="76" t="s">
        <v>2819</v>
      </c>
      <c r="S208" s="76"/>
      <c r="T208" s="76"/>
      <c r="U208" s="253">
        <f t="shared" si="58"/>
        <v>0.57142857142857151</v>
      </c>
      <c r="V208" s="253">
        <f t="shared" si="58"/>
        <v>0.57142857142857151</v>
      </c>
      <c r="W208" s="253">
        <f t="shared" si="58"/>
        <v>0.57142857142857151</v>
      </c>
      <c r="X208" s="253">
        <f t="shared" si="58"/>
        <v>0.57142857142857151</v>
      </c>
      <c r="Y208" s="253">
        <f t="shared" si="58"/>
        <v>0.57142857142857151</v>
      </c>
      <c r="Z208" s="253">
        <f t="shared" si="58"/>
        <v>0.57142857142857151</v>
      </c>
      <c r="AA208" s="253">
        <f t="shared" si="58"/>
        <v>0.57142857142857151</v>
      </c>
      <c r="AB208" s="253">
        <f t="shared" si="58"/>
        <v>0.57142857142857151</v>
      </c>
      <c r="AC208" s="253">
        <f t="shared" si="58"/>
        <v>0.57142857142857151</v>
      </c>
      <c r="AD208" s="253">
        <f t="shared" si="58"/>
        <v>0.57142857142857151</v>
      </c>
      <c r="AE208" s="253">
        <f t="shared" si="58"/>
        <v>0.57142857142857151</v>
      </c>
      <c r="AF208" s="76"/>
      <c r="AG208" s="76"/>
      <c r="AH208" s="76"/>
      <c r="AI208" s="97">
        <v>1</v>
      </c>
      <c r="AJ208" s="97">
        <v>1</v>
      </c>
      <c r="AK208" s="73"/>
      <c r="AL208" s="57"/>
      <c r="AM208" s="45"/>
      <c r="AN208" s="45"/>
      <c r="AO208" s="45"/>
    </row>
    <row r="209" spans="1:41" hidden="1" outlineLevel="2" x14ac:dyDescent="0.25">
      <c r="A209" s="45"/>
      <c r="B209" s="54"/>
      <c r="C209" s="47">
        <f t="shared" si="54"/>
        <v>3</v>
      </c>
      <c r="D209" s="73"/>
      <c r="E209" s="70"/>
      <c r="F209" s="70" t="s">
        <v>3232</v>
      </c>
      <c r="G209" s="73"/>
      <c r="H209" s="76" t="s">
        <v>3240</v>
      </c>
      <c r="I209" s="96" t="s">
        <v>621</v>
      </c>
      <c r="J209" s="96"/>
      <c r="K209" s="281">
        <f>K$185 / 0.7</f>
        <v>2.8571428571428574E-2</v>
      </c>
      <c r="L209" s="281">
        <f t="shared" si="61"/>
        <v>2.8571428571428574E-2</v>
      </c>
      <c r="M209" s="76"/>
      <c r="N209" s="76"/>
      <c r="O209" s="76"/>
      <c r="P209" s="76"/>
      <c r="Q209" s="76"/>
      <c r="R209" s="76" t="s">
        <v>2819</v>
      </c>
      <c r="S209" s="76"/>
      <c r="T209" s="76"/>
      <c r="U209" s="253">
        <f t="shared" si="58"/>
        <v>2.8571428571428574E-2</v>
      </c>
      <c r="V209" s="253">
        <f t="shared" si="58"/>
        <v>2.8571428571428574E-2</v>
      </c>
      <c r="W209" s="253">
        <f t="shared" si="58"/>
        <v>2.8571428571428574E-2</v>
      </c>
      <c r="X209" s="253">
        <f t="shared" si="58"/>
        <v>2.8571428571428574E-2</v>
      </c>
      <c r="Y209" s="253">
        <f t="shared" si="58"/>
        <v>2.8571428571428574E-2</v>
      </c>
      <c r="Z209" s="253">
        <f t="shared" si="58"/>
        <v>2.8571428571428574E-2</v>
      </c>
      <c r="AA209" s="253">
        <f t="shared" si="58"/>
        <v>2.8571428571428574E-2</v>
      </c>
      <c r="AB209" s="253">
        <f t="shared" si="58"/>
        <v>2.8571428571428574E-2</v>
      </c>
      <c r="AC209" s="253">
        <f t="shared" si="58"/>
        <v>2.8571428571428574E-2</v>
      </c>
      <c r="AD209" s="253">
        <f t="shared" si="58"/>
        <v>2.8571428571428574E-2</v>
      </c>
      <c r="AE209" s="253">
        <f t="shared" si="58"/>
        <v>2.8571428571428574E-2</v>
      </c>
      <c r="AF209" s="76"/>
      <c r="AG209" s="76"/>
      <c r="AH209" s="76"/>
      <c r="AI209" s="97">
        <v>1</v>
      </c>
      <c r="AJ209" s="97">
        <v>1</v>
      </c>
      <c r="AK209" s="73"/>
      <c r="AL209" s="57"/>
      <c r="AM209" s="45"/>
      <c r="AN209" s="45"/>
      <c r="AO209" s="45"/>
    </row>
    <row r="210" spans="1:41" hidden="1" outlineLevel="2" x14ac:dyDescent="0.25">
      <c r="A210" s="45"/>
      <c r="B210" s="54"/>
      <c r="C210" s="47">
        <f t="shared" si="54"/>
        <v>3</v>
      </c>
      <c r="D210" s="73"/>
      <c r="E210" s="70"/>
      <c r="F210" s="70" t="s">
        <v>3233</v>
      </c>
      <c r="G210" s="73"/>
      <c r="H210" s="76" t="s">
        <v>3241</v>
      </c>
      <c r="I210" s="96" t="s">
        <v>621</v>
      </c>
      <c r="J210" s="96"/>
      <c r="K210" s="281">
        <f>K$187 / 0.7</f>
        <v>0.19000000000000003</v>
      </c>
      <c r="L210" s="281">
        <f t="shared" si="61"/>
        <v>0.19000000000000003</v>
      </c>
      <c r="M210" s="76"/>
      <c r="N210" s="76"/>
      <c r="O210" s="76"/>
      <c r="P210" s="76"/>
      <c r="Q210" s="76"/>
      <c r="R210" s="76" t="s">
        <v>2819</v>
      </c>
      <c r="S210" s="76"/>
      <c r="T210" s="76"/>
      <c r="U210" s="253">
        <f t="shared" ref="U210:AE218" si="62">INDEX($K210:$Q210,1,U$43)</f>
        <v>0.19000000000000003</v>
      </c>
      <c r="V210" s="253">
        <f t="shared" si="62"/>
        <v>0.19000000000000003</v>
      </c>
      <c r="W210" s="253">
        <f t="shared" si="62"/>
        <v>0.19000000000000003</v>
      </c>
      <c r="X210" s="253">
        <f t="shared" si="62"/>
        <v>0.19000000000000003</v>
      </c>
      <c r="Y210" s="253">
        <f t="shared" si="62"/>
        <v>0.19000000000000003</v>
      </c>
      <c r="Z210" s="253">
        <f t="shared" si="62"/>
        <v>0.19000000000000003</v>
      </c>
      <c r="AA210" s="253">
        <f t="shared" si="62"/>
        <v>0.19000000000000003</v>
      </c>
      <c r="AB210" s="253">
        <f t="shared" si="62"/>
        <v>0.19000000000000003</v>
      </c>
      <c r="AC210" s="253">
        <f t="shared" si="62"/>
        <v>0.19000000000000003</v>
      </c>
      <c r="AD210" s="253">
        <f t="shared" si="62"/>
        <v>0.19000000000000003</v>
      </c>
      <c r="AE210" s="253">
        <f t="shared" si="62"/>
        <v>0.19000000000000003</v>
      </c>
      <c r="AF210" s="76"/>
      <c r="AG210" s="76"/>
      <c r="AH210" s="76"/>
      <c r="AI210" s="97">
        <v>1</v>
      </c>
      <c r="AJ210" s="97">
        <v>1</v>
      </c>
      <c r="AK210" s="73"/>
      <c r="AL210" s="57"/>
      <c r="AM210" s="45"/>
      <c r="AN210" s="45"/>
      <c r="AO210" s="45"/>
    </row>
    <row r="211" spans="1:41" hidden="1" outlineLevel="2" x14ac:dyDescent="0.25">
      <c r="A211" s="45"/>
      <c r="B211" s="54"/>
      <c r="C211" s="47">
        <f t="shared" si="54"/>
        <v>3</v>
      </c>
      <c r="D211" s="73"/>
      <c r="E211" s="70"/>
      <c r="F211" s="70" t="s">
        <v>3234</v>
      </c>
      <c r="G211" s="73"/>
      <c r="H211" s="76" t="s">
        <v>3242</v>
      </c>
      <c r="I211" s="96" t="s">
        <v>621</v>
      </c>
      <c r="J211" s="96"/>
      <c r="K211" s="281">
        <f>1/(1+K$199)</f>
        <v>0.69930069930069938</v>
      </c>
      <c r="L211" s="281">
        <f t="shared" si="61"/>
        <v>0.69930069930069938</v>
      </c>
      <c r="M211" s="76"/>
      <c r="N211" s="76"/>
      <c r="O211" s="76"/>
      <c r="P211" s="76"/>
      <c r="Q211" s="76"/>
      <c r="R211" s="76" t="s">
        <v>3246</v>
      </c>
      <c r="S211" s="76"/>
      <c r="T211" s="76"/>
      <c r="U211" s="253">
        <f t="shared" si="62"/>
        <v>0.69930069930069938</v>
      </c>
      <c r="V211" s="253">
        <f t="shared" si="62"/>
        <v>0.69930069930069938</v>
      </c>
      <c r="W211" s="253">
        <f t="shared" si="62"/>
        <v>0.69930069930069938</v>
      </c>
      <c r="X211" s="253">
        <f t="shared" si="62"/>
        <v>0.69930069930069938</v>
      </c>
      <c r="Y211" s="253">
        <f t="shared" si="62"/>
        <v>0.69930069930069938</v>
      </c>
      <c r="Z211" s="253">
        <f t="shared" si="62"/>
        <v>0.69930069930069938</v>
      </c>
      <c r="AA211" s="253">
        <f t="shared" si="62"/>
        <v>0.69930069930069938</v>
      </c>
      <c r="AB211" s="253">
        <f t="shared" si="62"/>
        <v>0.69930069930069938</v>
      </c>
      <c r="AC211" s="253">
        <f t="shared" si="62"/>
        <v>0.69930069930069938</v>
      </c>
      <c r="AD211" s="253">
        <f t="shared" si="62"/>
        <v>0.69930069930069938</v>
      </c>
      <c r="AE211" s="253">
        <f t="shared" si="62"/>
        <v>0.69930069930069938</v>
      </c>
      <c r="AF211" s="76"/>
      <c r="AG211" s="76"/>
      <c r="AH211" s="76"/>
      <c r="AI211" s="97">
        <v>1</v>
      </c>
      <c r="AJ211" s="97">
        <v>1</v>
      </c>
      <c r="AK211" s="73"/>
      <c r="AL211" s="57"/>
      <c r="AM211" s="45"/>
      <c r="AN211" s="45"/>
      <c r="AO211" s="45"/>
    </row>
    <row r="212" spans="1:41" hidden="1" outlineLevel="2" x14ac:dyDescent="0.25">
      <c r="A212" s="45"/>
      <c r="B212" s="54"/>
      <c r="C212" s="47">
        <f t="shared" si="54"/>
        <v>3</v>
      </c>
      <c r="D212" s="73"/>
      <c r="E212" s="70"/>
      <c r="F212" s="70" t="s">
        <v>3236</v>
      </c>
      <c r="G212" s="73"/>
      <c r="H212" s="76" t="s">
        <v>3243</v>
      </c>
      <c r="I212" s="96" t="s">
        <v>621</v>
      </c>
      <c r="J212" s="96"/>
      <c r="K212" s="258">
        <v>1</v>
      </c>
      <c r="L212" s="258">
        <f t="shared" si="61"/>
        <v>1</v>
      </c>
      <c r="M212" s="76"/>
      <c r="N212" s="76"/>
      <c r="O212" s="76"/>
      <c r="P212" s="76"/>
      <c r="Q212" s="76"/>
      <c r="R212" s="76" t="s">
        <v>3246</v>
      </c>
      <c r="S212" s="76"/>
      <c r="T212" s="76"/>
      <c r="U212" s="253">
        <f t="shared" si="62"/>
        <v>1</v>
      </c>
      <c r="V212" s="253">
        <f t="shared" si="62"/>
        <v>1</v>
      </c>
      <c r="W212" s="253">
        <f t="shared" si="62"/>
        <v>1</v>
      </c>
      <c r="X212" s="253">
        <f t="shared" si="62"/>
        <v>1</v>
      </c>
      <c r="Y212" s="253">
        <f t="shared" si="62"/>
        <v>1</v>
      </c>
      <c r="Z212" s="253">
        <f t="shared" si="62"/>
        <v>1</v>
      </c>
      <c r="AA212" s="253">
        <f t="shared" si="62"/>
        <v>1</v>
      </c>
      <c r="AB212" s="253">
        <f t="shared" si="62"/>
        <v>1</v>
      </c>
      <c r="AC212" s="253">
        <f t="shared" si="62"/>
        <v>1</v>
      </c>
      <c r="AD212" s="253">
        <f t="shared" si="62"/>
        <v>1</v>
      </c>
      <c r="AE212" s="253">
        <f t="shared" si="62"/>
        <v>1</v>
      </c>
      <c r="AF212" s="76"/>
      <c r="AG212" s="76"/>
      <c r="AH212" s="76"/>
      <c r="AI212" s="97">
        <v>1</v>
      </c>
      <c r="AJ212" s="97">
        <v>1</v>
      </c>
      <c r="AK212" s="73"/>
      <c r="AL212" s="57"/>
      <c r="AM212" s="45"/>
      <c r="AN212" s="45"/>
      <c r="AO212" s="45"/>
    </row>
    <row r="213" spans="1:41" hidden="1" outlineLevel="2" x14ac:dyDescent="0.25">
      <c r="A213" s="45"/>
      <c r="B213" s="54"/>
      <c r="C213" s="47">
        <f t="shared" si="54"/>
        <v>3</v>
      </c>
      <c r="D213" s="73"/>
      <c r="E213" s="70"/>
      <c r="F213" s="70" t="s">
        <v>3235</v>
      </c>
      <c r="G213" s="73"/>
      <c r="H213" s="76" t="s">
        <v>3244</v>
      </c>
      <c r="I213" s="96" t="s">
        <v>621</v>
      </c>
      <c r="J213" s="96"/>
      <c r="K213" s="281">
        <f>1/(1+K$200)</f>
        <v>0.4</v>
      </c>
      <c r="L213" s="281">
        <f t="shared" si="61"/>
        <v>0.4</v>
      </c>
      <c r="M213" s="76"/>
      <c r="N213" s="76"/>
      <c r="O213" s="76"/>
      <c r="P213" s="76"/>
      <c r="Q213" s="76"/>
      <c r="R213" s="76" t="s">
        <v>3246</v>
      </c>
      <c r="S213" s="76"/>
      <c r="T213" s="76"/>
      <c r="U213" s="253">
        <f t="shared" si="62"/>
        <v>0.4</v>
      </c>
      <c r="V213" s="253">
        <f t="shared" si="62"/>
        <v>0.4</v>
      </c>
      <c r="W213" s="253">
        <f t="shared" si="62"/>
        <v>0.4</v>
      </c>
      <c r="X213" s="253">
        <f t="shared" si="62"/>
        <v>0.4</v>
      </c>
      <c r="Y213" s="253">
        <f t="shared" si="62"/>
        <v>0.4</v>
      </c>
      <c r="Z213" s="253">
        <f t="shared" si="62"/>
        <v>0.4</v>
      </c>
      <c r="AA213" s="253">
        <f t="shared" si="62"/>
        <v>0.4</v>
      </c>
      <c r="AB213" s="253">
        <f t="shared" si="62"/>
        <v>0.4</v>
      </c>
      <c r="AC213" s="253">
        <f t="shared" si="62"/>
        <v>0.4</v>
      </c>
      <c r="AD213" s="253">
        <f t="shared" si="62"/>
        <v>0.4</v>
      </c>
      <c r="AE213" s="253">
        <f t="shared" si="62"/>
        <v>0.4</v>
      </c>
      <c r="AF213" s="76"/>
      <c r="AG213" s="76"/>
      <c r="AH213" s="76"/>
      <c r="AI213" s="97">
        <v>1</v>
      </c>
      <c r="AJ213" s="97">
        <v>1</v>
      </c>
      <c r="AK213" s="73"/>
      <c r="AL213" s="57"/>
      <c r="AM213" s="45"/>
      <c r="AN213" s="45"/>
      <c r="AO213" s="45"/>
    </row>
    <row r="214" spans="1:41" hidden="1" outlineLevel="2" x14ac:dyDescent="0.25">
      <c r="A214" s="45"/>
      <c r="B214" s="54"/>
      <c r="C214" s="47">
        <f t="shared" si="54"/>
        <v>3</v>
      </c>
      <c r="D214" s="73"/>
      <c r="E214" s="70"/>
      <c r="F214" s="70" t="s">
        <v>3237</v>
      </c>
      <c r="G214" s="73"/>
      <c r="H214" s="76" t="s">
        <v>3245</v>
      </c>
      <c r="I214" s="96" t="s">
        <v>621</v>
      </c>
      <c r="J214" s="96"/>
      <c r="K214" s="258">
        <v>1</v>
      </c>
      <c r="L214" s="258">
        <f t="shared" si="61"/>
        <v>1</v>
      </c>
      <c r="M214" s="76"/>
      <c r="N214" s="76"/>
      <c r="O214" s="76"/>
      <c r="P214" s="76"/>
      <c r="Q214" s="76"/>
      <c r="R214" s="76" t="s">
        <v>3246</v>
      </c>
      <c r="S214" s="76"/>
      <c r="T214" s="76"/>
      <c r="U214" s="253">
        <f t="shared" si="62"/>
        <v>1</v>
      </c>
      <c r="V214" s="253">
        <f t="shared" si="62"/>
        <v>1</v>
      </c>
      <c r="W214" s="253">
        <f t="shared" si="62"/>
        <v>1</v>
      </c>
      <c r="X214" s="253">
        <f t="shared" si="62"/>
        <v>1</v>
      </c>
      <c r="Y214" s="253">
        <f t="shared" si="62"/>
        <v>1</v>
      </c>
      <c r="Z214" s="253">
        <f t="shared" si="62"/>
        <v>1</v>
      </c>
      <c r="AA214" s="253">
        <f t="shared" si="62"/>
        <v>1</v>
      </c>
      <c r="AB214" s="253">
        <f t="shared" si="62"/>
        <v>1</v>
      </c>
      <c r="AC214" s="253">
        <f t="shared" si="62"/>
        <v>1</v>
      </c>
      <c r="AD214" s="253">
        <f t="shared" si="62"/>
        <v>1</v>
      </c>
      <c r="AE214" s="253">
        <f t="shared" si="62"/>
        <v>1</v>
      </c>
      <c r="AF214" s="76"/>
      <c r="AG214" s="76"/>
      <c r="AH214" s="76"/>
      <c r="AI214" s="97">
        <v>1</v>
      </c>
      <c r="AJ214" s="97">
        <v>1</v>
      </c>
      <c r="AK214" s="73"/>
      <c r="AL214" s="57"/>
      <c r="AM214" s="45"/>
      <c r="AN214" s="45"/>
      <c r="AO214" s="45"/>
    </row>
    <row r="215" spans="1:41" hidden="1" outlineLevel="2" x14ac:dyDescent="0.25">
      <c r="A215" s="45"/>
      <c r="B215" s="54"/>
      <c r="C215" s="47">
        <f t="shared" si="54"/>
        <v>3</v>
      </c>
      <c r="D215" s="73"/>
      <c r="E215" s="70"/>
      <c r="F215" s="70" t="s">
        <v>3238</v>
      </c>
      <c r="G215" s="73"/>
      <c r="H215" s="76" t="s">
        <v>3248</v>
      </c>
      <c r="I215" s="96" t="s">
        <v>497</v>
      </c>
      <c r="J215" s="96"/>
      <c r="K215" s="97">
        <v>0.7</v>
      </c>
      <c r="L215" s="97">
        <v>0.7</v>
      </c>
      <c r="M215" s="97">
        <v>0.7</v>
      </c>
      <c r="N215" s="97">
        <v>0.7</v>
      </c>
      <c r="O215" s="97">
        <v>0.7</v>
      </c>
      <c r="P215" s="97">
        <v>0.7</v>
      </c>
      <c r="Q215" s="76"/>
      <c r="R215" s="76" t="s">
        <v>2819</v>
      </c>
      <c r="S215" s="76" t="s">
        <v>2819</v>
      </c>
      <c r="T215" s="76"/>
      <c r="U215" s="253">
        <f t="shared" si="62"/>
        <v>0.7</v>
      </c>
      <c r="V215" s="253">
        <f t="shared" si="62"/>
        <v>0.7</v>
      </c>
      <c r="W215" s="253">
        <f t="shared" si="62"/>
        <v>0.7</v>
      </c>
      <c r="X215" s="253">
        <f t="shared" si="62"/>
        <v>0.7</v>
      </c>
      <c r="Y215" s="253">
        <f t="shared" si="62"/>
        <v>0.7</v>
      </c>
      <c r="Z215" s="253">
        <f t="shared" si="62"/>
        <v>0.7</v>
      </c>
      <c r="AA215" s="253">
        <f t="shared" si="62"/>
        <v>0.7</v>
      </c>
      <c r="AB215" s="253">
        <f t="shared" si="62"/>
        <v>0.7</v>
      </c>
      <c r="AC215" s="253">
        <f t="shared" si="62"/>
        <v>0.7</v>
      </c>
      <c r="AD215" s="253">
        <f t="shared" si="62"/>
        <v>0.7</v>
      </c>
      <c r="AE215" s="253">
        <f t="shared" si="62"/>
        <v>0.7</v>
      </c>
      <c r="AF215" s="76"/>
      <c r="AG215" s="76"/>
      <c r="AH215" s="76"/>
      <c r="AI215" s="97">
        <v>1</v>
      </c>
      <c r="AJ215" s="97">
        <v>1</v>
      </c>
      <c r="AK215" s="73"/>
      <c r="AL215" s="57"/>
      <c r="AM215" s="45"/>
      <c r="AN215" s="45"/>
      <c r="AO215" s="45"/>
    </row>
    <row r="216" spans="1:41" hidden="1" outlineLevel="2" x14ac:dyDescent="0.25">
      <c r="A216" s="45"/>
      <c r="B216" s="54"/>
      <c r="C216" s="47">
        <f t="shared" si="54"/>
        <v>3</v>
      </c>
      <c r="D216" s="73"/>
      <c r="E216" s="70"/>
      <c r="F216" s="70" t="s">
        <v>3247</v>
      </c>
      <c r="G216" s="73"/>
      <c r="H216" s="76" t="s">
        <v>3264</v>
      </c>
      <c r="I216" s="96" t="s">
        <v>621</v>
      </c>
      <c r="J216" s="96"/>
      <c r="K216" s="281">
        <f>0.448*K$180</f>
        <v>0.224</v>
      </c>
      <c r="L216" s="281">
        <f>K216</f>
        <v>0.224</v>
      </c>
      <c r="M216" s="76"/>
      <c r="N216" s="76"/>
      <c r="O216" s="76"/>
      <c r="P216" s="76"/>
      <c r="Q216" s="76"/>
      <c r="R216" s="76" t="s">
        <v>3266</v>
      </c>
      <c r="S216" s="76"/>
      <c r="T216" s="76"/>
      <c r="U216" s="253">
        <f t="shared" si="62"/>
        <v>0.224</v>
      </c>
      <c r="V216" s="253">
        <f t="shared" si="62"/>
        <v>0.224</v>
      </c>
      <c r="W216" s="253">
        <f t="shared" si="62"/>
        <v>0.224</v>
      </c>
      <c r="X216" s="253">
        <f t="shared" si="62"/>
        <v>0.224</v>
      </c>
      <c r="Y216" s="253">
        <f t="shared" si="62"/>
        <v>0.224</v>
      </c>
      <c r="Z216" s="253">
        <f t="shared" si="62"/>
        <v>0.224</v>
      </c>
      <c r="AA216" s="253">
        <f t="shared" si="62"/>
        <v>0.224</v>
      </c>
      <c r="AB216" s="253">
        <f t="shared" si="62"/>
        <v>0.224</v>
      </c>
      <c r="AC216" s="253">
        <f t="shared" si="62"/>
        <v>0.224</v>
      </c>
      <c r="AD216" s="253">
        <f t="shared" si="62"/>
        <v>0.224</v>
      </c>
      <c r="AE216" s="253">
        <f t="shared" si="62"/>
        <v>0.224</v>
      </c>
      <c r="AF216" s="76"/>
      <c r="AG216" s="76"/>
      <c r="AH216" s="76"/>
      <c r="AI216" s="97">
        <v>1</v>
      </c>
      <c r="AJ216" s="97">
        <v>1</v>
      </c>
      <c r="AK216" s="73"/>
      <c r="AL216" s="57"/>
      <c r="AM216" s="45"/>
      <c r="AN216" s="45"/>
      <c r="AO216" s="45"/>
    </row>
    <row r="217" spans="1:41" hidden="1" outlineLevel="2" x14ac:dyDescent="0.25">
      <c r="A217" s="45"/>
      <c r="B217" s="54"/>
      <c r="C217" s="47">
        <f t="shared" si="54"/>
        <v>3</v>
      </c>
      <c r="D217" s="73"/>
      <c r="E217" s="70"/>
      <c r="F217" s="70" t="s">
        <v>3263</v>
      </c>
      <c r="G217" s="73"/>
      <c r="H217" s="76" t="s">
        <v>3265</v>
      </c>
      <c r="I217" s="96" t="s">
        <v>621</v>
      </c>
      <c r="J217" s="96"/>
      <c r="K217" s="281">
        <f>0.448*K$181</f>
        <v>8.9600000000000009E-3</v>
      </c>
      <c r="L217" s="281">
        <f>K217</f>
        <v>8.9600000000000009E-3</v>
      </c>
      <c r="M217" s="76"/>
      <c r="N217" s="76"/>
      <c r="O217" s="76"/>
      <c r="P217" s="76"/>
      <c r="Q217" s="76"/>
      <c r="R217" s="76" t="s">
        <v>3266</v>
      </c>
      <c r="S217" s="76"/>
      <c r="T217" s="76"/>
      <c r="U217" s="253">
        <f t="shared" si="62"/>
        <v>8.9600000000000009E-3</v>
      </c>
      <c r="V217" s="253">
        <f t="shared" si="62"/>
        <v>8.9600000000000009E-3</v>
      </c>
      <c r="W217" s="253">
        <f t="shared" si="62"/>
        <v>8.9600000000000009E-3</v>
      </c>
      <c r="X217" s="253">
        <f t="shared" si="62"/>
        <v>8.9600000000000009E-3</v>
      </c>
      <c r="Y217" s="253">
        <f t="shared" si="62"/>
        <v>8.9600000000000009E-3</v>
      </c>
      <c r="Z217" s="253">
        <f t="shared" si="62"/>
        <v>8.9600000000000009E-3</v>
      </c>
      <c r="AA217" s="253">
        <f t="shared" si="62"/>
        <v>8.9600000000000009E-3</v>
      </c>
      <c r="AB217" s="253">
        <f t="shared" si="62"/>
        <v>8.9600000000000009E-3</v>
      </c>
      <c r="AC217" s="253">
        <f t="shared" si="62"/>
        <v>8.9600000000000009E-3</v>
      </c>
      <c r="AD217" s="253">
        <f t="shared" si="62"/>
        <v>8.9600000000000009E-3</v>
      </c>
      <c r="AE217" s="253">
        <f t="shared" si="62"/>
        <v>8.9600000000000009E-3</v>
      </c>
      <c r="AF217" s="76"/>
      <c r="AG217" s="76"/>
      <c r="AH217" s="76"/>
      <c r="AI217" s="97">
        <v>1</v>
      </c>
      <c r="AJ217" s="97">
        <v>1</v>
      </c>
      <c r="AK217" s="73"/>
      <c r="AL217" s="57"/>
      <c r="AM217" s="45"/>
      <c r="AN217" s="45"/>
      <c r="AO217" s="45"/>
    </row>
    <row r="218" spans="1:41" hidden="1" outlineLevel="2" x14ac:dyDescent="0.25">
      <c r="A218" s="45"/>
      <c r="B218" s="54"/>
      <c r="C218" s="47">
        <f t="shared" si="54"/>
        <v>3</v>
      </c>
      <c r="D218" s="73"/>
      <c r="E218" s="70"/>
      <c r="F218" s="70" t="s">
        <v>3843</v>
      </c>
      <c r="G218" s="73"/>
      <c r="H218" s="76" t="s">
        <v>3845</v>
      </c>
      <c r="I218" s="96" t="s">
        <v>621</v>
      </c>
      <c r="J218" s="96"/>
      <c r="K218" s="281">
        <v>0</v>
      </c>
      <c r="L218" s="281">
        <v>0</v>
      </c>
      <c r="M218" s="76"/>
      <c r="N218" s="76"/>
      <c r="O218" s="76"/>
      <c r="P218" s="76"/>
      <c r="Q218" s="76"/>
      <c r="R218" s="76" t="s">
        <v>3844</v>
      </c>
      <c r="S218" s="76"/>
      <c r="T218" s="76"/>
      <c r="U218" s="253">
        <f t="shared" si="62"/>
        <v>0</v>
      </c>
      <c r="V218" s="253">
        <f t="shared" si="62"/>
        <v>0</v>
      </c>
      <c r="W218" s="253">
        <f t="shared" si="62"/>
        <v>0</v>
      </c>
      <c r="X218" s="253">
        <f t="shared" si="62"/>
        <v>0</v>
      </c>
      <c r="Y218" s="253">
        <f t="shared" si="62"/>
        <v>0</v>
      </c>
      <c r="Z218" s="253">
        <f t="shared" si="62"/>
        <v>0</v>
      </c>
      <c r="AA218" s="253">
        <f t="shared" si="62"/>
        <v>0</v>
      </c>
      <c r="AB218" s="253">
        <f t="shared" si="62"/>
        <v>0</v>
      </c>
      <c r="AC218" s="253">
        <f t="shared" si="62"/>
        <v>0</v>
      </c>
      <c r="AD218" s="253">
        <f t="shared" si="62"/>
        <v>0</v>
      </c>
      <c r="AE218" s="253">
        <f t="shared" si="62"/>
        <v>0</v>
      </c>
      <c r="AF218" s="76"/>
      <c r="AG218" s="76"/>
      <c r="AH218" s="76"/>
      <c r="AI218" s="97">
        <v>1</v>
      </c>
      <c r="AJ218" s="97">
        <v>1</v>
      </c>
      <c r="AK218" s="73"/>
      <c r="AL218" s="57"/>
      <c r="AM218" s="45"/>
      <c r="AN218" s="45"/>
      <c r="AO218" s="45"/>
    </row>
    <row r="219" spans="1:41" outlineLevel="1" collapsed="1" x14ac:dyDescent="0.25">
      <c r="A219" s="45"/>
      <c r="B219" s="54"/>
      <c r="C219" s="47">
        <f>INT($C$29)+1</f>
        <v>2</v>
      </c>
      <c r="D219" s="73"/>
      <c r="E219" s="70"/>
      <c r="F219" s="256" t="s">
        <v>649</v>
      </c>
      <c r="G219" s="73"/>
      <c r="H219" s="246" t="s">
        <v>650</v>
      </c>
      <c r="I219" s="96"/>
      <c r="J219" s="96" t="s">
        <v>514</v>
      </c>
      <c r="K219" s="79">
        <v>29</v>
      </c>
      <c r="L219" s="76"/>
      <c r="M219" s="79">
        <v>0</v>
      </c>
      <c r="N219" s="76"/>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3"/>
      <c r="AL219" s="57"/>
      <c r="AM219" s="45"/>
      <c r="AN219" s="45"/>
      <c r="AO219" s="45"/>
    </row>
    <row r="220" spans="1:41" hidden="1" outlineLevel="2" x14ac:dyDescent="0.25">
      <c r="A220" s="45"/>
      <c r="B220" s="54"/>
      <c r="C220" s="47">
        <f t="shared" ref="C220:C234" si="63">INT($C$29)+2</f>
        <v>3</v>
      </c>
      <c r="D220" s="73"/>
      <c r="E220" s="70" t="s">
        <v>651</v>
      </c>
      <c r="F220" s="70" t="s">
        <v>652</v>
      </c>
      <c r="G220" s="73"/>
      <c r="H220" s="76" t="s">
        <v>653</v>
      </c>
      <c r="I220" s="96" t="s">
        <v>654</v>
      </c>
      <c r="J220" s="96"/>
      <c r="K220" s="97">
        <v>25</v>
      </c>
      <c r="L220" s="97">
        <v>25</v>
      </c>
      <c r="M220" s="97">
        <v>25</v>
      </c>
      <c r="N220" s="97">
        <v>25</v>
      </c>
      <c r="O220" s="97">
        <v>25</v>
      </c>
      <c r="P220" s="97">
        <v>25</v>
      </c>
      <c r="Q220" s="76"/>
      <c r="R220" s="76" t="s">
        <v>655</v>
      </c>
      <c r="S220" s="76"/>
      <c r="T220" s="76"/>
      <c r="U220" s="253">
        <f t="shared" ref="U220:AE234" si="64">INDEX($K220:$Q220,1,U$43)</f>
        <v>25</v>
      </c>
      <c r="V220" s="253">
        <f t="shared" si="64"/>
        <v>25</v>
      </c>
      <c r="W220" s="253">
        <f t="shared" si="64"/>
        <v>25</v>
      </c>
      <c r="X220" s="253">
        <f t="shared" si="64"/>
        <v>25</v>
      </c>
      <c r="Y220" s="253">
        <f t="shared" si="64"/>
        <v>25</v>
      </c>
      <c r="Z220" s="253">
        <f t="shared" si="64"/>
        <v>25</v>
      </c>
      <c r="AA220" s="253">
        <f t="shared" si="64"/>
        <v>25</v>
      </c>
      <c r="AB220" s="253">
        <f t="shared" si="64"/>
        <v>25</v>
      </c>
      <c r="AC220" s="253">
        <f t="shared" si="64"/>
        <v>25</v>
      </c>
      <c r="AD220" s="253">
        <f t="shared" si="64"/>
        <v>25</v>
      </c>
      <c r="AE220" s="253">
        <f t="shared" si="64"/>
        <v>25</v>
      </c>
      <c r="AF220" s="76"/>
      <c r="AG220" s="76"/>
      <c r="AH220" s="76"/>
      <c r="AI220" s="97">
        <v>1</v>
      </c>
      <c r="AJ220" s="97">
        <v>1</v>
      </c>
      <c r="AK220" s="73"/>
      <c r="AL220" s="57"/>
      <c r="AM220" s="45"/>
      <c r="AN220" s="45"/>
      <c r="AO220" s="45"/>
    </row>
    <row r="221" spans="1:41" hidden="1" outlineLevel="2" x14ac:dyDescent="0.25">
      <c r="A221" s="45"/>
      <c r="B221" s="54"/>
      <c r="C221" s="47">
        <f t="shared" si="63"/>
        <v>3</v>
      </c>
      <c r="D221" s="73"/>
      <c r="E221" s="70"/>
      <c r="F221" s="70" t="s">
        <v>656</v>
      </c>
      <c r="G221" s="73"/>
      <c r="H221" s="76" t="s">
        <v>657</v>
      </c>
      <c r="I221" s="96" t="s">
        <v>497</v>
      </c>
      <c r="J221" s="96"/>
      <c r="K221" s="97">
        <v>0.09</v>
      </c>
      <c r="L221" s="97">
        <v>0.09</v>
      </c>
      <c r="M221" s="97">
        <v>0.09</v>
      </c>
      <c r="N221" s="97">
        <v>0.09</v>
      </c>
      <c r="O221" s="97">
        <v>0.09</v>
      </c>
      <c r="P221" s="97">
        <v>0.09</v>
      </c>
      <c r="Q221" s="76"/>
      <c r="R221" s="76" t="s">
        <v>507</v>
      </c>
      <c r="S221" s="76" t="s">
        <v>507</v>
      </c>
      <c r="T221" s="76"/>
      <c r="U221" s="253">
        <f t="shared" si="64"/>
        <v>0.09</v>
      </c>
      <c r="V221" s="253">
        <f t="shared" si="64"/>
        <v>0.09</v>
      </c>
      <c r="W221" s="253">
        <f t="shared" si="64"/>
        <v>0.09</v>
      </c>
      <c r="X221" s="253">
        <f t="shared" si="64"/>
        <v>0.09</v>
      </c>
      <c r="Y221" s="253">
        <f t="shared" si="64"/>
        <v>0.09</v>
      </c>
      <c r="Z221" s="253">
        <f t="shared" si="64"/>
        <v>0.09</v>
      </c>
      <c r="AA221" s="253">
        <f t="shared" si="64"/>
        <v>0.09</v>
      </c>
      <c r="AB221" s="253">
        <f t="shared" si="64"/>
        <v>0.09</v>
      </c>
      <c r="AC221" s="253">
        <f t="shared" si="64"/>
        <v>0.09</v>
      </c>
      <c r="AD221" s="253">
        <f t="shared" si="64"/>
        <v>0.09</v>
      </c>
      <c r="AE221" s="253">
        <f t="shared" si="64"/>
        <v>0.09</v>
      </c>
      <c r="AF221" s="76"/>
      <c r="AG221" s="76"/>
      <c r="AH221" s="76"/>
      <c r="AI221" s="97">
        <v>1</v>
      </c>
      <c r="AJ221" s="97">
        <v>1</v>
      </c>
      <c r="AK221" s="73"/>
      <c r="AL221" s="57"/>
      <c r="AM221" s="45"/>
      <c r="AN221" s="45"/>
      <c r="AO221" s="45"/>
    </row>
    <row r="222" spans="1:41" hidden="1" outlineLevel="2" x14ac:dyDescent="0.25">
      <c r="A222" s="45"/>
      <c r="B222" s="54"/>
      <c r="C222" s="47">
        <f t="shared" si="63"/>
        <v>3</v>
      </c>
      <c r="D222" s="73"/>
      <c r="E222" s="70"/>
      <c r="F222" s="70" t="s">
        <v>658</v>
      </c>
      <c r="G222" s="73"/>
      <c r="H222" s="76" t="s">
        <v>659</v>
      </c>
      <c r="I222" s="96" t="s">
        <v>660</v>
      </c>
      <c r="J222" s="96"/>
      <c r="K222" s="97">
        <v>0.26</v>
      </c>
      <c r="L222" s="97">
        <v>0.26</v>
      </c>
      <c r="M222" s="97">
        <v>0.36</v>
      </c>
      <c r="N222" s="97">
        <v>0.31</v>
      </c>
      <c r="O222" s="97">
        <v>0.36</v>
      </c>
      <c r="P222" s="97">
        <v>0.36</v>
      </c>
      <c r="Q222" s="76"/>
      <c r="R222" s="76" t="s">
        <v>507</v>
      </c>
      <c r="S222" s="76" t="s">
        <v>507</v>
      </c>
      <c r="T222" s="76"/>
      <c r="U222" s="253">
        <f t="shared" si="64"/>
        <v>0.26</v>
      </c>
      <c r="V222" s="253">
        <f t="shared" si="64"/>
        <v>0.26</v>
      </c>
      <c r="W222" s="253">
        <f t="shared" si="64"/>
        <v>0.26</v>
      </c>
      <c r="X222" s="253">
        <f t="shared" si="64"/>
        <v>0.26</v>
      </c>
      <c r="Y222" s="253">
        <f t="shared" si="64"/>
        <v>0.26</v>
      </c>
      <c r="Z222" s="253">
        <f t="shared" si="64"/>
        <v>0.26</v>
      </c>
      <c r="AA222" s="253">
        <f t="shared" si="64"/>
        <v>0.26</v>
      </c>
      <c r="AB222" s="253">
        <f t="shared" si="64"/>
        <v>0.26</v>
      </c>
      <c r="AC222" s="253">
        <f t="shared" si="64"/>
        <v>0.26</v>
      </c>
      <c r="AD222" s="253">
        <f t="shared" si="64"/>
        <v>0.26</v>
      </c>
      <c r="AE222" s="253">
        <f t="shared" si="64"/>
        <v>0.26</v>
      </c>
      <c r="AF222" s="76"/>
      <c r="AG222" s="76"/>
      <c r="AH222" s="76"/>
      <c r="AI222" s="97">
        <v>1</v>
      </c>
      <c r="AJ222" s="97">
        <v>1</v>
      </c>
      <c r="AK222" s="73"/>
      <c r="AL222" s="57"/>
      <c r="AM222" s="45"/>
      <c r="AN222" s="45"/>
      <c r="AO222" s="45"/>
    </row>
    <row r="223" spans="1:41" hidden="1" outlineLevel="2" x14ac:dyDescent="0.25">
      <c r="A223" s="45"/>
      <c r="B223" s="54"/>
      <c r="C223" s="47">
        <f t="shared" si="63"/>
        <v>3</v>
      </c>
      <c r="D223" s="73"/>
      <c r="E223" s="70"/>
      <c r="F223" s="70" t="s">
        <v>661</v>
      </c>
      <c r="G223" s="73"/>
      <c r="H223" s="76" t="s">
        <v>662</v>
      </c>
      <c r="I223" s="96" t="s">
        <v>524</v>
      </c>
      <c r="J223" s="96"/>
      <c r="K223" s="97">
        <v>8.0000000000000007E-5</v>
      </c>
      <c r="L223" s="97">
        <v>8.0000000000000007E-5</v>
      </c>
      <c r="M223" s="97">
        <v>8.0000000000000007E-5</v>
      </c>
      <c r="N223" s="97">
        <v>8.0000000000000007E-5</v>
      </c>
      <c r="O223" s="97">
        <v>8.0000000000000007E-5</v>
      </c>
      <c r="P223" s="97">
        <v>8.0000000000000007E-5</v>
      </c>
      <c r="Q223" s="76"/>
      <c r="R223" s="76" t="s">
        <v>507</v>
      </c>
      <c r="S223" s="76" t="s">
        <v>507</v>
      </c>
      <c r="T223" s="76"/>
      <c r="U223" s="253">
        <f t="shared" si="64"/>
        <v>8.0000000000000007E-5</v>
      </c>
      <c r="V223" s="253">
        <f t="shared" si="64"/>
        <v>8.0000000000000007E-5</v>
      </c>
      <c r="W223" s="253">
        <f t="shared" si="64"/>
        <v>8.0000000000000007E-5</v>
      </c>
      <c r="X223" s="253">
        <f t="shared" si="64"/>
        <v>8.0000000000000007E-5</v>
      </c>
      <c r="Y223" s="253">
        <f t="shared" si="64"/>
        <v>8.0000000000000007E-5</v>
      </c>
      <c r="Z223" s="253">
        <f t="shared" si="64"/>
        <v>8.0000000000000007E-5</v>
      </c>
      <c r="AA223" s="253">
        <f t="shared" si="64"/>
        <v>8.0000000000000007E-5</v>
      </c>
      <c r="AB223" s="253">
        <f t="shared" si="64"/>
        <v>8.0000000000000007E-5</v>
      </c>
      <c r="AC223" s="253">
        <f t="shared" si="64"/>
        <v>8.0000000000000007E-5</v>
      </c>
      <c r="AD223" s="253">
        <f t="shared" si="64"/>
        <v>8.0000000000000007E-5</v>
      </c>
      <c r="AE223" s="253">
        <f t="shared" si="64"/>
        <v>8.0000000000000007E-5</v>
      </c>
      <c r="AF223" s="76"/>
      <c r="AG223" s="76"/>
      <c r="AH223" s="76"/>
      <c r="AI223" s="97">
        <v>1</v>
      </c>
      <c r="AJ223" s="97">
        <v>1</v>
      </c>
      <c r="AK223" s="73"/>
      <c r="AL223" s="57"/>
      <c r="AM223" s="45"/>
      <c r="AN223" s="45"/>
      <c r="AO223" s="45"/>
    </row>
    <row r="224" spans="1:41" hidden="1" outlineLevel="2" x14ac:dyDescent="0.25">
      <c r="A224" s="45"/>
      <c r="B224" s="54"/>
      <c r="C224" s="47">
        <f t="shared" si="63"/>
        <v>3</v>
      </c>
      <c r="D224" s="73"/>
      <c r="E224" s="70"/>
      <c r="F224" s="70" t="s">
        <v>663</v>
      </c>
      <c r="G224" s="73"/>
      <c r="H224" s="76" t="s">
        <v>664</v>
      </c>
      <c r="I224" s="96" t="s">
        <v>497</v>
      </c>
      <c r="J224" s="96"/>
      <c r="K224" s="97">
        <v>0.84</v>
      </c>
      <c r="L224" s="97">
        <v>0.84</v>
      </c>
      <c r="M224" s="97">
        <v>0.84</v>
      </c>
      <c r="N224" s="97">
        <v>0.84</v>
      </c>
      <c r="O224" s="97">
        <v>0.84</v>
      </c>
      <c r="P224" s="97">
        <v>0.84</v>
      </c>
      <c r="Q224" s="76"/>
      <c r="R224" s="76" t="s">
        <v>507</v>
      </c>
      <c r="S224" s="76" t="s">
        <v>507</v>
      </c>
      <c r="T224" s="76"/>
      <c r="U224" s="253">
        <f t="shared" si="64"/>
        <v>0.84</v>
      </c>
      <c r="V224" s="253">
        <f t="shared" si="64"/>
        <v>0.84</v>
      </c>
      <c r="W224" s="253">
        <f t="shared" si="64"/>
        <v>0.84</v>
      </c>
      <c r="X224" s="253">
        <f t="shared" si="64"/>
        <v>0.84</v>
      </c>
      <c r="Y224" s="253">
        <f t="shared" si="64"/>
        <v>0.84</v>
      </c>
      <c r="Z224" s="253">
        <f t="shared" si="64"/>
        <v>0.84</v>
      </c>
      <c r="AA224" s="253">
        <f t="shared" si="64"/>
        <v>0.84</v>
      </c>
      <c r="AB224" s="253">
        <f t="shared" si="64"/>
        <v>0.84</v>
      </c>
      <c r="AC224" s="253">
        <f t="shared" si="64"/>
        <v>0.84</v>
      </c>
      <c r="AD224" s="253">
        <f t="shared" si="64"/>
        <v>0.84</v>
      </c>
      <c r="AE224" s="253">
        <f t="shared" si="64"/>
        <v>0.84</v>
      </c>
      <c r="AF224" s="76"/>
      <c r="AG224" s="76"/>
      <c r="AH224" s="76"/>
      <c r="AI224" s="97">
        <v>1</v>
      </c>
      <c r="AJ224" s="97">
        <v>1</v>
      </c>
      <c r="AK224" s="73"/>
      <c r="AL224" s="57"/>
      <c r="AM224" s="45"/>
      <c r="AN224" s="45"/>
      <c r="AO224" s="45"/>
    </row>
    <row r="225" spans="1:41" hidden="1" outlineLevel="2" x14ac:dyDescent="0.25">
      <c r="A225" s="45"/>
      <c r="B225" s="54"/>
      <c r="C225" s="47">
        <f t="shared" si="63"/>
        <v>3</v>
      </c>
      <c r="D225" s="73"/>
      <c r="E225" s="70"/>
      <c r="F225" s="70" t="s">
        <v>665</v>
      </c>
      <c r="G225" s="73"/>
      <c r="H225" s="76" t="s">
        <v>666</v>
      </c>
      <c r="I225" s="96" t="s">
        <v>497</v>
      </c>
      <c r="J225" s="96"/>
      <c r="K225" s="97">
        <v>0.23</v>
      </c>
      <c r="L225" s="97">
        <v>0.23</v>
      </c>
      <c r="M225" s="97">
        <v>0.23</v>
      </c>
      <c r="N225" s="97">
        <v>0.23</v>
      </c>
      <c r="O225" s="97">
        <v>0.23</v>
      </c>
      <c r="P225" s="97">
        <v>0.23</v>
      </c>
      <c r="Q225" s="76"/>
      <c r="R225" s="76" t="s">
        <v>667</v>
      </c>
      <c r="S225" s="76" t="s">
        <v>507</v>
      </c>
      <c r="T225" s="76"/>
      <c r="U225" s="253">
        <f t="shared" si="64"/>
        <v>0.23</v>
      </c>
      <c r="V225" s="253">
        <f t="shared" si="64"/>
        <v>0.23</v>
      </c>
      <c r="W225" s="253">
        <f t="shared" si="64"/>
        <v>0.23</v>
      </c>
      <c r="X225" s="253">
        <f t="shared" si="64"/>
        <v>0.23</v>
      </c>
      <c r="Y225" s="253">
        <f t="shared" si="64"/>
        <v>0.23</v>
      </c>
      <c r="Z225" s="253">
        <f t="shared" si="64"/>
        <v>0.23</v>
      </c>
      <c r="AA225" s="253">
        <f t="shared" si="64"/>
        <v>0.23</v>
      </c>
      <c r="AB225" s="253">
        <f t="shared" si="64"/>
        <v>0.23</v>
      </c>
      <c r="AC225" s="253">
        <f t="shared" si="64"/>
        <v>0.23</v>
      </c>
      <c r="AD225" s="253">
        <f t="shared" si="64"/>
        <v>0.23</v>
      </c>
      <c r="AE225" s="253">
        <f t="shared" si="64"/>
        <v>0.23</v>
      </c>
      <c r="AF225" s="76"/>
      <c r="AG225" s="76"/>
      <c r="AH225" s="76"/>
      <c r="AI225" s="97">
        <v>1</v>
      </c>
      <c r="AJ225" s="97">
        <v>1</v>
      </c>
      <c r="AK225" s="73"/>
      <c r="AL225" s="57"/>
      <c r="AM225" s="45"/>
      <c r="AN225" s="45"/>
      <c r="AO225" s="45"/>
    </row>
    <row r="226" spans="1:41" hidden="1" outlineLevel="2" x14ac:dyDescent="0.25">
      <c r="A226" s="45"/>
      <c r="B226" s="54"/>
      <c r="C226" s="47">
        <f t="shared" si="63"/>
        <v>3</v>
      </c>
      <c r="D226" s="73"/>
      <c r="E226" s="70"/>
      <c r="F226" s="70" t="s">
        <v>668</v>
      </c>
      <c r="G226" s="73"/>
      <c r="H226" s="76" t="s">
        <v>669</v>
      </c>
      <c r="I226" s="96" t="s">
        <v>670</v>
      </c>
      <c r="J226" s="96"/>
      <c r="K226" s="97">
        <v>0.02</v>
      </c>
      <c r="L226" s="97">
        <v>0.02</v>
      </c>
      <c r="M226" s="97">
        <v>2.5000000000000001E-3</v>
      </c>
      <c r="N226" s="97">
        <v>2.5000000000000001E-3</v>
      </c>
      <c r="O226" s="97">
        <v>2.5000000000000001E-3</v>
      </c>
      <c r="P226" s="97">
        <v>2.5000000000000001E-3</v>
      </c>
      <c r="Q226" s="76"/>
      <c r="R226" s="76" t="s">
        <v>667</v>
      </c>
      <c r="S226" s="76" t="s">
        <v>671</v>
      </c>
      <c r="T226" s="76"/>
      <c r="U226" s="253">
        <f t="shared" si="64"/>
        <v>0.02</v>
      </c>
      <c r="V226" s="253">
        <f t="shared" si="64"/>
        <v>0.02</v>
      </c>
      <c r="W226" s="253">
        <f t="shared" si="64"/>
        <v>0.02</v>
      </c>
      <c r="X226" s="253">
        <f t="shared" si="64"/>
        <v>0.02</v>
      </c>
      <c r="Y226" s="253">
        <f t="shared" si="64"/>
        <v>0.02</v>
      </c>
      <c r="Z226" s="253">
        <f t="shared" si="64"/>
        <v>0.02</v>
      </c>
      <c r="AA226" s="253">
        <f t="shared" si="64"/>
        <v>0.02</v>
      </c>
      <c r="AB226" s="253">
        <f t="shared" si="64"/>
        <v>0.02</v>
      </c>
      <c r="AC226" s="253">
        <f t="shared" si="64"/>
        <v>0.02</v>
      </c>
      <c r="AD226" s="253">
        <f t="shared" si="64"/>
        <v>0.02</v>
      </c>
      <c r="AE226" s="253">
        <f t="shared" si="64"/>
        <v>0.02</v>
      </c>
      <c r="AF226" s="76"/>
      <c r="AG226" s="76"/>
      <c r="AH226" s="76"/>
      <c r="AI226" s="97">
        <v>1</v>
      </c>
      <c r="AJ226" s="97">
        <v>1</v>
      </c>
      <c r="AK226" s="73"/>
      <c r="AL226" s="57"/>
      <c r="AM226" s="45"/>
      <c r="AN226" s="45"/>
      <c r="AO226" s="45"/>
    </row>
    <row r="227" spans="1:41" hidden="1" outlineLevel="2" x14ac:dyDescent="0.25">
      <c r="A227" s="45"/>
      <c r="B227" s="54"/>
      <c r="C227" s="47">
        <f t="shared" si="63"/>
        <v>3</v>
      </c>
      <c r="D227" s="73"/>
      <c r="E227" s="70"/>
      <c r="F227" s="70" t="s">
        <v>672</v>
      </c>
      <c r="G227" s="73"/>
      <c r="H227" s="76" t="s">
        <v>673</v>
      </c>
      <c r="I227" s="96" t="s">
        <v>569</v>
      </c>
      <c r="J227" s="96"/>
      <c r="K227" s="97">
        <v>0.9</v>
      </c>
      <c r="L227" s="97">
        <v>0.9</v>
      </c>
      <c r="M227" s="97">
        <v>0.9</v>
      </c>
      <c r="N227" s="97">
        <v>0.9</v>
      </c>
      <c r="O227" s="97">
        <v>0.9</v>
      </c>
      <c r="P227" s="97">
        <v>0.9</v>
      </c>
      <c r="Q227" s="76"/>
      <c r="R227" s="76" t="s">
        <v>507</v>
      </c>
      <c r="S227" s="76" t="s">
        <v>671</v>
      </c>
      <c r="T227" s="76"/>
      <c r="U227" s="253">
        <f t="shared" si="64"/>
        <v>0.9</v>
      </c>
      <c r="V227" s="253">
        <f t="shared" si="64"/>
        <v>0.9</v>
      </c>
      <c r="W227" s="253">
        <f t="shared" si="64"/>
        <v>0.9</v>
      </c>
      <c r="X227" s="253">
        <f t="shared" si="64"/>
        <v>0.9</v>
      </c>
      <c r="Y227" s="253">
        <f t="shared" si="64"/>
        <v>0.9</v>
      </c>
      <c r="Z227" s="253">
        <f t="shared" si="64"/>
        <v>0.9</v>
      </c>
      <c r="AA227" s="253">
        <f t="shared" si="64"/>
        <v>0.9</v>
      </c>
      <c r="AB227" s="253">
        <f t="shared" si="64"/>
        <v>0.9</v>
      </c>
      <c r="AC227" s="253">
        <f t="shared" si="64"/>
        <v>0.9</v>
      </c>
      <c r="AD227" s="253">
        <f t="shared" si="64"/>
        <v>0.9</v>
      </c>
      <c r="AE227" s="253">
        <f t="shared" si="64"/>
        <v>0.9</v>
      </c>
      <c r="AF227" s="76"/>
      <c r="AG227" s="76"/>
      <c r="AH227" s="76"/>
      <c r="AI227" s="97">
        <v>1</v>
      </c>
      <c r="AJ227" s="97">
        <v>1</v>
      </c>
      <c r="AK227" s="73"/>
      <c r="AL227" s="57"/>
      <c r="AM227" s="45"/>
      <c r="AN227" s="45"/>
      <c r="AO227" s="45"/>
    </row>
    <row r="228" spans="1:41" hidden="1" outlineLevel="2" x14ac:dyDescent="0.25">
      <c r="A228" s="45"/>
      <c r="B228" s="54"/>
      <c r="C228" s="47">
        <f t="shared" si="63"/>
        <v>3</v>
      </c>
      <c r="D228" s="73"/>
      <c r="E228" s="70"/>
      <c r="F228" s="70" t="s">
        <v>674</v>
      </c>
      <c r="G228" s="73"/>
      <c r="H228" s="76" t="s">
        <v>675</v>
      </c>
      <c r="I228" s="96" t="s">
        <v>2224</v>
      </c>
      <c r="J228" s="96"/>
      <c r="K228" s="97">
        <v>5.7000000000000003E-5</v>
      </c>
      <c r="L228" s="97">
        <v>5.7000000000000003E-5</v>
      </c>
      <c r="M228" s="97">
        <v>5.7000000000000003E-5</v>
      </c>
      <c r="N228" s="97">
        <v>5.7000000000000003E-5</v>
      </c>
      <c r="O228" s="97">
        <v>5.7000000000000003E-5</v>
      </c>
      <c r="P228" s="97">
        <v>5.7000000000000003E-5</v>
      </c>
      <c r="Q228" s="76"/>
      <c r="R228" s="76" t="s">
        <v>667</v>
      </c>
      <c r="S228" s="76" t="s">
        <v>671</v>
      </c>
      <c r="T228" s="76"/>
      <c r="U228" s="253">
        <f t="shared" si="64"/>
        <v>5.7000000000000003E-5</v>
      </c>
      <c r="V228" s="253">
        <f t="shared" si="64"/>
        <v>5.7000000000000003E-5</v>
      </c>
      <c r="W228" s="253">
        <f t="shared" si="64"/>
        <v>5.7000000000000003E-5</v>
      </c>
      <c r="X228" s="253">
        <f t="shared" si="64"/>
        <v>5.7000000000000003E-5</v>
      </c>
      <c r="Y228" s="253">
        <f t="shared" si="64"/>
        <v>5.7000000000000003E-5</v>
      </c>
      <c r="Z228" s="253">
        <f t="shared" si="64"/>
        <v>5.7000000000000003E-5</v>
      </c>
      <c r="AA228" s="253">
        <f t="shared" si="64"/>
        <v>5.7000000000000003E-5</v>
      </c>
      <c r="AB228" s="253">
        <f t="shared" si="64"/>
        <v>5.7000000000000003E-5</v>
      </c>
      <c r="AC228" s="253">
        <f t="shared" si="64"/>
        <v>5.7000000000000003E-5</v>
      </c>
      <c r="AD228" s="253">
        <f t="shared" si="64"/>
        <v>5.7000000000000003E-5</v>
      </c>
      <c r="AE228" s="253">
        <f t="shared" si="64"/>
        <v>5.7000000000000003E-5</v>
      </c>
      <c r="AF228" s="76"/>
      <c r="AG228" s="76"/>
      <c r="AH228" s="76"/>
      <c r="AI228" s="97">
        <v>1</v>
      </c>
      <c r="AJ228" s="97">
        <v>1</v>
      </c>
      <c r="AK228" s="73"/>
      <c r="AL228" s="57"/>
      <c r="AM228" s="45"/>
      <c r="AN228" s="45"/>
      <c r="AO228" s="45"/>
    </row>
    <row r="229" spans="1:41" hidden="1" outlineLevel="2" x14ac:dyDescent="0.25">
      <c r="A229" s="45"/>
      <c r="B229" s="54"/>
      <c r="C229" s="47">
        <f t="shared" si="63"/>
        <v>3</v>
      </c>
      <c r="D229" s="73"/>
      <c r="E229" s="70"/>
      <c r="F229" s="70" t="s">
        <v>676</v>
      </c>
      <c r="G229" s="73"/>
      <c r="H229" s="76" t="s">
        <v>677</v>
      </c>
      <c r="I229" s="96" t="s">
        <v>621</v>
      </c>
      <c r="J229" s="96"/>
      <c r="K229" s="97">
        <v>0.16</v>
      </c>
      <c r="L229" s="97">
        <v>0.16</v>
      </c>
      <c r="M229" s="97">
        <v>0.16</v>
      </c>
      <c r="N229" s="97">
        <v>0.16</v>
      </c>
      <c r="O229" s="97">
        <v>0.16</v>
      </c>
      <c r="P229" s="97">
        <v>0.16</v>
      </c>
      <c r="Q229" s="76"/>
      <c r="R229" s="76" t="s">
        <v>667</v>
      </c>
      <c r="S229" s="76" t="s">
        <v>671</v>
      </c>
      <c r="T229" s="76"/>
      <c r="U229" s="253">
        <f t="shared" si="64"/>
        <v>0.16</v>
      </c>
      <c r="V229" s="253">
        <f t="shared" si="64"/>
        <v>0.16</v>
      </c>
      <c r="W229" s="253">
        <f t="shared" si="64"/>
        <v>0.16</v>
      </c>
      <c r="X229" s="253">
        <f t="shared" si="64"/>
        <v>0.16</v>
      </c>
      <c r="Y229" s="253">
        <f t="shared" si="64"/>
        <v>0.16</v>
      </c>
      <c r="Z229" s="253">
        <f t="shared" si="64"/>
        <v>0.16</v>
      </c>
      <c r="AA229" s="253">
        <f t="shared" si="64"/>
        <v>0.16</v>
      </c>
      <c r="AB229" s="253">
        <f t="shared" si="64"/>
        <v>0.16</v>
      </c>
      <c r="AC229" s="253">
        <f t="shared" si="64"/>
        <v>0.16</v>
      </c>
      <c r="AD229" s="253">
        <f t="shared" si="64"/>
        <v>0.16</v>
      </c>
      <c r="AE229" s="253">
        <f t="shared" si="64"/>
        <v>0.16</v>
      </c>
      <c r="AF229" s="76"/>
      <c r="AG229" s="76"/>
      <c r="AH229" s="76"/>
      <c r="AI229" s="97">
        <v>1</v>
      </c>
      <c r="AJ229" s="97">
        <v>1</v>
      </c>
      <c r="AK229" s="73"/>
      <c r="AL229" s="57"/>
      <c r="AM229" s="45"/>
      <c r="AN229" s="45"/>
      <c r="AO229" s="45"/>
    </row>
    <row r="230" spans="1:41" hidden="1" outlineLevel="2" x14ac:dyDescent="0.25">
      <c r="A230" s="45"/>
      <c r="B230" s="54"/>
      <c r="C230" s="47">
        <f t="shared" si="63"/>
        <v>3</v>
      </c>
      <c r="D230" s="73"/>
      <c r="E230" s="70"/>
      <c r="F230" s="70" t="s">
        <v>678</v>
      </c>
      <c r="G230" s="73"/>
      <c r="H230" s="76" t="s">
        <v>679</v>
      </c>
      <c r="I230" s="96" t="s">
        <v>519</v>
      </c>
      <c r="J230" s="96"/>
      <c r="K230" s="97">
        <v>1.52E-2</v>
      </c>
      <c r="L230" s="97">
        <v>1.52E-2</v>
      </c>
      <c r="M230" s="97">
        <v>1.52E-2</v>
      </c>
      <c r="N230" s="97">
        <v>1.52E-2</v>
      </c>
      <c r="O230" s="97">
        <v>1.52E-2</v>
      </c>
      <c r="P230" s="97">
        <v>1.52E-2</v>
      </c>
      <c r="Q230" s="76"/>
      <c r="R230" s="76" t="s">
        <v>507</v>
      </c>
      <c r="S230" s="76" t="s">
        <v>507</v>
      </c>
      <c r="T230" s="76"/>
      <c r="U230" s="253">
        <f t="shared" si="64"/>
        <v>1.52E-2</v>
      </c>
      <c r="V230" s="253">
        <f t="shared" si="64"/>
        <v>1.52E-2</v>
      </c>
      <c r="W230" s="253">
        <f t="shared" si="64"/>
        <v>1.52E-2</v>
      </c>
      <c r="X230" s="253">
        <f t="shared" si="64"/>
        <v>1.52E-2</v>
      </c>
      <c r="Y230" s="253">
        <f t="shared" si="64"/>
        <v>1.52E-2</v>
      </c>
      <c r="Z230" s="253">
        <f t="shared" si="64"/>
        <v>1.52E-2</v>
      </c>
      <c r="AA230" s="253">
        <f t="shared" si="64"/>
        <v>1.52E-2</v>
      </c>
      <c r="AB230" s="253">
        <f t="shared" si="64"/>
        <v>1.52E-2</v>
      </c>
      <c r="AC230" s="253">
        <f t="shared" si="64"/>
        <v>1.52E-2</v>
      </c>
      <c r="AD230" s="253">
        <f t="shared" si="64"/>
        <v>1.52E-2</v>
      </c>
      <c r="AE230" s="253">
        <f t="shared" si="64"/>
        <v>1.52E-2</v>
      </c>
      <c r="AF230" s="76"/>
      <c r="AG230" s="76"/>
      <c r="AH230" s="76"/>
      <c r="AI230" s="97">
        <v>1</v>
      </c>
      <c r="AJ230" s="97">
        <v>1</v>
      </c>
      <c r="AK230" s="73"/>
      <c r="AL230" s="57"/>
      <c r="AM230" s="45"/>
      <c r="AN230" s="45"/>
      <c r="AO230" s="45"/>
    </row>
    <row r="231" spans="1:41" hidden="1" outlineLevel="2" x14ac:dyDescent="0.25">
      <c r="A231" s="45"/>
      <c r="B231" s="54"/>
      <c r="C231" s="47">
        <f t="shared" si="63"/>
        <v>3</v>
      </c>
      <c r="D231" s="73"/>
      <c r="E231" s="70"/>
      <c r="F231" s="70" t="s">
        <v>680</v>
      </c>
      <c r="G231" s="73"/>
      <c r="H231" s="76" t="s">
        <v>681</v>
      </c>
      <c r="I231" s="96" t="s">
        <v>621</v>
      </c>
      <c r="J231" s="96"/>
      <c r="K231" s="258">
        <v>4.6000000000000001E-4</v>
      </c>
      <c r="L231" s="258">
        <v>4.6000000000000001E-4</v>
      </c>
      <c r="M231" s="97">
        <v>5.2599999999999999E-4</v>
      </c>
      <c r="N231" s="97">
        <v>5.2599999999999999E-4</v>
      </c>
      <c r="O231" s="97">
        <v>5.2599999999999999E-4</v>
      </c>
      <c r="P231" s="97">
        <v>5.2599999999999999E-4</v>
      </c>
      <c r="Q231" s="76"/>
      <c r="R231" s="76" t="s">
        <v>682</v>
      </c>
      <c r="S231" s="76" t="s">
        <v>682</v>
      </c>
      <c r="T231" s="76"/>
      <c r="U231" s="253">
        <f t="shared" si="64"/>
        <v>4.6000000000000001E-4</v>
      </c>
      <c r="V231" s="253">
        <f t="shared" si="64"/>
        <v>4.6000000000000001E-4</v>
      </c>
      <c r="W231" s="253">
        <f t="shared" si="64"/>
        <v>4.6000000000000001E-4</v>
      </c>
      <c r="X231" s="253">
        <f t="shared" si="64"/>
        <v>4.6000000000000001E-4</v>
      </c>
      <c r="Y231" s="253">
        <f t="shared" si="64"/>
        <v>4.6000000000000001E-4</v>
      </c>
      <c r="Z231" s="253">
        <f t="shared" si="64"/>
        <v>4.6000000000000001E-4</v>
      </c>
      <c r="AA231" s="253">
        <f t="shared" si="64"/>
        <v>4.6000000000000001E-4</v>
      </c>
      <c r="AB231" s="253">
        <f t="shared" si="64"/>
        <v>4.6000000000000001E-4</v>
      </c>
      <c r="AC231" s="253">
        <f t="shared" si="64"/>
        <v>4.6000000000000001E-4</v>
      </c>
      <c r="AD231" s="253">
        <f t="shared" si="64"/>
        <v>4.6000000000000001E-4</v>
      </c>
      <c r="AE231" s="253">
        <f t="shared" si="64"/>
        <v>4.6000000000000001E-4</v>
      </c>
      <c r="AF231" s="76"/>
      <c r="AG231" s="76"/>
      <c r="AH231" s="76"/>
      <c r="AI231" s="97">
        <v>1</v>
      </c>
      <c r="AJ231" s="97">
        <v>1</v>
      </c>
      <c r="AK231" s="73"/>
      <c r="AL231" s="57"/>
      <c r="AM231" s="45"/>
      <c r="AN231" s="45"/>
      <c r="AO231" s="45"/>
    </row>
    <row r="232" spans="1:41" hidden="1" outlineLevel="2" x14ac:dyDescent="0.25">
      <c r="A232" s="45"/>
      <c r="B232" s="54"/>
      <c r="C232" s="47">
        <f t="shared" si="63"/>
        <v>3</v>
      </c>
      <c r="D232" s="73"/>
      <c r="E232" s="70"/>
      <c r="F232" s="70" t="s">
        <v>683</v>
      </c>
      <c r="G232" s="73"/>
      <c r="H232" s="76" t="s">
        <v>684</v>
      </c>
      <c r="I232" s="96" t="s">
        <v>497</v>
      </c>
      <c r="J232" s="96"/>
      <c r="K232" s="258">
        <v>1.47E-4</v>
      </c>
      <c r="L232" s="258">
        <v>1.47E-4</v>
      </c>
      <c r="M232" s="97">
        <v>1.61E-2</v>
      </c>
      <c r="N232" s="97">
        <v>1.29E-2</v>
      </c>
      <c r="O232" s="97">
        <v>1.61E-2</v>
      </c>
      <c r="P232" s="97">
        <v>1.61E-2</v>
      </c>
      <c r="Q232" s="76"/>
      <c r="R232" s="76" t="s">
        <v>682</v>
      </c>
      <c r="S232" s="76" t="s">
        <v>682</v>
      </c>
      <c r="T232" s="76"/>
      <c r="U232" s="253">
        <f t="shared" si="64"/>
        <v>1.47E-4</v>
      </c>
      <c r="V232" s="253">
        <f t="shared" si="64"/>
        <v>1.47E-4</v>
      </c>
      <c r="W232" s="253">
        <f t="shared" si="64"/>
        <v>1.47E-4</v>
      </c>
      <c r="X232" s="253">
        <f t="shared" si="64"/>
        <v>1.47E-4</v>
      </c>
      <c r="Y232" s="253">
        <f t="shared" si="64"/>
        <v>1.47E-4</v>
      </c>
      <c r="Z232" s="253">
        <f t="shared" si="64"/>
        <v>1.47E-4</v>
      </c>
      <c r="AA232" s="253">
        <f t="shared" si="64"/>
        <v>1.47E-4</v>
      </c>
      <c r="AB232" s="253">
        <f t="shared" si="64"/>
        <v>1.47E-4</v>
      </c>
      <c r="AC232" s="253">
        <f t="shared" si="64"/>
        <v>1.47E-4</v>
      </c>
      <c r="AD232" s="253">
        <f t="shared" si="64"/>
        <v>1.47E-4</v>
      </c>
      <c r="AE232" s="253">
        <f t="shared" si="64"/>
        <v>1.47E-4</v>
      </c>
      <c r="AF232" s="76"/>
      <c r="AG232" s="76"/>
      <c r="AH232" s="76"/>
      <c r="AI232" s="97">
        <v>1</v>
      </c>
      <c r="AJ232" s="97">
        <v>1</v>
      </c>
      <c r="AK232" s="73"/>
      <c r="AL232" s="57"/>
      <c r="AM232" s="45"/>
      <c r="AN232" s="45"/>
      <c r="AO232" s="45"/>
    </row>
    <row r="233" spans="1:41" hidden="1" outlineLevel="2" x14ac:dyDescent="0.25">
      <c r="A233" s="45"/>
      <c r="B233" s="54"/>
      <c r="C233" s="47">
        <f t="shared" si="63"/>
        <v>3</v>
      </c>
      <c r="D233" s="73"/>
      <c r="E233" s="70"/>
      <c r="F233" s="70" t="s">
        <v>685</v>
      </c>
      <c r="G233" s="73"/>
      <c r="H233" s="76" t="s">
        <v>686</v>
      </c>
      <c r="I233" s="96" t="s">
        <v>687</v>
      </c>
      <c r="J233" s="96"/>
      <c r="K233" s="97">
        <v>3.375E-3</v>
      </c>
      <c r="L233" s="97">
        <v>3.375E-3</v>
      </c>
      <c r="M233" s="97">
        <v>4.2200000000000001E-2</v>
      </c>
      <c r="N233" s="97">
        <v>3.3799999999999997E-2</v>
      </c>
      <c r="O233" s="97">
        <v>4.2200000000000001E-2</v>
      </c>
      <c r="P233" s="97">
        <v>4.2200000000000001E-2</v>
      </c>
      <c r="Q233" s="76"/>
      <c r="R233" s="76" t="s">
        <v>682</v>
      </c>
      <c r="S233" s="76" t="s">
        <v>682</v>
      </c>
      <c r="T233" s="76"/>
      <c r="U233" s="253">
        <f t="shared" si="64"/>
        <v>3.375E-3</v>
      </c>
      <c r="V233" s="253">
        <f t="shared" si="64"/>
        <v>3.375E-3</v>
      </c>
      <c r="W233" s="253">
        <f t="shared" si="64"/>
        <v>3.375E-3</v>
      </c>
      <c r="X233" s="253">
        <f t="shared" si="64"/>
        <v>3.375E-3</v>
      </c>
      <c r="Y233" s="253">
        <f t="shared" si="64"/>
        <v>3.375E-3</v>
      </c>
      <c r="Z233" s="253">
        <f t="shared" si="64"/>
        <v>3.375E-3</v>
      </c>
      <c r="AA233" s="253">
        <f t="shared" si="64"/>
        <v>3.375E-3</v>
      </c>
      <c r="AB233" s="253">
        <f t="shared" si="64"/>
        <v>3.375E-3</v>
      </c>
      <c r="AC233" s="253">
        <f t="shared" si="64"/>
        <v>3.375E-3</v>
      </c>
      <c r="AD233" s="253">
        <f t="shared" si="64"/>
        <v>3.375E-3</v>
      </c>
      <c r="AE233" s="253">
        <f t="shared" si="64"/>
        <v>3.375E-3</v>
      </c>
      <c r="AF233" s="76"/>
      <c r="AG233" s="76"/>
      <c r="AH233" s="76"/>
      <c r="AI233" s="97">
        <v>1</v>
      </c>
      <c r="AJ233" s="97">
        <v>1</v>
      </c>
      <c r="AK233" s="73"/>
      <c r="AL233" s="57"/>
      <c r="AM233" s="45"/>
      <c r="AN233" s="45"/>
      <c r="AO233" s="45"/>
    </row>
    <row r="234" spans="1:41" hidden="1" outlineLevel="2" collapsed="1" x14ac:dyDescent="0.25">
      <c r="A234" s="45"/>
      <c r="B234" s="54"/>
      <c r="C234" s="47">
        <f t="shared" si="63"/>
        <v>3</v>
      </c>
      <c r="D234" s="73"/>
      <c r="E234" s="70"/>
      <c r="F234" s="70" t="s">
        <v>688</v>
      </c>
      <c r="G234" s="73"/>
      <c r="H234" s="76" t="s">
        <v>689</v>
      </c>
      <c r="I234" s="96" t="s">
        <v>690</v>
      </c>
      <c r="J234" s="96"/>
      <c r="K234" s="76"/>
      <c r="L234" s="76"/>
      <c r="M234" s="97">
        <v>1.1E-4</v>
      </c>
      <c r="N234" s="97">
        <v>1.1E-4</v>
      </c>
      <c r="O234" s="97">
        <v>1.1E-4</v>
      </c>
      <c r="P234" s="97">
        <v>1.1E-4</v>
      </c>
      <c r="Q234" s="76"/>
      <c r="R234" s="76"/>
      <c r="S234" s="76" t="s">
        <v>507</v>
      </c>
      <c r="T234" s="76"/>
      <c r="U234" s="253">
        <f t="shared" si="64"/>
        <v>0</v>
      </c>
      <c r="V234" s="253">
        <f t="shared" si="64"/>
        <v>0</v>
      </c>
      <c r="W234" s="253">
        <f t="shared" si="64"/>
        <v>0</v>
      </c>
      <c r="X234" s="253">
        <f t="shared" si="64"/>
        <v>0</v>
      </c>
      <c r="Y234" s="253">
        <f t="shared" si="64"/>
        <v>0</v>
      </c>
      <c r="Z234" s="253">
        <f t="shared" si="64"/>
        <v>0</v>
      </c>
      <c r="AA234" s="253">
        <f t="shared" si="64"/>
        <v>0</v>
      </c>
      <c r="AB234" s="253">
        <f t="shared" si="64"/>
        <v>0</v>
      </c>
      <c r="AC234" s="253">
        <f t="shared" si="64"/>
        <v>0</v>
      </c>
      <c r="AD234" s="253">
        <f t="shared" si="64"/>
        <v>0</v>
      </c>
      <c r="AE234" s="253">
        <f t="shared" si="64"/>
        <v>0</v>
      </c>
      <c r="AF234" s="76"/>
      <c r="AG234" s="76"/>
      <c r="AH234" s="76"/>
      <c r="AI234" s="97">
        <v>1</v>
      </c>
      <c r="AJ234" s="97">
        <v>1</v>
      </c>
      <c r="AK234" s="73"/>
      <c r="AL234" s="57"/>
      <c r="AM234" s="45"/>
      <c r="AN234" s="45"/>
      <c r="AO234" s="45"/>
    </row>
    <row r="235" spans="1:41" hidden="1" outlineLevel="3" x14ac:dyDescent="0.25">
      <c r="A235" s="45"/>
      <c r="B235" s="54"/>
      <c r="C235" s="47">
        <f>INT($C$29)+3</f>
        <v>4</v>
      </c>
      <c r="D235" s="73"/>
      <c r="E235" s="70"/>
      <c r="F235" s="70" t="s">
        <v>691</v>
      </c>
      <c r="G235" s="73"/>
      <c r="H235" s="76" t="s">
        <v>692</v>
      </c>
      <c r="I235" s="96" t="s">
        <v>497</v>
      </c>
      <c r="J235" s="96"/>
      <c r="K235" s="76"/>
      <c r="L235" s="76"/>
      <c r="M235" s="76"/>
      <c r="N235" s="76"/>
      <c r="O235" s="76"/>
      <c r="P235" s="76"/>
      <c r="Q235" s="76"/>
      <c r="R235" s="76"/>
      <c r="S235" s="76"/>
      <c r="T235" s="76"/>
      <c r="U235" s="76"/>
      <c r="V235" s="76"/>
      <c r="W235" s="76"/>
      <c r="X235" s="76"/>
      <c r="Y235" s="76"/>
      <c r="Z235" s="76"/>
      <c r="AA235" s="76"/>
      <c r="AB235" s="76"/>
      <c r="AC235" s="76"/>
      <c r="AD235" s="76"/>
      <c r="AE235" s="76"/>
      <c r="AF235" s="76"/>
      <c r="AG235" s="76"/>
      <c r="AH235" s="76"/>
      <c r="AI235" s="97">
        <v>1</v>
      </c>
      <c r="AJ235" s="97">
        <v>1</v>
      </c>
      <c r="AK235" s="73"/>
      <c r="AL235" s="57"/>
      <c r="AM235" s="45"/>
      <c r="AN235" s="45"/>
      <c r="AO235" s="45"/>
    </row>
    <row r="236" spans="1:41" hidden="1" outlineLevel="2" x14ac:dyDescent="0.25">
      <c r="A236" s="45"/>
      <c r="B236" s="54"/>
      <c r="C236" s="47">
        <f t="shared" ref="C236:C248" si="65">INT($C$29)+2</f>
        <v>3</v>
      </c>
      <c r="D236" s="73"/>
      <c r="E236" s="70"/>
      <c r="F236" s="70" t="s">
        <v>693</v>
      </c>
      <c r="G236" s="73"/>
      <c r="H236" s="76" t="s">
        <v>694</v>
      </c>
      <c r="I236" s="96" t="s">
        <v>3851</v>
      </c>
      <c r="J236" s="96"/>
      <c r="K236" s="97">
        <v>2.5999999999999999E-3</v>
      </c>
      <c r="L236" s="97">
        <v>2.5999999999999999E-3</v>
      </c>
      <c r="M236" s="97">
        <v>2.5999999999999999E-3</v>
      </c>
      <c r="N236" s="97">
        <v>2.5999999999999999E-3</v>
      </c>
      <c r="O236" s="97">
        <v>2.5999999999999999E-3</v>
      </c>
      <c r="P236" s="97">
        <v>2.5999999999999999E-3</v>
      </c>
      <c r="Q236" s="76"/>
      <c r="R236" s="76"/>
      <c r="S236" s="76" t="s">
        <v>507</v>
      </c>
      <c r="T236" s="76"/>
      <c r="U236" s="253">
        <f t="shared" ref="U236:AE247" si="66">INDEX($K236:$Q236,1,U$43)</f>
        <v>2.5999999999999999E-3</v>
      </c>
      <c r="V236" s="253">
        <f t="shared" si="66"/>
        <v>2.5999999999999999E-3</v>
      </c>
      <c r="W236" s="253">
        <f t="shared" si="66"/>
        <v>2.5999999999999999E-3</v>
      </c>
      <c r="X236" s="253">
        <f t="shared" si="66"/>
        <v>2.5999999999999999E-3</v>
      </c>
      <c r="Y236" s="253">
        <f t="shared" si="66"/>
        <v>2.5999999999999999E-3</v>
      </c>
      <c r="Z236" s="253">
        <f t="shared" si="66"/>
        <v>2.5999999999999999E-3</v>
      </c>
      <c r="AA236" s="253">
        <f t="shared" si="66"/>
        <v>2.5999999999999999E-3</v>
      </c>
      <c r="AB236" s="253">
        <f t="shared" si="66"/>
        <v>2.5999999999999999E-3</v>
      </c>
      <c r="AC236" s="253">
        <f t="shared" si="66"/>
        <v>2.5999999999999999E-3</v>
      </c>
      <c r="AD236" s="253">
        <f t="shared" si="66"/>
        <v>2.5999999999999999E-3</v>
      </c>
      <c r="AE236" s="253">
        <f t="shared" si="66"/>
        <v>2.5999999999999999E-3</v>
      </c>
      <c r="AF236" s="76"/>
      <c r="AG236" s="76"/>
      <c r="AH236" s="76"/>
      <c r="AI236" s="97">
        <v>1</v>
      </c>
      <c r="AJ236" s="97">
        <v>1</v>
      </c>
      <c r="AK236" s="73"/>
      <c r="AL236" s="57"/>
      <c r="AM236" s="45"/>
      <c r="AN236" s="45"/>
      <c r="AO236" s="45"/>
    </row>
    <row r="237" spans="1:41" hidden="1" outlineLevel="2" x14ac:dyDescent="0.25">
      <c r="A237" s="45"/>
      <c r="B237" s="54"/>
      <c r="C237" s="47">
        <f t="shared" si="65"/>
        <v>3</v>
      </c>
      <c r="D237" s="73"/>
      <c r="E237" s="70"/>
      <c r="F237" s="70" t="s">
        <v>695</v>
      </c>
      <c r="G237" s="73"/>
      <c r="H237" s="76" t="s">
        <v>696</v>
      </c>
      <c r="I237" s="96" t="s">
        <v>697</v>
      </c>
      <c r="J237" s="96"/>
      <c r="K237" s="97">
        <v>40</v>
      </c>
      <c r="L237" s="97">
        <v>40</v>
      </c>
      <c r="M237" s="97">
        <v>5</v>
      </c>
      <c r="N237" s="97">
        <v>5</v>
      </c>
      <c r="O237" s="97">
        <v>5</v>
      </c>
      <c r="P237" s="97">
        <v>5</v>
      </c>
      <c r="Q237" s="76"/>
      <c r="R237" s="76" t="s">
        <v>507</v>
      </c>
      <c r="S237" s="76"/>
      <c r="T237" s="76"/>
      <c r="U237" s="253">
        <f t="shared" si="66"/>
        <v>40</v>
      </c>
      <c r="V237" s="253">
        <f t="shared" si="66"/>
        <v>40</v>
      </c>
      <c r="W237" s="253">
        <f t="shared" si="66"/>
        <v>40</v>
      </c>
      <c r="X237" s="253">
        <f t="shared" si="66"/>
        <v>40</v>
      </c>
      <c r="Y237" s="253">
        <f t="shared" si="66"/>
        <v>40</v>
      </c>
      <c r="Z237" s="253">
        <f t="shared" si="66"/>
        <v>40</v>
      </c>
      <c r="AA237" s="253">
        <f t="shared" si="66"/>
        <v>40</v>
      </c>
      <c r="AB237" s="253">
        <f t="shared" si="66"/>
        <v>40</v>
      </c>
      <c r="AC237" s="253">
        <f t="shared" si="66"/>
        <v>40</v>
      </c>
      <c r="AD237" s="253">
        <f t="shared" si="66"/>
        <v>40</v>
      </c>
      <c r="AE237" s="253">
        <f t="shared" si="66"/>
        <v>40</v>
      </c>
      <c r="AF237" s="76"/>
      <c r="AG237" s="76"/>
      <c r="AH237" s="76"/>
      <c r="AI237" s="97">
        <v>1</v>
      </c>
      <c r="AJ237" s="97">
        <v>1</v>
      </c>
      <c r="AK237" s="73"/>
      <c r="AL237" s="57"/>
      <c r="AM237" s="45"/>
      <c r="AN237" s="45"/>
      <c r="AO237" s="45"/>
    </row>
    <row r="238" spans="1:41" hidden="1" outlineLevel="2" x14ac:dyDescent="0.25">
      <c r="A238" s="45"/>
      <c r="B238" s="54"/>
      <c r="C238" s="47">
        <f t="shared" si="65"/>
        <v>3</v>
      </c>
      <c r="D238" s="73"/>
      <c r="E238" s="70"/>
      <c r="F238" s="70" t="s">
        <v>698</v>
      </c>
      <c r="G238" s="73"/>
      <c r="H238" s="76" t="s">
        <v>699</v>
      </c>
      <c r="I238" s="96" t="s">
        <v>700</v>
      </c>
      <c r="J238" s="96"/>
      <c r="K238" s="97">
        <v>100</v>
      </c>
      <c r="L238" s="97">
        <v>100</v>
      </c>
      <c r="M238" s="97">
        <v>100</v>
      </c>
      <c r="N238" s="97">
        <v>100</v>
      </c>
      <c r="O238" s="97">
        <v>100</v>
      </c>
      <c r="P238" s="97">
        <v>100</v>
      </c>
      <c r="Q238" s="76"/>
      <c r="R238" s="76" t="s">
        <v>507</v>
      </c>
      <c r="S238" s="76"/>
      <c r="T238" s="76"/>
      <c r="U238" s="253">
        <f t="shared" si="66"/>
        <v>100</v>
      </c>
      <c r="V238" s="253">
        <f t="shared" si="66"/>
        <v>100</v>
      </c>
      <c r="W238" s="253">
        <f t="shared" si="66"/>
        <v>100</v>
      </c>
      <c r="X238" s="253">
        <f t="shared" si="66"/>
        <v>100</v>
      </c>
      <c r="Y238" s="253">
        <f t="shared" si="66"/>
        <v>100</v>
      </c>
      <c r="Z238" s="253">
        <f t="shared" si="66"/>
        <v>100</v>
      </c>
      <c r="AA238" s="253">
        <f t="shared" si="66"/>
        <v>100</v>
      </c>
      <c r="AB238" s="253">
        <f t="shared" si="66"/>
        <v>100</v>
      </c>
      <c r="AC238" s="253">
        <f t="shared" si="66"/>
        <v>100</v>
      </c>
      <c r="AD238" s="253">
        <f t="shared" si="66"/>
        <v>100</v>
      </c>
      <c r="AE238" s="253">
        <f t="shared" si="66"/>
        <v>100</v>
      </c>
      <c r="AF238" s="76"/>
      <c r="AG238" s="76"/>
      <c r="AH238" s="76"/>
      <c r="AI238" s="97">
        <v>1</v>
      </c>
      <c r="AJ238" s="97">
        <v>1</v>
      </c>
      <c r="AK238" s="73"/>
      <c r="AL238" s="57"/>
      <c r="AM238" s="45"/>
      <c r="AN238" s="45"/>
      <c r="AO238" s="45"/>
    </row>
    <row r="239" spans="1:41" hidden="1" outlineLevel="2" x14ac:dyDescent="0.25">
      <c r="A239" s="45"/>
      <c r="B239" s="54"/>
      <c r="C239" s="47">
        <f t="shared" si="65"/>
        <v>3</v>
      </c>
      <c r="D239" s="73"/>
      <c r="E239" s="70"/>
      <c r="F239" s="70" t="s">
        <v>701</v>
      </c>
      <c r="G239" s="73"/>
      <c r="H239" s="76" t="s">
        <v>702</v>
      </c>
      <c r="I239" s="96" t="s">
        <v>700</v>
      </c>
      <c r="J239" s="96"/>
      <c r="K239" s="97">
        <v>100</v>
      </c>
      <c r="L239" s="97">
        <v>100</v>
      </c>
      <c r="M239" s="97">
        <v>100</v>
      </c>
      <c r="N239" s="97">
        <v>100</v>
      </c>
      <c r="O239" s="97">
        <v>100</v>
      </c>
      <c r="P239" s="97">
        <v>100</v>
      </c>
      <c r="Q239" s="76"/>
      <c r="R239" s="76" t="s">
        <v>507</v>
      </c>
      <c r="S239" s="76"/>
      <c r="T239" s="76"/>
      <c r="U239" s="253">
        <f t="shared" si="66"/>
        <v>100</v>
      </c>
      <c r="V239" s="253">
        <f t="shared" si="66"/>
        <v>100</v>
      </c>
      <c r="W239" s="253">
        <f t="shared" si="66"/>
        <v>100</v>
      </c>
      <c r="X239" s="253">
        <f t="shared" si="66"/>
        <v>100</v>
      </c>
      <c r="Y239" s="253">
        <f t="shared" si="66"/>
        <v>100</v>
      </c>
      <c r="Z239" s="253">
        <f t="shared" si="66"/>
        <v>100</v>
      </c>
      <c r="AA239" s="253">
        <f t="shared" si="66"/>
        <v>100</v>
      </c>
      <c r="AB239" s="253">
        <f t="shared" si="66"/>
        <v>100</v>
      </c>
      <c r="AC239" s="253">
        <f t="shared" si="66"/>
        <v>100</v>
      </c>
      <c r="AD239" s="253">
        <f t="shared" si="66"/>
        <v>100</v>
      </c>
      <c r="AE239" s="253">
        <f t="shared" si="66"/>
        <v>100</v>
      </c>
      <c r="AF239" s="76"/>
      <c r="AG239" s="76"/>
      <c r="AH239" s="76"/>
      <c r="AI239" s="97">
        <v>1</v>
      </c>
      <c r="AJ239" s="97">
        <v>1</v>
      </c>
      <c r="AK239" s="73"/>
      <c r="AL239" s="57"/>
      <c r="AM239" s="45"/>
      <c r="AN239" s="45"/>
      <c r="AO239" s="45"/>
    </row>
    <row r="240" spans="1:41" hidden="1" outlineLevel="2" x14ac:dyDescent="0.25">
      <c r="A240" s="45"/>
      <c r="B240" s="54"/>
      <c r="C240" s="47">
        <f t="shared" si="65"/>
        <v>3</v>
      </c>
      <c r="D240" s="73"/>
      <c r="E240" s="70"/>
      <c r="F240" s="70" t="s">
        <v>2823</v>
      </c>
      <c r="G240" s="73"/>
      <c r="H240" s="76" t="s">
        <v>3182</v>
      </c>
      <c r="I240" s="96" t="s">
        <v>2826</v>
      </c>
      <c r="J240" s="96"/>
      <c r="K240" s="97">
        <v>0</v>
      </c>
      <c r="L240" s="97">
        <v>0</v>
      </c>
      <c r="M240" s="97">
        <v>0</v>
      </c>
      <c r="N240" s="97">
        <v>0</v>
      </c>
      <c r="O240" s="97">
        <v>0</v>
      </c>
      <c r="P240" s="97">
        <v>0</v>
      </c>
      <c r="Q240" s="76"/>
      <c r="R240" s="76" t="s">
        <v>3188</v>
      </c>
      <c r="S240" s="76" t="s">
        <v>3188</v>
      </c>
      <c r="T240" s="76"/>
      <c r="U240" s="253">
        <f t="shared" si="66"/>
        <v>0</v>
      </c>
      <c r="V240" s="253">
        <f t="shared" si="66"/>
        <v>0</v>
      </c>
      <c r="W240" s="253">
        <f t="shared" si="66"/>
        <v>0</v>
      </c>
      <c r="X240" s="253">
        <f t="shared" si="66"/>
        <v>0</v>
      </c>
      <c r="Y240" s="253">
        <f t="shared" si="66"/>
        <v>0</v>
      </c>
      <c r="Z240" s="253">
        <f t="shared" si="66"/>
        <v>0</v>
      </c>
      <c r="AA240" s="253">
        <f t="shared" si="66"/>
        <v>0</v>
      </c>
      <c r="AB240" s="253">
        <f t="shared" si="66"/>
        <v>0</v>
      </c>
      <c r="AC240" s="253">
        <f t="shared" si="66"/>
        <v>0</v>
      </c>
      <c r="AD240" s="253">
        <f t="shared" si="66"/>
        <v>0</v>
      </c>
      <c r="AE240" s="253">
        <f t="shared" si="66"/>
        <v>0</v>
      </c>
      <c r="AF240" s="76"/>
      <c r="AG240" s="76"/>
      <c r="AH240" s="76"/>
      <c r="AI240" s="97">
        <v>1</v>
      </c>
      <c r="AJ240" s="97">
        <v>1</v>
      </c>
      <c r="AK240" s="73"/>
      <c r="AL240" s="57"/>
      <c r="AM240" s="45"/>
      <c r="AN240" s="45"/>
      <c r="AO240" s="45"/>
    </row>
    <row r="241" spans="1:41" hidden="1" outlineLevel="2" x14ac:dyDescent="0.25">
      <c r="A241" s="45"/>
      <c r="B241" s="54"/>
      <c r="C241" s="47">
        <f t="shared" si="65"/>
        <v>3</v>
      </c>
      <c r="D241" s="73"/>
      <c r="E241" s="70"/>
      <c r="F241" s="70" t="s">
        <v>2824</v>
      </c>
      <c r="G241" s="73"/>
      <c r="H241" s="76" t="s">
        <v>2827</v>
      </c>
      <c r="I241" s="96" t="s">
        <v>2826</v>
      </c>
      <c r="J241" s="96"/>
      <c r="K241" s="97">
        <v>1.9E-2</v>
      </c>
      <c r="L241" s="97">
        <v>1.9E-2</v>
      </c>
      <c r="M241" s="97">
        <v>1.9E-2</v>
      </c>
      <c r="N241" s="97">
        <v>1.9E-2</v>
      </c>
      <c r="O241" s="97">
        <v>1.9E-2</v>
      </c>
      <c r="P241" s="97">
        <v>1.9E-2</v>
      </c>
      <c r="Q241" s="76"/>
      <c r="R241" s="76" t="s">
        <v>3188</v>
      </c>
      <c r="S241" s="76" t="s">
        <v>3188</v>
      </c>
      <c r="T241" s="76"/>
      <c r="U241" s="253">
        <f t="shared" si="66"/>
        <v>1.9E-2</v>
      </c>
      <c r="V241" s="253">
        <f t="shared" si="66"/>
        <v>1.9E-2</v>
      </c>
      <c r="W241" s="253">
        <f t="shared" si="66"/>
        <v>1.9E-2</v>
      </c>
      <c r="X241" s="253">
        <f t="shared" si="66"/>
        <v>1.9E-2</v>
      </c>
      <c r="Y241" s="253">
        <f t="shared" si="66"/>
        <v>1.9E-2</v>
      </c>
      <c r="Z241" s="253">
        <f t="shared" si="66"/>
        <v>1.9E-2</v>
      </c>
      <c r="AA241" s="253">
        <f t="shared" si="66"/>
        <v>1.9E-2</v>
      </c>
      <c r="AB241" s="253">
        <f t="shared" si="66"/>
        <v>1.9E-2</v>
      </c>
      <c r="AC241" s="253">
        <f t="shared" si="66"/>
        <v>1.9E-2</v>
      </c>
      <c r="AD241" s="253">
        <f t="shared" si="66"/>
        <v>1.9E-2</v>
      </c>
      <c r="AE241" s="253">
        <f t="shared" si="66"/>
        <v>1.9E-2</v>
      </c>
      <c r="AF241" s="76"/>
      <c r="AG241" s="76"/>
      <c r="AH241" s="76"/>
      <c r="AI241" s="97">
        <v>1</v>
      </c>
      <c r="AJ241" s="97">
        <v>1</v>
      </c>
      <c r="AK241" s="73"/>
      <c r="AL241" s="57"/>
      <c r="AM241" s="45"/>
      <c r="AN241" s="45"/>
      <c r="AO241" s="45"/>
    </row>
    <row r="242" spans="1:41" hidden="1" outlineLevel="2" x14ac:dyDescent="0.25">
      <c r="A242" s="45"/>
      <c r="B242" s="54"/>
      <c r="C242" s="47">
        <f t="shared" si="65"/>
        <v>3</v>
      </c>
      <c r="D242" s="73"/>
      <c r="E242" s="70"/>
      <c r="F242" s="70" t="s">
        <v>2825</v>
      </c>
      <c r="G242" s="73"/>
      <c r="H242" s="76" t="s">
        <v>2828</v>
      </c>
      <c r="I242" s="96" t="s">
        <v>2826</v>
      </c>
      <c r="J242" s="96"/>
      <c r="K242" s="97">
        <v>0.185</v>
      </c>
      <c r="L242" s="97">
        <v>0.185</v>
      </c>
      <c r="M242" s="97">
        <v>0.185</v>
      </c>
      <c r="N242" s="97">
        <v>0.185</v>
      </c>
      <c r="O242" s="97">
        <v>0.185</v>
      </c>
      <c r="P242" s="97">
        <v>0.185</v>
      </c>
      <c r="Q242" s="76"/>
      <c r="R242" s="76" t="s">
        <v>3188</v>
      </c>
      <c r="S242" s="76" t="s">
        <v>3188</v>
      </c>
      <c r="T242" s="76"/>
      <c r="U242" s="253">
        <f t="shared" si="66"/>
        <v>0.185</v>
      </c>
      <c r="V242" s="253">
        <f t="shared" si="66"/>
        <v>0.185</v>
      </c>
      <c r="W242" s="253">
        <f t="shared" si="66"/>
        <v>0.185</v>
      </c>
      <c r="X242" s="253">
        <f t="shared" si="66"/>
        <v>0.185</v>
      </c>
      <c r="Y242" s="253">
        <f t="shared" si="66"/>
        <v>0.185</v>
      </c>
      <c r="Z242" s="253">
        <f t="shared" si="66"/>
        <v>0.185</v>
      </c>
      <c r="AA242" s="253">
        <f t="shared" si="66"/>
        <v>0.185</v>
      </c>
      <c r="AB242" s="253">
        <f t="shared" si="66"/>
        <v>0.185</v>
      </c>
      <c r="AC242" s="253">
        <f t="shared" si="66"/>
        <v>0.185</v>
      </c>
      <c r="AD242" s="253">
        <f t="shared" si="66"/>
        <v>0.185</v>
      </c>
      <c r="AE242" s="253">
        <f t="shared" si="66"/>
        <v>0.185</v>
      </c>
      <c r="AF242" s="76"/>
      <c r="AG242" s="76"/>
      <c r="AH242" s="76"/>
      <c r="AI242" s="97">
        <v>1</v>
      </c>
      <c r="AJ242" s="97">
        <v>1</v>
      </c>
      <c r="AK242" s="73"/>
      <c r="AL242" s="57"/>
      <c r="AM242" s="45"/>
      <c r="AN242" s="45"/>
      <c r="AO242" s="45"/>
    </row>
    <row r="243" spans="1:41" hidden="1" outlineLevel="2" x14ac:dyDescent="0.25">
      <c r="A243" s="45"/>
      <c r="B243" s="54"/>
      <c r="C243" s="47">
        <f t="shared" si="65"/>
        <v>3</v>
      </c>
      <c r="D243" s="73"/>
      <c r="E243" s="70"/>
      <c r="F243" s="70" t="s">
        <v>3183</v>
      </c>
      <c r="G243" s="73"/>
      <c r="H243" s="76" t="s">
        <v>657</v>
      </c>
      <c r="I243" s="96" t="s">
        <v>497</v>
      </c>
      <c r="J243" s="96"/>
      <c r="K243" s="97">
        <v>7.9000000000000001E-2</v>
      </c>
      <c r="L243" s="97">
        <v>7.9000000000000001E-2</v>
      </c>
      <c r="M243" s="97">
        <v>7.9000000000000001E-2</v>
      </c>
      <c r="N243" s="97">
        <v>7.9000000000000001E-2</v>
      </c>
      <c r="O243" s="97">
        <v>7.9000000000000001E-2</v>
      </c>
      <c r="P243" s="97">
        <v>7.9000000000000001E-2</v>
      </c>
      <c r="Q243" s="76"/>
      <c r="R243" s="76" t="s">
        <v>3187</v>
      </c>
      <c r="S243" s="76" t="s">
        <v>3187</v>
      </c>
      <c r="T243" s="76"/>
      <c r="U243" s="253">
        <f t="shared" si="66"/>
        <v>7.9000000000000001E-2</v>
      </c>
      <c r="V243" s="253">
        <f t="shared" si="66"/>
        <v>7.9000000000000001E-2</v>
      </c>
      <c r="W243" s="253">
        <f t="shared" si="66"/>
        <v>7.9000000000000001E-2</v>
      </c>
      <c r="X243" s="253">
        <f t="shared" si="66"/>
        <v>7.9000000000000001E-2</v>
      </c>
      <c r="Y243" s="253">
        <f t="shared" si="66"/>
        <v>7.9000000000000001E-2</v>
      </c>
      <c r="Z243" s="253">
        <f t="shared" si="66"/>
        <v>7.9000000000000001E-2</v>
      </c>
      <c r="AA243" s="253">
        <f t="shared" si="66"/>
        <v>7.9000000000000001E-2</v>
      </c>
      <c r="AB243" s="253">
        <f t="shared" si="66"/>
        <v>7.9000000000000001E-2</v>
      </c>
      <c r="AC243" s="253">
        <f t="shared" si="66"/>
        <v>7.9000000000000001E-2</v>
      </c>
      <c r="AD243" s="253">
        <f t="shared" si="66"/>
        <v>7.9000000000000001E-2</v>
      </c>
      <c r="AE243" s="253">
        <f t="shared" si="66"/>
        <v>7.9000000000000001E-2</v>
      </c>
      <c r="AF243" s="76"/>
      <c r="AG243" s="76"/>
      <c r="AH243" s="76"/>
      <c r="AI243" s="97">
        <v>1</v>
      </c>
      <c r="AJ243" s="97">
        <v>1</v>
      </c>
      <c r="AK243" s="73"/>
      <c r="AL243" s="57"/>
      <c r="AM243" s="45"/>
      <c r="AN243" s="45"/>
      <c r="AO243" s="45"/>
    </row>
    <row r="244" spans="1:41" hidden="1" outlineLevel="2" x14ac:dyDescent="0.25">
      <c r="A244" s="45"/>
      <c r="B244" s="54"/>
      <c r="C244" s="47">
        <f t="shared" si="65"/>
        <v>3</v>
      </c>
      <c r="D244" s="73"/>
      <c r="E244" s="70"/>
      <c r="F244" s="70" t="s">
        <v>3184</v>
      </c>
      <c r="G244" s="73"/>
      <c r="H244" s="76" t="s">
        <v>3807</v>
      </c>
      <c r="I244" s="96" t="s">
        <v>3808</v>
      </c>
      <c r="J244" s="96"/>
      <c r="K244" s="97">
        <v>0.14699999999999999</v>
      </c>
      <c r="L244" s="97">
        <v>0.14699999999999999</v>
      </c>
      <c r="M244" s="97">
        <v>0.14699999999999999</v>
      </c>
      <c r="N244" s="97">
        <v>0.14699999999999999</v>
      </c>
      <c r="O244" s="97">
        <v>0.14699999999999999</v>
      </c>
      <c r="P244" s="97">
        <v>0.14699999999999999</v>
      </c>
      <c r="Q244" s="76"/>
      <c r="R244" s="76" t="s">
        <v>3187</v>
      </c>
      <c r="S244" s="76" t="s">
        <v>3187</v>
      </c>
      <c r="T244" s="76"/>
      <c r="U244" s="253">
        <f t="shared" si="66"/>
        <v>0.14699999999999999</v>
      </c>
      <c r="V244" s="253">
        <f t="shared" si="66"/>
        <v>0.14699999999999999</v>
      </c>
      <c r="W244" s="253">
        <f t="shared" si="66"/>
        <v>0.14699999999999999</v>
      </c>
      <c r="X244" s="253">
        <f t="shared" si="66"/>
        <v>0.14699999999999999</v>
      </c>
      <c r="Y244" s="253">
        <f t="shared" si="66"/>
        <v>0.14699999999999999</v>
      </c>
      <c r="Z244" s="253">
        <f t="shared" si="66"/>
        <v>0.14699999999999999</v>
      </c>
      <c r="AA244" s="253">
        <f t="shared" si="66"/>
        <v>0.14699999999999999</v>
      </c>
      <c r="AB244" s="253">
        <f t="shared" si="66"/>
        <v>0.14699999999999999</v>
      </c>
      <c r="AC244" s="253">
        <f t="shared" si="66"/>
        <v>0.14699999999999999</v>
      </c>
      <c r="AD244" s="253">
        <f t="shared" si="66"/>
        <v>0.14699999999999999</v>
      </c>
      <c r="AE244" s="253">
        <f t="shared" si="66"/>
        <v>0.14699999999999999</v>
      </c>
      <c r="AF244" s="76"/>
      <c r="AG244" s="76"/>
      <c r="AH244" s="76"/>
      <c r="AI244" s="97">
        <v>1</v>
      </c>
      <c r="AJ244" s="97">
        <v>1</v>
      </c>
      <c r="AK244" s="73"/>
      <c r="AL244" s="57"/>
      <c r="AM244" s="45"/>
      <c r="AN244" s="45"/>
      <c r="AO244" s="45"/>
    </row>
    <row r="245" spans="1:41" hidden="1" outlineLevel="2" x14ac:dyDescent="0.25">
      <c r="A245" s="45"/>
      <c r="B245" s="54"/>
      <c r="C245" s="47">
        <f t="shared" si="65"/>
        <v>3</v>
      </c>
      <c r="D245" s="73"/>
      <c r="E245" s="70"/>
      <c r="F245" s="70" t="s">
        <v>3186</v>
      </c>
      <c r="G245" s="73"/>
      <c r="H245" s="76" t="s">
        <v>3806</v>
      </c>
      <c r="I245" s="96" t="s">
        <v>524</v>
      </c>
      <c r="J245" s="96"/>
      <c r="K245" s="97">
        <f t="shared" ref="K245:P245" si="67">0.04/365</f>
        <v>1.0958904109589041E-4</v>
      </c>
      <c r="L245" s="97">
        <f t="shared" si="67"/>
        <v>1.0958904109589041E-4</v>
      </c>
      <c r="M245" s="97">
        <f t="shared" si="67"/>
        <v>1.0958904109589041E-4</v>
      </c>
      <c r="N245" s="97">
        <f t="shared" si="67"/>
        <v>1.0958904109589041E-4</v>
      </c>
      <c r="O245" s="97">
        <f t="shared" si="67"/>
        <v>1.0958904109589041E-4</v>
      </c>
      <c r="P245" s="97">
        <f t="shared" si="67"/>
        <v>1.0958904109589041E-4</v>
      </c>
      <c r="Q245" s="76"/>
      <c r="R245" s="76" t="s">
        <v>3187</v>
      </c>
      <c r="S245" s="76" t="s">
        <v>3187</v>
      </c>
      <c r="T245" s="76"/>
      <c r="U245" s="253">
        <f t="shared" si="66"/>
        <v>1.0958904109589041E-4</v>
      </c>
      <c r="V245" s="253">
        <f t="shared" si="66"/>
        <v>1.0958904109589041E-4</v>
      </c>
      <c r="W245" s="253">
        <f t="shared" si="66"/>
        <v>1.0958904109589041E-4</v>
      </c>
      <c r="X245" s="253">
        <f t="shared" si="66"/>
        <v>1.0958904109589041E-4</v>
      </c>
      <c r="Y245" s="253">
        <f t="shared" si="66"/>
        <v>1.0958904109589041E-4</v>
      </c>
      <c r="Z245" s="253">
        <f t="shared" si="66"/>
        <v>1.0958904109589041E-4</v>
      </c>
      <c r="AA245" s="253">
        <f t="shared" si="66"/>
        <v>1.0958904109589041E-4</v>
      </c>
      <c r="AB245" s="253">
        <f t="shared" si="66"/>
        <v>1.0958904109589041E-4</v>
      </c>
      <c r="AC245" s="253">
        <f t="shared" si="66"/>
        <v>1.0958904109589041E-4</v>
      </c>
      <c r="AD245" s="253">
        <f t="shared" si="66"/>
        <v>1.0958904109589041E-4</v>
      </c>
      <c r="AE245" s="253">
        <f t="shared" si="66"/>
        <v>1.0958904109589041E-4</v>
      </c>
      <c r="AF245" s="76"/>
      <c r="AG245" s="76"/>
      <c r="AH245" s="76"/>
      <c r="AI245" s="97">
        <v>1</v>
      </c>
      <c r="AJ245" s="97">
        <v>1</v>
      </c>
      <c r="AK245" s="73"/>
      <c r="AL245" s="57"/>
      <c r="AM245" s="45"/>
      <c r="AN245" s="45"/>
      <c r="AO245" s="45"/>
    </row>
    <row r="246" spans="1:41" hidden="1" outlineLevel="2" x14ac:dyDescent="0.25">
      <c r="A246" s="45"/>
      <c r="B246" s="54"/>
      <c r="C246" s="47">
        <f t="shared" si="65"/>
        <v>3</v>
      </c>
      <c r="D246" s="73"/>
      <c r="E246" s="70"/>
      <c r="F246" s="70" t="s">
        <v>3185</v>
      </c>
      <c r="G246" s="73"/>
      <c r="H246" s="76" t="s">
        <v>3809</v>
      </c>
      <c r="I246" s="96" t="s">
        <v>497</v>
      </c>
      <c r="J246" s="96"/>
      <c r="K246" s="97">
        <f>EXP(-K245*6*365)</f>
        <v>0.78662786106655336</v>
      </c>
      <c r="L246" s="97">
        <f t="shared" ref="L246:P246" si="68">EXP(-L245*6*365)</f>
        <v>0.78662786106655336</v>
      </c>
      <c r="M246" s="97">
        <f t="shared" si="68"/>
        <v>0.78662786106655336</v>
      </c>
      <c r="N246" s="97">
        <f t="shared" si="68"/>
        <v>0.78662786106655336</v>
      </c>
      <c r="O246" s="97">
        <f t="shared" si="68"/>
        <v>0.78662786106655336</v>
      </c>
      <c r="P246" s="97">
        <f t="shared" si="68"/>
        <v>0.78662786106655336</v>
      </c>
      <c r="Q246" s="76"/>
      <c r="R246" s="76" t="s">
        <v>3811</v>
      </c>
      <c r="S246" s="76" t="s">
        <v>3811</v>
      </c>
      <c r="T246" s="76"/>
      <c r="U246" s="253">
        <f t="shared" si="66"/>
        <v>0.78662786106655336</v>
      </c>
      <c r="V246" s="253">
        <f t="shared" si="66"/>
        <v>0.78662786106655336</v>
      </c>
      <c r="W246" s="253">
        <f t="shared" si="66"/>
        <v>0.78662786106655336</v>
      </c>
      <c r="X246" s="253">
        <f t="shared" si="66"/>
        <v>0.78662786106655336</v>
      </c>
      <c r="Y246" s="253">
        <f t="shared" si="66"/>
        <v>0.78662786106655336</v>
      </c>
      <c r="Z246" s="253">
        <f t="shared" si="66"/>
        <v>0.78662786106655336</v>
      </c>
      <c r="AA246" s="253">
        <f t="shared" si="66"/>
        <v>0.78662786106655336</v>
      </c>
      <c r="AB246" s="253">
        <f t="shared" si="66"/>
        <v>0.78662786106655336</v>
      </c>
      <c r="AC246" s="253">
        <f t="shared" si="66"/>
        <v>0.78662786106655336</v>
      </c>
      <c r="AD246" s="253">
        <f t="shared" si="66"/>
        <v>0.78662786106655336</v>
      </c>
      <c r="AE246" s="253">
        <f t="shared" si="66"/>
        <v>0.78662786106655336</v>
      </c>
      <c r="AF246" s="76"/>
      <c r="AG246" s="76"/>
      <c r="AH246" s="76"/>
      <c r="AI246" s="97">
        <v>1</v>
      </c>
      <c r="AJ246" s="97">
        <v>1</v>
      </c>
      <c r="AK246" s="73"/>
      <c r="AL246" s="57"/>
      <c r="AM246" s="45"/>
      <c r="AN246" s="45"/>
      <c r="AO246" s="45"/>
    </row>
    <row r="247" spans="1:41" hidden="1" outlineLevel="2" x14ac:dyDescent="0.25">
      <c r="A247" s="45"/>
      <c r="B247" s="54"/>
      <c r="C247" s="47">
        <f t="shared" si="65"/>
        <v>3</v>
      </c>
      <c r="D247" s="73"/>
      <c r="E247" s="70"/>
      <c r="F247" s="70" t="s">
        <v>3805</v>
      </c>
      <c r="G247" s="73"/>
      <c r="H247" s="76" t="s">
        <v>3810</v>
      </c>
      <c r="I247" s="96" t="s">
        <v>497</v>
      </c>
      <c r="J247" s="96"/>
      <c r="K247" s="97">
        <v>0.39</v>
      </c>
      <c r="L247" s="97">
        <v>0.39</v>
      </c>
      <c r="M247" s="97">
        <v>0.39</v>
      </c>
      <c r="N247" s="97">
        <v>0.39</v>
      </c>
      <c r="O247" s="97">
        <v>0.39</v>
      </c>
      <c r="P247" s="97">
        <v>0.39</v>
      </c>
      <c r="Q247" s="76"/>
      <c r="R247" s="76" t="s">
        <v>3187</v>
      </c>
      <c r="S247" s="76" t="s">
        <v>3187</v>
      </c>
      <c r="T247" s="76"/>
      <c r="U247" s="253">
        <f t="shared" si="66"/>
        <v>0.39</v>
      </c>
      <c r="V247" s="253">
        <f t="shared" si="66"/>
        <v>0.39</v>
      </c>
      <c r="W247" s="253">
        <f t="shared" si="66"/>
        <v>0.39</v>
      </c>
      <c r="X247" s="253">
        <f t="shared" si="66"/>
        <v>0.39</v>
      </c>
      <c r="Y247" s="253">
        <f t="shared" si="66"/>
        <v>0.39</v>
      </c>
      <c r="Z247" s="253">
        <f t="shared" si="66"/>
        <v>0.39</v>
      </c>
      <c r="AA247" s="253">
        <f t="shared" si="66"/>
        <v>0.39</v>
      </c>
      <c r="AB247" s="253">
        <f t="shared" si="66"/>
        <v>0.39</v>
      </c>
      <c r="AC247" s="253">
        <f t="shared" si="66"/>
        <v>0.39</v>
      </c>
      <c r="AD247" s="253">
        <f t="shared" si="66"/>
        <v>0.39</v>
      </c>
      <c r="AE247" s="253">
        <f t="shared" si="66"/>
        <v>0.39</v>
      </c>
      <c r="AF247" s="76"/>
      <c r="AG247" s="76"/>
      <c r="AH247" s="76"/>
      <c r="AI247" s="97">
        <v>1</v>
      </c>
      <c r="AJ247" s="97">
        <v>1</v>
      </c>
      <c r="AK247" s="73"/>
      <c r="AL247" s="57"/>
      <c r="AM247" s="45"/>
      <c r="AN247" s="45"/>
      <c r="AO247" s="45"/>
    </row>
    <row r="248" spans="1:41" hidden="1" outlineLevel="2" x14ac:dyDescent="0.25">
      <c r="A248" s="45"/>
      <c r="B248" s="54"/>
      <c r="C248" s="47">
        <f t="shared" si="65"/>
        <v>3</v>
      </c>
      <c r="D248" s="73"/>
      <c r="E248" s="70"/>
      <c r="F248" s="70" t="s">
        <v>3849</v>
      </c>
      <c r="G248" s="73"/>
      <c r="H248" s="76" t="s">
        <v>3850</v>
      </c>
      <c r="I248" s="96" t="s">
        <v>3853</v>
      </c>
      <c r="J248" s="96"/>
      <c r="K248" s="76"/>
      <c r="L248" s="76"/>
      <c r="M248" s="76"/>
      <c r="N248" s="76"/>
      <c r="O248" s="76"/>
      <c r="P248" s="76"/>
      <c r="Q248" s="76"/>
      <c r="R248" s="76"/>
      <c r="S248" s="76"/>
      <c r="T248" s="76"/>
      <c r="U248" s="97">
        <v>0</v>
      </c>
      <c r="V248" s="97">
        <v>0</v>
      </c>
      <c r="W248" s="97">
        <v>0</v>
      </c>
      <c r="X248" s="97">
        <v>0</v>
      </c>
      <c r="Y248" s="97">
        <v>0</v>
      </c>
      <c r="Z248" s="97">
        <v>0</v>
      </c>
      <c r="AA248" s="97">
        <v>0</v>
      </c>
      <c r="AB248" s="97">
        <v>0</v>
      </c>
      <c r="AC248" s="97">
        <v>0</v>
      </c>
      <c r="AD248" s="97">
        <v>0</v>
      </c>
      <c r="AE248" s="97">
        <v>0</v>
      </c>
      <c r="AF248" s="76"/>
      <c r="AG248" s="76"/>
      <c r="AH248" s="76"/>
      <c r="AI248" s="97">
        <v>1</v>
      </c>
      <c r="AJ248" s="97">
        <v>1</v>
      </c>
      <c r="AK248" s="73"/>
      <c r="AL248" s="57"/>
      <c r="AM248" s="45"/>
      <c r="AN248" s="45"/>
      <c r="AO248" s="45"/>
    </row>
    <row r="249" spans="1:41" outlineLevel="1" collapsed="1" x14ac:dyDescent="0.25">
      <c r="A249" s="45"/>
      <c r="B249" s="54"/>
      <c r="C249" s="47">
        <f>INT($C$29)+1</f>
        <v>2</v>
      </c>
      <c r="D249" s="73"/>
      <c r="E249" s="70"/>
      <c r="F249" s="256" t="s">
        <v>703</v>
      </c>
      <c r="G249" s="73"/>
      <c r="H249" s="246" t="s">
        <v>704</v>
      </c>
      <c r="I249" s="96"/>
      <c r="J249" s="96" t="s">
        <v>514</v>
      </c>
      <c r="K249" s="79">
        <v>8</v>
      </c>
      <c r="L249" s="76"/>
      <c r="M249" s="79">
        <v>0</v>
      </c>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3"/>
      <c r="AL249" s="57"/>
      <c r="AM249" s="45"/>
      <c r="AN249" s="45"/>
      <c r="AO249" s="45"/>
    </row>
    <row r="250" spans="1:41" hidden="1" outlineLevel="3" x14ac:dyDescent="0.25">
      <c r="A250" s="45"/>
      <c r="B250" s="54"/>
      <c r="C250" s="47">
        <f>INT($C$29)+3</f>
        <v>4</v>
      </c>
      <c r="D250" s="73"/>
      <c r="E250" s="70" t="s">
        <v>705</v>
      </c>
      <c r="F250" s="70" t="s">
        <v>706</v>
      </c>
      <c r="G250" s="73"/>
      <c r="H250" s="76" t="s">
        <v>491</v>
      </c>
      <c r="I250" s="96"/>
      <c r="J250" s="9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v>1</v>
      </c>
      <c r="AJ250" s="76">
        <v>1</v>
      </c>
      <c r="AK250" s="73"/>
      <c r="AL250" s="57"/>
      <c r="AM250" s="45"/>
      <c r="AN250" s="45"/>
      <c r="AO250" s="45"/>
    </row>
    <row r="251" spans="1:41" hidden="1" outlineLevel="2" x14ac:dyDescent="0.25">
      <c r="A251" s="45"/>
      <c r="B251" s="54"/>
      <c r="C251" s="47">
        <f t="shared" ref="C251:C257" si="69">INT($C$29)+2</f>
        <v>3</v>
      </c>
      <c r="D251" s="73"/>
      <c r="E251" s="70"/>
      <c r="F251" s="70" t="s">
        <v>707</v>
      </c>
      <c r="G251" s="73"/>
      <c r="H251" s="76" t="s">
        <v>708</v>
      </c>
      <c r="I251" s="96" t="s">
        <v>497</v>
      </c>
      <c r="J251" s="96"/>
      <c r="K251" s="97">
        <v>0.3</v>
      </c>
      <c r="L251" s="97">
        <v>0.3</v>
      </c>
      <c r="M251" s="97">
        <v>0.3</v>
      </c>
      <c r="N251" s="97">
        <v>0.3</v>
      </c>
      <c r="O251" s="97">
        <v>0.3</v>
      </c>
      <c r="P251" s="97">
        <v>0.3</v>
      </c>
      <c r="Q251" s="76"/>
      <c r="R251" s="76" t="s">
        <v>709</v>
      </c>
      <c r="S251" s="76" t="s">
        <v>709</v>
      </c>
      <c r="T251" s="76"/>
      <c r="U251" s="253">
        <f t="shared" ref="U251:AE257" si="70">INDEX($K251:$Q251,1,U$43)</f>
        <v>0.3</v>
      </c>
      <c r="V251" s="253">
        <f t="shared" si="70"/>
        <v>0.3</v>
      </c>
      <c r="W251" s="253">
        <f t="shared" si="70"/>
        <v>0.3</v>
      </c>
      <c r="X251" s="253">
        <f t="shared" si="70"/>
        <v>0.3</v>
      </c>
      <c r="Y251" s="253">
        <f t="shared" si="70"/>
        <v>0.3</v>
      </c>
      <c r="Z251" s="253">
        <f t="shared" si="70"/>
        <v>0.3</v>
      </c>
      <c r="AA251" s="253">
        <f t="shared" si="70"/>
        <v>0.3</v>
      </c>
      <c r="AB251" s="253">
        <f t="shared" si="70"/>
        <v>0.3</v>
      </c>
      <c r="AC251" s="253">
        <f t="shared" si="70"/>
        <v>0.3</v>
      </c>
      <c r="AD251" s="253">
        <f t="shared" si="70"/>
        <v>0.3</v>
      </c>
      <c r="AE251" s="253">
        <f t="shared" si="70"/>
        <v>0.3</v>
      </c>
      <c r="AF251" s="76"/>
      <c r="AG251" s="76"/>
      <c r="AH251" s="76"/>
      <c r="AI251" s="97">
        <v>1</v>
      </c>
      <c r="AJ251" s="97">
        <v>1</v>
      </c>
      <c r="AK251" s="73"/>
      <c r="AL251" s="57"/>
      <c r="AM251" s="45"/>
      <c r="AN251" s="45"/>
      <c r="AO251" s="45"/>
    </row>
    <row r="252" spans="1:41" hidden="1" outlineLevel="2" x14ac:dyDescent="0.25">
      <c r="A252" s="45"/>
      <c r="B252" s="54"/>
      <c r="C252" s="47">
        <f t="shared" si="69"/>
        <v>3</v>
      </c>
      <c r="D252" s="73"/>
      <c r="E252" s="70"/>
      <c r="F252" s="70" t="s">
        <v>710</v>
      </c>
      <c r="G252" s="73"/>
      <c r="H252" s="76" t="s">
        <v>711</v>
      </c>
      <c r="I252" s="96" t="s">
        <v>497</v>
      </c>
      <c r="J252" s="96"/>
      <c r="K252" s="97">
        <v>0.25</v>
      </c>
      <c r="L252" s="97">
        <v>0.25</v>
      </c>
      <c r="M252" s="97">
        <v>0.25</v>
      </c>
      <c r="N252" s="97">
        <v>0.25</v>
      </c>
      <c r="O252" s="97">
        <v>0.25</v>
      </c>
      <c r="P252" s="97">
        <v>0.25</v>
      </c>
      <c r="Q252" s="76"/>
      <c r="R252" s="76" t="s">
        <v>709</v>
      </c>
      <c r="S252" s="76" t="s">
        <v>709</v>
      </c>
      <c r="T252" s="76"/>
      <c r="U252" s="253">
        <f t="shared" si="70"/>
        <v>0.25</v>
      </c>
      <c r="V252" s="253">
        <f t="shared" si="70"/>
        <v>0.25</v>
      </c>
      <c r="W252" s="253">
        <f t="shared" si="70"/>
        <v>0.25</v>
      </c>
      <c r="X252" s="253">
        <f t="shared" si="70"/>
        <v>0.25</v>
      </c>
      <c r="Y252" s="253">
        <f t="shared" si="70"/>
        <v>0.25</v>
      </c>
      <c r="Z252" s="253">
        <f t="shared" si="70"/>
        <v>0.25</v>
      </c>
      <c r="AA252" s="253">
        <f t="shared" si="70"/>
        <v>0.25</v>
      </c>
      <c r="AB252" s="253">
        <f t="shared" si="70"/>
        <v>0.25</v>
      </c>
      <c r="AC252" s="253">
        <f t="shared" si="70"/>
        <v>0.25</v>
      </c>
      <c r="AD252" s="253">
        <f t="shared" si="70"/>
        <v>0.25</v>
      </c>
      <c r="AE252" s="253">
        <f t="shared" si="70"/>
        <v>0.25</v>
      </c>
      <c r="AF252" s="76"/>
      <c r="AG252" s="76"/>
      <c r="AH252" s="76"/>
      <c r="AI252" s="97">
        <v>1</v>
      </c>
      <c r="AJ252" s="97">
        <v>1</v>
      </c>
      <c r="AK252" s="73"/>
      <c r="AL252" s="57"/>
      <c r="AM252" s="45"/>
      <c r="AN252" s="45"/>
      <c r="AO252" s="45"/>
    </row>
    <row r="253" spans="1:41" hidden="1" outlineLevel="2" x14ac:dyDescent="0.25">
      <c r="A253" s="45"/>
      <c r="B253" s="54"/>
      <c r="C253" s="47">
        <f t="shared" si="69"/>
        <v>3</v>
      </c>
      <c r="D253" s="73"/>
      <c r="E253" s="70"/>
      <c r="F253" s="70" t="s">
        <v>712</v>
      </c>
      <c r="G253" s="73"/>
      <c r="H253" s="76" t="s">
        <v>713</v>
      </c>
      <c r="I253" s="96" t="s">
        <v>497</v>
      </c>
      <c r="J253" s="96"/>
      <c r="K253" s="97">
        <v>0.1</v>
      </c>
      <c r="L253" s="97">
        <v>0.1</v>
      </c>
      <c r="M253" s="97">
        <v>0.1</v>
      </c>
      <c r="N253" s="97">
        <v>0.1</v>
      </c>
      <c r="O253" s="97">
        <v>0.1</v>
      </c>
      <c r="P253" s="97">
        <v>0.1</v>
      </c>
      <c r="Q253" s="76"/>
      <c r="R253" s="76" t="s">
        <v>709</v>
      </c>
      <c r="S253" s="76" t="s">
        <v>709</v>
      </c>
      <c r="T253" s="76"/>
      <c r="U253" s="253">
        <f t="shared" si="70"/>
        <v>0.1</v>
      </c>
      <c r="V253" s="253">
        <f t="shared" si="70"/>
        <v>0.1</v>
      </c>
      <c r="W253" s="253">
        <f t="shared" si="70"/>
        <v>0.1</v>
      </c>
      <c r="X253" s="253">
        <f t="shared" si="70"/>
        <v>0.1</v>
      </c>
      <c r="Y253" s="253">
        <f t="shared" si="70"/>
        <v>0.1</v>
      </c>
      <c r="Z253" s="253">
        <f t="shared" si="70"/>
        <v>0.1</v>
      </c>
      <c r="AA253" s="253">
        <f t="shared" si="70"/>
        <v>0.1</v>
      </c>
      <c r="AB253" s="253">
        <f t="shared" si="70"/>
        <v>0.1</v>
      </c>
      <c r="AC253" s="253">
        <f t="shared" si="70"/>
        <v>0.1</v>
      </c>
      <c r="AD253" s="253">
        <f t="shared" si="70"/>
        <v>0.1</v>
      </c>
      <c r="AE253" s="253">
        <f t="shared" si="70"/>
        <v>0.1</v>
      </c>
      <c r="AF253" s="76"/>
      <c r="AG253" s="76"/>
      <c r="AH253" s="76"/>
      <c r="AI253" s="97">
        <v>1</v>
      </c>
      <c r="AJ253" s="97">
        <v>1</v>
      </c>
      <c r="AK253" s="73"/>
      <c r="AL253" s="57"/>
      <c r="AM253" s="45"/>
      <c r="AN253" s="45"/>
      <c r="AO253" s="45"/>
    </row>
    <row r="254" spans="1:41" hidden="1" outlineLevel="2" x14ac:dyDescent="0.25">
      <c r="A254" s="45"/>
      <c r="B254" s="54"/>
      <c r="C254" s="47">
        <f t="shared" si="69"/>
        <v>3</v>
      </c>
      <c r="D254" s="73"/>
      <c r="E254" s="70"/>
      <c r="F254" s="70" t="s">
        <v>714</v>
      </c>
      <c r="G254" s="73"/>
      <c r="H254" s="76" t="s">
        <v>715</v>
      </c>
      <c r="I254" s="96" t="s">
        <v>541</v>
      </c>
      <c r="J254" s="96"/>
      <c r="K254" s="97">
        <v>7.0000000000000001E-3</v>
      </c>
      <c r="L254" s="97">
        <v>7.0000000000000001E-3</v>
      </c>
      <c r="M254" s="97">
        <v>7.0000000000000001E-3</v>
      </c>
      <c r="N254" s="97">
        <v>7.0000000000000001E-3</v>
      </c>
      <c r="O254" s="97">
        <v>7.0000000000000001E-3</v>
      </c>
      <c r="P254" s="97">
        <v>7.0000000000000001E-3</v>
      </c>
      <c r="Q254" s="76"/>
      <c r="R254" s="76" t="s">
        <v>709</v>
      </c>
      <c r="S254" s="76" t="s">
        <v>709</v>
      </c>
      <c r="T254" s="76"/>
      <c r="U254" s="253">
        <f t="shared" si="70"/>
        <v>7.0000000000000001E-3</v>
      </c>
      <c r="V254" s="253">
        <f t="shared" si="70"/>
        <v>7.0000000000000001E-3</v>
      </c>
      <c r="W254" s="253">
        <f t="shared" si="70"/>
        <v>7.0000000000000001E-3</v>
      </c>
      <c r="X254" s="253">
        <f t="shared" si="70"/>
        <v>7.0000000000000001E-3</v>
      </c>
      <c r="Y254" s="253">
        <f t="shared" si="70"/>
        <v>7.0000000000000001E-3</v>
      </c>
      <c r="Z254" s="253">
        <f t="shared" si="70"/>
        <v>7.0000000000000001E-3</v>
      </c>
      <c r="AA254" s="253">
        <f t="shared" si="70"/>
        <v>7.0000000000000001E-3</v>
      </c>
      <c r="AB254" s="253">
        <f t="shared" si="70"/>
        <v>7.0000000000000001E-3</v>
      </c>
      <c r="AC254" s="253">
        <f t="shared" si="70"/>
        <v>7.0000000000000001E-3</v>
      </c>
      <c r="AD254" s="253">
        <f t="shared" si="70"/>
        <v>7.0000000000000001E-3</v>
      </c>
      <c r="AE254" s="253">
        <f t="shared" si="70"/>
        <v>7.0000000000000001E-3</v>
      </c>
      <c r="AF254" s="76"/>
      <c r="AG254" s="76"/>
      <c r="AH254" s="76"/>
      <c r="AI254" s="97">
        <v>1</v>
      </c>
      <c r="AJ254" s="97">
        <v>1</v>
      </c>
      <c r="AK254" s="73"/>
      <c r="AL254" s="57"/>
      <c r="AM254" s="45"/>
      <c r="AN254" s="45"/>
      <c r="AO254" s="45"/>
    </row>
    <row r="255" spans="1:41" hidden="1" outlineLevel="2" x14ac:dyDescent="0.25">
      <c r="A255" s="45"/>
      <c r="B255" s="54"/>
      <c r="C255" s="47">
        <f t="shared" si="69"/>
        <v>3</v>
      </c>
      <c r="D255" s="73"/>
      <c r="E255" s="70"/>
      <c r="F255" s="70" t="s">
        <v>716</v>
      </c>
      <c r="G255" s="73"/>
      <c r="H255" s="76" t="s">
        <v>717</v>
      </c>
      <c r="I255" s="96" t="s">
        <v>541</v>
      </c>
      <c r="J255" s="96"/>
      <c r="K255" s="97">
        <v>5.0000000000000001E-3</v>
      </c>
      <c r="L255" s="97">
        <v>5.0000000000000001E-3</v>
      </c>
      <c r="M255" s="97">
        <v>5.0000000000000001E-3</v>
      </c>
      <c r="N255" s="97">
        <v>5.0000000000000001E-3</v>
      </c>
      <c r="O255" s="97">
        <v>5.0000000000000001E-3</v>
      </c>
      <c r="P255" s="97">
        <v>5.0000000000000001E-3</v>
      </c>
      <c r="Q255" s="76"/>
      <c r="R255" s="76" t="s">
        <v>709</v>
      </c>
      <c r="S255" s="76" t="s">
        <v>709</v>
      </c>
      <c r="T255" s="76"/>
      <c r="U255" s="253">
        <f t="shared" si="70"/>
        <v>5.0000000000000001E-3</v>
      </c>
      <c r="V255" s="253">
        <f t="shared" si="70"/>
        <v>5.0000000000000001E-3</v>
      </c>
      <c r="W255" s="253">
        <f t="shared" si="70"/>
        <v>5.0000000000000001E-3</v>
      </c>
      <c r="X255" s="253">
        <f t="shared" si="70"/>
        <v>5.0000000000000001E-3</v>
      </c>
      <c r="Y255" s="253">
        <f t="shared" si="70"/>
        <v>5.0000000000000001E-3</v>
      </c>
      <c r="Z255" s="253">
        <f t="shared" si="70"/>
        <v>5.0000000000000001E-3</v>
      </c>
      <c r="AA255" s="253">
        <f t="shared" si="70"/>
        <v>5.0000000000000001E-3</v>
      </c>
      <c r="AB255" s="253">
        <f t="shared" si="70"/>
        <v>5.0000000000000001E-3</v>
      </c>
      <c r="AC255" s="253">
        <f t="shared" si="70"/>
        <v>5.0000000000000001E-3</v>
      </c>
      <c r="AD255" s="253">
        <f t="shared" si="70"/>
        <v>5.0000000000000001E-3</v>
      </c>
      <c r="AE255" s="253">
        <f t="shared" si="70"/>
        <v>5.0000000000000001E-3</v>
      </c>
      <c r="AF255" s="76"/>
      <c r="AG255" s="76"/>
      <c r="AH255" s="76"/>
      <c r="AI255" s="97">
        <v>1</v>
      </c>
      <c r="AJ255" s="97">
        <v>1</v>
      </c>
      <c r="AK255" s="73"/>
      <c r="AL255" s="57"/>
      <c r="AM255" s="45"/>
      <c r="AN255" s="45"/>
      <c r="AO255" s="45"/>
    </row>
    <row r="256" spans="1:41" hidden="1" outlineLevel="2" x14ac:dyDescent="0.25">
      <c r="A256" s="45"/>
      <c r="B256" s="54"/>
      <c r="C256" s="47">
        <f t="shared" si="69"/>
        <v>3</v>
      </c>
      <c r="D256" s="73"/>
      <c r="E256" s="70"/>
      <c r="F256" s="70" t="s">
        <v>718</v>
      </c>
      <c r="G256" s="73"/>
      <c r="H256" s="76" t="s">
        <v>719</v>
      </c>
      <c r="I256" s="96" t="s">
        <v>497</v>
      </c>
      <c r="J256" s="96"/>
      <c r="K256" s="97">
        <v>0.35</v>
      </c>
      <c r="L256" s="97">
        <v>0.35</v>
      </c>
      <c r="M256" s="97">
        <v>0.35</v>
      </c>
      <c r="N256" s="97">
        <v>0.35</v>
      </c>
      <c r="O256" s="97">
        <v>0.35</v>
      </c>
      <c r="P256" s="97">
        <v>0.35</v>
      </c>
      <c r="Q256" s="76"/>
      <c r="R256" s="76" t="s">
        <v>709</v>
      </c>
      <c r="S256" s="76" t="s">
        <v>709</v>
      </c>
      <c r="T256" s="76"/>
      <c r="U256" s="253">
        <f t="shared" si="70"/>
        <v>0.35</v>
      </c>
      <c r="V256" s="253">
        <f t="shared" si="70"/>
        <v>0.35</v>
      </c>
      <c r="W256" s="253">
        <f t="shared" si="70"/>
        <v>0.35</v>
      </c>
      <c r="X256" s="253">
        <f t="shared" si="70"/>
        <v>0.35</v>
      </c>
      <c r="Y256" s="253">
        <f t="shared" si="70"/>
        <v>0.35</v>
      </c>
      <c r="Z256" s="253">
        <f t="shared" si="70"/>
        <v>0.35</v>
      </c>
      <c r="AA256" s="253">
        <f t="shared" si="70"/>
        <v>0.35</v>
      </c>
      <c r="AB256" s="253">
        <f t="shared" si="70"/>
        <v>0.35</v>
      </c>
      <c r="AC256" s="253">
        <f t="shared" si="70"/>
        <v>0.35</v>
      </c>
      <c r="AD256" s="253">
        <f t="shared" si="70"/>
        <v>0.35</v>
      </c>
      <c r="AE256" s="253">
        <f t="shared" si="70"/>
        <v>0.35</v>
      </c>
      <c r="AF256" s="76"/>
      <c r="AG256" s="76"/>
      <c r="AH256" s="76"/>
      <c r="AI256" s="97">
        <v>1</v>
      </c>
      <c r="AJ256" s="97">
        <v>1</v>
      </c>
      <c r="AK256" s="73"/>
      <c r="AL256" s="57"/>
      <c r="AM256" s="45"/>
      <c r="AN256" s="45"/>
      <c r="AO256" s="45"/>
    </row>
    <row r="257" spans="1:41" hidden="1" outlineLevel="2" x14ac:dyDescent="0.25">
      <c r="A257" s="45"/>
      <c r="B257" s="54"/>
      <c r="C257" s="47">
        <f t="shared" si="69"/>
        <v>3</v>
      </c>
      <c r="D257" s="73"/>
      <c r="E257" s="70"/>
      <c r="F257" s="70" t="s">
        <v>720</v>
      </c>
      <c r="G257" s="73"/>
      <c r="H257" s="76" t="s">
        <v>721</v>
      </c>
      <c r="I257" s="96" t="s">
        <v>497</v>
      </c>
      <c r="J257" s="96"/>
      <c r="K257" s="97">
        <v>0.1</v>
      </c>
      <c r="L257" s="97">
        <v>0.1</v>
      </c>
      <c r="M257" s="97">
        <v>0.1</v>
      </c>
      <c r="N257" s="97">
        <v>0.1</v>
      </c>
      <c r="O257" s="97">
        <v>0.1</v>
      </c>
      <c r="P257" s="97">
        <v>0.1</v>
      </c>
      <c r="Q257" s="76"/>
      <c r="R257" s="76" t="s">
        <v>667</v>
      </c>
      <c r="S257" s="76" t="s">
        <v>709</v>
      </c>
      <c r="T257" s="76"/>
      <c r="U257" s="253">
        <f t="shared" si="70"/>
        <v>0.1</v>
      </c>
      <c r="V257" s="253">
        <f t="shared" si="70"/>
        <v>0.1</v>
      </c>
      <c r="W257" s="253">
        <f t="shared" si="70"/>
        <v>0.1</v>
      </c>
      <c r="X257" s="253">
        <f t="shared" si="70"/>
        <v>0.1</v>
      </c>
      <c r="Y257" s="253">
        <f t="shared" si="70"/>
        <v>0.1</v>
      </c>
      <c r="Z257" s="253">
        <f t="shared" si="70"/>
        <v>0.1</v>
      </c>
      <c r="AA257" s="253">
        <f t="shared" si="70"/>
        <v>0.1</v>
      </c>
      <c r="AB257" s="253">
        <f t="shared" si="70"/>
        <v>0.1</v>
      </c>
      <c r="AC257" s="253">
        <f t="shared" si="70"/>
        <v>0.1</v>
      </c>
      <c r="AD257" s="253">
        <f t="shared" si="70"/>
        <v>0.1</v>
      </c>
      <c r="AE257" s="253">
        <f t="shared" si="70"/>
        <v>0.1</v>
      </c>
      <c r="AF257" s="76"/>
      <c r="AG257" s="76"/>
      <c r="AH257" s="76"/>
      <c r="AI257" s="97">
        <v>1</v>
      </c>
      <c r="AJ257" s="97">
        <v>1</v>
      </c>
      <c r="AK257" s="73"/>
      <c r="AL257" s="57"/>
      <c r="AM257" s="45"/>
      <c r="AN257" s="45"/>
      <c r="AO257" s="45"/>
    </row>
    <row r="258" spans="1:41" outlineLevel="1" collapsed="1" x14ac:dyDescent="0.25">
      <c r="A258" s="45"/>
      <c r="B258" s="54"/>
      <c r="C258" s="47">
        <f>INT($C$29)+1</f>
        <v>2</v>
      </c>
      <c r="D258" s="73"/>
      <c r="E258" s="70"/>
      <c r="F258" s="256" t="s">
        <v>722</v>
      </c>
      <c r="G258" s="73"/>
      <c r="H258" s="246" t="s">
        <v>723</v>
      </c>
      <c r="I258" s="96"/>
      <c r="J258" s="96" t="s">
        <v>514</v>
      </c>
      <c r="K258" s="79">
        <v>10</v>
      </c>
      <c r="L258" s="76"/>
      <c r="M258" s="79">
        <v>0</v>
      </c>
      <c r="N258" s="76"/>
      <c r="O258" s="76"/>
      <c r="P258" s="76"/>
      <c r="Q258" s="76"/>
      <c r="R258" s="76"/>
      <c r="S258" s="76"/>
      <c r="T258" s="76"/>
      <c r="U258" s="76"/>
      <c r="V258" s="76"/>
      <c r="W258" s="76"/>
      <c r="X258" s="76"/>
      <c r="Y258" s="76"/>
      <c r="Z258" s="76"/>
      <c r="AA258" s="76"/>
      <c r="AB258" s="76"/>
      <c r="AC258" s="76"/>
      <c r="AD258" s="76"/>
      <c r="AE258" s="76"/>
      <c r="AF258" s="76"/>
      <c r="AG258" s="76"/>
      <c r="AH258" s="76"/>
      <c r="AI258" s="76"/>
      <c r="AJ258" s="76"/>
      <c r="AK258" s="73"/>
      <c r="AL258" s="57"/>
      <c r="AM258" s="45"/>
      <c r="AN258" s="45"/>
      <c r="AO258" s="45"/>
    </row>
    <row r="259" spans="1:41" hidden="1" outlineLevel="3" x14ac:dyDescent="0.25">
      <c r="A259" s="45"/>
      <c r="B259" s="54"/>
      <c r="C259" s="47">
        <f>INT($C$29)+3</f>
        <v>4</v>
      </c>
      <c r="D259" s="73"/>
      <c r="E259" s="70" t="s">
        <v>724</v>
      </c>
      <c r="F259" s="70" t="s">
        <v>725</v>
      </c>
      <c r="G259" s="73"/>
      <c r="H259" s="76" t="s">
        <v>491</v>
      </c>
      <c r="I259" s="96"/>
      <c r="J259" s="96"/>
      <c r="K259" s="76"/>
      <c r="L259" s="76"/>
      <c r="M259" s="76"/>
      <c r="N259" s="76"/>
      <c r="O259" s="76"/>
      <c r="P259" s="76"/>
      <c r="Q259" s="76"/>
      <c r="R259" s="76"/>
      <c r="S259" s="76"/>
      <c r="T259" s="76"/>
      <c r="U259" s="76"/>
      <c r="V259" s="76"/>
      <c r="W259" s="76"/>
      <c r="X259" s="76"/>
      <c r="Y259" s="76"/>
      <c r="Z259" s="76"/>
      <c r="AA259" s="76"/>
      <c r="AB259" s="76"/>
      <c r="AC259" s="76"/>
      <c r="AD259" s="76"/>
      <c r="AE259" s="76"/>
      <c r="AF259" s="76"/>
      <c r="AG259" s="76"/>
      <c r="AH259" s="76"/>
      <c r="AI259" s="76">
        <v>1</v>
      </c>
      <c r="AJ259" s="76">
        <v>1</v>
      </c>
      <c r="AK259" s="73"/>
      <c r="AL259" s="57"/>
      <c r="AM259" s="45"/>
      <c r="AN259" s="45"/>
      <c r="AO259" s="45"/>
    </row>
    <row r="260" spans="1:41" hidden="1" outlineLevel="2" x14ac:dyDescent="0.25">
      <c r="A260" s="45"/>
      <c r="B260" s="54"/>
      <c r="C260" s="47">
        <f t="shared" ref="C260:C268" si="71">INT($C$29)+2</f>
        <v>3</v>
      </c>
      <c r="D260" s="73"/>
      <c r="E260" s="70"/>
      <c r="F260" s="70" t="s">
        <v>726</v>
      </c>
      <c r="G260" s="73"/>
      <c r="H260" s="76" t="s">
        <v>727</v>
      </c>
      <c r="I260" s="96" t="s">
        <v>497</v>
      </c>
      <c r="J260" s="96"/>
      <c r="K260" s="97">
        <v>0.05</v>
      </c>
      <c r="L260" s="97">
        <v>0.05</v>
      </c>
      <c r="M260" s="97">
        <v>0.05</v>
      </c>
      <c r="N260" s="97">
        <v>0.05</v>
      </c>
      <c r="O260" s="97">
        <v>0.05</v>
      </c>
      <c r="P260" s="97">
        <v>0.05</v>
      </c>
      <c r="Q260" s="76"/>
      <c r="R260" s="76" t="s">
        <v>728</v>
      </c>
      <c r="S260" s="76" t="s">
        <v>728</v>
      </c>
      <c r="T260" s="76"/>
      <c r="U260" s="253">
        <f t="shared" ref="U260:AE268" si="72">INDEX($K260:$Q260,1,U$43)</f>
        <v>0.05</v>
      </c>
      <c r="V260" s="253">
        <f t="shared" si="72"/>
        <v>0.05</v>
      </c>
      <c r="W260" s="253">
        <f t="shared" si="72"/>
        <v>0.05</v>
      </c>
      <c r="X260" s="253">
        <f t="shared" si="72"/>
        <v>0.05</v>
      </c>
      <c r="Y260" s="253">
        <f t="shared" si="72"/>
        <v>0.05</v>
      </c>
      <c r="Z260" s="253">
        <f t="shared" si="72"/>
        <v>0.05</v>
      </c>
      <c r="AA260" s="253">
        <f t="shared" si="72"/>
        <v>0.05</v>
      </c>
      <c r="AB260" s="253">
        <f t="shared" si="72"/>
        <v>0.05</v>
      </c>
      <c r="AC260" s="253">
        <f t="shared" si="72"/>
        <v>0.05</v>
      </c>
      <c r="AD260" s="253">
        <f t="shared" si="72"/>
        <v>0.05</v>
      </c>
      <c r="AE260" s="253">
        <f t="shared" si="72"/>
        <v>0.05</v>
      </c>
      <c r="AF260" s="76"/>
      <c r="AG260" s="76"/>
      <c r="AH260" s="76"/>
      <c r="AI260" s="97">
        <v>1</v>
      </c>
      <c r="AJ260" s="97">
        <v>1</v>
      </c>
      <c r="AK260" s="73"/>
      <c r="AL260" s="57"/>
      <c r="AM260" s="45"/>
      <c r="AN260" s="45"/>
      <c r="AO260" s="45"/>
    </row>
    <row r="261" spans="1:41" hidden="1" outlineLevel="2" x14ac:dyDescent="0.25">
      <c r="A261" s="45"/>
      <c r="B261" s="54"/>
      <c r="C261" s="47">
        <f t="shared" si="71"/>
        <v>3</v>
      </c>
      <c r="D261" s="73"/>
      <c r="E261" s="70"/>
      <c r="F261" s="70" t="s">
        <v>729</v>
      </c>
      <c r="G261" s="73"/>
      <c r="H261" s="76" t="s">
        <v>730</v>
      </c>
      <c r="I261" s="96" t="s">
        <v>497</v>
      </c>
      <c r="J261" s="96"/>
      <c r="K261" s="97">
        <v>0.85</v>
      </c>
      <c r="L261" s="97">
        <v>0.85</v>
      </c>
      <c r="M261" s="97">
        <v>0.85</v>
      </c>
      <c r="N261" s="97">
        <v>0.85</v>
      </c>
      <c r="O261" s="97">
        <v>0.85</v>
      </c>
      <c r="P261" s="97">
        <v>0.85</v>
      </c>
      <c r="Q261" s="76"/>
      <c r="R261" s="76" t="s">
        <v>728</v>
      </c>
      <c r="S261" s="76" t="s">
        <v>728</v>
      </c>
      <c r="T261" s="76"/>
      <c r="U261" s="253">
        <f t="shared" si="72"/>
        <v>0.85</v>
      </c>
      <c r="V261" s="253">
        <f t="shared" si="72"/>
        <v>0.85</v>
      </c>
      <c r="W261" s="253">
        <f t="shared" si="72"/>
        <v>0.85</v>
      </c>
      <c r="X261" s="253">
        <f t="shared" si="72"/>
        <v>0.85</v>
      </c>
      <c r="Y261" s="253">
        <f t="shared" si="72"/>
        <v>0.85</v>
      </c>
      <c r="Z261" s="253">
        <f t="shared" si="72"/>
        <v>0.85</v>
      </c>
      <c r="AA261" s="253">
        <f t="shared" si="72"/>
        <v>0.85</v>
      </c>
      <c r="AB261" s="253">
        <f t="shared" si="72"/>
        <v>0.85</v>
      </c>
      <c r="AC261" s="253">
        <f t="shared" si="72"/>
        <v>0.85</v>
      </c>
      <c r="AD261" s="253">
        <f t="shared" si="72"/>
        <v>0.85</v>
      </c>
      <c r="AE261" s="253">
        <f t="shared" si="72"/>
        <v>0.85</v>
      </c>
      <c r="AF261" s="76"/>
      <c r="AG261" s="76"/>
      <c r="AH261" s="76"/>
      <c r="AI261" s="97">
        <v>1</v>
      </c>
      <c r="AJ261" s="97">
        <v>1</v>
      </c>
      <c r="AK261" s="73"/>
      <c r="AL261" s="57"/>
      <c r="AM261" s="45"/>
      <c r="AN261" s="45"/>
      <c r="AO261" s="45"/>
    </row>
    <row r="262" spans="1:41" hidden="1" outlineLevel="2" x14ac:dyDescent="0.25">
      <c r="A262" s="45"/>
      <c r="B262" s="54"/>
      <c r="C262" s="47">
        <f t="shared" si="71"/>
        <v>3</v>
      </c>
      <c r="D262" s="73"/>
      <c r="E262" s="70"/>
      <c r="F262" s="70" t="s">
        <v>731</v>
      </c>
      <c r="G262" s="73"/>
      <c r="H262" s="76" t="s">
        <v>732</v>
      </c>
      <c r="I262" s="96" t="s">
        <v>497</v>
      </c>
      <c r="J262" s="96"/>
      <c r="K262" s="97">
        <v>5.5</v>
      </c>
      <c r="L262" s="97">
        <v>5.5</v>
      </c>
      <c r="M262" s="97">
        <v>5.5</v>
      </c>
      <c r="N262" s="97">
        <v>5.5</v>
      </c>
      <c r="O262" s="97">
        <v>5.5</v>
      </c>
      <c r="P262" s="97">
        <v>5.5</v>
      </c>
      <c r="Q262" s="76"/>
      <c r="R262" s="76" t="s">
        <v>728</v>
      </c>
      <c r="S262" s="76" t="s">
        <v>728</v>
      </c>
      <c r="T262" s="76"/>
      <c r="U262" s="253">
        <f t="shared" si="72"/>
        <v>5.5</v>
      </c>
      <c r="V262" s="253">
        <f t="shared" si="72"/>
        <v>5.5</v>
      </c>
      <c r="W262" s="253">
        <f t="shared" si="72"/>
        <v>5.5</v>
      </c>
      <c r="X262" s="253">
        <f t="shared" si="72"/>
        <v>5.5</v>
      </c>
      <c r="Y262" s="253">
        <f t="shared" si="72"/>
        <v>5.5</v>
      </c>
      <c r="Z262" s="253">
        <f t="shared" si="72"/>
        <v>5.5</v>
      </c>
      <c r="AA262" s="253">
        <f t="shared" si="72"/>
        <v>5.5</v>
      </c>
      <c r="AB262" s="253">
        <f t="shared" si="72"/>
        <v>5.5</v>
      </c>
      <c r="AC262" s="253">
        <f t="shared" si="72"/>
        <v>5.5</v>
      </c>
      <c r="AD262" s="253">
        <f t="shared" si="72"/>
        <v>5.5</v>
      </c>
      <c r="AE262" s="253">
        <f t="shared" si="72"/>
        <v>5.5</v>
      </c>
      <c r="AF262" s="76"/>
      <c r="AG262" s="76"/>
      <c r="AH262" s="76"/>
      <c r="AI262" s="97">
        <v>1</v>
      </c>
      <c r="AJ262" s="97">
        <v>1</v>
      </c>
      <c r="AK262" s="73"/>
      <c r="AL262" s="57"/>
      <c r="AM262" s="45"/>
      <c r="AN262" s="45"/>
      <c r="AO262" s="45"/>
    </row>
    <row r="263" spans="1:41" hidden="1" outlineLevel="2" x14ac:dyDescent="0.25">
      <c r="A263" s="45"/>
      <c r="B263" s="54"/>
      <c r="C263" s="47">
        <f t="shared" si="71"/>
        <v>3</v>
      </c>
      <c r="D263" s="73"/>
      <c r="E263" s="70"/>
      <c r="F263" s="70" t="s">
        <v>733</v>
      </c>
      <c r="G263" s="73"/>
      <c r="H263" s="76" t="s">
        <v>734</v>
      </c>
      <c r="I263" s="96" t="s">
        <v>497</v>
      </c>
      <c r="J263" s="96"/>
      <c r="K263" s="97">
        <v>0.17799999999999999</v>
      </c>
      <c r="L263" s="97">
        <v>0.17799999999999999</v>
      </c>
      <c r="M263" s="97">
        <v>0.17799999999999999</v>
      </c>
      <c r="N263" s="97">
        <v>0.17799999999999999</v>
      </c>
      <c r="O263" s="97">
        <v>0.17799999999999999</v>
      </c>
      <c r="P263" s="97">
        <v>0.17799999999999999</v>
      </c>
      <c r="Q263" s="76"/>
      <c r="R263" s="76" t="s">
        <v>728</v>
      </c>
      <c r="S263" s="76" t="s">
        <v>728</v>
      </c>
      <c r="T263" s="76"/>
      <c r="U263" s="253">
        <f t="shared" si="72"/>
        <v>0.17799999999999999</v>
      </c>
      <c r="V263" s="253">
        <f t="shared" si="72"/>
        <v>0.17799999999999999</v>
      </c>
      <c r="W263" s="253">
        <f t="shared" si="72"/>
        <v>0.17799999999999999</v>
      </c>
      <c r="X263" s="253">
        <f t="shared" si="72"/>
        <v>0.17799999999999999</v>
      </c>
      <c r="Y263" s="253">
        <f t="shared" si="72"/>
        <v>0.17799999999999999</v>
      </c>
      <c r="Z263" s="253">
        <f t="shared" si="72"/>
        <v>0.17799999999999999</v>
      </c>
      <c r="AA263" s="253">
        <f t="shared" si="72"/>
        <v>0.17799999999999999</v>
      </c>
      <c r="AB263" s="253">
        <f t="shared" si="72"/>
        <v>0.17799999999999999</v>
      </c>
      <c r="AC263" s="253">
        <f t="shared" si="72"/>
        <v>0.17799999999999999</v>
      </c>
      <c r="AD263" s="253">
        <f t="shared" si="72"/>
        <v>0.17799999999999999</v>
      </c>
      <c r="AE263" s="253">
        <f t="shared" si="72"/>
        <v>0.17799999999999999</v>
      </c>
      <c r="AF263" s="76"/>
      <c r="AG263" s="76"/>
      <c r="AH263" s="76"/>
      <c r="AI263" s="97">
        <v>1</v>
      </c>
      <c r="AJ263" s="97">
        <v>1</v>
      </c>
      <c r="AK263" s="73"/>
      <c r="AL263" s="57"/>
      <c r="AM263" s="45"/>
      <c r="AN263" s="45"/>
      <c r="AO263" s="45"/>
    </row>
    <row r="264" spans="1:41" hidden="1" outlineLevel="2" x14ac:dyDescent="0.25">
      <c r="A264" s="45"/>
      <c r="B264" s="54"/>
      <c r="C264" s="47">
        <f t="shared" si="71"/>
        <v>3</v>
      </c>
      <c r="D264" s="73"/>
      <c r="E264" s="70"/>
      <c r="F264" s="70" t="s">
        <v>735</v>
      </c>
      <c r="G264" s="73"/>
      <c r="H264" s="76" t="s">
        <v>736</v>
      </c>
      <c r="I264" s="96" t="s">
        <v>569</v>
      </c>
      <c r="J264" s="96"/>
      <c r="K264" s="97">
        <v>0.92</v>
      </c>
      <c r="L264" s="97">
        <v>0.92</v>
      </c>
      <c r="M264" s="97">
        <v>0.92</v>
      </c>
      <c r="N264" s="97">
        <v>0.92</v>
      </c>
      <c r="O264" s="97">
        <v>0.92</v>
      </c>
      <c r="P264" s="97">
        <v>0.92</v>
      </c>
      <c r="Q264" s="76"/>
      <c r="R264" s="76" t="s">
        <v>622</v>
      </c>
      <c r="S264" s="76" t="s">
        <v>622</v>
      </c>
      <c r="T264" s="76"/>
      <c r="U264" s="253">
        <f t="shared" si="72"/>
        <v>0.92</v>
      </c>
      <c r="V264" s="253">
        <f t="shared" si="72"/>
        <v>0.92</v>
      </c>
      <c r="W264" s="253">
        <f t="shared" si="72"/>
        <v>0.92</v>
      </c>
      <c r="X264" s="253">
        <f t="shared" si="72"/>
        <v>0.92</v>
      </c>
      <c r="Y264" s="253">
        <f t="shared" si="72"/>
        <v>0.92</v>
      </c>
      <c r="Z264" s="253">
        <f t="shared" si="72"/>
        <v>0.92</v>
      </c>
      <c r="AA264" s="253">
        <f t="shared" si="72"/>
        <v>0.92</v>
      </c>
      <c r="AB264" s="253">
        <f t="shared" si="72"/>
        <v>0.92</v>
      </c>
      <c r="AC264" s="253">
        <f t="shared" si="72"/>
        <v>0.92</v>
      </c>
      <c r="AD264" s="253">
        <f t="shared" si="72"/>
        <v>0.92</v>
      </c>
      <c r="AE264" s="253">
        <f t="shared" si="72"/>
        <v>0.92</v>
      </c>
      <c r="AF264" s="76"/>
      <c r="AG264" s="76"/>
      <c r="AH264" s="76"/>
      <c r="AI264" s="97">
        <v>1</v>
      </c>
      <c r="AJ264" s="97">
        <v>1</v>
      </c>
      <c r="AK264" s="73"/>
      <c r="AL264" s="57"/>
      <c r="AM264" s="45"/>
      <c r="AN264" s="45"/>
      <c r="AO264" s="45"/>
    </row>
    <row r="265" spans="1:41" hidden="1" outlineLevel="2" x14ac:dyDescent="0.25">
      <c r="A265" s="45"/>
      <c r="B265" s="54"/>
      <c r="C265" s="47">
        <f t="shared" si="71"/>
        <v>3</v>
      </c>
      <c r="D265" s="73"/>
      <c r="E265" s="70"/>
      <c r="F265" s="70" t="s">
        <v>737</v>
      </c>
      <c r="G265" s="73"/>
      <c r="H265" s="76" t="s">
        <v>738</v>
      </c>
      <c r="I265" s="96" t="s">
        <v>497</v>
      </c>
      <c r="J265" s="96"/>
      <c r="K265" s="97">
        <v>1</v>
      </c>
      <c r="L265" s="97">
        <v>1</v>
      </c>
      <c r="M265" s="97">
        <v>1</v>
      </c>
      <c r="N265" s="97">
        <v>1</v>
      </c>
      <c r="O265" s="97">
        <v>1</v>
      </c>
      <c r="P265" s="97">
        <v>1</v>
      </c>
      <c r="Q265" s="76"/>
      <c r="R265" s="76" t="s">
        <v>682</v>
      </c>
      <c r="S265" s="76" t="s">
        <v>682</v>
      </c>
      <c r="T265" s="76"/>
      <c r="U265" s="253">
        <f t="shared" si="72"/>
        <v>1</v>
      </c>
      <c r="V265" s="253">
        <f t="shared" si="72"/>
        <v>1</v>
      </c>
      <c r="W265" s="253">
        <f t="shared" si="72"/>
        <v>1</v>
      </c>
      <c r="X265" s="253">
        <f t="shared" si="72"/>
        <v>1</v>
      </c>
      <c r="Y265" s="253">
        <f t="shared" si="72"/>
        <v>1</v>
      </c>
      <c r="Z265" s="253">
        <f t="shared" si="72"/>
        <v>1</v>
      </c>
      <c r="AA265" s="253">
        <f t="shared" si="72"/>
        <v>1</v>
      </c>
      <c r="AB265" s="253">
        <f t="shared" si="72"/>
        <v>1</v>
      </c>
      <c r="AC265" s="253">
        <f t="shared" si="72"/>
        <v>1</v>
      </c>
      <c r="AD265" s="253">
        <f t="shared" si="72"/>
        <v>1</v>
      </c>
      <c r="AE265" s="253">
        <f t="shared" si="72"/>
        <v>1</v>
      </c>
      <c r="AF265" s="76"/>
      <c r="AG265" s="76"/>
      <c r="AH265" s="76"/>
      <c r="AI265" s="97">
        <v>1</v>
      </c>
      <c r="AJ265" s="97">
        <v>1</v>
      </c>
      <c r="AK265" s="73"/>
      <c r="AL265" s="57"/>
      <c r="AM265" s="45"/>
      <c r="AN265" s="45"/>
      <c r="AO265" s="45"/>
    </row>
    <row r="266" spans="1:41" hidden="1" outlineLevel="2" x14ac:dyDescent="0.25">
      <c r="A266" s="45"/>
      <c r="B266" s="54"/>
      <c r="C266" s="47">
        <f t="shared" si="71"/>
        <v>3</v>
      </c>
      <c r="D266" s="73"/>
      <c r="E266" s="70"/>
      <c r="F266" s="70" t="s">
        <v>739</v>
      </c>
      <c r="G266" s="73"/>
      <c r="H266" s="76" t="s">
        <v>740</v>
      </c>
      <c r="I266" s="96" t="s">
        <v>497</v>
      </c>
      <c r="J266" s="96"/>
      <c r="K266" s="97">
        <v>0.6</v>
      </c>
      <c r="L266" s="97">
        <v>0.6</v>
      </c>
      <c r="M266" s="97">
        <v>0.6</v>
      </c>
      <c r="N266" s="97">
        <v>0.6</v>
      </c>
      <c r="O266" s="97">
        <v>0.6</v>
      </c>
      <c r="P266" s="97">
        <v>0.6</v>
      </c>
      <c r="Q266" s="76"/>
      <c r="R266" s="76" t="s">
        <v>682</v>
      </c>
      <c r="S266" s="76" t="s">
        <v>682</v>
      </c>
      <c r="T266" s="76"/>
      <c r="U266" s="253">
        <f t="shared" si="72"/>
        <v>0.6</v>
      </c>
      <c r="V266" s="253">
        <f t="shared" si="72"/>
        <v>0.6</v>
      </c>
      <c r="W266" s="253">
        <f t="shared" si="72"/>
        <v>0.6</v>
      </c>
      <c r="X266" s="253">
        <f t="shared" si="72"/>
        <v>0.6</v>
      </c>
      <c r="Y266" s="253">
        <f t="shared" si="72"/>
        <v>0.6</v>
      </c>
      <c r="Z266" s="253">
        <f t="shared" si="72"/>
        <v>0.6</v>
      </c>
      <c r="AA266" s="253">
        <f t="shared" si="72"/>
        <v>0.6</v>
      </c>
      <c r="AB266" s="253">
        <f t="shared" si="72"/>
        <v>0.6</v>
      </c>
      <c r="AC266" s="253">
        <f t="shared" si="72"/>
        <v>0.6</v>
      </c>
      <c r="AD266" s="253">
        <f t="shared" si="72"/>
        <v>0.6</v>
      </c>
      <c r="AE266" s="253">
        <f t="shared" si="72"/>
        <v>0.6</v>
      </c>
      <c r="AF266" s="76"/>
      <c r="AG266" s="76"/>
      <c r="AH266" s="76"/>
      <c r="AI266" s="97">
        <v>1</v>
      </c>
      <c r="AJ266" s="97">
        <v>1</v>
      </c>
      <c r="AK266" s="73"/>
      <c r="AL266" s="57"/>
      <c r="AM266" s="45"/>
      <c r="AN266" s="45"/>
      <c r="AO266" s="45"/>
    </row>
    <row r="267" spans="1:41" hidden="1" outlineLevel="2" x14ac:dyDescent="0.25">
      <c r="A267" s="45"/>
      <c r="B267" s="54"/>
      <c r="C267" s="47">
        <f t="shared" si="71"/>
        <v>3</v>
      </c>
      <c r="D267" s="73"/>
      <c r="E267" s="70"/>
      <c r="F267" s="70" t="s">
        <v>741</v>
      </c>
      <c r="G267" s="73"/>
      <c r="H267" s="76" t="s">
        <v>742</v>
      </c>
      <c r="I267" s="96" t="s">
        <v>497</v>
      </c>
      <c r="J267" s="96"/>
      <c r="K267" s="97">
        <v>0.25</v>
      </c>
      <c r="L267" s="97">
        <v>0.25</v>
      </c>
      <c r="M267" s="97">
        <v>0.25</v>
      </c>
      <c r="N267" s="97">
        <v>0.25</v>
      </c>
      <c r="O267" s="97">
        <v>0.25</v>
      </c>
      <c r="P267" s="97">
        <v>0.25</v>
      </c>
      <c r="Q267" s="76"/>
      <c r="R267" s="76" t="s">
        <v>682</v>
      </c>
      <c r="S267" s="76" t="s">
        <v>682</v>
      </c>
      <c r="T267" s="76"/>
      <c r="U267" s="253">
        <f t="shared" si="72"/>
        <v>0.25</v>
      </c>
      <c r="V267" s="253">
        <f t="shared" si="72"/>
        <v>0.25</v>
      </c>
      <c r="W267" s="253">
        <f t="shared" si="72"/>
        <v>0.25</v>
      </c>
      <c r="X267" s="253">
        <f t="shared" si="72"/>
        <v>0.25</v>
      </c>
      <c r="Y267" s="253">
        <f t="shared" si="72"/>
        <v>0.25</v>
      </c>
      <c r="Z267" s="253">
        <f t="shared" si="72"/>
        <v>0.25</v>
      </c>
      <c r="AA267" s="253">
        <f t="shared" si="72"/>
        <v>0.25</v>
      </c>
      <c r="AB267" s="253">
        <f t="shared" si="72"/>
        <v>0.25</v>
      </c>
      <c r="AC267" s="253">
        <f t="shared" si="72"/>
        <v>0.25</v>
      </c>
      <c r="AD267" s="253">
        <f t="shared" si="72"/>
        <v>0.25</v>
      </c>
      <c r="AE267" s="253">
        <f t="shared" si="72"/>
        <v>0.25</v>
      </c>
      <c r="AF267" s="76"/>
      <c r="AG267" s="76"/>
      <c r="AH267" s="76"/>
      <c r="AI267" s="97">
        <v>1</v>
      </c>
      <c r="AJ267" s="97">
        <v>1</v>
      </c>
      <c r="AK267" s="73"/>
      <c r="AL267" s="57"/>
      <c r="AM267" s="45"/>
      <c r="AN267" s="45"/>
      <c r="AO267" s="45"/>
    </row>
    <row r="268" spans="1:41" hidden="1" outlineLevel="2" x14ac:dyDescent="0.25">
      <c r="A268" s="45"/>
      <c r="B268" s="54"/>
      <c r="C268" s="47">
        <f t="shared" si="71"/>
        <v>3</v>
      </c>
      <c r="D268" s="73"/>
      <c r="E268" s="70"/>
      <c r="F268" s="70" t="s">
        <v>743</v>
      </c>
      <c r="G268" s="73"/>
      <c r="H268" s="76" t="s">
        <v>744</v>
      </c>
      <c r="I268" s="96" t="s">
        <v>497</v>
      </c>
      <c r="J268" s="96"/>
      <c r="K268" s="97">
        <v>0.9</v>
      </c>
      <c r="L268" s="97">
        <v>0.9</v>
      </c>
      <c r="M268" s="97">
        <v>0.9</v>
      </c>
      <c r="N268" s="97">
        <v>0.9</v>
      </c>
      <c r="O268" s="97">
        <v>0.9</v>
      </c>
      <c r="P268" s="97">
        <v>0.9</v>
      </c>
      <c r="Q268" s="76"/>
      <c r="R268" s="76" t="s">
        <v>745</v>
      </c>
      <c r="S268" s="76" t="s">
        <v>745</v>
      </c>
      <c r="T268" s="76"/>
      <c r="U268" s="253">
        <f t="shared" si="72"/>
        <v>0.9</v>
      </c>
      <c r="V268" s="253">
        <f t="shared" si="72"/>
        <v>0.9</v>
      </c>
      <c r="W268" s="253">
        <f t="shared" si="72"/>
        <v>0.9</v>
      </c>
      <c r="X268" s="253">
        <f t="shared" si="72"/>
        <v>0.9</v>
      </c>
      <c r="Y268" s="253">
        <f t="shared" si="72"/>
        <v>0.9</v>
      </c>
      <c r="Z268" s="253">
        <f t="shared" si="72"/>
        <v>0.9</v>
      </c>
      <c r="AA268" s="253">
        <f t="shared" si="72"/>
        <v>0.9</v>
      </c>
      <c r="AB268" s="253">
        <f t="shared" si="72"/>
        <v>0.9</v>
      </c>
      <c r="AC268" s="253">
        <f t="shared" si="72"/>
        <v>0.9</v>
      </c>
      <c r="AD268" s="253">
        <f t="shared" si="72"/>
        <v>0.9</v>
      </c>
      <c r="AE268" s="253">
        <f t="shared" si="72"/>
        <v>0.9</v>
      </c>
      <c r="AF268" s="76"/>
      <c r="AG268" s="76"/>
      <c r="AH268" s="76"/>
      <c r="AI268" s="97">
        <v>1</v>
      </c>
      <c r="AJ268" s="97">
        <v>1</v>
      </c>
      <c r="AK268" s="73"/>
      <c r="AL268" s="57"/>
      <c r="AM268" s="45"/>
      <c r="AN268" s="45"/>
      <c r="AO268" s="45"/>
    </row>
    <row r="269" spans="1:41" outlineLevel="1" collapsed="1" x14ac:dyDescent="0.25">
      <c r="A269" s="45"/>
      <c r="B269" s="54"/>
      <c r="C269" s="47">
        <f>INT($C$29)+1</f>
        <v>2</v>
      </c>
      <c r="D269" s="73"/>
      <c r="E269" s="70"/>
      <c r="F269" s="256" t="s">
        <v>746</v>
      </c>
      <c r="G269" s="73"/>
      <c r="H269" s="246" t="s">
        <v>747</v>
      </c>
      <c r="I269" s="96"/>
      <c r="J269" s="96" t="s">
        <v>514</v>
      </c>
      <c r="K269" s="79">
        <f>COUNTA($F$269:$F$289)-1</f>
        <v>20</v>
      </c>
      <c r="L269" s="76"/>
      <c r="M269" s="79">
        <v>0</v>
      </c>
      <c r="N269" s="76"/>
      <c r="O269" s="76"/>
      <c r="P269" s="76"/>
      <c r="Q269" s="76"/>
      <c r="R269" s="76"/>
      <c r="S269" s="76"/>
      <c r="T269" s="76"/>
      <c r="U269" s="76"/>
      <c r="V269" s="76"/>
      <c r="W269" s="76"/>
      <c r="X269" s="76"/>
      <c r="Y269" s="76"/>
      <c r="Z269" s="76"/>
      <c r="AA269" s="76"/>
      <c r="AB269" s="76"/>
      <c r="AC269" s="76"/>
      <c r="AD269" s="76"/>
      <c r="AE269" s="76"/>
      <c r="AF269" s="76"/>
      <c r="AG269" s="76"/>
      <c r="AH269" s="76"/>
      <c r="AI269" s="76"/>
      <c r="AJ269" s="76"/>
      <c r="AK269" s="73"/>
      <c r="AL269" s="57"/>
      <c r="AM269" s="45"/>
      <c r="AN269" s="45"/>
      <c r="AO269" s="45"/>
    </row>
    <row r="270" spans="1:41" hidden="1" outlineLevel="2" x14ac:dyDescent="0.25">
      <c r="A270" s="45"/>
      <c r="B270" s="54"/>
      <c r="C270" s="47">
        <f>INT($C$29)+3</f>
        <v>4</v>
      </c>
      <c r="D270" s="73"/>
      <c r="E270" s="70" t="s">
        <v>748</v>
      </c>
      <c r="F270" s="70" t="s">
        <v>749</v>
      </c>
      <c r="G270" s="73"/>
      <c r="H270" s="76" t="s">
        <v>750</v>
      </c>
      <c r="I270" s="96" t="s">
        <v>526</v>
      </c>
      <c r="J270" s="96"/>
      <c r="K270" s="97">
        <v>90</v>
      </c>
      <c r="L270" s="97">
        <v>90</v>
      </c>
      <c r="M270" s="97">
        <v>0</v>
      </c>
      <c r="N270" s="97">
        <v>0</v>
      </c>
      <c r="O270" s="97">
        <v>0</v>
      </c>
      <c r="P270" s="97">
        <v>0</v>
      </c>
      <c r="Q270" s="76"/>
      <c r="R270" s="76" t="s">
        <v>751</v>
      </c>
      <c r="S270" s="76"/>
      <c r="T270" s="76"/>
      <c r="U270" s="253">
        <f t="shared" ref="U270:AE283" si="73">INDEX($K270:$Q270,1,U$43)</f>
        <v>90</v>
      </c>
      <c r="V270" s="253">
        <f t="shared" si="73"/>
        <v>90</v>
      </c>
      <c r="W270" s="253">
        <f t="shared" si="73"/>
        <v>90</v>
      </c>
      <c r="X270" s="253">
        <f t="shared" si="73"/>
        <v>90</v>
      </c>
      <c r="Y270" s="253">
        <f t="shared" si="73"/>
        <v>90</v>
      </c>
      <c r="Z270" s="253">
        <f t="shared" si="73"/>
        <v>90</v>
      </c>
      <c r="AA270" s="253">
        <f t="shared" si="73"/>
        <v>90</v>
      </c>
      <c r="AB270" s="253">
        <f t="shared" si="73"/>
        <v>90</v>
      </c>
      <c r="AC270" s="253">
        <f t="shared" si="73"/>
        <v>90</v>
      </c>
      <c r="AD270" s="253">
        <f t="shared" si="73"/>
        <v>90</v>
      </c>
      <c r="AE270" s="253">
        <f t="shared" si="73"/>
        <v>90</v>
      </c>
      <c r="AF270" s="76"/>
      <c r="AG270" s="76"/>
      <c r="AH270" s="76"/>
      <c r="AI270" s="97">
        <v>1</v>
      </c>
      <c r="AJ270" s="97">
        <v>1</v>
      </c>
      <c r="AK270" s="73"/>
      <c r="AL270" s="57"/>
      <c r="AM270" s="45"/>
      <c r="AN270" s="45"/>
      <c r="AO270" s="45"/>
    </row>
    <row r="271" spans="1:41" hidden="1" outlineLevel="2" x14ac:dyDescent="0.25">
      <c r="A271" s="45"/>
      <c r="B271" s="54"/>
      <c r="C271" s="47">
        <f t="shared" ref="C271:C283" si="74">INT($C$29)+2</f>
        <v>3</v>
      </c>
      <c r="D271" s="73"/>
      <c r="E271" s="70"/>
      <c r="F271" s="70" t="s">
        <v>752</v>
      </c>
      <c r="G271" s="73"/>
      <c r="H271" s="76" t="s">
        <v>753</v>
      </c>
      <c r="I271" s="96" t="s">
        <v>526</v>
      </c>
      <c r="J271" s="96"/>
      <c r="K271" s="97">
        <v>150</v>
      </c>
      <c r="L271" s="97">
        <v>150</v>
      </c>
      <c r="M271" s="97">
        <v>285</v>
      </c>
      <c r="N271" s="97">
        <v>285</v>
      </c>
      <c r="O271" s="97">
        <v>285</v>
      </c>
      <c r="P271" s="97">
        <v>285</v>
      </c>
      <c r="Q271" s="76"/>
      <c r="R271" s="76" t="s">
        <v>754</v>
      </c>
      <c r="S271" s="76" t="s">
        <v>754</v>
      </c>
      <c r="T271" s="76"/>
      <c r="U271" s="253">
        <f t="shared" si="73"/>
        <v>150</v>
      </c>
      <c r="V271" s="253">
        <f t="shared" si="73"/>
        <v>150</v>
      </c>
      <c r="W271" s="253">
        <f t="shared" si="73"/>
        <v>150</v>
      </c>
      <c r="X271" s="253">
        <f t="shared" si="73"/>
        <v>150</v>
      </c>
      <c r="Y271" s="253">
        <f t="shared" si="73"/>
        <v>150</v>
      </c>
      <c r="Z271" s="253">
        <f t="shared" si="73"/>
        <v>150</v>
      </c>
      <c r="AA271" s="253">
        <f t="shared" si="73"/>
        <v>150</v>
      </c>
      <c r="AB271" s="253">
        <f t="shared" si="73"/>
        <v>150</v>
      </c>
      <c r="AC271" s="253">
        <f t="shared" si="73"/>
        <v>150</v>
      </c>
      <c r="AD271" s="253">
        <f t="shared" si="73"/>
        <v>150</v>
      </c>
      <c r="AE271" s="253">
        <f t="shared" si="73"/>
        <v>150</v>
      </c>
      <c r="AF271" s="76"/>
      <c r="AG271" s="76"/>
      <c r="AH271" s="76"/>
      <c r="AI271" s="97">
        <v>1</v>
      </c>
      <c r="AJ271" s="97">
        <v>1</v>
      </c>
      <c r="AK271" s="73"/>
      <c r="AL271" s="57"/>
      <c r="AM271" s="45"/>
      <c r="AN271" s="45"/>
      <c r="AO271" s="45"/>
    </row>
    <row r="272" spans="1:41" hidden="1" outlineLevel="2" x14ac:dyDescent="0.25">
      <c r="A272" s="45"/>
      <c r="B272" s="54"/>
      <c r="C272" s="47">
        <f t="shared" si="74"/>
        <v>3</v>
      </c>
      <c r="D272" s="73"/>
      <c r="E272" s="70"/>
      <c r="F272" s="70" t="s">
        <v>755</v>
      </c>
      <c r="G272" s="73"/>
      <c r="H272" s="76" t="s">
        <v>756</v>
      </c>
      <c r="I272" s="96" t="s">
        <v>497</v>
      </c>
      <c r="J272" s="96"/>
      <c r="K272" s="97">
        <v>1.304</v>
      </c>
      <c r="L272" s="97">
        <v>1.304</v>
      </c>
      <c r="M272" s="97">
        <v>2.2000000000000002</v>
      </c>
      <c r="N272" s="97">
        <v>2.2000000000000002</v>
      </c>
      <c r="O272" s="97">
        <v>2.2000000000000002</v>
      </c>
      <c r="P272" s="97">
        <v>2.2000000000000002</v>
      </c>
      <c r="Q272" s="76"/>
      <c r="R272" s="76" t="s">
        <v>754</v>
      </c>
      <c r="S272" s="76" t="s">
        <v>754</v>
      </c>
      <c r="T272" s="76"/>
      <c r="U272" s="253">
        <f t="shared" si="73"/>
        <v>1.304</v>
      </c>
      <c r="V272" s="253">
        <f t="shared" si="73"/>
        <v>1.304</v>
      </c>
      <c r="W272" s="253">
        <f t="shared" si="73"/>
        <v>1.304</v>
      </c>
      <c r="X272" s="253">
        <f t="shared" si="73"/>
        <v>1.304</v>
      </c>
      <c r="Y272" s="253">
        <f t="shared" si="73"/>
        <v>1.304</v>
      </c>
      <c r="Z272" s="253">
        <f t="shared" si="73"/>
        <v>1.304</v>
      </c>
      <c r="AA272" s="253">
        <f t="shared" si="73"/>
        <v>1.304</v>
      </c>
      <c r="AB272" s="253">
        <f t="shared" si="73"/>
        <v>1.304</v>
      </c>
      <c r="AC272" s="253">
        <f t="shared" si="73"/>
        <v>1.304</v>
      </c>
      <c r="AD272" s="253">
        <f t="shared" si="73"/>
        <v>1.304</v>
      </c>
      <c r="AE272" s="253">
        <f t="shared" si="73"/>
        <v>1.304</v>
      </c>
      <c r="AF272" s="76"/>
      <c r="AG272" s="76"/>
      <c r="AH272" s="76"/>
      <c r="AI272" s="97">
        <v>1</v>
      </c>
      <c r="AJ272" s="97">
        <v>1</v>
      </c>
      <c r="AK272" s="73"/>
      <c r="AL272" s="57"/>
      <c r="AM272" s="45"/>
      <c r="AN272" s="45"/>
      <c r="AO272" s="45"/>
    </row>
    <row r="273" spans="1:41" hidden="1" outlineLevel="2" x14ac:dyDescent="0.25">
      <c r="A273" s="45"/>
      <c r="B273" s="54"/>
      <c r="C273" s="47">
        <f t="shared" si="74"/>
        <v>3</v>
      </c>
      <c r="D273" s="73"/>
      <c r="E273" s="70"/>
      <c r="F273" s="70" t="s">
        <v>757</v>
      </c>
      <c r="G273" s="73"/>
      <c r="H273" s="76" t="s">
        <v>756</v>
      </c>
      <c r="I273" s="96" t="s">
        <v>497</v>
      </c>
      <c r="J273" s="96"/>
      <c r="K273" s="97">
        <v>2.625</v>
      </c>
      <c r="L273" s="97">
        <v>2.625</v>
      </c>
      <c r="M273" s="97">
        <v>1.77</v>
      </c>
      <c r="N273" s="97">
        <v>1.77</v>
      </c>
      <c r="O273" s="97">
        <v>1.77</v>
      </c>
      <c r="P273" s="97">
        <v>1.77</v>
      </c>
      <c r="Q273" s="76"/>
      <c r="R273" s="76" t="s">
        <v>754</v>
      </c>
      <c r="S273" s="76" t="s">
        <v>754</v>
      </c>
      <c r="T273" s="76"/>
      <c r="U273" s="253">
        <f t="shared" si="73"/>
        <v>2.625</v>
      </c>
      <c r="V273" s="253">
        <f t="shared" si="73"/>
        <v>2.625</v>
      </c>
      <c r="W273" s="253">
        <f t="shared" si="73"/>
        <v>2.625</v>
      </c>
      <c r="X273" s="253">
        <f t="shared" si="73"/>
        <v>2.625</v>
      </c>
      <c r="Y273" s="253">
        <f t="shared" si="73"/>
        <v>2.625</v>
      </c>
      <c r="Z273" s="253">
        <f t="shared" si="73"/>
        <v>2.625</v>
      </c>
      <c r="AA273" s="253">
        <f t="shared" si="73"/>
        <v>2.625</v>
      </c>
      <c r="AB273" s="253">
        <f t="shared" si="73"/>
        <v>2.625</v>
      </c>
      <c r="AC273" s="253">
        <f t="shared" si="73"/>
        <v>2.625</v>
      </c>
      <c r="AD273" s="253">
        <f t="shared" si="73"/>
        <v>2.625</v>
      </c>
      <c r="AE273" s="253">
        <f t="shared" si="73"/>
        <v>2.625</v>
      </c>
      <c r="AF273" s="76"/>
      <c r="AG273" s="76"/>
      <c r="AH273" s="76"/>
      <c r="AI273" s="97">
        <v>1</v>
      </c>
      <c r="AJ273" s="97">
        <v>1</v>
      </c>
      <c r="AK273" s="73"/>
      <c r="AL273" s="57"/>
      <c r="AM273" s="45"/>
      <c r="AN273" s="45"/>
      <c r="AO273" s="45"/>
    </row>
    <row r="274" spans="1:41" hidden="1" outlineLevel="2" x14ac:dyDescent="0.25">
      <c r="A274" s="45"/>
      <c r="B274" s="54"/>
      <c r="C274" s="47">
        <f t="shared" si="74"/>
        <v>3</v>
      </c>
      <c r="D274" s="73"/>
      <c r="E274" s="70"/>
      <c r="F274" s="70" t="s">
        <v>758</v>
      </c>
      <c r="G274" s="73"/>
      <c r="H274" s="76" t="s">
        <v>759</v>
      </c>
      <c r="I274" s="96" t="s">
        <v>497</v>
      </c>
      <c r="J274" s="96"/>
      <c r="K274" s="97">
        <v>0.33</v>
      </c>
      <c r="L274" s="97">
        <v>0.33</v>
      </c>
      <c r="M274" s="97">
        <v>0.33</v>
      </c>
      <c r="N274" s="97">
        <v>0.33</v>
      </c>
      <c r="O274" s="97">
        <v>0.33</v>
      </c>
      <c r="P274" s="97">
        <v>0.33</v>
      </c>
      <c r="Q274" s="76"/>
      <c r="R274" s="76" t="s">
        <v>754</v>
      </c>
      <c r="S274" s="76" t="s">
        <v>754</v>
      </c>
      <c r="T274" s="76"/>
      <c r="U274" s="253">
        <f t="shared" si="73"/>
        <v>0.33</v>
      </c>
      <c r="V274" s="253">
        <f t="shared" si="73"/>
        <v>0.33</v>
      </c>
      <c r="W274" s="253">
        <f t="shared" si="73"/>
        <v>0.33</v>
      </c>
      <c r="X274" s="253">
        <f t="shared" si="73"/>
        <v>0.33</v>
      </c>
      <c r="Y274" s="253">
        <f t="shared" si="73"/>
        <v>0.33</v>
      </c>
      <c r="Z274" s="253">
        <f t="shared" si="73"/>
        <v>0.33</v>
      </c>
      <c r="AA274" s="253">
        <f t="shared" si="73"/>
        <v>0.33</v>
      </c>
      <c r="AB274" s="253">
        <f t="shared" si="73"/>
        <v>0.33</v>
      </c>
      <c r="AC274" s="253">
        <f t="shared" si="73"/>
        <v>0.33</v>
      </c>
      <c r="AD274" s="253">
        <f t="shared" si="73"/>
        <v>0.33</v>
      </c>
      <c r="AE274" s="253">
        <f t="shared" si="73"/>
        <v>0.33</v>
      </c>
      <c r="AF274" s="76"/>
      <c r="AG274" s="76"/>
      <c r="AH274" s="76"/>
      <c r="AI274" s="97">
        <v>1</v>
      </c>
      <c r="AJ274" s="97">
        <v>1</v>
      </c>
      <c r="AK274" s="73"/>
      <c r="AL274" s="57"/>
      <c r="AM274" s="45"/>
      <c r="AN274" s="45"/>
      <c r="AO274" s="45"/>
    </row>
    <row r="275" spans="1:41" hidden="1" outlineLevel="2" x14ac:dyDescent="0.25">
      <c r="A275" s="45"/>
      <c r="B275" s="54"/>
      <c r="C275" s="47">
        <f t="shared" si="74"/>
        <v>3</v>
      </c>
      <c r="D275" s="73"/>
      <c r="E275" s="70"/>
      <c r="F275" s="70" t="s">
        <v>760</v>
      </c>
      <c r="G275" s="73"/>
      <c r="H275" s="76" t="s">
        <v>761</v>
      </c>
      <c r="I275" s="96" t="s">
        <v>762</v>
      </c>
      <c r="J275" s="96"/>
      <c r="K275" s="97">
        <v>1.43</v>
      </c>
      <c r="L275" s="97">
        <v>1.43</v>
      </c>
      <c r="M275" s="97">
        <v>1.8</v>
      </c>
      <c r="N275" s="97">
        <v>1.8</v>
      </c>
      <c r="O275" s="97">
        <v>1.8</v>
      </c>
      <c r="P275" s="97">
        <v>1.8</v>
      </c>
      <c r="Q275" s="76"/>
      <c r="R275" s="76" t="s">
        <v>754</v>
      </c>
      <c r="S275" s="76" t="s">
        <v>754</v>
      </c>
      <c r="T275" s="76"/>
      <c r="U275" s="253">
        <f t="shared" si="73"/>
        <v>1.43</v>
      </c>
      <c r="V275" s="253">
        <f t="shared" si="73"/>
        <v>1.43</v>
      </c>
      <c r="W275" s="253">
        <f t="shared" si="73"/>
        <v>1.43</v>
      </c>
      <c r="X275" s="253">
        <f t="shared" si="73"/>
        <v>1.43</v>
      </c>
      <c r="Y275" s="253">
        <f t="shared" si="73"/>
        <v>1.43</v>
      </c>
      <c r="Z275" s="253">
        <f t="shared" si="73"/>
        <v>1.43</v>
      </c>
      <c r="AA275" s="253">
        <f t="shared" si="73"/>
        <v>1.43</v>
      </c>
      <c r="AB275" s="253">
        <f t="shared" si="73"/>
        <v>1.43</v>
      </c>
      <c r="AC275" s="253">
        <f t="shared" si="73"/>
        <v>1.43</v>
      </c>
      <c r="AD275" s="253">
        <f t="shared" si="73"/>
        <v>1.43</v>
      </c>
      <c r="AE275" s="253">
        <f t="shared" si="73"/>
        <v>1.43</v>
      </c>
      <c r="AF275" s="76"/>
      <c r="AG275" s="76"/>
      <c r="AH275" s="76"/>
      <c r="AI275" s="97">
        <v>1</v>
      </c>
      <c r="AJ275" s="97">
        <v>1</v>
      </c>
      <c r="AK275" s="73"/>
      <c r="AL275" s="57"/>
      <c r="AM275" s="45"/>
      <c r="AN275" s="45"/>
      <c r="AO275" s="45"/>
    </row>
    <row r="276" spans="1:41" hidden="1" outlineLevel="2" x14ac:dyDescent="0.25">
      <c r="A276" s="45"/>
      <c r="B276" s="54"/>
      <c r="C276" s="47">
        <f t="shared" si="74"/>
        <v>3</v>
      </c>
      <c r="D276" s="73"/>
      <c r="E276" s="70"/>
      <c r="F276" s="70" t="s">
        <v>763</v>
      </c>
      <c r="G276" s="73"/>
      <c r="H276" s="76" t="s">
        <v>764</v>
      </c>
      <c r="I276" s="96" t="s">
        <v>497</v>
      </c>
      <c r="J276" s="96"/>
      <c r="K276" s="97">
        <v>3.38</v>
      </c>
      <c r="L276" s="97">
        <v>3.38</v>
      </c>
      <c r="M276" s="97">
        <v>2.42</v>
      </c>
      <c r="N276" s="97">
        <v>2.42</v>
      </c>
      <c r="O276" s="97">
        <v>2.42</v>
      </c>
      <c r="P276" s="97">
        <v>2.42</v>
      </c>
      <c r="Q276" s="76"/>
      <c r="R276" s="76" t="s">
        <v>754</v>
      </c>
      <c r="S276" s="76" t="s">
        <v>754</v>
      </c>
      <c r="T276" s="76"/>
      <c r="U276" s="253">
        <f t="shared" si="73"/>
        <v>3.38</v>
      </c>
      <c r="V276" s="253">
        <f t="shared" si="73"/>
        <v>3.38</v>
      </c>
      <c r="W276" s="253">
        <f t="shared" si="73"/>
        <v>3.38</v>
      </c>
      <c r="X276" s="253">
        <f t="shared" si="73"/>
        <v>3.38</v>
      </c>
      <c r="Y276" s="253">
        <f t="shared" si="73"/>
        <v>3.38</v>
      </c>
      <c r="Z276" s="253">
        <f t="shared" si="73"/>
        <v>3.38</v>
      </c>
      <c r="AA276" s="253">
        <f t="shared" si="73"/>
        <v>3.38</v>
      </c>
      <c r="AB276" s="253">
        <f t="shared" si="73"/>
        <v>3.38</v>
      </c>
      <c r="AC276" s="253">
        <f t="shared" si="73"/>
        <v>3.38</v>
      </c>
      <c r="AD276" s="253">
        <f t="shared" si="73"/>
        <v>3.38</v>
      </c>
      <c r="AE276" s="253">
        <f t="shared" si="73"/>
        <v>3.38</v>
      </c>
      <c r="AF276" s="76"/>
      <c r="AG276" s="76"/>
      <c r="AH276" s="76"/>
      <c r="AI276" s="97">
        <v>1</v>
      </c>
      <c r="AJ276" s="97">
        <v>1</v>
      </c>
      <c r="AK276" s="73"/>
      <c r="AL276" s="57"/>
      <c r="AM276" s="45"/>
      <c r="AN276" s="45"/>
      <c r="AO276" s="45"/>
    </row>
    <row r="277" spans="1:41" hidden="1" outlineLevel="2" x14ac:dyDescent="0.25">
      <c r="A277" s="45"/>
      <c r="B277" s="54"/>
      <c r="C277" s="47">
        <f t="shared" si="74"/>
        <v>3</v>
      </c>
      <c r="D277" s="73"/>
      <c r="E277" s="70"/>
      <c r="F277" s="70" t="s">
        <v>765</v>
      </c>
      <c r="G277" s="73"/>
      <c r="H277" s="76" t="s">
        <v>766</v>
      </c>
      <c r="I277" s="96" t="s">
        <v>497</v>
      </c>
      <c r="J277" s="96"/>
      <c r="K277" s="97">
        <v>0.91</v>
      </c>
      <c r="L277" s="97">
        <v>0.91</v>
      </c>
      <c r="M277" s="97">
        <v>1.1599999999999999</v>
      </c>
      <c r="N277" s="97">
        <v>1.1599999999999999</v>
      </c>
      <c r="O277" s="97">
        <v>1.1599999999999999</v>
      </c>
      <c r="P277" s="97">
        <v>1.1599999999999999</v>
      </c>
      <c r="Q277" s="76"/>
      <c r="R277" s="76" t="s">
        <v>754</v>
      </c>
      <c r="S277" s="76" t="s">
        <v>754</v>
      </c>
      <c r="T277" s="76"/>
      <c r="U277" s="253">
        <f t="shared" si="73"/>
        <v>0.91</v>
      </c>
      <c r="V277" s="253">
        <f t="shared" si="73"/>
        <v>0.91</v>
      </c>
      <c r="W277" s="253">
        <f t="shared" si="73"/>
        <v>0.91</v>
      </c>
      <c r="X277" s="253">
        <f t="shared" si="73"/>
        <v>0.91</v>
      </c>
      <c r="Y277" s="253">
        <f t="shared" si="73"/>
        <v>0.91</v>
      </c>
      <c r="Z277" s="253">
        <f t="shared" si="73"/>
        <v>0.91</v>
      </c>
      <c r="AA277" s="253">
        <f t="shared" si="73"/>
        <v>0.91</v>
      </c>
      <c r="AB277" s="253">
        <f t="shared" si="73"/>
        <v>0.91</v>
      </c>
      <c r="AC277" s="253">
        <f t="shared" si="73"/>
        <v>0.91</v>
      </c>
      <c r="AD277" s="253">
        <f t="shared" si="73"/>
        <v>0.91</v>
      </c>
      <c r="AE277" s="253">
        <f t="shared" si="73"/>
        <v>0.91</v>
      </c>
      <c r="AF277" s="76"/>
      <c r="AG277" s="76"/>
      <c r="AH277" s="76"/>
      <c r="AI277" s="97">
        <v>1</v>
      </c>
      <c r="AJ277" s="97">
        <v>1</v>
      </c>
      <c r="AK277" s="73"/>
      <c r="AL277" s="57"/>
      <c r="AM277" s="45"/>
      <c r="AN277" s="45"/>
      <c r="AO277" s="45"/>
    </row>
    <row r="278" spans="1:41" hidden="1" outlineLevel="2" x14ac:dyDescent="0.25">
      <c r="A278" s="45"/>
      <c r="B278" s="54"/>
      <c r="C278" s="47">
        <f t="shared" si="74"/>
        <v>3</v>
      </c>
      <c r="D278" s="73"/>
      <c r="E278" s="70"/>
      <c r="F278" s="70" t="s">
        <v>767</v>
      </c>
      <c r="G278" s="73"/>
      <c r="H278" s="76" t="s">
        <v>768</v>
      </c>
      <c r="I278" s="96" t="s">
        <v>769</v>
      </c>
      <c r="J278" s="96"/>
      <c r="K278" s="97">
        <v>4.33</v>
      </c>
      <c r="L278" s="97">
        <v>4.33</v>
      </c>
      <c r="M278" s="97">
        <v>4.1100000000000003</v>
      </c>
      <c r="N278" s="97">
        <v>4.1100000000000003</v>
      </c>
      <c r="O278" s="97">
        <v>4.1100000000000003</v>
      </c>
      <c r="P278" s="97">
        <v>4.1100000000000003</v>
      </c>
      <c r="Q278" s="76"/>
      <c r="R278" s="76" t="s">
        <v>754</v>
      </c>
      <c r="S278" s="76" t="s">
        <v>754</v>
      </c>
      <c r="T278" s="76"/>
      <c r="U278" s="253">
        <f t="shared" si="73"/>
        <v>4.33</v>
      </c>
      <c r="V278" s="253">
        <f t="shared" si="73"/>
        <v>4.33</v>
      </c>
      <c r="W278" s="253">
        <f t="shared" si="73"/>
        <v>4.33</v>
      </c>
      <c r="X278" s="253">
        <f t="shared" si="73"/>
        <v>4.33</v>
      </c>
      <c r="Y278" s="253">
        <f t="shared" si="73"/>
        <v>4.33</v>
      </c>
      <c r="Z278" s="253">
        <f t="shared" si="73"/>
        <v>4.33</v>
      </c>
      <c r="AA278" s="253">
        <f t="shared" si="73"/>
        <v>4.33</v>
      </c>
      <c r="AB278" s="253">
        <f t="shared" si="73"/>
        <v>4.33</v>
      </c>
      <c r="AC278" s="253">
        <f t="shared" si="73"/>
        <v>4.33</v>
      </c>
      <c r="AD278" s="253">
        <f t="shared" si="73"/>
        <v>4.33</v>
      </c>
      <c r="AE278" s="253">
        <f t="shared" si="73"/>
        <v>4.33</v>
      </c>
      <c r="AF278" s="76"/>
      <c r="AG278" s="76"/>
      <c r="AH278" s="76"/>
      <c r="AI278" s="97">
        <v>1</v>
      </c>
      <c r="AJ278" s="97">
        <v>1</v>
      </c>
      <c r="AK278" s="73"/>
      <c r="AL278" s="57"/>
      <c r="AM278" s="45"/>
      <c r="AN278" s="45"/>
      <c r="AO278" s="45"/>
    </row>
    <row r="279" spans="1:41" hidden="1" outlineLevel="2" x14ac:dyDescent="0.25">
      <c r="A279" s="45"/>
      <c r="B279" s="54"/>
      <c r="C279" s="47">
        <f t="shared" si="74"/>
        <v>3</v>
      </c>
      <c r="D279" s="73"/>
      <c r="E279" s="70"/>
      <c r="F279" s="70" t="s">
        <v>770</v>
      </c>
      <c r="G279" s="73"/>
      <c r="H279" s="76" t="s">
        <v>771</v>
      </c>
      <c r="I279" s="96" t="s">
        <v>497</v>
      </c>
      <c r="J279" s="96"/>
      <c r="K279" s="97">
        <v>4.37</v>
      </c>
      <c r="L279" s="97">
        <v>4.37</v>
      </c>
      <c r="M279" s="97">
        <v>343.5</v>
      </c>
      <c r="N279" s="97">
        <v>343.5</v>
      </c>
      <c r="O279" s="97">
        <v>343.5</v>
      </c>
      <c r="P279" s="97">
        <v>343.5</v>
      </c>
      <c r="Q279" s="76"/>
      <c r="R279" s="76" t="s">
        <v>754</v>
      </c>
      <c r="S279" s="76" t="s">
        <v>754</v>
      </c>
      <c r="T279" s="76"/>
      <c r="U279" s="253">
        <f t="shared" si="73"/>
        <v>4.37</v>
      </c>
      <c r="V279" s="253">
        <f t="shared" si="73"/>
        <v>4.37</v>
      </c>
      <c r="W279" s="253">
        <f t="shared" si="73"/>
        <v>4.37</v>
      </c>
      <c r="X279" s="253">
        <f t="shared" si="73"/>
        <v>4.37</v>
      </c>
      <c r="Y279" s="253">
        <f t="shared" si="73"/>
        <v>4.37</v>
      </c>
      <c r="Z279" s="253">
        <f t="shared" si="73"/>
        <v>4.37</v>
      </c>
      <c r="AA279" s="253">
        <f t="shared" si="73"/>
        <v>4.37</v>
      </c>
      <c r="AB279" s="253">
        <f t="shared" si="73"/>
        <v>4.37</v>
      </c>
      <c r="AC279" s="253">
        <f t="shared" si="73"/>
        <v>4.37</v>
      </c>
      <c r="AD279" s="253">
        <f t="shared" si="73"/>
        <v>4.37</v>
      </c>
      <c r="AE279" s="253">
        <f t="shared" si="73"/>
        <v>4.37</v>
      </c>
      <c r="AF279" s="76"/>
      <c r="AG279" s="76"/>
      <c r="AH279" s="76"/>
      <c r="AI279" s="97">
        <v>1</v>
      </c>
      <c r="AJ279" s="97">
        <v>1</v>
      </c>
      <c r="AK279" s="73"/>
      <c r="AL279" s="57"/>
      <c r="AM279" s="45"/>
      <c r="AN279" s="45"/>
      <c r="AO279" s="45"/>
    </row>
    <row r="280" spans="1:41" hidden="1" outlineLevel="2" x14ac:dyDescent="0.25">
      <c r="A280" s="45"/>
      <c r="B280" s="54"/>
      <c r="C280" s="47">
        <f t="shared" si="74"/>
        <v>3</v>
      </c>
      <c r="D280" s="73"/>
      <c r="E280" s="70"/>
      <c r="F280" s="70" t="s">
        <v>772</v>
      </c>
      <c r="G280" s="73"/>
      <c r="H280" s="76" t="s">
        <v>773</v>
      </c>
      <c r="I280" s="96" t="s">
        <v>497</v>
      </c>
      <c r="J280" s="96"/>
      <c r="K280" s="97">
        <v>0.96499999999999997</v>
      </c>
      <c r="L280" s="97">
        <v>0.96499999999999997</v>
      </c>
      <c r="M280" s="97">
        <v>1.6400000000000001E-2</v>
      </c>
      <c r="N280" s="97">
        <v>1.6400000000000001E-2</v>
      </c>
      <c r="O280" s="97">
        <v>1.6400000000000001E-2</v>
      </c>
      <c r="P280" s="97">
        <v>1.6400000000000001E-2</v>
      </c>
      <c r="Q280" s="76"/>
      <c r="R280" s="76" t="s">
        <v>754</v>
      </c>
      <c r="S280" s="76" t="s">
        <v>754</v>
      </c>
      <c r="T280" s="76"/>
      <c r="U280" s="253">
        <f t="shared" si="73"/>
        <v>0.96499999999999997</v>
      </c>
      <c r="V280" s="253">
        <f t="shared" si="73"/>
        <v>0.96499999999999997</v>
      </c>
      <c r="W280" s="253">
        <f t="shared" si="73"/>
        <v>0.96499999999999997</v>
      </c>
      <c r="X280" s="253">
        <f t="shared" si="73"/>
        <v>0.96499999999999997</v>
      </c>
      <c r="Y280" s="253">
        <f t="shared" si="73"/>
        <v>0.96499999999999997</v>
      </c>
      <c r="Z280" s="253">
        <f t="shared" si="73"/>
        <v>0.96499999999999997</v>
      </c>
      <c r="AA280" s="253">
        <f t="shared" si="73"/>
        <v>0.96499999999999997</v>
      </c>
      <c r="AB280" s="253">
        <f t="shared" si="73"/>
        <v>0.96499999999999997</v>
      </c>
      <c r="AC280" s="253">
        <f t="shared" si="73"/>
        <v>0.96499999999999997</v>
      </c>
      <c r="AD280" s="253">
        <f t="shared" si="73"/>
        <v>0.96499999999999997</v>
      </c>
      <c r="AE280" s="253">
        <f t="shared" si="73"/>
        <v>0.96499999999999997</v>
      </c>
      <c r="AF280" s="76"/>
      <c r="AG280" s="76"/>
      <c r="AH280" s="76"/>
      <c r="AI280" s="97">
        <v>1</v>
      </c>
      <c r="AJ280" s="97">
        <v>1</v>
      </c>
      <c r="AK280" s="73"/>
      <c r="AL280" s="57"/>
      <c r="AM280" s="45"/>
      <c r="AN280" s="45"/>
      <c r="AO280" s="45"/>
    </row>
    <row r="281" spans="1:41" hidden="1" outlineLevel="2" x14ac:dyDescent="0.25">
      <c r="A281" s="45"/>
      <c r="B281" s="54"/>
      <c r="C281" s="47">
        <f t="shared" si="74"/>
        <v>3</v>
      </c>
      <c r="D281" s="73"/>
      <c r="E281" s="70"/>
      <c r="F281" s="70" t="s">
        <v>774</v>
      </c>
      <c r="G281" s="73"/>
      <c r="H281" s="76" t="s">
        <v>775</v>
      </c>
      <c r="I281" s="96" t="s">
        <v>762</v>
      </c>
      <c r="J281" s="96"/>
      <c r="K281" s="97">
        <v>0.14499999999999999</v>
      </c>
      <c r="L281" s="97">
        <v>0.14499999999999999</v>
      </c>
      <c r="M281" s="97">
        <v>0.13400000000000001</v>
      </c>
      <c r="N281" s="97">
        <v>0.13400000000000001</v>
      </c>
      <c r="O281" s="97">
        <v>0.13400000000000001</v>
      </c>
      <c r="P281" s="97">
        <v>0.13400000000000001</v>
      </c>
      <c r="Q281" s="76"/>
      <c r="R281" s="76" t="s">
        <v>754</v>
      </c>
      <c r="S281" s="76" t="s">
        <v>754</v>
      </c>
      <c r="T281" s="76"/>
      <c r="U281" s="253">
        <f t="shared" si="73"/>
        <v>0.14499999999999999</v>
      </c>
      <c r="V281" s="253">
        <f t="shared" si="73"/>
        <v>0.14499999999999999</v>
      </c>
      <c r="W281" s="253">
        <f t="shared" si="73"/>
        <v>0.14499999999999999</v>
      </c>
      <c r="X281" s="253">
        <f t="shared" si="73"/>
        <v>0.14499999999999999</v>
      </c>
      <c r="Y281" s="253">
        <f t="shared" si="73"/>
        <v>0.14499999999999999</v>
      </c>
      <c r="Z281" s="253">
        <f t="shared" si="73"/>
        <v>0.14499999999999999</v>
      </c>
      <c r="AA281" s="253">
        <f t="shared" si="73"/>
        <v>0.14499999999999999</v>
      </c>
      <c r="AB281" s="253">
        <f t="shared" si="73"/>
        <v>0.14499999999999999</v>
      </c>
      <c r="AC281" s="253">
        <f t="shared" si="73"/>
        <v>0.14499999999999999</v>
      </c>
      <c r="AD281" s="253">
        <f t="shared" si="73"/>
        <v>0.14499999999999999</v>
      </c>
      <c r="AE281" s="253">
        <f t="shared" si="73"/>
        <v>0.14499999999999999</v>
      </c>
      <c r="AF281" s="76"/>
      <c r="AG281" s="76"/>
      <c r="AH281" s="76"/>
      <c r="AI281" s="97">
        <v>1</v>
      </c>
      <c r="AJ281" s="97">
        <v>1</v>
      </c>
      <c r="AK281" s="73"/>
      <c r="AL281" s="57"/>
      <c r="AM281" s="45"/>
      <c r="AN281" s="45"/>
      <c r="AO281" s="45"/>
    </row>
    <row r="282" spans="1:41" hidden="1" outlineLevel="2" x14ac:dyDescent="0.25">
      <c r="A282" s="45"/>
      <c r="B282" s="54"/>
      <c r="C282" s="47">
        <f t="shared" si="74"/>
        <v>3</v>
      </c>
      <c r="D282" s="73"/>
      <c r="E282" s="70"/>
      <c r="F282" s="70" t="s">
        <v>776</v>
      </c>
      <c r="G282" s="73"/>
      <c r="H282" s="76" t="s">
        <v>777</v>
      </c>
      <c r="I282" s="96" t="s">
        <v>497</v>
      </c>
      <c r="J282" s="96"/>
      <c r="K282" s="97">
        <v>4.5599999999999996</v>
      </c>
      <c r="L282" s="97">
        <v>4.5599999999999996</v>
      </c>
      <c r="M282" s="97">
        <v>6.22</v>
      </c>
      <c r="N282" s="97">
        <v>6.22</v>
      </c>
      <c r="O282" s="97">
        <v>6.22</v>
      </c>
      <c r="P282" s="97">
        <v>6.22</v>
      </c>
      <c r="Q282" s="76"/>
      <c r="R282" s="76" t="s">
        <v>754</v>
      </c>
      <c r="S282" s="76" t="s">
        <v>754</v>
      </c>
      <c r="T282" s="76"/>
      <c r="U282" s="253">
        <f t="shared" si="73"/>
        <v>4.5599999999999996</v>
      </c>
      <c r="V282" s="253">
        <f t="shared" si="73"/>
        <v>4.5599999999999996</v>
      </c>
      <c r="W282" s="253">
        <f t="shared" si="73"/>
        <v>4.5599999999999996</v>
      </c>
      <c r="X282" s="253">
        <f t="shared" si="73"/>
        <v>4.5599999999999996</v>
      </c>
      <c r="Y282" s="253">
        <f t="shared" si="73"/>
        <v>4.5599999999999996</v>
      </c>
      <c r="Z282" s="253">
        <f t="shared" si="73"/>
        <v>4.5599999999999996</v>
      </c>
      <c r="AA282" s="253">
        <f t="shared" si="73"/>
        <v>4.5599999999999996</v>
      </c>
      <c r="AB282" s="253">
        <f t="shared" si="73"/>
        <v>4.5599999999999996</v>
      </c>
      <c r="AC282" s="253">
        <f t="shared" si="73"/>
        <v>4.5599999999999996</v>
      </c>
      <c r="AD282" s="253">
        <f t="shared" si="73"/>
        <v>4.5599999999999996</v>
      </c>
      <c r="AE282" s="253">
        <f t="shared" si="73"/>
        <v>4.5599999999999996</v>
      </c>
      <c r="AF282" s="76"/>
      <c r="AG282" s="76"/>
      <c r="AH282" s="76"/>
      <c r="AI282" s="97">
        <v>1</v>
      </c>
      <c r="AJ282" s="97">
        <v>1</v>
      </c>
      <c r="AK282" s="73"/>
      <c r="AL282" s="57"/>
      <c r="AM282" s="45"/>
      <c r="AN282" s="45"/>
      <c r="AO282" s="45"/>
    </row>
    <row r="283" spans="1:41" hidden="1" outlineLevel="2" collapsed="1" x14ac:dyDescent="0.25">
      <c r="A283" s="45"/>
      <c r="B283" s="54"/>
      <c r="C283" s="47">
        <f t="shared" si="74"/>
        <v>3</v>
      </c>
      <c r="D283" s="73"/>
      <c r="E283" s="70"/>
      <c r="F283" s="70" t="s">
        <v>778</v>
      </c>
      <c r="G283" s="73"/>
      <c r="H283" s="76" t="s">
        <v>773</v>
      </c>
      <c r="I283" s="96" t="s">
        <v>524</v>
      </c>
      <c r="J283" s="96"/>
      <c r="K283" s="97">
        <v>0.9</v>
      </c>
      <c r="L283" s="97">
        <v>0.9</v>
      </c>
      <c r="M283" s="97">
        <v>0.747</v>
      </c>
      <c r="N283" s="97">
        <v>0.747</v>
      </c>
      <c r="O283" s="97">
        <v>0.747</v>
      </c>
      <c r="P283" s="97">
        <v>0.747</v>
      </c>
      <c r="Q283" s="76"/>
      <c r="R283" s="76" t="s">
        <v>754</v>
      </c>
      <c r="S283" s="76" t="s">
        <v>754</v>
      </c>
      <c r="T283" s="76"/>
      <c r="U283" s="253">
        <f t="shared" si="73"/>
        <v>0.9</v>
      </c>
      <c r="V283" s="253">
        <f t="shared" si="73"/>
        <v>0.9</v>
      </c>
      <c r="W283" s="253">
        <f t="shared" si="73"/>
        <v>0.9</v>
      </c>
      <c r="X283" s="253">
        <f t="shared" si="73"/>
        <v>0.9</v>
      </c>
      <c r="Y283" s="253">
        <f t="shared" si="73"/>
        <v>0.9</v>
      </c>
      <c r="Z283" s="253">
        <f t="shared" si="73"/>
        <v>0.9</v>
      </c>
      <c r="AA283" s="253">
        <f t="shared" si="73"/>
        <v>0.9</v>
      </c>
      <c r="AB283" s="253">
        <f t="shared" si="73"/>
        <v>0.9</v>
      </c>
      <c r="AC283" s="253">
        <f t="shared" si="73"/>
        <v>0.9</v>
      </c>
      <c r="AD283" s="253">
        <f t="shared" si="73"/>
        <v>0.9</v>
      </c>
      <c r="AE283" s="253">
        <f t="shared" si="73"/>
        <v>0.9</v>
      </c>
      <c r="AF283" s="76"/>
      <c r="AG283" s="76"/>
      <c r="AH283" s="76"/>
      <c r="AI283" s="97">
        <v>1</v>
      </c>
      <c r="AJ283" s="97">
        <v>1</v>
      </c>
      <c r="AK283" s="73"/>
      <c r="AL283" s="57"/>
      <c r="AM283" s="45"/>
      <c r="AN283" s="45"/>
      <c r="AO283" s="45"/>
    </row>
    <row r="284" spans="1:41" hidden="1" outlineLevel="3" x14ac:dyDescent="0.25">
      <c r="A284" s="45"/>
      <c r="B284" s="54"/>
      <c r="C284" s="47">
        <f t="shared" ref="C284:C289" si="75">INT($C$29)+3</f>
        <v>4</v>
      </c>
      <c r="D284" s="73"/>
      <c r="E284" s="70" t="s">
        <v>779</v>
      </c>
      <c r="F284" s="70" t="s">
        <v>780</v>
      </c>
      <c r="G284" s="73"/>
      <c r="H284" s="76" t="s">
        <v>781</v>
      </c>
      <c r="I284" s="96" t="s">
        <v>497</v>
      </c>
      <c r="J284" s="9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v>1</v>
      </c>
      <c r="AJ284" s="76">
        <v>1</v>
      </c>
      <c r="AK284" s="73"/>
      <c r="AL284" s="57"/>
      <c r="AM284" s="45"/>
      <c r="AN284" s="45"/>
      <c r="AO284" s="45"/>
    </row>
    <row r="285" spans="1:41" hidden="1" outlineLevel="2" x14ac:dyDescent="0.25">
      <c r="A285" s="45"/>
      <c r="B285" s="54"/>
      <c r="C285" s="47">
        <f t="shared" si="75"/>
        <v>4</v>
      </c>
      <c r="D285" s="73"/>
      <c r="E285" s="70" t="s">
        <v>782</v>
      </c>
      <c r="F285" s="70" t="s">
        <v>3259</v>
      </c>
      <c r="G285" s="73"/>
      <c r="H285" s="76" t="s">
        <v>3260</v>
      </c>
      <c r="I285" s="96" t="s">
        <v>497</v>
      </c>
      <c r="J285" s="96"/>
      <c r="K285" s="76"/>
      <c r="L285" s="76"/>
      <c r="M285" s="76"/>
      <c r="N285" s="76"/>
      <c r="O285" s="76"/>
      <c r="P285" s="76"/>
      <c r="Q285" s="76"/>
      <c r="R285" s="76"/>
      <c r="S285" s="76"/>
      <c r="T285" s="76"/>
      <c r="U285" s="97">
        <v>1</v>
      </c>
      <c r="V285" s="97">
        <v>1</v>
      </c>
      <c r="W285" s="97">
        <v>1</v>
      </c>
      <c r="X285" s="97">
        <v>1</v>
      </c>
      <c r="Y285" s="97">
        <v>1</v>
      </c>
      <c r="Z285" s="97">
        <v>1</v>
      </c>
      <c r="AA285" s="97">
        <v>1</v>
      </c>
      <c r="AB285" s="97">
        <v>1</v>
      </c>
      <c r="AC285" s="97">
        <v>1</v>
      </c>
      <c r="AD285" s="97">
        <v>1</v>
      </c>
      <c r="AE285" s="97">
        <v>1</v>
      </c>
      <c r="AF285" s="76"/>
      <c r="AG285" s="97" t="s">
        <v>3261</v>
      </c>
      <c r="AH285" s="76"/>
      <c r="AI285" s="76">
        <v>1</v>
      </c>
      <c r="AJ285" s="76">
        <v>1</v>
      </c>
      <c r="AK285" s="73"/>
      <c r="AL285" s="57"/>
      <c r="AM285" s="45"/>
      <c r="AN285" s="45"/>
      <c r="AO285" s="45"/>
    </row>
    <row r="286" spans="1:41" hidden="1" outlineLevel="2" x14ac:dyDescent="0.25">
      <c r="A286" s="45"/>
      <c r="B286" s="54"/>
      <c r="C286" s="47">
        <f t="shared" si="75"/>
        <v>4</v>
      </c>
      <c r="D286" s="73"/>
      <c r="E286" s="70"/>
      <c r="F286" s="70" t="s">
        <v>2844</v>
      </c>
      <c r="G286" s="73"/>
      <c r="H286" s="76" t="s">
        <v>2847</v>
      </c>
      <c r="I286" s="96"/>
      <c r="J286" s="96"/>
      <c r="K286" s="97">
        <v>5.9630000000000001</v>
      </c>
      <c r="L286" s="97">
        <v>5.9630000000000001</v>
      </c>
      <c r="M286" s="97"/>
      <c r="N286" s="97"/>
      <c r="O286" s="97"/>
      <c r="P286" s="97"/>
      <c r="Q286" s="76"/>
      <c r="R286" s="76" t="s">
        <v>2850</v>
      </c>
      <c r="S286" s="76"/>
      <c r="T286" s="76"/>
      <c r="U286" s="253">
        <f t="shared" ref="U286:AE289" si="76">INDEX($K286:$Q286,1,U$43)</f>
        <v>5.9630000000000001</v>
      </c>
      <c r="V286" s="253">
        <f t="shared" si="76"/>
        <v>5.9630000000000001</v>
      </c>
      <c r="W286" s="253">
        <f t="shared" si="76"/>
        <v>5.9630000000000001</v>
      </c>
      <c r="X286" s="253">
        <f t="shared" si="76"/>
        <v>5.9630000000000001</v>
      </c>
      <c r="Y286" s="253">
        <f t="shared" si="76"/>
        <v>5.9630000000000001</v>
      </c>
      <c r="Z286" s="253">
        <f t="shared" si="76"/>
        <v>5.9630000000000001</v>
      </c>
      <c r="AA286" s="253">
        <f t="shared" si="76"/>
        <v>5.9630000000000001</v>
      </c>
      <c r="AB286" s="253">
        <f t="shared" si="76"/>
        <v>5.9630000000000001</v>
      </c>
      <c r="AC286" s="253">
        <f t="shared" si="76"/>
        <v>5.9630000000000001</v>
      </c>
      <c r="AD286" s="253">
        <f t="shared" si="76"/>
        <v>5.9630000000000001</v>
      </c>
      <c r="AE286" s="253">
        <f t="shared" si="76"/>
        <v>5.9630000000000001</v>
      </c>
      <c r="AF286" s="76"/>
      <c r="AG286" s="76"/>
      <c r="AH286" s="76"/>
      <c r="AI286" s="97">
        <v>1</v>
      </c>
      <c r="AJ286" s="97">
        <v>1</v>
      </c>
      <c r="AK286" s="73"/>
      <c r="AL286" s="57"/>
      <c r="AM286" s="45"/>
      <c r="AN286" s="45"/>
      <c r="AO286" s="45"/>
    </row>
    <row r="287" spans="1:41" hidden="1" outlineLevel="2" x14ac:dyDescent="0.25">
      <c r="A287" s="45"/>
      <c r="B287" s="54"/>
      <c r="C287" s="47">
        <f t="shared" si="75"/>
        <v>4</v>
      </c>
      <c r="D287" s="73"/>
      <c r="E287" s="70"/>
      <c r="F287" s="70" t="s">
        <v>2845</v>
      </c>
      <c r="G287" s="73"/>
      <c r="H287" s="76" t="s">
        <v>2848</v>
      </c>
      <c r="I287" s="96"/>
      <c r="J287" s="96"/>
      <c r="K287" s="97">
        <v>11.2</v>
      </c>
      <c r="L287" s="97">
        <v>11.2</v>
      </c>
      <c r="M287" s="97"/>
      <c r="N287" s="97"/>
      <c r="O287" s="97"/>
      <c r="P287" s="97"/>
      <c r="Q287" s="76"/>
      <c r="R287" s="76" t="s">
        <v>2850</v>
      </c>
      <c r="S287" s="76"/>
      <c r="T287" s="76"/>
      <c r="U287" s="253">
        <f t="shared" si="76"/>
        <v>11.2</v>
      </c>
      <c r="V287" s="253">
        <f t="shared" si="76"/>
        <v>11.2</v>
      </c>
      <c r="W287" s="253">
        <f t="shared" si="76"/>
        <v>11.2</v>
      </c>
      <c r="X287" s="253">
        <f t="shared" si="76"/>
        <v>11.2</v>
      </c>
      <c r="Y287" s="253">
        <f t="shared" si="76"/>
        <v>11.2</v>
      </c>
      <c r="Z287" s="253">
        <f t="shared" si="76"/>
        <v>11.2</v>
      </c>
      <c r="AA287" s="253">
        <f t="shared" si="76"/>
        <v>11.2</v>
      </c>
      <c r="AB287" s="253">
        <f t="shared" si="76"/>
        <v>11.2</v>
      </c>
      <c r="AC287" s="253">
        <f t="shared" si="76"/>
        <v>11.2</v>
      </c>
      <c r="AD287" s="253">
        <f t="shared" si="76"/>
        <v>11.2</v>
      </c>
      <c r="AE287" s="253">
        <f t="shared" si="76"/>
        <v>11.2</v>
      </c>
      <c r="AF287" s="76"/>
      <c r="AG287" s="76"/>
      <c r="AH287" s="76"/>
      <c r="AI287" s="97">
        <v>1</v>
      </c>
      <c r="AJ287" s="97">
        <v>1</v>
      </c>
      <c r="AK287" s="73"/>
      <c r="AL287" s="57"/>
      <c r="AM287" s="45"/>
      <c r="AN287" s="45"/>
      <c r="AO287" s="45"/>
    </row>
    <row r="288" spans="1:41" hidden="1" outlineLevel="2" x14ac:dyDescent="0.25">
      <c r="A288" s="45"/>
      <c r="B288" s="54"/>
      <c r="C288" s="47">
        <f t="shared" si="75"/>
        <v>4</v>
      </c>
      <c r="D288" s="73"/>
      <c r="E288" s="70"/>
      <c r="F288" s="70" t="s">
        <v>2846</v>
      </c>
      <c r="G288" s="73"/>
      <c r="H288" s="76" t="s">
        <v>2849</v>
      </c>
      <c r="I288" s="96"/>
      <c r="J288" s="96"/>
      <c r="K288" s="97">
        <v>9.4500000000000001E-3</v>
      </c>
      <c r="L288" s="97">
        <v>9.4500000000000001E-3</v>
      </c>
      <c r="M288" s="97"/>
      <c r="N288" s="97"/>
      <c r="O288" s="97"/>
      <c r="P288" s="97"/>
      <c r="Q288" s="76"/>
      <c r="R288" s="76" t="s">
        <v>2850</v>
      </c>
      <c r="S288" s="76"/>
      <c r="T288" s="76"/>
      <c r="U288" s="253">
        <f t="shared" si="76"/>
        <v>9.4500000000000001E-3</v>
      </c>
      <c r="V288" s="253">
        <f t="shared" si="76"/>
        <v>9.4500000000000001E-3</v>
      </c>
      <c r="W288" s="253">
        <f t="shared" si="76"/>
        <v>9.4500000000000001E-3</v>
      </c>
      <c r="X288" s="253">
        <f t="shared" si="76"/>
        <v>9.4500000000000001E-3</v>
      </c>
      <c r="Y288" s="253">
        <f t="shared" si="76"/>
        <v>9.4500000000000001E-3</v>
      </c>
      <c r="Z288" s="253">
        <f t="shared" si="76"/>
        <v>9.4500000000000001E-3</v>
      </c>
      <c r="AA288" s="253">
        <f t="shared" si="76"/>
        <v>9.4500000000000001E-3</v>
      </c>
      <c r="AB288" s="253">
        <f t="shared" si="76"/>
        <v>9.4500000000000001E-3</v>
      </c>
      <c r="AC288" s="253">
        <f t="shared" si="76"/>
        <v>9.4500000000000001E-3</v>
      </c>
      <c r="AD288" s="253">
        <f t="shared" si="76"/>
        <v>9.4500000000000001E-3</v>
      </c>
      <c r="AE288" s="253">
        <f t="shared" si="76"/>
        <v>9.4500000000000001E-3</v>
      </c>
      <c r="AF288" s="76"/>
      <c r="AG288" s="76"/>
      <c r="AH288" s="76"/>
      <c r="AI288" s="97">
        <v>1</v>
      </c>
      <c r="AJ288" s="97">
        <v>1</v>
      </c>
      <c r="AK288" s="73"/>
      <c r="AL288" s="57"/>
      <c r="AM288" s="45"/>
      <c r="AN288" s="45"/>
      <c r="AO288" s="45"/>
    </row>
    <row r="289" spans="1:41" hidden="1" outlineLevel="2" x14ac:dyDescent="0.25">
      <c r="A289" s="45"/>
      <c r="B289" s="54"/>
      <c r="C289" s="47">
        <f t="shared" si="75"/>
        <v>4</v>
      </c>
      <c r="D289" s="73"/>
      <c r="E289" s="70"/>
      <c r="F289" s="70" t="s">
        <v>2851</v>
      </c>
      <c r="G289" s="73"/>
      <c r="H289" s="76" t="s">
        <v>2852</v>
      </c>
      <c r="I289" s="96"/>
      <c r="J289" s="96"/>
      <c r="K289" s="97">
        <v>0</v>
      </c>
      <c r="L289" s="97">
        <v>0</v>
      </c>
      <c r="M289" s="97"/>
      <c r="N289" s="97"/>
      <c r="O289" s="97"/>
      <c r="P289" s="97"/>
      <c r="Q289" s="76"/>
      <c r="R289" s="76" t="s">
        <v>2850</v>
      </c>
      <c r="S289" s="76"/>
      <c r="T289" s="76"/>
      <c r="U289" s="253">
        <f t="shared" si="76"/>
        <v>0</v>
      </c>
      <c r="V289" s="253">
        <f t="shared" si="76"/>
        <v>0</v>
      </c>
      <c r="W289" s="253">
        <f t="shared" si="76"/>
        <v>0</v>
      </c>
      <c r="X289" s="253">
        <f t="shared" si="76"/>
        <v>0</v>
      </c>
      <c r="Y289" s="253">
        <f t="shared" si="76"/>
        <v>0</v>
      </c>
      <c r="Z289" s="253">
        <f t="shared" si="76"/>
        <v>0</v>
      </c>
      <c r="AA289" s="253">
        <f t="shared" si="76"/>
        <v>0</v>
      </c>
      <c r="AB289" s="253">
        <f t="shared" si="76"/>
        <v>0</v>
      </c>
      <c r="AC289" s="253">
        <f t="shared" si="76"/>
        <v>0</v>
      </c>
      <c r="AD289" s="253">
        <f t="shared" si="76"/>
        <v>0</v>
      </c>
      <c r="AE289" s="253">
        <f t="shared" si="76"/>
        <v>0</v>
      </c>
      <c r="AF289" s="76"/>
      <c r="AG289" s="76"/>
      <c r="AH289" s="76"/>
      <c r="AI289" s="97">
        <v>1</v>
      </c>
      <c r="AJ289" s="97">
        <v>1</v>
      </c>
      <c r="AK289" s="73"/>
      <c r="AL289" s="57"/>
      <c r="AM289" s="45"/>
      <c r="AN289" s="45"/>
      <c r="AO289" s="45"/>
    </row>
    <row r="290" spans="1:41" outlineLevel="1" collapsed="1" x14ac:dyDescent="0.25">
      <c r="A290" s="45"/>
      <c r="B290" s="54"/>
      <c r="C290" s="47">
        <f>INT($C$29)+1</f>
        <v>2</v>
      </c>
      <c r="D290" s="73"/>
      <c r="E290" s="70"/>
      <c r="F290" s="256" t="s">
        <v>783</v>
      </c>
      <c r="G290" s="73"/>
      <c r="H290" s="246" t="s">
        <v>784</v>
      </c>
      <c r="I290" s="96"/>
      <c r="J290" s="96" t="s">
        <v>514</v>
      </c>
      <c r="K290" s="79">
        <v>26</v>
      </c>
      <c r="L290" s="76"/>
      <c r="M290" s="259">
        <v>0</v>
      </c>
      <c r="N290" s="76"/>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3"/>
      <c r="AL290" s="57"/>
      <c r="AM290" s="45"/>
      <c r="AN290" s="45"/>
      <c r="AO290" s="45"/>
    </row>
    <row r="291" spans="1:41" hidden="1" outlineLevel="2" x14ac:dyDescent="0.25">
      <c r="A291" s="45"/>
      <c r="B291" s="54"/>
      <c r="C291" s="47">
        <f>INT($C$29)+3</f>
        <v>4</v>
      </c>
      <c r="D291" s="73"/>
      <c r="E291" s="70" t="s">
        <v>785</v>
      </c>
      <c r="F291" s="70" t="s">
        <v>2562</v>
      </c>
      <c r="G291" s="73"/>
      <c r="H291" s="76" t="s">
        <v>786</v>
      </c>
      <c r="I291" s="96" t="s">
        <v>660</v>
      </c>
      <c r="J291" s="96"/>
      <c r="K291" s="76"/>
      <c r="L291" s="76"/>
      <c r="M291" s="76"/>
      <c r="N291" s="76"/>
      <c r="O291" s="76"/>
      <c r="P291" s="76"/>
      <c r="Q291" s="76"/>
      <c r="R291" s="76"/>
      <c r="S291" s="76"/>
      <c r="T291" s="76" t="s">
        <v>3273</v>
      </c>
      <c r="U291" s="97">
        <v>1</v>
      </c>
      <c r="V291" s="97">
        <v>1</v>
      </c>
      <c r="W291" s="97">
        <v>1</v>
      </c>
      <c r="X291" s="97">
        <v>1</v>
      </c>
      <c r="Y291" s="97">
        <v>1</v>
      </c>
      <c r="Z291" s="97">
        <v>1</v>
      </c>
      <c r="AA291" s="97">
        <v>1</v>
      </c>
      <c r="AB291" s="97">
        <v>1.25</v>
      </c>
      <c r="AC291" s="97">
        <v>1.25</v>
      </c>
      <c r="AD291" s="97">
        <v>1.25</v>
      </c>
      <c r="AE291" s="97">
        <v>1.25</v>
      </c>
      <c r="AF291" s="76"/>
      <c r="AG291" s="97" t="s">
        <v>2561</v>
      </c>
      <c r="AH291" s="76"/>
      <c r="AI291" s="97">
        <v>1</v>
      </c>
      <c r="AJ291" s="97">
        <v>1</v>
      </c>
      <c r="AK291" s="73"/>
      <c r="AL291" s="57"/>
      <c r="AM291" s="45"/>
      <c r="AN291" s="45"/>
      <c r="AO291" s="45"/>
    </row>
    <row r="292" spans="1:41" hidden="1" outlineLevel="2" x14ac:dyDescent="0.25">
      <c r="A292" s="45"/>
      <c r="B292" s="54"/>
      <c r="C292" s="47">
        <f t="shared" ref="C292:C316" si="77">INT($C$29)+2</f>
        <v>3</v>
      </c>
      <c r="D292" s="73"/>
      <c r="E292" s="70"/>
      <c r="F292" s="70" t="s">
        <v>787</v>
      </c>
      <c r="G292" s="73"/>
      <c r="H292" s="76" t="s">
        <v>788</v>
      </c>
      <c r="I292" s="96" t="s">
        <v>526</v>
      </c>
      <c r="J292" s="96"/>
      <c r="K292" s="97">
        <v>2</v>
      </c>
      <c r="L292" s="97">
        <v>2</v>
      </c>
      <c r="M292" s="97">
        <v>4</v>
      </c>
      <c r="N292" s="97">
        <v>4</v>
      </c>
      <c r="O292" s="97">
        <v>4</v>
      </c>
      <c r="P292" s="97">
        <v>4</v>
      </c>
      <c r="Q292" s="76"/>
      <c r="R292" s="76" t="s">
        <v>667</v>
      </c>
      <c r="S292" s="76" t="s">
        <v>789</v>
      </c>
      <c r="T292" s="76"/>
      <c r="U292" s="253">
        <f t="shared" ref="U292:AE298" si="78">INDEX($K292:$Q292,1,U$43)</f>
        <v>2</v>
      </c>
      <c r="V292" s="253">
        <f t="shared" si="78"/>
        <v>2</v>
      </c>
      <c r="W292" s="253">
        <f t="shared" si="78"/>
        <v>2</v>
      </c>
      <c r="X292" s="253">
        <f t="shared" si="78"/>
        <v>2</v>
      </c>
      <c r="Y292" s="253">
        <f t="shared" si="78"/>
        <v>2</v>
      </c>
      <c r="Z292" s="253">
        <f t="shared" si="78"/>
        <v>2</v>
      </c>
      <c r="AA292" s="253">
        <f t="shared" si="78"/>
        <v>2</v>
      </c>
      <c r="AB292" s="253">
        <f t="shared" si="78"/>
        <v>2</v>
      </c>
      <c r="AC292" s="253">
        <f t="shared" si="78"/>
        <v>2</v>
      </c>
      <c r="AD292" s="253">
        <f t="shared" si="78"/>
        <v>2</v>
      </c>
      <c r="AE292" s="253">
        <f t="shared" si="78"/>
        <v>2</v>
      </c>
      <c r="AF292" s="76"/>
      <c r="AG292" s="76"/>
      <c r="AH292" s="76"/>
      <c r="AI292" s="97">
        <v>1</v>
      </c>
      <c r="AJ292" s="97">
        <v>1</v>
      </c>
      <c r="AK292" s="73"/>
      <c r="AL292" s="57"/>
      <c r="AM292" s="45"/>
      <c r="AN292" s="45"/>
      <c r="AO292" s="45"/>
    </row>
    <row r="293" spans="1:41" hidden="1" outlineLevel="2" x14ac:dyDescent="0.25">
      <c r="A293" s="45"/>
      <c r="B293" s="54"/>
      <c r="C293" s="47">
        <f t="shared" si="77"/>
        <v>3</v>
      </c>
      <c r="D293" s="73"/>
      <c r="E293" s="70"/>
      <c r="F293" s="70" t="s">
        <v>790</v>
      </c>
      <c r="G293" s="73"/>
      <c r="H293" s="76" t="s">
        <v>791</v>
      </c>
      <c r="I293" s="96" t="s">
        <v>526</v>
      </c>
      <c r="J293" s="96"/>
      <c r="K293" s="97">
        <v>22</v>
      </c>
      <c r="L293" s="97">
        <v>22</v>
      </c>
      <c r="M293" s="97">
        <v>30</v>
      </c>
      <c r="N293" s="97">
        <v>30</v>
      </c>
      <c r="O293" s="97">
        <v>30</v>
      </c>
      <c r="P293" s="97">
        <v>30</v>
      </c>
      <c r="Q293" s="76"/>
      <c r="R293" s="76" t="s">
        <v>667</v>
      </c>
      <c r="S293" s="76" t="s">
        <v>789</v>
      </c>
      <c r="T293" s="76"/>
      <c r="U293" s="253">
        <f t="shared" si="78"/>
        <v>22</v>
      </c>
      <c r="V293" s="253">
        <f t="shared" si="78"/>
        <v>22</v>
      </c>
      <c r="W293" s="253">
        <f t="shared" si="78"/>
        <v>22</v>
      </c>
      <c r="X293" s="253">
        <f t="shared" si="78"/>
        <v>22</v>
      </c>
      <c r="Y293" s="253">
        <f t="shared" si="78"/>
        <v>22</v>
      </c>
      <c r="Z293" s="253">
        <f t="shared" si="78"/>
        <v>22</v>
      </c>
      <c r="AA293" s="253">
        <f t="shared" si="78"/>
        <v>22</v>
      </c>
      <c r="AB293" s="253">
        <f t="shared" si="78"/>
        <v>22</v>
      </c>
      <c r="AC293" s="253">
        <f t="shared" si="78"/>
        <v>22</v>
      </c>
      <c r="AD293" s="253">
        <f t="shared" si="78"/>
        <v>22</v>
      </c>
      <c r="AE293" s="253">
        <f t="shared" si="78"/>
        <v>22</v>
      </c>
      <c r="AF293" s="76"/>
      <c r="AG293" s="76"/>
      <c r="AH293" s="76"/>
      <c r="AI293" s="97">
        <v>1</v>
      </c>
      <c r="AJ293" s="97">
        <v>1</v>
      </c>
      <c r="AK293" s="73"/>
      <c r="AL293" s="57"/>
      <c r="AM293" s="45"/>
      <c r="AN293" s="45"/>
      <c r="AO293" s="45"/>
    </row>
    <row r="294" spans="1:41" hidden="1" outlineLevel="2" x14ac:dyDescent="0.25">
      <c r="A294" s="45"/>
      <c r="B294" s="54"/>
      <c r="C294" s="47">
        <f t="shared" si="77"/>
        <v>3</v>
      </c>
      <c r="D294" s="73"/>
      <c r="E294" s="70"/>
      <c r="F294" s="70" t="s">
        <v>792</v>
      </c>
      <c r="G294" s="73"/>
      <c r="H294" s="76" t="s">
        <v>793</v>
      </c>
      <c r="I294" s="96" t="s">
        <v>497</v>
      </c>
      <c r="J294" s="96"/>
      <c r="K294" s="97">
        <v>1</v>
      </c>
      <c r="L294" s="97">
        <v>1</v>
      </c>
      <c r="M294" s="97">
        <v>0.6</v>
      </c>
      <c r="N294" s="97">
        <v>0.6</v>
      </c>
      <c r="O294" s="97">
        <v>0.6</v>
      </c>
      <c r="P294" s="97">
        <v>0.6</v>
      </c>
      <c r="Q294" s="76"/>
      <c r="R294" s="76" t="s">
        <v>667</v>
      </c>
      <c r="S294" s="76" t="s">
        <v>789</v>
      </c>
      <c r="T294" s="76"/>
      <c r="U294" s="253">
        <f t="shared" si="78"/>
        <v>1</v>
      </c>
      <c r="V294" s="253">
        <f t="shared" si="78"/>
        <v>1</v>
      </c>
      <c r="W294" s="253">
        <f t="shared" si="78"/>
        <v>1</v>
      </c>
      <c r="X294" s="253">
        <f t="shared" si="78"/>
        <v>1</v>
      </c>
      <c r="Y294" s="253">
        <f t="shared" si="78"/>
        <v>1</v>
      </c>
      <c r="Z294" s="253">
        <f t="shared" si="78"/>
        <v>1</v>
      </c>
      <c r="AA294" s="253">
        <f t="shared" si="78"/>
        <v>1</v>
      </c>
      <c r="AB294" s="253">
        <f t="shared" si="78"/>
        <v>1</v>
      </c>
      <c r="AC294" s="253">
        <f t="shared" si="78"/>
        <v>1</v>
      </c>
      <c r="AD294" s="253">
        <f t="shared" si="78"/>
        <v>1</v>
      </c>
      <c r="AE294" s="253">
        <f t="shared" si="78"/>
        <v>1</v>
      </c>
      <c r="AF294" s="76"/>
      <c r="AG294" s="76"/>
      <c r="AH294" s="76"/>
      <c r="AI294" s="97">
        <v>1</v>
      </c>
      <c r="AJ294" s="97">
        <v>1</v>
      </c>
      <c r="AK294" s="73"/>
      <c r="AL294" s="57"/>
      <c r="AM294" s="45"/>
      <c r="AN294" s="45"/>
      <c r="AO294" s="45"/>
    </row>
    <row r="295" spans="1:41" hidden="1" outlineLevel="2" x14ac:dyDescent="0.25">
      <c r="A295" s="45"/>
      <c r="B295" s="54"/>
      <c r="C295" s="47">
        <f t="shared" si="77"/>
        <v>3</v>
      </c>
      <c r="D295" s="73"/>
      <c r="E295" s="70"/>
      <c r="F295" s="70" t="s">
        <v>794</v>
      </c>
      <c r="G295" s="73"/>
      <c r="H295" s="76" t="s">
        <v>795</v>
      </c>
      <c r="I295" s="96" t="s">
        <v>497</v>
      </c>
      <c r="J295" s="96"/>
      <c r="K295" s="76"/>
      <c r="L295" s="76"/>
      <c r="M295" s="97">
        <v>0.6</v>
      </c>
      <c r="N295" s="97">
        <v>0.6</v>
      </c>
      <c r="O295" s="97">
        <v>0.6</v>
      </c>
      <c r="P295" s="97">
        <v>0.105</v>
      </c>
      <c r="Q295" s="76"/>
      <c r="R295" s="76"/>
      <c r="S295" s="76" t="s">
        <v>789</v>
      </c>
      <c r="T295" s="76"/>
      <c r="U295" s="253">
        <f t="shared" si="78"/>
        <v>0</v>
      </c>
      <c r="V295" s="253">
        <f t="shared" si="78"/>
        <v>0</v>
      </c>
      <c r="W295" s="253">
        <f t="shared" si="78"/>
        <v>0</v>
      </c>
      <c r="X295" s="253">
        <f t="shared" si="78"/>
        <v>0</v>
      </c>
      <c r="Y295" s="253">
        <f t="shared" si="78"/>
        <v>0</v>
      </c>
      <c r="Z295" s="253">
        <f t="shared" si="78"/>
        <v>0</v>
      </c>
      <c r="AA295" s="253">
        <f t="shared" si="78"/>
        <v>0</v>
      </c>
      <c r="AB295" s="253">
        <f t="shared" si="78"/>
        <v>0</v>
      </c>
      <c r="AC295" s="253">
        <f t="shared" si="78"/>
        <v>0</v>
      </c>
      <c r="AD295" s="253">
        <f t="shared" si="78"/>
        <v>0</v>
      </c>
      <c r="AE295" s="253">
        <f t="shared" si="78"/>
        <v>0</v>
      </c>
      <c r="AF295" s="76"/>
      <c r="AG295" s="76"/>
      <c r="AH295" s="76"/>
      <c r="AI295" s="97">
        <v>1</v>
      </c>
      <c r="AJ295" s="97">
        <v>1</v>
      </c>
      <c r="AK295" s="73"/>
      <c r="AL295" s="57"/>
      <c r="AM295" s="45"/>
      <c r="AN295" s="45"/>
      <c r="AO295" s="45"/>
    </row>
    <row r="296" spans="1:41" hidden="1" outlineLevel="2" x14ac:dyDescent="0.25">
      <c r="A296" s="45"/>
      <c r="B296" s="54"/>
      <c r="C296" s="47">
        <f t="shared" si="77"/>
        <v>3</v>
      </c>
      <c r="D296" s="73"/>
      <c r="E296" s="70"/>
      <c r="F296" s="70" t="s">
        <v>796</v>
      </c>
      <c r="G296" s="73"/>
      <c r="H296" s="76" t="s">
        <v>797</v>
      </c>
      <c r="I296" s="96" t="s">
        <v>569</v>
      </c>
      <c r="J296" s="96"/>
      <c r="K296" s="97">
        <v>0.94</v>
      </c>
      <c r="L296" s="97">
        <v>0.94</v>
      </c>
      <c r="M296" s="97">
        <v>0.94</v>
      </c>
      <c r="N296" s="97">
        <v>0.94</v>
      </c>
      <c r="O296" s="97">
        <v>0.94</v>
      </c>
      <c r="P296" s="97">
        <v>0.94</v>
      </c>
      <c r="Q296" s="76"/>
      <c r="R296" s="76" t="s">
        <v>622</v>
      </c>
      <c r="S296" s="76" t="s">
        <v>622</v>
      </c>
      <c r="T296" s="76"/>
      <c r="U296" s="253">
        <f t="shared" si="78"/>
        <v>0.94</v>
      </c>
      <c r="V296" s="253">
        <f t="shared" si="78"/>
        <v>0.94</v>
      </c>
      <c r="W296" s="253">
        <f t="shared" si="78"/>
        <v>0.94</v>
      </c>
      <c r="X296" s="253">
        <f t="shared" si="78"/>
        <v>0.94</v>
      </c>
      <c r="Y296" s="253">
        <f t="shared" si="78"/>
        <v>0.94</v>
      </c>
      <c r="Z296" s="253">
        <f t="shared" si="78"/>
        <v>0.94</v>
      </c>
      <c r="AA296" s="253">
        <f t="shared" si="78"/>
        <v>0.94</v>
      </c>
      <c r="AB296" s="253">
        <f t="shared" si="78"/>
        <v>0.94</v>
      </c>
      <c r="AC296" s="253">
        <f t="shared" si="78"/>
        <v>0.94</v>
      </c>
      <c r="AD296" s="253">
        <f t="shared" si="78"/>
        <v>0.94</v>
      </c>
      <c r="AE296" s="253">
        <f t="shared" si="78"/>
        <v>0.94</v>
      </c>
      <c r="AF296" s="76"/>
      <c r="AG296" s="76"/>
      <c r="AH296" s="76"/>
      <c r="AI296" s="97">
        <v>1</v>
      </c>
      <c r="AJ296" s="97">
        <v>1</v>
      </c>
      <c r="AK296" s="73"/>
      <c r="AL296" s="57"/>
      <c r="AM296" s="45"/>
      <c r="AN296" s="45"/>
      <c r="AO296" s="45"/>
    </row>
    <row r="297" spans="1:41" hidden="1" outlineLevel="2" x14ac:dyDescent="0.25">
      <c r="A297" s="45"/>
      <c r="B297" s="54"/>
      <c r="C297" s="47">
        <f t="shared" si="77"/>
        <v>3</v>
      </c>
      <c r="D297" s="73"/>
      <c r="E297" s="70"/>
      <c r="F297" s="70" t="s">
        <v>798</v>
      </c>
      <c r="G297" s="73"/>
      <c r="H297" s="76" t="s">
        <v>799</v>
      </c>
      <c r="I297" s="96" t="s">
        <v>590</v>
      </c>
      <c r="J297" s="96"/>
      <c r="K297" s="97">
        <v>4.7</v>
      </c>
      <c r="L297" s="97">
        <v>4.7</v>
      </c>
      <c r="M297" s="97">
        <v>3.1</v>
      </c>
      <c r="N297" s="97">
        <v>3.1</v>
      </c>
      <c r="O297" s="97">
        <v>3.1</v>
      </c>
      <c r="P297" s="97">
        <v>3.1</v>
      </c>
      <c r="Q297" s="76"/>
      <c r="R297" s="76" t="s">
        <v>800</v>
      </c>
      <c r="S297" s="76" t="s">
        <v>507</v>
      </c>
      <c r="T297" s="76"/>
      <c r="U297" s="253">
        <f t="shared" si="78"/>
        <v>4.7</v>
      </c>
      <c r="V297" s="253">
        <f t="shared" si="78"/>
        <v>4.7</v>
      </c>
      <c r="W297" s="253">
        <f t="shared" si="78"/>
        <v>4.7</v>
      </c>
      <c r="X297" s="253">
        <f t="shared" si="78"/>
        <v>4.7</v>
      </c>
      <c r="Y297" s="253">
        <f t="shared" si="78"/>
        <v>4.7</v>
      </c>
      <c r="Z297" s="253">
        <f t="shared" si="78"/>
        <v>4.7</v>
      </c>
      <c r="AA297" s="253">
        <f t="shared" si="78"/>
        <v>4.7</v>
      </c>
      <c r="AB297" s="253">
        <f t="shared" si="78"/>
        <v>4.7</v>
      </c>
      <c r="AC297" s="253">
        <f t="shared" si="78"/>
        <v>4.7</v>
      </c>
      <c r="AD297" s="253">
        <f t="shared" si="78"/>
        <v>4.7</v>
      </c>
      <c r="AE297" s="253">
        <f t="shared" si="78"/>
        <v>4.7</v>
      </c>
      <c r="AF297" s="76"/>
      <c r="AG297" s="76"/>
      <c r="AH297" s="76"/>
      <c r="AI297" s="97">
        <v>1</v>
      </c>
      <c r="AJ297" s="97">
        <v>1</v>
      </c>
      <c r="AK297" s="73"/>
      <c r="AL297" s="57"/>
      <c r="AM297" s="45"/>
      <c r="AN297" s="45"/>
      <c r="AO297" s="45"/>
    </row>
    <row r="298" spans="1:41" hidden="1" outlineLevel="2" collapsed="1" x14ac:dyDescent="0.25">
      <c r="A298" s="45"/>
      <c r="B298" s="54"/>
      <c r="C298" s="47">
        <f t="shared" si="77"/>
        <v>3</v>
      </c>
      <c r="D298" s="73"/>
      <c r="E298" s="70"/>
      <c r="F298" s="70" t="s">
        <v>801</v>
      </c>
      <c r="G298" s="73"/>
      <c r="H298" s="76" t="s">
        <v>802</v>
      </c>
      <c r="I298" s="96" t="s">
        <v>497</v>
      </c>
      <c r="J298" s="96"/>
      <c r="K298" s="97">
        <v>1.17</v>
      </c>
      <c r="L298" s="97">
        <v>1.17</v>
      </c>
      <c r="M298" s="97">
        <v>1.17</v>
      </c>
      <c r="N298" s="97">
        <v>1.17</v>
      </c>
      <c r="O298" s="97">
        <v>1.17</v>
      </c>
      <c r="P298" s="97">
        <v>1.17</v>
      </c>
      <c r="Q298" s="76"/>
      <c r="R298" s="76" t="s">
        <v>667</v>
      </c>
      <c r="S298" s="76" t="s">
        <v>545</v>
      </c>
      <c r="T298" s="76"/>
      <c r="U298" s="253">
        <f t="shared" si="78"/>
        <v>1.17</v>
      </c>
      <c r="V298" s="253">
        <f t="shared" si="78"/>
        <v>1.17</v>
      </c>
      <c r="W298" s="253">
        <f t="shared" si="78"/>
        <v>1.17</v>
      </c>
      <c r="X298" s="253">
        <f t="shared" si="78"/>
        <v>1.17</v>
      </c>
      <c r="Y298" s="253">
        <f t="shared" si="78"/>
        <v>1.17</v>
      </c>
      <c r="Z298" s="253">
        <f t="shared" si="78"/>
        <v>1.17</v>
      </c>
      <c r="AA298" s="253">
        <f t="shared" si="78"/>
        <v>1.17</v>
      </c>
      <c r="AB298" s="253">
        <f t="shared" si="78"/>
        <v>1.17</v>
      </c>
      <c r="AC298" s="253">
        <f t="shared" si="78"/>
        <v>1.17</v>
      </c>
      <c r="AD298" s="253">
        <f t="shared" si="78"/>
        <v>1.17</v>
      </c>
      <c r="AE298" s="253">
        <f t="shared" si="78"/>
        <v>1.17</v>
      </c>
      <c r="AF298" s="76"/>
      <c r="AG298" s="76"/>
      <c r="AH298" s="76"/>
      <c r="AI298" s="97">
        <v>1</v>
      </c>
      <c r="AJ298" s="97">
        <v>1</v>
      </c>
      <c r="AK298" s="73"/>
      <c r="AL298" s="57"/>
      <c r="AM298" s="45"/>
      <c r="AN298" s="45"/>
      <c r="AO298" s="45"/>
    </row>
    <row r="299" spans="1:41" hidden="1" outlineLevel="3" x14ac:dyDescent="0.25">
      <c r="A299" s="45"/>
      <c r="B299" s="54"/>
      <c r="C299" s="47">
        <f t="shared" si="77"/>
        <v>3</v>
      </c>
      <c r="D299" s="73"/>
      <c r="E299" s="70"/>
      <c r="F299" s="70" t="s">
        <v>803</v>
      </c>
      <c r="G299" s="73"/>
      <c r="H299" s="76" t="s">
        <v>551</v>
      </c>
      <c r="I299" s="96" t="s">
        <v>497</v>
      </c>
      <c r="J299" s="96"/>
      <c r="K299" s="97">
        <v>0.77</v>
      </c>
      <c r="L299" s="97">
        <v>0.77</v>
      </c>
      <c r="M299" s="76"/>
      <c r="N299" s="76"/>
      <c r="O299" s="76"/>
      <c r="P299" s="76"/>
      <c r="Q299" s="76"/>
      <c r="R299" s="76" t="s">
        <v>667</v>
      </c>
      <c r="S299" s="76"/>
      <c r="T299" s="76"/>
      <c r="U299" s="76"/>
      <c r="V299" s="76"/>
      <c r="W299" s="76"/>
      <c r="X299" s="76"/>
      <c r="Y299" s="76"/>
      <c r="Z299" s="76"/>
      <c r="AA299" s="76"/>
      <c r="AB299" s="76"/>
      <c r="AC299" s="76"/>
      <c r="AD299" s="76"/>
      <c r="AE299" s="76"/>
      <c r="AF299" s="76"/>
      <c r="AG299" s="76"/>
      <c r="AH299" s="76"/>
      <c r="AI299" s="76">
        <v>1</v>
      </c>
      <c r="AJ299" s="76">
        <v>1</v>
      </c>
      <c r="AK299" s="73"/>
      <c r="AL299" s="57"/>
      <c r="AM299" s="45"/>
      <c r="AN299" s="45"/>
      <c r="AO299" s="45"/>
    </row>
    <row r="300" spans="1:41" hidden="1" outlineLevel="3" x14ac:dyDescent="0.25">
      <c r="A300" s="45"/>
      <c r="B300" s="54"/>
      <c r="C300" s="47">
        <f t="shared" si="77"/>
        <v>3</v>
      </c>
      <c r="D300" s="73"/>
      <c r="E300" s="70"/>
      <c r="F300" s="70" t="s">
        <v>804</v>
      </c>
      <c r="G300" s="73"/>
      <c r="H300" s="76" t="s">
        <v>551</v>
      </c>
      <c r="I300" s="96" t="s">
        <v>497</v>
      </c>
      <c r="J300" s="96"/>
      <c r="K300" s="97">
        <v>0</v>
      </c>
      <c r="L300" s="97">
        <v>0</v>
      </c>
      <c r="M300" s="76"/>
      <c r="N300" s="76"/>
      <c r="O300" s="76"/>
      <c r="P300" s="76"/>
      <c r="Q300" s="76"/>
      <c r="R300" s="76" t="s">
        <v>667</v>
      </c>
      <c r="S300" s="76"/>
      <c r="T300" s="76"/>
      <c r="U300" s="76"/>
      <c r="V300" s="76"/>
      <c r="W300" s="76"/>
      <c r="X300" s="76"/>
      <c r="Y300" s="76"/>
      <c r="Z300" s="76"/>
      <c r="AA300" s="76"/>
      <c r="AB300" s="76"/>
      <c r="AC300" s="76"/>
      <c r="AD300" s="76"/>
      <c r="AE300" s="76"/>
      <c r="AF300" s="76"/>
      <c r="AG300" s="76"/>
      <c r="AH300" s="76"/>
      <c r="AI300" s="76">
        <v>1</v>
      </c>
      <c r="AJ300" s="76">
        <v>1</v>
      </c>
      <c r="AK300" s="73"/>
      <c r="AL300" s="57"/>
      <c r="AM300" s="45"/>
      <c r="AN300" s="45"/>
      <c r="AO300" s="45"/>
    </row>
    <row r="301" spans="1:41" hidden="1" outlineLevel="3" x14ac:dyDescent="0.25">
      <c r="A301" s="45"/>
      <c r="B301" s="54"/>
      <c r="C301" s="47">
        <f t="shared" si="77"/>
        <v>3</v>
      </c>
      <c r="D301" s="73"/>
      <c r="E301" s="70"/>
      <c r="F301" s="70" t="s">
        <v>805</v>
      </c>
      <c r="G301" s="73"/>
      <c r="H301" s="76" t="s">
        <v>551</v>
      </c>
      <c r="I301" s="96" t="s">
        <v>497</v>
      </c>
      <c r="J301" s="96"/>
      <c r="K301" s="97">
        <v>0.4</v>
      </c>
      <c r="L301" s="97">
        <v>0.4</v>
      </c>
      <c r="M301" s="97">
        <v>0.04</v>
      </c>
      <c r="N301" s="97">
        <v>0.04</v>
      </c>
      <c r="O301" s="97">
        <v>0.04</v>
      </c>
      <c r="P301" s="97">
        <v>0.04</v>
      </c>
      <c r="Q301" s="76"/>
      <c r="R301" s="76" t="s">
        <v>667</v>
      </c>
      <c r="S301" s="76" t="s">
        <v>545</v>
      </c>
      <c r="T301" s="76"/>
      <c r="U301" s="76"/>
      <c r="V301" s="76"/>
      <c r="W301" s="76"/>
      <c r="X301" s="76"/>
      <c r="Y301" s="76"/>
      <c r="Z301" s="76"/>
      <c r="AA301" s="76"/>
      <c r="AB301" s="76"/>
      <c r="AC301" s="76"/>
      <c r="AD301" s="76"/>
      <c r="AE301" s="76"/>
      <c r="AF301" s="76"/>
      <c r="AG301" s="76"/>
      <c r="AH301" s="76"/>
      <c r="AI301" s="76">
        <v>1</v>
      </c>
      <c r="AJ301" s="76">
        <v>1</v>
      </c>
      <c r="AK301" s="73"/>
      <c r="AL301" s="57"/>
      <c r="AM301" s="45"/>
      <c r="AN301" s="45"/>
      <c r="AO301" s="45"/>
    </row>
    <row r="302" spans="1:41" hidden="1" outlineLevel="3" x14ac:dyDescent="0.25">
      <c r="A302" s="45"/>
      <c r="B302" s="54"/>
      <c r="C302" s="47">
        <f t="shared" si="77"/>
        <v>3</v>
      </c>
      <c r="D302" s="73"/>
      <c r="E302" s="70"/>
      <c r="F302" s="70" t="s">
        <v>806</v>
      </c>
      <c r="G302" s="73"/>
      <c r="H302" s="76" t="s">
        <v>551</v>
      </c>
      <c r="I302" s="96" t="s">
        <v>497</v>
      </c>
      <c r="J302" s="96"/>
      <c r="K302" s="97">
        <v>30</v>
      </c>
      <c r="L302" s="97">
        <v>30</v>
      </c>
      <c r="M302" s="97">
        <v>90</v>
      </c>
      <c r="N302" s="97">
        <v>90</v>
      </c>
      <c r="O302" s="97">
        <v>90</v>
      </c>
      <c r="P302" s="97">
        <v>90</v>
      </c>
      <c r="Q302" s="76"/>
      <c r="R302" s="76" t="s">
        <v>545</v>
      </c>
      <c r="S302" s="76" t="s">
        <v>545</v>
      </c>
      <c r="T302" s="76"/>
      <c r="U302" s="76"/>
      <c r="V302" s="76"/>
      <c r="W302" s="76"/>
      <c r="X302" s="76"/>
      <c r="Y302" s="76"/>
      <c r="Z302" s="76"/>
      <c r="AA302" s="76"/>
      <c r="AB302" s="76"/>
      <c r="AC302" s="76"/>
      <c r="AD302" s="76"/>
      <c r="AE302" s="76"/>
      <c r="AF302" s="76"/>
      <c r="AG302" s="76"/>
      <c r="AH302" s="76"/>
      <c r="AI302" s="76">
        <v>1</v>
      </c>
      <c r="AJ302" s="76">
        <v>1</v>
      </c>
      <c r="AK302" s="73"/>
      <c r="AL302" s="57"/>
      <c r="AM302" s="45"/>
      <c r="AN302" s="45"/>
      <c r="AO302" s="45"/>
    </row>
    <row r="303" spans="1:41" hidden="1" outlineLevel="2" x14ac:dyDescent="0.25">
      <c r="A303" s="45"/>
      <c r="B303" s="54"/>
      <c r="C303" s="47">
        <f t="shared" si="77"/>
        <v>3</v>
      </c>
      <c r="D303" s="73"/>
      <c r="E303" s="70"/>
      <c r="F303" s="70" t="s">
        <v>807</v>
      </c>
      <c r="G303" s="73"/>
      <c r="H303" s="76" t="s">
        <v>808</v>
      </c>
      <c r="I303" s="96" t="s">
        <v>809</v>
      </c>
      <c r="J303" s="96"/>
      <c r="K303" s="97">
        <v>0.3</v>
      </c>
      <c r="L303" s="97">
        <v>0.3</v>
      </c>
      <c r="M303" s="97">
        <v>0.42</v>
      </c>
      <c r="N303" s="97">
        <v>0.42</v>
      </c>
      <c r="O303" s="97">
        <v>0.42</v>
      </c>
      <c r="P303" s="97">
        <v>0.42</v>
      </c>
      <c r="Q303" s="76"/>
      <c r="R303" s="76" t="s">
        <v>545</v>
      </c>
      <c r="S303" s="76" t="s">
        <v>545</v>
      </c>
      <c r="T303" s="76"/>
      <c r="U303" s="253">
        <f t="shared" ref="U303:AE316" si="79">INDEX($K303:$Q303,1,U$43)</f>
        <v>0.3</v>
      </c>
      <c r="V303" s="253">
        <f t="shared" si="79"/>
        <v>0.3</v>
      </c>
      <c r="W303" s="253">
        <f t="shared" si="79"/>
        <v>0.3</v>
      </c>
      <c r="X303" s="253">
        <f t="shared" si="79"/>
        <v>0.3</v>
      </c>
      <c r="Y303" s="253">
        <f t="shared" si="79"/>
        <v>0.3</v>
      </c>
      <c r="Z303" s="253">
        <f t="shared" si="79"/>
        <v>0.3</v>
      </c>
      <c r="AA303" s="253">
        <f t="shared" si="79"/>
        <v>0.3</v>
      </c>
      <c r="AB303" s="253">
        <f t="shared" si="79"/>
        <v>0.3</v>
      </c>
      <c r="AC303" s="253">
        <f t="shared" si="79"/>
        <v>0.3</v>
      </c>
      <c r="AD303" s="253">
        <f t="shared" si="79"/>
        <v>0.3</v>
      </c>
      <c r="AE303" s="253">
        <f t="shared" si="79"/>
        <v>0.3</v>
      </c>
      <c r="AF303" s="76"/>
      <c r="AG303" s="76"/>
      <c r="AH303" s="76"/>
      <c r="AI303" s="97">
        <v>1</v>
      </c>
      <c r="AJ303" s="97">
        <v>1</v>
      </c>
      <c r="AK303" s="73"/>
      <c r="AL303" s="57"/>
      <c r="AM303" s="45"/>
      <c r="AN303" s="45"/>
      <c r="AO303" s="45"/>
    </row>
    <row r="304" spans="1:41" hidden="1" outlineLevel="2" x14ac:dyDescent="0.25">
      <c r="A304" s="45"/>
      <c r="B304" s="54"/>
      <c r="C304" s="47">
        <f t="shared" si="77"/>
        <v>3</v>
      </c>
      <c r="D304" s="73"/>
      <c r="E304" s="70"/>
      <c r="F304" s="70" t="s">
        <v>810</v>
      </c>
      <c r="G304" s="73"/>
      <c r="H304" s="76" t="s">
        <v>811</v>
      </c>
      <c r="I304" s="96" t="s">
        <v>809</v>
      </c>
      <c r="J304" s="96"/>
      <c r="K304" s="97">
        <v>0.41</v>
      </c>
      <c r="L304" s="97">
        <v>0.41</v>
      </c>
      <c r="M304" s="97">
        <v>0.57999999999999996</v>
      </c>
      <c r="N304" s="97">
        <v>0.57999999999999996</v>
      </c>
      <c r="O304" s="97">
        <v>0.57999999999999996</v>
      </c>
      <c r="P304" s="97">
        <v>0.57999999999999996</v>
      </c>
      <c r="Q304" s="76"/>
      <c r="R304" s="76" t="s">
        <v>812</v>
      </c>
      <c r="S304" s="76" t="s">
        <v>812</v>
      </c>
      <c r="T304" s="76"/>
      <c r="U304" s="253">
        <f t="shared" si="79"/>
        <v>0.41</v>
      </c>
      <c r="V304" s="253">
        <f t="shared" si="79"/>
        <v>0.41</v>
      </c>
      <c r="W304" s="253">
        <f t="shared" si="79"/>
        <v>0.41</v>
      </c>
      <c r="X304" s="253">
        <f t="shared" si="79"/>
        <v>0.41</v>
      </c>
      <c r="Y304" s="253">
        <f t="shared" si="79"/>
        <v>0.41</v>
      </c>
      <c r="Z304" s="253">
        <f t="shared" si="79"/>
        <v>0.41</v>
      </c>
      <c r="AA304" s="253">
        <f t="shared" si="79"/>
        <v>0.41</v>
      </c>
      <c r="AB304" s="253">
        <f t="shared" si="79"/>
        <v>0.41</v>
      </c>
      <c r="AC304" s="253">
        <f t="shared" si="79"/>
        <v>0.41</v>
      </c>
      <c r="AD304" s="253">
        <f t="shared" si="79"/>
        <v>0.41</v>
      </c>
      <c r="AE304" s="253">
        <f t="shared" si="79"/>
        <v>0.41</v>
      </c>
      <c r="AF304" s="76"/>
      <c r="AG304" s="76"/>
      <c r="AH304" s="76"/>
      <c r="AI304" s="97">
        <v>1</v>
      </c>
      <c r="AJ304" s="97">
        <v>1</v>
      </c>
      <c r="AK304" s="73"/>
      <c r="AL304" s="57"/>
      <c r="AM304" s="45"/>
      <c r="AN304" s="45"/>
      <c r="AO304" s="45"/>
    </row>
    <row r="305" spans="1:41" hidden="1" outlineLevel="2" x14ac:dyDescent="0.25">
      <c r="A305" s="45"/>
      <c r="B305" s="54"/>
      <c r="C305" s="47">
        <f t="shared" si="77"/>
        <v>3</v>
      </c>
      <c r="D305" s="73"/>
      <c r="E305" s="70"/>
      <c r="F305" s="70" t="s">
        <v>813</v>
      </c>
      <c r="G305" s="73"/>
      <c r="H305" s="76" t="s">
        <v>814</v>
      </c>
      <c r="I305" s="96" t="s">
        <v>526</v>
      </c>
      <c r="J305" s="96"/>
      <c r="K305" s="97">
        <v>7.0999999999999994E-2</v>
      </c>
      <c r="L305" s="97">
        <v>7.0999999999999994E-2</v>
      </c>
      <c r="M305" s="97">
        <v>3.5999999999999997E-2</v>
      </c>
      <c r="N305" s="97">
        <v>3.5999999999999997E-2</v>
      </c>
      <c r="O305" s="97">
        <v>3.5999999999999997E-2</v>
      </c>
      <c r="P305" s="97">
        <v>3.5999999999999997E-2</v>
      </c>
      <c r="Q305" s="76"/>
      <c r="R305" s="76" t="s">
        <v>812</v>
      </c>
      <c r="S305" s="76" t="s">
        <v>812</v>
      </c>
      <c r="T305" s="76"/>
      <c r="U305" s="253">
        <f t="shared" si="79"/>
        <v>7.0999999999999994E-2</v>
      </c>
      <c r="V305" s="253">
        <f t="shared" si="79"/>
        <v>7.0999999999999994E-2</v>
      </c>
      <c r="W305" s="253">
        <f t="shared" si="79"/>
        <v>7.0999999999999994E-2</v>
      </c>
      <c r="X305" s="253">
        <f t="shared" si="79"/>
        <v>7.0999999999999994E-2</v>
      </c>
      <c r="Y305" s="253">
        <f t="shared" si="79"/>
        <v>7.0999999999999994E-2</v>
      </c>
      <c r="Z305" s="253">
        <f t="shared" si="79"/>
        <v>7.0999999999999994E-2</v>
      </c>
      <c r="AA305" s="253">
        <f t="shared" si="79"/>
        <v>7.0999999999999994E-2</v>
      </c>
      <c r="AB305" s="253">
        <f t="shared" si="79"/>
        <v>7.0999999999999994E-2</v>
      </c>
      <c r="AC305" s="253">
        <f t="shared" si="79"/>
        <v>7.0999999999999994E-2</v>
      </c>
      <c r="AD305" s="253">
        <f t="shared" si="79"/>
        <v>7.0999999999999994E-2</v>
      </c>
      <c r="AE305" s="253">
        <f t="shared" si="79"/>
        <v>7.0999999999999994E-2</v>
      </c>
      <c r="AF305" s="76"/>
      <c r="AG305" s="76"/>
      <c r="AH305" s="76"/>
      <c r="AI305" s="97">
        <v>1</v>
      </c>
      <c r="AJ305" s="97">
        <v>1</v>
      </c>
      <c r="AK305" s="73"/>
      <c r="AL305" s="57"/>
      <c r="AM305" s="45"/>
      <c r="AN305" s="45"/>
      <c r="AO305" s="45"/>
    </row>
    <row r="306" spans="1:41" hidden="1" outlineLevel="2" x14ac:dyDescent="0.25">
      <c r="A306" s="45"/>
      <c r="B306" s="54"/>
      <c r="C306" s="47">
        <f t="shared" si="77"/>
        <v>3</v>
      </c>
      <c r="D306" s="73"/>
      <c r="E306" s="70"/>
      <c r="F306" s="70" t="s">
        <v>815</v>
      </c>
      <c r="G306" s="73"/>
      <c r="H306" s="76" t="s">
        <v>816</v>
      </c>
      <c r="I306" s="96" t="s">
        <v>569</v>
      </c>
      <c r="J306" s="96"/>
      <c r="K306" s="97">
        <v>4.4999999999999998E-2</v>
      </c>
      <c r="L306" s="97">
        <v>4.4999999999999998E-2</v>
      </c>
      <c r="M306" s="97">
        <v>3.2000000000000001E-2</v>
      </c>
      <c r="N306" s="97">
        <v>3.2000000000000001E-2</v>
      </c>
      <c r="O306" s="97">
        <v>3.2000000000000001E-2</v>
      </c>
      <c r="P306" s="97">
        <v>3.2000000000000001E-2</v>
      </c>
      <c r="Q306" s="76"/>
      <c r="R306" s="76" t="s">
        <v>800</v>
      </c>
      <c r="S306" s="76" t="s">
        <v>812</v>
      </c>
      <c r="T306" s="76"/>
      <c r="U306" s="253">
        <f t="shared" si="79"/>
        <v>4.4999999999999998E-2</v>
      </c>
      <c r="V306" s="253">
        <f t="shared" si="79"/>
        <v>4.4999999999999998E-2</v>
      </c>
      <c r="W306" s="253">
        <f t="shared" si="79"/>
        <v>4.4999999999999998E-2</v>
      </c>
      <c r="X306" s="253">
        <f t="shared" si="79"/>
        <v>4.4999999999999998E-2</v>
      </c>
      <c r="Y306" s="253">
        <f t="shared" si="79"/>
        <v>4.4999999999999998E-2</v>
      </c>
      <c r="Z306" s="253">
        <f t="shared" si="79"/>
        <v>4.4999999999999998E-2</v>
      </c>
      <c r="AA306" s="253">
        <f t="shared" si="79"/>
        <v>4.4999999999999998E-2</v>
      </c>
      <c r="AB306" s="253">
        <f t="shared" si="79"/>
        <v>4.4999999999999998E-2</v>
      </c>
      <c r="AC306" s="253">
        <f t="shared" si="79"/>
        <v>4.4999999999999998E-2</v>
      </c>
      <c r="AD306" s="253">
        <f t="shared" si="79"/>
        <v>4.4999999999999998E-2</v>
      </c>
      <c r="AE306" s="253">
        <f t="shared" si="79"/>
        <v>4.4999999999999998E-2</v>
      </c>
      <c r="AF306" s="76"/>
      <c r="AG306" s="76"/>
      <c r="AH306" s="76"/>
      <c r="AI306" s="97">
        <v>1</v>
      </c>
      <c r="AJ306" s="97">
        <v>1</v>
      </c>
      <c r="AK306" s="73"/>
      <c r="AL306" s="57"/>
      <c r="AM306" s="45"/>
      <c r="AN306" s="45"/>
      <c r="AO306" s="45"/>
    </row>
    <row r="307" spans="1:41" hidden="1" outlineLevel="2" x14ac:dyDescent="0.25">
      <c r="A307" s="45"/>
      <c r="B307" s="54"/>
      <c r="C307" s="47">
        <f t="shared" si="77"/>
        <v>3</v>
      </c>
      <c r="D307" s="73"/>
      <c r="E307" s="70"/>
      <c r="F307" s="70" t="s">
        <v>817</v>
      </c>
      <c r="G307" s="73"/>
      <c r="H307" s="76" t="s">
        <v>818</v>
      </c>
      <c r="I307" s="96" t="s">
        <v>497</v>
      </c>
      <c r="J307" s="96"/>
      <c r="K307" s="97">
        <v>0.7</v>
      </c>
      <c r="L307" s="97">
        <v>0.7</v>
      </c>
      <c r="M307" s="97">
        <v>0.7</v>
      </c>
      <c r="N307" s="97">
        <v>0.7</v>
      </c>
      <c r="O307" s="97">
        <v>0.7</v>
      </c>
      <c r="P307" s="97">
        <v>0.7</v>
      </c>
      <c r="Q307" s="76"/>
      <c r="R307" s="76" t="s">
        <v>667</v>
      </c>
      <c r="S307" s="76" t="s">
        <v>545</v>
      </c>
      <c r="T307" s="76"/>
      <c r="U307" s="253">
        <f t="shared" si="79"/>
        <v>0.7</v>
      </c>
      <c r="V307" s="253">
        <f t="shared" si="79"/>
        <v>0.7</v>
      </c>
      <c r="W307" s="253">
        <f t="shared" si="79"/>
        <v>0.7</v>
      </c>
      <c r="X307" s="253">
        <f t="shared" si="79"/>
        <v>0.7</v>
      </c>
      <c r="Y307" s="253">
        <f t="shared" si="79"/>
        <v>0.7</v>
      </c>
      <c r="Z307" s="253">
        <f t="shared" si="79"/>
        <v>0.7</v>
      </c>
      <c r="AA307" s="253">
        <f t="shared" si="79"/>
        <v>0.7</v>
      </c>
      <c r="AB307" s="253">
        <f t="shared" si="79"/>
        <v>0.7</v>
      </c>
      <c r="AC307" s="253">
        <f t="shared" si="79"/>
        <v>0.7</v>
      </c>
      <c r="AD307" s="253">
        <f t="shared" si="79"/>
        <v>0.7</v>
      </c>
      <c r="AE307" s="253">
        <f t="shared" si="79"/>
        <v>0.7</v>
      </c>
      <c r="AF307" s="76"/>
      <c r="AG307" s="76"/>
      <c r="AH307" s="76"/>
      <c r="AI307" s="97">
        <v>1</v>
      </c>
      <c r="AJ307" s="97">
        <v>1</v>
      </c>
      <c r="AK307" s="73"/>
      <c r="AL307" s="57"/>
      <c r="AM307" s="45"/>
      <c r="AN307" s="45"/>
      <c r="AO307" s="45"/>
    </row>
    <row r="308" spans="1:41" hidden="1" outlineLevel="2" x14ac:dyDescent="0.25">
      <c r="A308" s="45"/>
      <c r="B308" s="54"/>
      <c r="C308" s="47">
        <f t="shared" si="77"/>
        <v>3</v>
      </c>
      <c r="D308" s="73"/>
      <c r="E308" s="70"/>
      <c r="F308" s="70" t="s">
        <v>819</v>
      </c>
      <c r="G308" s="73"/>
      <c r="H308" s="76" t="s">
        <v>820</v>
      </c>
      <c r="I308" s="96" t="s">
        <v>497</v>
      </c>
      <c r="J308" s="96"/>
      <c r="K308" s="97">
        <v>0.01</v>
      </c>
      <c r="L308" s="97">
        <v>0.01</v>
      </c>
      <c r="M308" s="97">
        <v>0.01</v>
      </c>
      <c r="N308" s="97">
        <v>0.01</v>
      </c>
      <c r="O308" s="97">
        <v>0.01</v>
      </c>
      <c r="P308" s="97">
        <v>0.01</v>
      </c>
      <c r="Q308" s="76"/>
      <c r="R308" s="76" t="s">
        <v>667</v>
      </c>
      <c r="S308" s="76" t="s">
        <v>545</v>
      </c>
      <c r="T308" s="76"/>
      <c r="U308" s="253">
        <f t="shared" si="79"/>
        <v>0.01</v>
      </c>
      <c r="V308" s="253">
        <f t="shared" si="79"/>
        <v>0.01</v>
      </c>
      <c r="W308" s="253">
        <f t="shared" si="79"/>
        <v>0.01</v>
      </c>
      <c r="X308" s="253">
        <f t="shared" si="79"/>
        <v>0.01</v>
      </c>
      <c r="Y308" s="253">
        <f t="shared" si="79"/>
        <v>0.01</v>
      </c>
      <c r="Z308" s="253">
        <f t="shared" si="79"/>
        <v>0.01</v>
      </c>
      <c r="AA308" s="253">
        <f t="shared" si="79"/>
        <v>0.01</v>
      </c>
      <c r="AB308" s="253">
        <f t="shared" si="79"/>
        <v>0.01</v>
      </c>
      <c r="AC308" s="253">
        <f t="shared" si="79"/>
        <v>0.01</v>
      </c>
      <c r="AD308" s="253">
        <f t="shared" si="79"/>
        <v>0.01</v>
      </c>
      <c r="AE308" s="253">
        <f t="shared" si="79"/>
        <v>0.01</v>
      </c>
      <c r="AF308" s="76"/>
      <c r="AG308" s="76"/>
      <c r="AH308" s="76"/>
      <c r="AI308" s="97">
        <v>1</v>
      </c>
      <c r="AJ308" s="97">
        <v>1</v>
      </c>
      <c r="AK308" s="73"/>
      <c r="AL308" s="57"/>
      <c r="AM308" s="45"/>
      <c r="AN308" s="45"/>
      <c r="AO308" s="45"/>
    </row>
    <row r="309" spans="1:41" hidden="1" outlineLevel="2" x14ac:dyDescent="0.25">
      <c r="A309" s="45"/>
      <c r="B309" s="54"/>
      <c r="C309" s="47">
        <f t="shared" si="77"/>
        <v>3</v>
      </c>
      <c r="D309" s="73"/>
      <c r="E309" s="70"/>
      <c r="F309" s="70" t="s">
        <v>821</v>
      </c>
      <c r="G309" s="73"/>
      <c r="H309" s="76" t="s">
        <v>820</v>
      </c>
      <c r="I309" s="96" t="s">
        <v>497</v>
      </c>
      <c r="J309" s="96"/>
      <c r="K309" s="97">
        <v>0.1</v>
      </c>
      <c r="L309" s="97">
        <v>0.1</v>
      </c>
      <c r="M309" s="97">
        <v>0.1</v>
      </c>
      <c r="N309" s="97">
        <v>0.1</v>
      </c>
      <c r="O309" s="97">
        <v>0.1</v>
      </c>
      <c r="P309" s="97">
        <v>0.1</v>
      </c>
      <c r="Q309" s="76"/>
      <c r="R309" s="76" t="s">
        <v>667</v>
      </c>
      <c r="S309" s="76" t="s">
        <v>545</v>
      </c>
      <c r="T309" s="76"/>
      <c r="U309" s="253">
        <f t="shared" si="79"/>
        <v>0.1</v>
      </c>
      <c r="V309" s="253">
        <f t="shared" si="79"/>
        <v>0.1</v>
      </c>
      <c r="W309" s="253">
        <f t="shared" si="79"/>
        <v>0.1</v>
      </c>
      <c r="X309" s="253">
        <f t="shared" si="79"/>
        <v>0.1</v>
      </c>
      <c r="Y309" s="253">
        <f t="shared" si="79"/>
        <v>0.1</v>
      </c>
      <c r="Z309" s="253">
        <f t="shared" si="79"/>
        <v>0.1</v>
      </c>
      <c r="AA309" s="253">
        <f t="shared" si="79"/>
        <v>0.1</v>
      </c>
      <c r="AB309" s="253">
        <f t="shared" si="79"/>
        <v>0.1</v>
      </c>
      <c r="AC309" s="253">
        <f t="shared" si="79"/>
        <v>0.1</v>
      </c>
      <c r="AD309" s="253">
        <f t="shared" si="79"/>
        <v>0.1</v>
      </c>
      <c r="AE309" s="253">
        <f t="shared" si="79"/>
        <v>0.1</v>
      </c>
      <c r="AF309" s="76"/>
      <c r="AG309" s="76"/>
      <c r="AH309" s="76"/>
      <c r="AI309" s="97">
        <v>1</v>
      </c>
      <c r="AJ309" s="97">
        <v>1</v>
      </c>
      <c r="AK309" s="73"/>
      <c r="AL309" s="57"/>
      <c r="AM309" s="45"/>
      <c r="AN309" s="45"/>
      <c r="AO309" s="45"/>
    </row>
    <row r="310" spans="1:41" hidden="1" outlineLevel="2" x14ac:dyDescent="0.25">
      <c r="A310" s="45"/>
      <c r="B310" s="54"/>
      <c r="C310" s="47">
        <f t="shared" si="77"/>
        <v>3</v>
      </c>
      <c r="D310" s="73"/>
      <c r="E310" s="70"/>
      <c r="F310" s="70" t="s">
        <v>822</v>
      </c>
      <c r="G310" s="73"/>
      <c r="H310" s="76" t="s">
        <v>823</v>
      </c>
      <c r="I310" s="96" t="s">
        <v>497</v>
      </c>
      <c r="J310" s="96"/>
      <c r="K310" s="97">
        <v>1.6</v>
      </c>
      <c r="L310" s="97">
        <v>1.6</v>
      </c>
      <c r="M310" s="97">
        <v>1.6</v>
      </c>
      <c r="N310" s="97">
        <v>1.6</v>
      </c>
      <c r="O310" s="97">
        <v>1.6</v>
      </c>
      <c r="P310" s="97">
        <v>1.6</v>
      </c>
      <c r="Q310" s="76"/>
      <c r="R310" s="76" t="s">
        <v>667</v>
      </c>
      <c r="S310" s="76" t="s">
        <v>545</v>
      </c>
      <c r="T310" s="76"/>
      <c r="U310" s="253">
        <f t="shared" si="79"/>
        <v>1.6</v>
      </c>
      <c r="V310" s="253">
        <f t="shared" si="79"/>
        <v>1.6</v>
      </c>
      <c r="W310" s="253">
        <f t="shared" si="79"/>
        <v>1.6</v>
      </c>
      <c r="X310" s="253">
        <f t="shared" si="79"/>
        <v>1.6</v>
      </c>
      <c r="Y310" s="253">
        <f t="shared" si="79"/>
        <v>1.6</v>
      </c>
      <c r="Z310" s="253">
        <f t="shared" si="79"/>
        <v>1.6</v>
      </c>
      <c r="AA310" s="253">
        <f t="shared" si="79"/>
        <v>1.6</v>
      </c>
      <c r="AB310" s="253">
        <f t="shared" si="79"/>
        <v>1.6</v>
      </c>
      <c r="AC310" s="253">
        <f t="shared" si="79"/>
        <v>1.6</v>
      </c>
      <c r="AD310" s="253">
        <f t="shared" si="79"/>
        <v>1.6</v>
      </c>
      <c r="AE310" s="253">
        <f t="shared" si="79"/>
        <v>1.6</v>
      </c>
      <c r="AF310" s="76"/>
      <c r="AG310" s="76"/>
      <c r="AH310" s="76"/>
      <c r="AI310" s="97">
        <v>1</v>
      </c>
      <c r="AJ310" s="97">
        <v>1</v>
      </c>
      <c r="AK310" s="73"/>
      <c r="AL310" s="57"/>
      <c r="AM310" s="45"/>
      <c r="AN310" s="45"/>
      <c r="AO310" s="45"/>
    </row>
    <row r="311" spans="1:41" hidden="1" outlineLevel="2" x14ac:dyDescent="0.25">
      <c r="A311" s="45"/>
      <c r="B311" s="54"/>
      <c r="C311" s="47">
        <f t="shared" si="77"/>
        <v>3</v>
      </c>
      <c r="D311" s="73"/>
      <c r="E311" s="70"/>
      <c r="F311" s="70" t="s">
        <v>824</v>
      </c>
      <c r="G311" s="73"/>
      <c r="H311" s="76" t="s">
        <v>825</v>
      </c>
      <c r="I311" s="96" t="s">
        <v>497</v>
      </c>
      <c r="J311" s="96"/>
      <c r="K311" s="97">
        <v>4</v>
      </c>
      <c r="L311" s="97">
        <v>4</v>
      </c>
      <c r="M311" s="97">
        <v>4</v>
      </c>
      <c r="N311" s="97">
        <v>4</v>
      </c>
      <c r="O311" s="97">
        <v>4</v>
      </c>
      <c r="P311" s="97">
        <v>4</v>
      </c>
      <c r="Q311" s="76"/>
      <c r="R311" s="76" t="s">
        <v>667</v>
      </c>
      <c r="S311" s="76" t="s">
        <v>545</v>
      </c>
      <c r="T311" s="76"/>
      <c r="U311" s="253">
        <f t="shared" si="79"/>
        <v>4</v>
      </c>
      <c r="V311" s="253">
        <f t="shared" si="79"/>
        <v>4</v>
      </c>
      <c r="W311" s="253">
        <f t="shared" si="79"/>
        <v>4</v>
      </c>
      <c r="X311" s="253">
        <f t="shared" si="79"/>
        <v>4</v>
      </c>
      <c r="Y311" s="253">
        <f t="shared" si="79"/>
        <v>4</v>
      </c>
      <c r="Z311" s="253">
        <f t="shared" si="79"/>
        <v>4</v>
      </c>
      <c r="AA311" s="253">
        <f t="shared" si="79"/>
        <v>4</v>
      </c>
      <c r="AB311" s="253">
        <f t="shared" si="79"/>
        <v>4</v>
      </c>
      <c r="AC311" s="253">
        <f t="shared" si="79"/>
        <v>4</v>
      </c>
      <c r="AD311" s="253">
        <f t="shared" si="79"/>
        <v>4</v>
      </c>
      <c r="AE311" s="253">
        <f t="shared" si="79"/>
        <v>4</v>
      </c>
      <c r="AF311" s="76"/>
      <c r="AG311" s="76"/>
      <c r="AH311" s="76"/>
      <c r="AI311" s="97">
        <v>1</v>
      </c>
      <c r="AJ311" s="97">
        <v>1</v>
      </c>
      <c r="AK311" s="73"/>
      <c r="AL311" s="57"/>
      <c r="AM311" s="45"/>
      <c r="AN311" s="45"/>
      <c r="AO311" s="45"/>
    </row>
    <row r="312" spans="1:41" hidden="1" outlineLevel="2" x14ac:dyDescent="0.25">
      <c r="A312" s="45"/>
      <c r="B312" s="54"/>
      <c r="C312" s="47">
        <f t="shared" si="77"/>
        <v>3</v>
      </c>
      <c r="D312" s="73"/>
      <c r="E312" s="70"/>
      <c r="F312" s="70" t="s">
        <v>826</v>
      </c>
      <c r="G312" s="73"/>
      <c r="H312" s="76" t="s">
        <v>827</v>
      </c>
      <c r="I312" s="96" t="s">
        <v>497</v>
      </c>
      <c r="J312" s="96"/>
      <c r="K312" s="97">
        <v>8.0000000000000002E-3</v>
      </c>
      <c r="L312" s="97">
        <v>8.0000000000000002E-3</v>
      </c>
      <c r="M312" s="97">
        <v>4.0000000000000001E-3</v>
      </c>
      <c r="N312" s="97">
        <v>4.0000000000000001E-3</v>
      </c>
      <c r="O312" s="97">
        <v>4.0000000000000001E-3</v>
      </c>
      <c r="P312" s="97">
        <v>2.7000000000000001E-3</v>
      </c>
      <c r="Q312" s="76"/>
      <c r="R312" s="76" t="s">
        <v>667</v>
      </c>
      <c r="S312" s="76" t="s">
        <v>545</v>
      </c>
      <c r="T312" s="76"/>
      <c r="U312" s="253">
        <f t="shared" si="79"/>
        <v>8.0000000000000002E-3</v>
      </c>
      <c r="V312" s="253">
        <f t="shared" si="79"/>
        <v>8.0000000000000002E-3</v>
      </c>
      <c r="W312" s="253">
        <f t="shared" si="79"/>
        <v>8.0000000000000002E-3</v>
      </c>
      <c r="X312" s="253">
        <f t="shared" si="79"/>
        <v>8.0000000000000002E-3</v>
      </c>
      <c r="Y312" s="253">
        <f t="shared" si="79"/>
        <v>8.0000000000000002E-3</v>
      </c>
      <c r="Z312" s="253">
        <f t="shared" si="79"/>
        <v>8.0000000000000002E-3</v>
      </c>
      <c r="AA312" s="253">
        <f t="shared" si="79"/>
        <v>8.0000000000000002E-3</v>
      </c>
      <c r="AB312" s="253">
        <f t="shared" si="79"/>
        <v>8.0000000000000002E-3</v>
      </c>
      <c r="AC312" s="253">
        <f t="shared" si="79"/>
        <v>8.0000000000000002E-3</v>
      </c>
      <c r="AD312" s="253">
        <f t="shared" si="79"/>
        <v>8.0000000000000002E-3</v>
      </c>
      <c r="AE312" s="253">
        <f t="shared" si="79"/>
        <v>8.0000000000000002E-3</v>
      </c>
      <c r="AF312" s="76"/>
      <c r="AG312" s="76"/>
      <c r="AH312" s="76"/>
      <c r="AI312" s="97">
        <v>1</v>
      </c>
      <c r="AJ312" s="97">
        <v>1</v>
      </c>
      <c r="AK312" s="73"/>
      <c r="AL312" s="57"/>
      <c r="AM312" s="45"/>
      <c r="AN312" s="45"/>
      <c r="AO312" s="45"/>
    </row>
    <row r="313" spans="1:41" hidden="1" outlineLevel="2" x14ac:dyDescent="0.25">
      <c r="A313" s="45"/>
      <c r="B313" s="54"/>
      <c r="C313" s="47">
        <f t="shared" si="77"/>
        <v>3</v>
      </c>
      <c r="D313" s="73"/>
      <c r="E313" s="70"/>
      <c r="F313" s="70" t="s">
        <v>828</v>
      </c>
      <c r="G313" s="73"/>
      <c r="H313" s="76" t="s">
        <v>827</v>
      </c>
      <c r="I313" s="96" t="s">
        <v>497</v>
      </c>
      <c r="J313" s="96"/>
      <c r="K313" s="97">
        <v>1.2E-2</v>
      </c>
      <c r="L313" s="97">
        <v>1.2E-2</v>
      </c>
      <c r="M313" s="97">
        <v>6.0000000000000001E-3</v>
      </c>
      <c r="N313" s="97">
        <v>6.0000000000000001E-3</v>
      </c>
      <c r="O313" s="97">
        <v>6.0000000000000001E-3</v>
      </c>
      <c r="P313" s="97">
        <v>4.0000000000000001E-3</v>
      </c>
      <c r="Q313" s="76"/>
      <c r="R313" s="76" t="s">
        <v>667</v>
      </c>
      <c r="S313" s="76" t="s">
        <v>545</v>
      </c>
      <c r="T313" s="76"/>
      <c r="U313" s="253">
        <f t="shared" si="79"/>
        <v>1.2E-2</v>
      </c>
      <c r="V313" s="253">
        <f t="shared" si="79"/>
        <v>1.2E-2</v>
      </c>
      <c r="W313" s="253">
        <f t="shared" si="79"/>
        <v>1.2E-2</v>
      </c>
      <c r="X313" s="253">
        <f t="shared" si="79"/>
        <v>1.2E-2</v>
      </c>
      <c r="Y313" s="253">
        <f t="shared" si="79"/>
        <v>1.2E-2</v>
      </c>
      <c r="Z313" s="253">
        <f t="shared" si="79"/>
        <v>1.2E-2</v>
      </c>
      <c r="AA313" s="253">
        <f t="shared" si="79"/>
        <v>1.2E-2</v>
      </c>
      <c r="AB313" s="253">
        <f t="shared" si="79"/>
        <v>1.2E-2</v>
      </c>
      <c r="AC313" s="253">
        <f t="shared" si="79"/>
        <v>1.2E-2</v>
      </c>
      <c r="AD313" s="253">
        <f t="shared" si="79"/>
        <v>1.2E-2</v>
      </c>
      <c r="AE313" s="253">
        <f t="shared" si="79"/>
        <v>1.2E-2</v>
      </c>
      <c r="AF313" s="76"/>
      <c r="AG313" s="76"/>
      <c r="AH313" s="76"/>
      <c r="AI313" s="97">
        <v>1</v>
      </c>
      <c r="AJ313" s="97">
        <v>1</v>
      </c>
      <c r="AK313" s="73"/>
      <c r="AL313" s="57"/>
      <c r="AM313" s="45"/>
      <c r="AN313" s="45"/>
      <c r="AO313" s="45"/>
    </row>
    <row r="314" spans="1:41" hidden="1" outlineLevel="2" x14ac:dyDescent="0.25">
      <c r="A314" s="45"/>
      <c r="B314" s="54"/>
      <c r="C314" s="47">
        <f t="shared" si="77"/>
        <v>3</v>
      </c>
      <c r="D314" s="73"/>
      <c r="E314" s="70"/>
      <c r="F314" s="70" t="s">
        <v>829</v>
      </c>
      <c r="G314" s="73"/>
      <c r="H314" s="76" t="s">
        <v>830</v>
      </c>
      <c r="I314" s="96" t="s">
        <v>497</v>
      </c>
      <c r="J314" s="96"/>
      <c r="K314" s="97">
        <v>3</v>
      </c>
      <c r="L314" s="97">
        <v>3</v>
      </c>
      <c r="M314" s="97">
        <v>3</v>
      </c>
      <c r="N314" s="97">
        <v>3</v>
      </c>
      <c r="O314" s="97">
        <v>3</v>
      </c>
      <c r="P314" s="97">
        <v>3</v>
      </c>
      <c r="Q314" s="76"/>
      <c r="R314" s="76" t="s">
        <v>667</v>
      </c>
      <c r="S314" s="76" t="s">
        <v>545</v>
      </c>
      <c r="T314" s="76"/>
      <c r="U314" s="253">
        <f t="shared" si="79"/>
        <v>3</v>
      </c>
      <c r="V314" s="253">
        <f t="shared" si="79"/>
        <v>3</v>
      </c>
      <c r="W314" s="253">
        <f t="shared" si="79"/>
        <v>3</v>
      </c>
      <c r="X314" s="253">
        <f t="shared" si="79"/>
        <v>3</v>
      </c>
      <c r="Y314" s="253">
        <f t="shared" si="79"/>
        <v>3</v>
      </c>
      <c r="Z314" s="253">
        <f t="shared" si="79"/>
        <v>3</v>
      </c>
      <c r="AA314" s="253">
        <f t="shared" si="79"/>
        <v>3</v>
      </c>
      <c r="AB314" s="253">
        <f t="shared" si="79"/>
        <v>3</v>
      </c>
      <c r="AC314" s="253">
        <f t="shared" si="79"/>
        <v>3</v>
      </c>
      <c r="AD314" s="253">
        <f t="shared" si="79"/>
        <v>3</v>
      </c>
      <c r="AE314" s="253">
        <f t="shared" si="79"/>
        <v>3</v>
      </c>
      <c r="AF314" s="76"/>
      <c r="AG314" s="76"/>
      <c r="AH314" s="76"/>
      <c r="AI314" s="97">
        <v>1</v>
      </c>
      <c r="AJ314" s="97">
        <v>1</v>
      </c>
      <c r="AK314" s="73"/>
      <c r="AL314" s="57"/>
      <c r="AM314" s="45"/>
      <c r="AN314" s="45"/>
      <c r="AO314" s="45"/>
    </row>
    <row r="315" spans="1:41" hidden="1" outlineLevel="2" x14ac:dyDescent="0.25">
      <c r="A315" s="45"/>
      <c r="B315" s="54"/>
      <c r="C315" s="47">
        <f t="shared" si="77"/>
        <v>3</v>
      </c>
      <c r="D315" s="73"/>
      <c r="E315" s="70"/>
      <c r="F315" s="70" t="s">
        <v>831</v>
      </c>
      <c r="G315" s="73"/>
      <c r="H315" s="76" t="s">
        <v>830</v>
      </c>
      <c r="I315" s="96" t="s">
        <v>497</v>
      </c>
      <c r="J315" s="96"/>
      <c r="K315" s="97">
        <v>0.6</v>
      </c>
      <c r="L315" s="97">
        <v>0.6</v>
      </c>
      <c r="M315" s="97">
        <v>0.6</v>
      </c>
      <c r="N315" s="97">
        <v>0.6</v>
      </c>
      <c r="O315" s="97">
        <v>0.6</v>
      </c>
      <c r="P315" s="97">
        <v>0.6</v>
      </c>
      <c r="Q315" s="76"/>
      <c r="R315" s="76" t="s">
        <v>832</v>
      </c>
      <c r="S315" s="76" t="s">
        <v>545</v>
      </c>
      <c r="T315" s="76"/>
      <c r="U315" s="253">
        <f t="shared" si="79"/>
        <v>0.6</v>
      </c>
      <c r="V315" s="253">
        <f t="shared" si="79"/>
        <v>0.6</v>
      </c>
      <c r="W315" s="253">
        <f t="shared" si="79"/>
        <v>0.6</v>
      </c>
      <c r="X315" s="253">
        <f t="shared" si="79"/>
        <v>0.6</v>
      </c>
      <c r="Y315" s="253">
        <f t="shared" si="79"/>
        <v>0.6</v>
      </c>
      <c r="Z315" s="253">
        <f t="shared" si="79"/>
        <v>0.6</v>
      </c>
      <c r="AA315" s="253">
        <f t="shared" si="79"/>
        <v>0.6</v>
      </c>
      <c r="AB315" s="253">
        <f t="shared" si="79"/>
        <v>0.6</v>
      </c>
      <c r="AC315" s="253">
        <f t="shared" si="79"/>
        <v>0.6</v>
      </c>
      <c r="AD315" s="253">
        <f t="shared" si="79"/>
        <v>0.6</v>
      </c>
      <c r="AE315" s="253">
        <f t="shared" si="79"/>
        <v>0.6</v>
      </c>
      <c r="AF315" s="76"/>
      <c r="AG315" s="76"/>
      <c r="AH315" s="76"/>
      <c r="AI315" s="97">
        <v>1</v>
      </c>
      <c r="AJ315" s="97">
        <v>1</v>
      </c>
      <c r="AK315" s="73"/>
      <c r="AL315" s="57"/>
      <c r="AM315" s="45"/>
      <c r="AN315" s="45"/>
      <c r="AO315" s="45"/>
    </row>
    <row r="316" spans="1:41" hidden="1" outlineLevel="2" x14ac:dyDescent="0.25">
      <c r="A316" s="45"/>
      <c r="B316" s="54"/>
      <c r="C316" s="47">
        <f t="shared" si="77"/>
        <v>3</v>
      </c>
      <c r="D316" s="73"/>
      <c r="E316" s="70"/>
      <c r="F316" s="70" t="s">
        <v>833</v>
      </c>
      <c r="G316" s="73"/>
      <c r="H316" s="76" t="s">
        <v>834</v>
      </c>
      <c r="I316" s="96" t="s">
        <v>497</v>
      </c>
      <c r="J316" s="96"/>
      <c r="K316" s="97">
        <v>0.17</v>
      </c>
      <c r="L316" s="97">
        <v>0.17</v>
      </c>
      <c r="M316" s="97">
        <v>0.13</v>
      </c>
      <c r="N316" s="97">
        <v>0.13</v>
      </c>
      <c r="O316" s="97">
        <v>0.13</v>
      </c>
      <c r="P316" s="97">
        <v>0.13</v>
      </c>
      <c r="Q316" s="76"/>
      <c r="R316" s="76" t="s">
        <v>835</v>
      </c>
      <c r="S316" s="76"/>
      <c r="T316" s="76"/>
      <c r="U316" s="253">
        <f t="shared" si="79"/>
        <v>0.17</v>
      </c>
      <c r="V316" s="253">
        <f t="shared" si="79"/>
        <v>0.17</v>
      </c>
      <c r="W316" s="253">
        <f t="shared" si="79"/>
        <v>0.17</v>
      </c>
      <c r="X316" s="253">
        <f t="shared" si="79"/>
        <v>0.17</v>
      </c>
      <c r="Y316" s="253">
        <f t="shared" si="79"/>
        <v>0.17</v>
      </c>
      <c r="Z316" s="253">
        <f t="shared" si="79"/>
        <v>0.17</v>
      </c>
      <c r="AA316" s="253">
        <f t="shared" si="79"/>
        <v>0.17</v>
      </c>
      <c r="AB316" s="253">
        <f t="shared" si="79"/>
        <v>0.17</v>
      </c>
      <c r="AC316" s="253">
        <f t="shared" si="79"/>
        <v>0.17</v>
      </c>
      <c r="AD316" s="253">
        <f t="shared" si="79"/>
        <v>0.17</v>
      </c>
      <c r="AE316" s="253">
        <f t="shared" si="79"/>
        <v>0.17</v>
      </c>
      <c r="AF316" s="76"/>
      <c r="AG316" s="76"/>
      <c r="AH316" s="76"/>
      <c r="AI316" s="97">
        <v>1</v>
      </c>
      <c r="AJ316" s="97">
        <v>1</v>
      </c>
      <c r="AK316" s="73"/>
      <c r="AL316" s="57"/>
      <c r="AM316" s="45"/>
      <c r="AN316" s="45"/>
      <c r="AO316" s="45"/>
    </row>
    <row r="317" spans="1:41" outlineLevel="1" collapsed="1" x14ac:dyDescent="0.25">
      <c r="A317" s="45"/>
      <c r="B317" s="54"/>
      <c r="C317" s="47">
        <f>INT($C$29)+1</f>
        <v>2</v>
      </c>
      <c r="D317" s="73"/>
      <c r="E317" s="70"/>
      <c r="F317" s="256" t="s">
        <v>433</v>
      </c>
      <c r="G317" s="73"/>
      <c r="H317" s="246" t="s">
        <v>836</v>
      </c>
      <c r="I317" s="96"/>
      <c r="J317" s="96" t="s">
        <v>514</v>
      </c>
      <c r="K317" s="79">
        <v>27</v>
      </c>
      <c r="L317" s="76"/>
      <c r="M317" s="79">
        <v>0</v>
      </c>
      <c r="N317" s="76"/>
      <c r="O317" s="76"/>
      <c r="P317" s="76"/>
      <c r="Q317" s="76"/>
      <c r="R317" s="76"/>
      <c r="S317" s="76"/>
      <c r="T317" s="76"/>
      <c r="U317" s="76"/>
      <c r="V317" s="76"/>
      <c r="W317" s="76"/>
      <c r="X317" s="76"/>
      <c r="Y317" s="76"/>
      <c r="Z317" s="76"/>
      <c r="AA317" s="76"/>
      <c r="AB317" s="76"/>
      <c r="AC317" s="76"/>
      <c r="AD317" s="76"/>
      <c r="AE317" s="76"/>
      <c r="AF317" s="76"/>
      <c r="AG317" s="76"/>
      <c r="AH317" s="76"/>
      <c r="AI317" s="76"/>
      <c r="AJ317" s="76"/>
      <c r="AK317" s="73"/>
      <c r="AL317" s="57"/>
      <c r="AM317" s="45"/>
      <c r="AN317" s="45"/>
      <c r="AO317" s="45"/>
    </row>
    <row r="318" spans="1:41" hidden="1" outlineLevel="2" x14ac:dyDescent="0.25">
      <c r="A318" s="45"/>
      <c r="B318" s="54"/>
      <c r="C318" s="47">
        <f>INT($C$29)+3</f>
        <v>4</v>
      </c>
      <c r="D318" s="73"/>
      <c r="E318" s="70" t="s">
        <v>837</v>
      </c>
      <c r="F318" s="70" t="s">
        <v>838</v>
      </c>
      <c r="G318" s="73"/>
      <c r="H318" s="76" t="s">
        <v>3219</v>
      </c>
      <c r="I318" s="96" t="s">
        <v>3221</v>
      </c>
      <c r="J318" s="96"/>
      <c r="K318" s="97">
        <v>31.7</v>
      </c>
      <c r="L318" s="97">
        <v>31.7</v>
      </c>
      <c r="M318" s="76"/>
      <c r="N318" s="76"/>
      <c r="O318" s="76"/>
      <c r="P318" s="76"/>
      <c r="Q318" s="76"/>
      <c r="R318" s="76" t="s">
        <v>3220</v>
      </c>
      <c r="S318" s="76"/>
      <c r="T318" s="76"/>
      <c r="U318" s="253">
        <f t="shared" ref="U318:AE320" si="80">INDEX($K318:$Q318,1,U$43)</f>
        <v>31.7</v>
      </c>
      <c r="V318" s="253">
        <f t="shared" si="80"/>
        <v>31.7</v>
      </c>
      <c r="W318" s="253">
        <f t="shared" si="80"/>
        <v>31.7</v>
      </c>
      <c r="X318" s="253">
        <f t="shared" si="80"/>
        <v>31.7</v>
      </c>
      <c r="Y318" s="253">
        <f t="shared" si="80"/>
        <v>31.7</v>
      </c>
      <c r="Z318" s="253">
        <f t="shared" si="80"/>
        <v>31.7</v>
      </c>
      <c r="AA318" s="253">
        <f t="shared" si="80"/>
        <v>31.7</v>
      </c>
      <c r="AB318" s="253">
        <f t="shared" si="80"/>
        <v>31.7</v>
      </c>
      <c r="AC318" s="253">
        <f t="shared" si="80"/>
        <v>31.7</v>
      </c>
      <c r="AD318" s="253">
        <f t="shared" si="80"/>
        <v>31.7</v>
      </c>
      <c r="AE318" s="253">
        <f t="shared" si="80"/>
        <v>31.7</v>
      </c>
      <c r="AF318" s="76"/>
      <c r="AG318" s="76"/>
      <c r="AH318" s="76"/>
      <c r="AI318" s="97">
        <v>1</v>
      </c>
      <c r="AJ318" s="97">
        <v>1</v>
      </c>
      <c r="AK318" s="73"/>
      <c r="AL318" s="57"/>
      <c r="AM318" s="45"/>
      <c r="AN318" s="45"/>
      <c r="AO318" s="45"/>
    </row>
    <row r="319" spans="1:41" hidden="1" outlineLevel="2" x14ac:dyDescent="0.25">
      <c r="A319" s="45"/>
      <c r="B319" s="54"/>
      <c r="C319" s="47">
        <f t="shared" ref="C319:C344" si="81">INT($C$29)+2</f>
        <v>3</v>
      </c>
      <c r="D319" s="73"/>
      <c r="E319" s="70"/>
      <c r="F319" s="70" t="s">
        <v>839</v>
      </c>
      <c r="G319" s="73"/>
      <c r="H319" s="76" t="s">
        <v>2222</v>
      </c>
      <c r="I319" s="96" t="s">
        <v>840</v>
      </c>
      <c r="J319" s="96"/>
      <c r="K319" s="97">
        <v>24</v>
      </c>
      <c r="L319" s="97">
        <v>24</v>
      </c>
      <c r="M319" s="76"/>
      <c r="N319" s="76"/>
      <c r="O319" s="76"/>
      <c r="P319" s="76"/>
      <c r="Q319" s="76"/>
      <c r="R319" s="76" t="s">
        <v>2819</v>
      </c>
      <c r="S319" s="76"/>
      <c r="T319" s="76"/>
      <c r="U319" s="253">
        <f t="shared" si="80"/>
        <v>24</v>
      </c>
      <c r="V319" s="253">
        <f t="shared" si="80"/>
        <v>24</v>
      </c>
      <c r="W319" s="253">
        <f t="shared" si="80"/>
        <v>24</v>
      </c>
      <c r="X319" s="253">
        <f t="shared" si="80"/>
        <v>24</v>
      </c>
      <c r="Y319" s="253">
        <f t="shared" si="80"/>
        <v>24</v>
      </c>
      <c r="Z319" s="253">
        <f t="shared" si="80"/>
        <v>24</v>
      </c>
      <c r="AA319" s="253">
        <f t="shared" si="80"/>
        <v>24</v>
      </c>
      <c r="AB319" s="253">
        <f t="shared" si="80"/>
        <v>24</v>
      </c>
      <c r="AC319" s="253">
        <f t="shared" si="80"/>
        <v>24</v>
      </c>
      <c r="AD319" s="253">
        <f t="shared" si="80"/>
        <v>24</v>
      </c>
      <c r="AE319" s="253">
        <f t="shared" si="80"/>
        <v>24</v>
      </c>
      <c r="AF319" s="76"/>
      <c r="AG319" s="76"/>
      <c r="AH319" s="76"/>
      <c r="AI319" s="97">
        <v>1</v>
      </c>
      <c r="AJ319" s="97">
        <v>1</v>
      </c>
      <c r="AK319" s="73"/>
      <c r="AL319" s="57"/>
      <c r="AM319" s="45"/>
      <c r="AN319" s="45"/>
      <c r="AO319" s="45"/>
    </row>
    <row r="320" spans="1:41" hidden="1" outlineLevel="2" x14ac:dyDescent="0.25">
      <c r="A320" s="45"/>
      <c r="B320" s="54"/>
      <c r="C320" s="47">
        <f t="shared" si="81"/>
        <v>3</v>
      </c>
      <c r="D320" s="73"/>
      <c r="E320" s="70"/>
      <c r="F320" s="70" t="s">
        <v>841</v>
      </c>
      <c r="G320" s="73"/>
      <c r="H320" s="76" t="s">
        <v>842</v>
      </c>
      <c r="I320" s="96" t="s">
        <v>843</v>
      </c>
      <c r="J320" s="96"/>
      <c r="K320" s="97">
        <v>4.0000000000000001E-3</v>
      </c>
      <c r="L320" s="97">
        <v>4.0000000000000001E-3</v>
      </c>
      <c r="M320" s="76"/>
      <c r="N320" s="76"/>
      <c r="O320" s="76"/>
      <c r="P320" s="76"/>
      <c r="Q320" s="76"/>
      <c r="R320" s="76" t="s">
        <v>507</v>
      </c>
      <c r="S320" s="76"/>
      <c r="T320" s="76"/>
      <c r="U320" s="253">
        <f t="shared" si="80"/>
        <v>4.0000000000000001E-3</v>
      </c>
      <c r="V320" s="253">
        <f t="shared" si="80"/>
        <v>4.0000000000000001E-3</v>
      </c>
      <c r="W320" s="253">
        <f t="shared" si="80"/>
        <v>4.0000000000000001E-3</v>
      </c>
      <c r="X320" s="253">
        <f t="shared" si="80"/>
        <v>4.0000000000000001E-3</v>
      </c>
      <c r="Y320" s="253">
        <f t="shared" si="80"/>
        <v>4.0000000000000001E-3</v>
      </c>
      <c r="Z320" s="253">
        <f t="shared" si="80"/>
        <v>4.0000000000000001E-3</v>
      </c>
      <c r="AA320" s="253">
        <f t="shared" si="80"/>
        <v>4.0000000000000001E-3</v>
      </c>
      <c r="AB320" s="253">
        <f t="shared" si="80"/>
        <v>4.0000000000000001E-3</v>
      </c>
      <c r="AC320" s="253">
        <f t="shared" si="80"/>
        <v>4.0000000000000001E-3</v>
      </c>
      <c r="AD320" s="253">
        <f t="shared" si="80"/>
        <v>4.0000000000000001E-3</v>
      </c>
      <c r="AE320" s="253">
        <f t="shared" si="80"/>
        <v>4.0000000000000001E-3</v>
      </c>
      <c r="AF320" s="76"/>
      <c r="AG320" s="76"/>
      <c r="AH320" s="76"/>
      <c r="AI320" s="97">
        <v>1</v>
      </c>
      <c r="AJ320" s="97">
        <v>1</v>
      </c>
      <c r="AK320" s="73"/>
      <c r="AL320" s="57"/>
      <c r="AM320" s="45"/>
      <c r="AN320" s="45"/>
      <c r="AO320" s="45"/>
    </row>
    <row r="321" spans="1:41" hidden="1" outlineLevel="2" x14ac:dyDescent="0.25">
      <c r="A321" s="45"/>
      <c r="B321" s="54"/>
      <c r="C321" s="47">
        <f t="shared" si="81"/>
        <v>3</v>
      </c>
      <c r="D321" s="73"/>
      <c r="E321" s="70"/>
      <c r="F321" s="70" t="s">
        <v>844</v>
      </c>
      <c r="G321" s="73"/>
      <c r="H321" s="76" t="s">
        <v>2223</v>
      </c>
      <c r="I321" s="96" t="s">
        <v>569</v>
      </c>
      <c r="J321" s="96"/>
      <c r="K321" s="76"/>
      <c r="L321" s="76"/>
      <c r="M321" s="76"/>
      <c r="N321" s="76"/>
      <c r="O321" s="76"/>
      <c r="P321" s="76"/>
      <c r="Q321" s="76"/>
      <c r="R321" s="76"/>
      <c r="S321" s="76"/>
      <c r="T321" s="76"/>
      <c r="U321" s="97">
        <v>0.7</v>
      </c>
      <c r="V321" s="97">
        <v>0.7</v>
      </c>
      <c r="W321" s="97">
        <v>0.7</v>
      </c>
      <c r="X321" s="97">
        <v>0.7</v>
      </c>
      <c r="Y321" s="97">
        <v>0.7</v>
      </c>
      <c r="Z321" s="97">
        <v>0.7</v>
      </c>
      <c r="AA321" s="97">
        <v>0.7</v>
      </c>
      <c r="AB321" s="97">
        <v>0.7</v>
      </c>
      <c r="AC321" s="97">
        <v>0.7</v>
      </c>
      <c r="AD321" s="97">
        <v>0.7</v>
      </c>
      <c r="AE321" s="97">
        <v>0.7</v>
      </c>
      <c r="AF321" s="76"/>
      <c r="AG321" s="97" t="s">
        <v>2198</v>
      </c>
      <c r="AH321" s="76"/>
      <c r="AI321" s="97">
        <v>1</v>
      </c>
      <c r="AJ321" s="97">
        <v>1</v>
      </c>
      <c r="AK321" s="73"/>
      <c r="AL321" s="57"/>
      <c r="AM321" s="45"/>
      <c r="AN321" s="45"/>
      <c r="AO321" s="45"/>
    </row>
    <row r="322" spans="1:41" hidden="1" outlineLevel="2" x14ac:dyDescent="0.25">
      <c r="A322" s="45"/>
      <c r="B322" s="54"/>
      <c r="C322" s="47">
        <f t="shared" si="81"/>
        <v>3</v>
      </c>
      <c r="D322" s="73"/>
      <c r="E322" s="70"/>
      <c r="F322" s="70" t="s">
        <v>845</v>
      </c>
      <c r="G322" s="73"/>
      <c r="H322" s="76" t="s">
        <v>846</v>
      </c>
      <c r="I322" s="96" t="s">
        <v>569</v>
      </c>
      <c r="J322" s="96"/>
      <c r="K322" s="97">
        <v>0.04</v>
      </c>
      <c r="L322" s="97">
        <v>0.04</v>
      </c>
      <c r="M322" s="76"/>
      <c r="N322" s="76"/>
      <c r="O322" s="76"/>
      <c r="P322" s="76"/>
      <c r="Q322" s="76"/>
      <c r="R322" s="76" t="s">
        <v>847</v>
      </c>
      <c r="S322" s="76"/>
      <c r="T322" s="76"/>
      <c r="U322" s="253">
        <f t="shared" ref="U322:AE323" si="82">INDEX($K322:$Q322,1,U$43)</f>
        <v>0.04</v>
      </c>
      <c r="V322" s="253">
        <f t="shared" si="82"/>
        <v>0.04</v>
      </c>
      <c r="W322" s="253">
        <f t="shared" si="82"/>
        <v>0.04</v>
      </c>
      <c r="X322" s="253">
        <f t="shared" si="82"/>
        <v>0.04</v>
      </c>
      <c r="Y322" s="253">
        <f t="shared" si="82"/>
        <v>0.04</v>
      </c>
      <c r="Z322" s="253">
        <f t="shared" si="82"/>
        <v>0.04</v>
      </c>
      <c r="AA322" s="253">
        <f t="shared" si="82"/>
        <v>0.04</v>
      </c>
      <c r="AB322" s="253">
        <f t="shared" si="82"/>
        <v>0.04</v>
      </c>
      <c r="AC322" s="253">
        <f t="shared" si="82"/>
        <v>0.04</v>
      </c>
      <c r="AD322" s="253">
        <f t="shared" si="82"/>
        <v>0.04</v>
      </c>
      <c r="AE322" s="253">
        <f t="shared" si="82"/>
        <v>0.04</v>
      </c>
      <c r="AF322" s="76"/>
      <c r="AG322" s="76"/>
      <c r="AH322" s="76"/>
      <c r="AI322" s="97">
        <v>1</v>
      </c>
      <c r="AJ322" s="97">
        <v>1</v>
      </c>
      <c r="AK322" s="73"/>
      <c r="AL322" s="57"/>
      <c r="AM322" s="45"/>
      <c r="AN322" s="45"/>
      <c r="AO322" s="45"/>
    </row>
    <row r="323" spans="1:41" hidden="1" outlineLevel="2" x14ac:dyDescent="0.25">
      <c r="A323" s="45"/>
      <c r="B323" s="54"/>
      <c r="C323" s="47">
        <f t="shared" si="81"/>
        <v>3</v>
      </c>
      <c r="D323" s="73"/>
      <c r="E323" s="70"/>
      <c r="F323" s="70" t="s">
        <v>848</v>
      </c>
      <c r="G323" s="73"/>
      <c r="H323" s="76" t="s">
        <v>849</v>
      </c>
      <c r="I323" s="96" t="s">
        <v>524</v>
      </c>
      <c r="J323" s="96"/>
      <c r="K323" s="97">
        <v>0.25</v>
      </c>
      <c r="L323" s="97">
        <v>0.25</v>
      </c>
      <c r="M323" s="76"/>
      <c r="N323" s="76"/>
      <c r="O323" s="76"/>
      <c r="P323" s="76"/>
      <c r="Q323" s="76"/>
      <c r="R323" s="76" t="s">
        <v>850</v>
      </c>
      <c r="S323" s="76"/>
      <c r="T323" s="76"/>
      <c r="U323" s="253">
        <f t="shared" si="82"/>
        <v>0.25</v>
      </c>
      <c r="V323" s="253">
        <f t="shared" si="82"/>
        <v>0.25</v>
      </c>
      <c r="W323" s="253">
        <f t="shared" si="82"/>
        <v>0.25</v>
      </c>
      <c r="X323" s="253">
        <f t="shared" si="82"/>
        <v>0.25</v>
      </c>
      <c r="Y323" s="253">
        <f t="shared" si="82"/>
        <v>0.25</v>
      </c>
      <c r="Z323" s="253">
        <f t="shared" si="82"/>
        <v>0.25</v>
      </c>
      <c r="AA323" s="253">
        <f t="shared" si="82"/>
        <v>0.25</v>
      </c>
      <c r="AB323" s="253">
        <f t="shared" si="82"/>
        <v>0.25</v>
      </c>
      <c r="AC323" s="253">
        <f t="shared" si="82"/>
        <v>0.25</v>
      </c>
      <c r="AD323" s="253">
        <f t="shared" si="82"/>
        <v>0.25</v>
      </c>
      <c r="AE323" s="253">
        <f t="shared" si="82"/>
        <v>0.25</v>
      </c>
      <c r="AF323" s="76"/>
      <c r="AG323" s="76"/>
      <c r="AH323" s="76"/>
      <c r="AI323" s="97">
        <v>1</v>
      </c>
      <c r="AJ323" s="97">
        <v>1</v>
      </c>
      <c r="AK323" s="73"/>
      <c r="AL323" s="57"/>
      <c r="AM323" s="45"/>
      <c r="AN323" s="45"/>
      <c r="AO323" s="45"/>
    </row>
    <row r="324" spans="1:41" hidden="1" outlineLevel="2" x14ac:dyDescent="0.25">
      <c r="A324" s="45"/>
      <c r="B324" s="54"/>
      <c r="C324" s="47">
        <f t="shared" si="81"/>
        <v>3</v>
      </c>
      <c r="D324" s="73"/>
      <c r="E324" s="70"/>
      <c r="F324" s="70" t="s">
        <v>851</v>
      </c>
      <c r="G324" s="73"/>
      <c r="H324" s="76" t="s">
        <v>852</v>
      </c>
      <c r="I324" s="96" t="s">
        <v>853</v>
      </c>
      <c r="J324" s="96"/>
      <c r="K324" s="76"/>
      <c r="L324" s="76"/>
      <c r="M324" s="76"/>
      <c r="N324" s="76"/>
      <c r="O324" s="76"/>
      <c r="P324" s="76"/>
      <c r="Q324" s="76"/>
      <c r="R324" s="76" t="s">
        <v>854</v>
      </c>
      <c r="S324" s="76"/>
      <c r="T324" s="76"/>
      <c r="U324" s="97">
        <v>0.03</v>
      </c>
      <c r="V324" s="97">
        <v>0.03</v>
      </c>
      <c r="W324" s="97">
        <v>0.03</v>
      </c>
      <c r="X324" s="97">
        <v>0.03</v>
      </c>
      <c r="Y324" s="97">
        <v>0.03</v>
      </c>
      <c r="Z324" s="97">
        <v>0.03</v>
      </c>
      <c r="AA324" s="97">
        <v>0.03</v>
      </c>
      <c r="AB324" s="97">
        <v>0.06</v>
      </c>
      <c r="AC324" s="97">
        <v>0.11</v>
      </c>
      <c r="AD324" s="97">
        <v>0.11</v>
      </c>
      <c r="AE324" s="97">
        <v>0.2</v>
      </c>
      <c r="AF324" s="76"/>
      <c r="AG324" s="97" t="s">
        <v>854</v>
      </c>
      <c r="AH324" s="76"/>
      <c r="AI324" s="97">
        <v>1</v>
      </c>
      <c r="AJ324" s="97">
        <v>1</v>
      </c>
      <c r="AK324" s="73"/>
      <c r="AL324" s="57"/>
      <c r="AM324" s="45"/>
      <c r="AN324" s="45"/>
      <c r="AO324" s="45"/>
    </row>
    <row r="325" spans="1:41" hidden="1" outlineLevel="2" x14ac:dyDescent="0.25">
      <c r="A325" s="45"/>
      <c r="B325" s="54"/>
      <c r="C325" s="47">
        <f t="shared" si="81"/>
        <v>3</v>
      </c>
      <c r="D325" s="73"/>
      <c r="E325" s="70"/>
      <c r="F325" s="70" t="s">
        <v>855</v>
      </c>
      <c r="G325" s="73"/>
      <c r="H325" s="76" t="s">
        <v>856</v>
      </c>
      <c r="I325" s="96" t="s">
        <v>519</v>
      </c>
      <c r="J325" s="96"/>
      <c r="K325" s="97">
        <v>1.35</v>
      </c>
      <c r="L325" s="97">
        <v>1.35</v>
      </c>
      <c r="M325" s="76"/>
      <c r="N325" s="76"/>
      <c r="O325" s="76"/>
      <c r="P325" s="76"/>
      <c r="Q325" s="76"/>
      <c r="R325" s="76" t="s">
        <v>857</v>
      </c>
      <c r="S325" s="76"/>
      <c r="T325" s="76"/>
      <c r="U325" s="253">
        <f t="shared" ref="U325:AE328" si="83">INDEX($K325:$Q325,1,U$43)</f>
        <v>1.35</v>
      </c>
      <c r="V325" s="253">
        <f t="shared" si="83"/>
        <v>1.35</v>
      </c>
      <c r="W325" s="253">
        <f t="shared" si="83"/>
        <v>1.35</v>
      </c>
      <c r="X325" s="253">
        <f t="shared" si="83"/>
        <v>1.35</v>
      </c>
      <c r="Y325" s="253">
        <f t="shared" si="83"/>
        <v>1.35</v>
      </c>
      <c r="Z325" s="253">
        <f t="shared" si="83"/>
        <v>1.35</v>
      </c>
      <c r="AA325" s="253">
        <f t="shared" si="83"/>
        <v>1.35</v>
      </c>
      <c r="AB325" s="253">
        <f t="shared" si="83"/>
        <v>1.35</v>
      </c>
      <c r="AC325" s="253">
        <f t="shared" si="83"/>
        <v>1.35</v>
      </c>
      <c r="AD325" s="253">
        <f t="shared" si="83"/>
        <v>1.35</v>
      </c>
      <c r="AE325" s="253">
        <f t="shared" si="83"/>
        <v>1.35</v>
      </c>
      <c r="AF325" s="76"/>
      <c r="AG325" s="76"/>
      <c r="AH325" s="76"/>
      <c r="AI325" s="97">
        <v>1</v>
      </c>
      <c r="AJ325" s="97">
        <v>1</v>
      </c>
      <c r="AK325" s="73"/>
      <c r="AL325" s="57"/>
      <c r="AM325" s="45"/>
      <c r="AN325" s="45"/>
      <c r="AO325" s="45"/>
    </row>
    <row r="326" spans="1:41" hidden="1" outlineLevel="2" x14ac:dyDescent="0.25">
      <c r="A326" s="45"/>
      <c r="B326" s="54"/>
      <c r="C326" s="47">
        <f t="shared" si="81"/>
        <v>3</v>
      </c>
      <c r="D326" s="73"/>
      <c r="E326" s="70"/>
      <c r="F326" s="70" t="s">
        <v>858</v>
      </c>
      <c r="G326" s="73"/>
      <c r="H326" s="76" t="s">
        <v>859</v>
      </c>
      <c r="I326" s="96" t="s">
        <v>621</v>
      </c>
      <c r="J326" s="96"/>
      <c r="K326" s="97">
        <v>1.6E-2</v>
      </c>
      <c r="L326" s="97">
        <v>1.6E-2</v>
      </c>
      <c r="M326" s="76"/>
      <c r="N326" s="76"/>
      <c r="O326" s="76"/>
      <c r="P326" s="76"/>
      <c r="Q326" s="76"/>
      <c r="R326" s="76" t="s">
        <v>860</v>
      </c>
      <c r="S326" s="76"/>
      <c r="T326" s="76"/>
      <c r="U326" s="253">
        <f t="shared" si="83"/>
        <v>1.6E-2</v>
      </c>
      <c r="V326" s="253">
        <f t="shared" si="83"/>
        <v>1.6E-2</v>
      </c>
      <c r="W326" s="253">
        <f t="shared" si="83"/>
        <v>1.6E-2</v>
      </c>
      <c r="X326" s="253">
        <f t="shared" si="83"/>
        <v>1.6E-2</v>
      </c>
      <c r="Y326" s="253">
        <f t="shared" si="83"/>
        <v>1.6E-2</v>
      </c>
      <c r="Z326" s="253">
        <f t="shared" si="83"/>
        <v>1.6E-2</v>
      </c>
      <c r="AA326" s="253">
        <f t="shared" si="83"/>
        <v>1.6E-2</v>
      </c>
      <c r="AB326" s="253">
        <f t="shared" si="83"/>
        <v>1.6E-2</v>
      </c>
      <c r="AC326" s="253">
        <f t="shared" si="83"/>
        <v>1.6E-2</v>
      </c>
      <c r="AD326" s="253">
        <f t="shared" si="83"/>
        <v>1.6E-2</v>
      </c>
      <c r="AE326" s="253">
        <f t="shared" si="83"/>
        <v>1.6E-2</v>
      </c>
      <c r="AF326" s="76"/>
      <c r="AG326" s="76"/>
      <c r="AH326" s="76"/>
      <c r="AI326" s="97">
        <v>1</v>
      </c>
      <c r="AJ326" s="97">
        <v>1</v>
      </c>
      <c r="AK326" s="73"/>
      <c r="AL326" s="57"/>
      <c r="AM326" s="45"/>
      <c r="AN326" s="45"/>
      <c r="AO326" s="45"/>
    </row>
    <row r="327" spans="1:41" hidden="1" outlineLevel="2" x14ac:dyDescent="0.25">
      <c r="A327" s="45"/>
      <c r="B327" s="54"/>
      <c r="C327" s="47">
        <f t="shared" si="81"/>
        <v>3</v>
      </c>
      <c r="D327" s="73"/>
      <c r="E327" s="70"/>
      <c r="F327" s="70" t="s">
        <v>861</v>
      </c>
      <c r="G327" s="73"/>
      <c r="H327" s="76" t="s">
        <v>862</v>
      </c>
      <c r="I327" s="96" t="s">
        <v>569</v>
      </c>
      <c r="J327" s="96"/>
      <c r="K327" s="97">
        <v>1</v>
      </c>
      <c r="L327" s="97">
        <v>1</v>
      </c>
      <c r="M327" s="76"/>
      <c r="N327" s="76"/>
      <c r="O327" s="76"/>
      <c r="P327" s="76"/>
      <c r="Q327" s="76"/>
      <c r="R327" s="76" t="s">
        <v>582</v>
      </c>
      <c r="S327" s="76"/>
      <c r="T327" s="76"/>
      <c r="U327" s="253">
        <f t="shared" si="83"/>
        <v>1</v>
      </c>
      <c r="V327" s="253">
        <f t="shared" si="83"/>
        <v>1</v>
      </c>
      <c r="W327" s="253">
        <f t="shared" si="83"/>
        <v>1</v>
      </c>
      <c r="X327" s="253">
        <f t="shared" si="83"/>
        <v>1</v>
      </c>
      <c r="Y327" s="253">
        <f t="shared" si="83"/>
        <v>1</v>
      </c>
      <c r="Z327" s="253">
        <f t="shared" si="83"/>
        <v>1</v>
      </c>
      <c r="AA327" s="253">
        <f t="shared" si="83"/>
        <v>1</v>
      </c>
      <c r="AB327" s="253">
        <f t="shared" si="83"/>
        <v>1</v>
      </c>
      <c r="AC327" s="253">
        <f t="shared" si="83"/>
        <v>1</v>
      </c>
      <c r="AD327" s="253">
        <f t="shared" si="83"/>
        <v>1</v>
      </c>
      <c r="AE327" s="253">
        <f t="shared" si="83"/>
        <v>1</v>
      </c>
      <c r="AF327" s="76"/>
      <c r="AG327" s="76"/>
      <c r="AH327" s="76"/>
      <c r="AI327" s="97">
        <v>1</v>
      </c>
      <c r="AJ327" s="97">
        <v>1</v>
      </c>
      <c r="AK327" s="73"/>
      <c r="AL327" s="57"/>
      <c r="AM327" s="45"/>
      <c r="AN327" s="45"/>
      <c r="AO327" s="45"/>
    </row>
    <row r="328" spans="1:41" hidden="1" outlineLevel="2" x14ac:dyDescent="0.25">
      <c r="A328" s="45"/>
      <c r="B328" s="54"/>
      <c r="C328" s="47">
        <f t="shared" si="81"/>
        <v>3</v>
      </c>
      <c r="D328" s="73"/>
      <c r="E328" s="70"/>
      <c r="F328" s="70" t="s">
        <v>863</v>
      </c>
      <c r="G328" s="73"/>
      <c r="H328" s="76" t="s">
        <v>864</v>
      </c>
      <c r="I328" s="96" t="s">
        <v>865</v>
      </c>
      <c r="J328" s="96"/>
      <c r="K328" s="97">
        <v>1350</v>
      </c>
      <c r="L328" s="97">
        <v>1350</v>
      </c>
      <c r="M328" s="76"/>
      <c r="N328" s="76"/>
      <c r="O328" s="76"/>
      <c r="P328" s="76"/>
      <c r="Q328" s="76"/>
      <c r="R328" s="76"/>
      <c r="S328" s="76"/>
      <c r="T328" s="76"/>
      <c r="U328" s="253">
        <f t="shared" si="83"/>
        <v>1350</v>
      </c>
      <c r="V328" s="253">
        <f t="shared" si="83"/>
        <v>1350</v>
      </c>
      <c r="W328" s="253">
        <f t="shared" si="83"/>
        <v>1350</v>
      </c>
      <c r="X328" s="253">
        <f t="shared" si="83"/>
        <v>1350</v>
      </c>
      <c r="Y328" s="253">
        <f t="shared" si="83"/>
        <v>1350</v>
      </c>
      <c r="Z328" s="253">
        <f t="shared" si="83"/>
        <v>1350</v>
      </c>
      <c r="AA328" s="253">
        <f t="shared" si="83"/>
        <v>1350</v>
      </c>
      <c r="AB328" s="253">
        <f t="shared" si="83"/>
        <v>1350</v>
      </c>
      <c r="AC328" s="253">
        <f t="shared" si="83"/>
        <v>1350</v>
      </c>
      <c r="AD328" s="253">
        <f t="shared" si="83"/>
        <v>1350</v>
      </c>
      <c r="AE328" s="253">
        <f t="shared" si="83"/>
        <v>1350</v>
      </c>
      <c r="AF328" s="76"/>
      <c r="AG328" s="76"/>
      <c r="AH328" s="76"/>
      <c r="AI328" s="97">
        <v>1</v>
      </c>
      <c r="AJ328" s="97">
        <v>1</v>
      </c>
      <c r="AK328" s="73"/>
      <c r="AL328" s="57"/>
      <c r="AM328" s="45"/>
      <c r="AN328" s="45"/>
      <c r="AO328" s="45"/>
    </row>
    <row r="329" spans="1:41" hidden="1" outlineLevel="2" x14ac:dyDescent="0.25">
      <c r="A329" s="45"/>
      <c r="B329" s="54"/>
      <c r="C329" s="47">
        <f t="shared" si="81"/>
        <v>3</v>
      </c>
      <c r="D329" s="73"/>
      <c r="E329" s="70"/>
      <c r="F329" s="70" t="s">
        <v>866</v>
      </c>
      <c r="G329" s="73"/>
      <c r="H329" s="76" t="s">
        <v>867</v>
      </c>
      <c r="I329" s="96" t="s">
        <v>868</v>
      </c>
      <c r="J329" s="96"/>
      <c r="K329" s="76"/>
      <c r="L329" s="76"/>
      <c r="M329" s="76"/>
      <c r="N329" s="76"/>
      <c r="O329" s="76"/>
      <c r="P329" s="76"/>
      <c r="Q329" s="76"/>
      <c r="R329" s="76"/>
      <c r="S329" s="76"/>
      <c r="T329" s="76" t="s">
        <v>3273</v>
      </c>
      <c r="U329" s="97">
        <v>60000000</v>
      </c>
      <c r="V329" s="97">
        <v>60000000</v>
      </c>
      <c r="W329" s="97">
        <v>60000000</v>
      </c>
      <c r="X329" s="97">
        <v>60000000</v>
      </c>
      <c r="Y329" s="97">
        <v>60000000</v>
      </c>
      <c r="Z329" s="97">
        <v>60000000</v>
      </c>
      <c r="AA329" s="97">
        <v>60000000</v>
      </c>
      <c r="AB329" s="255">
        <f t="shared" ref="AB329:AC331" si="84">AA329</f>
        <v>60000000</v>
      </c>
      <c r="AC329" s="255">
        <f t="shared" si="84"/>
        <v>60000000</v>
      </c>
      <c r="AD329" s="97">
        <f>U329*(51.8-2*(51.8-31.5))/51.8</f>
        <v>12972972.972972976</v>
      </c>
      <c r="AE329" s="97">
        <f>Z329</f>
        <v>60000000</v>
      </c>
      <c r="AF329" s="76"/>
      <c r="AG329" s="97"/>
      <c r="AH329" s="76"/>
      <c r="AI329" s="97">
        <v>1</v>
      </c>
      <c r="AJ329" s="97">
        <v>1</v>
      </c>
      <c r="AK329" s="73"/>
      <c r="AL329" s="57"/>
      <c r="AM329" s="45"/>
      <c r="AN329" s="45"/>
      <c r="AO329" s="45"/>
    </row>
    <row r="330" spans="1:41" hidden="1" outlineLevel="2" x14ac:dyDescent="0.25">
      <c r="A330" s="45"/>
      <c r="B330" s="54"/>
      <c r="C330" s="47">
        <f t="shared" si="81"/>
        <v>3</v>
      </c>
      <c r="D330" s="73"/>
      <c r="E330" s="70"/>
      <c r="F330" s="70" t="s">
        <v>869</v>
      </c>
      <c r="G330" s="73"/>
      <c r="H330" s="76" t="s">
        <v>2307</v>
      </c>
      <c r="I330" s="96" t="s">
        <v>2854</v>
      </c>
      <c r="J330" s="96"/>
      <c r="K330" s="76"/>
      <c r="L330" s="76"/>
      <c r="M330" s="76"/>
      <c r="N330" s="76"/>
      <c r="O330" s="76"/>
      <c r="P330" s="76"/>
      <c r="Q330" s="76"/>
      <c r="R330" s="76"/>
      <c r="S330" s="76"/>
      <c r="T330" s="76"/>
      <c r="U330" s="97">
        <v>2.5000000000000001E-2</v>
      </c>
      <c r="V330" s="97">
        <v>2.5000000000000001E-2</v>
      </c>
      <c r="W330" s="97">
        <v>2.5000000000000001E-2</v>
      </c>
      <c r="X330" s="97">
        <v>2.5000000000000001E-2</v>
      </c>
      <c r="Y330" s="97">
        <v>2.5000000000000001E-2</v>
      </c>
      <c r="Z330" s="97">
        <v>2.5000000000000001E-2</v>
      </c>
      <c r="AA330" s="97">
        <v>2.5000000000000001E-2</v>
      </c>
      <c r="AB330" s="255">
        <f t="shared" si="84"/>
        <v>2.5000000000000001E-2</v>
      </c>
      <c r="AC330" s="255">
        <f t="shared" si="84"/>
        <v>2.5000000000000001E-2</v>
      </c>
      <c r="AD330" s="255">
        <f>AC330</f>
        <v>2.5000000000000001E-2</v>
      </c>
      <c r="AE330" s="97">
        <f>AD330</f>
        <v>2.5000000000000001E-2</v>
      </c>
      <c r="AF330" s="76"/>
      <c r="AG330" s="97" t="s">
        <v>2308</v>
      </c>
      <c r="AH330" s="76"/>
      <c r="AI330" s="97">
        <v>1</v>
      </c>
      <c r="AJ330" s="97">
        <v>1</v>
      </c>
      <c r="AK330" s="73"/>
      <c r="AL330" s="57"/>
      <c r="AM330" s="45"/>
      <c r="AN330" s="45"/>
      <c r="AO330" s="45"/>
    </row>
    <row r="331" spans="1:41" hidden="1" outlineLevel="2" x14ac:dyDescent="0.25">
      <c r="A331" s="45"/>
      <c r="B331" s="54"/>
      <c r="C331" s="47">
        <f t="shared" si="81"/>
        <v>3</v>
      </c>
      <c r="D331" s="73"/>
      <c r="E331" s="70"/>
      <c r="F331" s="70" t="s">
        <v>870</v>
      </c>
      <c r="G331" s="73"/>
      <c r="H331" s="76" t="s">
        <v>871</v>
      </c>
      <c r="I331" s="96" t="s">
        <v>497</v>
      </c>
      <c r="J331" s="96"/>
      <c r="K331" s="76"/>
      <c r="L331" s="76"/>
      <c r="M331" s="76"/>
      <c r="N331" s="76"/>
      <c r="O331" s="76"/>
      <c r="P331" s="76"/>
      <c r="Q331" s="76"/>
      <c r="R331" s="76"/>
      <c r="S331" s="76"/>
      <c r="T331" s="76"/>
      <c r="U331" s="97">
        <v>0.18</v>
      </c>
      <c r="V331" s="97">
        <v>0.18</v>
      </c>
      <c r="W331" s="97">
        <v>0.18</v>
      </c>
      <c r="X331" s="97">
        <v>0.18</v>
      </c>
      <c r="Y331" s="97">
        <v>0.18</v>
      </c>
      <c r="Z331" s="97">
        <v>0.18</v>
      </c>
      <c r="AA331" s="97">
        <v>0.18</v>
      </c>
      <c r="AB331" s="255">
        <f t="shared" si="84"/>
        <v>0.18</v>
      </c>
      <c r="AC331" s="255">
        <f t="shared" si="84"/>
        <v>0.18</v>
      </c>
      <c r="AD331" s="255">
        <f>AC331</f>
        <v>0.18</v>
      </c>
      <c r="AE331" s="97">
        <f>AD331</f>
        <v>0.18</v>
      </c>
      <c r="AF331" s="76"/>
      <c r="AG331" s="97" t="s">
        <v>606</v>
      </c>
      <c r="AH331" s="76"/>
      <c r="AI331" s="97">
        <v>1</v>
      </c>
      <c r="AJ331" s="97">
        <v>1</v>
      </c>
      <c r="AK331" s="73"/>
      <c r="AL331" s="57"/>
      <c r="AM331" s="45"/>
      <c r="AN331" s="45"/>
      <c r="AO331" s="45"/>
    </row>
    <row r="332" spans="1:41" hidden="1" outlineLevel="2" x14ac:dyDescent="0.25">
      <c r="A332" s="45"/>
      <c r="B332" s="54"/>
      <c r="C332" s="47">
        <f t="shared" si="81"/>
        <v>3</v>
      </c>
      <c r="D332" s="73"/>
      <c r="E332" s="70"/>
      <c r="F332" s="70" t="s">
        <v>872</v>
      </c>
      <c r="G332" s="73"/>
      <c r="H332" s="76" t="s">
        <v>873</v>
      </c>
      <c r="I332" s="96" t="s">
        <v>874</v>
      </c>
      <c r="J332" s="96"/>
      <c r="K332" s="97">
        <v>0.2</v>
      </c>
      <c r="L332" s="97">
        <v>0.2</v>
      </c>
      <c r="M332" s="76"/>
      <c r="N332" s="76"/>
      <c r="O332" s="76"/>
      <c r="P332" s="76"/>
      <c r="Q332" s="76"/>
      <c r="R332" s="76" t="s">
        <v>606</v>
      </c>
      <c r="S332" s="76"/>
      <c r="T332" s="76"/>
      <c r="U332" s="253">
        <f t="shared" ref="U332:AE334" si="85">INDEX($K332:$Q332,1,U$43)</f>
        <v>0.2</v>
      </c>
      <c r="V332" s="253">
        <f t="shared" si="85"/>
        <v>0.2</v>
      </c>
      <c r="W332" s="253">
        <f t="shared" si="85"/>
        <v>0.2</v>
      </c>
      <c r="X332" s="253">
        <f t="shared" si="85"/>
        <v>0.2</v>
      </c>
      <c r="Y332" s="253">
        <f t="shared" si="85"/>
        <v>0.2</v>
      </c>
      <c r="Z332" s="253">
        <f t="shared" si="85"/>
        <v>0.2</v>
      </c>
      <c r="AA332" s="253">
        <f t="shared" si="85"/>
        <v>0.2</v>
      </c>
      <c r="AB332" s="253">
        <f t="shared" si="85"/>
        <v>0.2</v>
      </c>
      <c r="AC332" s="253">
        <f t="shared" si="85"/>
        <v>0.2</v>
      </c>
      <c r="AD332" s="253">
        <f t="shared" si="85"/>
        <v>0.2</v>
      </c>
      <c r="AE332" s="253">
        <f t="shared" si="85"/>
        <v>0.2</v>
      </c>
      <c r="AF332" s="76"/>
      <c r="AG332" s="76"/>
      <c r="AH332" s="76"/>
      <c r="AI332" s="97">
        <v>1</v>
      </c>
      <c r="AJ332" s="97">
        <v>1</v>
      </c>
      <c r="AK332" s="73"/>
      <c r="AL332" s="57"/>
      <c r="AM332" s="45"/>
      <c r="AN332" s="45"/>
      <c r="AO332" s="45"/>
    </row>
    <row r="333" spans="1:41" hidden="1" outlineLevel="2" x14ac:dyDescent="0.25">
      <c r="A333" s="45"/>
      <c r="B333" s="54"/>
      <c r="C333" s="47">
        <f t="shared" si="81"/>
        <v>3</v>
      </c>
      <c r="D333" s="73"/>
      <c r="E333" s="70"/>
      <c r="F333" s="70" t="s">
        <v>875</v>
      </c>
      <c r="G333" s="73"/>
      <c r="H333" s="76" t="s">
        <v>876</v>
      </c>
      <c r="I333" s="96" t="s">
        <v>877</v>
      </c>
      <c r="J333" s="96"/>
      <c r="K333" s="97">
        <f>1/1.17</f>
        <v>0.85470085470085477</v>
      </c>
      <c r="L333" s="97">
        <f>1/1.17</f>
        <v>0.85470085470085477</v>
      </c>
      <c r="M333" s="76"/>
      <c r="N333" s="76"/>
      <c r="O333" s="76"/>
      <c r="P333" s="76"/>
      <c r="Q333" s="76"/>
      <c r="R333" s="76" t="s">
        <v>878</v>
      </c>
      <c r="S333" s="76"/>
      <c r="T333" s="76"/>
      <c r="U333" s="253">
        <f t="shared" si="85"/>
        <v>0.85470085470085477</v>
      </c>
      <c r="V333" s="253">
        <f t="shared" si="85"/>
        <v>0.85470085470085477</v>
      </c>
      <c r="W333" s="253">
        <f t="shared" si="85"/>
        <v>0.85470085470085477</v>
      </c>
      <c r="X333" s="253">
        <f t="shared" si="85"/>
        <v>0.85470085470085477</v>
      </c>
      <c r="Y333" s="253">
        <f t="shared" si="85"/>
        <v>0.85470085470085477</v>
      </c>
      <c r="Z333" s="253">
        <f t="shared" si="85"/>
        <v>0.85470085470085477</v>
      </c>
      <c r="AA333" s="253">
        <f t="shared" si="85"/>
        <v>0.85470085470085477</v>
      </c>
      <c r="AB333" s="253">
        <f t="shared" si="85"/>
        <v>0.85470085470085477</v>
      </c>
      <c r="AC333" s="253">
        <f t="shared" si="85"/>
        <v>0.85470085470085477</v>
      </c>
      <c r="AD333" s="253">
        <f t="shared" si="85"/>
        <v>0.85470085470085477</v>
      </c>
      <c r="AE333" s="253">
        <f t="shared" si="85"/>
        <v>0.85470085470085477</v>
      </c>
      <c r="AF333" s="76"/>
      <c r="AG333" s="76"/>
      <c r="AH333" s="76"/>
      <c r="AI333" s="97">
        <v>1</v>
      </c>
      <c r="AJ333" s="97">
        <v>1</v>
      </c>
      <c r="AK333" s="73"/>
      <c r="AL333" s="57"/>
      <c r="AM333" s="45"/>
      <c r="AN333" s="45"/>
      <c r="AO333" s="45"/>
    </row>
    <row r="334" spans="1:41" hidden="1" outlineLevel="2" x14ac:dyDescent="0.25">
      <c r="A334" s="45"/>
      <c r="B334" s="54"/>
      <c r="C334" s="47">
        <f t="shared" si="81"/>
        <v>3</v>
      </c>
      <c r="D334" s="73"/>
      <c r="E334" s="70"/>
      <c r="F334" s="70" t="s">
        <v>879</v>
      </c>
      <c r="G334" s="73"/>
      <c r="H334" s="76" t="s">
        <v>880</v>
      </c>
      <c r="I334" s="96" t="s">
        <v>881</v>
      </c>
      <c r="J334" s="96"/>
      <c r="K334" s="97">
        <v>51</v>
      </c>
      <c r="L334" s="97">
        <v>51</v>
      </c>
      <c r="M334" s="76"/>
      <c r="N334" s="76"/>
      <c r="O334" s="76"/>
      <c r="P334" s="76"/>
      <c r="Q334" s="76"/>
      <c r="R334" s="76" t="s">
        <v>882</v>
      </c>
      <c r="S334" s="76"/>
      <c r="T334" s="76" t="s">
        <v>3273</v>
      </c>
      <c r="U334" s="253">
        <f>INDEX($K334:$Q334,1,U$43)</f>
        <v>51</v>
      </c>
      <c r="V334" s="253">
        <f>INDEX($K334:$Q334,1,V$43)</f>
        <v>51</v>
      </c>
      <c r="W334" s="97">
        <f t="shared" si="85"/>
        <v>51</v>
      </c>
      <c r="X334" s="97">
        <f t="shared" si="85"/>
        <v>51</v>
      </c>
      <c r="Y334" s="97">
        <f t="shared" si="85"/>
        <v>51</v>
      </c>
      <c r="Z334" s="97">
        <f t="shared" si="85"/>
        <v>51</v>
      </c>
      <c r="AA334" s="97">
        <f t="shared" si="85"/>
        <v>51</v>
      </c>
      <c r="AB334" s="253">
        <f>INDEX($K334:$Q334,1,AB$43)</f>
        <v>51</v>
      </c>
      <c r="AC334" s="253">
        <f>INDEX($K334:$Q334,1,AC$43)</f>
        <v>51</v>
      </c>
      <c r="AD334" s="253">
        <f>INDEX($K334:$Q334,1,AD$43)</f>
        <v>51</v>
      </c>
      <c r="AE334" s="253">
        <f>INDEX($K334:$Q334,1,AE$43)</f>
        <v>51</v>
      </c>
      <c r="AF334" s="76"/>
      <c r="AG334" s="76"/>
      <c r="AH334" s="76"/>
      <c r="AI334" s="97">
        <v>1</v>
      </c>
      <c r="AJ334" s="97">
        <v>1</v>
      </c>
      <c r="AK334" s="73"/>
      <c r="AL334" s="57"/>
      <c r="AM334" s="45"/>
      <c r="AN334" s="45"/>
      <c r="AO334" s="45"/>
    </row>
    <row r="335" spans="1:41" hidden="1" outlineLevel="2" x14ac:dyDescent="0.25">
      <c r="A335" s="45"/>
      <c r="B335" s="54"/>
      <c r="C335" s="47">
        <f t="shared" si="81"/>
        <v>3</v>
      </c>
      <c r="D335" s="73"/>
      <c r="E335" s="70"/>
      <c r="F335" s="70" t="s">
        <v>2261</v>
      </c>
      <c r="G335" s="73"/>
      <c r="H335" s="76" t="s">
        <v>2265</v>
      </c>
      <c r="I335" s="96"/>
      <c r="J335" s="96"/>
      <c r="K335" s="76"/>
      <c r="L335" s="76"/>
      <c r="M335" s="76"/>
      <c r="N335" s="76"/>
      <c r="O335" s="76"/>
      <c r="P335" s="76"/>
      <c r="Q335" s="76"/>
      <c r="R335" s="76"/>
      <c r="S335" s="76"/>
      <c r="T335" s="76"/>
      <c r="U335" s="260">
        <f>0.006/(365^2)</f>
        <v>4.503659223118784E-8</v>
      </c>
      <c r="V335" s="260">
        <f>0.006/(365^2)</f>
        <v>4.503659223118784E-8</v>
      </c>
      <c r="W335" s="260">
        <f>0.006/(365^2)</f>
        <v>4.503659223118784E-8</v>
      </c>
      <c r="X335" s="260">
        <f>0.006/(365^2)</f>
        <v>4.503659223118784E-8</v>
      </c>
      <c r="Y335" s="260">
        <f>0.006/(365^2)</f>
        <v>4.503659223118784E-8</v>
      </c>
      <c r="Z335" s="260">
        <f t="shared" ref="Z335:AA335" si="86">0.006/(365^2)</f>
        <v>4.503659223118784E-8</v>
      </c>
      <c r="AA335" s="260">
        <f t="shared" si="86"/>
        <v>4.503659223118784E-8</v>
      </c>
      <c r="AB335" s="255">
        <f t="shared" ref="AB335:AE338" si="87">AA335</f>
        <v>4.503659223118784E-8</v>
      </c>
      <c r="AC335" s="255">
        <f t="shared" si="87"/>
        <v>4.503659223118784E-8</v>
      </c>
      <c r="AD335" s="255">
        <f t="shared" si="87"/>
        <v>4.503659223118784E-8</v>
      </c>
      <c r="AE335" s="97">
        <f t="shared" si="87"/>
        <v>4.503659223118784E-8</v>
      </c>
      <c r="AF335" s="76"/>
      <c r="AG335" s="97" t="s">
        <v>2264</v>
      </c>
      <c r="AH335" s="76"/>
      <c r="AI335" s="97">
        <v>1</v>
      </c>
      <c r="AJ335" s="97">
        <v>1</v>
      </c>
      <c r="AK335" s="73"/>
      <c r="AL335" s="57"/>
      <c r="AM335" s="45"/>
      <c r="AN335" s="45"/>
      <c r="AO335" s="45"/>
    </row>
    <row r="336" spans="1:41" hidden="1" outlineLevel="2" x14ac:dyDescent="0.25">
      <c r="A336" s="45"/>
      <c r="B336" s="54"/>
      <c r="C336" s="47">
        <f t="shared" si="81"/>
        <v>3</v>
      </c>
      <c r="D336" s="73"/>
      <c r="E336" s="70"/>
      <c r="F336" s="70" t="s">
        <v>2262</v>
      </c>
      <c r="G336" s="73"/>
      <c r="H336" s="76" t="s">
        <v>2263</v>
      </c>
      <c r="I336" s="96" t="s">
        <v>654</v>
      </c>
      <c r="J336" s="96"/>
      <c r="K336" s="76"/>
      <c r="L336" s="76"/>
      <c r="M336" s="76"/>
      <c r="N336" s="76"/>
      <c r="O336" s="76"/>
      <c r="P336" s="76"/>
      <c r="Q336" s="76"/>
      <c r="R336" s="76"/>
      <c r="S336" s="76"/>
      <c r="T336" s="76"/>
      <c r="U336" s="97">
        <f>3*365</f>
        <v>1095</v>
      </c>
      <c r="V336" s="97">
        <v>1095</v>
      </c>
      <c r="W336" s="97">
        <v>1095</v>
      </c>
      <c r="X336" s="97">
        <v>1095</v>
      </c>
      <c r="Y336" s="97">
        <v>1095</v>
      </c>
      <c r="Z336" s="97">
        <v>1095</v>
      </c>
      <c r="AA336" s="97">
        <v>1095</v>
      </c>
      <c r="AB336" s="255">
        <f t="shared" si="87"/>
        <v>1095</v>
      </c>
      <c r="AC336" s="255">
        <f t="shared" si="87"/>
        <v>1095</v>
      </c>
      <c r="AD336" s="255">
        <f t="shared" si="87"/>
        <v>1095</v>
      </c>
      <c r="AE336" s="97">
        <f t="shared" si="87"/>
        <v>1095</v>
      </c>
      <c r="AF336" s="76"/>
      <c r="AG336" s="97" t="s">
        <v>2264</v>
      </c>
      <c r="AH336" s="76"/>
      <c r="AI336" s="97">
        <v>1</v>
      </c>
      <c r="AJ336" s="97">
        <v>1</v>
      </c>
      <c r="AK336" s="73"/>
      <c r="AL336" s="57"/>
      <c r="AM336" s="45"/>
      <c r="AN336" s="45"/>
      <c r="AO336" s="45"/>
    </row>
    <row r="337" spans="1:41" hidden="1" outlineLevel="2" x14ac:dyDescent="0.25">
      <c r="A337" s="45"/>
      <c r="B337" s="54"/>
      <c r="C337" s="47">
        <f t="shared" si="81"/>
        <v>3</v>
      </c>
      <c r="D337" s="73"/>
      <c r="E337" s="70"/>
      <c r="F337" s="70" t="s">
        <v>2266</v>
      </c>
      <c r="G337" s="73"/>
      <c r="H337" s="76" t="s">
        <v>2267</v>
      </c>
      <c r="I337" s="96"/>
      <c r="J337" s="96"/>
      <c r="K337" s="76"/>
      <c r="L337" s="76"/>
      <c r="M337" s="76"/>
      <c r="N337" s="76"/>
      <c r="O337" s="76"/>
      <c r="P337" s="76"/>
      <c r="Q337" s="76"/>
      <c r="R337" s="76"/>
      <c r="S337" s="76"/>
      <c r="T337" s="76"/>
      <c r="U337" s="97">
        <v>2</v>
      </c>
      <c r="V337" s="97">
        <v>2</v>
      </c>
      <c r="W337" s="97">
        <v>2</v>
      </c>
      <c r="X337" s="97">
        <v>2</v>
      </c>
      <c r="Y337" s="97">
        <v>2</v>
      </c>
      <c r="Z337" s="97">
        <v>2</v>
      </c>
      <c r="AA337" s="97">
        <v>2</v>
      </c>
      <c r="AB337" s="255">
        <f t="shared" si="87"/>
        <v>2</v>
      </c>
      <c r="AC337" s="255">
        <f t="shared" si="87"/>
        <v>2</v>
      </c>
      <c r="AD337" s="255">
        <f t="shared" si="87"/>
        <v>2</v>
      </c>
      <c r="AE337" s="97">
        <f t="shared" si="87"/>
        <v>2</v>
      </c>
      <c r="AF337" s="76"/>
      <c r="AG337" s="76"/>
      <c r="AH337" s="76"/>
      <c r="AI337" s="97">
        <v>1</v>
      </c>
      <c r="AJ337" s="97">
        <v>1</v>
      </c>
      <c r="AK337" s="73"/>
      <c r="AL337" s="57"/>
      <c r="AM337" s="45"/>
      <c r="AN337" s="45"/>
      <c r="AO337" s="45"/>
    </row>
    <row r="338" spans="1:41" hidden="1" outlineLevel="2" x14ac:dyDescent="0.25">
      <c r="A338" s="45"/>
      <c r="B338" s="54"/>
      <c r="C338" s="47">
        <f t="shared" si="81"/>
        <v>3</v>
      </c>
      <c r="D338" s="73"/>
      <c r="E338" s="70"/>
      <c r="F338" s="70" t="s">
        <v>2843</v>
      </c>
      <c r="G338" s="73"/>
      <c r="H338" s="76" t="s">
        <v>2948</v>
      </c>
      <c r="I338" s="96"/>
      <c r="J338" s="96"/>
      <c r="K338" s="76"/>
      <c r="L338" s="76"/>
      <c r="M338" s="76"/>
      <c r="N338" s="76"/>
      <c r="O338" s="76"/>
      <c r="P338" s="76"/>
      <c r="Q338" s="76"/>
      <c r="R338" s="76"/>
      <c r="S338" s="76"/>
      <c r="T338" s="76"/>
      <c r="U338" s="97">
        <v>0.85</v>
      </c>
      <c r="V338" s="255">
        <f>U338</f>
        <v>0.85</v>
      </c>
      <c r="W338" s="255">
        <f>U338</f>
        <v>0.85</v>
      </c>
      <c r="X338" s="255">
        <f>V338</f>
        <v>0.85</v>
      </c>
      <c r="Y338" s="255">
        <f>W338</f>
        <v>0.85</v>
      </c>
      <c r="Z338" s="255">
        <f t="shared" ref="Z338:AA338" si="88">X338</f>
        <v>0.85</v>
      </c>
      <c r="AA338" s="255">
        <f t="shared" si="88"/>
        <v>0.85</v>
      </c>
      <c r="AB338" s="255">
        <f t="shared" si="87"/>
        <v>0.85</v>
      </c>
      <c r="AC338" s="255">
        <f t="shared" si="87"/>
        <v>0.85</v>
      </c>
      <c r="AD338" s="255">
        <f t="shared" si="87"/>
        <v>0.85</v>
      </c>
      <c r="AE338" s="255">
        <f t="shared" si="87"/>
        <v>0.85</v>
      </c>
      <c r="AF338" s="76"/>
      <c r="AG338" s="76"/>
      <c r="AH338" s="76"/>
      <c r="AI338" s="97">
        <v>1</v>
      </c>
      <c r="AJ338" s="97">
        <v>1</v>
      </c>
      <c r="AK338" s="73"/>
      <c r="AL338" s="57"/>
      <c r="AM338" s="45"/>
      <c r="AN338" s="45"/>
      <c r="AO338" s="45"/>
    </row>
    <row r="339" spans="1:41" hidden="1" outlineLevel="2" x14ac:dyDescent="0.25">
      <c r="A339" s="45"/>
      <c r="B339" s="54"/>
      <c r="C339" s="47">
        <f t="shared" si="81"/>
        <v>3</v>
      </c>
      <c r="D339" s="73"/>
      <c r="E339" s="70"/>
      <c r="F339" s="70" t="s">
        <v>2853</v>
      </c>
      <c r="G339" s="73"/>
      <c r="H339" s="76" t="s">
        <v>2307</v>
      </c>
      <c r="I339" s="96" t="s">
        <v>2854</v>
      </c>
      <c r="J339" s="96"/>
      <c r="K339" s="76"/>
      <c r="L339" s="76"/>
      <c r="M339" s="76"/>
      <c r="N339" s="76"/>
      <c r="O339" s="76"/>
      <c r="P339" s="76"/>
      <c r="Q339" s="76"/>
      <c r="R339" s="76"/>
      <c r="S339" s="76"/>
      <c r="T339" s="76"/>
      <c r="U339" s="97">
        <f t="shared" ref="U339:AA339" si="89">0.068/30.4</f>
        <v>2.2368421052631582E-3</v>
      </c>
      <c r="V339" s="97">
        <f t="shared" si="89"/>
        <v>2.2368421052631582E-3</v>
      </c>
      <c r="W339" s="97">
        <f t="shared" si="89"/>
        <v>2.2368421052631582E-3</v>
      </c>
      <c r="X339" s="97">
        <f t="shared" si="89"/>
        <v>2.2368421052631582E-3</v>
      </c>
      <c r="Y339" s="97">
        <f t="shared" si="89"/>
        <v>2.2368421052631582E-3</v>
      </c>
      <c r="Z339" s="97">
        <f t="shared" si="89"/>
        <v>2.2368421052631582E-3</v>
      </c>
      <c r="AA339" s="97">
        <f t="shared" si="89"/>
        <v>2.2368421052631582E-3</v>
      </c>
      <c r="AB339" s="255">
        <f>AA339</f>
        <v>2.2368421052631582E-3</v>
      </c>
      <c r="AC339" s="255">
        <f>AB339</f>
        <v>2.2368421052631582E-3</v>
      </c>
      <c r="AD339" s="255">
        <f>AC339</f>
        <v>2.2368421052631582E-3</v>
      </c>
      <c r="AE339" s="97">
        <f t="shared" ref="AE339" si="90">0.068/30.4</f>
        <v>2.2368421052631582E-3</v>
      </c>
      <c r="AF339" s="76"/>
      <c r="AG339" s="97" t="s">
        <v>2855</v>
      </c>
      <c r="AH339" s="76"/>
      <c r="AI339" s="97">
        <v>1</v>
      </c>
      <c r="AJ339" s="97">
        <v>1</v>
      </c>
      <c r="AK339" s="73"/>
      <c r="AL339" s="57"/>
      <c r="AM339" s="45"/>
      <c r="AN339" s="45"/>
      <c r="AO339" s="45"/>
    </row>
    <row r="340" spans="1:41" hidden="1" outlineLevel="2" x14ac:dyDescent="0.25">
      <c r="A340" s="45"/>
      <c r="B340" s="54"/>
      <c r="C340" s="47">
        <f t="shared" si="81"/>
        <v>3</v>
      </c>
      <c r="D340" s="73"/>
      <c r="E340" s="70"/>
      <c r="F340" s="70" t="s">
        <v>3222</v>
      </c>
      <c r="G340" s="73"/>
      <c r="H340" s="76" t="s">
        <v>3223</v>
      </c>
      <c r="I340" s="96"/>
      <c r="J340" s="96"/>
      <c r="K340" s="97">
        <v>1.147</v>
      </c>
      <c r="L340" s="97">
        <v>1.147</v>
      </c>
      <c r="M340" s="76"/>
      <c r="N340" s="76"/>
      <c r="O340" s="76"/>
      <c r="P340" s="76"/>
      <c r="Q340" s="76"/>
      <c r="R340" s="76"/>
      <c r="S340" s="76"/>
      <c r="T340" s="76"/>
      <c r="U340" s="253">
        <f t="shared" ref="U340:AE340" si="91">INDEX($K340:$Q340,1,U$43)</f>
        <v>1.147</v>
      </c>
      <c r="V340" s="253">
        <f t="shared" si="91"/>
        <v>1.147</v>
      </c>
      <c r="W340" s="253">
        <f t="shared" si="91"/>
        <v>1.147</v>
      </c>
      <c r="X340" s="253">
        <f t="shared" si="91"/>
        <v>1.147</v>
      </c>
      <c r="Y340" s="253">
        <f t="shared" si="91"/>
        <v>1.147</v>
      </c>
      <c r="Z340" s="253">
        <f t="shared" si="91"/>
        <v>1.147</v>
      </c>
      <c r="AA340" s="253">
        <f t="shared" si="91"/>
        <v>1.147</v>
      </c>
      <c r="AB340" s="253">
        <f t="shared" si="91"/>
        <v>1.147</v>
      </c>
      <c r="AC340" s="253">
        <f t="shared" si="91"/>
        <v>1.147</v>
      </c>
      <c r="AD340" s="253">
        <f t="shared" si="91"/>
        <v>1.147</v>
      </c>
      <c r="AE340" s="253">
        <f t="shared" si="91"/>
        <v>1.147</v>
      </c>
      <c r="AF340" s="76"/>
      <c r="AG340" s="97" t="s">
        <v>3224</v>
      </c>
      <c r="AH340" s="76"/>
      <c r="AI340" s="97">
        <v>1</v>
      </c>
      <c r="AJ340" s="97">
        <v>1</v>
      </c>
      <c r="AK340" s="73"/>
      <c r="AL340" s="57"/>
      <c r="AM340" s="45"/>
      <c r="AN340" s="45"/>
      <c r="AO340" s="45"/>
    </row>
    <row r="341" spans="1:41" hidden="1" outlineLevel="2" x14ac:dyDescent="0.25">
      <c r="A341" s="45"/>
      <c r="B341" s="54"/>
      <c r="C341" s="47">
        <f t="shared" si="81"/>
        <v>3</v>
      </c>
      <c r="D341" s="73"/>
      <c r="E341" s="70"/>
      <c r="F341" s="70" t="s">
        <v>3277</v>
      </c>
      <c r="G341" s="73"/>
      <c r="H341" s="76" t="s">
        <v>3280</v>
      </c>
      <c r="I341" s="96"/>
      <c r="J341" s="96"/>
      <c r="K341" s="76"/>
      <c r="L341" s="76"/>
      <c r="M341" s="76"/>
      <c r="N341" s="76"/>
      <c r="O341" s="76"/>
      <c r="P341" s="76"/>
      <c r="Q341" s="76"/>
      <c r="R341" s="76"/>
      <c r="S341" s="76"/>
      <c r="T341" s="76"/>
      <c r="U341" s="97">
        <f>1.5*364</f>
        <v>546</v>
      </c>
      <c r="V341" s="97">
        <f t="shared" ref="V341:AE341" si="92">1.5*364</f>
        <v>546</v>
      </c>
      <c r="W341" s="97">
        <f t="shared" si="92"/>
        <v>546</v>
      </c>
      <c r="X341" s="97">
        <f t="shared" si="92"/>
        <v>546</v>
      </c>
      <c r="Y341" s="97">
        <f t="shared" si="92"/>
        <v>546</v>
      </c>
      <c r="Z341" s="97">
        <f t="shared" si="92"/>
        <v>546</v>
      </c>
      <c r="AA341" s="97">
        <f t="shared" si="92"/>
        <v>546</v>
      </c>
      <c r="AB341" s="97">
        <f t="shared" si="92"/>
        <v>546</v>
      </c>
      <c r="AC341" s="97">
        <f t="shared" si="92"/>
        <v>546</v>
      </c>
      <c r="AD341" s="97">
        <f t="shared" si="92"/>
        <v>546</v>
      </c>
      <c r="AE341" s="97">
        <f t="shared" si="92"/>
        <v>546</v>
      </c>
      <c r="AF341" s="76"/>
      <c r="AG341" s="97" t="s">
        <v>458</v>
      </c>
      <c r="AH341" s="76"/>
      <c r="AI341" s="97">
        <v>1</v>
      </c>
      <c r="AJ341" s="97">
        <v>1</v>
      </c>
      <c r="AK341" s="73"/>
      <c r="AL341" s="57"/>
      <c r="AM341" s="45"/>
      <c r="AN341" s="45"/>
      <c r="AO341" s="45"/>
    </row>
    <row r="342" spans="1:41" hidden="1" outlineLevel="2" x14ac:dyDescent="0.25">
      <c r="A342" s="45"/>
      <c r="B342" s="54"/>
      <c r="C342" s="47">
        <f t="shared" si="81"/>
        <v>3</v>
      </c>
      <c r="D342" s="73"/>
      <c r="E342" s="70"/>
      <c r="F342" s="70" t="s">
        <v>3279</v>
      </c>
      <c r="G342" s="73"/>
      <c r="H342" s="76" t="s">
        <v>3282</v>
      </c>
      <c r="I342" s="96"/>
      <c r="J342" s="96"/>
      <c r="K342" s="76"/>
      <c r="L342" s="76"/>
      <c r="M342" s="76"/>
      <c r="N342" s="76"/>
      <c r="O342" s="76"/>
      <c r="P342" s="76"/>
      <c r="Q342" s="76"/>
      <c r="R342" s="76"/>
      <c r="S342" s="76"/>
      <c r="T342" s="76"/>
      <c r="U342" s="97">
        <v>730</v>
      </c>
      <c r="V342" s="97">
        <v>730</v>
      </c>
      <c r="W342" s="97">
        <v>730</v>
      </c>
      <c r="X342" s="97">
        <v>730</v>
      </c>
      <c r="Y342" s="97">
        <v>730</v>
      </c>
      <c r="Z342" s="97">
        <v>730</v>
      </c>
      <c r="AA342" s="97">
        <v>730</v>
      </c>
      <c r="AB342" s="97">
        <v>730</v>
      </c>
      <c r="AC342" s="97">
        <v>730</v>
      </c>
      <c r="AD342" s="97">
        <v>730</v>
      </c>
      <c r="AE342" s="97">
        <v>730</v>
      </c>
      <c r="AF342" s="76"/>
      <c r="AG342" s="97" t="s">
        <v>458</v>
      </c>
      <c r="AH342" s="76"/>
      <c r="AI342" s="97">
        <v>1</v>
      </c>
      <c r="AJ342" s="97">
        <v>1</v>
      </c>
      <c r="AK342" s="73"/>
      <c r="AL342" s="57"/>
      <c r="AM342" s="45"/>
      <c r="AN342" s="45"/>
      <c r="AO342" s="45"/>
    </row>
    <row r="343" spans="1:41" hidden="1" outlineLevel="2" x14ac:dyDescent="0.25">
      <c r="A343" s="45"/>
      <c r="B343" s="54"/>
      <c r="C343" s="47">
        <f t="shared" si="81"/>
        <v>3</v>
      </c>
      <c r="D343" s="73"/>
      <c r="E343" s="70"/>
      <c r="F343" s="70" t="s">
        <v>3281</v>
      </c>
      <c r="G343" s="73"/>
      <c r="H343" s="76" t="s">
        <v>3285</v>
      </c>
      <c r="I343" s="96"/>
      <c r="J343" s="96"/>
      <c r="K343" s="76"/>
      <c r="L343" s="76"/>
      <c r="M343" s="76"/>
      <c r="N343" s="76"/>
      <c r="O343" s="76"/>
      <c r="P343" s="76"/>
      <c r="Q343" s="76"/>
      <c r="R343" s="76"/>
      <c r="S343" s="76"/>
      <c r="T343" s="76" t="s">
        <v>3273</v>
      </c>
      <c r="U343" s="97">
        <v>0.85</v>
      </c>
      <c r="V343" s="97">
        <v>0.85</v>
      </c>
      <c r="W343" s="97">
        <v>0.85</v>
      </c>
      <c r="X343" s="97">
        <v>0.85</v>
      </c>
      <c r="Y343" s="97">
        <v>0.85</v>
      </c>
      <c r="Z343" s="97">
        <v>0.85</v>
      </c>
      <c r="AA343" s="97">
        <v>0.85</v>
      </c>
      <c r="AB343" s="97">
        <v>0.85</v>
      </c>
      <c r="AC343" s="97">
        <v>0.85</v>
      </c>
      <c r="AD343" s="97">
        <v>0.85</v>
      </c>
      <c r="AE343" s="97">
        <v>0.85</v>
      </c>
      <c r="AF343" s="76"/>
      <c r="AG343" s="97" t="s">
        <v>3278</v>
      </c>
      <c r="AH343" s="76"/>
      <c r="AI343" s="97">
        <v>1</v>
      </c>
      <c r="AJ343" s="97">
        <v>1</v>
      </c>
      <c r="AK343" s="73"/>
      <c r="AL343" s="57"/>
      <c r="AM343" s="45"/>
      <c r="AN343" s="45"/>
      <c r="AO343" s="45"/>
    </row>
    <row r="344" spans="1:41" hidden="1" outlineLevel="2" x14ac:dyDescent="0.25">
      <c r="A344" s="45"/>
      <c r="B344" s="54"/>
      <c r="C344" s="47">
        <f t="shared" si="81"/>
        <v>3</v>
      </c>
      <c r="D344" s="73"/>
      <c r="E344" s="70"/>
      <c r="F344" s="70" t="s">
        <v>3284</v>
      </c>
      <c r="G344" s="73"/>
      <c r="H344" s="76" t="s">
        <v>3286</v>
      </c>
      <c r="I344" s="96"/>
      <c r="J344" s="96"/>
      <c r="K344" s="76"/>
      <c r="L344" s="76"/>
      <c r="M344" s="76"/>
      <c r="N344" s="76"/>
      <c r="O344" s="76"/>
      <c r="P344" s="76"/>
      <c r="Q344" s="76"/>
      <c r="R344" s="76"/>
      <c r="S344" s="76"/>
      <c r="T344" s="76" t="s">
        <v>3273</v>
      </c>
      <c r="U344" s="97">
        <v>1</v>
      </c>
      <c r="V344" s="97">
        <v>1</v>
      </c>
      <c r="W344" s="97">
        <v>1</v>
      </c>
      <c r="X344" s="97">
        <v>1</v>
      </c>
      <c r="Y344" s="97">
        <v>1</v>
      </c>
      <c r="Z344" s="97">
        <v>1</v>
      </c>
      <c r="AA344" s="97">
        <v>1</v>
      </c>
      <c r="AB344" s="97">
        <v>1</v>
      </c>
      <c r="AC344" s="97">
        <v>1</v>
      </c>
      <c r="AD344" s="97">
        <v>1</v>
      </c>
      <c r="AE344" s="97">
        <v>1</v>
      </c>
      <c r="AF344" s="76"/>
      <c r="AG344" s="97" t="s">
        <v>458</v>
      </c>
      <c r="AH344" s="76"/>
      <c r="AI344" s="97">
        <v>1</v>
      </c>
      <c r="AJ344" s="97">
        <v>1</v>
      </c>
      <c r="AK344" s="73"/>
      <c r="AL344" s="57"/>
      <c r="AM344" s="45"/>
      <c r="AN344" s="45"/>
      <c r="AO344" s="45"/>
    </row>
    <row r="345" spans="1:41" outlineLevel="1" collapsed="1" x14ac:dyDescent="0.25">
      <c r="A345" s="45"/>
      <c r="B345" s="54"/>
      <c r="C345" s="47">
        <f>INT($C$29)+1</f>
        <v>2</v>
      </c>
      <c r="D345" s="73"/>
      <c r="E345" s="70"/>
      <c r="F345" s="256" t="s">
        <v>883</v>
      </c>
      <c r="G345" s="73"/>
      <c r="H345" s="246" t="s">
        <v>884</v>
      </c>
      <c r="I345" s="96"/>
      <c r="J345" s="96" t="s">
        <v>514</v>
      </c>
      <c r="K345" s="79">
        <v>17</v>
      </c>
      <c r="L345" s="76"/>
      <c r="M345" s="79">
        <v>0</v>
      </c>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3"/>
      <c r="AL345" s="57"/>
      <c r="AM345" s="45"/>
      <c r="AN345" s="45"/>
      <c r="AO345" s="45"/>
    </row>
    <row r="346" spans="1:41" hidden="1" outlineLevel="3" x14ac:dyDescent="0.25">
      <c r="A346" s="45"/>
      <c r="B346" s="54"/>
      <c r="C346" s="47">
        <f>INT($C$29)+3</f>
        <v>4</v>
      </c>
      <c r="D346" s="73"/>
      <c r="E346" s="70" t="s">
        <v>885</v>
      </c>
      <c r="F346" s="70" t="s">
        <v>886</v>
      </c>
      <c r="G346" s="73"/>
      <c r="H346" s="76" t="s">
        <v>491</v>
      </c>
      <c r="I346" s="96"/>
      <c r="J346" s="96"/>
      <c r="K346" s="76"/>
      <c r="L346" s="76"/>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v>1</v>
      </c>
      <c r="AJ346" s="76">
        <v>1</v>
      </c>
      <c r="AK346" s="73"/>
      <c r="AL346" s="57"/>
      <c r="AM346" s="45"/>
      <c r="AN346" s="45"/>
      <c r="AO346" s="45"/>
    </row>
    <row r="347" spans="1:41" hidden="1" outlineLevel="2" x14ac:dyDescent="0.25">
      <c r="A347" s="45"/>
      <c r="B347" s="54"/>
      <c r="C347" s="47">
        <f t="shared" ref="C347:C362" si="93">INT($C$29)+2</f>
        <v>3</v>
      </c>
      <c r="D347" s="73"/>
      <c r="E347" s="70"/>
      <c r="F347" s="70" t="s">
        <v>887</v>
      </c>
      <c r="G347" s="73"/>
      <c r="H347" s="76" t="s">
        <v>888</v>
      </c>
      <c r="I347" s="96" t="s">
        <v>889</v>
      </c>
      <c r="J347" s="96"/>
      <c r="K347" s="97">
        <v>0.09</v>
      </c>
      <c r="L347" s="97">
        <v>0.09</v>
      </c>
      <c r="M347" s="97">
        <v>0.09</v>
      </c>
      <c r="N347" s="97">
        <v>0.09</v>
      </c>
      <c r="O347" s="97">
        <v>0.09</v>
      </c>
      <c r="P347" s="97">
        <v>0.09</v>
      </c>
      <c r="Q347" s="76"/>
      <c r="R347" s="76"/>
      <c r="S347" s="76"/>
      <c r="T347" s="76"/>
      <c r="U347" s="253">
        <f t="shared" ref="U347:AE356" si="94">INDEX($K347:$Q347,1,U$43)</f>
        <v>0.09</v>
      </c>
      <c r="V347" s="253">
        <f t="shared" si="94"/>
        <v>0.09</v>
      </c>
      <c r="W347" s="253">
        <f t="shared" si="94"/>
        <v>0.09</v>
      </c>
      <c r="X347" s="253">
        <f t="shared" si="94"/>
        <v>0.09</v>
      </c>
      <c r="Y347" s="253">
        <f t="shared" si="94"/>
        <v>0.09</v>
      </c>
      <c r="Z347" s="253">
        <f t="shared" si="94"/>
        <v>0.09</v>
      </c>
      <c r="AA347" s="253">
        <f t="shared" si="94"/>
        <v>0.09</v>
      </c>
      <c r="AB347" s="253">
        <f t="shared" si="94"/>
        <v>0.09</v>
      </c>
      <c r="AC347" s="253">
        <f t="shared" si="94"/>
        <v>0.09</v>
      </c>
      <c r="AD347" s="253">
        <f t="shared" si="94"/>
        <v>0.09</v>
      </c>
      <c r="AE347" s="253">
        <f t="shared" si="94"/>
        <v>0.09</v>
      </c>
      <c r="AF347" s="76"/>
      <c r="AG347" s="76"/>
      <c r="AH347" s="76"/>
      <c r="AI347" s="97">
        <v>1</v>
      </c>
      <c r="AJ347" s="97">
        <v>1</v>
      </c>
      <c r="AK347" s="73"/>
      <c r="AL347" s="57"/>
      <c r="AM347" s="45"/>
      <c r="AN347" s="45"/>
      <c r="AO347" s="45"/>
    </row>
    <row r="348" spans="1:41" hidden="1" outlineLevel="2" x14ac:dyDescent="0.25">
      <c r="A348" s="45"/>
      <c r="B348" s="54"/>
      <c r="C348" s="47">
        <f t="shared" si="93"/>
        <v>3</v>
      </c>
      <c r="D348" s="73"/>
      <c r="E348" s="70"/>
      <c r="F348" s="70" t="s">
        <v>890</v>
      </c>
      <c r="G348" s="73"/>
      <c r="H348" s="76" t="s">
        <v>891</v>
      </c>
      <c r="I348" s="96" t="s">
        <v>892</v>
      </c>
      <c r="J348" s="96"/>
      <c r="K348" s="97">
        <v>4.0999999999999996</v>
      </c>
      <c r="L348" s="97">
        <v>4.0999999999999996</v>
      </c>
      <c r="M348" s="97">
        <v>4.0999999999999996</v>
      </c>
      <c r="N348" s="97">
        <v>4.0999999999999996</v>
      </c>
      <c r="O348" s="97">
        <v>4.0999999999999996</v>
      </c>
      <c r="P348" s="97">
        <v>4.0999999999999996</v>
      </c>
      <c r="Q348" s="76"/>
      <c r="R348" s="76"/>
      <c r="S348" s="76"/>
      <c r="T348" s="76"/>
      <c r="U348" s="253">
        <f t="shared" si="94"/>
        <v>4.0999999999999996</v>
      </c>
      <c r="V348" s="253">
        <f t="shared" si="94"/>
        <v>4.0999999999999996</v>
      </c>
      <c r="W348" s="253">
        <f t="shared" si="94"/>
        <v>4.0999999999999996</v>
      </c>
      <c r="X348" s="253">
        <f t="shared" si="94"/>
        <v>4.0999999999999996</v>
      </c>
      <c r="Y348" s="253">
        <f t="shared" si="94"/>
        <v>4.0999999999999996</v>
      </c>
      <c r="Z348" s="253">
        <f t="shared" si="94"/>
        <v>4.0999999999999996</v>
      </c>
      <c r="AA348" s="253">
        <f t="shared" si="94"/>
        <v>4.0999999999999996</v>
      </c>
      <c r="AB348" s="253">
        <f t="shared" si="94"/>
        <v>4.0999999999999996</v>
      </c>
      <c r="AC348" s="253">
        <f t="shared" si="94"/>
        <v>4.0999999999999996</v>
      </c>
      <c r="AD348" s="253">
        <f t="shared" si="94"/>
        <v>4.0999999999999996</v>
      </c>
      <c r="AE348" s="253">
        <f t="shared" si="94"/>
        <v>4.0999999999999996</v>
      </c>
      <c r="AF348" s="76"/>
      <c r="AG348" s="76"/>
      <c r="AH348" s="76"/>
      <c r="AI348" s="97">
        <v>1</v>
      </c>
      <c r="AJ348" s="97">
        <v>1</v>
      </c>
      <c r="AK348" s="73"/>
      <c r="AL348" s="57"/>
      <c r="AM348" s="45"/>
      <c r="AN348" s="45"/>
      <c r="AO348" s="45"/>
    </row>
    <row r="349" spans="1:41" hidden="1" outlineLevel="2" x14ac:dyDescent="0.25">
      <c r="A349" s="45"/>
      <c r="B349" s="54"/>
      <c r="C349" s="47">
        <f t="shared" si="93"/>
        <v>3</v>
      </c>
      <c r="D349" s="73"/>
      <c r="E349" s="70"/>
      <c r="F349" s="70" t="s">
        <v>893</v>
      </c>
      <c r="G349" s="73"/>
      <c r="H349" s="76" t="s">
        <v>894</v>
      </c>
      <c r="I349" s="96" t="s">
        <v>895</v>
      </c>
      <c r="J349" s="96"/>
      <c r="K349" s="97">
        <v>1.3</v>
      </c>
      <c r="L349" s="97">
        <v>1.3</v>
      </c>
      <c r="M349" s="97">
        <v>1.6</v>
      </c>
      <c r="N349" s="97">
        <v>1.6</v>
      </c>
      <c r="O349" s="97">
        <v>1.6</v>
      </c>
      <c r="P349" s="97">
        <v>1.6</v>
      </c>
      <c r="Q349" s="76"/>
      <c r="R349" s="76" t="s">
        <v>507</v>
      </c>
      <c r="S349" s="76" t="s">
        <v>507</v>
      </c>
      <c r="T349" s="76"/>
      <c r="U349" s="253">
        <f t="shared" si="94"/>
        <v>1.3</v>
      </c>
      <c r="V349" s="253">
        <f t="shared" si="94"/>
        <v>1.3</v>
      </c>
      <c r="W349" s="253">
        <f t="shared" si="94"/>
        <v>1.3</v>
      </c>
      <c r="X349" s="253">
        <f t="shared" si="94"/>
        <v>1.3</v>
      </c>
      <c r="Y349" s="253">
        <f t="shared" si="94"/>
        <v>1.3</v>
      </c>
      <c r="Z349" s="253">
        <f t="shared" si="94"/>
        <v>1.3</v>
      </c>
      <c r="AA349" s="253">
        <f t="shared" si="94"/>
        <v>1.3</v>
      </c>
      <c r="AB349" s="253">
        <f t="shared" si="94"/>
        <v>1.3</v>
      </c>
      <c r="AC349" s="253">
        <f t="shared" si="94"/>
        <v>1.3</v>
      </c>
      <c r="AD349" s="253">
        <f t="shared" si="94"/>
        <v>1.3</v>
      </c>
      <c r="AE349" s="253">
        <f t="shared" si="94"/>
        <v>1.3</v>
      </c>
      <c r="AF349" s="76"/>
      <c r="AG349" s="76"/>
      <c r="AH349" s="76"/>
      <c r="AI349" s="97">
        <v>1</v>
      </c>
      <c r="AJ349" s="97">
        <v>1</v>
      </c>
      <c r="AK349" s="73"/>
      <c r="AL349" s="57"/>
      <c r="AM349" s="45"/>
      <c r="AN349" s="45"/>
      <c r="AO349" s="45"/>
    </row>
    <row r="350" spans="1:41" hidden="1" outlineLevel="2" x14ac:dyDescent="0.25">
      <c r="A350" s="45"/>
      <c r="B350" s="54"/>
      <c r="C350" s="47">
        <f t="shared" si="93"/>
        <v>3</v>
      </c>
      <c r="D350" s="73"/>
      <c r="E350" s="70"/>
      <c r="F350" s="70" t="s">
        <v>896</v>
      </c>
      <c r="G350" s="73"/>
      <c r="H350" s="76" t="s">
        <v>897</v>
      </c>
      <c r="I350" s="96" t="s">
        <v>497</v>
      </c>
      <c r="J350" s="96"/>
      <c r="K350" s="97">
        <v>0.5</v>
      </c>
      <c r="L350" s="97">
        <v>0.5</v>
      </c>
      <c r="M350" s="97">
        <v>0.5</v>
      </c>
      <c r="N350" s="97">
        <v>0.5</v>
      </c>
      <c r="O350" s="97">
        <v>0.5</v>
      </c>
      <c r="P350" s="97">
        <v>0.5</v>
      </c>
      <c r="Q350" s="76"/>
      <c r="R350" s="76" t="s">
        <v>507</v>
      </c>
      <c r="S350" s="76" t="s">
        <v>507</v>
      </c>
      <c r="T350" s="76"/>
      <c r="U350" s="253">
        <f t="shared" si="94"/>
        <v>0.5</v>
      </c>
      <c r="V350" s="253">
        <f t="shared" si="94"/>
        <v>0.5</v>
      </c>
      <c r="W350" s="253">
        <f t="shared" si="94"/>
        <v>0.5</v>
      </c>
      <c r="X350" s="253">
        <f t="shared" si="94"/>
        <v>0.5</v>
      </c>
      <c r="Y350" s="253">
        <f t="shared" si="94"/>
        <v>0.5</v>
      </c>
      <c r="Z350" s="253">
        <f t="shared" si="94"/>
        <v>0.5</v>
      </c>
      <c r="AA350" s="253">
        <f t="shared" si="94"/>
        <v>0.5</v>
      </c>
      <c r="AB350" s="253">
        <f t="shared" si="94"/>
        <v>0.5</v>
      </c>
      <c r="AC350" s="253">
        <f t="shared" si="94"/>
        <v>0.5</v>
      </c>
      <c r="AD350" s="253">
        <f t="shared" si="94"/>
        <v>0.5</v>
      </c>
      <c r="AE350" s="253">
        <f t="shared" si="94"/>
        <v>0.5</v>
      </c>
      <c r="AF350" s="76"/>
      <c r="AG350" s="76"/>
      <c r="AH350" s="76"/>
      <c r="AI350" s="97">
        <v>1</v>
      </c>
      <c r="AJ350" s="97">
        <v>1</v>
      </c>
      <c r="AK350" s="73"/>
      <c r="AL350" s="57"/>
      <c r="AM350" s="45"/>
      <c r="AN350" s="45"/>
      <c r="AO350" s="45"/>
    </row>
    <row r="351" spans="1:41" hidden="1" outlineLevel="2" x14ac:dyDescent="0.25">
      <c r="A351" s="45"/>
      <c r="B351" s="54"/>
      <c r="C351" s="47">
        <f t="shared" si="93"/>
        <v>3</v>
      </c>
      <c r="D351" s="73"/>
      <c r="E351" s="70"/>
      <c r="F351" s="70" t="s">
        <v>898</v>
      </c>
      <c r="G351" s="73"/>
      <c r="H351" s="76" t="s">
        <v>899</v>
      </c>
      <c r="I351" s="96" t="s">
        <v>569</v>
      </c>
      <c r="J351" s="96"/>
      <c r="K351" s="97">
        <v>0.7</v>
      </c>
      <c r="L351" s="97">
        <v>0.7</v>
      </c>
      <c r="M351" s="97">
        <v>0.7</v>
      </c>
      <c r="N351" s="97">
        <v>0.7</v>
      </c>
      <c r="O351" s="97">
        <v>0.7</v>
      </c>
      <c r="P351" s="97">
        <v>0.7</v>
      </c>
      <c r="Q351" s="76"/>
      <c r="R351" s="76" t="s">
        <v>507</v>
      </c>
      <c r="S351" s="76" t="s">
        <v>507</v>
      </c>
      <c r="T351" s="76"/>
      <c r="U351" s="253">
        <f t="shared" si="94"/>
        <v>0.7</v>
      </c>
      <c r="V351" s="253">
        <f t="shared" si="94"/>
        <v>0.7</v>
      </c>
      <c r="W351" s="253">
        <f t="shared" si="94"/>
        <v>0.7</v>
      </c>
      <c r="X351" s="253">
        <f t="shared" si="94"/>
        <v>0.7</v>
      </c>
      <c r="Y351" s="253">
        <f t="shared" si="94"/>
        <v>0.7</v>
      </c>
      <c r="Z351" s="253">
        <f t="shared" si="94"/>
        <v>0.7</v>
      </c>
      <c r="AA351" s="253">
        <f t="shared" si="94"/>
        <v>0.7</v>
      </c>
      <c r="AB351" s="253">
        <f t="shared" si="94"/>
        <v>0.7</v>
      </c>
      <c r="AC351" s="253">
        <f t="shared" si="94"/>
        <v>0.7</v>
      </c>
      <c r="AD351" s="253">
        <f t="shared" si="94"/>
        <v>0.7</v>
      </c>
      <c r="AE351" s="253">
        <f t="shared" si="94"/>
        <v>0.7</v>
      </c>
      <c r="AF351" s="76"/>
      <c r="AG351" s="76"/>
      <c r="AH351" s="76"/>
      <c r="AI351" s="97">
        <v>1</v>
      </c>
      <c r="AJ351" s="97">
        <v>1</v>
      </c>
      <c r="AK351" s="73"/>
      <c r="AL351" s="57"/>
      <c r="AM351" s="45"/>
      <c r="AN351" s="45"/>
      <c r="AO351" s="45"/>
    </row>
    <row r="352" spans="1:41" hidden="1" outlineLevel="2" x14ac:dyDescent="0.25">
      <c r="A352" s="45"/>
      <c r="B352" s="54"/>
      <c r="C352" s="47">
        <f t="shared" si="93"/>
        <v>3</v>
      </c>
      <c r="D352" s="73"/>
      <c r="E352" s="70"/>
      <c r="F352" s="70" t="s">
        <v>900</v>
      </c>
      <c r="G352" s="73"/>
      <c r="H352" s="76" t="s">
        <v>901</v>
      </c>
      <c r="I352" s="96" t="s">
        <v>902</v>
      </c>
      <c r="J352" s="96"/>
      <c r="K352" s="97">
        <v>0.15</v>
      </c>
      <c r="L352" s="97">
        <v>0.15</v>
      </c>
      <c r="M352" s="97">
        <v>0.15</v>
      </c>
      <c r="N352" s="97">
        <v>0.15</v>
      </c>
      <c r="O352" s="97">
        <v>0.15</v>
      </c>
      <c r="P352" s="97">
        <v>0.15</v>
      </c>
      <c r="Q352" s="76"/>
      <c r="R352" s="76" t="s">
        <v>507</v>
      </c>
      <c r="S352" s="76" t="s">
        <v>507</v>
      </c>
      <c r="T352" s="76"/>
      <c r="U352" s="253">
        <f t="shared" si="94"/>
        <v>0.15</v>
      </c>
      <c r="V352" s="253">
        <f t="shared" si="94"/>
        <v>0.15</v>
      </c>
      <c r="W352" s="253">
        <f t="shared" si="94"/>
        <v>0.15</v>
      </c>
      <c r="X352" s="253">
        <f t="shared" si="94"/>
        <v>0.15</v>
      </c>
      <c r="Y352" s="253">
        <f t="shared" si="94"/>
        <v>0.15</v>
      </c>
      <c r="Z352" s="253">
        <f t="shared" si="94"/>
        <v>0.15</v>
      </c>
      <c r="AA352" s="253">
        <f t="shared" si="94"/>
        <v>0.15</v>
      </c>
      <c r="AB352" s="253">
        <f t="shared" si="94"/>
        <v>0.15</v>
      </c>
      <c r="AC352" s="253">
        <f t="shared" si="94"/>
        <v>0.15</v>
      </c>
      <c r="AD352" s="253">
        <f t="shared" si="94"/>
        <v>0.15</v>
      </c>
      <c r="AE352" s="253">
        <f t="shared" si="94"/>
        <v>0.15</v>
      </c>
      <c r="AF352" s="76"/>
      <c r="AG352" s="76"/>
      <c r="AH352" s="76"/>
      <c r="AI352" s="97">
        <v>1</v>
      </c>
      <c r="AJ352" s="97">
        <v>1</v>
      </c>
      <c r="AK352" s="73"/>
      <c r="AL352" s="57"/>
      <c r="AM352" s="45"/>
      <c r="AN352" s="45"/>
      <c r="AO352" s="45"/>
    </row>
    <row r="353" spans="1:41" hidden="1" outlineLevel="2" x14ac:dyDescent="0.25">
      <c r="A353" s="45"/>
      <c r="B353" s="54"/>
      <c r="C353" s="47">
        <f t="shared" si="93"/>
        <v>3</v>
      </c>
      <c r="D353" s="73"/>
      <c r="E353" s="70"/>
      <c r="F353" s="70" t="s">
        <v>903</v>
      </c>
      <c r="G353" s="73"/>
      <c r="H353" s="76" t="s">
        <v>904</v>
      </c>
      <c r="I353" s="96" t="s">
        <v>497</v>
      </c>
      <c r="J353" s="96"/>
      <c r="K353" s="97">
        <v>0.48099999999999998</v>
      </c>
      <c r="L353" s="97">
        <v>0.48099999999999998</v>
      </c>
      <c r="M353" s="97">
        <v>0.48099999999999998</v>
      </c>
      <c r="N353" s="97">
        <v>0.48099999999999998</v>
      </c>
      <c r="O353" s="97">
        <v>0.48099999999999998</v>
      </c>
      <c r="P353" s="97">
        <v>0.48099999999999998</v>
      </c>
      <c r="Q353" s="76"/>
      <c r="R353" s="76" t="s">
        <v>507</v>
      </c>
      <c r="S353" s="76" t="s">
        <v>507</v>
      </c>
      <c r="T353" s="76"/>
      <c r="U353" s="253">
        <f t="shared" si="94"/>
        <v>0.48099999999999998</v>
      </c>
      <c r="V353" s="253">
        <f t="shared" si="94"/>
        <v>0.48099999999999998</v>
      </c>
      <c r="W353" s="253">
        <f t="shared" si="94"/>
        <v>0.48099999999999998</v>
      </c>
      <c r="X353" s="253">
        <f t="shared" si="94"/>
        <v>0.48099999999999998</v>
      </c>
      <c r="Y353" s="253">
        <f t="shared" si="94"/>
        <v>0.48099999999999998</v>
      </c>
      <c r="Z353" s="253">
        <f t="shared" si="94"/>
        <v>0.48099999999999998</v>
      </c>
      <c r="AA353" s="253">
        <f t="shared" si="94"/>
        <v>0.48099999999999998</v>
      </c>
      <c r="AB353" s="253">
        <f t="shared" si="94"/>
        <v>0.48099999999999998</v>
      </c>
      <c r="AC353" s="253">
        <f t="shared" si="94"/>
        <v>0.48099999999999998</v>
      </c>
      <c r="AD353" s="253">
        <f t="shared" si="94"/>
        <v>0.48099999999999998</v>
      </c>
      <c r="AE353" s="253">
        <f t="shared" si="94"/>
        <v>0.48099999999999998</v>
      </c>
      <c r="AF353" s="76"/>
      <c r="AG353" s="76"/>
      <c r="AH353" s="76"/>
      <c r="AI353" s="97">
        <v>1</v>
      </c>
      <c r="AJ353" s="97">
        <v>1</v>
      </c>
      <c r="AK353" s="73"/>
      <c r="AL353" s="57"/>
      <c r="AM353" s="45"/>
      <c r="AN353" s="45"/>
      <c r="AO353" s="45"/>
    </row>
    <row r="354" spans="1:41" hidden="1" outlineLevel="2" x14ac:dyDescent="0.25">
      <c r="A354" s="45"/>
      <c r="B354" s="54"/>
      <c r="C354" s="47">
        <f t="shared" si="93"/>
        <v>3</v>
      </c>
      <c r="D354" s="73"/>
      <c r="E354" s="70"/>
      <c r="F354" s="70" t="s">
        <v>905</v>
      </c>
      <c r="G354" s="73"/>
      <c r="H354" s="76" t="s">
        <v>901</v>
      </c>
      <c r="I354" s="96" t="s">
        <v>497</v>
      </c>
      <c r="J354" s="96"/>
      <c r="K354" s="97">
        <v>0.61899999999999999</v>
      </c>
      <c r="L354" s="97">
        <v>0.61899999999999999</v>
      </c>
      <c r="M354" s="97">
        <v>0.61899999999999999</v>
      </c>
      <c r="N354" s="97">
        <v>0.61899999999999999</v>
      </c>
      <c r="O354" s="97">
        <v>0.61899999999999999</v>
      </c>
      <c r="P354" s="97">
        <v>0.61899999999999999</v>
      </c>
      <c r="Q354" s="76"/>
      <c r="R354" s="76" t="s">
        <v>507</v>
      </c>
      <c r="S354" s="76" t="s">
        <v>507</v>
      </c>
      <c r="T354" s="76"/>
      <c r="U354" s="253">
        <f t="shared" si="94"/>
        <v>0.61899999999999999</v>
      </c>
      <c r="V354" s="253">
        <f t="shared" si="94"/>
        <v>0.61899999999999999</v>
      </c>
      <c r="W354" s="253">
        <f t="shared" si="94"/>
        <v>0.61899999999999999</v>
      </c>
      <c r="X354" s="253">
        <f t="shared" si="94"/>
        <v>0.61899999999999999</v>
      </c>
      <c r="Y354" s="253">
        <f t="shared" si="94"/>
        <v>0.61899999999999999</v>
      </c>
      <c r="Z354" s="253">
        <f t="shared" si="94"/>
        <v>0.61899999999999999</v>
      </c>
      <c r="AA354" s="253">
        <f t="shared" si="94"/>
        <v>0.61899999999999999</v>
      </c>
      <c r="AB354" s="253">
        <f t="shared" si="94"/>
        <v>0.61899999999999999</v>
      </c>
      <c r="AC354" s="253">
        <f t="shared" si="94"/>
        <v>0.61899999999999999</v>
      </c>
      <c r="AD354" s="253">
        <f t="shared" si="94"/>
        <v>0.61899999999999999</v>
      </c>
      <c r="AE354" s="253">
        <f t="shared" si="94"/>
        <v>0.61899999999999999</v>
      </c>
      <c r="AF354" s="76"/>
      <c r="AG354" s="76"/>
      <c r="AH354" s="76"/>
      <c r="AI354" s="97">
        <v>1</v>
      </c>
      <c r="AJ354" s="97">
        <v>1</v>
      </c>
      <c r="AK354" s="73"/>
      <c r="AL354" s="57"/>
      <c r="AM354" s="45"/>
      <c r="AN354" s="45"/>
      <c r="AO354" s="45"/>
    </row>
    <row r="355" spans="1:41" hidden="1" outlineLevel="2" x14ac:dyDescent="0.25">
      <c r="A355" s="45"/>
      <c r="B355" s="54"/>
      <c r="C355" s="47">
        <f t="shared" si="93"/>
        <v>3</v>
      </c>
      <c r="D355" s="73"/>
      <c r="E355" s="70"/>
      <c r="F355" s="70" t="s">
        <v>906</v>
      </c>
      <c r="G355" s="73"/>
      <c r="H355" s="76" t="s">
        <v>907</v>
      </c>
      <c r="I355" s="96" t="s">
        <v>895</v>
      </c>
      <c r="J355" s="96"/>
      <c r="K355" s="97">
        <v>1.41</v>
      </c>
      <c r="L355" s="97">
        <v>1.41</v>
      </c>
      <c r="M355" s="97">
        <v>1.1000000000000001</v>
      </c>
      <c r="N355" s="97">
        <v>1.1000000000000001</v>
      </c>
      <c r="O355" s="97">
        <v>1.1000000000000001</v>
      </c>
      <c r="P355" s="97">
        <v>1.1000000000000001</v>
      </c>
      <c r="Q355" s="76"/>
      <c r="R355" s="76" t="s">
        <v>507</v>
      </c>
      <c r="S355" s="76" t="s">
        <v>507</v>
      </c>
      <c r="T355" s="76"/>
      <c r="U355" s="253">
        <f t="shared" si="94"/>
        <v>1.41</v>
      </c>
      <c r="V355" s="253">
        <f t="shared" si="94"/>
        <v>1.41</v>
      </c>
      <c r="W355" s="253">
        <f t="shared" si="94"/>
        <v>1.41</v>
      </c>
      <c r="X355" s="253">
        <f t="shared" si="94"/>
        <v>1.41</v>
      </c>
      <c r="Y355" s="253">
        <f t="shared" si="94"/>
        <v>1.41</v>
      </c>
      <c r="Z355" s="253">
        <f t="shared" si="94"/>
        <v>1.41</v>
      </c>
      <c r="AA355" s="253">
        <f t="shared" si="94"/>
        <v>1.41</v>
      </c>
      <c r="AB355" s="253">
        <f t="shared" si="94"/>
        <v>1.41</v>
      </c>
      <c r="AC355" s="253">
        <f t="shared" si="94"/>
        <v>1.41</v>
      </c>
      <c r="AD355" s="253">
        <f t="shared" si="94"/>
        <v>1.41</v>
      </c>
      <c r="AE355" s="253">
        <f t="shared" si="94"/>
        <v>1.41</v>
      </c>
      <c r="AF355" s="76"/>
      <c r="AG355" s="76"/>
      <c r="AH355" s="76"/>
      <c r="AI355" s="97">
        <v>1</v>
      </c>
      <c r="AJ355" s="97">
        <v>1</v>
      </c>
      <c r="AK355" s="73"/>
      <c r="AL355" s="57"/>
      <c r="AM355" s="45"/>
      <c r="AN355" s="45"/>
      <c r="AO355" s="45"/>
    </row>
    <row r="356" spans="1:41" hidden="1" outlineLevel="2" x14ac:dyDescent="0.25">
      <c r="A356" s="45"/>
      <c r="B356" s="54"/>
      <c r="C356" s="47">
        <f t="shared" si="93"/>
        <v>3</v>
      </c>
      <c r="D356" s="73"/>
      <c r="E356" s="70"/>
      <c r="F356" s="70" t="s">
        <v>908</v>
      </c>
      <c r="G356" s="73"/>
      <c r="H356" s="76" t="s">
        <v>901</v>
      </c>
      <c r="I356" s="96" t="s">
        <v>497</v>
      </c>
      <c r="J356" s="96"/>
      <c r="K356" s="97">
        <v>0.32200000000000001</v>
      </c>
      <c r="L356" s="97">
        <v>0.32200000000000001</v>
      </c>
      <c r="M356" s="97">
        <v>0.32200000000000001</v>
      </c>
      <c r="N356" s="97">
        <v>0.32200000000000001</v>
      </c>
      <c r="O356" s="97">
        <v>0.32200000000000001</v>
      </c>
      <c r="P356" s="97">
        <v>0.32200000000000001</v>
      </c>
      <c r="Q356" s="76"/>
      <c r="R356" s="76" t="s">
        <v>909</v>
      </c>
      <c r="S356" s="76" t="s">
        <v>507</v>
      </c>
      <c r="T356" s="76"/>
      <c r="U356" s="253">
        <f t="shared" si="94"/>
        <v>0.32200000000000001</v>
      </c>
      <c r="V356" s="253">
        <f t="shared" si="94"/>
        <v>0.32200000000000001</v>
      </c>
      <c r="W356" s="253">
        <f t="shared" si="94"/>
        <v>0.32200000000000001</v>
      </c>
      <c r="X356" s="253">
        <f t="shared" si="94"/>
        <v>0.32200000000000001</v>
      </c>
      <c r="Y356" s="253">
        <f t="shared" si="94"/>
        <v>0.32200000000000001</v>
      </c>
      <c r="Z356" s="253">
        <f t="shared" si="94"/>
        <v>0.32200000000000001</v>
      </c>
      <c r="AA356" s="253">
        <f t="shared" si="94"/>
        <v>0.32200000000000001</v>
      </c>
      <c r="AB356" s="253">
        <f t="shared" si="94"/>
        <v>0.32200000000000001</v>
      </c>
      <c r="AC356" s="253">
        <f t="shared" si="94"/>
        <v>0.32200000000000001</v>
      </c>
      <c r="AD356" s="253">
        <f t="shared" si="94"/>
        <v>0.32200000000000001</v>
      </c>
      <c r="AE356" s="253">
        <f t="shared" si="94"/>
        <v>0.32200000000000001</v>
      </c>
      <c r="AF356" s="76"/>
      <c r="AG356" s="76"/>
      <c r="AH356" s="76"/>
      <c r="AI356" s="97">
        <v>1</v>
      </c>
      <c r="AJ356" s="97">
        <v>1</v>
      </c>
      <c r="AK356" s="73"/>
      <c r="AL356" s="57"/>
      <c r="AM356" s="45"/>
      <c r="AN356" s="45"/>
      <c r="AO356" s="45"/>
    </row>
    <row r="357" spans="1:41" hidden="1" outlineLevel="2" x14ac:dyDescent="0.25">
      <c r="A357" s="45"/>
      <c r="B357" s="54"/>
      <c r="C357" s="47">
        <f t="shared" si="93"/>
        <v>3</v>
      </c>
      <c r="D357" s="73"/>
      <c r="E357" s="70"/>
      <c r="F357" s="70" t="s">
        <v>910</v>
      </c>
      <c r="G357" s="73"/>
      <c r="H357" s="76" t="s">
        <v>911</v>
      </c>
      <c r="I357" s="96" t="s">
        <v>532</v>
      </c>
      <c r="J357" s="96"/>
      <c r="K357" s="97">
        <v>39</v>
      </c>
      <c r="L357" s="97">
        <v>39</v>
      </c>
      <c r="M357" s="97">
        <v>39</v>
      </c>
      <c r="N357" s="97">
        <v>39</v>
      </c>
      <c r="O357" s="97">
        <v>39</v>
      </c>
      <c r="P357" s="97">
        <v>39</v>
      </c>
      <c r="Q357" s="76"/>
      <c r="R357" s="76" t="s">
        <v>507</v>
      </c>
      <c r="S357" s="76" t="s">
        <v>507</v>
      </c>
      <c r="T357" s="76"/>
      <c r="U357" s="253">
        <f t="shared" ref="U357:AE362" si="95">INDEX($K357:$Q357,1,U$43)</f>
        <v>39</v>
      </c>
      <c r="V357" s="253">
        <f t="shared" si="95"/>
        <v>39</v>
      </c>
      <c r="W357" s="253">
        <f t="shared" si="95"/>
        <v>39</v>
      </c>
      <c r="X357" s="253">
        <f t="shared" si="95"/>
        <v>39</v>
      </c>
      <c r="Y357" s="253">
        <f t="shared" si="95"/>
        <v>39</v>
      </c>
      <c r="Z357" s="253">
        <f t="shared" si="95"/>
        <v>39</v>
      </c>
      <c r="AA357" s="253">
        <f t="shared" si="95"/>
        <v>39</v>
      </c>
      <c r="AB357" s="253">
        <f t="shared" si="95"/>
        <v>39</v>
      </c>
      <c r="AC357" s="253">
        <f t="shared" si="95"/>
        <v>39</v>
      </c>
      <c r="AD357" s="253">
        <f t="shared" si="95"/>
        <v>39</v>
      </c>
      <c r="AE357" s="253">
        <f t="shared" si="95"/>
        <v>39</v>
      </c>
      <c r="AF357" s="76"/>
      <c r="AG357" s="76"/>
      <c r="AH357" s="76"/>
      <c r="AI357" s="97">
        <v>1</v>
      </c>
      <c r="AJ357" s="97">
        <v>1</v>
      </c>
      <c r="AK357" s="73"/>
      <c r="AL357" s="57"/>
      <c r="AM357" s="45"/>
      <c r="AN357" s="45"/>
      <c r="AO357" s="45"/>
    </row>
    <row r="358" spans="1:41" hidden="1" outlineLevel="2" x14ac:dyDescent="0.25">
      <c r="A358" s="45"/>
      <c r="B358" s="54"/>
      <c r="C358" s="47">
        <f t="shared" si="93"/>
        <v>3</v>
      </c>
      <c r="D358" s="73"/>
      <c r="E358" s="70"/>
      <c r="F358" s="70" t="s">
        <v>912</v>
      </c>
      <c r="G358" s="73"/>
      <c r="H358" s="76" t="s">
        <v>2856</v>
      </c>
      <c r="I358" s="96" t="s">
        <v>913</v>
      </c>
      <c r="J358" s="96"/>
      <c r="K358" s="97">
        <v>1.3</v>
      </c>
      <c r="L358" s="97">
        <v>1.3</v>
      </c>
      <c r="M358" s="97">
        <v>1.5</v>
      </c>
      <c r="N358" s="97">
        <v>1.5</v>
      </c>
      <c r="O358" s="97">
        <v>1.5</v>
      </c>
      <c r="P358" s="97">
        <v>1.5</v>
      </c>
      <c r="Q358" s="76"/>
      <c r="R358" s="76" t="s">
        <v>507</v>
      </c>
      <c r="S358" s="76" t="s">
        <v>507</v>
      </c>
      <c r="T358" s="76"/>
      <c r="U358" s="253">
        <f t="shared" si="95"/>
        <v>1.3</v>
      </c>
      <c r="V358" s="253">
        <f t="shared" si="95"/>
        <v>1.3</v>
      </c>
      <c r="W358" s="253">
        <f t="shared" si="95"/>
        <v>1.3</v>
      </c>
      <c r="X358" s="253">
        <f t="shared" si="95"/>
        <v>1.3</v>
      </c>
      <c r="Y358" s="253">
        <f t="shared" si="95"/>
        <v>1.3</v>
      </c>
      <c r="Z358" s="253">
        <f t="shared" si="95"/>
        <v>1.3</v>
      </c>
      <c r="AA358" s="253">
        <f t="shared" si="95"/>
        <v>1.3</v>
      </c>
      <c r="AB358" s="253">
        <f t="shared" si="95"/>
        <v>1.3</v>
      </c>
      <c r="AC358" s="253">
        <f t="shared" si="95"/>
        <v>1.3</v>
      </c>
      <c r="AD358" s="253">
        <f t="shared" si="95"/>
        <v>1.3</v>
      </c>
      <c r="AE358" s="253">
        <f t="shared" si="95"/>
        <v>1.3</v>
      </c>
      <c r="AF358" s="76"/>
      <c r="AG358" s="76"/>
      <c r="AH358" s="76"/>
      <c r="AI358" s="97">
        <v>1</v>
      </c>
      <c r="AJ358" s="97">
        <v>1</v>
      </c>
      <c r="AK358" s="73"/>
      <c r="AL358" s="57"/>
      <c r="AM358" s="45"/>
      <c r="AN358" s="45"/>
      <c r="AO358" s="45"/>
    </row>
    <row r="359" spans="1:41" hidden="1" outlineLevel="2" x14ac:dyDescent="0.25">
      <c r="A359" s="45"/>
      <c r="B359" s="54"/>
      <c r="C359" s="47">
        <f t="shared" si="93"/>
        <v>3</v>
      </c>
      <c r="D359" s="73"/>
      <c r="E359" s="70"/>
      <c r="F359" s="70" t="s">
        <v>914</v>
      </c>
      <c r="G359" s="73"/>
      <c r="H359" s="76" t="s">
        <v>915</v>
      </c>
      <c r="I359" s="96" t="s">
        <v>532</v>
      </c>
      <c r="J359" s="96"/>
      <c r="K359" s="97">
        <v>5</v>
      </c>
      <c r="L359" s="97">
        <v>5</v>
      </c>
      <c r="M359" s="97">
        <v>5</v>
      </c>
      <c r="N359" s="97">
        <v>5</v>
      </c>
      <c r="O359" s="97">
        <v>5</v>
      </c>
      <c r="P359" s="97">
        <v>5</v>
      </c>
      <c r="Q359" s="76"/>
      <c r="R359" s="76" t="s">
        <v>507</v>
      </c>
      <c r="S359" s="76" t="s">
        <v>507</v>
      </c>
      <c r="T359" s="76"/>
      <c r="U359" s="253">
        <f t="shared" si="95"/>
        <v>5</v>
      </c>
      <c r="V359" s="253">
        <f t="shared" si="95"/>
        <v>5</v>
      </c>
      <c r="W359" s="253">
        <f t="shared" si="95"/>
        <v>5</v>
      </c>
      <c r="X359" s="253">
        <f t="shared" si="95"/>
        <v>5</v>
      </c>
      <c r="Y359" s="253">
        <f t="shared" si="95"/>
        <v>5</v>
      </c>
      <c r="Z359" s="253">
        <f t="shared" si="95"/>
        <v>5</v>
      </c>
      <c r="AA359" s="253">
        <f t="shared" si="95"/>
        <v>5</v>
      </c>
      <c r="AB359" s="253">
        <f t="shared" si="95"/>
        <v>5</v>
      </c>
      <c r="AC359" s="253">
        <f t="shared" si="95"/>
        <v>5</v>
      </c>
      <c r="AD359" s="253">
        <f t="shared" si="95"/>
        <v>5</v>
      </c>
      <c r="AE359" s="253">
        <f t="shared" si="95"/>
        <v>5</v>
      </c>
      <c r="AF359" s="76"/>
      <c r="AG359" s="76"/>
      <c r="AH359" s="76"/>
      <c r="AI359" s="97">
        <v>1</v>
      </c>
      <c r="AJ359" s="97">
        <v>1</v>
      </c>
      <c r="AK359" s="73"/>
      <c r="AL359" s="57"/>
      <c r="AM359" s="45"/>
      <c r="AN359" s="45"/>
      <c r="AO359" s="45"/>
    </row>
    <row r="360" spans="1:41" hidden="1" outlineLevel="2" x14ac:dyDescent="0.25">
      <c r="A360" s="45"/>
      <c r="B360" s="54"/>
      <c r="C360" s="47">
        <f t="shared" si="93"/>
        <v>3</v>
      </c>
      <c r="D360" s="73"/>
      <c r="E360" s="70"/>
      <c r="F360" s="70" t="s">
        <v>916</v>
      </c>
      <c r="G360" s="73"/>
      <c r="H360" s="76" t="s">
        <v>917</v>
      </c>
      <c r="I360" s="96" t="s">
        <v>918</v>
      </c>
      <c r="J360" s="96"/>
      <c r="K360" s="97">
        <v>0.15</v>
      </c>
      <c r="L360" s="97">
        <v>0.15</v>
      </c>
      <c r="M360" s="97">
        <v>0.15</v>
      </c>
      <c r="N360" s="97">
        <v>0.15</v>
      </c>
      <c r="O360" s="97">
        <v>0.15</v>
      </c>
      <c r="P360" s="97">
        <v>0.15</v>
      </c>
      <c r="Q360" s="76"/>
      <c r="R360" s="76" t="s">
        <v>507</v>
      </c>
      <c r="S360" s="76" t="s">
        <v>507</v>
      </c>
      <c r="T360" s="76"/>
      <c r="U360" s="253">
        <f t="shared" si="95"/>
        <v>0.15</v>
      </c>
      <c r="V360" s="253">
        <f t="shared" si="95"/>
        <v>0.15</v>
      </c>
      <c r="W360" s="253">
        <f t="shared" si="95"/>
        <v>0.15</v>
      </c>
      <c r="X360" s="253">
        <f t="shared" si="95"/>
        <v>0.15</v>
      </c>
      <c r="Y360" s="253">
        <f t="shared" si="95"/>
        <v>0.15</v>
      </c>
      <c r="Z360" s="253">
        <f t="shared" si="95"/>
        <v>0.15</v>
      </c>
      <c r="AA360" s="253">
        <f t="shared" si="95"/>
        <v>0.15</v>
      </c>
      <c r="AB360" s="253">
        <f t="shared" si="95"/>
        <v>0.15</v>
      </c>
      <c r="AC360" s="253">
        <f t="shared" si="95"/>
        <v>0.15</v>
      </c>
      <c r="AD360" s="253">
        <f t="shared" si="95"/>
        <v>0.15</v>
      </c>
      <c r="AE360" s="253">
        <f t="shared" si="95"/>
        <v>0.15</v>
      </c>
      <c r="AF360" s="76"/>
      <c r="AG360" s="76"/>
      <c r="AH360" s="76"/>
      <c r="AI360" s="97">
        <v>1</v>
      </c>
      <c r="AJ360" s="97">
        <v>1</v>
      </c>
      <c r="AK360" s="73"/>
      <c r="AL360" s="57"/>
      <c r="AM360" s="45"/>
      <c r="AN360" s="45"/>
      <c r="AO360" s="45"/>
    </row>
    <row r="361" spans="1:41" hidden="1" outlineLevel="2" x14ac:dyDescent="0.25">
      <c r="A361" s="45"/>
      <c r="B361" s="54"/>
      <c r="C361" s="47">
        <f t="shared" si="93"/>
        <v>3</v>
      </c>
      <c r="D361" s="73"/>
      <c r="E361" s="70"/>
      <c r="F361" s="70" t="s">
        <v>919</v>
      </c>
      <c r="G361" s="73"/>
      <c r="H361" s="76" t="s">
        <v>917</v>
      </c>
      <c r="I361" s="96" t="s">
        <v>532</v>
      </c>
      <c r="J361" s="96"/>
      <c r="K361" s="97">
        <v>10</v>
      </c>
      <c r="L361" s="97">
        <v>10</v>
      </c>
      <c r="M361" s="97">
        <v>10</v>
      </c>
      <c r="N361" s="97">
        <v>10</v>
      </c>
      <c r="O361" s="97">
        <v>10</v>
      </c>
      <c r="P361" s="97">
        <v>10</v>
      </c>
      <c r="Q361" s="76"/>
      <c r="R361" s="76" t="s">
        <v>507</v>
      </c>
      <c r="S361" s="76" t="s">
        <v>507</v>
      </c>
      <c r="T361" s="76"/>
      <c r="U361" s="253">
        <f t="shared" si="95"/>
        <v>10</v>
      </c>
      <c r="V361" s="253">
        <f t="shared" si="95"/>
        <v>10</v>
      </c>
      <c r="W361" s="253">
        <f t="shared" si="95"/>
        <v>10</v>
      </c>
      <c r="X361" s="253">
        <f t="shared" si="95"/>
        <v>10</v>
      </c>
      <c r="Y361" s="253">
        <f t="shared" si="95"/>
        <v>10</v>
      </c>
      <c r="Z361" s="253">
        <f t="shared" si="95"/>
        <v>10</v>
      </c>
      <c r="AA361" s="253">
        <f t="shared" si="95"/>
        <v>10</v>
      </c>
      <c r="AB361" s="253">
        <f t="shared" si="95"/>
        <v>10</v>
      </c>
      <c r="AC361" s="253">
        <f t="shared" si="95"/>
        <v>10</v>
      </c>
      <c r="AD361" s="253">
        <f t="shared" si="95"/>
        <v>10</v>
      </c>
      <c r="AE361" s="253">
        <f t="shared" si="95"/>
        <v>10</v>
      </c>
      <c r="AF361" s="76"/>
      <c r="AG361" s="76"/>
      <c r="AH361" s="76"/>
      <c r="AI361" s="97">
        <v>1</v>
      </c>
      <c r="AJ361" s="97">
        <v>1</v>
      </c>
      <c r="AK361" s="73"/>
      <c r="AL361" s="57"/>
      <c r="AM361" s="45"/>
      <c r="AN361" s="45"/>
      <c r="AO361" s="45"/>
    </row>
    <row r="362" spans="1:41" hidden="1" outlineLevel="2" x14ac:dyDescent="0.25">
      <c r="A362" s="45"/>
      <c r="B362" s="54"/>
      <c r="C362" s="47">
        <f t="shared" si="93"/>
        <v>3</v>
      </c>
      <c r="D362" s="73"/>
      <c r="E362" s="70"/>
      <c r="F362" s="70" t="s">
        <v>920</v>
      </c>
      <c r="G362" s="73"/>
      <c r="H362" s="76" t="s">
        <v>921</v>
      </c>
      <c r="I362" s="96" t="s">
        <v>922</v>
      </c>
      <c r="J362" s="96"/>
      <c r="K362" s="97">
        <v>0.38</v>
      </c>
      <c r="L362" s="97">
        <v>0.38</v>
      </c>
      <c r="M362" s="97">
        <v>0.38</v>
      </c>
      <c r="N362" s="97">
        <v>0.38</v>
      </c>
      <c r="O362" s="97">
        <v>0.38</v>
      </c>
      <c r="P362" s="97">
        <v>0.38</v>
      </c>
      <c r="Q362" s="76"/>
      <c r="R362" s="76" t="s">
        <v>507</v>
      </c>
      <c r="S362" s="76" t="s">
        <v>507</v>
      </c>
      <c r="T362" s="76"/>
      <c r="U362" s="253">
        <f t="shared" si="95"/>
        <v>0.38</v>
      </c>
      <c r="V362" s="253">
        <f t="shared" si="95"/>
        <v>0.38</v>
      </c>
      <c r="W362" s="253">
        <f t="shared" si="95"/>
        <v>0.38</v>
      </c>
      <c r="X362" s="253">
        <f t="shared" si="95"/>
        <v>0.38</v>
      </c>
      <c r="Y362" s="253">
        <f t="shared" si="95"/>
        <v>0.38</v>
      </c>
      <c r="Z362" s="253">
        <f t="shared" si="95"/>
        <v>0.38</v>
      </c>
      <c r="AA362" s="253">
        <f t="shared" si="95"/>
        <v>0.38</v>
      </c>
      <c r="AB362" s="253">
        <f t="shared" si="95"/>
        <v>0.38</v>
      </c>
      <c r="AC362" s="253">
        <f t="shared" si="95"/>
        <v>0.38</v>
      </c>
      <c r="AD362" s="253">
        <f t="shared" si="95"/>
        <v>0.38</v>
      </c>
      <c r="AE362" s="253">
        <f t="shared" si="95"/>
        <v>0.38</v>
      </c>
      <c r="AF362" s="76"/>
      <c r="AG362" s="76"/>
      <c r="AH362" s="76"/>
      <c r="AI362" s="97">
        <v>1</v>
      </c>
      <c r="AJ362" s="97">
        <v>1</v>
      </c>
      <c r="AK362" s="73"/>
      <c r="AL362" s="57"/>
      <c r="AM362" s="45"/>
      <c r="AN362" s="45"/>
      <c r="AO362" s="45"/>
    </row>
    <row r="363" spans="1:41" outlineLevel="1" x14ac:dyDescent="0.25">
      <c r="A363" s="45"/>
      <c r="B363" s="54"/>
      <c r="C363" s="47">
        <f>INT($C$29)+1</f>
        <v>2</v>
      </c>
      <c r="D363" s="73"/>
      <c r="E363" s="70"/>
      <c r="F363" s="256" t="s">
        <v>923</v>
      </c>
      <c r="G363" s="73"/>
      <c r="H363" s="246" t="s">
        <v>924</v>
      </c>
      <c r="I363" s="96"/>
      <c r="J363" s="96" t="s">
        <v>514</v>
      </c>
      <c r="K363" s="79">
        <v>40</v>
      </c>
      <c r="L363" s="76"/>
      <c r="M363" s="79">
        <v>0</v>
      </c>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3"/>
      <c r="AL363" s="57"/>
      <c r="AM363" s="45"/>
      <c r="AN363" s="45"/>
      <c r="AO363" s="45"/>
    </row>
    <row r="364" spans="1:41" outlineLevel="3" x14ac:dyDescent="0.25">
      <c r="A364" s="45"/>
      <c r="B364" s="54"/>
      <c r="C364" s="47">
        <f>INT($C$29)+3</f>
        <v>4</v>
      </c>
      <c r="D364" s="73"/>
      <c r="E364" s="70" t="s">
        <v>925</v>
      </c>
      <c r="F364" s="70" t="s">
        <v>926</v>
      </c>
      <c r="G364" s="73"/>
      <c r="H364" s="76" t="s">
        <v>491</v>
      </c>
      <c r="I364" s="96"/>
      <c r="J364" s="96"/>
      <c r="K364" s="76"/>
      <c r="L364" s="76"/>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v>1</v>
      </c>
      <c r="AJ364" s="76">
        <v>1</v>
      </c>
      <c r="AK364" s="73"/>
      <c r="AL364" s="57"/>
      <c r="AM364" s="45"/>
      <c r="AN364" s="45"/>
      <c r="AO364" s="45"/>
    </row>
    <row r="365" spans="1:41" outlineLevel="2" x14ac:dyDescent="0.25">
      <c r="A365" s="45"/>
      <c r="B365" s="54"/>
      <c r="C365" s="47">
        <f t="shared" ref="C365:C379" si="96">INT($C$29)+2</f>
        <v>3</v>
      </c>
      <c r="D365" s="73"/>
      <c r="E365" s="70"/>
      <c r="F365" s="70" t="s">
        <v>927</v>
      </c>
      <c r="G365" s="73"/>
      <c r="H365" s="76" t="s">
        <v>928</v>
      </c>
      <c r="I365" s="96" t="s">
        <v>569</v>
      </c>
      <c r="J365" s="96"/>
      <c r="K365" s="97">
        <v>0.6</v>
      </c>
      <c r="L365" s="97">
        <v>0.6</v>
      </c>
      <c r="M365" s="97">
        <v>0.6</v>
      </c>
      <c r="N365" s="97">
        <v>0.6</v>
      </c>
      <c r="O365" s="97">
        <v>0.6</v>
      </c>
      <c r="P365" s="97">
        <v>0.6</v>
      </c>
      <c r="Q365" s="76"/>
      <c r="R365" s="76" t="s">
        <v>507</v>
      </c>
      <c r="S365" s="76" t="s">
        <v>507</v>
      </c>
      <c r="T365" s="76"/>
      <c r="U365" s="253">
        <f t="shared" ref="U365:AE380" si="97">INDEX($K365:$Q365,1,U$43)</f>
        <v>0.6</v>
      </c>
      <c r="V365" s="253">
        <f t="shared" si="97"/>
        <v>0.6</v>
      </c>
      <c r="W365" s="253">
        <f t="shared" si="97"/>
        <v>0.6</v>
      </c>
      <c r="X365" s="253">
        <f t="shared" si="97"/>
        <v>0.6</v>
      </c>
      <c r="Y365" s="253">
        <f t="shared" si="97"/>
        <v>0.6</v>
      </c>
      <c r="Z365" s="253">
        <f t="shared" si="97"/>
        <v>0.6</v>
      </c>
      <c r="AA365" s="253">
        <f t="shared" si="97"/>
        <v>0.6</v>
      </c>
      <c r="AB365" s="253">
        <f t="shared" si="97"/>
        <v>0.6</v>
      </c>
      <c r="AC365" s="253">
        <f t="shared" si="97"/>
        <v>0.6</v>
      </c>
      <c r="AD365" s="253">
        <f t="shared" si="97"/>
        <v>0.6</v>
      </c>
      <c r="AE365" s="253">
        <f t="shared" si="97"/>
        <v>0.6</v>
      </c>
      <c r="AF365" s="76"/>
      <c r="AG365" s="76"/>
      <c r="AH365" s="76"/>
      <c r="AI365" s="97">
        <v>1</v>
      </c>
      <c r="AJ365" s="97">
        <v>1</v>
      </c>
      <c r="AK365" s="73"/>
      <c r="AL365" s="57"/>
      <c r="AM365" s="45"/>
      <c r="AN365" s="45"/>
      <c r="AO365" s="45"/>
    </row>
    <row r="366" spans="1:41" outlineLevel="2" x14ac:dyDescent="0.25">
      <c r="A366" s="45"/>
      <c r="B366" s="54"/>
      <c r="C366" s="47">
        <f t="shared" si="96"/>
        <v>3</v>
      </c>
      <c r="D366" s="73"/>
      <c r="E366" s="70"/>
      <c r="F366" s="70" t="s">
        <v>929</v>
      </c>
      <c r="G366" s="73"/>
      <c r="H366" s="76" t="s">
        <v>930</v>
      </c>
      <c r="I366" s="96" t="s">
        <v>569</v>
      </c>
      <c r="J366" s="96"/>
      <c r="K366" s="97">
        <v>0.7</v>
      </c>
      <c r="L366" s="97">
        <v>0.7</v>
      </c>
      <c r="M366" s="97">
        <v>0.7</v>
      </c>
      <c r="N366" s="97">
        <v>0.7</v>
      </c>
      <c r="O366" s="97">
        <v>0.7</v>
      </c>
      <c r="P366" s="97">
        <v>0.7</v>
      </c>
      <c r="Q366" s="76"/>
      <c r="R366" s="76" t="s">
        <v>507</v>
      </c>
      <c r="S366" s="76" t="s">
        <v>507</v>
      </c>
      <c r="T366" s="76"/>
      <c r="U366" s="253">
        <f t="shared" si="97"/>
        <v>0.7</v>
      </c>
      <c r="V366" s="253">
        <f t="shared" si="97"/>
        <v>0.7</v>
      </c>
      <c r="W366" s="253">
        <f t="shared" si="97"/>
        <v>0.7</v>
      </c>
      <c r="X366" s="253">
        <f t="shared" si="97"/>
        <v>0.7</v>
      </c>
      <c r="Y366" s="253">
        <f t="shared" si="97"/>
        <v>0.7</v>
      </c>
      <c r="Z366" s="253">
        <f t="shared" si="97"/>
        <v>0.7</v>
      </c>
      <c r="AA366" s="253">
        <f t="shared" si="97"/>
        <v>0.7</v>
      </c>
      <c r="AB366" s="253">
        <f t="shared" si="97"/>
        <v>0.7</v>
      </c>
      <c r="AC366" s="253">
        <f t="shared" si="97"/>
        <v>0.7</v>
      </c>
      <c r="AD366" s="253">
        <f t="shared" si="97"/>
        <v>0.7</v>
      </c>
      <c r="AE366" s="253">
        <f t="shared" si="97"/>
        <v>0.7</v>
      </c>
      <c r="AF366" s="76"/>
      <c r="AG366" s="76"/>
      <c r="AH366" s="76"/>
      <c r="AI366" s="97">
        <v>1</v>
      </c>
      <c r="AJ366" s="97">
        <v>1</v>
      </c>
      <c r="AK366" s="73"/>
      <c r="AL366" s="57"/>
      <c r="AM366" s="45"/>
      <c r="AN366" s="45"/>
      <c r="AO366" s="45"/>
    </row>
    <row r="367" spans="1:41" outlineLevel="2" x14ac:dyDescent="0.25">
      <c r="A367" s="45"/>
      <c r="B367" s="54"/>
      <c r="C367" s="47">
        <f t="shared" si="96"/>
        <v>3</v>
      </c>
      <c r="D367" s="73"/>
      <c r="E367" s="70"/>
      <c r="F367" s="70" t="s">
        <v>931</v>
      </c>
      <c r="G367" s="73"/>
      <c r="H367" s="76" t="s">
        <v>932</v>
      </c>
      <c r="I367" s="96" t="s">
        <v>569</v>
      </c>
      <c r="J367" s="96"/>
      <c r="K367" s="97">
        <v>0.8</v>
      </c>
      <c r="L367" s="97">
        <v>0.8</v>
      </c>
      <c r="M367" s="97">
        <v>0.8</v>
      </c>
      <c r="N367" s="97">
        <v>0.8</v>
      </c>
      <c r="O367" s="97">
        <v>0.8</v>
      </c>
      <c r="P367" s="97">
        <v>0.8</v>
      </c>
      <c r="Q367" s="76"/>
      <c r="R367" s="76" t="s">
        <v>507</v>
      </c>
      <c r="S367" s="76" t="s">
        <v>507</v>
      </c>
      <c r="T367" s="76"/>
      <c r="U367" s="253">
        <f t="shared" si="97"/>
        <v>0.8</v>
      </c>
      <c r="V367" s="253">
        <f t="shared" si="97"/>
        <v>0.8</v>
      </c>
      <c r="W367" s="253">
        <f t="shared" si="97"/>
        <v>0.8</v>
      </c>
      <c r="X367" s="253">
        <f t="shared" si="97"/>
        <v>0.8</v>
      </c>
      <c r="Y367" s="253">
        <f t="shared" si="97"/>
        <v>0.8</v>
      </c>
      <c r="Z367" s="253">
        <f t="shared" si="97"/>
        <v>0.8</v>
      </c>
      <c r="AA367" s="253">
        <f t="shared" si="97"/>
        <v>0.8</v>
      </c>
      <c r="AB367" s="253">
        <f t="shared" si="97"/>
        <v>0.8</v>
      </c>
      <c r="AC367" s="253">
        <f t="shared" si="97"/>
        <v>0.8</v>
      </c>
      <c r="AD367" s="253">
        <f t="shared" si="97"/>
        <v>0.8</v>
      </c>
      <c r="AE367" s="253">
        <f t="shared" si="97"/>
        <v>0.8</v>
      </c>
      <c r="AF367" s="76"/>
      <c r="AG367" s="76"/>
      <c r="AH367" s="76"/>
      <c r="AI367" s="97">
        <v>1</v>
      </c>
      <c r="AJ367" s="97">
        <v>1</v>
      </c>
      <c r="AK367" s="73"/>
      <c r="AL367" s="57"/>
      <c r="AM367" s="45"/>
      <c r="AN367" s="45"/>
      <c r="AO367" s="45"/>
    </row>
    <row r="368" spans="1:41" outlineLevel="2" x14ac:dyDescent="0.25">
      <c r="A368" s="45"/>
      <c r="B368" s="54"/>
      <c r="C368" s="47">
        <f t="shared" si="96"/>
        <v>3</v>
      </c>
      <c r="D368" s="73"/>
      <c r="E368" s="70"/>
      <c r="F368" s="70" t="s">
        <v>933</v>
      </c>
      <c r="G368" s="73"/>
      <c r="H368" s="76" t="s">
        <v>934</v>
      </c>
      <c r="I368" s="96" t="s">
        <v>497</v>
      </c>
      <c r="J368" s="96"/>
      <c r="K368" s="97">
        <v>6</v>
      </c>
      <c r="L368" s="97">
        <v>6</v>
      </c>
      <c r="M368" s="97">
        <v>6</v>
      </c>
      <c r="N368" s="97">
        <v>6</v>
      </c>
      <c r="O368" s="97">
        <v>6</v>
      </c>
      <c r="P368" s="97">
        <v>6</v>
      </c>
      <c r="Q368" s="76"/>
      <c r="R368" s="76" t="s">
        <v>507</v>
      </c>
      <c r="S368" s="76" t="s">
        <v>507</v>
      </c>
      <c r="T368" s="76"/>
      <c r="U368" s="253">
        <f t="shared" si="97"/>
        <v>6</v>
      </c>
      <c r="V368" s="253">
        <f t="shared" si="97"/>
        <v>6</v>
      </c>
      <c r="W368" s="97">
        <v>9.6</v>
      </c>
      <c r="X368" s="97">
        <v>9.6</v>
      </c>
      <c r="Y368" s="97">
        <v>9.6</v>
      </c>
      <c r="Z368" s="97">
        <v>9.6</v>
      </c>
      <c r="AA368" s="97">
        <v>9.6</v>
      </c>
      <c r="AB368" s="253">
        <f t="shared" si="97"/>
        <v>6</v>
      </c>
      <c r="AC368" s="253">
        <f t="shared" si="97"/>
        <v>6</v>
      </c>
      <c r="AD368" s="253">
        <f t="shared" si="97"/>
        <v>6</v>
      </c>
      <c r="AE368" s="253">
        <f t="shared" si="97"/>
        <v>6</v>
      </c>
      <c r="AF368" s="76"/>
      <c r="AG368" s="76"/>
      <c r="AH368" s="76"/>
      <c r="AI368" s="97">
        <v>1</v>
      </c>
      <c r="AJ368" s="97">
        <v>1</v>
      </c>
      <c r="AK368" s="73"/>
      <c r="AL368" s="57"/>
      <c r="AM368" s="45"/>
      <c r="AN368" s="45"/>
      <c r="AO368" s="45"/>
    </row>
    <row r="369" spans="1:41" outlineLevel="2" x14ac:dyDescent="0.25">
      <c r="A369" s="45"/>
      <c r="B369" s="54"/>
      <c r="C369" s="47">
        <f t="shared" si="96"/>
        <v>3</v>
      </c>
      <c r="D369" s="73"/>
      <c r="E369" s="70"/>
      <c r="F369" s="70" t="s">
        <v>935</v>
      </c>
      <c r="G369" s="73"/>
      <c r="H369" s="76" t="s">
        <v>936</v>
      </c>
      <c r="I369" s="96" t="s">
        <v>497</v>
      </c>
      <c r="J369" s="96"/>
      <c r="K369" s="97">
        <v>0.4</v>
      </c>
      <c r="L369" s="97">
        <v>0.4</v>
      </c>
      <c r="M369" s="97">
        <v>0.4</v>
      </c>
      <c r="N369" s="97">
        <v>0.4</v>
      </c>
      <c r="O369" s="97">
        <v>0.4</v>
      </c>
      <c r="P369" s="97">
        <v>0.4</v>
      </c>
      <c r="Q369" s="76"/>
      <c r="R369" s="76" t="s">
        <v>507</v>
      </c>
      <c r="S369" s="76" t="s">
        <v>507</v>
      </c>
      <c r="T369" s="76"/>
      <c r="U369" s="253">
        <f t="shared" si="97"/>
        <v>0.4</v>
      </c>
      <c r="V369" s="253">
        <f t="shared" si="97"/>
        <v>0.4</v>
      </c>
      <c r="W369" s="97">
        <v>0.23300000000000001</v>
      </c>
      <c r="X369" s="97">
        <v>0.23300000000000001</v>
      </c>
      <c r="Y369" s="97">
        <v>0.23300000000000001</v>
      </c>
      <c r="Z369" s="97">
        <v>0.23300000000000001</v>
      </c>
      <c r="AA369" s="97">
        <v>0.23300000000000001</v>
      </c>
      <c r="AB369" s="253">
        <f t="shared" si="97"/>
        <v>0.4</v>
      </c>
      <c r="AC369" s="253">
        <f t="shared" si="97"/>
        <v>0.4</v>
      </c>
      <c r="AD369" s="253">
        <f t="shared" si="97"/>
        <v>0.4</v>
      </c>
      <c r="AE369" s="253">
        <f t="shared" si="97"/>
        <v>0.4</v>
      </c>
      <c r="AF369" s="76"/>
      <c r="AG369" s="76"/>
      <c r="AH369" s="76"/>
      <c r="AI369" s="97">
        <v>1</v>
      </c>
      <c r="AJ369" s="97">
        <v>1</v>
      </c>
      <c r="AK369" s="73"/>
      <c r="AL369" s="57"/>
      <c r="AM369" s="45"/>
      <c r="AN369" s="45"/>
      <c r="AO369" s="45"/>
    </row>
    <row r="370" spans="1:41" outlineLevel="2" x14ac:dyDescent="0.25">
      <c r="A370" s="45"/>
      <c r="B370" s="54"/>
      <c r="C370" s="47">
        <f t="shared" si="96"/>
        <v>3</v>
      </c>
      <c r="D370" s="73"/>
      <c r="E370" s="70"/>
      <c r="F370" s="70" t="s">
        <v>937</v>
      </c>
      <c r="G370" s="73"/>
      <c r="H370" s="76" t="s">
        <v>938</v>
      </c>
      <c r="I370" s="96" t="s">
        <v>590</v>
      </c>
      <c r="J370" s="96"/>
      <c r="K370" s="97">
        <v>0.9</v>
      </c>
      <c r="L370" s="97">
        <v>0.9</v>
      </c>
      <c r="M370" s="97">
        <v>0.9</v>
      </c>
      <c r="N370" s="97">
        <v>0.9</v>
      </c>
      <c r="O370" s="97">
        <v>0.9</v>
      </c>
      <c r="P370" s="97">
        <v>0.9</v>
      </c>
      <c r="Q370" s="76"/>
      <c r="R370" s="76" t="s">
        <v>507</v>
      </c>
      <c r="S370" s="76" t="s">
        <v>507</v>
      </c>
      <c r="T370" s="76"/>
      <c r="U370" s="253">
        <f t="shared" si="97"/>
        <v>0.9</v>
      </c>
      <c r="V370" s="253">
        <f t="shared" si="97"/>
        <v>0.9</v>
      </c>
      <c r="W370" s="253">
        <f t="shared" si="97"/>
        <v>0.9</v>
      </c>
      <c r="X370" s="253">
        <f t="shared" si="97"/>
        <v>0.9</v>
      </c>
      <c r="Y370" s="253">
        <f t="shared" si="97"/>
        <v>0.9</v>
      </c>
      <c r="Z370" s="253">
        <f t="shared" si="97"/>
        <v>0.9</v>
      </c>
      <c r="AA370" s="253">
        <f t="shared" si="97"/>
        <v>0.9</v>
      </c>
      <c r="AB370" s="253">
        <f t="shared" si="97"/>
        <v>0.9</v>
      </c>
      <c r="AC370" s="253">
        <f t="shared" si="97"/>
        <v>0.9</v>
      </c>
      <c r="AD370" s="253">
        <f t="shared" si="97"/>
        <v>0.9</v>
      </c>
      <c r="AE370" s="253">
        <f t="shared" si="97"/>
        <v>0.9</v>
      </c>
      <c r="AF370" s="76"/>
      <c r="AG370" s="76"/>
      <c r="AH370" s="76"/>
      <c r="AI370" s="97">
        <v>1</v>
      </c>
      <c r="AJ370" s="97">
        <v>1</v>
      </c>
      <c r="AK370" s="73"/>
      <c r="AL370" s="57"/>
      <c r="AM370" s="45"/>
      <c r="AN370" s="45"/>
      <c r="AO370" s="45"/>
    </row>
    <row r="371" spans="1:41" outlineLevel="2" x14ac:dyDescent="0.25">
      <c r="A371" s="45"/>
      <c r="B371" s="54"/>
      <c r="C371" s="47">
        <f t="shared" si="96"/>
        <v>3</v>
      </c>
      <c r="D371" s="73"/>
      <c r="E371" s="70"/>
      <c r="F371" s="70" t="s">
        <v>939</v>
      </c>
      <c r="G371" s="73"/>
      <c r="H371" s="76" t="s">
        <v>940</v>
      </c>
      <c r="I371" s="96" t="s">
        <v>590</v>
      </c>
      <c r="J371" s="96"/>
      <c r="K371" s="97">
        <v>0.97</v>
      </c>
      <c r="L371" s="97">
        <v>0.97</v>
      </c>
      <c r="M371" s="97">
        <v>0.97</v>
      </c>
      <c r="N371" s="97">
        <v>0.97</v>
      </c>
      <c r="O371" s="97">
        <v>0.97</v>
      </c>
      <c r="P371" s="97">
        <v>0.97</v>
      </c>
      <c r="Q371" s="76"/>
      <c r="R371" s="76" t="s">
        <v>507</v>
      </c>
      <c r="S371" s="76" t="s">
        <v>507</v>
      </c>
      <c r="T371" s="76"/>
      <c r="U371" s="253">
        <f t="shared" si="97"/>
        <v>0.97</v>
      </c>
      <c r="V371" s="253">
        <f t="shared" si="97"/>
        <v>0.97</v>
      </c>
      <c r="W371" s="253">
        <f t="shared" si="97"/>
        <v>0.97</v>
      </c>
      <c r="X371" s="253">
        <f t="shared" si="97"/>
        <v>0.97</v>
      </c>
      <c r="Y371" s="253">
        <f t="shared" si="97"/>
        <v>0.97</v>
      </c>
      <c r="Z371" s="253">
        <f t="shared" si="97"/>
        <v>0.97</v>
      </c>
      <c r="AA371" s="253">
        <f t="shared" si="97"/>
        <v>0.97</v>
      </c>
      <c r="AB371" s="253">
        <f t="shared" si="97"/>
        <v>0.97</v>
      </c>
      <c r="AC371" s="253">
        <f t="shared" si="97"/>
        <v>0.97</v>
      </c>
      <c r="AD371" s="253">
        <f t="shared" si="97"/>
        <v>0.97</v>
      </c>
      <c r="AE371" s="253">
        <f t="shared" si="97"/>
        <v>0.97</v>
      </c>
      <c r="AF371" s="76"/>
      <c r="AG371" s="76"/>
      <c r="AH371" s="76"/>
      <c r="AI371" s="97">
        <v>1</v>
      </c>
      <c r="AJ371" s="97">
        <v>1</v>
      </c>
      <c r="AK371" s="73"/>
      <c r="AL371" s="57"/>
      <c r="AM371" s="45"/>
      <c r="AN371" s="45"/>
      <c r="AO371" s="45"/>
    </row>
    <row r="372" spans="1:41" outlineLevel="2" x14ac:dyDescent="0.25">
      <c r="A372" s="45"/>
      <c r="B372" s="54"/>
      <c r="C372" s="47">
        <f t="shared" si="96"/>
        <v>3</v>
      </c>
      <c r="D372" s="73"/>
      <c r="E372" s="70"/>
      <c r="F372" s="70" t="s">
        <v>941</v>
      </c>
      <c r="G372" s="73"/>
      <c r="H372" s="76" t="s">
        <v>942</v>
      </c>
      <c r="I372" s="96" t="s">
        <v>590</v>
      </c>
      <c r="J372" s="96"/>
      <c r="K372" s="97">
        <v>27</v>
      </c>
      <c r="L372" s="97">
        <v>27</v>
      </c>
      <c r="M372" s="97">
        <v>27</v>
      </c>
      <c r="N372" s="97">
        <v>23.2</v>
      </c>
      <c r="O372" s="97">
        <v>23.2</v>
      </c>
      <c r="P372" s="97">
        <v>27</v>
      </c>
      <c r="Q372" s="76"/>
      <c r="R372" s="76" t="s">
        <v>507</v>
      </c>
      <c r="S372" s="76" t="s">
        <v>507</v>
      </c>
      <c r="T372" s="76" t="s">
        <v>3273</v>
      </c>
      <c r="U372" s="253">
        <f t="shared" si="97"/>
        <v>27</v>
      </c>
      <c r="V372" s="253">
        <f t="shared" si="97"/>
        <v>27</v>
      </c>
      <c r="W372" s="97">
        <v>16.25</v>
      </c>
      <c r="X372" s="97">
        <v>16.25</v>
      </c>
      <c r="Y372" s="97">
        <v>16.25</v>
      </c>
      <c r="Z372" s="97">
        <v>16.25</v>
      </c>
      <c r="AA372" s="97">
        <v>16.25</v>
      </c>
      <c r="AB372" s="253">
        <f t="shared" ref="AB372:AC380" si="98">INDEX($K372:$Q372,1,AB$43)</f>
        <v>27</v>
      </c>
      <c r="AC372" s="253">
        <f t="shared" si="98"/>
        <v>27</v>
      </c>
      <c r="AD372" s="370">
        <f>INDEX($K372:$Q372,1,AD$43)-(20.3-11)</f>
        <v>17.7</v>
      </c>
      <c r="AE372" s="253">
        <f t="shared" si="97"/>
        <v>27</v>
      </c>
      <c r="AF372" s="312"/>
      <c r="AG372" s="97" t="s">
        <v>3858</v>
      </c>
      <c r="AH372" s="76"/>
      <c r="AI372" s="97">
        <v>1</v>
      </c>
      <c r="AJ372" s="97">
        <v>1</v>
      </c>
      <c r="AK372" s="73"/>
      <c r="AL372" s="57"/>
      <c r="AM372" s="45"/>
      <c r="AN372" s="45"/>
      <c r="AO372" s="45"/>
    </row>
    <row r="373" spans="1:41" outlineLevel="2" x14ac:dyDescent="0.25">
      <c r="A373" s="45"/>
      <c r="B373" s="54"/>
      <c r="C373" s="47">
        <f t="shared" si="96"/>
        <v>3</v>
      </c>
      <c r="D373" s="73"/>
      <c r="E373" s="70"/>
      <c r="F373" s="70" t="s">
        <v>943</v>
      </c>
      <c r="G373" s="73"/>
      <c r="H373" s="76" t="s">
        <v>944</v>
      </c>
      <c r="I373" s="96" t="s">
        <v>590</v>
      </c>
      <c r="J373" s="96"/>
      <c r="K373" s="97">
        <v>20.3</v>
      </c>
      <c r="L373" s="97">
        <v>20.3</v>
      </c>
      <c r="M373" s="97">
        <v>20.3</v>
      </c>
      <c r="N373" s="97">
        <v>16.5</v>
      </c>
      <c r="O373" s="97">
        <v>16.5</v>
      </c>
      <c r="P373" s="97">
        <v>20.3</v>
      </c>
      <c r="Q373" s="76"/>
      <c r="R373" s="76" t="s">
        <v>507</v>
      </c>
      <c r="S373" s="76" t="s">
        <v>507</v>
      </c>
      <c r="T373" s="76" t="s">
        <v>3273</v>
      </c>
      <c r="U373" s="253">
        <f t="shared" si="97"/>
        <v>20.3</v>
      </c>
      <c r="V373" s="253">
        <f t="shared" si="97"/>
        <v>20.3</v>
      </c>
      <c r="W373" s="97">
        <v>11.23</v>
      </c>
      <c r="X373" s="97">
        <v>11.23</v>
      </c>
      <c r="Y373" s="97">
        <v>11.23</v>
      </c>
      <c r="Z373" s="97">
        <v>11.23</v>
      </c>
      <c r="AA373" s="97">
        <v>11.23</v>
      </c>
      <c r="AB373" s="253">
        <f t="shared" si="98"/>
        <v>20.3</v>
      </c>
      <c r="AC373" s="253">
        <f t="shared" si="98"/>
        <v>20.3</v>
      </c>
      <c r="AD373" s="370">
        <v>11</v>
      </c>
      <c r="AE373" s="253">
        <f t="shared" si="97"/>
        <v>20.3</v>
      </c>
      <c r="AF373" s="312"/>
      <c r="AG373" s="97" t="s">
        <v>3830</v>
      </c>
      <c r="AH373" s="76"/>
      <c r="AI373" s="97">
        <v>1</v>
      </c>
      <c r="AJ373" s="97">
        <v>1</v>
      </c>
      <c r="AK373" s="73"/>
      <c r="AL373" s="57"/>
      <c r="AM373" s="45"/>
      <c r="AN373" s="45"/>
      <c r="AO373" s="45"/>
    </row>
    <row r="374" spans="1:41" outlineLevel="2" x14ac:dyDescent="0.25">
      <c r="A374" s="45"/>
      <c r="B374" s="54"/>
      <c r="C374" s="47">
        <f t="shared" si="96"/>
        <v>3</v>
      </c>
      <c r="D374" s="73"/>
      <c r="E374" s="70"/>
      <c r="F374" s="70" t="s">
        <v>945</v>
      </c>
      <c r="G374" s="73"/>
      <c r="H374" s="76" t="s">
        <v>946</v>
      </c>
      <c r="I374" s="96" t="s">
        <v>519</v>
      </c>
      <c r="J374" s="96"/>
      <c r="K374" s="97">
        <v>2</v>
      </c>
      <c r="L374" s="97">
        <v>2</v>
      </c>
      <c r="M374" s="97">
        <v>2</v>
      </c>
      <c r="N374" s="97">
        <v>2</v>
      </c>
      <c r="O374" s="97">
        <v>2</v>
      </c>
      <c r="P374" s="97">
        <v>2</v>
      </c>
      <c r="Q374" s="76"/>
      <c r="R374" s="76" t="s">
        <v>507</v>
      </c>
      <c r="S374" s="76" t="s">
        <v>507</v>
      </c>
      <c r="T374" s="76"/>
      <c r="U374" s="253">
        <f t="shared" si="97"/>
        <v>2</v>
      </c>
      <c r="V374" s="253">
        <f t="shared" si="97"/>
        <v>2</v>
      </c>
      <c r="W374" s="253">
        <f t="shared" ref="U374:AA379" si="99">INDEX($K374:$Q374,1,W$43)</f>
        <v>2</v>
      </c>
      <c r="X374" s="253">
        <f t="shared" si="99"/>
        <v>2</v>
      </c>
      <c r="Y374" s="253">
        <f t="shared" si="99"/>
        <v>2</v>
      </c>
      <c r="Z374" s="253">
        <f t="shared" si="99"/>
        <v>2</v>
      </c>
      <c r="AA374" s="253">
        <f t="shared" si="99"/>
        <v>2</v>
      </c>
      <c r="AB374" s="253">
        <f t="shared" si="98"/>
        <v>2</v>
      </c>
      <c r="AC374" s="253">
        <f t="shared" si="98"/>
        <v>2</v>
      </c>
      <c r="AD374" s="253">
        <f t="shared" ref="AD374:AD380" si="100">INDEX($K374:$Q374,1,AD$43)</f>
        <v>2</v>
      </c>
      <c r="AE374" s="253">
        <f t="shared" si="97"/>
        <v>2</v>
      </c>
      <c r="AF374" s="76"/>
      <c r="AG374" s="76"/>
      <c r="AH374" s="76"/>
      <c r="AI374" s="97">
        <v>1</v>
      </c>
      <c r="AJ374" s="97">
        <v>1</v>
      </c>
      <c r="AK374" s="73"/>
      <c r="AL374" s="57"/>
      <c r="AM374" s="45"/>
      <c r="AN374" s="45"/>
      <c r="AO374" s="45"/>
    </row>
    <row r="375" spans="1:41" outlineLevel="2" x14ac:dyDescent="0.25">
      <c r="A375" s="45"/>
      <c r="B375" s="54"/>
      <c r="C375" s="47">
        <f t="shared" si="96"/>
        <v>3</v>
      </c>
      <c r="D375" s="73"/>
      <c r="E375" s="70"/>
      <c r="F375" s="70" t="s">
        <v>947</v>
      </c>
      <c r="G375" s="73"/>
      <c r="H375" s="76" t="s">
        <v>3855</v>
      </c>
      <c r="I375" s="96" t="s">
        <v>497</v>
      </c>
      <c r="J375" s="96"/>
      <c r="K375" s="97">
        <v>13.8</v>
      </c>
      <c r="L375" s="97">
        <v>13.8</v>
      </c>
      <c r="M375" s="97">
        <v>13.8</v>
      </c>
      <c r="N375" s="97">
        <v>13.8</v>
      </c>
      <c r="O375" s="97">
        <v>13.8</v>
      </c>
      <c r="P375" s="97">
        <v>13.8</v>
      </c>
      <c r="Q375" s="76"/>
      <c r="R375" s="76" t="s">
        <v>545</v>
      </c>
      <c r="S375" s="76" t="s">
        <v>545</v>
      </c>
      <c r="T375" s="76"/>
      <c r="U375" s="253">
        <f t="shared" si="97"/>
        <v>13.8</v>
      </c>
      <c r="V375" s="253">
        <f t="shared" si="97"/>
        <v>13.8</v>
      </c>
      <c r="W375" s="253">
        <f t="shared" si="97"/>
        <v>13.8</v>
      </c>
      <c r="X375" s="253">
        <f t="shared" si="97"/>
        <v>13.8</v>
      </c>
      <c r="Y375" s="253">
        <f t="shared" si="97"/>
        <v>13.8</v>
      </c>
      <c r="Z375" s="253">
        <f t="shared" si="97"/>
        <v>13.8</v>
      </c>
      <c r="AA375" s="253">
        <f t="shared" si="97"/>
        <v>13.8</v>
      </c>
      <c r="AB375" s="253">
        <f t="shared" si="97"/>
        <v>13.8</v>
      </c>
      <c r="AC375" s="253">
        <f t="shared" si="98"/>
        <v>13.8</v>
      </c>
      <c r="AD375" s="253">
        <f t="shared" si="100"/>
        <v>13.8</v>
      </c>
      <c r="AE375" s="253">
        <f t="shared" si="97"/>
        <v>13.8</v>
      </c>
      <c r="AF375" s="76"/>
      <c r="AG375" s="76"/>
      <c r="AH375" s="76"/>
      <c r="AI375" s="97">
        <v>1</v>
      </c>
      <c r="AJ375" s="97">
        <v>1</v>
      </c>
      <c r="AK375" s="73"/>
      <c r="AL375" s="57"/>
      <c r="AM375" s="45"/>
      <c r="AN375" s="45"/>
      <c r="AO375" s="45"/>
    </row>
    <row r="376" spans="1:41" outlineLevel="2" x14ac:dyDescent="0.25">
      <c r="A376" s="45"/>
      <c r="B376" s="54"/>
      <c r="C376" s="47">
        <f t="shared" si="96"/>
        <v>3</v>
      </c>
      <c r="D376" s="73"/>
      <c r="E376" s="70"/>
      <c r="F376" s="70" t="s">
        <v>948</v>
      </c>
      <c r="G376" s="73"/>
      <c r="H376" s="76" t="s">
        <v>949</v>
      </c>
      <c r="I376" s="96" t="s">
        <v>497</v>
      </c>
      <c r="J376" s="96"/>
      <c r="K376" s="97">
        <v>7.1999999999999995E-2</v>
      </c>
      <c r="L376" s="97">
        <v>7.1999999999999995E-2</v>
      </c>
      <c r="M376" s="97">
        <v>7.1999999999999995E-2</v>
      </c>
      <c r="N376" s="97">
        <v>9.1999999999999998E-2</v>
      </c>
      <c r="O376" s="97">
        <v>9.1999999999999998E-2</v>
      </c>
      <c r="P376" s="97">
        <v>7.1999999999999995E-2</v>
      </c>
      <c r="Q376" s="76"/>
      <c r="R376" s="76" t="s">
        <v>545</v>
      </c>
      <c r="S376" s="76" t="s">
        <v>545</v>
      </c>
      <c r="T376" s="76"/>
      <c r="U376" s="253">
        <f t="shared" si="97"/>
        <v>7.1999999999999995E-2</v>
      </c>
      <c r="V376" s="253">
        <f t="shared" si="97"/>
        <v>7.1999999999999995E-2</v>
      </c>
      <c r="W376" s="253">
        <f t="shared" ref="W376:AA379" si="101">INDEX($K376:$Q376,1,W$43)</f>
        <v>7.1999999999999995E-2</v>
      </c>
      <c r="X376" s="253">
        <f t="shared" si="101"/>
        <v>7.1999999999999995E-2</v>
      </c>
      <c r="Y376" s="253">
        <f t="shared" si="101"/>
        <v>7.1999999999999995E-2</v>
      </c>
      <c r="Z376" s="253">
        <f t="shared" si="101"/>
        <v>7.1999999999999995E-2</v>
      </c>
      <c r="AA376" s="253">
        <f t="shared" si="101"/>
        <v>7.1999999999999995E-2</v>
      </c>
      <c r="AB376" s="253">
        <f t="shared" si="98"/>
        <v>7.1999999999999995E-2</v>
      </c>
      <c r="AC376" s="253">
        <f t="shared" si="98"/>
        <v>7.1999999999999995E-2</v>
      </c>
      <c r="AD376" s="253">
        <f t="shared" si="100"/>
        <v>7.1999999999999995E-2</v>
      </c>
      <c r="AE376" s="253">
        <f t="shared" si="97"/>
        <v>7.1999999999999995E-2</v>
      </c>
      <c r="AF376" s="76"/>
      <c r="AG376" s="76"/>
      <c r="AH376" s="76"/>
      <c r="AI376" s="97">
        <v>1</v>
      </c>
      <c r="AJ376" s="97">
        <v>1</v>
      </c>
      <c r="AK376" s="73"/>
      <c r="AL376" s="57"/>
      <c r="AM376" s="45"/>
      <c r="AN376" s="45"/>
      <c r="AO376" s="45"/>
    </row>
    <row r="377" spans="1:41" outlineLevel="2" x14ac:dyDescent="0.25">
      <c r="A377" s="45"/>
      <c r="B377" s="54"/>
      <c r="C377" s="47">
        <f t="shared" si="96"/>
        <v>3</v>
      </c>
      <c r="D377" s="73"/>
      <c r="E377" s="70"/>
      <c r="F377" s="70" t="s">
        <v>950</v>
      </c>
      <c r="G377" s="73"/>
      <c r="H377" s="76" t="s">
        <v>951</v>
      </c>
      <c r="I377" s="96" t="s">
        <v>497</v>
      </c>
      <c r="J377" s="96"/>
      <c r="K377" s="97">
        <v>0.14000000000000001</v>
      </c>
      <c r="L377" s="97">
        <v>0.14000000000000001</v>
      </c>
      <c r="M377" s="97">
        <v>0.14000000000000001</v>
      </c>
      <c r="N377" s="97">
        <v>0.12</v>
      </c>
      <c r="O377" s="97">
        <v>0.12</v>
      </c>
      <c r="P377" s="97">
        <v>0.14000000000000001</v>
      </c>
      <c r="Q377" s="76"/>
      <c r="R377" s="76" t="s">
        <v>507</v>
      </c>
      <c r="S377" s="76" t="s">
        <v>507</v>
      </c>
      <c r="T377" s="76"/>
      <c r="U377" s="253">
        <f t="shared" si="99"/>
        <v>0.14000000000000001</v>
      </c>
      <c r="V377" s="253">
        <f t="shared" si="99"/>
        <v>0.14000000000000001</v>
      </c>
      <c r="W377" s="253">
        <f t="shared" si="101"/>
        <v>0.14000000000000001</v>
      </c>
      <c r="X377" s="253">
        <f t="shared" si="101"/>
        <v>0.14000000000000001</v>
      </c>
      <c r="Y377" s="253">
        <f t="shared" si="101"/>
        <v>0.14000000000000001</v>
      </c>
      <c r="Z377" s="253">
        <f t="shared" si="101"/>
        <v>0.14000000000000001</v>
      </c>
      <c r="AA377" s="253">
        <f t="shared" si="101"/>
        <v>0.14000000000000001</v>
      </c>
      <c r="AB377" s="253">
        <f t="shared" si="98"/>
        <v>0.14000000000000001</v>
      </c>
      <c r="AC377" s="253">
        <f t="shared" si="98"/>
        <v>0.14000000000000001</v>
      </c>
      <c r="AD377" s="253">
        <f t="shared" si="100"/>
        <v>0.14000000000000001</v>
      </c>
      <c r="AE377" s="253">
        <f t="shared" si="97"/>
        <v>0.14000000000000001</v>
      </c>
      <c r="AF377" s="76"/>
      <c r="AG377" s="76"/>
      <c r="AH377" s="76"/>
      <c r="AI377" s="97">
        <v>1</v>
      </c>
      <c r="AJ377" s="97">
        <v>1</v>
      </c>
      <c r="AK377" s="73"/>
      <c r="AL377" s="57"/>
      <c r="AM377" s="45"/>
      <c r="AN377" s="45"/>
      <c r="AO377" s="45"/>
    </row>
    <row r="378" spans="1:41" outlineLevel="2" x14ac:dyDescent="0.25">
      <c r="A378" s="45"/>
      <c r="B378" s="54"/>
      <c r="C378" s="47">
        <f t="shared" si="96"/>
        <v>3</v>
      </c>
      <c r="D378" s="73"/>
      <c r="E378" s="70"/>
      <c r="F378" s="70" t="s">
        <v>952</v>
      </c>
      <c r="G378" s="73"/>
      <c r="H378" s="76" t="s">
        <v>953</v>
      </c>
      <c r="I378" s="96" t="s">
        <v>497</v>
      </c>
      <c r="J378" s="96"/>
      <c r="K378" s="97">
        <v>8.0000000000000002E-3</v>
      </c>
      <c r="L378" s="97">
        <v>8.0000000000000002E-3</v>
      </c>
      <c r="M378" s="97">
        <v>8.0000000000000002E-3</v>
      </c>
      <c r="N378" s="97">
        <v>8.0000000000000002E-3</v>
      </c>
      <c r="O378" s="97">
        <v>8.0000000000000002E-3</v>
      </c>
      <c r="P378" s="97">
        <v>8.0000000000000002E-3</v>
      </c>
      <c r="Q378" s="76"/>
      <c r="R378" s="76" t="s">
        <v>507</v>
      </c>
      <c r="S378" s="76" t="s">
        <v>507</v>
      </c>
      <c r="T378" s="76"/>
      <c r="U378" s="253">
        <f t="shared" si="99"/>
        <v>8.0000000000000002E-3</v>
      </c>
      <c r="V378" s="253">
        <f t="shared" si="99"/>
        <v>8.0000000000000002E-3</v>
      </c>
      <c r="W378" s="253">
        <f t="shared" si="101"/>
        <v>8.0000000000000002E-3</v>
      </c>
      <c r="X378" s="253">
        <f t="shared" si="101"/>
        <v>8.0000000000000002E-3</v>
      </c>
      <c r="Y378" s="253">
        <f t="shared" si="101"/>
        <v>8.0000000000000002E-3</v>
      </c>
      <c r="Z378" s="253">
        <f t="shared" si="101"/>
        <v>8.0000000000000002E-3</v>
      </c>
      <c r="AA378" s="253">
        <f t="shared" si="101"/>
        <v>8.0000000000000002E-3</v>
      </c>
      <c r="AB378" s="253">
        <f t="shared" si="98"/>
        <v>8.0000000000000002E-3</v>
      </c>
      <c r="AC378" s="253">
        <f t="shared" si="98"/>
        <v>8.0000000000000002E-3</v>
      </c>
      <c r="AD378" s="253">
        <f t="shared" si="100"/>
        <v>8.0000000000000002E-3</v>
      </c>
      <c r="AE378" s="253">
        <f t="shared" si="97"/>
        <v>8.0000000000000002E-3</v>
      </c>
      <c r="AF378" s="76"/>
      <c r="AG378" s="76"/>
      <c r="AH378" s="76"/>
      <c r="AI378" s="97">
        <v>1</v>
      </c>
      <c r="AJ378" s="97">
        <v>1</v>
      </c>
      <c r="AK378" s="73"/>
      <c r="AL378" s="57"/>
      <c r="AM378" s="45"/>
      <c r="AN378" s="45"/>
      <c r="AO378" s="45"/>
    </row>
    <row r="379" spans="1:41" outlineLevel="2" x14ac:dyDescent="0.25">
      <c r="A379" s="45"/>
      <c r="B379" s="54"/>
      <c r="C379" s="47">
        <f t="shared" si="96"/>
        <v>3</v>
      </c>
      <c r="D379" s="73"/>
      <c r="E379" s="70"/>
      <c r="F379" s="70" t="s">
        <v>954</v>
      </c>
      <c r="G379" s="73"/>
      <c r="H379" s="76" t="s">
        <v>955</v>
      </c>
      <c r="I379" s="96" t="s">
        <v>497</v>
      </c>
      <c r="J379" s="96"/>
      <c r="K379" s="97">
        <v>0.115</v>
      </c>
      <c r="L379" s="97">
        <v>0.115</v>
      </c>
      <c r="M379" s="97">
        <v>0.115</v>
      </c>
      <c r="N379" s="97">
        <v>0.115</v>
      </c>
      <c r="O379" s="97">
        <v>0.115</v>
      </c>
      <c r="P379" s="97">
        <v>0.115</v>
      </c>
      <c r="Q379" s="76"/>
      <c r="R379" s="76" t="s">
        <v>507</v>
      </c>
      <c r="S379" s="76" t="s">
        <v>507</v>
      </c>
      <c r="T379" s="76"/>
      <c r="U379" s="253">
        <f t="shared" si="99"/>
        <v>0.115</v>
      </c>
      <c r="V379" s="253">
        <f t="shared" si="99"/>
        <v>0.115</v>
      </c>
      <c r="W379" s="253">
        <f t="shared" si="101"/>
        <v>0.115</v>
      </c>
      <c r="X379" s="253">
        <f t="shared" si="101"/>
        <v>0.115</v>
      </c>
      <c r="Y379" s="253">
        <f t="shared" si="101"/>
        <v>0.115</v>
      </c>
      <c r="Z379" s="253">
        <f t="shared" si="101"/>
        <v>0.115</v>
      </c>
      <c r="AA379" s="253">
        <f t="shared" si="101"/>
        <v>0.115</v>
      </c>
      <c r="AB379" s="253">
        <f t="shared" si="98"/>
        <v>0.115</v>
      </c>
      <c r="AC379" s="253">
        <f t="shared" si="98"/>
        <v>0.115</v>
      </c>
      <c r="AD379" s="253">
        <f t="shared" si="100"/>
        <v>0.115</v>
      </c>
      <c r="AE379" s="253">
        <f t="shared" si="97"/>
        <v>0.115</v>
      </c>
      <c r="AF379" s="76"/>
      <c r="AG379" s="76"/>
      <c r="AH379" s="76"/>
      <c r="AI379" s="97">
        <v>1</v>
      </c>
      <c r="AJ379" s="97">
        <v>1</v>
      </c>
      <c r="AK379" s="73"/>
      <c r="AL379" s="57"/>
      <c r="AM379" s="45"/>
      <c r="AN379" s="45"/>
      <c r="AO379" s="45"/>
    </row>
    <row r="380" spans="1:41" outlineLevel="2" x14ac:dyDescent="0.25">
      <c r="A380" s="45"/>
      <c r="B380" s="54"/>
      <c r="C380" s="47">
        <f>INT($C$29)+3</f>
        <v>4</v>
      </c>
      <c r="D380" s="73"/>
      <c r="E380" s="70"/>
      <c r="F380" s="70" t="s">
        <v>956</v>
      </c>
      <c r="G380" s="73"/>
      <c r="H380" s="76" t="s">
        <v>3856</v>
      </c>
      <c r="I380" s="96" t="s">
        <v>497</v>
      </c>
      <c r="J380" s="96"/>
      <c r="K380" s="97"/>
      <c r="L380" s="97"/>
      <c r="M380" s="97"/>
      <c r="N380" s="97"/>
      <c r="O380" s="97"/>
      <c r="P380" s="97"/>
      <c r="Q380" s="76"/>
      <c r="R380" s="76"/>
      <c r="S380" s="76"/>
      <c r="T380" s="76"/>
      <c r="U380" s="253">
        <f t="shared" si="97"/>
        <v>0</v>
      </c>
      <c r="V380" s="253">
        <f t="shared" si="97"/>
        <v>0</v>
      </c>
      <c r="W380" s="97">
        <v>32.700000000000003</v>
      </c>
      <c r="X380" s="97">
        <v>32.700000000000003</v>
      </c>
      <c r="Y380" s="97">
        <v>32.700000000000003</v>
      </c>
      <c r="Z380" s="97">
        <v>32.700000000000003</v>
      </c>
      <c r="AA380" s="97">
        <v>32.700000000000003</v>
      </c>
      <c r="AB380" s="253">
        <f t="shared" si="97"/>
        <v>0</v>
      </c>
      <c r="AC380" s="253">
        <f t="shared" si="98"/>
        <v>0</v>
      </c>
      <c r="AD380" s="253">
        <f t="shared" si="100"/>
        <v>0</v>
      </c>
      <c r="AE380" s="253">
        <f t="shared" si="97"/>
        <v>0</v>
      </c>
      <c r="AF380" s="76"/>
      <c r="AG380" s="97" t="s">
        <v>3857</v>
      </c>
      <c r="AH380" s="76"/>
      <c r="AI380" s="76">
        <v>1</v>
      </c>
      <c r="AJ380" s="76">
        <v>1</v>
      </c>
      <c r="AK380" s="73"/>
      <c r="AL380" s="57"/>
      <c r="AM380" s="45"/>
      <c r="AN380" s="45"/>
      <c r="AO380" s="45"/>
    </row>
    <row r="381" spans="1:41" outlineLevel="3" x14ac:dyDescent="0.25">
      <c r="A381" s="45"/>
      <c r="B381" s="54"/>
      <c r="C381" s="47">
        <f>INT($C$29)+3</f>
        <v>4</v>
      </c>
      <c r="D381" s="73"/>
      <c r="E381" s="70"/>
      <c r="F381" s="70" t="s">
        <v>957</v>
      </c>
      <c r="G381" s="73"/>
      <c r="H381" s="76" t="s">
        <v>551</v>
      </c>
      <c r="I381" s="96" t="s">
        <v>497</v>
      </c>
      <c r="J381" s="96"/>
      <c r="K381" s="76"/>
      <c r="L381" s="76"/>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v>1</v>
      </c>
      <c r="AJ381" s="76">
        <v>1</v>
      </c>
      <c r="AK381" s="73"/>
      <c r="AL381" s="57"/>
      <c r="AM381" s="45"/>
      <c r="AN381" s="45"/>
      <c r="AO381" s="45"/>
    </row>
    <row r="382" spans="1:41" outlineLevel="2" x14ac:dyDescent="0.25">
      <c r="A382" s="45"/>
      <c r="B382" s="54"/>
      <c r="C382" s="47">
        <f t="shared" ref="C382:C403" si="102">INT($C$29)+2</f>
        <v>3</v>
      </c>
      <c r="D382" s="73"/>
      <c r="E382" s="70"/>
      <c r="F382" s="70" t="s">
        <v>958</v>
      </c>
      <c r="G382" s="73"/>
      <c r="H382" s="76" t="s">
        <v>959</v>
      </c>
      <c r="I382" s="96" t="s">
        <v>497</v>
      </c>
      <c r="J382" s="96"/>
      <c r="K382" s="97">
        <v>1.0900000000000001</v>
      </c>
      <c r="L382" s="97">
        <v>1.0900000000000001</v>
      </c>
      <c r="M382" s="97">
        <v>1.0900000000000001</v>
      </c>
      <c r="N382" s="97">
        <v>1.0900000000000001</v>
      </c>
      <c r="O382" s="97">
        <v>1.0900000000000001</v>
      </c>
      <c r="P382" s="97">
        <v>1.0900000000000001</v>
      </c>
      <c r="Q382" s="76"/>
      <c r="R382" s="76" t="s">
        <v>507</v>
      </c>
      <c r="S382" s="76" t="s">
        <v>507</v>
      </c>
      <c r="T382" s="76"/>
      <c r="U382" s="253">
        <f t="shared" ref="U382:AE382" si="103">INDEX($K382:$Q382,1,U$43)</f>
        <v>1.0900000000000001</v>
      </c>
      <c r="V382" s="253">
        <f t="shared" si="103"/>
        <v>1.0900000000000001</v>
      </c>
      <c r="W382" s="253">
        <f t="shared" si="103"/>
        <v>1.0900000000000001</v>
      </c>
      <c r="X382" s="253">
        <f t="shared" si="103"/>
        <v>1.0900000000000001</v>
      </c>
      <c r="Y382" s="253">
        <f t="shared" si="103"/>
        <v>1.0900000000000001</v>
      </c>
      <c r="Z382" s="253">
        <f t="shared" si="103"/>
        <v>1.0900000000000001</v>
      </c>
      <c r="AA382" s="253">
        <f t="shared" si="103"/>
        <v>1.0900000000000001</v>
      </c>
      <c r="AB382" s="253">
        <f t="shared" si="103"/>
        <v>1.0900000000000001</v>
      </c>
      <c r="AC382" s="253">
        <f t="shared" si="103"/>
        <v>1.0900000000000001</v>
      </c>
      <c r="AD382" s="253">
        <f t="shared" si="103"/>
        <v>1.0900000000000001</v>
      </c>
      <c r="AE382" s="253">
        <f t="shared" si="103"/>
        <v>1.0900000000000001</v>
      </c>
      <c r="AF382" s="76"/>
      <c r="AG382" s="76"/>
      <c r="AH382" s="76"/>
      <c r="AI382" s="97">
        <v>1</v>
      </c>
      <c r="AJ382" s="97">
        <v>1</v>
      </c>
      <c r="AK382" s="73"/>
      <c r="AL382" s="57"/>
      <c r="AM382" s="45"/>
      <c r="AN382" s="45"/>
      <c r="AO382" s="45"/>
    </row>
    <row r="383" spans="1:41" outlineLevel="2" x14ac:dyDescent="0.25">
      <c r="A383" s="45"/>
      <c r="B383" s="54"/>
      <c r="C383" s="47">
        <f t="shared" si="102"/>
        <v>3</v>
      </c>
      <c r="D383" s="73"/>
      <c r="E383" s="70"/>
      <c r="F383" s="70" t="s">
        <v>960</v>
      </c>
      <c r="G383" s="73"/>
      <c r="H383" s="76" t="s">
        <v>551</v>
      </c>
      <c r="I383" s="96" t="s">
        <v>497</v>
      </c>
      <c r="J383" s="96"/>
      <c r="K383" s="76"/>
      <c r="L383" s="76"/>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v>1</v>
      </c>
      <c r="AJ383" s="76">
        <v>1</v>
      </c>
      <c r="AK383" s="73"/>
      <c r="AL383" s="57"/>
      <c r="AM383" s="45"/>
      <c r="AN383" s="45"/>
      <c r="AO383" s="45"/>
    </row>
    <row r="384" spans="1:41" outlineLevel="2" x14ac:dyDescent="0.25">
      <c r="A384" s="45"/>
      <c r="B384" s="54"/>
      <c r="C384" s="47">
        <f t="shared" si="102"/>
        <v>3</v>
      </c>
      <c r="D384" s="73"/>
      <c r="E384" s="70"/>
      <c r="F384" s="70" t="s">
        <v>964</v>
      </c>
      <c r="G384" s="73"/>
      <c r="H384" s="76" t="s">
        <v>968</v>
      </c>
      <c r="I384" s="96" t="s">
        <v>2951</v>
      </c>
      <c r="J384" s="96"/>
      <c r="K384" s="97">
        <v>39.6</v>
      </c>
      <c r="L384" s="97">
        <v>39.6</v>
      </c>
      <c r="M384" s="97">
        <v>39.6</v>
      </c>
      <c r="N384" s="97">
        <v>39.6</v>
      </c>
      <c r="O384" s="97">
        <v>39.6</v>
      </c>
      <c r="P384" s="97">
        <v>39.6</v>
      </c>
      <c r="Q384" s="76"/>
      <c r="R384" s="76" t="s">
        <v>2214</v>
      </c>
      <c r="S384" s="76" t="s">
        <v>2214</v>
      </c>
      <c r="T384" s="76"/>
      <c r="U384" s="253">
        <f t="shared" ref="U384:AE393" si="104">INDEX($K384:$Q384,1,U$43)</f>
        <v>39.6</v>
      </c>
      <c r="V384" s="253">
        <f t="shared" si="104"/>
        <v>39.6</v>
      </c>
      <c r="W384" s="253">
        <f t="shared" si="104"/>
        <v>39.6</v>
      </c>
      <c r="X384" s="253">
        <f t="shared" si="104"/>
        <v>39.6</v>
      </c>
      <c r="Y384" s="253">
        <f t="shared" si="104"/>
        <v>39.6</v>
      </c>
      <c r="Z384" s="253">
        <f t="shared" si="104"/>
        <v>39.6</v>
      </c>
      <c r="AA384" s="253">
        <f t="shared" si="104"/>
        <v>39.6</v>
      </c>
      <c r="AB384" s="253">
        <f t="shared" si="104"/>
        <v>39.6</v>
      </c>
      <c r="AC384" s="253">
        <f t="shared" si="104"/>
        <v>39.6</v>
      </c>
      <c r="AD384" s="253">
        <f t="shared" si="104"/>
        <v>39.6</v>
      </c>
      <c r="AE384" s="253">
        <f t="shared" si="104"/>
        <v>39.6</v>
      </c>
      <c r="AF384" s="76"/>
      <c r="AG384" s="76"/>
      <c r="AH384" s="76"/>
      <c r="AI384" s="97">
        <v>1</v>
      </c>
      <c r="AJ384" s="97">
        <v>1</v>
      </c>
      <c r="AK384" s="73"/>
      <c r="AL384" s="57"/>
      <c r="AM384" s="45"/>
      <c r="AN384" s="45"/>
      <c r="AO384" s="45"/>
    </row>
    <row r="385" spans="1:41" outlineLevel="2" x14ac:dyDescent="0.25">
      <c r="A385" s="45"/>
      <c r="B385" s="54"/>
      <c r="C385" s="47">
        <f t="shared" si="102"/>
        <v>3</v>
      </c>
      <c r="D385" s="73"/>
      <c r="E385" s="70"/>
      <c r="F385" s="70" t="s">
        <v>966</v>
      </c>
      <c r="G385" s="73"/>
      <c r="H385" s="76" t="s">
        <v>2794</v>
      </c>
      <c r="I385" s="96" t="s">
        <v>2951</v>
      </c>
      <c r="J385" s="96"/>
      <c r="K385" s="97">
        <v>23.8</v>
      </c>
      <c r="L385" s="97">
        <v>23.8</v>
      </c>
      <c r="M385" s="97">
        <v>23.8</v>
      </c>
      <c r="N385" s="97">
        <v>23.8</v>
      </c>
      <c r="O385" s="97">
        <v>23.8</v>
      </c>
      <c r="P385" s="97">
        <v>23.8</v>
      </c>
      <c r="Q385" s="76"/>
      <c r="R385" s="76" t="s">
        <v>2214</v>
      </c>
      <c r="S385" s="76" t="s">
        <v>2214</v>
      </c>
      <c r="T385" s="76"/>
      <c r="U385" s="253">
        <f t="shared" si="104"/>
        <v>23.8</v>
      </c>
      <c r="V385" s="253">
        <f t="shared" si="104"/>
        <v>23.8</v>
      </c>
      <c r="W385" s="253">
        <f t="shared" si="104"/>
        <v>23.8</v>
      </c>
      <c r="X385" s="253">
        <f t="shared" si="104"/>
        <v>23.8</v>
      </c>
      <c r="Y385" s="253">
        <f t="shared" si="104"/>
        <v>23.8</v>
      </c>
      <c r="Z385" s="253">
        <f t="shared" si="104"/>
        <v>23.8</v>
      </c>
      <c r="AA385" s="253">
        <f t="shared" si="104"/>
        <v>23.8</v>
      </c>
      <c r="AB385" s="253">
        <f t="shared" si="104"/>
        <v>23.8</v>
      </c>
      <c r="AC385" s="253">
        <f t="shared" si="104"/>
        <v>23.8</v>
      </c>
      <c r="AD385" s="253">
        <f t="shared" si="104"/>
        <v>23.8</v>
      </c>
      <c r="AE385" s="253">
        <f t="shared" si="104"/>
        <v>23.8</v>
      </c>
      <c r="AF385" s="76"/>
      <c r="AG385" s="76"/>
      <c r="AH385" s="76"/>
      <c r="AI385" s="97">
        <v>1</v>
      </c>
      <c r="AJ385" s="97">
        <v>1</v>
      </c>
      <c r="AK385" s="73"/>
      <c r="AL385" s="57"/>
      <c r="AM385" s="45"/>
      <c r="AN385" s="45"/>
      <c r="AO385" s="45"/>
    </row>
    <row r="386" spans="1:41" outlineLevel="2" x14ac:dyDescent="0.25">
      <c r="A386" s="45"/>
      <c r="B386" s="54"/>
      <c r="C386" s="47">
        <f t="shared" si="102"/>
        <v>3</v>
      </c>
      <c r="D386" s="73"/>
      <c r="E386" s="70"/>
      <c r="F386" s="70" t="s">
        <v>967</v>
      </c>
      <c r="G386" s="73"/>
      <c r="H386" s="76" t="s">
        <v>2795</v>
      </c>
      <c r="I386" s="96" t="s">
        <v>2951</v>
      </c>
      <c r="J386" s="96"/>
      <c r="K386" s="97">
        <v>23.8</v>
      </c>
      <c r="L386" s="97">
        <v>23.8</v>
      </c>
      <c r="M386" s="97">
        <v>23.8</v>
      </c>
      <c r="N386" s="97">
        <v>23.8</v>
      </c>
      <c r="O386" s="97">
        <v>23.8</v>
      </c>
      <c r="P386" s="97">
        <v>23.8</v>
      </c>
      <c r="Q386" s="76"/>
      <c r="R386" s="76" t="s">
        <v>2214</v>
      </c>
      <c r="S386" s="76" t="s">
        <v>2214</v>
      </c>
      <c r="T386" s="76"/>
      <c r="U386" s="253">
        <f t="shared" si="104"/>
        <v>23.8</v>
      </c>
      <c r="V386" s="253">
        <f t="shared" si="104"/>
        <v>23.8</v>
      </c>
      <c r="W386" s="253">
        <f t="shared" si="104"/>
        <v>23.8</v>
      </c>
      <c r="X386" s="253">
        <f t="shared" si="104"/>
        <v>23.8</v>
      </c>
      <c r="Y386" s="253">
        <f t="shared" si="104"/>
        <v>23.8</v>
      </c>
      <c r="Z386" s="253">
        <f t="shared" si="104"/>
        <v>23.8</v>
      </c>
      <c r="AA386" s="253">
        <f t="shared" si="104"/>
        <v>23.8</v>
      </c>
      <c r="AB386" s="253">
        <f t="shared" si="104"/>
        <v>23.8</v>
      </c>
      <c r="AC386" s="253">
        <f t="shared" si="104"/>
        <v>23.8</v>
      </c>
      <c r="AD386" s="253">
        <f t="shared" si="104"/>
        <v>23.8</v>
      </c>
      <c r="AE386" s="253">
        <f t="shared" si="104"/>
        <v>23.8</v>
      </c>
      <c r="AF386" s="76"/>
      <c r="AG386" s="76"/>
      <c r="AH386" s="76"/>
      <c r="AI386" s="97">
        <v>1</v>
      </c>
      <c r="AJ386" s="97">
        <v>1</v>
      </c>
      <c r="AK386" s="73"/>
      <c r="AL386" s="57"/>
      <c r="AM386" s="45"/>
      <c r="AN386" s="45"/>
      <c r="AO386" s="45"/>
    </row>
    <row r="387" spans="1:41" outlineLevel="2" x14ac:dyDescent="0.25">
      <c r="A387" s="45"/>
      <c r="B387" s="54"/>
      <c r="C387" s="47">
        <f t="shared" si="102"/>
        <v>3</v>
      </c>
      <c r="D387" s="73"/>
      <c r="E387" s="70"/>
      <c r="F387" s="70" t="s">
        <v>2788</v>
      </c>
      <c r="G387" s="73"/>
      <c r="H387" s="76" t="s">
        <v>2796</v>
      </c>
      <c r="I387" s="96" t="s">
        <v>2951</v>
      </c>
      <c r="J387" s="96"/>
      <c r="K387" s="97">
        <v>23.8</v>
      </c>
      <c r="L387" s="97">
        <v>23.8</v>
      </c>
      <c r="M387" s="97"/>
      <c r="N387" s="97"/>
      <c r="O387" s="97"/>
      <c r="P387" s="97"/>
      <c r="Q387" s="76"/>
      <c r="R387" s="76" t="s">
        <v>2214</v>
      </c>
      <c r="S387" s="76" t="s">
        <v>2214</v>
      </c>
      <c r="T387" s="76"/>
      <c r="U387" s="253">
        <f t="shared" si="104"/>
        <v>23.8</v>
      </c>
      <c r="V387" s="253">
        <f t="shared" si="104"/>
        <v>23.8</v>
      </c>
      <c r="W387" s="253">
        <f t="shared" si="104"/>
        <v>23.8</v>
      </c>
      <c r="X387" s="253">
        <f t="shared" si="104"/>
        <v>23.8</v>
      </c>
      <c r="Y387" s="253">
        <f t="shared" si="104"/>
        <v>23.8</v>
      </c>
      <c r="Z387" s="253">
        <f t="shared" si="104"/>
        <v>23.8</v>
      </c>
      <c r="AA387" s="253">
        <f t="shared" si="104"/>
        <v>23.8</v>
      </c>
      <c r="AB387" s="253">
        <f t="shared" si="104"/>
        <v>23.8</v>
      </c>
      <c r="AC387" s="253">
        <f t="shared" si="104"/>
        <v>23.8</v>
      </c>
      <c r="AD387" s="253">
        <f t="shared" si="104"/>
        <v>23.8</v>
      </c>
      <c r="AE387" s="253">
        <f t="shared" si="104"/>
        <v>23.8</v>
      </c>
      <c r="AF387" s="76"/>
      <c r="AG387" s="76"/>
      <c r="AH387" s="76"/>
      <c r="AI387" s="97">
        <v>1</v>
      </c>
      <c r="AJ387" s="97">
        <v>1</v>
      </c>
      <c r="AK387" s="73"/>
      <c r="AL387" s="57"/>
      <c r="AM387" s="45"/>
      <c r="AN387" s="45"/>
      <c r="AO387" s="45"/>
    </row>
    <row r="388" spans="1:41" outlineLevel="2" x14ac:dyDescent="0.25">
      <c r="A388" s="45"/>
      <c r="B388" s="54"/>
      <c r="C388" s="47">
        <f t="shared" si="102"/>
        <v>3</v>
      </c>
      <c r="D388" s="73"/>
      <c r="E388" s="70"/>
      <c r="F388" s="70" t="s">
        <v>2789</v>
      </c>
      <c r="G388" s="73"/>
      <c r="H388" s="76" t="s">
        <v>2803</v>
      </c>
      <c r="I388" s="96" t="s">
        <v>2951</v>
      </c>
      <c r="J388" s="96"/>
      <c r="K388" s="76"/>
      <c r="L388" s="76"/>
      <c r="M388" s="76"/>
      <c r="N388" s="76"/>
      <c r="O388" s="76"/>
      <c r="P388" s="76"/>
      <c r="Q388" s="76"/>
      <c r="R388" s="76"/>
      <c r="S388" s="76"/>
      <c r="T388" s="76"/>
      <c r="U388" s="253">
        <f t="shared" si="104"/>
        <v>0</v>
      </c>
      <c r="V388" s="253">
        <f t="shared" si="104"/>
        <v>0</v>
      </c>
      <c r="W388" s="253">
        <f t="shared" si="104"/>
        <v>0</v>
      </c>
      <c r="X388" s="253">
        <f t="shared" si="104"/>
        <v>0</v>
      </c>
      <c r="Y388" s="253">
        <f t="shared" si="104"/>
        <v>0</v>
      </c>
      <c r="Z388" s="253">
        <f t="shared" si="104"/>
        <v>0</v>
      </c>
      <c r="AA388" s="253">
        <f t="shared" si="104"/>
        <v>0</v>
      </c>
      <c r="AB388" s="253">
        <f t="shared" si="104"/>
        <v>0</v>
      </c>
      <c r="AC388" s="253">
        <f t="shared" si="104"/>
        <v>0</v>
      </c>
      <c r="AD388" s="253">
        <f t="shared" si="104"/>
        <v>0</v>
      </c>
      <c r="AE388" s="253">
        <f t="shared" si="104"/>
        <v>0</v>
      </c>
      <c r="AF388" s="76"/>
      <c r="AG388" s="76"/>
      <c r="AH388" s="76"/>
      <c r="AI388" s="76">
        <v>1</v>
      </c>
      <c r="AJ388" s="76">
        <v>1</v>
      </c>
      <c r="AK388" s="73"/>
      <c r="AL388" s="57"/>
      <c r="AM388" s="45"/>
      <c r="AN388" s="45"/>
      <c r="AO388" s="45"/>
    </row>
    <row r="389" spans="1:41" outlineLevel="2" x14ac:dyDescent="0.25">
      <c r="A389" s="45"/>
      <c r="B389" s="54"/>
      <c r="C389" s="47">
        <f t="shared" si="102"/>
        <v>3</v>
      </c>
      <c r="D389" s="73"/>
      <c r="E389" s="70"/>
      <c r="F389" s="70" t="s">
        <v>2790</v>
      </c>
      <c r="G389" s="73"/>
      <c r="H389" s="76" t="s">
        <v>2804</v>
      </c>
      <c r="I389" s="96" t="s">
        <v>2951</v>
      </c>
      <c r="J389" s="96"/>
      <c r="K389" s="76"/>
      <c r="L389" s="76"/>
      <c r="M389" s="76"/>
      <c r="N389" s="76"/>
      <c r="O389" s="76"/>
      <c r="P389" s="76"/>
      <c r="Q389" s="76"/>
      <c r="R389" s="76"/>
      <c r="S389" s="76"/>
      <c r="T389" s="76"/>
      <c r="U389" s="253">
        <f t="shared" si="104"/>
        <v>0</v>
      </c>
      <c r="V389" s="253">
        <f t="shared" si="104"/>
        <v>0</v>
      </c>
      <c r="W389" s="253">
        <f t="shared" si="104"/>
        <v>0</v>
      </c>
      <c r="X389" s="253">
        <f t="shared" si="104"/>
        <v>0</v>
      </c>
      <c r="Y389" s="253">
        <f t="shared" si="104"/>
        <v>0</v>
      </c>
      <c r="Z389" s="253">
        <f t="shared" si="104"/>
        <v>0</v>
      </c>
      <c r="AA389" s="253">
        <f t="shared" si="104"/>
        <v>0</v>
      </c>
      <c r="AB389" s="253">
        <f t="shared" si="104"/>
        <v>0</v>
      </c>
      <c r="AC389" s="253">
        <f t="shared" si="104"/>
        <v>0</v>
      </c>
      <c r="AD389" s="253">
        <f t="shared" si="104"/>
        <v>0</v>
      </c>
      <c r="AE389" s="253">
        <f t="shared" si="104"/>
        <v>0</v>
      </c>
      <c r="AF389" s="76"/>
      <c r="AG389" s="76"/>
      <c r="AH389" s="76"/>
      <c r="AI389" s="76">
        <v>1</v>
      </c>
      <c r="AJ389" s="76">
        <v>1</v>
      </c>
      <c r="AK389" s="73"/>
      <c r="AL389" s="57"/>
      <c r="AM389" s="45"/>
      <c r="AN389" s="45"/>
      <c r="AO389" s="45"/>
    </row>
    <row r="390" spans="1:41" outlineLevel="2" x14ac:dyDescent="0.25">
      <c r="A390" s="45"/>
      <c r="B390" s="54"/>
      <c r="C390" s="47">
        <f t="shared" si="102"/>
        <v>3</v>
      </c>
      <c r="D390" s="73"/>
      <c r="E390" s="70"/>
      <c r="F390" s="70" t="s">
        <v>2791</v>
      </c>
      <c r="G390" s="73"/>
      <c r="H390" s="76" t="s">
        <v>965</v>
      </c>
      <c r="I390" s="96" t="s">
        <v>497</v>
      </c>
      <c r="J390" s="96"/>
      <c r="K390" s="97">
        <v>1</v>
      </c>
      <c r="L390" s="97">
        <v>1</v>
      </c>
      <c r="M390" s="97">
        <v>1</v>
      </c>
      <c r="N390" s="97">
        <v>1</v>
      </c>
      <c r="O390" s="97">
        <v>1</v>
      </c>
      <c r="P390" s="97">
        <v>1</v>
      </c>
      <c r="Q390" s="76"/>
      <c r="R390" s="76" t="s">
        <v>2946</v>
      </c>
      <c r="S390" s="76" t="s">
        <v>2947</v>
      </c>
      <c r="T390" s="76"/>
      <c r="U390" s="253">
        <f t="shared" si="104"/>
        <v>1</v>
      </c>
      <c r="V390" s="253">
        <f t="shared" si="104"/>
        <v>1</v>
      </c>
      <c r="W390" s="253">
        <f t="shared" si="104"/>
        <v>1</v>
      </c>
      <c r="X390" s="253">
        <f t="shared" si="104"/>
        <v>1</v>
      </c>
      <c r="Y390" s="253">
        <f t="shared" si="104"/>
        <v>1</v>
      </c>
      <c r="Z390" s="253">
        <f t="shared" si="104"/>
        <v>1</v>
      </c>
      <c r="AA390" s="253">
        <f t="shared" si="104"/>
        <v>1</v>
      </c>
      <c r="AB390" s="253">
        <f t="shared" si="104"/>
        <v>1</v>
      </c>
      <c r="AC390" s="253">
        <f t="shared" si="104"/>
        <v>1</v>
      </c>
      <c r="AD390" s="253">
        <f t="shared" si="104"/>
        <v>1</v>
      </c>
      <c r="AE390" s="253">
        <f t="shared" si="104"/>
        <v>1</v>
      </c>
      <c r="AF390" s="76"/>
      <c r="AG390" s="76"/>
      <c r="AH390" s="76"/>
      <c r="AI390" s="97">
        <v>1</v>
      </c>
      <c r="AJ390" s="97">
        <v>1</v>
      </c>
      <c r="AK390" s="73"/>
      <c r="AL390" s="57"/>
      <c r="AM390" s="45"/>
      <c r="AN390" s="45"/>
      <c r="AO390" s="45"/>
    </row>
    <row r="391" spans="1:41" outlineLevel="2" x14ac:dyDescent="0.25">
      <c r="A391" s="45"/>
      <c r="B391" s="54"/>
      <c r="C391" s="47">
        <f t="shared" si="102"/>
        <v>3</v>
      </c>
      <c r="D391" s="73"/>
      <c r="E391" s="70"/>
      <c r="F391" s="70" t="s">
        <v>2792</v>
      </c>
      <c r="G391" s="73"/>
      <c r="H391" s="76" t="s">
        <v>961</v>
      </c>
      <c r="I391" s="96" t="s">
        <v>497</v>
      </c>
      <c r="J391" s="96"/>
      <c r="K391" s="97">
        <v>0.21</v>
      </c>
      <c r="L391" s="97">
        <v>0.21</v>
      </c>
      <c r="M391" s="97">
        <v>0.21</v>
      </c>
      <c r="N391" s="97">
        <v>0.21</v>
      </c>
      <c r="O391" s="97">
        <v>0.21</v>
      </c>
      <c r="P391" s="97">
        <v>0.21</v>
      </c>
      <c r="Q391" s="76"/>
      <c r="R391" s="76" t="s">
        <v>962</v>
      </c>
      <c r="S391" s="76" t="s">
        <v>963</v>
      </c>
      <c r="T391" s="76"/>
      <c r="U391" s="253">
        <f t="shared" si="104"/>
        <v>0.21</v>
      </c>
      <c r="V391" s="253">
        <f t="shared" si="104"/>
        <v>0.21</v>
      </c>
      <c r="W391" s="253">
        <f t="shared" si="104"/>
        <v>0.21</v>
      </c>
      <c r="X391" s="253">
        <f t="shared" si="104"/>
        <v>0.21</v>
      </c>
      <c r="Y391" s="253">
        <f t="shared" si="104"/>
        <v>0.21</v>
      </c>
      <c r="Z391" s="253">
        <f t="shared" si="104"/>
        <v>0.21</v>
      </c>
      <c r="AA391" s="253">
        <f t="shared" si="104"/>
        <v>0.21</v>
      </c>
      <c r="AB391" s="253">
        <f t="shared" si="104"/>
        <v>0.21</v>
      </c>
      <c r="AC391" s="253">
        <f t="shared" si="104"/>
        <v>0.21</v>
      </c>
      <c r="AD391" s="253">
        <f t="shared" si="104"/>
        <v>0.21</v>
      </c>
      <c r="AE391" s="253">
        <f t="shared" si="104"/>
        <v>0.21</v>
      </c>
      <c r="AF391" s="76"/>
      <c r="AG391" s="76"/>
      <c r="AH391" s="76"/>
      <c r="AI391" s="97">
        <v>1</v>
      </c>
      <c r="AJ391" s="97">
        <v>1</v>
      </c>
      <c r="AK391" s="73"/>
      <c r="AL391" s="57"/>
      <c r="AM391" s="45"/>
      <c r="AN391" s="45"/>
      <c r="AO391" s="45"/>
    </row>
    <row r="392" spans="1:41" outlineLevel="2" x14ac:dyDescent="0.25">
      <c r="A392" s="45"/>
      <c r="B392" s="54"/>
      <c r="C392" s="47">
        <f t="shared" si="102"/>
        <v>3</v>
      </c>
      <c r="D392" s="73"/>
      <c r="E392" s="70"/>
      <c r="F392" s="70" t="s">
        <v>2793</v>
      </c>
      <c r="G392" s="73"/>
      <c r="H392" s="76" t="s">
        <v>2798</v>
      </c>
      <c r="I392" s="96" t="s">
        <v>497</v>
      </c>
      <c r="J392" s="96"/>
      <c r="K392" s="97">
        <v>0.157</v>
      </c>
      <c r="L392" s="97">
        <v>0.157</v>
      </c>
      <c r="M392" s="97">
        <v>0.157</v>
      </c>
      <c r="N392" s="97">
        <v>0.157</v>
      </c>
      <c r="O392" s="97">
        <v>0.157</v>
      </c>
      <c r="P392" s="97">
        <v>0.157</v>
      </c>
      <c r="Q392" s="76"/>
      <c r="R392" s="76" t="s">
        <v>2799</v>
      </c>
      <c r="S392" s="76"/>
      <c r="T392" s="76"/>
      <c r="U392" s="253">
        <f t="shared" si="104"/>
        <v>0.157</v>
      </c>
      <c r="V392" s="253">
        <f t="shared" si="104"/>
        <v>0.157</v>
      </c>
      <c r="W392" s="253">
        <f t="shared" si="104"/>
        <v>0.157</v>
      </c>
      <c r="X392" s="253">
        <f t="shared" si="104"/>
        <v>0.157</v>
      </c>
      <c r="Y392" s="253">
        <f t="shared" si="104"/>
        <v>0.157</v>
      </c>
      <c r="Z392" s="253">
        <f t="shared" si="104"/>
        <v>0.157</v>
      </c>
      <c r="AA392" s="253">
        <f t="shared" si="104"/>
        <v>0.157</v>
      </c>
      <c r="AB392" s="253">
        <f t="shared" si="104"/>
        <v>0.157</v>
      </c>
      <c r="AC392" s="253">
        <f t="shared" si="104"/>
        <v>0.157</v>
      </c>
      <c r="AD392" s="253">
        <f t="shared" si="104"/>
        <v>0.157</v>
      </c>
      <c r="AE392" s="253">
        <f t="shared" si="104"/>
        <v>0.157</v>
      </c>
      <c r="AF392" s="76"/>
      <c r="AG392" s="76"/>
      <c r="AH392" s="76"/>
      <c r="AI392" s="97">
        <v>1</v>
      </c>
      <c r="AJ392" s="97">
        <v>1</v>
      </c>
      <c r="AK392" s="73"/>
      <c r="AL392" s="57"/>
      <c r="AM392" s="45"/>
      <c r="AN392" s="45"/>
      <c r="AO392" s="45"/>
    </row>
    <row r="393" spans="1:41" outlineLevel="2" x14ac:dyDescent="0.25">
      <c r="A393" s="45"/>
      <c r="B393" s="54"/>
      <c r="C393" s="47">
        <f t="shared" si="102"/>
        <v>3</v>
      </c>
      <c r="D393" s="73"/>
      <c r="E393" s="70"/>
      <c r="F393" s="70" t="s">
        <v>2802</v>
      </c>
      <c r="G393" s="73"/>
      <c r="H393" s="76" t="s">
        <v>2797</v>
      </c>
      <c r="I393" s="96" t="s">
        <v>497</v>
      </c>
      <c r="J393" s="96"/>
      <c r="K393" s="97">
        <v>0.85</v>
      </c>
      <c r="L393" s="97">
        <v>0.85</v>
      </c>
      <c r="M393" s="97"/>
      <c r="N393" s="97"/>
      <c r="O393" s="97"/>
      <c r="P393" s="97"/>
      <c r="Q393" s="76"/>
      <c r="R393" s="76" t="s">
        <v>2801</v>
      </c>
      <c r="S393" s="76"/>
      <c r="T393" s="76"/>
      <c r="U393" s="253">
        <f t="shared" si="104"/>
        <v>0.85</v>
      </c>
      <c r="V393" s="253">
        <f t="shared" si="104"/>
        <v>0.85</v>
      </c>
      <c r="W393" s="253">
        <f t="shared" si="104"/>
        <v>0.85</v>
      </c>
      <c r="X393" s="253">
        <f t="shared" si="104"/>
        <v>0.85</v>
      </c>
      <c r="Y393" s="253">
        <f t="shared" si="104"/>
        <v>0.85</v>
      </c>
      <c r="Z393" s="253">
        <f t="shared" si="104"/>
        <v>0.85</v>
      </c>
      <c r="AA393" s="253">
        <f t="shared" si="104"/>
        <v>0.85</v>
      </c>
      <c r="AB393" s="253">
        <f t="shared" si="104"/>
        <v>0.85</v>
      </c>
      <c r="AC393" s="253">
        <f t="shared" si="104"/>
        <v>0.85</v>
      </c>
      <c r="AD393" s="253">
        <f t="shared" si="104"/>
        <v>0.85</v>
      </c>
      <c r="AE393" s="253">
        <f t="shared" si="104"/>
        <v>0.85</v>
      </c>
      <c r="AF393" s="76"/>
      <c r="AG393" s="76"/>
      <c r="AH393" s="76"/>
      <c r="AI393" s="97">
        <v>1</v>
      </c>
      <c r="AJ393" s="97">
        <v>1</v>
      </c>
      <c r="AK393" s="73"/>
      <c r="AL393" s="57"/>
      <c r="AM393" s="45"/>
      <c r="AN393" s="45"/>
      <c r="AO393" s="45"/>
    </row>
    <row r="394" spans="1:41" outlineLevel="2" x14ac:dyDescent="0.25">
      <c r="A394" s="45"/>
      <c r="B394" s="54"/>
      <c r="C394" s="47">
        <f t="shared" si="102"/>
        <v>3</v>
      </c>
      <c r="D394" s="73"/>
      <c r="E394" s="70"/>
      <c r="F394" s="70" t="s">
        <v>2829</v>
      </c>
      <c r="G394" s="73"/>
      <c r="H394" s="76" t="s">
        <v>2803</v>
      </c>
      <c r="I394" s="96" t="s">
        <v>497</v>
      </c>
      <c r="J394" s="96"/>
      <c r="K394" s="76"/>
      <c r="L394" s="76"/>
      <c r="M394" s="76"/>
      <c r="N394" s="76"/>
      <c r="O394" s="76"/>
      <c r="P394" s="76"/>
      <c r="Q394" s="76"/>
      <c r="R394" s="76"/>
      <c r="S394" s="76"/>
      <c r="T394" s="76"/>
      <c r="U394" s="253">
        <f t="shared" ref="U394:AE403" si="105">INDEX($K394:$Q394,1,U$43)</f>
        <v>0</v>
      </c>
      <c r="V394" s="253">
        <f t="shared" si="105"/>
        <v>0</v>
      </c>
      <c r="W394" s="253">
        <f t="shared" si="105"/>
        <v>0</v>
      </c>
      <c r="X394" s="253">
        <f t="shared" si="105"/>
        <v>0</v>
      </c>
      <c r="Y394" s="253">
        <f t="shared" si="105"/>
        <v>0</v>
      </c>
      <c r="Z394" s="253">
        <f t="shared" si="105"/>
        <v>0</v>
      </c>
      <c r="AA394" s="253">
        <f t="shared" si="105"/>
        <v>0</v>
      </c>
      <c r="AB394" s="253">
        <f t="shared" si="105"/>
        <v>0</v>
      </c>
      <c r="AC394" s="253">
        <f t="shared" si="105"/>
        <v>0</v>
      </c>
      <c r="AD394" s="253">
        <f t="shared" si="105"/>
        <v>0</v>
      </c>
      <c r="AE394" s="253">
        <f t="shared" si="105"/>
        <v>0</v>
      </c>
      <c r="AF394" s="76"/>
      <c r="AG394" s="76"/>
      <c r="AH394" s="76"/>
      <c r="AI394" s="76">
        <v>1</v>
      </c>
      <c r="AJ394" s="76">
        <v>1</v>
      </c>
      <c r="AK394" s="73"/>
      <c r="AL394" s="57"/>
      <c r="AM394" s="45"/>
      <c r="AN394" s="45"/>
      <c r="AO394" s="45"/>
    </row>
    <row r="395" spans="1:41" outlineLevel="2" x14ac:dyDescent="0.25">
      <c r="A395" s="45"/>
      <c r="B395" s="54"/>
      <c r="C395" s="47">
        <f t="shared" si="102"/>
        <v>3</v>
      </c>
      <c r="D395" s="73"/>
      <c r="E395" s="70"/>
      <c r="F395" s="70" t="s">
        <v>2830</v>
      </c>
      <c r="G395" s="73"/>
      <c r="H395" s="76" t="s">
        <v>2804</v>
      </c>
      <c r="I395" s="96" t="s">
        <v>497</v>
      </c>
      <c r="J395" s="96"/>
      <c r="K395" s="76"/>
      <c r="L395" s="76"/>
      <c r="M395" s="76"/>
      <c r="N395" s="76"/>
      <c r="O395" s="76"/>
      <c r="P395" s="76"/>
      <c r="Q395" s="76"/>
      <c r="R395" s="76"/>
      <c r="S395" s="76"/>
      <c r="T395" s="76"/>
      <c r="U395" s="253">
        <f t="shared" si="105"/>
        <v>0</v>
      </c>
      <c r="V395" s="253">
        <f t="shared" si="105"/>
        <v>0</v>
      </c>
      <c r="W395" s="253">
        <f t="shared" si="105"/>
        <v>0</v>
      </c>
      <c r="X395" s="253">
        <f t="shared" si="105"/>
        <v>0</v>
      </c>
      <c r="Y395" s="253">
        <f t="shared" si="105"/>
        <v>0</v>
      </c>
      <c r="Z395" s="253">
        <f t="shared" si="105"/>
        <v>0</v>
      </c>
      <c r="AA395" s="253">
        <f t="shared" si="105"/>
        <v>0</v>
      </c>
      <c r="AB395" s="253">
        <f t="shared" si="105"/>
        <v>0</v>
      </c>
      <c r="AC395" s="253">
        <f t="shared" si="105"/>
        <v>0</v>
      </c>
      <c r="AD395" s="253">
        <f t="shared" si="105"/>
        <v>0</v>
      </c>
      <c r="AE395" s="253">
        <f t="shared" si="105"/>
        <v>0</v>
      </c>
      <c r="AF395" s="76"/>
      <c r="AG395" s="76"/>
      <c r="AH395" s="76"/>
      <c r="AI395" s="76">
        <v>1</v>
      </c>
      <c r="AJ395" s="76">
        <v>1</v>
      </c>
      <c r="AK395" s="73"/>
      <c r="AL395" s="57"/>
      <c r="AM395" s="45"/>
      <c r="AN395" s="45"/>
      <c r="AO395" s="45"/>
    </row>
    <row r="396" spans="1:41" outlineLevel="2" x14ac:dyDescent="0.25">
      <c r="A396" s="45"/>
      <c r="B396" s="54"/>
      <c r="C396" s="47">
        <f t="shared" si="102"/>
        <v>3</v>
      </c>
      <c r="D396" s="73"/>
      <c r="E396" s="70"/>
      <c r="F396" s="70" t="s">
        <v>2831</v>
      </c>
      <c r="G396" s="73"/>
      <c r="H396" s="76" t="s">
        <v>2839</v>
      </c>
      <c r="I396" s="96" t="s">
        <v>497</v>
      </c>
      <c r="J396" s="96"/>
      <c r="K396" s="97">
        <v>0.22600000000000001</v>
      </c>
      <c r="L396" s="97">
        <v>0.22600000000000001</v>
      </c>
      <c r="M396" s="97">
        <v>0.22600000000000001</v>
      </c>
      <c r="N396" s="97">
        <v>0.22600000000000001</v>
      </c>
      <c r="O396" s="97">
        <v>0.22600000000000001</v>
      </c>
      <c r="P396" s="97">
        <v>0.22600000000000001</v>
      </c>
      <c r="Q396" s="76"/>
      <c r="R396" s="76" t="s">
        <v>2816</v>
      </c>
      <c r="S396" s="76" t="s">
        <v>2816</v>
      </c>
      <c r="T396" s="76"/>
      <c r="U396" s="253">
        <f t="shared" si="105"/>
        <v>0.22600000000000001</v>
      </c>
      <c r="V396" s="253">
        <f t="shared" si="105"/>
        <v>0.22600000000000001</v>
      </c>
      <c r="W396" s="253">
        <f t="shared" si="105"/>
        <v>0.22600000000000001</v>
      </c>
      <c r="X396" s="253">
        <f t="shared" si="105"/>
        <v>0.22600000000000001</v>
      </c>
      <c r="Y396" s="253">
        <f t="shared" si="105"/>
        <v>0.22600000000000001</v>
      </c>
      <c r="Z396" s="253">
        <f t="shared" si="105"/>
        <v>0.22600000000000001</v>
      </c>
      <c r="AA396" s="253">
        <f t="shared" si="105"/>
        <v>0.22600000000000001</v>
      </c>
      <c r="AB396" s="253">
        <f t="shared" si="105"/>
        <v>0.22600000000000001</v>
      </c>
      <c r="AC396" s="253">
        <f t="shared" si="105"/>
        <v>0.22600000000000001</v>
      </c>
      <c r="AD396" s="253">
        <f t="shared" si="105"/>
        <v>0.22600000000000001</v>
      </c>
      <c r="AE396" s="253">
        <f t="shared" si="105"/>
        <v>0.22600000000000001</v>
      </c>
      <c r="AF396" s="76"/>
      <c r="AG396" s="76"/>
      <c r="AH396" s="76"/>
      <c r="AI396" s="97">
        <v>1</v>
      </c>
      <c r="AJ396" s="97">
        <v>1</v>
      </c>
      <c r="AK396" s="73"/>
      <c r="AL396" s="57"/>
      <c r="AM396" s="45"/>
      <c r="AN396" s="45"/>
      <c r="AO396" s="45"/>
    </row>
    <row r="397" spans="1:41" outlineLevel="2" x14ac:dyDescent="0.25">
      <c r="A397" s="45"/>
      <c r="B397" s="54"/>
      <c r="C397" s="47">
        <f t="shared" si="102"/>
        <v>3</v>
      </c>
      <c r="D397" s="73"/>
      <c r="E397" s="70"/>
      <c r="F397" s="70" t="s">
        <v>2832</v>
      </c>
      <c r="G397" s="73"/>
      <c r="H397" s="76" t="s">
        <v>2837</v>
      </c>
      <c r="I397" s="96" t="s">
        <v>497</v>
      </c>
      <c r="J397" s="96"/>
      <c r="K397" s="97">
        <v>0.05</v>
      </c>
      <c r="L397" s="97">
        <v>0.05</v>
      </c>
      <c r="M397" s="97">
        <v>0.05</v>
      </c>
      <c r="N397" s="97">
        <v>0.05</v>
      </c>
      <c r="O397" s="97">
        <v>0.05</v>
      </c>
      <c r="P397" s="97">
        <v>0.05</v>
      </c>
      <c r="Q397" s="76"/>
      <c r="R397" s="76" t="s">
        <v>2816</v>
      </c>
      <c r="S397" s="76" t="s">
        <v>2816</v>
      </c>
      <c r="T397" s="76"/>
      <c r="U397" s="253">
        <f t="shared" si="105"/>
        <v>0.05</v>
      </c>
      <c r="V397" s="253">
        <f t="shared" si="105"/>
        <v>0.05</v>
      </c>
      <c r="W397" s="253">
        <f t="shared" si="105"/>
        <v>0.05</v>
      </c>
      <c r="X397" s="253">
        <f t="shared" si="105"/>
        <v>0.05</v>
      </c>
      <c r="Y397" s="253">
        <f t="shared" si="105"/>
        <v>0.05</v>
      </c>
      <c r="Z397" s="253">
        <f t="shared" si="105"/>
        <v>0.05</v>
      </c>
      <c r="AA397" s="253">
        <f t="shared" si="105"/>
        <v>0.05</v>
      </c>
      <c r="AB397" s="253">
        <f t="shared" si="105"/>
        <v>0.05</v>
      </c>
      <c r="AC397" s="253">
        <f t="shared" si="105"/>
        <v>0.05</v>
      </c>
      <c r="AD397" s="253">
        <f t="shared" si="105"/>
        <v>0.05</v>
      </c>
      <c r="AE397" s="253">
        <f t="shared" si="105"/>
        <v>0.05</v>
      </c>
      <c r="AF397" s="76"/>
      <c r="AG397" s="76"/>
      <c r="AH397" s="76"/>
      <c r="AI397" s="97">
        <v>1</v>
      </c>
      <c r="AJ397" s="97">
        <v>1</v>
      </c>
      <c r="AK397" s="73"/>
      <c r="AL397" s="57"/>
      <c r="AM397" s="45"/>
      <c r="AN397" s="45"/>
      <c r="AO397" s="45"/>
    </row>
    <row r="398" spans="1:41" outlineLevel="2" x14ac:dyDescent="0.25">
      <c r="A398" s="45"/>
      <c r="B398" s="54"/>
      <c r="C398" s="47">
        <f t="shared" si="102"/>
        <v>3</v>
      </c>
      <c r="D398" s="73"/>
      <c r="E398" s="70"/>
      <c r="F398" s="70" t="s">
        <v>2833</v>
      </c>
      <c r="G398" s="73"/>
      <c r="H398" s="76" t="s">
        <v>2838</v>
      </c>
      <c r="I398" s="96" t="s">
        <v>497</v>
      </c>
      <c r="J398" s="96"/>
      <c r="K398" s="97">
        <v>0.24859999999999999</v>
      </c>
      <c r="L398" s="97">
        <v>0.24859999999999999</v>
      </c>
      <c r="M398" s="97">
        <v>0.24859999999999999</v>
      </c>
      <c r="N398" s="97">
        <v>0.24859999999999999</v>
      </c>
      <c r="O398" s="97">
        <v>0.24859999999999999</v>
      </c>
      <c r="P398" s="97">
        <v>0.24859999999999999</v>
      </c>
      <c r="Q398" s="76"/>
      <c r="R398" s="76" t="s">
        <v>2816</v>
      </c>
      <c r="S398" s="76" t="s">
        <v>2816</v>
      </c>
      <c r="T398" s="76"/>
      <c r="U398" s="253">
        <f t="shared" si="105"/>
        <v>0.24859999999999999</v>
      </c>
      <c r="V398" s="253">
        <f t="shared" si="105"/>
        <v>0.24859999999999999</v>
      </c>
      <c r="W398" s="253">
        <f t="shared" si="105"/>
        <v>0.24859999999999999</v>
      </c>
      <c r="X398" s="253">
        <f t="shared" si="105"/>
        <v>0.24859999999999999</v>
      </c>
      <c r="Y398" s="253">
        <f t="shared" si="105"/>
        <v>0.24859999999999999</v>
      </c>
      <c r="Z398" s="253">
        <f t="shared" si="105"/>
        <v>0.24859999999999999</v>
      </c>
      <c r="AA398" s="253">
        <f t="shared" si="105"/>
        <v>0.24859999999999999</v>
      </c>
      <c r="AB398" s="253">
        <f t="shared" si="105"/>
        <v>0.24859999999999999</v>
      </c>
      <c r="AC398" s="253">
        <f t="shared" si="105"/>
        <v>0.24859999999999999</v>
      </c>
      <c r="AD398" s="253">
        <f t="shared" si="105"/>
        <v>0.24859999999999999</v>
      </c>
      <c r="AE398" s="253">
        <f t="shared" si="105"/>
        <v>0.24859999999999999</v>
      </c>
      <c r="AF398" s="76"/>
      <c r="AG398" s="76"/>
      <c r="AH398" s="76"/>
      <c r="AI398" s="97">
        <v>1</v>
      </c>
      <c r="AJ398" s="97">
        <v>1</v>
      </c>
      <c r="AK398" s="73"/>
      <c r="AL398" s="57"/>
      <c r="AM398" s="45"/>
      <c r="AN398" s="45"/>
      <c r="AO398" s="45"/>
    </row>
    <row r="399" spans="1:41" outlineLevel="2" x14ac:dyDescent="0.25">
      <c r="A399" s="45"/>
      <c r="B399" s="54"/>
      <c r="C399" s="47">
        <f t="shared" si="102"/>
        <v>3</v>
      </c>
      <c r="D399" s="73"/>
      <c r="E399" s="70"/>
      <c r="F399" s="70" t="s">
        <v>2834</v>
      </c>
      <c r="G399" s="73"/>
      <c r="H399" s="76" t="s">
        <v>2840</v>
      </c>
      <c r="I399" s="96" t="s">
        <v>497</v>
      </c>
      <c r="J399" s="96"/>
      <c r="K399" s="97">
        <v>0.67600000000000005</v>
      </c>
      <c r="L399" s="97">
        <v>0.67600000000000005</v>
      </c>
      <c r="M399" s="97">
        <v>0.67600000000000005</v>
      </c>
      <c r="N399" s="97">
        <v>0.67600000000000005</v>
      </c>
      <c r="O399" s="97">
        <v>0.67600000000000005</v>
      </c>
      <c r="P399" s="97">
        <v>0.67600000000000005</v>
      </c>
      <c r="Q399" s="76"/>
      <c r="R399" s="76" t="s">
        <v>2816</v>
      </c>
      <c r="S399" s="76" t="s">
        <v>2816</v>
      </c>
      <c r="T399" s="76"/>
      <c r="U399" s="253">
        <f t="shared" si="105"/>
        <v>0.67600000000000005</v>
      </c>
      <c r="V399" s="253">
        <f t="shared" si="105"/>
        <v>0.67600000000000005</v>
      </c>
      <c r="W399" s="253">
        <f t="shared" si="105"/>
        <v>0.67600000000000005</v>
      </c>
      <c r="X399" s="253">
        <f t="shared" si="105"/>
        <v>0.67600000000000005</v>
      </c>
      <c r="Y399" s="253">
        <f t="shared" si="105"/>
        <v>0.67600000000000005</v>
      </c>
      <c r="Z399" s="253">
        <f t="shared" si="105"/>
        <v>0.67600000000000005</v>
      </c>
      <c r="AA399" s="253">
        <f t="shared" si="105"/>
        <v>0.67600000000000005</v>
      </c>
      <c r="AB399" s="253">
        <f t="shared" si="105"/>
        <v>0.67600000000000005</v>
      </c>
      <c r="AC399" s="253">
        <f t="shared" si="105"/>
        <v>0.67600000000000005</v>
      </c>
      <c r="AD399" s="253">
        <f t="shared" si="105"/>
        <v>0.67600000000000005</v>
      </c>
      <c r="AE399" s="253">
        <f t="shared" si="105"/>
        <v>0.67600000000000005</v>
      </c>
      <c r="AF399" s="76"/>
      <c r="AG399" s="76"/>
      <c r="AH399" s="76"/>
      <c r="AI399" s="97">
        <v>1</v>
      </c>
      <c r="AJ399" s="97">
        <v>1</v>
      </c>
      <c r="AK399" s="73"/>
      <c r="AL399" s="57"/>
      <c r="AM399" s="45"/>
      <c r="AN399" s="45"/>
      <c r="AO399" s="45"/>
    </row>
    <row r="400" spans="1:41" outlineLevel="2" x14ac:dyDescent="0.25">
      <c r="A400" s="45"/>
      <c r="B400" s="54"/>
      <c r="C400" s="47">
        <f t="shared" si="102"/>
        <v>3</v>
      </c>
      <c r="D400" s="73"/>
      <c r="E400" s="70"/>
      <c r="F400" s="70" t="s">
        <v>2835</v>
      </c>
      <c r="G400" s="73"/>
      <c r="H400" s="76" t="s">
        <v>2841</v>
      </c>
      <c r="I400" s="96" t="s">
        <v>497</v>
      </c>
      <c r="J400" s="96"/>
      <c r="K400" s="97">
        <v>2.0609999999999999</v>
      </c>
      <c r="L400" s="97">
        <v>2.0609999999999999</v>
      </c>
      <c r="M400" s="97">
        <v>2.0609999999999999</v>
      </c>
      <c r="N400" s="97">
        <v>2.0609999999999999</v>
      </c>
      <c r="O400" s="97">
        <v>2.0609999999999999</v>
      </c>
      <c r="P400" s="97">
        <v>2.0609999999999999</v>
      </c>
      <c r="Q400" s="76"/>
      <c r="R400" s="76" t="s">
        <v>2816</v>
      </c>
      <c r="S400" s="76" t="s">
        <v>2816</v>
      </c>
      <c r="T400" s="76"/>
      <c r="U400" s="253">
        <f t="shared" si="105"/>
        <v>2.0609999999999999</v>
      </c>
      <c r="V400" s="253">
        <f t="shared" si="105"/>
        <v>2.0609999999999999</v>
      </c>
      <c r="W400" s="253">
        <f t="shared" si="105"/>
        <v>2.0609999999999999</v>
      </c>
      <c r="X400" s="253">
        <f t="shared" si="105"/>
        <v>2.0609999999999999</v>
      </c>
      <c r="Y400" s="253">
        <f t="shared" si="105"/>
        <v>2.0609999999999999</v>
      </c>
      <c r="Z400" s="253">
        <f t="shared" si="105"/>
        <v>2.0609999999999999</v>
      </c>
      <c r="AA400" s="253">
        <f t="shared" si="105"/>
        <v>2.0609999999999999</v>
      </c>
      <c r="AB400" s="253">
        <f t="shared" si="105"/>
        <v>2.0609999999999999</v>
      </c>
      <c r="AC400" s="253">
        <f t="shared" si="105"/>
        <v>2.0609999999999999</v>
      </c>
      <c r="AD400" s="253">
        <f t="shared" si="105"/>
        <v>2.0609999999999999</v>
      </c>
      <c r="AE400" s="253">
        <f t="shared" si="105"/>
        <v>2.0609999999999999</v>
      </c>
      <c r="AF400" s="76"/>
      <c r="AG400" s="76"/>
      <c r="AH400" s="76"/>
      <c r="AI400" s="97">
        <v>1</v>
      </c>
      <c r="AJ400" s="97">
        <v>1</v>
      </c>
      <c r="AK400" s="73"/>
      <c r="AL400" s="57"/>
      <c r="AM400" s="45"/>
      <c r="AN400" s="45"/>
      <c r="AO400" s="45"/>
    </row>
    <row r="401" spans="1:41" outlineLevel="2" x14ac:dyDescent="0.25">
      <c r="A401" s="45"/>
      <c r="B401" s="54"/>
      <c r="C401" s="47">
        <f t="shared" si="102"/>
        <v>3</v>
      </c>
      <c r="D401" s="73"/>
      <c r="E401" s="70"/>
      <c r="F401" s="70" t="s">
        <v>2836</v>
      </c>
      <c r="G401" s="73"/>
      <c r="H401" s="76" t="s">
        <v>2842</v>
      </c>
      <c r="I401" s="96" t="s">
        <v>497</v>
      </c>
      <c r="J401" s="96"/>
      <c r="K401" s="97">
        <v>-0.53</v>
      </c>
      <c r="L401" s="97">
        <v>-0.53</v>
      </c>
      <c r="M401" s="97">
        <v>-0.53</v>
      </c>
      <c r="N401" s="97">
        <v>-0.53</v>
      </c>
      <c r="O401" s="97">
        <v>-0.53</v>
      </c>
      <c r="P401" s="97">
        <v>-0.53</v>
      </c>
      <c r="Q401" s="76"/>
      <c r="R401" s="76" t="s">
        <v>2816</v>
      </c>
      <c r="S401" s="76" t="s">
        <v>2816</v>
      </c>
      <c r="T401" s="76"/>
      <c r="U401" s="253">
        <f t="shared" si="105"/>
        <v>-0.53</v>
      </c>
      <c r="V401" s="253">
        <f t="shared" si="105"/>
        <v>-0.53</v>
      </c>
      <c r="W401" s="253">
        <f t="shared" si="105"/>
        <v>-0.53</v>
      </c>
      <c r="X401" s="253">
        <f t="shared" si="105"/>
        <v>-0.53</v>
      </c>
      <c r="Y401" s="253">
        <f t="shared" si="105"/>
        <v>-0.53</v>
      </c>
      <c r="Z401" s="253">
        <f t="shared" si="105"/>
        <v>-0.53</v>
      </c>
      <c r="AA401" s="253">
        <f t="shared" si="105"/>
        <v>-0.53</v>
      </c>
      <c r="AB401" s="253">
        <f t="shared" si="105"/>
        <v>-0.53</v>
      </c>
      <c r="AC401" s="253">
        <f t="shared" si="105"/>
        <v>-0.53</v>
      </c>
      <c r="AD401" s="253">
        <f t="shared" si="105"/>
        <v>-0.53</v>
      </c>
      <c r="AE401" s="253">
        <f t="shared" si="105"/>
        <v>-0.53</v>
      </c>
      <c r="AF401" s="76"/>
      <c r="AG401" s="76"/>
      <c r="AH401" s="76"/>
      <c r="AI401" s="97">
        <v>1</v>
      </c>
      <c r="AJ401" s="97">
        <v>1</v>
      </c>
      <c r="AK401" s="73"/>
      <c r="AL401" s="57"/>
      <c r="AM401" s="45"/>
      <c r="AN401" s="45"/>
      <c r="AO401" s="45"/>
    </row>
    <row r="402" spans="1:41" outlineLevel="2" x14ac:dyDescent="0.25">
      <c r="A402" s="45"/>
      <c r="B402" s="54"/>
      <c r="C402" s="47">
        <f t="shared" si="102"/>
        <v>3</v>
      </c>
      <c r="D402" s="73"/>
      <c r="E402" s="70"/>
      <c r="F402" s="70" t="s">
        <v>3228</v>
      </c>
      <c r="G402" s="73"/>
      <c r="H402" s="76" t="s">
        <v>3250</v>
      </c>
      <c r="I402" s="96" t="s">
        <v>497</v>
      </c>
      <c r="J402" s="96"/>
      <c r="K402" s="281">
        <v>0.1</v>
      </c>
      <c r="L402" s="281">
        <v>0.1</v>
      </c>
      <c r="M402" s="281">
        <v>0.1</v>
      </c>
      <c r="N402" s="281">
        <v>0.1</v>
      </c>
      <c r="O402" s="281">
        <v>0.1</v>
      </c>
      <c r="P402" s="281">
        <v>0.1</v>
      </c>
      <c r="Q402" s="76"/>
      <c r="R402" s="76" t="s">
        <v>3229</v>
      </c>
      <c r="S402" s="76" t="s">
        <v>3229</v>
      </c>
      <c r="T402" s="76"/>
      <c r="U402" s="253">
        <f t="shared" si="105"/>
        <v>0.1</v>
      </c>
      <c r="V402" s="253">
        <f t="shared" si="105"/>
        <v>0.1</v>
      </c>
      <c r="W402" s="253">
        <f t="shared" si="105"/>
        <v>0.1</v>
      </c>
      <c r="X402" s="253">
        <f t="shared" si="105"/>
        <v>0.1</v>
      </c>
      <c r="Y402" s="253">
        <f t="shared" si="105"/>
        <v>0.1</v>
      </c>
      <c r="Z402" s="253">
        <f t="shared" si="105"/>
        <v>0.1</v>
      </c>
      <c r="AA402" s="253">
        <f t="shared" si="105"/>
        <v>0.1</v>
      </c>
      <c r="AB402" s="253">
        <f t="shared" si="105"/>
        <v>0.1</v>
      </c>
      <c r="AC402" s="253">
        <f t="shared" si="105"/>
        <v>0.1</v>
      </c>
      <c r="AD402" s="253">
        <f t="shared" si="105"/>
        <v>0.1</v>
      </c>
      <c r="AE402" s="253">
        <f t="shared" si="105"/>
        <v>0.1</v>
      </c>
      <c r="AF402" s="76"/>
      <c r="AG402" s="76"/>
      <c r="AH402" s="76"/>
      <c r="AI402" s="97">
        <v>1</v>
      </c>
      <c r="AJ402" s="97">
        <v>1</v>
      </c>
      <c r="AK402" s="73"/>
      <c r="AL402" s="57"/>
      <c r="AM402" s="45"/>
      <c r="AN402" s="45"/>
      <c r="AO402" s="45"/>
    </row>
    <row r="403" spans="1:41" outlineLevel="2" x14ac:dyDescent="0.25">
      <c r="A403" s="45"/>
      <c r="B403" s="54"/>
      <c r="C403" s="47">
        <f t="shared" si="102"/>
        <v>3</v>
      </c>
      <c r="D403" s="73"/>
      <c r="E403" s="70"/>
      <c r="F403" s="70" t="s">
        <v>3252</v>
      </c>
      <c r="G403" s="73"/>
      <c r="H403" s="76" t="s">
        <v>3249</v>
      </c>
      <c r="I403" s="96" t="s">
        <v>497</v>
      </c>
      <c r="J403" s="96"/>
      <c r="K403" s="281">
        <f t="shared" ref="K403:P403" si="106">(K402*K$391*K$385) / (K402*K$391*K$385 + (1-K402)*K$392*K$386)</f>
        <v>0.12939001848428835</v>
      </c>
      <c r="L403" s="281">
        <f t="shared" si="106"/>
        <v>0.12939001848428835</v>
      </c>
      <c r="M403" s="281">
        <f t="shared" si="106"/>
        <v>0.12939001848428835</v>
      </c>
      <c r="N403" s="281">
        <f t="shared" si="106"/>
        <v>0.12939001848428835</v>
      </c>
      <c r="O403" s="281">
        <f t="shared" si="106"/>
        <v>0.12939001848428835</v>
      </c>
      <c r="P403" s="281">
        <f t="shared" si="106"/>
        <v>0.12939001848428835</v>
      </c>
      <c r="Q403" s="76"/>
      <c r="R403" s="76" t="s">
        <v>3251</v>
      </c>
      <c r="S403" s="76" t="s">
        <v>3229</v>
      </c>
      <c r="T403" s="76"/>
      <c r="U403" s="253">
        <f t="shared" si="105"/>
        <v>0.12939001848428835</v>
      </c>
      <c r="V403" s="253">
        <f t="shared" si="105"/>
        <v>0.12939001848428835</v>
      </c>
      <c r="W403" s="253">
        <f t="shared" si="105"/>
        <v>0.12939001848428835</v>
      </c>
      <c r="X403" s="253">
        <f t="shared" si="105"/>
        <v>0.12939001848428835</v>
      </c>
      <c r="Y403" s="253">
        <f t="shared" si="105"/>
        <v>0.12939001848428835</v>
      </c>
      <c r="Z403" s="253">
        <f t="shared" si="105"/>
        <v>0.12939001848428835</v>
      </c>
      <c r="AA403" s="253">
        <f t="shared" si="105"/>
        <v>0.12939001848428835</v>
      </c>
      <c r="AB403" s="253">
        <f t="shared" si="105"/>
        <v>0.12939001848428835</v>
      </c>
      <c r="AC403" s="253">
        <f t="shared" si="105"/>
        <v>0.12939001848428835</v>
      </c>
      <c r="AD403" s="253">
        <f t="shared" si="105"/>
        <v>0.12939001848428835</v>
      </c>
      <c r="AE403" s="253">
        <f t="shared" si="105"/>
        <v>0.12939001848428835</v>
      </c>
      <c r="AF403" s="76"/>
      <c r="AG403" s="76"/>
      <c r="AH403" s="76"/>
      <c r="AI403" s="97">
        <v>1</v>
      </c>
      <c r="AJ403" s="97">
        <v>1</v>
      </c>
      <c r="AK403" s="73"/>
      <c r="AL403" s="57"/>
      <c r="AM403" s="45"/>
      <c r="AN403" s="45"/>
      <c r="AO403" s="45"/>
    </row>
    <row r="404" spans="1:41" outlineLevel="1" collapsed="1" x14ac:dyDescent="0.25">
      <c r="A404" s="45"/>
      <c r="B404" s="54"/>
      <c r="C404" s="47">
        <f>INT($C$29)+1</f>
        <v>2</v>
      </c>
      <c r="D404" s="73"/>
      <c r="E404" s="70"/>
      <c r="F404" s="256" t="s">
        <v>969</v>
      </c>
      <c r="G404" s="73"/>
      <c r="H404" s="246" t="s">
        <v>970</v>
      </c>
      <c r="I404" s="96"/>
      <c r="J404" s="96" t="s">
        <v>514</v>
      </c>
      <c r="K404" s="79">
        <v>6</v>
      </c>
      <c r="L404" s="76"/>
      <c r="M404" s="79">
        <v>0</v>
      </c>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3"/>
      <c r="AL404" s="57"/>
      <c r="AM404" s="45"/>
      <c r="AN404" s="45"/>
      <c r="AO404" s="45"/>
    </row>
    <row r="405" spans="1:41" hidden="1" outlineLevel="3" x14ac:dyDescent="0.25">
      <c r="A405" s="45"/>
      <c r="B405" s="54"/>
      <c r="C405" s="47">
        <f>INT($C$29)+3</f>
        <v>4</v>
      </c>
      <c r="D405" s="73"/>
      <c r="E405" s="70" t="s">
        <v>971</v>
      </c>
      <c r="F405" s="70" t="s">
        <v>972</v>
      </c>
      <c r="G405" s="73"/>
      <c r="H405" s="76" t="s">
        <v>491</v>
      </c>
      <c r="I405" s="96"/>
      <c r="J405" s="9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v>1</v>
      </c>
      <c r="AJ405" s="76">
        <v>1</v>
      </c>
      <c r="AK405" s="73"/>
      <c r="AL405" s="57"/>
      <c r="AM405" s="45"/>
      <c r="AN405" s="45"/>
      <c r="AO405" s="45"/>
    </row>
    <row r="406" spans="1:41" hidden="1" outlineLevel="2" x14ac:dyDescent="0.25">
      <c r="A406" s="45"/>
      <c r="B406" s="54"/>
      <c r="C406" s="47">
        <f>INT($C$29)+2</f>
        <v>3</v>
      </c>
      <c r="D406" s="73"/>
      <c r="E406" s="70"/>
      <c r="F406" s="70" t="s">
        <v>973</v>
      </c>
      <c r="G406" s="73"/>
      <c r="H406" s="76" t="s">
        <v>2346</v>
      </c>
      <c r="I406" s="96" t="s">
        <v>2961</v>
      </c>
      <c r="J406" s="96"/>
      <c r="K406" s="97">
        <v>1.84E-2</v>
      </c>
      <c r="L406" s="97">
        <v>1.84E-2</v>
      </c>
      <c r="M406" s="97">
        <v>1.84E-2</v>
      </c>
      <c r="N406" s="97">
        <v>1.84E-2</v>
      </c>
      <c r="O406" s="97">
        <v>1.84E-2</v>
      </c>
      <c r="P406" s="97">
        <v>1.84E-2</v>
      </c>
      <c r="Q406" s="76"/>
      <c r="R406" s="76" t="s">
        <v>2960</v>
      </c>
      <c r="S406" s="76"/>
      <c r="T406" s="76"/>
      <c r="U406" s="253">
        <f t="shared" ref="U406:AE410" si="107">INDEX($K406:$Q406,1,U$43)</f>
        <v>1.84E-2</v>
      </c>
      <c r="V406" s="253">
        <f t="shared" si="107"/>
        <v>1.84E-2</v>
      </c>
      <c r="W406" s="253">
        <f t="shared" si="107"/>
        <v>1.84E-2</v>
      </c>
      <c r="X406" s="253">
        <f t="shared" si="107"/>
        <v>1.84E-2</v>
      </c>
      <c r="Y406" s="253">
        <f t="shared" si="107"/>
        <v>1.84E-2</v>
      </c>
      <c r="Z406" s="253">
        <f t="shared" si="107"/>
        <v>1.84E-2</v>
      </c>
      <c r="AA406" s="253">
        <f t="shared" si="107"/>
        <v>1.84E-2</v>
      </c>
      <c r="AB406" s="253">
        <f t="shared" si="107"/>
        <v>1.84E-2</v>
      </c>
      <c r="AC406" s="253">
        <f t="shared" si="107"/>
        <v>1.84E-2</v>
      </c>
      <c r="AD406" s="253">
        <f t="shared" si="107"/>
        <v>1.84E-2</v>
      </c>
      <c r="AE406" s="253">
        <f t="shared" si="107"/>
        <v>1.84E-2</v>
      </c>
      <c r="AF406" s="76"/>
      <c r="AG406" s="76"/>
      <c r="AH406" s="76"/>
      <c r="AI406" s="97">
        <v>1</v>
      </c>
      <c r="AJ406" s="97">
        <v>1</v>
      </c>
      <c r="AK406" s="73"/>
      <c r="AL406" s="57"/>
      <c r="AM406" s="45"/>
      <c r="AN406" s="45"/>
      <c r="AO406" s="45"/>
    </row>
    <row r="407" spans="1:41" hidden="1" outlineLevel="2" x14ac:dyDescent="0.25">
      <c r="A407" s="45"/>
      <c r="B407" s="54"/>
      <c r="C407" s="47">
        <f>INT($C$29)+2</f>
        <v>3</v>
      </c>
      <c r="D407" s="73"/>
      <c r="E407" s="70"/>
      <c r="F407" s="70" t="s">
        <v>974</v>
      </c>
      <c r="G407" s="73"/>
      <c r="H407" s="76" t="s">
        <v>2350</v>
      </c>
      <c r="I407" s="96" t="s">
        <v>497</v>
      </c>
      <c r="J407" s="96"/>
      <c r="K407" s="97">
        <v>13</v>
      </c>
      <c r="L407" s="97">
        <v>13</v>
      </c>
      <c r="M407" s="97">
        <v>13</v>
      </c>
      <c r="N407" s="97">
        <v>13</v>
      </c>
      <c r="O407" s="97">
        <v>13</v>
      </c>
      <c r="P407" s="97">
        <v>13</v>
      </c>
      <c r="Q407" s="76"/>
      <c r="R407" s="76"/>
      <c r="S407" s="76"/>
      <c r="T407" s="76"/>
      <c r="U407" s="253">
        <f t="shared" si="107"/>
        <v>13</v>
      </c>
      <c r="V407" s="253">
        <f t="shared" si="107"/>
        <v>13</v>
      </c>
      <c r="W407" s="253">
        <f t="shared" si="107"/>
        <v>13</v>
      </c>
      <c r="X407" s="253">
        <f t="shared" si="107"/>
        <v>13</v>
      </c>
      <c r="Y407" s="253">
        <f t="shared" si="107"/>
        <v>13</v>
      </c>
      <c r="Z407" s="253">
        <f t="shared" si="107"/>
        <v>13</v>
      </c>
      <c r="AA407" s="253">
        <f t="shared" si="107"/>
        <v>13</v>
      </c>
      <c r="AB407" s="253">
        <f t="shared" si="107"/>
        <v>13</v>
      </c>
      <c r="AC407" s="253">
        <f t="shared" si="107"/>
        <v>13</v>
      </c>
      <c r="AD407" s="253">
        <f t="shared" si="107"/>
        <v>13</v>
      </c>
      <c r="AE407" s="253">
        <f t="shared" si="107"/>
        <v>13</v>
      </c>
      <c r="AF407" s="76"/>
      <c r="AG407" s="76"/>
      <c r="AH407" s="76"/>
      <c r="AI407" s="97">
        <v>1</v>
      </c>
      <c r="AJ407" s="97">
        <v>1</v>
      </c>
      <c r="AK407" s="73"/>
      <c r="AL407" s="57"/>
      <c r="AM407" s="45"/>
      <c r="AN407" s="45"/>
      <c r="AO407" s="45"/>
    </row>
    <row r="408" spans="1:41" hidden="1" outlineLevel="2" x14ac:dyDescent="0.25">
      <c r="A408" s="45"/>
      <c r="B408" s="54"/>
      <c r="C408" s="47">
        <f>INT($C$29)+2</f>
        <v>3</v>
      </c>
      <c r="D408" s="73"/>
      <c r="E408" s="70"/>
      <c r="F408" s="70" t="s">
        <v>975</v>
      </c>
      <c r="G408" s="73"/>
      <c r="H408" s="76" t="s">
        <v>2347</v>
      </c>
      <c r="I408" s="96" t="s">
        <v>621</v>
      </c>
      <c r="J408" s="96"/>
      <c r="K408" s="97">
        <v>7.52</v>
      </c>
      <c r="L408" s="97">
        <v>7.52</v>
      </c>
      <c r="M408" s="97">
        <v>7.52</v>
      </c>
      <c r="N408" s="97">
        <v>7.52</v>
      </c>
      <c r="O408" s="97">
        <v>7.52</v>
      </c>
      <c r="P408" s="97">
        <v>7.52</v>
      </c>
      <c r="Q408" s="76"/>
      <c r="R408" s="76"/>
      <c r="S408" s="76"/>
      <c r="T408" s="76"/>
      <c r="U408" s="253">
        <f t="shared" si="107"/>
        <v>7.52</v>
      </c>
      <c r="V408" s="253">
        <f t="shared" si="107"/>
        <v>7.52</v>
      </c>
      <c r="W408" s="253">
        <f t="shared" si="107"/>
        <v>7.52</v>
      </c>
      <c r="X408" s="253">
        <f t="shared" si="107"/>
        <v>7.52</v>
      </c>
      <c r="Y408" s="253">
        <f t="shared" si="107"/>
        <v>7.52</v>
      </c>
      <c r="Z408" s="253">
        <f t="shared" si="107"/>
        <v>7.52</v>
      </c>
      <c r="AA408" s="253">
        <f t="shared" si="107"/>
        <v>7.52</v>
      </c>
      <c r="AB408" s="253">
        <f t="shared" si="107"/>
        <v>7.52</v>
      </c>
      <c r="AC408" s="253">
        <f t="shared" si="107"/>
        <v>7.52</v>
      </c>
      <c r="AD408" s="253">
        <f t="shared" si="107"/>
        <v>7.52</v>
      </c>
      <c r="AE408" s="253">
        <f t="shared" si="107"/>
        <v>7.52</v>
      </c>
      <c r="AF408" s="76"/>
      <c r="AG408" s="76"/>
      <c r="AH408" s="76"/>
      <c r="AI408" s="97">
        <v>1</v>
      </c>
      <c r="AJ408" s="97">
        <v>1</v>
      </c>
      <c r="AK408" s="73"/>
      <c r="AL408" s="57"/>
      <c r="AM408" s="45"/>
      <c r="AN408" s="45"/>
      <c r="AO408" s="45"/>
    </row>
    <row r="409" spans="1:41" hidden="1" outlineLevel="2" x14ac:dyDescent="0.25">
      <c r="A409" s="45"/>
      <c r="B409" s="54"/>
      <c r="C409" s="47">
        <f>INT($C$29)+2</f>
        <v>3</v>
      </c>
      <c r="D409" s="73"/>
      <c r="E409" s="70"/>
      <c r="F409" s="70" t="s">
        <v>976</v>
      </c>
      <c r="G409" s="73"/>
      <c r="H409" s="76" t="s">
        <v>2348</v>
      </c>
      <c r="I409" s="96" t="s">
        <v>497</v>
      </c>
      <c r="J409" s="96"/>
      <c r="K409" s="97">
        <v>23.7</v>
      </c>
      <c r="L409" s="97">
        <v>23.7</v>
      </c>
      <c r="M409" s="97">
        <v>23.7</v>
      </c>
      <c r="N409" s="97">
        <v>23.7</v>
      </c>
      <c r="O409" s="97">
        <v>23.7</v>
      </c>
      <c r="P409" s="97">
        <v>23.7</v>
      </c>
      <c r="Q409" s="76"/>
      <c r="R409" s="76"/>
      <c r="S409" s="76"/>
      <c r="T409" s="76"/>
      <c r="U409" s="253">
        <f t="shared" si="107"/>
        <v>23.7</v>
      </c>
      <c r="V409" s="253">
        <f t="shared" si="107"/>
        <v>23.7</v>
      </c>
      <c r="W409" s="253">
        <f t="shared" si="107"/>
        <v>23.7</v>
      </c>
      <c r="X409" s="253">
        <f t="shared" si="107"/>
        <v>23.7</v>
      </c>
      <c r="Y409" s="253">
        <f t="shared" si="107"/>
        <v>23.7</v>
      </c>
      <c r="Z409" s="253">
        <f t="shared" si="107"/>
        <v>23.7</v>
      </c>
      <c r="AA409" s="253">
        <f t="shared" si="107"/>
        <v>23.7</v>
      </c>
      <c r="AB409" s="253">
        <f t="shared" si="107"/>
        <v>23.7</v>
      </c>
      <c r="AC409" s="253">
        <f t="shared" si="107"/>
        <v>23.7</v>
      </c>
      <c r="AD409" s="253">
        <f t="shared" si="107"/>
        <v>23.7</v>
      </c>
      <c r="AE409" s="253">
        <f t="shared" si="107"/>
        <v>23.7</v>
      </c>
      <c r="AF409" s="76"/>
      <c r="AG409" s="76"/>
      <c r="AH409" s="76"/>
      <c r="AI409" s="97">
        <v>1</v>
      </c>
      <c r="AJ409" s="97">
        <v>1</v>
      </c>
      <c r="AK409" s="73"/>
      <c r="AL409" s="57"/>
      <c r="AM409" s="45"/>
      <c r="AN409" s="45"/>
      <c r="AO409" s="45"/>
    </row>
    <row r="410" spans="1:41" hidden="1" outlineLevel="2" x14ac:dyDescent="0.25">
      <c r="A410" s="45"/>
      <c r="B410" s="54"/>
      <c r="C410" s="47">
        <f>INT($C$29)+2</f>
        <v>3</v>
      </c>
      <c r="D410" s="73"/>
      <c r="E410" s="70"/>
      <c r="F410" s="70" t="s">
        <v>977</v>
      </c>
      <c r="G410" s="73"/>
      <c r="H410" s="76" t="s">
        <v>2349</v>
      </c>
      <c r="I410" s="96" t="s">
        <v>621</v>
      </c>
      <c r="J410" s="96"/>
      <c r="K410" s="97">
        <v>3.36</v>
      </c>
      <c r="L410" s="97">
        <v>3.36</v>
      </c>
      <c r="M410" s="97">
        <v>3.36</v>
      </c>
      <c r="N410" s="97">
        <v>3.36</v>
      </c>
      <c r="O410" s="97">
        <v>3.36</v>
      </c>
      <c r="P410" s="97">
        <v>3.36</v>
      </c>
      <c r="Q410" s="76"/>
      <c r="R410" s="76"/>
      <c r="S410" s="76"/>
      <c r="T410" s="76"/>
      <c r="U410" s="253">
        <f t="shared" si="107"/>
        <v>3.36</v>
      </c>
      <c r="V410" s="253">
        <f t="shared" si="107"/>
        <v>3.36</v>
      </c>
      <c r="W410" s="253">
        <f t="shared" si="107"/>
        <v>3.36</v>
      </c>
      <c r="X410" s="253">
        <f t="shared" si="107"/>
        <v>3.36</v>
      </c>
      <c r="Y410" s="253">
        <f t="shared" si="107"/>
        <v>3.36</v>
      </c>
      <c r="Z410" s="253">
        <f t="shared" si="107"/>
        <v>3.36</v>
      </c>
      <c r="AA410" s="253">
        <f t="shared" si="107"/>
        <v>3.36</v>
      </c>
      <c r="AB410" s="253">
        <f t="shared" si="107"/>
        <v>3.36</v>
      </c>
      <c r="AC410" s="253">
        <f t="shared" si="107"/>
        <v>3.36</v>
      </c>
      <c r="AD410" s="253">
        <f t="shared" si="107"/>
        <v>3.36</v>
      </c>
      <c r="AE410" s="253">
        <f t="shared" si="107"/>
        <v>3.36</v>
      </c>
      <c r="AF410" s="76"/>
      <c r="AG410" s="76"/>
      <c r="AH410" s="76"/>
      <c r="AI410" s="97">
        <v>1</v>
      </c>
      <c r="AJ410" s="97">
        <v>1</v>
      </c>
      <c r="AK410" s="73"/>
      <c r="AL410" s="57"/>
      <c r="AM410" s="45"/>
      <c r="AN410" s="45"/>
      <c r="AO410" s="45"/>
    </row>
    <row r="411" spans="1:41" outlineLevel="1" collapsed="1" x14ac:dyDescent="0.25">
      <c r="A411" s="45"/>
      <c r="B411" s="54"/>
      <c r="C411" s="47">
        <f>INT($C$29)+1</f>
        <v>2</v>
      </c>
      <c r="D411" s="73"/>
      <c r="E411" s="70"/>
      <c r="F411" s="256" t="s">
        <v>410</v>
      </c>
      <c r="G411" s="73"/>
      <c r="H411" s="246" t="s">
        <v>978</v>
      </c>
      <c r="I411" s="96"/>
      <c r="J411" s="96" t="s">
        <v>514</v>
      </c>
      <c r="K411" s="79">
        <v>7</v>
      </c>
      <c r="L411" s="76"/>
      <c r="M411" s="79">
        <v>0</v>
      </c>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3"/>
      <c r="AL411" s="57"/>
      <c r="AM411" s="45"/>
      <c r="AN411" s="45"/>
      <c r="AO411" s="45"/>
    </row>
    <row r="412" spans="1:41" hidden="1" outlineLevel="3" x14ac:dyDescent="0.25">
      <c r="A412" s="45"/>
      <c r="B412" s="54"/>
      <c r="C412" s="47">
        <f>INT($C$29)+2</f>
        <v>3</v>
      </c>
      <c r="D412" s="73"/>
      <c r="E412" s="70" t="s">
        <v>979</v>
      </c>
      <c r="F412" s="70" t="s">
        <v>980</v>
      </c>
      <c r="G412" s="73"/>
      <c r="H412" s="76" t="s">
        <v>491</v>
      </c>
      <c r="I412" s="96"/>
      <c r="J412" s="96"/>
      <c r="K412" s="76"/>
      <c r="L412" s="76"/>
      <c r="M412" s="76"/>
      <c r="N412" s="76"/>
      <c r="O412" s="76"/>
      <c r="P412" s="76"/>
      <c r="Q412" s="76"/>
      <c r="R412" s="76"/>
      <c r="S412" s="76"/>
      <c r="T412" s="76"/>
      <c r="U412" s="76"/>
      <c r="V412" s="76"/>
      <c r="W412" s="76"/>
      <c r="X412" s="76"/>
      <c r="Y412" s="76"/>
      <c r="Z412" s="76"/>
      <c r="AA412" s="76"/>
      <c r="AB412" s="76"/>
      <c r="AC412" s="76"/>
      <c r="AD412" s="76"/>
      <c r="AE412" s="76"/>
      <c r="AF412" s="76"/>
      <c r="AG412" s="76"/>
      <c r="AH412" s="76"/>
      <c r="AI412" s="76">
        <v>1</v>
      </c>
      <c r="AJ412" s="76">
        <v>1</v>
      </c>
      <c r="AK412" s="73"/>
      <c r="AL412" s="57"/>
      <c r="AM412" s="45"/>
      <c r="AN412" s="45"/>
      <c r="AO412" s="45"/>
    </row>
    <row r="413" spans="1:41" hidden="1" outlineLevel="2" collapsed="1" x14ac:dyDescent="0.25">
      <c r="A413" s="45"/>
      <c r="B413" s="54"/>
      <c r="C413" s="47">
        <f>INT($C$29)+3</f>
        <v>4</v>
      </c>
      <c r="D413" s="73"/>
      <c r="E413" s="70"/>
      <c r="F413" s="70" t="s">
        <v>2560</v>
      </c>
      <c r="G413" s="73"/>
      <c r="H413" s="76" t="s">
        <v>2353</v>
      </c>
      <c r="I413" s="96" t="s">
        <v>497</v>
      </c>
      <c r="J413" s="96"/>
      <c r="K413" s="97">
        <v>9.375E-2</v>
      </c>
      <c r="L413" s="97">
        <v>0.20499999999999999</v>
      </c>
      <c r="M413" s="97">
        <v>0</v>
      </c>
      <c r="N413" s="97">
        <v>0</v>
      </c>
      <c r="O413" s="97">
        <v>0</v>
      </c>
      <c r="P413" s="97">
        <v>0</v>
      </c>
      <c r="Q413" s="76"/>
      <c r="R413" s="97" t="s">
        <v>2555</v>
      </c>
      <c r="S413" s="76"/>
      <c r="T413" s="76"/>
      <c r="U413" s="253">
        <f t="shared" ref="U413:AE413" si="108">INDEX($K413:$Q413,1,U$43)</f>
        <v>9.375E-2</v>
      </c>
      <c r="V413" s="253">
        <f t="shared" si="108"/>
        <v>9.375E-2</v>
      </c>
      <c r="W413" s="253">
        <f t="shared" si="108"/>
        <v>9.375E-2</v>
      </c>
      <c r="X413" s="253">
        <f t="shared" si="108"/>
        <v>9.375E-2</v>
      </c>
      <c r="Y413" s="253">
        <f t="shared" si="108"/>
        <v>9.375E-2</v>
      </c>
      <c r="Z413" s="253">
        <f t="shared" si="108"/>
        <v>9.375E-2</v>
      </c>
      <c r="AA413" s="253">
        <f t="shared" si="108"/>
        <v>9.375E-2</v>
      </c>
      <c r="AB413" s="253">
        <f t="shared" si="108"/>
        <v>0.20499999999999999</v>
      </c>
      <c r="AC413" s="253">
        <f t="shared" si="108"/>
        <v>0.20499999999999999</v>
      </c>
      <c r="AD413" s="253">
        <f t="shared" si="108"/>
        <v>0.20499999999999999</v>
      </c>
      <c r="AE413" s="253">
        <f t="shared" si="108"/>
        <v>0.20499999999999999</v>
      </c>
      <c r="AF413" s="76"/>
      <c r="AG413" s="76"/>
      <c r="AH413" s="76"/>
      <c r="AI413" s="97">
        <v>1</v>
      </c>
      <c r="AJ413" s="97">
        <v>1</v>
      </c>
      <c r="AK413" s="73"/>
      <c r="AL413" s="57"/>
      <c r="AM413" s="45"/>
      <c r="AN413" s="45"/>
      <c r="AO413" s="45"/>
    </row>
    <row r="414" spans="1:41" hidden="1" outlineLevel="3" x14ac:dyDescent="0.25">
      <c r="A414" s="45"/>
      <c r="B414" s="54"/>
      <c r="C414" s="47">
        <f>INT($C$29)+3</f>
        <v>4</v>
      </c>
      <c r="D414" s="73"/>
      <c r="E414" s="70"/>
      <c r="F414" s="70" t="s">
        <v>981</v>
      </c>
      <c r="G414" s="73"/>
      <c r="H414" s="76" t="s">
        <v>982</v>
      </c>
      <c r="I414" s="96" t="s">
        <v>497</v>
      </c>
      <c r="J414" s="96"/>
      <c r="K414" s="76"/>
      <c r="L414" s="76"/>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v>1</v>
      </c>
      <c r="AJ414" s="76">
        <v>1</v>
      </c>
      <c r="AK414" s="73"/>
      <c r="AL414" s="57"/>
      <c r="AM414" s="45"/>
      <c r="AN414" s="45"/>
      <c r="AO414" s="45"/>
    </row>
    <row r="415" spans="1:41" hidden="1" outlineLevel="3" x14ac:dyDescent="0.25">
      <c r="A415" s="45"/>
      <c r="B415" s="54"/>
      <c r="C415" s="47">
        <f>INT($C$29)+3</f>
        <v>4</v>
      </c>
      <c r="D415" s="73"/>
      <c r="E415" s="70"/>
      <c r="F415" s="70" t="s">
        <v>983</v>
      </c>
      <c r="G415" s="73"/>
      <c r="H415" s="76" t="s">
        <v>984</v>
      </c>
      <c r="I415" s="96" t="s">
        <v>497</v>
      </c>
      <c r="J415" s="96"/>
      <c r="K415" s="76"/>
      <c r="L415" s="76"/>
      <c r="M415" s="76"/>
      <c r="N415" s="76"/>
      <c r="O415" s="76"/>
      <c r="P415" s="76"/>
      <c r="Q415" s="76"/>
      <c r="R415" s="76"/>
      <c r="S415" s="76"/>
      <c r="T415" s="76"/>
      <c r="U415" s="76"/>
      <c r="V415" s="76"/>
      <c r="W415" s="76"/>
      <c r="X415" s="76"/>
      <c r="Y415" s="76"/>
      <c r="Z415" s="76"/>
      <c r="AA415" s="76"/>
      <c r="AB415" s="76"/>
      <c r="AC415" s="76"/>
      <c r="AD415" s="76"/>
      <c r="AE415" s="76"/>
      <c r="AF415" s="76"/>
      <c r="AG415" s="76"/>
      <c r="AH415" s="76"/>
      <c r="AI415" s="76">
        <v>1</v>
      </c>
      <c r="AJ415" s="76">
        <v>1</v>
      </c>
      <c r="AK415" s="73"/>
      <c r="AL415" s="57"/>
      <c r="AM415" s="45"/>
      <c r="AN415" s="45"/>
      <c r="AO415" s="45"/>
    </row>
    <row r="416" spans="1:41" hidden="1" outlineLevel="2" x14ac:dyDescent="0.25">
      <c r="A416" s="45"/>
      <c r="B416" s="54"/>
      <c r="C416" s="47">
        <f>INT($C$29)+2</f>
        <v>3</v>
      </c>
      <c r="D416" s="73"/>
      <c r="E416" s="70"/>
      <c r="F416" s="70" t="s">
        <v>985</v>
      </c>
      <c r="G416" s="73"/>
      <c r="H416" s="76" t="s">
        <v>986</v>
      </c>
      <c r="I416" s="96" t="s">
        <v>526</v>
      </c>
      <c r="J416" s="96"/>
      <c r="K416" s="97">
        <v>17</v>
      </c>
      <c r="L416" s="97">
        <v>17</v>
      </c>
      <c r="M416" s="97">
        <v>21</v>
      </c>
      <c r="N416" s="97">
        <v>21</v>
      </c>
      <c r="O416" s="97">
        <v>21</v>
      </c>
      <c r="P416" s="97">
        <v>21</v>
      </c>
      <c r="Q416" s="76"/>
      <c r="R416" s="76"/>
      <c r="S416" s="76"/>
      <c r="T416" s="76"/>
      <c r="U416" s="253">
        <f t="shared" ref="U416:AE416" si="109">INDEX($K416:$Q416,1,U$43)</f>
        <v>17</v>
      </c>
      <c r="V416" s="253">
        <f t="shared" si="109"/>
        <v>17</v>
      </c>
      <c r="W416" s="253">
        <f t="shared" si="109"/>
        <v>17</v>
      </c>
      <c r="X416" s="253">
        <f t="shared" si="109"/>
        <v>17</v>
      </c>
      <c r="Y416" s="253">
        <f t="shared" si="109"/>
        <v>17</v>
      </c>
      <c r="Z416" s="253">
        <f t="shared" si="109"/>
        <v>17</v>
      </c>
      <c r="AA416" s="253">
        <f t="shared" si="109"/>
        <v>17</v>
      </c>
      <c r="AB416" s="253">
        <f t="shared" si="109"/>
        <v>17</v>
      </c>
      <c r="AC416" s="253">
        <f t="shared" si="109"/>
        <v>17</v>
      </c>
      <c r="AD416" s="253">
        <f t="shared" si="109"/>
        <v>17</v>
      </c>
      <c r="AE416" s="253">
        <f t="shared" si="109"/>
        <v>17</v>
      </c>
      <c r="AF416" s="76"/>
      <c r="AG416" s="76"/>
      <c r="AH416" s="76"/>
      <c r="AI416" s="97">
        <v>1</v>
      </c>
      <c r="AJ416" s="97">
        <v>1</v>
      </c>
      <c r="AK416" s="73"/>
      <c r="AL416" s="57"/>
      <c r="AM416" s="45"/>
      <c r="AN416" s="45"/>
      <c r="AO416" s="45"/>
    </row>
    <row r="417" spans="1:41" hidden="1" outlineLevel="2" x14ac:dyDescent="0.25">
      <c r="A417" s="45"/>
      <c r="B417" s="54"/>
      <c r="C417" s="47">
        <f>INT($C$29)+2</f>
        <v>3</v>
      </c>
      <c r="D417" s="73"/>
      <c r="E417" s="70"/>
      <c r="F417" s="70" t="s">
        <v>987</v>
      </c>
      <c r="G417" s="73"/>
      <c r="H417" s="76" t="s">
        <v>3787</v>
      </c>
      <c r="I417" s="96" t="s">
        <v>569</v>
      </c>
      <c r="J417" s="96"/>
      <c r="K417" s="76"/>
      <c r="L417" s="76"/>
      <c r="M417" s="76"/>
      <c r="N417" s="76"/>
      <c r="O417" s="76"/>
      <c r="P417" s="76"/>
      <c r="Q417" s="76"/>
      <c r="R417" s="76"/>
      <c r="S417" s="76"/>
      <c r="T417" s="76"/>
      <c r="U417" s="97">
        <v>0</v>
      </c>
      <c r="V417" s="97">
        <v>0</v>
      </c>
      <c r="W417" s="97">
        <v>0</v>
      </c>
      <c r="X417" s="97">
        <v>0</v>
      </c>
      <c r="Y417" s="97">
        <v>0</v>
      </c>
      <c r="Z417" s="97">
        <v>0</v>
      </c>
      <c r="AA417" s="97">
        <v>0</v>
      </c>
      <c r="AB417" s="97">
        <v>0</v>
      </c>
      <c r="AC417" s="97">
        <v>0</v>
      </c>
      <c r="AD417" s="97">
        <v>0</v>
      </c>
      <c r="AE417" s="97">
        <v>0</v>
      </c>
      <c r="AF417" s="76"/>
      <c r="AG417" s="97" t="s">
        <v>458</v>
      </c>
      <c r="AH417" s="76"/>
      <c r="AI417" s="97">
        <v>1</v>
      </c>
      <c r="AJ417" s="97">
        <v>1</v>
      </c>
      <c r="AK417" s="73"/>
      <c r="AL417" s="57"/>
      <c r="AM417" s="45"/>
      <c r="AN417" s="45"/>
      <c r="AO417" s="45"/>
    </row>
    <row r="418" spans="1:41" hidden="1" outlineLevel="2" x14ac:dyDescent="0.25">
      <c r="A418" s="45"/>
      <c r="B418" s="54"/>
      <c r="C418" s="47">
        <f>INT($C$29)+2</f>
        <v>3</v>
      </c>
      <c r="D418" s="73"/>
      <c r="E418" s="70"/>
      <c r="F418" s="70" t="s">
        <v>3786</v>
      </c>
      <c r="G418" s="73"/>
      <c r="H418" s="76" t="s">
        <v>3788</v>
      </c>
      <c r="I418" s="96" t="s">
        <v>569</v>
      </c>
      <c r="J418" s="96"/>
      <c r="K418" s="76"/>
      <c r="L418" s="76"/>
      <c r="M418" s="76"/>
      <c r="N418" s="76"/>
      <c r="O418" s="76"/>
      <c r="P418" s="76"/>
      <c r="Q418" s="76"/>
      <c r="R418" s="76"/>
      <c r="S418" s="76"/>
      <c r="T418" s="76"/>
      <c r="U418" s="97">
        <v>0.02</v>
      </c>
      <c r="V418" s="97">
        <v>0.02</v>
      </c>
      <c r="W418" s="97">
        <v>0.02</v>
      </c>
      <c r="X418" s="97">
        <v>0.02</v>
      </c>
      <c r="Y418" s="97">
        <v>0.02</v>
      </c>
      <c r="Z418" s="97">
        <v>0.02</v>
      </c>
      <c r="AA418" s="97">
        <v>0.02</v>
      </c>
      <c r="AB418" s="97">
        <v>0.02</v>
      </c>
      <c r="AC418" s="97">
        <v>0.02</v>
      </c>
      <c r="AD418" s="97">
        <v>0.02</v>
      </c>
      <c r="AE418" s="97">
        <v>0.02</v>
      </c>
      <c r="AF418" s="76"/>
      <c r="AG418" s="97" t="s">
        <v>458</v>
      </c>
      <c r="AH418" s="76"/>
      <c r="AI418" s="97">
        <v>1</v>
      </c>
      <c r="AJ418" s="97">
        <v>1</v>
      </c>
      <c r="AK418" s="73"/>
      <c r="AL418" s="57"/>
      <c r="AM418" s="45"/>
      <c r="AN418" s="45"/>
      <c r="AO418" s="45"/>
    </row>
    <row r="419" spans="1:41" outlineLevel="1" collapsed="1" x14ac:dyDescent="0.25">
      <c r="A419" s="45"/>
      <c r="B419" s="54"/>
      <c r="C419" s="47">
        <f>INT($C$29)+1</f>
        <v>2</v>
      </c>
      <c r="D419" s="73"/>
      <c r="E419" s="70"/>
      <c r="F419" s="256" t="s">
        <v>988</v>
      </c>
      <c r="G419" s="73"/>
      <c r="H419" s="246" t="s">
        <v>989</v>
      </c>
      <c r="I419" s="96"/>
      <c r="J419" s="96" t="s">
        <v>514</v>
      </c>
      <c r="K419" s="79">
        <v>27</v>
      </c>
      <c r="L419" s="76"/>
      <c r="M419" s="79">
        <v>0</v>
      </c>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3"/>
      <c r="AL419" s="57"/>
      <c r="AM419" s="45"/>
      <c r="AN419" s="45"/>
      <c r="AO419" s="45"/>
    </row>
    <row r="420" spans="1:41" hidden="1" outlineLevel="3" x14ac:dyDescent="0.25">
      <c r="A420" s="45"/>
      <c r="B420" s="54"/>
      <c r="C420" s="47">
        <f>INT($C$29)+3</f>
        <v>4</v>
      </c>
      <c r="D420" s="73"/>
      <c r="E420" s="70" t="s">
        <v>990</v>
      </c>
      <c r="F420" s="70" t="s">
        <v>991</v>
      </c>
      <c r="G420" s="73"/>
      <c r="H420" s="76" t="s">
        <v>491</v>
      </c>
      <c r="I420" s="96"/>
      <c r="J420" s="9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v>1</v>
      </c>
      <c r="AJ420" s="76">
        <v>1</v>
      </c>
      <c r="AK420" s="73"/>
      <c r="AL420" s="57"/>
      <c r="AM420" s="45"/>
      <c r="AN420" s="45"/>
      <c r="AO420" s="45"/>
    </row>
    <row r="421" spans="1:41" hidden="1" outlineLevel="2" x14ac:dyDescent="0.25">
      <c r="A421" s="45"/>
      <c r="B421" s="54"/>
      <c r="C421" s="47">
        <f>INT($C$29)+2</f>
        <v>3</v>
      </c>
      <c r="D421" s="73"/>
      <c r="E421" s="70"/>
      <c r="F421" s="70" t="s">
        <v>992</v>
      </c>
      <c r="G421" s="73"/>
      <c r="H421" s="76" t="s">
        <v>993</v>
      </c>
      <c r="I421" s="96" t="s">
        <v>2209</v>
      </c>
      <c r="J421" s="96"/>
      <c r="K421" s="260">
        <f>0.03/365</f>
        <v>8.219178082191781E-5</v>
      </c>
      <c r="L421" s="260">
        <f>0.03/365</f>
        <v>8.219178082191781E-5</v>
      </c>
      <c r="M421" s="260">
        <v>5.5300000000000002E-5</v>
      </c>
      <c r="N421" s="260">
        <v>5.5300000000000002E-5</v>
      </c>
      <c r="O421" s="260">
        <v>5.5300000000000002E-5</v>
      </c>
      <c r="P421" s="260">
        <v>5.5300000000000002E-5</v>
      </c>
      <c r="Q421" s="76"/>
      <c r="R421" s="76" t="s">
        <v>2725</v>
      </c>
      <c r="S421" s="76" t="s">
        <v>545</v>
      </c>
      <c r="T421" s="76" t="s">
        <v>3273</v>
      </c>
      <c r="U421" s="253">
        <f t="shared" ref="U421:AA423" si="110">INDEX($K421:$Q421,1,U$43)</f>
        <v>8.219178082191781E-5</v>
      </c>
      <c r="V421" s="253">
        <f t="shared" si="110"/>
        <v>8.219178082191781E-5</v>
      </c>
      <c r="W421" s="260">
        <f t="shared" si="110"/>
        <v>8.219178082191781E-5</v>
      </c>
      <c r="X421" s="260">
        <f t="shared" si="110"/>
        <v>8.219178082191781E-5</v>
      </c>
      <c r="Y421" s="260">
        <f t="shared" si="110"/>
        <v>8.219178082191781E-5</v>
      </c>
      <c r="Z421" s="260">
        <f t="shared" si="110"/>
        <v>8.219178082191781E-5</v>
      </c>
      <c r="AA421" s="260">
        <f t="shared" si="110"/>
        <v>8.219178082191781E-5</v>
      </c>
      <c r="AB421" s="253">
        <f t="shared" ref="AB421:AE423" si="111">INDEX($K421:$Q421,1,AB$43)</f>
        <v>8.219178082191781E-5</v>
      </c>
      <c r="AC421" s="253">
        <f t="shared" si="111"/>
        <v>8.219178082191781E-5</v>
      </c>
      <c r="AD421" s="253">
        <f t="shared" si="111"/>
        <v>8.219178082191781E-5</v>
      </c>
      <c r="AE421" s="253">
        <f t="shared" si="111"/>
        <v>8.219178082191781E-5</v>
      </c>
      <c r="AF421" s="76"/>
      <c r="AG421" s="76"/>
      <c r="AH421" s="76"/>
      <c r="AI421" s="97">
        <v>1</v>
      </c>
      <c r="AJ421" s="97">
        <v>1</v>
      </c>
      <c r="AK421" s="73"/>
      <c r="AL421" s="57"/>
      <c r="AM421" s="45"/>
      <c r="AN421" s="45"/>
      <c r="AO421" s="45"/>
    </row>
    <row r="422" spans="1:41" hidden="1" outlineLevel="2" x14ac:dyDescent="0.25">
      <c r="A422" s="45"/>
      <c r="B422" s="54"/>
      <c r="C422" s="47">
        <f>INT($C$29)+2</f>
        <v>3</v>
      </c>
      <c r="D422" s="73"/>
      <c r="E422" s="70"/>
      <c r="F422" s="70" t="s">
        <v>994</v>
      </c>
      <c r="G422" s="73"/>
      <c r="H422" s="76" t="s">
        <v>995</v>
      </c>
      <c r="I422" s="96" t="s">
        <v>497</v>
      </c>
      <c r="J422" s="96"/>
      <c r="K422" s="97">
        <v>0.3</v>
      </c>
      <c r="L422" s="97">
        <v>0.3</v>
      </c>
      <c r="M422" s="97">
        <v>0.3</v>
      </c>
      <c r="N422" s="97">
        <v>0.3</v>
      </c>
      <c r="O422" s="97">
        <v>0.3</v>
      </c>
      <c r="P422" s="97">
        <v>0.3</v>
      </c>
      <c r="Q422" s="76"/>
      <c r="R422" s="76" t="s">
        <v>545</v>
      </c>
      <c r="S422" s="76" t="s">
        <v>545</v>
      </c>
      <c r="T422" s="76"/>
      <c r="U422" s="253">
        <f t="shared" si="110"/>
        <v>0.3</v>
      </c>
      <c r="V422" s="253">
        <f t="shared" si="110"/>
        <v>0.3</v>
      </c>
      <c r="W422" s="253">
        <f t="shared" ref="W422:Y423" si="112">INDEX($K422:$Q422,1,W$43)</f>
        <v>0.3</v>
      </c>
      <c r="X422" s="253">
        <f t="shared" si="112"/>
        <v>0.3</v>
      </c>
      <c r="Y422" s="253">
        <f t="shared" si="112"/>
        <v>0.3</v>
      </c>
      <c r="Z422" s="253">
        <f t="shared" si="110"/>
        <v>0.3</v>
      </c>
      <c r="AA422" s="253">
        <f t="shared" si="110"/>
        <v>0.3</v>
      </c>
      <c r="AB422" s="253">
        <f t="shared" si="111"/>
        <v>0.3</v>
      </c>
      <c r="AC422" s="253">
        <f t="shared" si="111"/>
        <v>0.3</v>
      </c>
      <c r="AD422" s="253">
        <f t="shared" si="111"/>
        <v>0.3</v>
      </c>
      <c r="AE422" s="253">
        <f t="shared" si="111"/>
        <v>0.3</v>
      </c>
      <c r="AF422" s="76"/>
      <c r="AG422" s="76"/>
      <c r="AH422" s="76"/>
      <c r="AI422" s="97">
        <v>1</v>
      </c>
      <c r="AJ422" s="97">
        <v>1</v>
      </c>
      <c r="AK422" s="73"/>
      <c r="AL422" s="57"/>
      <c r="AM422" s="45"/>
      <c r="AN422" s="45"/>
      <c r="AO422" s="45"/>
    </row>
    <row r="423" spans="1:41" hidden="1" outlineLevel="2" collapsed="1" x14ac:dyDescent="0.25">
      <c r="A423" s="45"/>
      <c r="B423" s="54"/>
      <c r="C423" s="47">
        <f>INT($C$29)+2</f>
        <v>3</v>
      </c>
      <c r="D423" s="73"/>
      <c r="E423" s="70"/>
      <c r="F423" s="70" t="s">
        <v>996</v>
      </c>
      <c r="G423" s="73"/>
      <c r="H423" s="76" t="s">
        <v>997</v>
      </c>
      <c r="I423" s="96" t="s">
        <v>497</v>
      </c>
      <c r="J423" s="96"/>
      <c r="K423" s="97">
        <v>0.6</v>
      </c>
      <c r="L423" s="97">
        <v>0.6</v>
      </c>
      <c r="M423" s="97">
        <v>0.6</v>
      </c>
      <c r="N423" s="97">
        <v>0.6</v>
      </c>
      <c r="O423" s="97">
        <v>0.6</v>
      </c>
      <c r="P423" s="97">
        <v>0.6</v>
      </c>
      <c r="Q423" s="76"/>
      <c r="R423" s="76" t="s">
        <v>545</v>
      </c>
      <c r="S423" s="76" t="s">
        <v>545</v>
      </c>
      <c r="T423" s="76"/>
      <c r="U423" s="253">
        <f t="shared" si="110"/>
        <v>0.6</v>
      </c>
      <c r="V423" s="253">
        <f t="shared" si="110"/>
        <v>0.6</v>
      </c>
      <c r="W423" s="253">
        <f t="shared" si="112"/>
        <v>0.6</v>
      </c>
      <c r="X423" s="253">
        <f t="shared" si="112"/>
        <v>0.6</v>
      </c>
      <c r="Y423" s="253">
        <f t="shared" si="112"/>
        <v>0.6</v>
      </c>
      <c r="Z423" s="253">
        <f t="shared" si="110"/>
        <v>0.6</v>
      </c>
      <c r="AA423" s="253">
        <f t="shared" si="110"/>
        <v>0.6</v>
      </c>
      <c r="AB423" s="253">
        <f t="shared" si="111"/>
        <v>0.6</v>
      </c>
      <c r="AC423" s="253">
        <f t="shared" si="111"/>
        <v>0.6</v>
      </c>
      <c r="AD423" s="253">
        <f t="shared" si="111"/>
        <v>0.6</v>
      </c>
      <c r="AE423" s="253">
        <f t="shared" si="111"/>
        <v>0.6</v>
      </c>
      <c r="AF423" s="76"/>
      <c r="AG423" s="76"/>
      <c r="AH423" s="76"/>
      <c r="AI423" s="97">
        <v>1</v>
      </c>
      <c r="AJ423" s="97">
        <v>1</v>
      </c>
      <c r="AK423" s="73"/>
      <c r="AL423" s="57"/>
      <c r="AM423" s="45"/>
      <c r="AN423" s="45"/>
      <c r="AO423" s="45"/>
    </row>
    <row r="424" spans="1:41" hidden="1" outlineLevel="3" x14ac:dyDescent="0.25">
      <c r="A424" s="45"/>
      <c r="B424" s="54"/>
      <c r="C424" s="47">
        <f>INT($C$29)+3</f>
        <v>4</v>
      </c>
      <c r="D424" s="73"/>
      <c r="E424" s="70"/>
      <c r="F424" s="70" t="s">
        <v>998</v>
      </c>
      <c r="G424" s="73"/>
      <c r="H424" s="76" t="s">
        <v>999</v>
      </c>
      <c r="I424" s="96" t="s">
        <v>497</v>
      </c>
      <c r="J424" s="96"/>
      <c r="K424" s="76"/>
      <c r="L424" s="76"/>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v>1</v>
      </c>
      <c r="AJ424" s="76">
        <v>1</v>
      </c>
      <c r="AK424" s="73"/>
      <c r="AL424" s="57"/>
      <c r="AM424" s="45"/>
      <c r="AN424" s="45"/>
      <c r="AO424" s="45"/>
    </row>
    <row r="425" spans="1:41" hidden="1" outlineLevel="3" x14ac:dyDescent="0.25">
      <c r="A425" s="45"/>
      <c r="B425" s="54"/>
      <c r="C425" s="47">
        <f>INT($C$29)+3</f>
        <v>4</v>
      </c>
      <c r="D425" s="73"/>
      <c r="E425" s="70"/>
      <c r="F425" s="70" t="s">
        <v>1000</v>
      </c>
      <c r="G425" s="73"/>
      <c r="H425" s="76" t="s">
        <v>1001</v>
      </c>
      <c r="I425" s="96" t="s">
        <v>497</v>
      </c>
      <c r="J425" s="96"/>
      <c r="K425" s="76"/>
      <c r="L425" s="76"/>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v>1</v>
      </c>
      <c r="AJ425" s="76">
        <v>1</v>
      </c>
      <c r="AK425" s="73"/>
      <c r="AL425" s="57"/>
      <c r="AM425" s="45"/>
      <c r="AN425" s="45"/>
      <c r="AO425" s="45"/>
    </row>
    <row r="426" spans="1:41" hidden="1" outlineLevel="3" x14ac:dyDescent="0.25">
      <c r="A426" s="45"/>
      <c r="B426" s="54"/>
      <c r="C426" s="47">
        <f>INT($C$29)+2</f>
        <v>3</v>
      </c>
      <c r="D426" s="73"/>
      <c r="E426" s="70"/>
      <c r="F426" s="70" t="s">
        <v>1002</v>
      </c>
      <c r="G426" s="73"/>
      <c r="H426" s="76" t="s">
        <v>1003</v>
      </c>
      <c r="I426" s="96" t="s">
        <v>497</v>
      </c>
      <c r="J426" s="96"/>
      <c r="K426" s="76"/>
      <c r="L426" s="76"/>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v>1</v>
      </c>
      <c r="AJ426" s="76">
        <v>1</v>
      </c>
      <c r="AK426" s="73"/>
      <c r="AL426" s="57"/>
      <c r="AM426" s="45"/>
      <c r="AN426" s="45"/>
      <c r="AO426" s="45"/>
    </row>
    <row r="427" spans="1:41" hidden="1" outlineLevel="3" x14ac:dyDescent="0.25">
      <c r="A427" s="45"/>
      <c r="B427" s="54"/>
      <c r="C427" s="47">
        <f>INT($C$29)+2</f>
        <v>3</v>
      </c>
      <c r="D427" s="73"/>
      <c r="E427" s="70"/>
      <c r="F427" s="70" t="s">
        <v>1004</v>
      </c>
      <c r="G427" s="73"/>
      <c r="H427" s="76" t="s">
        <v>1005</v>
      </c>
      <c r="I427" s="96" t="s">
        <v>497</v>
      </c>
      <c r="J427" s="96"/>
      <c r="K427" s="76"/>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v>1</v>
      </c>
      <c r="AJ427" s="76">
        <v>1</v>
      </c>
      <c r="AK427" s="73"/>
      <c r="AL427" s="57"/>
      <c r="AM427" s="45"/>
      <c r="AN427" s="45"/>
      <c r="AO427" s="45"/>
    </row>
    <row r="428" spans="1:41" hidden="1" outlineLevel="2" x14ac:dyDescent="0.25">
      <c r="A428" s="45"/>
      <c r="B428" s="54"/>
      <c r="C428" s="47">
        <f>INT($C$29)+2</f>
        <v>3</v>
      </c>
      <c r="D428" s="73"/>
      <c r="E428" s="70"/>
      <c r="F428" s="70" t="s">
        <v>1006</v>
      </c>
      <c r="G428" s="73"/>
      <c r="H428" s="76" t="s">
        <v>1007</v>
      </c>
      <c r="I428" s="96" t="s">
        <v>497</v>
      </c>
      <c r="J428" s="96"/>
      <c r="K428" s="76"/>
      <c r="L428" s="76"/>
      <c r="M428" s="97">
        <v>-40</v>
      </c>
      <c r="N428" s="97">
        <v>-40</v>
      </c>
      <c r="O428" s="97">
        <v>-40</v>
      </c>
      <c r="P428" s="97">
        <v>-40</v>
      </c>
      <c r="Q428" s="76"/>
      <c r="R428" s="76"/>
      <c r="S428" s="76" t="s">
        <v>554</v>
      </c>
      <c r="T428" s="76"/>
      <c r="U428" s="97">
        <v>-9.9499999999999993</v>
      </c>
      <c r="V428" s="97">
        <v>-9.9499999999999993</v>
      </c>
      <c r="W428" s="97">
        <v>-9.9499999999999993</v>
      </c>
      <c r="X428" s="97">
        <v>-9.9499999999999993</v>
      </c>
      <c r="Y428" s="97">
        <v>-9.9499999999999993</v>
      </c>
      <c r="Z428" s="97">
        <v>-9.9499999999999993</v>
      </c>
      <c r="AA428" s="97">
        <v>-9.9499999999999993</v>
      </c>
      <c r="AB428" s="97">
        <v>-8.9</v>
      </c>
      <c r="AC428" s="97">
        <v>-8.9</v>
      </c>
      <c r="AD428" s="97">
        <v>-8.9</v>
      </c>
      <c r="AE428" s="97">
        <v>-8.9</v>
      </c>
      <c r="AF428" s="76"/>
      <c r="AG428" s="97" t="s">
        <v>1008</v>
      </c>
      <c r="AH428" s="76"/>
      <c r="AI428" s="97">
        <v>1</v>
      </c>
      <c r="AJ428" s="97">
        <v>1</v>
      </c>
      <c r="AK428" s="73"/>
      <c r="AL428" s="57"/>
      <c r="AM428" s="45"/>
      <c r="AN428" s="45"/>
      <c r="AO428" s="45"/>
    </row>
    <row r="429" spans="1:41" hidden="1" outlineLevel="2" x14ac:dyDescent="0.25">
      <c r="A429" s="45"/>
      <c r="B429" s="54"/>
      <c r="C429" s="47">
        <f>INT($C$29)+2</f>
        <v>3</v>
      </c>
      <c r="D429" s="73"/>
      <c r="E429" s="70"/>
      <c r="F429" s="70" t="s">
        <v>1009</v>
      </c>
      <c r="G429" s="73"/>
      <c r="H429" s="76" t="s">
        <v>1010</v>
      </c>
      <c r="I429" s="96" t="s">
        <v>497</v>
      </c>
      <c r="J429" s="96"/>
      <c r="K429" s="76"/>
      <c r="L429" s="76"/>
      <c r="M429" s="97">
        <v>0</v>
      </c>
      <c r="N429" s="97">
        <v>0</v>
      </c>
      <c r="O429" s="97">
        <v>0</v>
      </c>
      <c r="P429" s="97">
        <v>0</v>
      </c>
      <c r="Q429" s="76"/>
      <c r="R429" s="76"/>
      <c r="S429" s="76"/>
      <c r="T429" s="76"/>
      <c r="U429" s="97">
        <v>1.71</v>
      </c>
      <c r="V429" s="97">
        <v>1.71</v>
      </c>
      <c r="W429" s="97">
        <v>1.71</v>
      </c>
      <c r="X429" s="97">
        <v>1.71</v>
      </c>
      <c r="Y429" s="97">
        <v>1.71</v>
      </c>
      <c r="Z429" s="97">
        <v>1.71</v>
      </c>
      <c r="AA429" s="97">
        <v>1.71</v>
      </c>
      <c r="AB429" s="97">
        <v>1.49</v>
      </c>
      <c r="AC429" s="97">
        <v>1.49</v>
      </c>
      <c r="AD429" s="97">
        <v>1.49</v>
      </c>
      <c r="AE429" s="97">
        <v>1.49</v>
      </c>
      <c r="AF429" s="76"/>
      <c r="AG429" s="97" t="s">
        <v>1008</v>
      </c>
      <c r="AH429" s="76"/>
      <c r="AI429" s="97">
        <v>1</v>
      </c>
      <c r="AJ429" s="97">
        <v>1</v>
      </c>
      <c r="AK429" s="73"/>
      <c r="AL429" s="57"/>
      <c r="AM429" s="45"/>
      <c r="AN429" s="45"/>
      <c r="AO429" s="45"/>
    </row>
    <row r="430" spans="1:41" hidden="1" outlineLevel="2" collapsed="1" x14ac:dyDescent="0.25">
      <c r="A430" s="45"/>
      <c r="B430" s="54"/>
      <c r="C430" s="47">
        <f>INT($C$29)+2</f>
        <v>3</v>
      </c>
      <c r="D430" s="73"/>
      <c r="E430" s="70"/>
      <c r="F430" s="70" t="s">
        <v>1011</v>
      </c>
      <c r="G430" s="73"/>
      <c r="H430" s="76" t="s">
        <v>1012</v>
      </c>
      <c r="I430" s="96" t="s">
        <v>497</v>
      </c>
      <c r="J430" s="96"/>
      <c r="K430" s="76"/>
      <c r="L430" s="76"/>
      <c r="M430" s="97">
        <v>0</v>
      </c>
      <c r="N430" s="97">
        <v>0</v>
      </c>
      <c r="O430" s="97">
        <v>0</v>
      </c>
      <c r="P430" s="97">
        <v>0</v>
      </c>
      <c r="Q430" s="76"/>
      <c r="R430" s="76"/>
      <c r="S430" s="76"/>
      <c r="T430" s="76"/>
      <c r="U430" s="97">
        <v>9.7999999999999997E-3</v>
      </c>
      <c r="V430" s="97">
        <v>9.7999999999999997E-3</v>
      </c>
      <c r="W430" s="97">
        <v>9.7999999999999997E-3</v>
      </c>
      <c r="X430" s="97">
        <v>9.7999999999999997E-3</v>
      </c>
      <c r="Y430" s="97">
        <v>9.7999999999999997E-3</v>
      </c>
      <c r="Z430" s="97">
        <v>9.7999999999999997E-3</v>
      </c>
      <c r="AA430" s="97">
        <v>9.7999999999999997E-3</v>
      </c>
      <c r="AB430" s="97">
        <v>8.0999999999999996E-3</v>
      </c>
      <c r="AC430" s="97">
        <v>8.0999999999999996E-3</v>
      </c>
      <c r="AD430" s="97">
        <v>8.0999999999999996E-3</v>
      </c>
      <c r="AE430" s="97">
        <v>8.0999999999999996E-3</v>
      </c>
      <c r="AF430" s="76"/>
      <c r="AG430" s="97" t="s">
        <v>1008</v>
      </c>
      <c r="AH430" s="76"/>
      <c r="AI430" s="97">
        <v>1</v>
      </c>
      <c r="AJ430" s="97">
        <v>1</v>
      </c>
      <c r="AK430" s="73"/>
      <c r="AL430" s="57"/>
      <c r="AM430" s="45"/>
      <c r="AN430" s="45"/>
      <c r="AO430" s="45"/>
    </row>
    <row r="431" spans="1:41" hidden="1" outlineLevel="3" x14ac:dyDescent="0.25">
      <c r="A431" s="45"/>
      <c r="B431" s="54"/>
      <c r="C431" s="47">
        <f>INT($C$29)+3</f>
        <v>4</v>
      </c>
      <c r="D431" s="73"/>
      <c r="E431" s="70"/>
      <c r="F431" s="70" t="s">
        <v>1013</v>
      </c>
      <c r="G431" s="73"/>
      <c r="H431" s="76" t="s">
        <v>1014</v>
      </c>
      <c r="I431" s="96"/>
      <c r="J431" s="96"/>
      <c r="K431" s="76"/>
      <c r="L431" s="76"/>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97">
        <v>1</v>
      </c>
      <c r="AJ431" s="97">
        <v>1</v>
      </c>
      <c r="AK431" s="73"/>
      <c r="AL431" s="57"/>
      <c r="AM431" s="45"/>
      <c r="AN431" s="45"/>
      <c r="AO431" s="45"/>
    </row>
    <row r="432" spans="1:41" hidden="1" outlineLevel="2" x14ac:dyDescent="0.25">
      <c r="A432" s="45"/>
      <c r="B432" s="54"/>
      <c r="C432" s="47">
        <f t="shared" ref="C432:C446" si="113">INT($C$29)+2</f>
        <v>3</v>
      </c>
      <c r="D432" s="73"/>
      <c r="E432" s="70"/>
      <c r="F432" s="70" t="s">
        <v>1015</v>
      </c>
      <c r="G432" s="73"/>
      <c r="H432" s="76" t="s">
        <v>1016</v>
      </c>
      <c r="I432" s="96" t="s">
        <v>497</v>
      </c>
      <c r="J432" s="96"/>
      <c r="K432" s="97">
        <v>0.1</v>
      </c>
      <c r="L432" s="97">
        <v>0.1</v>
      </c>
      <c r="M432" s="97">
        <v>0.1</v>
      </c>
      <c r="N432" s="97">
        <v>0.1</v>
      </c>
      <c r="O432" s="97">
        <v>0.1</v>
      </c>
      <c r="P432" s="97">
        <v>0.1</v>
      </c>
      <c r="Q432" s="76"/>
      <c r="R432" s="76" t="s">
        <v>1017</v>
      </c>
      <c r="S432" s="76"/>
      <c r="T432" s="76"/>
      <c r="U432" s="253">
        <f t="shared" ref="U432:AE432" si="114">INDEX($K432:$Q432,1,U$43)</f>
        <v>0.1</v>
      </c>
      <c r="V432" s="253">
        <f t="shared" si="114"/>
        <v>0.1</v>
      </c>
      <c r="W432" s="253">
        <f t="shared" si="114"/>
        <v>0.1</v>
      </c>
      <c r="X432" s="253">
        <f t="shared" si="114"/>
        <v>0.1</v>
      </c>
      <c r="Y432" s="253">
        <f t="shared" si="114"/>
        <v>0.1</v>
      </c>
      <c r="Z432" s="253">
        <f t="shared" si="114"/>
        <v>0.1</v>
      </c>
      <c r="AA432" s="253">
        <f t="shared" si="114"/>
        <v>0.1</v>
      </c>
      <c r="AB432" s="253">
        <f t="shared" si="114"/>
        <v>0.1</v>
      </c>
      <c r="AC432" s="253">
        <f t="shared" si="114"/>
        <v>0.1</v>
      </c>
      <c r="AD432" s="253">
        <f t="shared" si="114"/>
        <v>0.1</v>
      </c>
      <c r="AE432" s="253">
        <f t="shared" si="114"/>
        <v>0.1</v>
      </c>
      <c r="AF432" s="76"/>
      <c r="AG432" s="76"/>
      <c r="AH432" s="76"/>
      <c r="AI432" s="97">
        <v>1</v>
      </c>
      <c r="AJ432" s="97">
        <v>1</v>
      </c>
      <c r="AK432" s="73"/>
      <c r="AL432" s="57"/>
      <c r="AM432" s="45"/>
      <c r="AN432" s="45"/>
      <c r="AO432" s="45"/>
    </row>
    <row r="433" spans="1:41" hidden="1" outlineLevel="2" x14ac:dyDescent="0.25">
      <c r="A433" s="45"/>
      <c r="B433" s="54"/>
      <c r="C433" s="47">
        <f t="shared" si="113"/>
        <v>3</v>
      </c>
      <c r="D433" s="73"/>
      <c r="E433" s="70"/>
      <c r="F433" s="70" t="s">
        <v>1018</v>
      </c>
      <c r="G433" s="73"/>
      <c r="H433" s="374" t="s">
        <v>2726</v>
      </c>
      <c r="I433" s="96" t="s">
        <v>497</v>
      </c>
      <c r="J433" s="96"/>
      <c r="K433" s="76"/>
      <c r="L433" s="76"/>
      <c r="M433" s="76"/>
      <c r="N433" s="76"/>
      <c r="O433" s="76"/>
      <c r="P433" s="76"/>
      <c r="Q433" s="76"/>
      <c r="R433" s="76"/>
      <c r="S433" s="76"/>
      <c r="T433" s="76"/>
      <c r="U433" s="97">
        <f t="shared" ref="U433:AE433" si="115">0.1/365</f>
        <v>2.7397260273972606E-4</v>
      </c>
      <c r="V433" s="97">
        <f t="shared" si="115"/>
        <v>2.7397260273972606E-4</v>
      </c>
      <c r="W433" s="97">
        <f t="shared" si="115"/>
        <v>2.7397260273972606E-4</v>
      </c>
      <c r="X433" s="97">
        <f t="shared" si="115"/>
        <v>2.7397260273972606E-4</v>
      </c>
      <c r="Y433" s="97">
        <f t="shared" si="115"/>
        <v>2.7397260273972606E-4</v>
      </c>
      <c r="Z433" s="97">
        <f t="shared" si="115"/>
        <v>2.7397260273972606E-4</v>
      </c>
      <c r="AA433" s="97">
        <f t="shared" si="115"/>
        <v>2.7397260273972606E-4</v>
      </c>
      <c r="AB433" s="97">
        <f t="shared" si="115"/>
        <v>2.7397260273972606E-4</v>
      </c>
      <c r="AC433" s="97">
        <f t="shared" si="115"/>
        <v>2.7397260273972606E-4</v>
      </c>
      <c r="AD433" s="97">
        <f t="shared" si="115"/>
        <v>2.7397260273972606E-4</v>
      </c>
      <c r="AE433" s="97">
        <f t="shared" si="115"/>
        <v>2.7397260273972606E-4</v>
      </c>
      <c r="AF433" s="76"/>
      <c r="AG433" s="97" t="s">
        <v>1019</v>
      </c>
      <c r="AH433" s="76"/>
      <c r="AI433" s="97">
        <v>1</v>
      </c>
      <c r="AJ433" s="97">
        <v>1</v>
      </c>
      <c r="AK433" s="73"/>
      <c r="AL433" s="57"/>
      <c r="AM433" s="45"/>
      <c r="AN433" s="45"/>
      <c r="AO433" s="45"/>
    </row>
    <row r="434" spans="1:41" hidden="1" outlineLevel="2" x14ac:dyDescent="0.25">
      <c r="A434" s="45"/>
      <c r="B434" s="54"/>
      <c r="C434" s="47">
        <f t="shared" si="113"/>
        <v>3</v>
      </c>
      <c r="D434" s="73"/>
      <c r="E434" s="70"/>
      <c r="F434" s="70" t="s">
        <v>1020</v>
      </c>
      <c r="G434" s="73"/>
      <c r="H434" s="76" t="s">
        <v>1021</v>
      </c>
      <c r="I434" s="96" t="s">
        <v>497</v>
      </c>
      <c r="J434" s="96"/>
      <c r="K434" s="97">
        <v>300</v>
      </c>
      <c r="L434" s="97">
        <v>300</v>
      </c>
      <c r="M434" s="97">
        <v>300</v>
      </c>
      <c r="N434" s="97">
        <v>300</v>
      </c>
      <c r="O434" s="97">
        <v>300</v>
      </c>
      <c r="P434" s="97">
        <v>300</v>
      </c>
      <c r="Q434" s="76"/>
      <c r="R434" s="76"/>
      <c r="S434" s="76"/>
      <c r="T434" s="76"/>
      <c r="U434" s="253">
        <f t="shared" ref="U434:AE441" si="116">INDEX($K434:$Q434,1,U$43)</f>
        <v>300</v>
      </c>
      <c r="V434" s="253">
        <f t="shared" si="116"/>
        <v>300</v>
      </c>
      <c r="W434" s="253">
        <f t="shared" si="116"/>
        <v>300</v>
      </c>
      <c r="X434" s="253">
        <f t="shared" si="116"/>
        <v>300</v>
      </c>
      <c r="Y434" s="253">
        <f t="shared" si="116"/>
        <v>300</v>
      </c>
      <c r="Z434" s="253">
        <f t="shared" si="116"/>
        <v>300</v>
      </c>
      <c r="AA434" s="253">
        <f t="shared" si="116"/>
        <v>300</v>
      </c>
      <c r="AB434" s="253">
        <f t="shared" si="116"/>
        <v>300</v>
      </c>
      <c r="AC434" s="253">
        <f t="shared" si="116"/>
        <v>300</v>
      </c>
      <c r="AD434" s="253">
        <f t="shared" si="116"/>
        <v>300</v>
      </c>
      <c r="AE434" s="253">
        <f t="shared" si="116"/>
        <v>300</v>
      </c>
      <c r="AF434" s="76"/>
      <c r="AG434" s="76"/>
      <c r="AH434" s="76"/>
      <c r="AI434" s="97">
        <v>1</v>
      </c>
      <c r="AJ434" s="97">
        <v>1</v>
      </c>
      <c r="AK434" s="73"/>
      <c r="AL434" s="57"/>
      <c r="AM434" s="45"/>
      <c r="AN434" s="45"/>
      <c r="AO434" s="45"/>
    </row>
    <row r="435" spans="1:41" hidden="1" outlineLevel="2" x14ac:dyDescent="0.25">
      <c r="A435" s="45"/>
      <c r="B435" s="54"/>
      <c r="C435" s="47">
        <f t="shared" si="113"/>
        <v>3</v>
      </c>
      <c r="D435" s="73"/>
      <c r="E435" s="70"/>
      <c r="F435" s="70" t="s">
        <v>1022</v>
      </c>
      <c r="G435" s="73"/>
      <c r="H435" s="76" t="s">
        <v>1023</v>
      </c>
      <c r="I435" s="96" t="s">
        <v>497</v>
      </c>
      <c r="J435" s="96"/>
      <c r="K435" s="97">
        <v>365</v>
      </c>
      <c r="L435" s="97">
        <v>365</v>
      </c>
      <c r="M435" s="97">
        <v>365</v>
      </c>
      <c r="N435" s="97">
        <v>365</v>
      </c>
      <c r="O435" s="97">
        <v>365</v>
      </c>
      <c r="P435" s="97">
        <v>365</v>
      </c>
      <c r="Q435" s="76"/>
      <c r="R435" s="76"/>
      <c r="S435" s="76"/>
      <c r="T435" s="76"/>
      <c r="U435" s="253">
        <f t="shared" si="116"/>
        <v>365</v>
      </c>
      <c r="V435" s="253">
        <f t="shared" si="116"/>
        <v>365</v>
      </c>
      <c r="W435" s="253">
        <f t="shared" si="116"/>
        <v>365</v>
      </c>
      <c r="X435" s="253">
        <f t="shared" si="116"/>
        <v>365</v>
      </c>
      <c r="Y435" s="253">
        <f t="shared" si="116"/>
        <v>365</v>
      </c>
      <c r="Z435" s="253">
        <f t="shared" si="116"/>
        <v>365</v>
      </c>
      <c r="AA435" s="253">
        <f t="shared" si="116"/>
        <v>365</v>
      </c>
      <c r="AB435" s="253">
        <f t="shared" si="116"/>
        <v>365</v>
      </c>
      <c r="AC435" s="253">
        <f t="shared" si="116"/>
        <v>365</v>
      </c>
      <c r="AD435" s="253">
        <f t="shared" si="116"/>
        <v>365</v>
      </c>
      <c r="AE435" s="253">
        <f t="shared" si="116"/>
        <v>365</v>
      </c>
      <c r="AF435" s="76"/>
      <c r="AG435" s="76"/>
      <c r="AH435" s="76"/>
      <c r="AI435" s="97">
        <v>1</v>
      </c>
      <c r="AJ435" s="97">
        <v>1</v>
      </c>
      <c r="AK435" s="73"/>
      <c r="AL435" s="57"/>
      <c r="AM435" s="45"/>
      <c r="AN435" s="45"/>
      <c r="AO435" s="45"/>
    </row>
    <row r="436" spans="1:41" hidden="1" outlineLevel="2" x14ac:dyDescent="0.25">
      <c r="A436" s="45"/>
      <c r="B436" s="54"/>
      <c r="C436" s="47">
        <f t="shared" si="113"/>
        <v>3</v>
      </c>
      <c r="D436" s="73"/>
      <c r="E436" s="70"/>
      <c r="F436" s="70" t="s">
        <v>1024</v>
      </c>
      <c r="G436" s="73"/>
      <c r="H436" s="76" t="s">
        <v>1025</v>
      </c>
      <c r="I436" s="96" t="s">
        <v>497</v>
      </c>
      <c r="J436" s="96"/>
      <c r="K436" s="97">
        <v>0.2</v>
      </c>
      <c r="L436" s="97">
        <v>0.2</v>
      </c>
      <c r="M436" s="97"/>
      <c r="N436" s="97"/>
      <c r="O436" s="97"/>
      <c r="P436" s="97"/>
      <c r="Q436" s="76"/>
      <c r="R436" s="76"/>
      <c r="S436" s="76"/>
      <c r="T436" s="76"/>
      <c r="U436" s="253">
        <f t="shared" si="116"/>
        <v>0.2</v>
      </c>
      <c r="V436" s="253">
        <f t="shared" si="116"/>
        <v>0.2</v>
      </c>
      <c r="W436" s="253">
        <f t="shared" si="116"/>
        <v>0.2</v>
      </c>
      <c r="X436" s="253">
        <f t="shared" si="116"/>
        <v>0.2</v>
      </c>
      <c r="Y436" s="253">
        <f t="shared" si="116"/>
        <v>0.2</v>
      </c>
      <c r="Z436" s="253">
        <f t="shared" si="116"/>
        <v>0.2</v>
      </c>
      <c r="AA436" s="253">
        <f t="shared" si="116"/>
        <v>0.2</v>
      </c>
      <c r="AB436" s="253">
        <f t="shared" si="116"/>
        <v>0.2</v>
      </c>
      <c r="AC436" s="253">
        <f t="shared" si="116"/>
        <v>0.2</v>
      </c>
      <c r="AD436" s="253">
        <f t="shared" si="116"/>
        <v>0.2</v>
      </c>
      <c r="AE436" s="253">
        <f t="shared" si="116"/>
        <v>0.2</v>
      </c>
      <c r="AF436" s="76"/>
      <c r="AG436" s="76"/>
      <c r="AH436" s="76"/>
      <c r="AI436" s="97">
        <v>1</v>
      </c>
      <c r="AJ436" s="97">
        <v>1</v>
      </c>
      <c r="AK436" s="73"/>
      <c r="AL436" s="57"/>
      <c r="AM436" s="45"/>
      <c r="AN436" s="45"/>
      <c r="AO436" s="45"/>
    </row>
    <row r="437" spans="1:41" hidden="1" outlineLevel="2" x14ac:dyDescent="0.25">
      <c r="A437" s="45"/>
      <c r="B437" s="54"/>
      <c r="C437" s="47">
        <f t="shared" si="113"/>
        <v>3</v>
      </c>
      <c r="D437" s="73"/>
      <c r="E437" s="70"/>
      <c r="F437" s="70" t="s">
        <v>1026</v>
      </c>
      <c r="G437" s="73"/>
      <c r="H437" s="76" t="s">
        <v>1027</v>
      </c>
      <c r="I437" s="96" t="s">
        <v>497</v>
      </c>
      <c r="J437" s="96"/>
      <c r="K437" s="97">
        <v>0.5</v>
      </c>
      <c r="L437" s="97">
        <v>0.5</v>
      </c>
      <c r="M437" s="97"/>
      <c r="N437" s="97"/>
      <c r="O437" s="97"/>
      <c r="P437" s="97"/>
      <c r="Q437" s="76"/>
      <c r="R437" s="76" t="s">
        <v>458</v>
      </c>
      <c r="S437" s="76"/>
      <c r="T437" s="76"/>
      <c r="U437" s="253">
        <f t="shared" si="116"/>
        <v>0.5</v>
      </c>
      <c r="V437" s="253">
        <f t="shared" si="116"/>
        <v>0.5</v>
      </c>
      <c r="W437" s="253">
        <f t="shared" si="116"/>
        <v>0.5</v>
      </c>
      <c r="X437" s="253">
        <f t="shared" si="116"/>
        <v>0.5</v>
      </c>
      <c r="Y437" s="253">
        <f t="shared" si="116"/>
        <v>0.5</v>
      </c>
      <c r="Z437" s="253">
        <f t="shared" si="116"/>
        <v>0.5</v>
      </c>
      <c r="AA437" s="253">
        <f t="shared" si="116"/>
        <v>0.5</v>
      </c>
      <c r="AB437" s="253">
        <f t="shared" si="116"/>
        <v>0.5</v>
      </c>
      <c r="AC437" s="253">
        <f t="shared" si="116"/>
        <v>0.5</v>
      </c>
      <c r="AD437" s="253">
        <f t="shared" si="116"/>
        <v>0.5</v>
      </c>
      <c r="AE437" s="253">
        <f t="shared" si="116"/>
        <v>0.5</v>
      </c>
      <c r="AF437" s="76"/>
      <c r="AG437" s="76"/>
      <c r="AH437" s="76"/>
      <c r="AI437" s="97">
        <v>1</v>
      </c>
      <c r="AJ437" s="97">
        <v>1</v>
      </c>
      <c r="AK437" s="73"/>
      <c r="AL437" s="57"/>
      <c r="AM437" s="45"/>
      <c r="AN437" s="45"/>
      <c r="AO437" s="45"/>
    </row>
    <row r="438" spans="1:41" hidden="1" outlineLevel="2" x14ac:dyDescent="0.25">
      <c r="A438" s="45"/>
      <c r="B438" s="54"/>
      <c r="C438" s="47">
        <f t="shared" si="113"/>
        <v>3</v>
      </c>
      <c r="D438" s="73"/>
      <c r="E438" s="70"/>
      <c r="F438" s="70" t="s">
        <v>1028</v>
      </c>
      <c r="G438" s="73"/>
      <c r="H438" s="76" t="s">
        <v>1029</v>
      </c>
      <c r="I438" s="96" t="s">
        <v>497</v>
      </c>
      <c r="J438" s="96"/>
      <c r="K438" s="118">
        <v>0.1</v>
      </c>
      <c r="L438" s="97"/>
      <c r="M438" s="76"/>
      <c r="N438" s="76"/>
      <c r="O438" s="76"/>
      <c r="P438" s="76"/>
      <c r="Q438" s="76"/>
      <c r="R438" s="76"/>
      <c r="S438" s="76"/>
      <c r="T438" s="76"/>
      <c r="U438" s="253">
        <f t="shared" si="116"/>
        <v>0.1</v>
      </c>
      <c r="V438" s="253">
        <f t="shared" si="116"/>
        <v>0.1</v>
      </c>
      <c r="W438" s="253">
        <f t="shared" si="116"/>
        <v>0.1</v>
      </c>
      <c r="X438" s="253">
        <f t="shared" si="116"/>
        <v>0.1</v>
      </c>
      <c r="Y438" s="253">
        <f t="shared" si="116"/>
        <v>0.1</v>
      </c>
      <c r="Z438" s="253">
        <f t="shared" si="116"/>
        <v>0.1</v>
      </c>
      <c r="AA438" s="253">
        <f t="shared" si="116"/>
        <v>0.1</v>
      </c>
      <c r="AB438" s="253">
        <f t="shared" si="116"/>
        <v>0</v>
      </c>
      <c r="AC438" s="253">
        <f t="shared" si="116"/>
        <v>0</v>
      </c>
      <c r="AD438" s="253">
        <f t="shared" si="116"/>
        <v>0</v>
      </c>
      <c r="AE438" s="253">
        <f t="shared" si="116"/>
        <v>0</v>
      </c>
      <c r="AF438" s="76"/>
      <c r="AG438" s="76"/>
      <c r="AH438" s="76"/>
      <c r="AI438" s="97">
        <v>1</v>
      </c>
      <c r="AJ438" s="97">
        <v>1</v>
      </c>
      <c r="AK438" s="73"/>
      <c r="AL438" s="57"/>
      <c r="AM438" s="45"/>
      <c r="AN438" s="45"/>
      <c r="AO438" s="45"/>
    </row>
    <row r="439" spans="1:41" hidden="1" outlineLevel="2" x14ac:dyDescent="0.25">
      <c r="A439" s="45"/>
      <c r="B439" s="54"/>
      <c r="C439" s="47">
        <f t="shared" si="113"/>
        <v>3</v>
      </c>
      <c r="D439" s="73"/>
      <c r="E439" s="70"/>
      <c r="F439" s="70" t="s">
        <v>1030</v>
      </c>
      <c r="G439" s="73"/>
      <c r="H439" s="76" t="s">
        <v>1031</v>
      </c>
      <c r="I439" s="96" t="s">
        <v>497</v>
      </c>
      <c r="J439" s="96"/>
      <c r="K439" s="118">
        <v>0.03</v>
      </c>
      <c r="L439" s="97"/>
      <c r="M439" s="76"/>
      <c r="N439" s="76"/>
      <c r="O439" s="76"/>
      <c r="P439" s="76"/>
      <c r="Q439" s="76"/>
      <c r="R439" s="76"/>
      <c r="S439" s="76"/>
      <c r="T439" s="76"/>
      <c r="U439" s="253">
        <f t="shared" si="116"/>
        <v>0.03</v>
      </c>
      <c r="V439" s="253">
        <f t="shared" si="116"/>
        <v>0.03</v>
      </c>
      <c r="W439" s="253">
        <f t="shared" si="116"/>
        <v>0.03</v>
      </c>
      <c r="X439" s="253">
        <f t="shared" si="116"/>
        <v>0.03</v>
      </c>
      <c r="Y439" s="253">
        <f t="shared" si="116"/>
        <v>0.03</v>
      </c>
      <c r="Z439" s="253">
        <f t="shared" si="116"/>
        <v>0.03</v>
      </c>
      <c r="AA439" s="253">
        <f t="shared" si="116"/>
        <v>0.03</v>
      </c>
      <c r="AB439" s="253">
        <f t="shared" si="116"/>
        <v>0</v>
      </c>
      <c r="AC439" s="253">
        <f t="shared" si="116"/>
        <v>0</v>
      </c>
      <c r="AD439" s="253">
        <f t="shared" si="116"/>
        <v>0</v>
      </c>
      <c r="AE439" s="253">
        <f t="shared" si="116"/>
        <v>0</v>
      </c>
      <c r="AF439" s="76"/>
      <c r="AG439" s="76"/>
      <c r="AH439" s="76"/>
      <c r="AI439" s="97">
        <v>1</v>
      </c>
      <c r="AJ439" s="97">
        <v>1</v>
      </c>
      <c r="AK439" s="73"/>
      <c r="AL439" s="57"/>
      <c r="AM439" s="45"/>
      <c r="AN439" s="45"/>
      <c r="AO439" s="45"/>
    </row>
    <row r="440" spans="1:41" hidden="1" outlineLevel="2" x14ac:dyDescent="0.25">
      <c r="A440" s="45"/>
      <c r="B440" s="54"/>
      <c r="C440" s="47">
        <f t="shared" si="113"/>
        <v>3</v>
      </c>
      <c r="D440" s="73"/>
      <c r="E440" s="70"/>
      <c r="F440" s="70" t="s">
        <v>1032</v>
      </c>
      <c r="G440" s="73"/>
      <c r="H440" s="76" t="s">
        <v>1033</v>
      </c>
      <c r="I440" s="96" t="s">
        <v>497</v>
      </c>
      <c r="J440" s="96"/>
      <c r="K440" s="118">
        <v>0.01</v>
      </c>
      <c r="L440" s="97"/>
      <c r="M440" s="76"/>
      <c r="N440" s="76"/>
      <c r="O440" s="76"/>
      <c r="P440" s="76"/>
      <c r="Q440" s="76"/>
      <c r="R440" s="76"/>
      <c r="S440" s="76"/>
      <c r="T440" s="76"/>
      <c r="U440" s="253">
        <f t="shared" si="116"/>
        <v>0.01</v>
      </c>
      <c r="V440" s="253">
        <f t="shared" si="116"/>
        <v>0.01</v>
      </c>
      <c r="W440" s="253">
        <f t="shared" si="116"/>
        <v>0.01</v>
      </c>
      <c r="X440" s="253">
        <f t="shared" si="116"/>
        <v>0.01</v>
      </c>
      <c r="Y440" s="253">
        <f t="shared" si="116"/>
        <v>0.01</v>
      </c>
      <c r="Z440" s="253">
        <f t="shared" si="116"/>
        <v>0.01</v>
      </c>
      <c r="AA440" s="253">
        <f t="shared" si="116"/>
        <v>0.01</v>
      </c>
      <c r="AB440" s="253">
        <f t="shared" si="116"/>
        <v>0</v>
      </c>
      <c r="AC440" s="253">
        <f t="shared" si="116"/>
        <v>0</v>
      </c>
      <c r="AD440" s="253">
        <f t="shared" si="116"/>
        <v>0</v>
      </c>
      <c r="AE440" s="253">
        <f t="shared" si="116"/>
        <v>0</v>
      </c>
      <c r="AF440" s="76"/>
      <c r="AG440" s="76"/>
      <c r="AH440" s="76"/>
      <c r="AI440" s="97">
        <v>1</v>
      </c>
      <c r="AJ440" s="97">
        <v>1</v>
      </c>
      <c r="AK440" s="73"/>
      <c r="AL440" s="57"/>
      <c r="AM440" s="45"/>
      <c r="AN440" s="45"/>
      <c r="AO440" s="45"/>
    </row>
    <row r="441" spans="1:41" hidden="1" outlineLevel="2" x14ac:dyDescent="0.25">
      <c r="A441" s="45"/>
      <c r="B441" s="54"/>
      <c r="C441" s="47">
        <f t="shared" si="113"/>
        <v>3</v>
      </c>
      <c r="D441" s="73"/>
      <c r="E441" s="70"/>
      <c r="F441" s="70" t="s">
        <v>1034</v>
      </c>
      <c r="G441" s="73"/>
      <c r="H441" s="76" t="s">
        <v>1035</v>
      </c>
      <c r="I441" s="96" t="s">
        <v>497</v>
      </c>
      <c r="J441" s="96"/>
      <c r="K441" s="118">
        <v>0</v>
      </c>
      <c r="L441" s="97"/>
      <c r="M441" s="76"/>
      <c r="N441" s="76"/>
      <c r="O441" s="76"/>
      <c r="P441" s="76"/>
      <c r="Q441" s="76"/>
      <c r="R441" s="76"/>
      <c r="S441" s="76"/>
      <c r="T441" s="76"/>
      <c r="U441" s="253">
        <f t="shared" si="116"/>
        <v>0</v>
      </c>
      <c r="V441" s="253">
        <f t="shared" si="116"/>
        <v>0</v>
      </c>
      <c r="W441" s="253">
        <f t="shared" si="116"/>
        <v>0</v>
      </c>
      <c r="X441" s="253">
        <f t="shared" si="116"/>
        <v>0</v>
      </c>
      <c r="Y441" s="253">
        <f t="shared" si="116"/>
        <v>0</v>
      </c>
      <c r="Z441" s="253">
        <f t="shared" si="116"/>
        <v>0</v>
      </c>
      <c r="AA441" s="253">
        <f t="shared" si="116"/>
        <v>0</v>
      </c>
      <c r="AB441" s="253">
        <f t="shared" si="116"/>
        <v>0</v>
      </c>
      <c r="AC441" s="253">
        <f t="shared" si="116"/>
        <v>0</v>
      </c>
      <c r="AD441" s="253">
        <f t="shared" si="116"/>
        <v>0</v>
      </c>
      <c r="AE441" s="253">
        <f t="shared" si="116"/>
        <v>0</v>
      </c>
      <c r="AF441" s="76"/>
      <c r="AG441" s="76"/>
      <c r="AH441" s="76"/>
      <c r="AI441" s="97">
        <v>1</v>
      </c>
      <c r="AJ441" s="97">
        <v>1</v>
      </c>
      <c r="AK441" s="73"/>
      <c r="AL441" s="57"/>
      <c r="AM441" s="45"/>
      <c r="AN441" s="45"/>
      <c r="AO441" s="45"/>
    </row>
    <row r="442" spans="1:41" hidden="1" outlineLevel="2" x14ac:dyDescent="0.25">
      <c r="A442" s="45"/>
      <c r="B442" s="54"/>
      <c r="C442" s="47">
        <f t="shared" si="113"/>
        <v>3</v>
      </c>
      <c r="D442" s="73"/>
      <c r="E442" s="70"/>
      <c r="F442" s="70" t="s">
        <v>2201</v>
      </c>
      <c r="G442" s="73"/>
      <c r="H442" s="76" t="s">
        <v>2206</v>
      </c>
      <c r="I442" s="96" t="s">
        <v>2209</v>
      </c>
      <c r="J442" s="96"/>
      <c r="K442" s="76"/>
      <c r="L442" s="76"/>
      <c r="M442" s="76"/>
      <c r="N442" s="76"/>
      <c r="O442" s="76"/>
      <c r="P442" s="76"/>
      <c r="Q442" s="76"/>
      <c r="R442" s="76"/>
      <c r="S442" s="76"/>
      <c r="T442" s="76"/>
      <c r="U442" s="97">
        <f t="shared" ref="U442:AE442" si="117">0.1/365</f>
        <v>2.7397260273972606E-4</v>
      </c>
      <c r="V442" s="97">
        <f t="shared" si="117"/>
        <v>2.7397260273972606E-4</v>
      </c>
      <c r="W442" s="97">
        <f t="shared" si="117"/>
        <v>2.7397260273972606E-4</v>
      </c>
      <c r="X442" s="97">
        <f t="shared" si="117"/>
        <v>2.7397260273972606E-4</v>
      </c>
      <c r="Y442" s="97">
        <f t="shared" si="117"/>
        <v>2.7397260273972606E-4</v>
      </c>
      <c r="Z442" s="97">
        <f t="shared" si="117"/>
        <v>2.7397260273972606E-4</v>
      </c>
      <c r="AA442" s="97">
        <f t="shared" si="117"/>
        <v>2.7397260273972606E-4</v>
      </c>
      <c r="AB442" s="97">
        <f t="shared" si="117"/>
        <v>2.7397260273972606E-4</v>
      </c>
      <c r="AC442" s="97">
        <f t="shared" si="117"/>
        <v>2.7397260273972606E-4</v>
      </c>
      <c r="AD442" s="97">
        <f t="shared" si="117"/>
        <v>2.7397260273972606E-4</v>
      </c>
      <c r="AE442" s="97">
        <f t="shared" si="117"/>
        <v>2.7397260273972606E-4</v>
      </c>
      <c r="AF442" s="76"/>
      <c r="AG442" s="97" t="s">
        <v>1019</v>
      </c>
      <c r="AH442" s="76"/>
      <c r="AI442" s="97">
        <v>1</v>
      </c>
      <c r="AJ442" s="97">
        <v>1</v>
      </c>
      <c r="AK442" s="73"/>
      <c r="AL442" s="57"/>
      <c r="AM442" s="45"/>
      <c r="AN442" s="45"/>
      <c r="AO442" s="45"/>
    </row>
    <row r="443" spans="1:41" hidden="1" outlineLevel="2" x14ac:dyDescent="0.25">
      <c r="A443" s="45"/>
      <c r="B443" s="54"/>
      <c r="C443" s="47">
        <f t="shared" si="113"/>
        <v>3</v>
      </c>
      <c r="D443" s="73"/>
      <c r="E443" s="70"/>
      <c r="F443" s="70" t="s">
        <v>2202</v>
      </c>
      <c r="G443" s="73"/>
      <c r="H443" s="76" t="s">
        <v>2210</v>
      </c>
      <c r="I443" s="96" t="s">
        <v>497</v>
      </c>
      <c r="J443" s="96"/>
      <c r="K443" s="76"/>
      <c r="L443" s="76"/>
      <c r="M443" s="76"/>
      <c r="N443" s="76"/>
      <c r="O443" s="76"/>
      <c r="P443" s="76"/>
      <c r="Q443" s="76"/>
      <c r="R443" s="76"/>
      <c r="S443" s="76"/>
      <c r="T443" s="76"/>
      <c r="U443" s="97">
        <v>0.8</v>
      </c>
      <c r="V443" s="97">
        <v>0.8</v>
      </c>
      <c r="W443" s="97">
        <v>0.8</v>
      </c>
      <c r="X443" s="97">
        <v>0.8</v>
      </c>
      <c r="Y443" s="97">
        <v>0.8</v>
      </c>
      <c r="Z443" s="97">
        <v>0.8</v>
      </c>
      <c r="AA443" s="97">
        <v>0.8</v>
      </c>
      <c r="AB443" s="97">
        <v>0.8</v>
      </c>
      <c r="AC443" s="97">
        <v>0.8</v>
      </c>
      <c r="AD443" s="97">
        <v>0.8</v>
      </c>
      <c r="AE443" s="97">
        <v>0.8</v>
      </c>
      <c r="AF443" s="76"/>
      <c r="AG443" s="97" t="s">
        <v>458</v>
      </c>
      <c r="AH443" s="76"/>
      <c r="AI443" s="97">
        <v>1</v>
      </c>
      <c r="AJ443" s="97">
        <v>1</v>
      </c>
      <c r="AK443" s="73"/>
      <c r="AL443" s="57"/>
      <c r="AM443" s="45"/>
      <c r="AN443" s="45"/>
      <c r="AO443" s="45"/>
    </row>
    <row r="444" spans="1:41" hidden="1" outlineLevel="2" x14ac:dyDescent="0.25">
      <c r="A444" s="45"/>
      <c r="B444" s="54"/>
      <c r="C444" s="47">
        <f t="shared" si="113"/>
        <v>3</v>
      </c>
      <c r="D444" s="73"/>
      <c r="E444" s="70"/>
      <c r="F444" s="70" t="s">
        <v>2203</v>
      </c>
      <c r="G444" s="73"/>
      <c r="H444" s="76" t="s">
        <v>2207</v>
      </c>
      <c r="I444" s="96" t="s">
        <v>497</v>
      </c>
      <c r="J444" s="96"/>
      <c r="K444" s="76"/>
      <c r="L444" s="76"/>
      <c r="M444" s="76"/>
      <c r="N444" s="76"/>
      <c r="O444" s="76"/>
      <c r="P444" s="76"/>
      <c r="Q444" s="76"/>
      <c r="R444" s="76"/>
      <c r="S444" s="76"/>
      <c r="T444" s="76"/>
      <c r="U444" s="97">
        <v>0.9</v>
      </c>
      <c r="V444" s="97">
        <v>0.9</v>
      </c>
      <c r="W444" s="97">
        <v>0.9</v>
      </c>
      <c r="X444" s="97">
        <v>0.9</v>
      </c>
      <c r="Y444" s="97">
        <v>0.9</v>
      </c>
      <c r="Z444" s="97">
        <v>0.9</v>
      </c>
      <c r="AA444" s="97">
        <v>0.9</v>
      </c>
      <c r="AB444" s="97">
        <v>0.9</v>
      </c>
      <c r="AC444" s="97">
        <v>0.9</v>
      </c>
      <c r="AD444" s="97">
        <v>0.9</v>
      </c>
      <c r="AE444" s="97">
        <v>0.9</v>
      </c>
      <c r="AF444" s="76"/>
      <c r="AG444" s="97" t="s">
        <v>458</v>
      </c>
      <c r="AH444" s="76"/>
      <c r="AI444" s="97">
        <v>1</v>
      </c>
      <c r="AJ444" s="97">
        <v>1</v>
      </c>
      <c r="AK444" s="73"/>
      <c r="AL444" s="57"/>
      <c r="AM444" s="45"/>
      <c r="AN444" s="45"/>
      <c r="AO444" s="45"/>
    </row>
    <row r="445" spans="1:41" hidden="1" outlineLevel="2" x14ac:dyDescent="0.25">
      <c r="A445" s="45"/>
      <c r="B445" s="54"/>
      <c r="C445" s="47">
        <f t="shared" si="113"/>
        <v>3</v>
      </c>
      <c r="D445" s="73"/>
      <c r="E445" s="70"/>
      <c r="F445" s="70" t="s">
        <v>2204</v>
      </c>
      <c r="G445" s="73"/>
      <c r="H445" s="76" t="s">
        <v>2211</v>
      </c>
      <c r="I445" s="96" t="s">
        <v>2212</v>
      </c>
      <c r="J445" s="96"/>
      <c r="K445" s="76"/>
      <c r="L445" s="76"/>
      <c r="M445" s="76"/>
      <c r="N445" s="76"/>
      <c r="O445" s="76"/>
      <c r="P445" s="76"/>
      <c r="Q445" s="76"/>
      <c r="R445" s="76"/>
      <c r="S445" s="76"/>
      <c r="T445" s="76"/>
      <c r="U445" s="97">
        <v>-0.1</v>
      </c>
      <c r="V445" s="97">
        <v>-0.1</v>
      </c>
      <c r="W445" s="97">
        <v>-0.1</v>
      </c>
      <c r="X445" s="97">
        <v>-0.1</v>
      </c>
      <c r="Y445" s="97">
        <v>-0.1</v>
      </c>
      <c r="Z445" s="97">
        <v>-0.1</v>
      </c>
      <c r="AA445" s="97">
        <v>-0.1</v>
      </c>
      <c r="AB445" s="97">
        <v>-0.1</v>
      </c>
      <c r="AC445" s="97">
        <v>-0.1</v>
      </c>
      <c r="AD445" s="97">
        <v>-0.1</v>
      </c>
      <c r="AE445" s="97">
        <v>-0.1</v>
      </c>
      <c r="AF445" s="76"/>
      <c r="AG445" s="97" t="s">
        <v>458</v>
      </c>
      <c r="AH445" s="76"/>
      <c r="AI445" s="97">
        <v>1</v>
      </c>
      <c r="AJ445" s="97">
        <v>1</v>
      </c>
      <c r="AK445" s="73"/>
      <c r="AL445" s="57"/>
      <c r="AM445" s="45"/>
      <c r="AN445" s="45"/>
      <c r="AO445" s="45"/>
    </row>
    <row r="446" spans="1:41" hidden="1" outlineLevel="2" x14ac:dyDescent="0.25">
      <c r="A446" s="45"/>
      <c r="B446" s="54"/>
      <c r="C446" s="47">
        <f t="shared" si="113"/>
        <v>3</v>
      </c>
      <c r="D446" s="73"/>
      <c r="E446" s="70"/>
      <c r="F446" s="70" t="s">
        <v>2205</v>
      </c>
      <c r="G446" s="73"/>
      <c r="H446" s="76" t="s">
        <v>2208</v>
      </c>
      <c r="I446" s="96" t="s">
        <v>2212</v>
      </c>
      <c r="J446" s="96"/>
      <c r="K446" s="76"/>
      <c r="L446" s="76"/>
      <c r="M446" s="76"/>
      <c r="N446" s="76"/>
      <c r="O446" s="76"/>
      <c r="P446" s="76"/>
      <c r="Q446" s="76"/>
      <c r="R446" s="76"/>
      <c r="S446" s="76"/>
      <c r="T446" s="76"/>
      <c r="U446" s="97">
        <v>-0.03</v>
      </c>
      <c r="V446" s="97">
        <v>-0.03</v>
      </c>
      <c r="W446" s="97">
        <v>-0.03</v>
      </c>
      <c r="X446" s="97">
        <v>-0.03</v>
      </c>
      <c r="Y446" s="97">
        <v>-0.03</v>
      </c>
      <c r="Z446" s="97">
        <v>-0.03</v>
      </c>
      <c r="AA446" s="97">
        <v>-0.03</v>
      </c>
      <c r="AB446" s="97">
        <v>-0.03</v>
      </c>
      <c r="AC446" s="97">
        <v>-0.03</v>
      </c>
      <c r="AD446" s="97">
        <v>-0.03</v>
      </c>
      <c r="AE446" s="97">
        <v>-0.03</v>
      </c>
      <c r="AF446" s="76"/>
      <c r="AG446" s="97" t="s">
        <v>458</v>
      </c>
      <c r="AH446" s="76"/>
      <c r="AI446" s="97">
        <v>1</v>
      </c>
      <c r="AJ446" s="97">
        <v>1</v>
      </c>
      <c r="AK446" s="73"/>
      <c r="AL446" s="57"/>
      <c r="AM446" s="45"/>
      <c r="AN446" s="45"/>
      <c r="AO446" s="45"/>
    </row>
    <row r="447" spans="1:41" outlineLevel="1" collapsed="1" x14ac:dyDescent="0.25">
      <c r="A447" s="45"/>
      <c r="B447" s="54"/>
      <c r="C447" s="47">
        <f>INT($C$29)+1</f>
        <v>2</v>
      </c>
      <c r="D447" s="73"/>
      <c r="E447" s="70"/>
      <c r="F447" s="256" t="s">
        <v>1036</v>
      </c>
      <c r="G447" s="73"/>
      <c r="H447" s="246" t="s">
        <v>1037</v>
      </c>
      <c r="I447" s="129"/>
      <c r="J447" s="129" t="s">
        <v>1038</v>
      </c>
      <c r="K447" s="79">
        <v>24</v>
      </c>
      <c r="L447" s="79">
        <v>8</v>
      </c>
      <c r="M447" s="79">
        <v>-7</v>
      </c>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3"/>
      <c r="AL447" s="57"/>
      <c r="AM447" s="45"/>
      <c r="AN447" s="45"/>
      <c r="AO447" s="45"/>
    </row>
    <row r="448" spans="1:41" hidden="1" outlineLevel="2" x14ac:dyDescent="0.25">
      <c r="A448" s="45"/>
      <c r="B448" s="54"/>
      <c r="C448" s="47">
        <f t="shared" ref="C448:C479" si="118">INT($C$29)+2</f>
        <v>3</v>
      </c>
      <c r="D448" s="73"/>
      <c r="E448" s="70"/>
      <c r="F448" s="70" t="s">
        <v>1039</v>
      </c>
      <c r="G448" s="73"/>
      <c r="H448" s="76" t="s">
        <v>2235</v>
      </c>
      <c r="I448" s="96"/>
      <c r="J448" s="96"/>
      <c r="K448" s="76"/>
      <c r="L448" s="76"/>
      <c r="M448" s="76"/>
      <c r="N448" s="76"/>
      <c r="O448" s="76"/>
      <c r="P448" s="76"/>
      <c r="Q448" s="76"/>
      <c r="R448" s="76"/>
      <c r="S448" s="76"/>
      <c r="T448" s="76"/>
      <c r="U448" s="331">
        <v>0</v>
      </c>
      <c r="V448" s="331">
        <v>0</v>
      </c>
      <c r="W448" s="331">
        <v>0</v>
      </c>
      <c r="X448" s="331">
        <v>0</v>
      </c>
      <c r="Y448" s="331">
        <v>0</v>
      </c>
      <c r="Z448" s="331">
        <v>0</v>
      </c>
      <c r="AA448" s="331">
        <v>0</v>
      </c>
      <c r="AB448" s="331">
        <v>0</v>
      </c>
      <c r="AC448" s="331">
        <v>0</v>
      </c>
      <c r="AD448" s="331">
        <v>0</v>
      </c>
      <c r="AE448" s="331">
        <v>0</v>
      </c>
      <c r="AF448" s="76"/>
      <c r="AG448" s="76"/>
      <c r="AH448" s="76"/>
      <c r="AI448" s="76">
        <v>1</v>
      </c>
      <c r="AJ448" s="76">
        <v>1</v>
      </c>
      <c r="AK448" s="73"/>
      <c r="AL448" s="57"/>
      <c r="AM448" s="45"/>
      <c r="AN448" s="45"/>
      <c r="AO448" s="45"/>
    </row>
    <row r="449" spans="1:41" hidden="1" outlineLevel="2" x14ac:dyDescent="0.25">
      <c r="A449" s="45"/>
      <c r="B449" s="54"/>
      <c r="C449" s="47">
        <f t="shared" si="118"/>
        <v>3</v>
      </c>
      <c r="D449" s="73"/>
      <c r="E449" s="70"/>
      <c r="F449" s="70" t="s">
        <v>1040</v>
      </c>
      <c r="G449" s="73"/>
      <c r="H449" s="76" t="s">
        <v>2558</v>
      </c>
      <c r="I449" s="96"/>
      <c r="J449" s="96"/>
      <c r="K449" s="76"/>
      <c r="L449" s="76"/>
      <c r="M449" s="76"/>
      <c r="N449" s="76"/>
      <c r="O449" s="76"/>
      <c r="P449" s="76"/>
      <c r="Q449" s="76"/>
      <c r="R449" s="76"/>
      <c r="S449" s="76"/>
      <c r="T449" s="76"/>
      <c r="U449" s="118">
        <v>0.33</v>
      </c>
      <c r="V449" s="118">
        <v>0.33</v>
      </c>
      <c r="W449" s="118">
        <v>0.33</v>
      </c>
      <c r="X449" s="118">
        <v>0.33</v>
      </c>
      <c r="Y449" s="118">
        <v>0.33</v>
      </c>
      <c r="Z449" s="118">
        <v>0.33</v>
      </c>
      <c r="AA449" s="118">
        <v>0.33</v>
      </c>
      <c r="AB449" s="118">
        <v>0.33</v>
      </c>
      <c r="AC449" s="118">
        <v>0.33</v>
      </c>
      <c r="AD449" s="118">
        <v>0.33</v>
      </c>
      <c r="AE449" s="118">
        <v>0.33</v>
      </c>
      <c r="AF449" s="76"/>
      <c r="AG449" s="97" t="s">
        <v>2242</v>
      </c>
      <c r="AH449" s="76"/>
      <c r="AI449" s="97">
        <v>1</v>
      </c>
      <c r="AJ449" s="97">
        <v>1</v>
      </c>
      <c r="AK449" s="73"/>
      <c r="AL449" s="57"/>
      <c r="AM449" s="45"/>
      <c r="AN449" s="45"/>
      <c r="AO449" s="45"/>
    </row>
    <row r="450" spans="1:41" hidden="1" outlineLevel="2" x14ac:dyDescent="0.25">
      <c r="A450" s="45"/>
      <c r="B450" s="54"/>
      <c r="C450" s="47">
        <f t="shared" si="118"/>
        <v>3</v>
      </c>
      <c r="D450" s="73"/>
      <c r="E450" s="70"/>
      <c r="F450" s="70" t="s">
        <v>1041</v>
      </c>
      <c r="G450" s="73"/>
      <c r="H450" s="76" t="s">
        <v>2236</v>
      </c>
      <c r="I450" s="96"/>
      <c r="J450" s="96"/>
      <c r="K450" s="76"/>
      <c r="L450" s="76"/>
      <c r="M450" s="76"/>
      <c r="N450" s="76"/>
      <c r="O450" s="76"/>
      <c r="P450" s="76"/>
      <c r="Q450" s="76"/>
      <c r="R450" s="76"/>
      <c r="S450" s="76"/>
      <c r="T450" s="76"/>
      <c r="U450" s="118">
        <v>0.33</v>
      </c>
      <c r="V450" s="118">
        <v>0.33</v>
      </c>
      <c r="W450" s="118">
        <v>0.33</v>
      </c>
      <c r="X450" s="118">
        <v>0.33</v>
      </c>
      <c r="Y450" s="118">
        <v>0.33</v>
      </c>
      <c r="Z450" s="118">
        <v>0.33</v>
      </c>
      <c r="AA450" s="118">
        <v>0.33</v>
      </c>
      <c r="AB450" s="118">
        <v>0.33</v>
      </c>
      <c r="AC450" s="118">
        <v>0.33</v>
      </c>
      <c r="AD450" s="118">
        <v>0.33</v>
      </c>
      <c r="AE450" s="118">
        <v>0.33</v>
      </c>
      <c r="AF450" s="76"/>
      <c r="AG450" s="76"/>
      <c r="AH450" s="76"/>
      <c r="AI450" s="97">
        <v>1</v>
      </c>
      <c r="AJ450" s="97">
        <v>1</v>
      </c>
      <c r="AK450" s="73"/>
      <c r="AL450" s="57"/>
      <c r="AM450" s="45"/>
      <c r="AN450" s="45"/>
      <c r="AO450" s="45"/>
    </row>
    <row r="451" spans="1:41" hidden="1" outlineLevel="2" x14ac:dyDescent="0.25">
      <c r="A451" s="45"/>
      <c r="B451" s="54"/>
      <c r="C451" s="47">
        <f t="shared" si="118"/>
        <v>3</v>
      </c>
      <c r="D451" s="73"/>
      <c r="E451" s="70"/>
      <c r="F451" s="70" t="s">
        <v>1042</v>
      </c>
      <c r="G451" s="73"/>
      <c r="H451" s="76" t="s">
        <v>2237</v>
      </c>
      <c r="I451" s="96"/>
      <c r="J451" s="96"/>
      <c r="K451" s="76"/>
      <c r="L451" s="76"/>
      <c r="M451" s="76"/>
      <c r="N451" s="76"/>
      <c r="O451" s="76"/>
      <c r="P451" s="76"/>
      <c r="Q451" s="76"/>
      <c r="R451" s="76"/>
      <c r="S451" s="76"/>
      <c r="T451" s="76"/>
      <c r="U451" s="118">
        <v>0.33</v>
      </c>
      <c r="V451" s="118">
        <v>0.33</v>
      </c>
      <c r="W451" s="118">
        <v>0.33</v>
      </c>
      <c r="X451" s="118">
        <v>0.33</v>
      </c>
      <c r="Y451" s="118">
        <v>0.33</v>
      </c>
      <c r="Z451" s="118">
        <v>0.33</v>
      </c>
      <c r="AA451" s="118">
        <v>0.33</v>
      </c>
      <c r="AB451" s="118">
        <v>0.33</v>
      </c>
      <c r="AC451" s="118">
        <v>0.33</v>
      </c>
      <c r="AD451" s="118">
        <v>0.33</v>
      </c>
      <c r="AE451" s="118">
        <v>0.33</v>
      </c>
      <c r="AF451" s="76"/>
      <c r="AG451" s="76"/>
      <c r="AH451" s="76"/>
      <c r="AI451" s="97">
        <v>1</v>
      </c>
      <c r="AJ451" s="97">
        <v>1</v>
      </c>
      <c r="AK451" s="73"/>
      <c r="AL451" s="57"/>
      <c r="AM451" s="45"/>
      <c r="AN451" s="45"/>
      <c r="AO451" s="45"/>
    </row>
    <row r="452" spans="1:41" hidden="1" outlineLevel="2" x14ac:dyDescent="0.25">
      <c r="A452" s="45"/>
      <c r="B452" s="54"/>
      <c r="C452" s="47">
        <f t="shared" si="118"/>
        <v>3</v>
      </c>
      <c r="D452" s="73"/>
      <c r="E452" s="70"/>
      <c r="F452" s="70" t="s">
        <v>1043</v>
      </c>
      <c r="G452" s="73"/>
      <c r="H452" s="76" t="s">
        <v>2238</v>
      </c>
      <c r="I452" s="96"/>
      <c r="J452" s="96"/>
      <c r="K452" s="76"/>
      <c r="L452" s="76"/>
      <c r="M452" s="76"/>
      <c r="N452" s="76"/>
      <c r="O452" s="76"/>
      <c r="P452" s="76"/>
      <c r="Q452" s="76"/>
      <c r="R452" s="76"/>
      <c r="S452" s="76"/>
      <c r="T452" s="76"/>
      <c r="U452" s="118">
        <v>0.33</v>
      </c>
      <c r="V452" s="118">
        <v>0.33</v>
      </c>
      <c r="W452" s="118">
        <v>0.33</v>
      </c>
      <c r="X452" s="118">
        <v>0.33</v>
      </c>
      <c r="Y452" s="118">
        <v>0.33</v>
      </c>
      <c r="Z452" s="118">
        <v>0.33</v>
      </c>
      <c r="AA452" s="118">
        <v>0.33</v>
      </c>
      <c r="AB452" s="118">
        <v>0.33</v>
      </c>
      <c r="AC452" s="118">
        <v>0.33</v>
      </c>
      <c r="AD452" s="118">
        <v>0.33</v>
      </c>
      <c r="AE452" s="118">
        <v>0.33</v>
      </c>
      <c r="AF452" s="76"/>
      <c r="AG452" s="76"/>
      <c r="AH452" s="76"/>
      <c r="AI452" s="97">
        <v>1</v>
      </c>
      <c r="AJ452" s="97">
        <v>1</v>
      </c>
      <c r="AK452" s="73"/>
      <c r="AL452" s="57"/>
      <c r="AM452" s="45"/>
      <c r="AN452" s="45"/>
      <c r="AO452" s="45"/>
    </row>
    <row r="453" spans="1:41" hidden="1" outlineLevel="2" x14ac:dyDescent="0.25">
      <c r="A453" s="45"/>
      <c r="B453" s="54"/>
      <c r="C453" s="47">
        <f t="shared" si="118"/>
        <v>3</v>
      </c>
      <c r="D453" s="73"/>
      <c r="E453" s="70"/>
      <c r="F453" s="70" t="s">
        <v>1044</v>
      </c>
      <c r="G453" s="73"/>
      <c r="H453" s="76" t="s">
        <v>2239</v>
      </c>
      <c r="I453" s="96"/>
      <c r="J453" s="96"/>
      <c r="K453" s="76"/>
      <c r="L453" s="76"/>
      <c r="M453" s="76"/>
      <c r="N453" s="76"/>
      <c r="O453" s="76"/>
      <c r="P453" s="76"/>
      <c r="Q453" s="76"/>
      <c r="R453" s="76"/>
      <c r="S453" s="76"/>
      <c r="T453" s="76"/>
      <c r="U453" s="261">
        <f t="shared" ref="U453:AD453" si="119">U452</f>
        <v>0.33</v>
      </c>
      <c r="V453" s="261">
        <f t="shared" si="119"/>
        <v>0.33</v>
      </c>
      <c r="W453" s="261">
        <f t="shared" si="119"/>
        <v>0.33</v>
      </c>
      <c r="X453" s="261">
        <f t="shared" si="119"/>
        <v>0.33</v>
      </c>
      <c r="Y453" s="261">
        <f t="shared" ref="Y453" si="120">Y452</f>
        <v>0.33</v>
      </c>
      <c r="Z453" s="261">
        <f t="shared" ref="Z453:AA453" si="121">Z452</f>
        <v>0.33</v>
      </c>
      <c r="AA453" s="261">
        <f t="shared" si="121"/>
        <v>0.33</v>
      </c>
      <c r="AB453" s="261">
        <f t="shared" si="119"/>
        <v>0.33</v>
      </c>
      <c r="AC453" s="261">
        <f t="shared" si="119"/>
        <v>0.33</v>
      </c>
      <c r="AD453" s="261">
        <f t="shared" si="119"/>
        <v>0.33</v>
      </c>
      <c r="AE453" s="261">
        <f t="shared" ref="AE453" si="122">AE452</f>
        <v>0.33</v>
      </c>
      <c r="AF453" s="76"/>
      <c r="AG453" s="76"/>
      <c r="AH453" s="76"/>
      <c r="AI453" s="261">
        <f t="shared" ref="AI453:AJ453" si="123">AI452</f>
        <v>1</v>
      </c>
      <c r="AJ453" s="261">
        <f t="shared" si="123"/>
        <v>1</v>
      </c>
      <c r="AK453" s="73"/>
      <c r="AL453" s="57"/>
      <c r="AM453" s="45"/>
      <c r="AN453" s="45"/>
      <c r="AO453" s="45"/>
    </row>
    <row r="454" spans="1:41" hidden="1" outlineLevel="2" x14ac:dyDescent="0.25">
      <c r="A454" s="45"/>
      <c r="B454" s="54"/>
      <c r="C454" s="47">
        <f t="shared" si="118"/>
        <v>3</v>
      </c>
      <c r="D454" s="73"/>
      <c r="E454" s="70"/>
      <c r="F454" s="70" t="s">
        <v>1045</v>
      </c>
      <c r="G454" s="73"/>
      <c r="H454" s="76" t="s">
        <v>2240</v>
      </c>
      <c r="I454" s="96"/>
      <c r="J454" s="96"/>
      <c r="K454" s="76"/>
      <c r="L454" s="76"/>
      <c r="M454" s="76"/>
      <c r="N454" s="76"/>
      <c r="O454" s="76"/>
      <c r="P454" s="76"/>
      <c r="Q454" s="76"/>
      <c r="R454" s="76"/>
      <c r="S454" s="76"/>
      <c r="T454" s="76"/>
      <c r="U454" s="261">
        <f t="shared" ref="U454:AD454" si="124">U453</f>
        <v>0.33</v>
      </c>
      <c r="V454" s="261">
        <f t="shared" si="124"/>
        <v>0.33</v>
      </c>
      <c r="W454" s="261">
        <f t="shared" si="124"/>
        <v>0.33</v>
      </c>
      <c r="X454" s="261">
        <f t="shared" si="124"/>
        <v>0.33</v>
      </c>
      <c r="Y454" s="261">
        <f t="shared" ref="Y454" si="125">Y453</f>
        <v>0.33</v>
      </c>
      <c r="Z454" s="261">
        <f t="shared" ref="Z454:AA454" si="126">Z453</f>
        <v>0.33</v>
      </c>
      <c r="AA454" s="261">
        <f t="shared" si="126"/>
        <v>0.33</v>
      </c>
      <c r="AB454" s="261">
        <f t="shared" si="124"/>
        <v>0.33</v>
      </c>
      <c r="AC454" s="261">
        <f t="shared" si="124"/>
        <v>0.33</v>
      </c>
      <c r="AD454" s="261">
        <f t="shared" si="124"/>
        <v>0.33</v>
      </c>
      <c r="AE454" s="261">
        <f t="shared" ref="AE454" si="127">AE453</f>
        <v>0.33</v>
      </c>
      <c r="AF454" s="76"/>
      <c r="AG454" s="76"/>
      <c r="AH454" s="76"/>
      <c r="AI454" s="261">
        <f t="shared" ref="AI454:AJ454" si="128">AI453</f>
        <v>1</v>
      </c>
      <c r="AJ454" s="261">
        <f t="shared" si="128"/>
        <v>1</v>
      </c>
      <c r="AK454" s="73"/>
      <c r="AL454" s="57"/>
      <c r="AM454" s="45"/>
      <c r="AN454" s="45"/>
      <c r="AO454" s="45"/>
    </row>
    <row r="455" spans="1:41" hidden="1" outlineLevel="2" collapsed="1" x14ac:dyDescent="0.25">
      <c r="A455" s="45"/>
      <c r="B455" s="54"/>
      <c r="C455" s="47">
        <f t="shared" si="118"/>
        <v>3</v>
      </c>
      <c r="D455" s="73"/>
      <c r="E455" s="70"/>
      <c r="F455" s="70" t="s">
        <v>1046</v>
      </c>
      <c r="G455" s="73"/>
      <c r="H455" s="76" t="s">
        <v>2241</v>
      </c>
      <c r="I455" s="96"/>
      <c r="J455" s="96"/>
      <c r="K455" s="76"/>
      <c r="L455" s="76"/>
      <c r="M455" s="76"/>
      <c r="N455" s="76"/>
      <c r="O455" s="76"/>
      <c r="P455" s="76"/>
      <c r="Q455" s="76"/>
      <c r="R455" s="76"/>
      <c r="S455" s="76"/>
      <c r="T455" s="76"/>
      <c r="U455" s="261">
        <f t="shared" ref="U455:AD455" si="129">U454</f>
        <v>0.33</v>
      </c>
      <c r="V455" s="261">
        <f t="shared" si="129"/>
        <v>0.33</v>
      </c>
      <c r="W455" s="261">
        <f t="shared" si="129"/>
        <v>0.33</v>
      </c>
      <c r="X455" s="261">
        <f t="shared" si="129"/>
        <v>0.33</v>
      </c>
      <c r="Y455" s="261">
        <f t="shared" ref="Y455" si="130">Y454</f>
        <v>0.33</v>
      </c>
      <c r="Z455" s="261">
        <f t="shared" ref="Z455:AA455" si="131">Z454</f>
        <v>0.33</v>
      </c>
      <c r="AA455" s="261">
        <f t="shared" si="131"/>
        <v>0.33</v>
      </c>
      <c r="AB455" s="261">
        <f t="shared" si="129"/>
        <v>0.33</v>
      </c>
      <c r="AC455" s="261">
        <f t="shared" si="129"/>
        <v>0.33</v>
      </c>
      <c r="AD455" s="261">
        <f t="shared" si="129"/>
        <v>0.33</v>
      </c>
      <c r="AE455" s="261">
        <f t="shared" ref="AE455" si="132">AE454</f>
        <v>0.33</v>
      </c>
      <c r="AF455" s="76"/>
      <c r="AG455" s="76"/>
      <c r="AH455" s="76"/>
      <c r="AI455" s="261">
        <f t="shared" ref="AI455:AJ455" si="133">AI454</f>
        <v>1</v>
      </c>
      <c r="AJ455" s="261">
        <f t="shared" si="133"/>
        <v>1</v>
      </c>
      <c r="AK455" s="73"/>
      <c r="AL455" s="57"/>
      <c r="AM455" s="45"/>
      <c r="AN455" s="45"/>
      <c r="AO455" s="45"/>
    </row>
    <row r="456" spans="1:41" hidden="1" outlineLevel="3" x14ac:dyDescent="0.25">
      <c r="A456" s="45"/>
      <c r="B456" s="54"/>
      <c r="C456" s="47">
        <f t="shared" si="118"/>
        <v>3</v>
      </c>
      <c r="D456" s="73"/>
      <c r="E456" s="70"/>
      <c r="F456" s="70" t="s">
        <v>1047</v>
      </c>
      <c r="G456" s="73"/>
      <c r="H456" s="76" t="s">
        <v>3462</v>
      </c>
      <c r="I456" s="96"/>
      <c r="J456" s="9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v>1</v>
      </c>
      <c r="AJ456" s="76">
        <v>1</v>
      </c>
      <c r="AK456" s="73"/>
      <c r="AL456" s="57"/>
      <c r="AM456" s="45"/>
      <c r="AN456" s="45"/>
      <c r="AO456" s="45"/>
    </row>
    <row r="457" spans="1:41" hidden="1" outlineLevel="3" x14ac:dyDescent="0.25">
      <c r="A457" s="45"/>
      <c r="B457" s="54"/>
      <c r="C457" s="47">
        <f t="shared" si="118"/>
        <v>3</v>
      </c>
      <c r="D457" s="73"/>
      <c r="E457" s="70"/>
      <c r="F457" s="70" t="s">
        <v>1048</v>
      </c>
      <c r="G457" s="73"/>
      <c r="H457" s="76" t="s">
        <v>2558</v>
      </c>
      <c r="I457" s="96"/>
      <c r="J457" s="9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v>1</v>
      </c>
      <c r="AJ457" s="76">
        <v>1</v>
      </c>
      <c r="AK457" s="73"/>
      <c r="AL457" s="57"/>
      <c r="AM457" s="45"/>
      <c r="AN457" s="45"/>
      <c r="AO457" s="45"/>
    </row>
    <row r="458" spans="1:41" hidden="1" outlineLevel="3" x14ac:dyDescent="0.25">
      <c r="A458" s="45"/>
      <c r="B458" s="54"/>
      <c r="C458" s="47">
        <f t="shared" si="118"/>
        <v>3</v>
      </c>
      <c r="D458" s="73"/>
      <c r="E458" s="70"/>
      <c r="F458" s="70" t="s">
        <v>1049</v>
      </c>
      <c r="G458" s="73"/>
      <c r="H458" s="76" t="s">
        <v>2236</v>
      </c>
      <c r="I458" s="96"/>
      <c r="J458" s="9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v>1</v>
      </c>
      <c r="AJ458" s="76">
        <v>1</v>
      </c>
      <c r="AK458" s="73"/>
      <c r="AL458" s="57"/>
      <c r="AM458" s="45"/>
      <c r="AN458" s="45"/>
      <c r="AO458" s="45"/>
    </row>
    <row r="459" spans="1:41" hidden="1" outlineLevel="3" x14ac:dyDescent="0.25">
      <c r="A459" s="45"/>
      <c r="B459" s="54"/>
      <c r="C459" s="47">
        <f t="shared" si="118"/>
        <v>3</v>
      </c>
      <c r="D459" s="73"/>
      <c r="E459" s="70"/>
      <c r="F459" s="70" t="s">
        <v>1050</v>
      </c>
      <c r="G459" s="73"/>
      <c r="H459" s="76" t="s">
        <v>2237</v>
      </c>
      <c r="I459" s="96"/>
      <c r="J459" s="9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v>1</v>
      </c>
      <c r="AJ459" s="76">
        <v>1</v>
      </c>
      <c r="AK459" s="73"/>
      <c r="AL459" s="57"/>
      <c r="AM459" s="45"/>
      <c r="AN459" s="45"/>
      <c r="AO459" s="45"/>
    </row>
    <row r="460" spans="1:41" hidden="1" outlineLevel="3" x14ac:dyDescent="0.25">
      <c r="A460" s="45"/>
      <c r="B460" s="54"/>
      <c r="C460" s="47">
        <f t="shared" si="118"/>
        <v>3</v>
      </c>
      <c r="D460" s="73"/>
      <c r="E460" s="70"/>
      <c r="F460" s="70" t="s">
        <v>1051</v>
      </c>
      <c r="G460" s="73"/>
      <c r="H460" s="76" t="s">
        <v>2238</v>
      </c>
      <c r="I460" s="96"/>
      <c r="J460" s="9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v>1</v>
      </c>
      <c r="AJ460" s="76">
        <v>1</v>
      </c>
      <c r="AK460" s="73"/>
      <c r="AL460" s="57"/>
      <c r="AM460" s="45"/>
      <c r="AN460" s="45"/>
      <c r="AO460" s="45"/>
    </row>
    <row r="461" spans="1:41" hidden="1" outlineLevel="3" x14ac:dyDescent="0.25">
      <c r="A461" s="45"/>
      <c r="B461" s="54"/>
      <c r="C461" s="47">
        <f t="shared" si="118"/>
        <v>3</v>
      </c>
      <c r="D461" s="73"/>
      <c r="E461" s="70"/>
      <c r="F461" s="70" t="s">
        <v>1052</v>
      </c>
      <c r="G461" s="73"/>
      <c r="H461" s="76" t="s">
        <v>2239</v>
      </c>
      <c r="I461" s="96"/>
      <c r="J461" s="9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v>1</v>
      </c>
      <c r="AJ461" s="76">
        <v>1</v>
      </c>
      <c r="AK461" s="73"/>
      <c r="AL461" s="57"/>
      <c r="AM461" s="45"/>
      <c r="AN461" s="45"/>
      <c r="AO461" s="45"/>
    </row>
    <row r="462" spans="1:41" hidden="1" outlineLevel="3" x14ac:dyDescent="0.25">
      <c r="A462" s="45"/>
      <c r="B462" s="54"/>
      <c r="C462" s="47">
        <f t="shared" si="118"/>
        <v>3</v>
      </c>
      <c r="D462" s="73"/>
      <c r="E462" s="70"/>
      <c r="F462" s="70" t="s">
        <v>1053</v>
      </c>
      <c r="G462" s="73"/>
      <c r="H462" s="76" t="s">
        <v>2240</v>
      </c>
      <c r="I462" s="96"/>
      <c r="J462" s="9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v>1</v>
      </c>
      <c r="AJ462" s="76">
        <v>1</v>
      </c>
      <c r="AK462" s="73"/>
      <c r="AL462" s="57"/>
      <c r="AM462" s="45"/>
      <c r="AN462" s="45"/>
      <c r="AO462" s="45"/>
    </row>
    <row r="463" spans="1:41" hidden="1" outlineLevel="3" x14ac:dyDescent="0.25">
      <c r="A463" s="45"/>
      <c r="B463" s="54"/>
      <c r="C463" s="47">
        <f t="shared" si="118"/>
        <v>3</v>
      </c>
      <c r="D463" s="73"/>
      <c r="E463" s="70"/>
      <c r="F463" s="70" t="s">
        <v>1054</v>
      </c>
      <c r="G463" s="73"/>
      <c r="H463" s="76" t="s">
        <v>2241</v>
      </c>
      <c r="I463" s="96"/>
      <c r="J463" s="9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v>1</v>
      </c>
      <c r="AJ463" s="76">
        <v>1</v>
      </c>
      <c r="AK463" s="73"/>
      <c r="AL463" s="57"/>
      <c r="AM463" s="45"/>
      <c r="AN463" s="45"/>
      <c r="AO463" s="45"/>
    </row>
    <row r="464" spans="1:41" hidden="1" outlineLevel="3" x14ac:dyDescent="0.25">
      <c r="A464" s="45"/>
      <c r="B464" s="54"/>
      <c r="C464" s="47">
        <f t="shared" si="118"/>
        <v>3</v>
      </c>
      <c r="D464" s="73"/>
      <c r="E464" s="70"/>
      <c r="F464" s="70" t="s">
        <v>1055</v>
      </c>
      <c r="G464" s="73"/>
      <c r="H464" s="76" t="s">
        <v>3466</v>
      </c>
      <c r="I464" s="96"/>
      <c r="J464" s="9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v>1</v>
      </c>
      <c r="AJ464" s="76">
        <v>1</v>
      </c>
      <c r="AK464" s="73"/>
      <c r="AL464" s="57"/>
      <c r="AM464" s="45"/>
      <c r="AN464" s="45"/>
      <c r="AO464" s="45"/>
    </row>
    <row r="465" spans="1:41" hidden="1" outlineLevel="3" x14ac:dyDescent="0.25">
      <c r="A465" s="45"/>
      <c r="B465" s="54"/>
      <c r="C465" s="47">
        <f t="shared" si="118"/>
        <v>3</v>
      </c>
      <c r="D465" s="73"/>
      <c r="E465" s="70"/>
      <c r="F465" s="70" t="s">
        <v>1056</v>
      </c>
      <c r="G465" s="73"/>
      <c r="H465" s="76" t="s">
        <v>2558</v>
      </c>
      <c r="I465" s="96"/>
      <c r="J465" s="9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v>1</v>
      </c>
      <c r="AJ465" s="76">
        <v>1</v>
      </c>
      <c r="AK465" s="73"/>
      <c r="AL465" s="57"/>
      <c r="AM465" s="45"/>
      <c r="AN465" s="45"/>
      <c r="AO465" s="45"/>
    </row>
    <row r="466" spans="1:41" hidden="1" outlineLevel="3" x14ac:dyDescent="0.25">
      <c r="A466" s="45"/>
      <c r="B466" s="54"/>
      <c r="C466" s="47">
        <f t="shared" si="118"/>
        <v>3</v>
      </c>
      <c r="D466" s="73"/>
      <c r="E466" s="70"/>
      <c r="F466" s="70" t="s">
        <v>1057</v>
      </c>
      <c r="G466" s="73"/>
      <c r="H466" s="76" t="s">
        <v>2236</v>
      </c>
      <c r="I466" s="96"/>
      <c r="J466" s="9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v>1</v>
      </c>
      <c r="AJ466" s="76">
        <v>1</v>
      </c>
      <c r="AK466" s="73"/>
      <c r="AL466" s="57"/>
      <c r="AM466" s="45"/>
      <c r="AN466" s="45"/>
      <c r="AO466" s="45"/>
    </row>
    <row r="467" spans="1:41" hidden="1" outlineLevel="3" x14ac:dyDescent="0.25">
      <c r="A467" s="45"/>
      <c r="B467" s="54"/>
      <c r="C467" s="47">
        <f t="shared" si="118"/>
        <v>3</v>
      </c>
      <c r="D467" s="73"/>
      <c r="E467" s="70"/>
      <c r="F467" s="70" t="s">
        <v>1058</v>
      </c>
      <c r="G467" s="73"/>
      <c r="H467" s="76" t="s">
        <v>2237</v>
      </c>
      <c r="I467" s="96"/>
      <c r="J467" s="9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v>1</v>
      </c>
      <c r="AJ467" s="76">
        <v>1</v>
      </c>
      <c r="AK467" s="73"/>
      <c r="AL467" s="57"/>
      <c r="AM467" s="45"/>
      <c r="AN467" s="45"/>
      <c r="AO467" s="45"/>
    </row>
    <row r="468" spans="1:41" hidden="1" outlineLevel="3" x14ac:dyDescent="0.25">
      <c r="A468" s="45"/>
      <c r="B468" s="54"/>
      <c r="C468" s="47">
        <f t="shared" si="118"/>
        <v>3</v>
      </c>
      <c r="D468" s="73"/>
      <c r="E468" s="70"/>
      <c r="F468" s="70" t="s">
        <v>1059</v>
      </c>
      <c r="G468" s="73"/>
      <c r="H468" s="76" t="s">
        <v>2238</v>
      </c>
      <c r="I468" s="96"/>
      <c r="J468" s="9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v>1</v>
      </c>
      <c r="AJ468" s="76">
        <v>1</v>
      </c>
      <c r="AK468" s="73"/>
      <c r="AL468" s="57"/>
      <c r="AM468" s="45"/>
      <c r="AN468" s="45"/>
      <c r="AO468" s="45"/>
    </row>
    <row r="469" spans="1:41" hidden="1" outlineLevel="3" x14ac:dyDescent="0.25">
      <c r="A469" s="45"/>
      <c r="B469" s="54"/>
      <c r="C469" s="47">
        <f t="shared" si="118"/>
        <v>3</v>
      </c>
      <c r="D469" s="73"/>
      <c r="E469" s="70"/>
      <c r="F469" s="70" t="s">
        <v>1060</v>
      </c>
      <c r="G469" s="73"/>
      <c r="H469" s="76" t="s">
        <v>2239</v>
      </c>
      <c r="I469" s="96"/>
      <c r="J469" s="9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v>1</v>
      </c>
      <c r="AJ469" s="76">
        <v>1</v>
      </c>
      <c r="AK469" s="73"/>
      <c r="AL469" s="57"/>
      <c r="AM469" s="45"/>
      <c r="AN469" s="45"/>
      <c r="AO469" s="45"/>
    </row>
    <row r="470" spans="1:41" hidden="1" outlineLevel="3" x14ac:dyDescent="0.25">
      <c r="A470" s="45"/>
      <c r="B470" s="54"/>
      <c r="C470" s="47">
        <f t="shared" si="118"/>
        <v>3</v>
      </c>
      <c r="D470" s="73"/>
      <c r="E470" s="70"/>
      <c r="F470" s="70" t="s">
        <v>1061</v>
      </c>
      <c r="G470" s="73"/>
      <c r="H470" s="76" t="s">
        <v>2240</v>
      </c>
      <c r="I470" s="96"/>
      <c r="J470" s="9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v>1</v>
      </c>
      <c r="AJ470" s="76">
        <v>1</v>
      </c>
      <c r="AK470" s="73"/>
      <c r="AL470" s="57"/>
      <c r="AM470" s="45"/>
      <c r="AN470" s="45"/>
      <c r="AO470" s="45"/>
    </row>
    <row r="471" spans="1:41" hidden="1" outlineLevel="3" collapsed="1" x14ac:dyDescent="0.25">
      <c r="A471" s="45"/>
      <c r="B471" s="54"/>
      <c r="C471" s="47">
        <f t="shared" si="118"/>
        <v>3</v>
      </c>
      <c r="D471" s="73"/>
      <c r="E471" s="70"/>
      <c r="F471" s="70" t="s">
        <v>1062</v>
      </c>
      <c r="G471" s="73"/>
      <c r="H471" s="76" t="s">
        <v>2241</v>
      </c>
      <c r="I471" s="96"/>
      <c r="J471" s="96"/>
      <c r="K471" s="76"/>
      <c r="L471" s="76"/>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v>1</v>
      </c>
      <c r="AJ471" s="76">
        <v>1</v>
      </c>
      <c r="AK471" s="73"/>
      <c r="AL471" s="57"/>
      <c r="AM471" s="45"/>
      <c r="AN471" s="45"/>
      <c r="AO471" s="45"/>
    </row>
    <row r="472" spans="1:41" hidden="1" outlineLevel="3" x14ac:dyDescent="0.25">
      <c r="A472" s="45"/>
      <c r="B472" s="54"/>
      <c r="C472" s="47">
        <f t="shared" si="118"/>
        <v>3</v>
      </c>
      <c r="D472" s="73"/>
      <c r="E472" s="70"/>
      <c r="F472" s="70" t="s">
        <v>1063</v>
      </c>
      <c r="G472" s="73"/>
      <c r="H472" s="76" t="s">
        <v>3463</v>
      </c>
      <c r="I472" s="96"/>
      <c r="J472" s="9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v>1</v>
      </c>
      <c r="AJ472" s="76">
        <v>1</v>
      </c>
      <c r="AK472" s="73"/>
      <c r="AL472" s="57"/>
      <c r="AM472" s="45"/>
      <c r="AN472" s="45"/>
      <c r="AO472" s="45"/>
    </row>
    <row r="473" spans="1:41" hidden="1" outlineLevel="3" x14ac:dyDescent="0.25">
      <c r="A473" s="45"/>
      <c r="B473" s="54"/>
      <c r="C473" s="47">
        <f t="shared" si="118"/>
        <v>3</v>
      </c>
      <c r="D473" s="73"/>
      <c r="E473" s="70"/>
      <c r="F473" s="70" t="s">
        <v>1064</v>
      </c>
      <c r="G473" s="73"/>
      <c r="H473" s="76" t="s">
        <v>2558</v>
      </c>
      <c r="I473" s="96"/>
      <c r="J473" s="9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v>1</v>
      </c>
      <c r="AJ473" s="76">
        <v>1</v>
      </c>
      <c r="AK473" s="73"/>
      <c r="AL473" s="57"/>
      <c r="AM473" s="45"/>
      <c r="AN473" s="45"/>
      <c r="AO473" s="45"/>
    </row>
    <row r="474" spans="1:41" hidden="1" outlineLevel="3" x14ac:dyDescent="0.25">
      <c r="A474" s="45"/>
      <c r="B474" s="54"/>
      <c r="C474" s="47">
        <f t="shared" si="118"/>
        <v>3</v>
      </c>
      <c r="D474" s="73"/>
      <c r="E474" s="70"/>
      <c r="F474" s="70" t="s">
        <v>1065</v>
      </c>
      <c r="G474" s="73"/>
      <c r="H474" s="76" t="s">
        <v>2236</v>
      </c>
      <c r="I474" s="96"/>
      <c r="J474" s="9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v>1</v>
      </c>
      <c r="AJ474" s="76">
        <v>1</v>
      </c>
      <c r="AK474" s="73"/>
      <c r="AL474" s="57"/>
      <c r="AM474" s="45"/>
      <c r="AN474" s="45"/>
      <c r="AO474" s="45"/>
    </row>
    <row r="475" spans="1:41" hidden="1" outlineLevel="3" x14ac:dyDescent="0.25">
      <c r="A475" s="45"/>
      <c r="B475" s="54"/>
      <c r="C475" s="47">
        <f t="shared" si="118"/>
        <v>3</v>
      </c>
      <c r="D475" s="73"/>
      <c r="E475" s="70"/>
      <c r="F475" s="70" t="s">
        <v>1066</v>
      </c>
      <c r="G475" s="73"/>
      <c r="H475" s="76" t="s">
        <v>2237</v>
      </c>
      <c r="I475" s="96"/>
      <c r="J475" s="9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v>1</v>
      </c>
      <c r="AJ475" s="76">
        <v>1</v>
      </c>
      <c r="AK475" s="73"/>
      <c r="AL475" s="57"/>
      <c r="AM475" s="45"/>
      <c r="AN475" s="45"/>
      <c r="AO475" s="45"/>
    </row>
    <row r="476" spans="1:41" hidden="1" outlineLevel="3" x14ac:dyDescent="0.25">
      <c r="A476" s="45"/>
      <c r="B476" s="54"/>
      <c r="C476" s="47">
        <f t="shared" si="118"/>
        <v>3</v>
      </c>
      <c r="D476" s="73"/>
      <c r="E476" s="70"/>
      <c r="F476" s="70" t="s">
        <v>1067</v>
      </c>
      <c r="G476" s="73"/>
      <c r="H476" s="76" t="s">
        <v>2238</v>
      </c>
      <c r="I476" s="96"/>
      <c r="J476" s="9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v>1</v>
      </c>
      <c r="AJ476" s="76">
        <v>1</v>
      </c>
      <c r="AK476" s="73"/>
      <c r="AL476" s="57"/>
      <c r="AM476" s="45"/>
      <c r="AN476" s="45"/>
      <c r="AO476" s="45"/>
    </row>
    <row r="477" spans="1:41" hidden="1" outlineLevel="3" x14ac:dyDescent="0.25">
      <c r="A477" s="45"/>
      <c r="B477" s="54"/>
      <c r="C477" s="47">
        <f t="shared" si="118"/>
        <v>3</v>
      </c>
      <c r="D477" s="73"/>
      <c r="E477" s="70"/>
      <c r="F477" s="70" t="s">
        <v>1068</v>
      </c>
      <c r="G477" s="73"/>
      <c r="H477" s="76" t="s">
        <v>2239</v>
      </c>
      <c r="I477" s="96"/>
      <c r="J477" s="96"/>
      <c r="K477" s="76"/>
      <c r="L477" s="76"/>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v>1</v>
      </c>
      <c r="AJ477" s="76">
        <v>1</v>
      </c>
      <c r="AK477" s="73"/>
      <c r="AL477" s="57"/>
      <c r="AM477" s="45"/>
      <c r="AN477" s="45"/>
      <c r="AO477" s="45"/>
    </row>
    <row r="478" spans="1:41" hidden="1" outlineLevel="3" x14ac:dyDescent="0.25">
      <c r="A478" s="45"/>
      <c r="B478" s="54"/>
      <c r="C478" s="47">
        <f t="shared" si="118"/>
        <v>3</v>
      </c>
      <c r="D478" s="73"/>
      <c r="E478" s="70"/>
      <c r="F478" s="70" t="s">
        <v>1069</v>
      </c>
      <c r="G478" s="73"/>
      <c r="H478" s="76" t="s">
        <v>2240</v>
      </c>
      <c r="I478" s="96"/>
      <c r="J478" s="96"/>
      <c r="K478" s="76"/>
      <c r="L478" s="76"/>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v>1</v>
      </c>
      <c r="AJ478" s="76">
        <v>1</v>
      </c>
      <c r="AK478" s="73"/>
      <c r="AL478" s="57"/>
      <c r="AM478" s="45"/>
      <c r="AN478" s="45"/>
      <c r="AO478" s="45"/>
    </row>
    <row r="479" spans="1:41" hidden="1" outlineLevel="3" x14ac:dyDescent="0.25">
      <c r="A479" s="45"/>
      <c r="B479" s="54"/>
      <c r="C479" s="47">
        <f t="shared" si="118"/>
        <v>3</v>
      </c>
      <c r="D479" s="73"/>
      <c r="E479" s="70"/>
      <c r="F479" s="70" t="s">
        <v>1070</v>
      </c>
      <c r="G479" s="73"/>
      <c r="H479" s="76" t="s">
        <v>2241</v>
      </c>
      <c r="I479" s="96"/>
      <c r="J479" s="9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v>1</v>
      </c>
      <c r="AJ479" s="76">
        <v>1</v>
      </c>
      <c r="AK479" s="73"/>
      <c r="AL479" s="57"/>
      <c r="AM479" s="45"/>
      <c r="AN479" s="45"/>
      <c r="AO479" s="45"/>
    </row>
    <row r="480" spans="1:41" hidden="1" outlineLevel="3" x14ac:dyDescent="0.25">
      <c r="A480" s="45"/>
      <c r="B480" s="54"/>
      <c r="C480" s="47">
        <f t="shared" ref="C480:C511" si="134">INT($C$29)+2</f>
        <v>3</v>
      </c>
      <c r="D480" s="73"/>
      <c r="E480" s="70"/>
      <c r="F480" s="70" t="s">
        <v>1071</v>
      </c>
      <c r="G480" s="73"/>
      <c r="H480" s="76" t="s">
        <v>3464</v>
      </c>
      <c r="I480" s="96"/>
      <c r="J480" s="9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v>1</v>
      </c>
      <c r="AJ480" s="76">
        <v>1</v>
      </c>
      <c r="AK480" s="73"/>
      <c r="AL480" s="57"/>
      <c r="AM480" s="45"/>
      <c r="AN480" s="45"/>
      <c r="AO480" s="45"/>
    </row>
    <row r="481" spans="1:41" hidden="1" outlineLevel="3" x14ac:dyDescent="0.25">
      <c r="A481" s="45"/>
      <c r="B481" s="54"/>
      <c r="C481" s="47">
        <f t="shared" si="134"/>
        <v>3</v>
      </c>
      <c r="D481" s="73"/>
      <c r="E481" s="70"/>
      <c r="F481" s="70" t="s">
        <v>1072</v>
      </c>
      <c r="G481" s="73"/>
      <c r="H481" s="76" t="s">
        <v>2558</v>
      </c>
      <c r="I481" s="96"/>
      <c r="J481" s="9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v>1</v>
      </c>
      <c r="AJ481" s="76">
        <v>1</v>
      </c>
      <c r="AK481" s="73"/>
      <c r="AL481" s="57"/>
      <c r="AM481" s="45"/>
      <c r="AN481" s="45"/>
      <c r="AO481" s="45"/>
    </row>
    <row r="482" spans="1:41" hidden="1" outlineLevel="3" x14ac:dyDescent="0.25">
      <c r="A482" s="45"/>
      <c r="B482" s="54"/>
      <c r="C482" s="47">
        <f t="shared" si="134"/>
        <v>3</v>
      </c>
      <c r="D482" s="73"/>
      <c r="E482" s="70"/>
      <c r="F482" s="70" t="s">
        <v>1073</v>
      </c>
      <c r="G482" s="73"/>
      <c r="H482" s="76" t="s">
        <v>2236</v>
      </c>
      <c r="I482" s="96"/>
      <c r="J482" s="9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v>1</v>
      </c>
      <c r="AJ482" s="76">
        <v>1</v>
      </c>
      <c r="AK482" s="73"/>
      <c r="AL482" s="57"/>
      <c r="AM482" s="45"/>
      <c r="AN482" s="45"/>
      <c r="AO482" s="45"/>
    </row>
    <row r="483" spans="1:41" hidden="1" outlineLevel="3" x14ac:dyDescent="0.25">
      <c r="A483" s="45"/>
      <c r="B483" s="54"/>
      <c r="C483" s="47">
        <f t="shared" si="134"/>
        <v>3</v>
      </c>
      <c r="D483" s="73"/>
      <c r="E483" s="70"/>
      <c r="F483" s="70" t="s">
        <v>1074</v>
      </c>
      <c r="G483" s="73"/>
      <c r="H483" s="76" t="s">
        <v>2237</v>
      </c>
      <c r="I483" s="96"/>
      <c r="J483" s="9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v>1</v>
      </c>
      <c r="AJ483" s="76">
        <v>1</v>
      </c>
      <c r="AK483" s="73"/>
      <c r="AL483" s="57"/>
      <c r="AM483" s="45"/>
      <c r="AN483" s="45"/>
      <c r="AO483" s="45"/>
    </row>
    <row r="484" spans="1:41" hidden="1" outlineLevel="3" x14ac:dyDescent="0.25">
      <c r="A484" s="45"/>
      <c r="B484" s="54"/>
      <c r="C484" s="47">
        <f t="shared" si="134"/>
        <v>3</v>
      </c>
      <c r="D484" s="73"/>
      <c r="E484" s="70"/>
      <c r="F484" s="70" t="s">
        <v>1075</v>
      </c>
      <c r="G484" s="73"/>
      <c r="H484" s="76" t="s">
        <v>2238</v>
      </c>
      <c r="I484" s="96"/>
      <c r="J484" s="9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v>1</v>
      </c>
      <c r="AJ484" s="76">
        <v>1</v>
      </c>
      <c r="AK484" s="73"/>
      <c r="AL484" s="57"/>
      <c r="AM484" s="45"/>
      <c r="AN484" s="45"/>
      <c r="AO484" s="45"/>
    </row>
    <row r="485" spans="1:41" hidden="1" outlineLevel="3" x14ac:dyDescent="0.25">
      <c r="A485" s="45"/>
      <c r="B485" s="54"/>
      <c r="C485" s="47">
        <f t="shared" si="134"/>
        <v>3</v>
      </c>
      <c r="D485" s="73"/>
      <c r="E485" s="70"/>
      <c r="F485" s="70" t="s">
        <v>1076</v>
      </c>
      <c r="G485" s="73"/>
      <c r="H485" s="76" t="s">
        <v>2239</v>
      </c>
      <c r="I485" s="96"/>
      <c r="J485" s="9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v>1</v>
      </c>
      <c r="AJ485" s="76">
        <v>1</v>
      </c>
      <c r="AK485" s="73"/>
      <c r="AL485" s="57"/>
      <c r="AM485" s="45"/>
      <c r="AN485" s="45"/>
      <c r="AO485" s="45"/>
    </row>
    <row r="486" spans="1:41" hidden="1" outlineLevel="3" x14ac:dyDescent="0.25">
      <c r="A486" s="45"/>
      <c r="B486" s="54"/>
      <c r="C486" s="47">
        <f t="shared" si="134"/>
        <v>3</v>
      </c>
      <c r="D486" s="73"/>
      <c r="E486" s="70"/>
      <c r="F486" s="70" t="s">
        <v>1077</v>
      </c>
      <c r="G486" s="73"/>
      <c r="H486" s="76" t="s">
        <v>2240</v>
      </c>
      <c r="I486" s="96"/>
      <c r="J486" s="9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v>1</v>
      </c>
      <c r="AJ486" s="76">
        <v>1</v>
      </c>
      <c r="AK486" s="73"/>
      <c r="AL486" s="57"/>
      <c r="AM486" s="45"/>
      <c r="AN486" s="45"/>
      <c r="AO486" s="45"/>
    </row>
    <row r="487" spans="1:41" hidden="1" outlineLevel="3" x14ac:dyDescent="0.25">
      <c r="A487" s="45"/>
      <c r="B487" s="54"/>
      <c r="C487" s="47">
        <f t="shared" si="134"/>
        <v>3</v>
      </c>
      <c r="D487" s="73"/>
      <c r="E487" s="70"/>
      <c r="F487" s="70" t="s">
        <v>1078</v>
      </c>
      <c r="G487" s="73"/>
      <c r="H487" s="76" t="s">
        <v>2241</v>
      </c>
      <c r="I487" s="96"/>
      <c r="J487" s="9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v>1</v>
      </c>
      <c r="AJ487" s="76">
        <v>1</v>
      </c>
      <c r="AK487" s="73"/>
      <c r="AL487" s="57"/>
      <c r="AM487" s="45"/>
      <c r="AN487" s="45"/>
      <c r="AO487" s="45"/>
    </row>
    <row r="488" spans="1:41" hidden="1" outlineLevel="3" x14ac:dyDescent="0.25">
      <c r="A488" s="45"/>
      <c r="B488" s="54"/>
      <c r="C488" s="47">
        <f t="shared" si="134"/>
        <v>3</v>
      </c>
      <c r="D488" s="73"/>
      <c r="E488" s="70"/>
      <c r="F488" s="70" t="s">
        <v>1079</v>
      </c>
      <c r="G488" s="73"/>
      <c r="H488" s="76" t="s">
        <v>3465</v>
      </c>
      <c r="I488" s="96"/>
      <c r="J488" s="9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v>1</v>
      </c>
      <c r="AJ488" s="76">
        <v>1</v>
      </c>
      <c r="AK488" s="73"/>
      <c r="AL488" s="57"/>
      <c r="AM488" s="45"/>
      <c r="AN488" s="45"/>
      <c r="AO488" s="45"/>
    </row>
    <row r="489" spans="1:41" hidden="1" outlineLevel="3" x14ac:dyDescent="0.25">
      <c r="A489" s="45"/>
      <c r="B489" s="54"/>
      <c r="C489" s="47">
        <f t="shared" si="134"/>
        <v>3</v>
      </c>
      <c r="D489" s="73"/>
      <c r="E489" s="70"/>
      <c r="F489" s="70" t="s">
        <v>1080</v>
      </c>
      <c r="G489" s="73"/>
      <c r="H489" s="76" t="s">
        <v>2558</v>
      </c>
      <c r="I489" s="96"/>
      <c r="J489" s="9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v>1</v>
      </c>
      <c r="AJ489" s="76">
        <v>1</v>
      </c>
      <c r="AK489" s="73"/>
      <c r="AL489" s="57"/>
      <c r="AM489" s="45"/>
      <c r="AN489" s="45"/>
      <c r="AO489" s="45"/>
    </row>
    <row r="490" spans="1:41" hidden="1" outlineLevel="3" x14ac:dyDescent="0.25">
      <c r="A490" s="45"/>
      <c r="B490" s="54"/>
      <c r="C490" s="47">
        <f t="shared" si="134"/>
        <v>3</v>
      </c>
      <c r="D490" s="73"/>
      <c r="E490" s="70"/>
      <c r="F490" s="70" t="s">
        <v>1081</v>
      </c>
      <c r="G490" s="73"/>
      <c r="H490" s="76" t="s">
        <v>2236</v>
      </c>
      <c r="I490" s="96"/>
      <c r="J490" s="9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v>1</v>
      </c>
      <c r="AJ490" s="76">
        <v>1</v>
      </c>
      <c r="AK490" s="73"/>
      <c r="AL490" s="57"/>
      <c r="AM490" s="45"/>
      <c r="AN490" s="45"/>
      <c r="AO490" s="45"/>
    </row>
    <row r="491" spans="1:41" hidden="1" outlineLevel="3" x14ac:dyDescent="0.25">
      <c r="A491" s="45"/>
      <c r="B491" s="54"/>
      <c r="C491" s="47">
        <f t="shared" si="134"/>
        <v>3</v>
      </c>
      <c r="D491" s="73"/>
      <c r="E491" s="70"/>
      <c r="F491" s="70" t="s">
        <v>1082</v>
      </c>
      <c r="G491" s="73"/>
      <c r="H491" s="76" t="s">
        <v>2237</v>
      </c>
      <c r="I491" s="96"/>
      <c r="J491" s="9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v>1</v>
      </c>
      <c r="AJ491" s="76">
        <v>1</v>
      </c>
      <c r="AK491" s="73"/>
      <c r="AL491" s="57"/>
      <c r="AM491" s="45"/>
      <c r="AN491" s="45"/>
      <c r="AO491" s="45"/>
    </row>
    <row r="492" spans="1:41" hidden="1" outlineLevel="3" x14ac:dyDescent="0.25">
      <c r="A492" s="45"/>
      <c r="B492" s="54"/>
      <c r="C492" s="47">
        <f t="shared" si="134"/>
        <v>3</v>
      </c>
      <c r="D492" s="73"/>
      <c r="E492" s="70"/>
      <c r="F492" s="70" t="s">
        <v>1083</v>
      </c>
      <c r="G492" s="73"/>
      <c r="H492" s="76" t="s">
        <v>2238</v>
      </c>
      <c r="I492" s="96"/>
      <c r="J492" s="9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v>1</v>
      </c>
      <c r="AJ492" s="76">
        <v>1</v>
      </c>
      <c r="AK492" s="73"/>
      <c r="AL492" s="57"/>
      <c r="AM492" s="45"/>
      <c r="AN492" s="45"/>
      <c r="AO492" s="45"/>
    </row>
    <row r="493" spans="1:41" hidden="1" outlineLevel="3" x14ac:dyDescent="0.25">
      <c r="A493" s="45"/>
      <c r="B493" s="54"/>
      <c r="C493" s="47">
        <f t="shared" si="134"/>
        <v>3</v>
      </c>
      <c r="D493" s="73"/>
      <c r="E493" s="70"/>
      <c r="F493" s="70" t="s">
        <v>1084</v>
      </c>
      <c r="G493" s="73"/>
      <c r="H493" s="76" t="s">
        <v>2239</v>
      </c>
      <c r="I493" s="96"/>
      <c r="J493" s="9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v>1</v>
      </c>
      <c r="AJ493" s="76">
        <v>1</v>
      </c>
      <c r="AK493" s="73"/>
      <c r="AL493" s="57"/>
      <c r="AM493" s="45"/>
      <c r="AN493" s="45"/>
      <c r="AO493" s="45"/>
    </row>
    <row r="494" spans="1:41" hidden="1" outlineLevel="3" x14ac:dyDescent="0.25">
      <c r="A494" s="45"/>
      <c r="B494" s="54"/>
      <c r="C494" s="47">
        <f t="shared" si="134"/>
        <v>3</v>
      </c>
      <c r="D494" s="73"/>
      <c r="E494" s="70"/>
      <c r="F494" s="70" t="s">
        <v>1085</v>
      </c>
      <c r="G494" s="73"/>
      <c r="H494" s="76" t="s">
        <v>2240</v>
      </c>
      <c r="I494" s="96"/>
      <c r="J494" s="9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v>1</v>
      </c>
      <c r="AJ494" s="76">
        <v>1</v>
      </c>
      <c r="AK494" s="73"/>
      <c r="AL494" s="57"/>
      <c r="AM494" s="45"/>
      <c r="AN494" s="45"/>
      <c r="AO494" s="45"/>
    </row>
    <row r="495" spans="1:41" hidden="1" outlineLevel="3" x14ac:dyDescent="0.25">
      <c r="A495" s="45"/>
      <c r="B495" s="54"/>
      <c r="C495" s="47">
        <f t="shared" si="134"/>
        <v>3</v>
      </c>
      <c r="D495" s="73"/>
      <c r="E495" s="70"/>
      <c r="F495" s="70" t="s">
        <v>1086</v>
      </c>
      <c r="G495" s="73"/>
      <c r="H495" s="76" t="s">
        <v>2241</v>
      </c>
      <c r="I495" s="96"/>
      <c r="J495" s="9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v>1</v>
      </c>
      <c r="AJ495" s="76">
        <v>1</v>
      </c>
      <c r="AK495" s="73"/>
      <c r="AL495" s="57"/>
      <c r="AM495" s="45"/>
      <c r="AN495" s="45"/>
      <c r="AO495" s="45"/>
    </row>
    <row r="496" spans="1:41" hidden="1" outlineLevel="3" x14ac:dyDescent="0.25">
      <c r="A496" s="45"/>
      <c r="B496" s="54"/>
      <c r="C496" s="47">
        <f t="shared" si="134"/>
        <v>3</v>
      </c>
      <c r="D496" s="73"/>
      <c r="E496" s="70"/>
      <c r="F496" s="70" t="s">
        <v>1087</v>
      </c>
      <c r="G496" s="73"/>
      <c r="H496" s="76" t="s">
        <v>599</v>
      </c>
      <c r="I496" s="96"/>
      <c r="J496" s="9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v>1</v>
      </c>
      <c r="AJ496" s="76">
        <v>1</v>
      </c>
      <c r="AK496" s="73"/>
      <c r="AL496" s="57"/>
      <c r="AM496" s="45"/>
      <c r="AN496" s="45"/>
      <c r="AO496" s="45"/>
    </row>
    <row r="497" spans="1:41" hidden="1" outlineLevel="3" x14ac:dyDescent="0.25">
      <c r="A497" s="45"/>
      <c r="B497" s="54"/>
      <c r="C497" s="47">
        <f t="shared" si="134"/>
        <v>3</v>
      </c>
      <c r="D497" s="73"/>
      <c r="E497" s="70"/>
      <c r="F497" s="70" t="s">
        <v>1088</v>
      </c>
      <c r="G497" s="73"/>
      <c r="H497" s="76"/>
      <c r="I497" s="96"/>
      <c r="J497" s="9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v>1</v>
      </c>
      <c r="AJ497" s="76">
        <v>1</v>
      </c>
      <c r="AK497" s="73"/>
      <c r="AL497" s="57"/>
      <c r="AM497" s="45"/>
      <c r="AN497" s="45"/>
      <c r="AO497" s="45"/>
    </row>
    <row r="498" spans="1:41" hidden="1" outlineLevel="3" x14ac:dyDescent="0.25">
      <c r="A498" s="45"/>
      <c r="B498" s="54"/>
      <c r="C498" s="47">
        <f t="shared" si="134"/>
        <v>3</v>
      </c>
      <c r="D498" s="73"/>
      <c r="E498" s="70"/>
      <c r="F498" s="70" t="s">
        <v>1089</v>
      </c>
      <c r="G498" s="73"/>
      <c r="H498" s="76"/>
      <c r="I498" s="96"/>
      <c r="J498" s="9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v>1</v>
      </c>
      <c r="AJ498" s="76">
        <v>1</v>
      </c>
      <c r="AK498" s="73"/>
      <c r="AL498" s="57"/>
      <c r="AM498" s="45"/>
      <c r="AN498" s="45"/>
      <c r="AO498" s="45"/>
    </row>
    <row r="499" spans="1:41" hidden="1" outlineLevel="3" x14ac:dyDescent="0.25">
      <c r="A499" s="45"/>
      <c r="B499" s="54"/>
      <c r="C499" s="47">
        <f t="shared" si="134"/>
        <v>3</v>
      </c>
      <c r="D499" s="73"/>
      <c r="E499" s="70"/>
      <c r="F499" s="70" t="s">
        <v>1090</v>
      </c>
      <c r="G499" s="73"/>
      <c r="H499" s="76"/>
      <c r="I499" s="96"/>
      <c r="J499" s="9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v>1</v>
      </c>
      <c r="AJ499" s="76">
        <v>1</v>
      </c>
      <c r="AK499" s="73"/>
      <c r="AL499" s="57"/>
      <c r="AM499" s="45"/>
      <c r="AN499" s="45"/>
      <c r="AO499" s="45"/>
    </row>
    <row r="500" spans="1:41" hidden="1" outlineLevel="3" x14ac:dyDescent="0.25">
      <c r="A500" s="45"/>
      <c r="B500" s="54"/>
      <c r="C500" s="47">
        <f t="shared" si="134"/>
        <v>3</v>
      </c>
      <c r="D500" s="73"/>
      <c r="E500" s="70"/>
      <c r="F500" s="70" t="s">
        <v>1091</v>
      </c>
      <c r="G500" s="73"/>
      <c r="H500" s="76"/>
      <c r="I500" s="96"/>
      <c r="J500" s="9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v>1</v>
      </c>
      <c r="AJ500" s="76">
        <v>1</v>
      </c>
      <c r="AK500" s="73"/>
      <c r="AL500" s="57"/>
      <c r="AM500" s="45"/>
      <c r="AN500" s="45"/>
      <c r="AO500" s="45"/>
    </row>
    <row r="501" spans="1:41" hidden="1" outlineLevel="3" x14ac:dyDescent="0.25">
      <c r="A501" s="45"/>
      <c r="B501" s="54"/>
      <c r="C501" s="47">
        <f t="shared" si="134"/>
        <v>3</v>
      </c>
      <c r="D501" s="73"/>
      <c r="E501" s="70"/>
      <c r="F501" s="70" t="s">
        <v>1092</v>
      </c>
      <c r="G501" s="73"/>
      <c r="H501" s="76"/>
      <c r="I501" s="96"/>
      <c r="J501" s="96"/>
      <c r="K501" s="76"/>
      <c r="L501" s="76"/>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v>1</v>
      </c>
      <c r="AJ501" s="76">
        <v>1</v>
      </c>
      <c r="AK501" s="73"/>
      <c r="AL501" s="57"/>
      <c r="AM501" s="45"/>
      <c r="AN501" s="45"/>
      <c r="AO501" s="45"/>
    </row>
    <row r="502" spans="1:41" hidden="1" outlineLevel="3" x14ac:dyDescent="0.25">
      <c r="A502" s="45"/>
      <c r="B502" s="54"/>
      <c r="C502" s="47">
        <f t="shared" si="134"/>
        <v>3</v>
      </c>
      <c r="D502" s="73"/>
      <c r="E502" s="70"/>
      <c r="F502" s="70" t="s">
        <v>1093</v>
      </c>
      <c r="G502" s="73"/>
      <c r="H502" s="76"/>
      <c r="I502" s="96"/>
      <c r="J502" s="96"/>
      <c r="K502" s="76"/>
      <c r="L502" s="76"/>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v>1</v>
      </c>
      <c r="AJ502" s="76">
        <v>1</v>
      </c>
      <c r="AK502" s="73"/>
      <c r="AL502" s="57"/>
      <c r="AM502" s="45"/>
      <c r="AN502" s="45"/>
      <c r="AO502" s="45"/>
    </row>
    <row r="503" spans="1:41" hidden="1" outlineLevel="3" x14ac:dyDescent="0.25">
      <c r="A503" s="45"/>
      <c r="B503" s="54"/>
      <c r="C503" s="47">
        <f t="shared" si="134"/>
        <v>3</v>
      </c>
      <c r="D503" s="73"/>
      <c r="E503" s="70"/>
      <c r="F503" s="70" t="s">
        <v>1094</v>
      </c>
      <c r="G503" s="73"/>
      <c r="H503" s="76"/>
      <c r="I503" s="96"/>
      <c r="J503" s="9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v>1</v>
      </c>
      <c r="AJ503" s="76">
        <v>1</v>
      </c>
      <c r="AK503" s="73"/>
      <c r="AL503" s="57"/>
      <c r="AM503" s="45"/>
      <c r="AN503" s="45"/>
      <c r="AO503" s="45"/>
    </row>
    <row r="504" spans="1:41" hidden="1" outlineLevel="3" x14ac:dyDescent="0.25">
      <c r="A504" s="45"/>
      <c r="B504" s="54"/>
      <c r="C504" s="47">
        <f t="shared" si="134"/>
        <v>3</v>
      </c>
      <c r="D504" s="73"/>
      <c r="E504" s="70"/>
      <c r="F504" s="70" t="s">
        <v>1095</v>
      </c>
      <c r="G504" s="73"/>
      <c r="H504" s="76" t="s">
        <v>599</v>
      </c>
      <c r="I504" s="96"/>
      <c r="J504" s="9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v>1</v>
      </c>
      <c r="AJ504" s="76">
        <v>1</v>
      </c>
      <c r="AK504" s="73"/>
      <c r="AL504" s="57"/>
      <c r="AM504" s="45"/>
      <c r="AN504" s="45"/>
      <c r="AO504" s="45"/>
    </row>
    <row r="505" spans="1:41" hidden="1" outlineLevel="3" x14ac:dyDescent="0.25">
      <c r="A505" s="45"/>
      <c r="B505" s="54"/>
      <c r="C505" s="47">
        <f t="shared" si="134"/>
        <v>3</v>
      </c>
      <c r="D505" s="73"/>
      <c r="E505" s="70"/>
      <c r="F505" s="70" t="s">
        <v>1096</v>
      </c>
      <c r="G505" s="73"/>
      <c r="H505" s="76"/>
      <c r="I505" s="96"/>
      <c r="J505" s="9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v>1</v>
      </c>
      <c r="AJ505" s="76">
        <v>1</v>
      </c>
      <c r="AK505" s="73"/>
      <c r="AL505" s="57"/>
      <c r="AM505" s="45"/>
      <c r="AN505" s="45"/>
      <c r="AO505" s="45"/>
    </row>
    <row r="506" spans="1:41" hidden="1" outlineLevel="3" x14ac:dyDescent="0.25">
      <c r="A506" s="45"/>
      <c r="B506" s="54"/>
      <c r="C506" s="47">
        <f t="shared" si="134"/>
        <v>3</v>
      </c>
      <c r="D506" s="73"/>
      <c r="E506" s="70"/>
      <c r="F506" s="70" t="s">
        <v>1097</v>
      </c>
      <c r="G506" s="73"/>
      <c r="H506" s="76"/>
      <c r="I506" s="96"/>
      <c r="J506" s="9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v>1</v>
      </c>
      <c r="AJ506" s="76">
        <v>1</v>
      </c>
      <c r="AK506" s="73"/>
      <c r="AL506" s="57"/>
      <c r="AM506" s="45"/>
      <c r="AN506" s="45"/>
      <c r="AO506" s="45"/>
    </row>
    <row r="507" spans="1:41" hidden="1" outlineLevel="3" x14ac:dyDescent="0.25">
      <c r="A507" s="45"/>
      <c r="B507" s="54"/>
      <c r="C507" s="47">
        <f t="shared" si="134"/>
        <v>3</v>
      </c>
      <c r="D507" s="73"/>
      <c r="E507" s="70"/>
      <c r="F507" s="70" t="s">
        <v>1098</v>
      </c>
      <c r="G507" s="73"/>
      <c r="H507" s="76"/>
      <c r="I507" s="96"/>
      <c r="J507" s="9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v>1</v>
      </c>
      <c r="AJ507" s="76">
        <v>1</v>
      </c>
      <c r="AK507" s="73"/>
      <c r="AL507" s="57"/>
      <c r="AM507" s="45"/>
      <c r="AN507" s="45"/>
      <c r="AO507" s="45"/>
    </row>
    <row r="508" spans="1:41" hidden="1" outlineLevel="3" x14ac:dyDescent="0.25">
      <c r="A508" s="45"/>
      <c r="B508" s="54"/>
      <c r="C508" s="47">
        <f t="shared" si="134"/>
        <v>3</v>
      </c>
      <c r="D508" s="73"/>
      <c r="E508" s="70"/>
      <c r="F508" s="70" t="s">
        <v>1099</v>
      </c>
      <c r="G508" s="73"/>
      <c r="H508" s="76"/>
      <c r="I508" s="96"/>
      <c r="J508" s="9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v>1</v>
      </c>
      <c r="AJ508" s="76">
        <v>1</v>
      </c>
      <c r="AK508" s="73"/>
      <c r="AL508" s="57"/>
      <c r="AM508" s="45"/>
      <c r="AN508" s="45"/>
      <c r="AO508" s="45"/>
    </row>
    <row r="509" spans="1:41" hidden="1" outlineLevel="3" x14ac:dyDescent="0.25">
      <c r="A509" s="45"/>
      <c r="B509" s="54"/>
      <c r="C509" s="47">
        <f t="shared" si="134"/>
        <v>3</v>
      </c>
      <c r="D509" s="73"/>
      <c r="E509" s="70"/>
      <c r="F509" s="70" t="s">
        <v>1100</v>
      </c>
      <c r="G509" s="73"/>
      <c r="H509" s="76"/>
      <c r="I509" s="96"/>
      <c r="J509" s="9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v>1</v>
      </c>
      <c r="AJ509" s="76">
        <v>1</v>
      </c>
      <c r="AK509" s="73"/>
      <c r="AL509" s="57"/>
      <c r="AM509" s="45"/>
      <c r="AN509" s="45"/>
      <c r="AO509" s="45"/>
    </row>
    <row r="510" spans="1:41" hidden="1" outlineLevel="3" x14ac:dyDescent="0.25">
      <c r="A510" s="45"/>
      <c r="B510" s="54"/>
      <c r="C510" s="47">
        <f t="shared" si="134"/>
        <v>3</v>
      </c>
      <c r="D510" s="73"/>
      <c r="E510" s="70"/>
      <c r="F510" s="70" t="s">
        <v>1101</v>
      </c>
      <c r="G510" s="73"/>
      <c r="H510" s="76"/>
      <c r="I510" s="96"/>
      <c r="J510" s="9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v>1</v>
      </c>
      <c r="AJ510" s="76">
        <v>1</v>
      </c>
      <c r="AK510" s="73"/>
      <c r="AL510" s="57"/>
      <c r="AM510" s="45"/>
      <c r="AN510" s="45"/>
      <c r="AO510" s="45"/>
    </row>
    <row r="511" spans="1:41" hidden="1" outlineLevel="3" x14ac:dyDescent="0.25">
      <c r="A511" s="45"/>
      <c r="B511" s="54"/>
      <c r="C511" s="47">
        <f t="shared" si="134"/>
        <v>3</v>
      </c>
      <c r="D511" s="73"/>
      <c r="E511" s="70"/>
      <c r="F511" s="70" t="s">
        <v>1102</v>
      </c>
      <c r="G511" s="73"/>
      <c r="H511" s="76"/>
      <c r="I511" s="96"/>
      <c r="J511" s="9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v>1</v>
      </c>
      <c r="AJ511" s="76">
        <v>1</v>
      </c>
      <c r="AK511" s="73"/>
      <c r="AL511" s="57"/>
      <c r="AM511" s="45"/>
      <c r="AN511" s="45"/>
      <c r="AO511" s="45"/>
    </row>
    <row r="512" spans="1:41" hidden="1" outlineLevel="2" x14ac:dyDescent="0.25">
      <c r="A512" s="45"/>
      <c r="B512" s="54"/>
      <c r="C512" s="47">
        <f t="shared" ref="C512:C543" si="135">INT($C$29)+2</f>
        <v>3</v>
      </c>
      <c r="D512" s="73"/>
      <c r="E512" s="70"/>
      <c r="F512" s="70" t="s">
        <v>1103</v>
      </c>
      <c r="G512" s="73"/>
      <c r="H512" s="76" t="s">
        <v>2146</v>
      </c>
      <c r="I512" s="96"/>
      <c r="J512" s="96"/>
      <c r="K512" s="76"/>
      <c r="L512" s="76"/>
      <c r="M512" s="76"/>
      <c r="N512" s="76"/>
      <c r="O512" s="76"/>
      <c r="P512" s="76"/>
      <c r="Q512" s="76"/>
      <c r="R512" s="76"/>
      <c r="S512" s="76"/>
      <c r="T512" s="76"/>
      <c r="U512" s="97">
        <f>-1+0.4</f>
        <v>-0.6</v>
      </c>
      <c r="V512" s="255">
        <f>U512</f>
        <v>-0.6</v>
      </c>
      <c r="W512" s="255">
        <f>U512</f>
        <v>-0.6</v>
      </c>
      <c r="X512" s="255">
        <f>V512</f>
        <v>-0.6</v>
      </c>
      <c r="Y512" s="255">
        <f>W512</f>
        <v>-0.6</v>
      </c>
      <c r="Z512" s="255">
        <f t="shared" ref="Z512:AA512" si="136">X512</f>
        <v>-0.6</v>
      </c>
      <c r="AA512" s="255">
        <f t="shared" si="136"/>
        <v>-0.6</v>
      </c>
      <c r="AB512" s="97">
        <v>-1</v>
      </c>
      <c r="AC512" s="255">
        <f>AB512</f>
        <v>-1</v>
      </c>
      <c r="AD512" s="255">
        <f>AC512</f>
        <v>-1</v>
      </c>
      <c r="AE512" s="255">
        <f>AD512</f>
        <v>-1</v>
      </c>
      <c r="AF512" s="76"/>
      <c r="AG512" s="97" t="s">
        <v>2554</v>
      </c>
      <c r="AH512" s="76"/>
      <c r="AI512" s="97">
        <v>1</v>
      </c>
      <c r="AJ512" s="97">
        <v>1</v>
      </c>
      <c r="AK512" s="73"/>
      <c r="AL512" s="57"/>
      <c r="AM512" s="45"/>
      <c r="AN512" s="45"/>
      <c r="AO512" s="45"/>
    </row>
    <row r="513" spans="1:41" hidden="1" outlineLevel="2" x14ac:dyDescent="0.25">
      <c r="A513" s="45"/>
      <c r="B513" s="54"/>
      <c r="C513" s="47">
        <f t="shared" si="135"/>
        <v>3</v>
      </c>
      <c r="D513" s="73"/>
      <c r="E513" s="70"/>
      <c r="F513" s="70" t="s">
        <v>1104</v>
      </c>
      <c r="G513" s="73"/>
      <c r="H513" s="76" t="s">
        <v>2563</v>
      </c>
      <c r="I513" s="96"/>
      <c r="J513" s="9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97">
        <v>1</v>
      </c>
      <c r="AJ513" s="97">
        <v>1</v>
      </c>
      <c r="AK513" s="73"/>
      <c r="AL513" s="57"/>
      <c r="AM513" s="45"/>
      <c r="AN513" s="45"/>
      <c r="AO513" s="45"/>
    </row>
    <row r="514" spans="1:41" hidden="1" outlineLevel="2" collapsed="1" x14ac:dyDescent="0.25">
      <c r="A514" s="45"/>
      <c r="B514" s="54"/>
      <c r="C514" s="47">
        <f t="shared" si="135"/>
        <v>3</v>
      </c>
      <c r="D514" s="73"/>
      <c r="E514" s="70"/>
      <c r="F514" s="70" t="s">
        <v>1105</v>
      </c>
      <c r="G514" s="73"/>
      <c r="H514" s="76" t="s">
        <v>2564</v>
      </c>
      <c r="I514" s="96"/>
      <c r="J514" s="9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97">
        <v>1</v>
      </c>
      <c r="AJ514" s="97">
        <v>1</v>
      </c>
      <c r="AK514" s="73"/>
      <c r="AL514" s="57"/>
      <c r="AM514" s="45"/>
      <c r="AN514" s="45"/>
      <c r="AO514" s="45"/>
    </row>
    <row r="515" spans="1:41" hidden="1" outlineLevel="3" x14ac:dyDescent="0.25">
      <c r="A515" s="45"/>
      <c r="B515" s="54"/>
      <c r="C515" s="47">
        <f t="shared" si="135"/>
        <v>3</v>
      </c>
      <c r="D515" s="73"/>
      <c r="E515" s="70"/>
      <c r="F515" s="70" t="s">
        <v>1106</v>
      </c>
      <c r="G515" s="73"/>
      <c r="H515" s="76" t="s">
        <v>2565</v>
      </c>
      <c r="I515" s="96"/>
      <c r="J515" s="9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v>1</v>
      </c>
      <c r="AJ515" s="76">
        <v>1</v>
      </c>
      <c r="AK515" s="73"/>
      <c r="AL515" s="57"/>
      <c r="AM515" s="45"/>
      <c r="AN515" s="45"/>
      <c r="AO515" s="45"/>
    </row>
    <row r="516" spans="1:41" hidden="1" outlineLevel="3" x14ac:dyDescent="0.25">
      <c r="A516" s="45"/>
      <c r="B516" s="54"/>
      <c r="C516" s="47">
        <f t="shared" si="135"/>
        <v>3</v>
      </c>
      <c r="D516" s="73"/>
      <c r="E516" s="70"/>
      <c r="F516" s="70" t="s">
        <v>1107</v>
      </c>
      <c r="G516" s="73"/>
      <c r="H516" s="76" t="s">
        <v>2566</v>
      </c>
      <c r="I516" s="96"/>
      <c r="J516" s="9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v>1</v>
      </c>
      <c r="AJ516" s="76">
        <v>1</v>
      </c>
      <c r="AK516" s="73"/>
      <c r="AL516" s="57"/>
      <c r="AM516" s="45"/>
      <c r="AN516" s="45"/>
      <c r="AO516" s="45"/>
    </row>
    <row r="517" spans="1:41" hidden="1" outlineLevel="3" x14ac:dyDescent="0.25">
      <c r="A517" s="45"/>
      <c r="B517" s="54"/>
      <c r="C517" s="47">
        <f t="shared" si="135"/>
        <v>3</v>
      </c>
      <c r="D517" s="73"/>
      <c r="E517" s="70"/>
      <c r="F517" s="70" t="s">
        <v>1108</v>
      </c>
      <c r="G517" s="73"/>
      <c r="H517" s="76" t="s">
        <v>2567</v>
      </c>
      <c r="I517" s="96"/>
      <c r="J517" s="9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v>1</v>
      </c>
      <c r="AJ517" s="76">
        <v>1</v>
      </c>
      <c r="AK517" s="73"/>
      <c r="AL517" s="57"/>
      <c r="AM517" s="45"/>
      <c r="AN517" s="45"/>
      <c r="AO517" s="45"/>
    </row>
    <row r="518" spans="1:41" hidden="1" outlineLevel="3" x14ac:dyDescent="0.25">
      <c r="A518" s="45"/>
      <c r="B518" s="54"/>
      <c r="C518" s="47">
        <f t="shared" si="135"/>
        <v>3</v>
      </c>
      <c r="D518" s="73"/>
      <c r="E518" s="70"/>
      <c r="F518" s="70" t="s">
        <v>1109</v>
      </c>
      <c r="G518" s="73"/>
      <c r="H518" s="76" t="s">
        <v>2568</v>
      </c>
      <c r="I518" s="96"/>
      <c r="J518" s="9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v>1</v>
      </c>
      <c r="AJ518" s="76">
        <v>1</v>
      </c>
      <c r="AK518" s="73"/>
      <c r="AL518" s="57"/>
      <c r="AM518" s="45"/>
      <c r="AN518" s="45"/>
      <c r="AO518" s="45"/>
    </row>
    <row r="519" spans="1:41" hidden="1" outlineLevel="3" collapsed="1" x14ac:dyDescent="0.25">
      <c r="A519" s="45"/>
      <c r="B519" s="54"/>
      <c r="C519" s="47">
        <f t="shared" si="135"/>
        <v>3</v>
      </c>
      <c r="D519" s="73"/>
      <c r="E519" s="70"/>
      <c r="F519" s="70" t="s">
        <v>1110</v>
      </c>
      <c r="G519" s="73"/>
      <c r="H519" s="76" t="s">
        <v>2569</v>
      </c>
      <c r="I519" s="96"/>
      <c r="J519" s="9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v>1</v>
      </c>
      <c r="AJ519" s="76">
        <v>1</v>
      </c>
      <c r="AK519" s="73"/>
      <c r="AL519" s="57"/>
      <c r="AM519" s="45"/>
      <c r="AN519" s="45"/>
      <c r="AO519" s="45"/>
    </row>
    <row r="520" spans="1:41" hidden="1" outlineLevel="3" x14ac:dyDescent="0.25">
      <c r="A520" s="45"/>
      <c r="B520" s="54"/>
      <c r="C520" s="47">
        <f t="shared" si="135"/>
        <v>3</v>
      </c>
      <c r="D520" s="73"/>
      <c r="E520" s="70"/>
      <c r="F520" s="70" t="s">
        <v>1111</v>
      </c>
      <c r="G520" s="73"/>
      <c r="H520" s="76" t="s">
        <v>599</v>
      </c>
      <c r="I520" s="96"/>
      <c r="J520" s="9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v>1</v>
      </c>
      <c r="AJ520" s="76">
        <v>1</v>
      </c>
      <c r="AK520" s="73"/>
      <c r="AL520" s="57"/>
      <c r="AM520" s="45"/>
      <c r="AN520" s="45"/>
      <c r="AO520" s="45"/>
    </row>
    <row r="521" spans="1:41" hidden="1" outlineLevel="3" x14ac:dyDescent="0.25">
      <c r="A521" s="45"/>
      <c r="B521" s="54"/>
      <c r="C521" s="47">
        <f t="shared" si="135"/>
        <v>3</v>
      </c>
      <c r="D521" s="73"/>
      <c r="E521" s="70"/>
      <c r="F521" s="70" t="s">
        <v>1112</v>
      </c>
      <c r="G521" s="73"/>
      <c r="H521" s="76"/>
      <c r="I521" s="96"/>
      <c r="J521" s="9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v>1</v>
      </c>
      <c r="AJ521" s="76">
        <v>1</v>
      </c>
      <c r="AK521" s="73"/>
      <c r="AL521" s="57"/>
      <c r="AM521" s="45"/>
      <c r="AN521" s="45"/>
      <c r="AO521" s="45"/>
    </row>
    <row r="522" spans="1:41" hidden="1" outlineLevel="3" x14ac:dyDescent="0.25">
      <c r="A522" s="45"/>
      <c r="B522" s="54"/>
      <c r="C522" s="47">
        <f t="shared" si="135"/>
        <v>3</v>
      </c>
      <c r="D522" s="73"/>
      <c r="E522" s="70"/>
      <c r="F522" s="70" t="s">
        <v>1113</v>
      </c>
      <c r="G522" s="73"/>
      <c r="H522" s="76"/>
      <c r="I522" s="96"/>
      <c r="J522" s="9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v>1</v>
      </c>
      <c r="AJ522" s="76">
        <v>1</v>
      </c>
      <c r="AK522" s="73"/>
      <c r="AL522" s="57"/>
      <c r="AM522" s="45"/>
      <c r="AN522" s="45"/>
      <c r="AO522" s="45"/>
    </row>
    <row r="523" spans="1:41" hidden="1" outlineLevel="3" x14ac:dyDescent="0.25">
      <c r="A523" s="45"/>
      <c r="B523" s="54"/>
      <c r="C523" s="47">
        <f t="shared" si="135"/>
        <v>3</v>
      </c>
      <c r="D523" s="73"/>
      <c r="E523" s="70"/>
      <c r="F523" s="70" t="s">
        <v>1114</v>
      </c>
      <c r="G523" s="73"/>
      <c r="H523" s="76"/>
      <c r="I523" s="96"/>
      <c r="J523" s="9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v>1</v>
      </c>
      <c r="AJ523" s="76">
        <v>1</v>
      </c>
      <c r="AK523" s="73"/>
      <c r="AL523" s="57"/>
      <c r="AM523" s="45"/>
      <c r="AN523" s="45"/>
      <c r="AO523" s="45"/>
    </row>
    <row r="524" spans="1:41" hidden="1" outlineLevel="3" x14ac:dyDescent="0.25">
      <c r="A524" s="45"/>
      <c r="B524" s="54"/>
      <c r="C524" s="47">
        <f t="shared" si="135"/>
        <v>3</v>
      </c>
      <c r="D524" s="73"/>
      <c r="E524" s="70"/>
      <c r="F524" s="70" t="s">
        <v>1115</v>
      </c>
      <c r="G524" s="73"/>
      <c r="H524" s="76"/>
      <c r="I524" s="96"/>
      <c r="J524" s="9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v>1</v>
      </c>
      <c r="AJ524" s="76">
        <v>1</v>
      </c>
      <c r="AK524" s="73"/>
      <c r="AL524" s="57"/>
      <c r="AM524" s="45"/>
      <c r="AN524" s="45"/>
      <c r="AO524" s="45"/>
    </row>
    <row r="525" spans="1:41" hidden="1" outlineLevel="3" x14ac:dyDescent="0.25">
      <c r="A525" s="45"/>
      <c r="B525" s="54"/>
      <c r="C525" s="47">
        <f t="shared" si="135"/>
        <v>3</v>
      </c>
      <c r="D525" s="73"/>
      <c r="E525" s="70"/>
      <c r="F525" s="70" t="s">
        <v>1116</v>
      </c>
      <c r="G525" s="73"/>
      <c r="H525" s="76"/>
      <c r="I525" s="96"/>
      <c r="J525" s="9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v>1</v>
      </c>
      <c r="AJ525" s="76">
        <v>1</v>
      </c>
      <c r="AK525" s="73"/>
      <c r="AL525" s="57"/>
      <c r="AM525" s="45"/>
      <c r="AN525" s="45"/>
      <c r="AO525" s="45"/>
    </row>
    <row r="526" spans="1:41" hidden="1" outlineLevel="3" x14ac:dyDescent="0.25">
      <c r="A526" s="45"/>
      <c r="B526" s="54"/>
      <c r="C526" s="47">
        <f t="shared" si="135"/>
        <v>3</v>
      </c>
      <c r="D526" s="73"/>
      <c r="E526" s="70"/>
      <c r="F526" s="70" t="s">
        <v>1117</v>
      </c>
      <c r="G526" s="73"/>
      <c r="H526" s="76"/>
      <c r="I526" s="96"/>
      <c r="J526" s="9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v>1</v>
      </c>
      <c r="AJ526" s="76">
        <v>1</v>
      </c>
      <c r="AK526" s="73"/>
      <c r="AL526" s="57"/>
      <c r="AM526" s="45"/>
      <c r="AN526" s="45"/>
      <c r="AO526" s="45"/>
    </row>
    <row r="527" spans="1:41" hidden="1" outlineLevel="3" x14ac:dyDescent="0.25">
      <c r="A527" s="45"/>
      <c r="B527" s="54"/>
      <c r="C527" s="47">
        <f t="shared" si="135"/>
        <v>3</v>
      </c>
      <c r="D527" s="73"/>
      <c r="E527" s="70"/>
      <c r="F527" s="70" t="s">
        <v>1118</v>
      </c>
      <c r="G527" s="73"/>
      <c r="H527" s="76"/>
      <c r="I527" s="96"/>
      <c r="J527" s="9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v>1</v>
      </c>
      <c r="AJ527" s="76">
        <v>1</v>
      </c>
      <c r="AK527" s="73"/>
      <c r="AL527" s="57"/>
      <c r="AM527" s="45"/>
      <c r="AN527" s="45"/>
      <c r="AO527" s="45"/>
    </row>
    <row r="528" spans="1:41" hidden="1" outlineLevel="3" x14ac:dyDescent="0.25">
      <c r="A528" s="45"/>
      <c r="B528" s="54"/>
      <c r="C528" s="47">
        <f t="shared" si="135"/>
        <v>3</v>
      </c>
      <c r="D528" s="73"/>
      <c r="E528" s="70"/>
      <c r="F528" s="70" t="s">
        <v>1119</v>
      </c>
      <c r="G528" s="73"/>
      <c r="H528" s="76" t="s">
        <v>599</v>
      </c>
      <c r="I528" s="96"/>
      <c r="J528" s="9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v>1</v>
      </c>
      <c r="AJ528" s="76">
        <v>1</v>
      </c>
      <c r="AK528" s="73"/>
      <c r="AL528" s="57"/>
      <c r="AM528" s="45"/>
      <c r="AN528" s="45"/>
      <c r="AO528" s="45"/>
    </row>
    <row r="529" spans="1:41" hidden="1" outlineLevel="3" x14ac:dyDescent="0.25">
      <c r="A529" s="45"/>
      <c r="B529" s="54"/>
      <c r="C529" s="47">
        <f t="shared" si="135"/>
        <v>3</v>
      </c>
      <c r="D529" s="73"/>
      <c r="E529" s="70"/>
      <c r="F529" s="70" t="s">
        <v>1120</v>
      </c>
      <c r="G529" s="73"/>
      <c r="H529" s="76"/>
      <c r="I529" s="96"/>
      <c r="J529" s="9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v>1</v>
      </c>
      <c r="AJ529" s="76">
        <v>1</v>
      </c>
      <c r="AK529" s="73"/>
      <c r="AL529" s="57"/>
      <c r="AM529" s="45"/>
      <c r="AN529" s="45"/>
      <c r="AO529" s="45"/>
    </row>
    <row r="530" spans="1:41" hidden="1" outlineLevel="3" x14ac:dyDescent="0.25">
      <c r="A530" s="45"/>
      <c r="B530" s="54"/>
      <c r="C530" s="47">
        <f t="shared" si="135"/>
        <v>3</v>
      </c>
      <c r="D530" s="73"/>
      <c r="E530" s="70"/>
      <c r="F530" s="70" t="s">
        <v>1121</v>
      </c>
      <c r="G530" s="73"/>
      <c r="H530" s="76"/>
      <c r="I530" s="96"/>
      <c r="J530" s="9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v>1</v>
      </c>
      <c r="AJ530" s="76">
        <v>1</v>
      </c>
      <c r="AK530" s="73"/>
      <c r="AL530" s="57"/>
      <c r="AM530" s="45"/>
      <c r="AN530" s="45"/>
      <c r="AO530" s="45"/>
    </row>
    <row r="531" spans="1:41" hidden="1" outlineLevel="3" x14ac:dyDescent="0.25">
      <c r="A531" s="45"/>
      <c r="B531" s="54"/>
      <c r="C531" s="47">
        <f t="shared" si="135"/>
        <v>3</v>
      </c>
      <c r="D531" s="73"/>
      <c r="E531" s="70"/>
      <c r="F531" s="70" t="s">
        <v>1122</v>
      </c>
      <c r="G531" s="73"/>
      <c r="H531" s="76"/>
      <c r="I531" s="96"/>
      <c r="J531" s="9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v>1</v>
      </c>
      <c r="AJ531" s="76">
        <v>1</v>
      </c>
      <c r="AK531" s="73"/>
      <c r="AL531" s="57"/>
      <c r="AM531" s="45"/>
      <c r="AN531" s="45"/>
      <c r="AO531" s="45"/>
    </row>
    <row r="532" spans="1:41" hidden="1" outlineLevel="3" x14ac:dyDescent="0.25">
      <c r="A532" s="45"/>
      <c r="B532" s="54"/>
      <c r="C532" s="47">
        <f t="shared" si="135"/>
        <v>3</v>
      </c>
      <c r="D532" s="73"/>
      <c r="E532" s="70"/>
      <c r="F532" s="70" t="s">
        <v>1123</v>
      </c>
      <c r="G532" s="73"/>
      <c r="H532" s="76"/>
      <c r="I532" s="96"/>
      <c r="J532" s="9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v>1</v>
      </c>
      <c r="AJ532" s="76">
        <v>1</v>
      </c>
      <c r="AK532" s="73"/>
      <c r="AL532" s="57"/>
      <c r="AM532" s="45"/>
      <c r="AN532" s="45"/>
      <c r="AO532" s="45"/>
    </row>
    <row r="533" spans="1:41" hidden="1" outlineLevel="3" x14ac:dyDescent="0.25">
      <c r="A533" s="45"/>
      <c r="B533" s="54"/>
      <c r="C533" s="47">
        <f t="shared" si="135"/>
        <v>3</v>
      </c>
      <c r="D533" s="73"/>
      <c r="E533" s="70"/>
      <c r="F533" s="70" t="s">
        <v>1124</v>
      </c>
      <c r="G533" s="73"/>
      <c r="H533" s="76"/>
      <c r="I533" s="96"/>
      <c r="J533" s="9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v>1</v>
      </c>
      <c r="AJ533" s="76">
        <v>1</v>
      </c>
      <c r="AK533" s="73"/>
      <c r="AL533" s="57"/>
      <c r="AM533" s="45"/>
      <c r="AN533" s="45"/>
      <c r="AO533" s="45"/>
    </row>
    <row r="534" spans="1:41" hidden="1" outlineLevel="3" x14ac:dyDescent="0.25">
      <c r="A534" s="45"/>
      <c r="B534" s="54"/>
      <c r="C534" s="47">
        <f t="shared" si="135"/>
        <v>3</v>
      </c>
      <c r="D534" s="73"/>
      <c r="E534" s="70"/>
      <c r="F534" s="70" t="s">
        <v>1125</v>
      </c>
      <c r="G534" s="73"/>
      <c r="H534" s="76"/>
      <c r="I534" s="96"/>
      <c r="J534" s="9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v>1</v>
      </c>
      <c r="AJ534" s="76">
        <v>1</v>
      </c>
      <c r="AK534" s="73"/>
      <c r="AL534" s="57"/>
      <c r="AM534" s="45"/>
      <c r="AN534" s="45"/>
      <c r="AO534" s="45"/>
    </row>
    <row r="535" spans="1:41" hidden="1" outlineLevel="3" x14ac:dyDescent="0.25">
      <c r="A535" s="45"/>
      <c r="B535" s="54"/>
      <c r="C535" s="47">
        <f t="shared" si="135"/>
        <v>3</v>
      </c>
      <c r="D535" s="73"/>
      <c r="E535" s="70"/>
      <c r="F535" s="70" t="s">
        <v>1126</v>
      </c>
      <c r="G535" s="73"/>
      <c r="H535" s="76"/>
      <c r="I535" s="96"/>
      <c r="J535" s="9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v>1</v>
      </c>
      <c r="AJ535" s="76">
        <v>1</v>
      </c>
      <c r="AK535" s="73"/>
      <c r="AL535" s="57"/>
      <c r="AM535" s="45"/>
      <c r="AN535" s="45"/>
      <c r="AO535" s="45"/>
    </row>
    <row r="536" spans="1:41" hidden="1" outlineLevel="3" x14ac:dyDescent="0.25">
      <c r="A536" s="45"/>
      <c r="B536" s="54"/>
      <c r="C536" s="47">
        <f t="shared" si="135"/>
        <v>3</v>
      </c>
      <c r="D536" s="73"/>
      <c r="E536" s="70"/>
      <c r="F536" s="70" t="s">
        <v>1127</v>
      </c>
      <c r="G536" s="73"/>
      <c r="H536" s="76" t="s">
        <v>599</v>
      </c>
      <c r="I536" s="96"/>
      <c r="J536" s="9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v>1</v>
      </c>
      <c r="AJ536" s="76">
        <v>1</v>
      </c>
      <c r="AK536" s="73"/>
      <c r="AL536" s="57"/>
      <c r="AM536" s="45"/>
      <c r="AN536" s="45"/>
      <c r="AO536" s="45"/>
    </row>
    <row r="537" spans="1:41" hidden="1" outlineLevel="3" x14ac:dyDescent="0.25">
      <c r="A537" s="45"/>
      <c r="B537" s="54"/>
      <c r="C537" s="47">
        <f t="shared" si="135"/>
        <v>3</v>
      </c>
      <c r="D537" s="73"/>
      <c r="E537" s="70"/>
      <c r="F537" s="70" t="s">
        <v>1128</v>
      </c>
      <c r="G537" s="73"/>
      <c r="H537" s="76"/>
      <c r="I537" s="96"/>
      <c r="J537" s="9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v>1</v>
      </c>
      <c r="AJ537" s="76">
        <v>1</v>
      </c>
      <c r="AK537" s="73"/>
      <c r="AL537" s="57"/>
      <c r="AM537" s="45"/>
      <c r="AN537" s="45"/>
      <c r="AO537" s="45"/>
    </row>
    <row r="538" spans="1:41" hidden="1" outlineLevel="3" x14ac:dyDescent="0.25">
      <c r="A538" s="45"/>
      <c r="B538" s="54"/>
      <c r="C538" s="47">
        <f t="shared" si="135"/>
        <v>3</v>
      </c>
      <c r="D538" s="73"/>
      <c r="E538" s="70"/>
      <c r="F538" s="70" t="s">
        <v>1129</v>
      </c>
      <c r="G538" s="73"/>
      <c r="H538" s="76"/>
      <c r="I538" s="96"/>
      <c r="J538" s="9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v>1</v>
      </c>
      <c r="AJ538" s="76">
        <v>1</v>
      </c>
      <c r="AK538" s="73"/>
      <c r="AL538" s="57"/>
      <c r="AM538" s="45"/>
      <c r="AN538" s="45"/>
      <c r="AO538" s="45"/>
    </row>
    <row r="539" spans="1:41" hidden="1" outlineLevel="3" x14ac:dyDescent="0.25">
      <c r="A539" s="45"/>
      <c r="B539" s="54"/>
      <c r="C539" s="47">
        <f t="shared" si="135"/>
        <v>3</v>
      </c>
      <c r="D539" s="73"/>
      <c r="E539" s="70"/>
      <c r="F539" s="70" t="s">
        <v>1130</v>
      </c>
      <c r="G539" s="73"/>
      <c r="H539" s="76"/>
      <c r="I539" s="96"/>
      <c r="J539" s="9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v>1</v>
      </c>
      <c r="AJ539" s="76">
        <v>1</v>
      </c>
      <c r="AK539" s="73"/>
      <c r="AL539" s="57"/>
      <c r="AM539" s="45"/>
      <c r="AN539" s="45"/>
      <c r="AO539" s="45"/>
    </row>
    <row r="540" spans="1:41" hidden="1" outlineLevel="3" x14ac:dyDescent="0.25">
      <c r="A540" s="45"/>
      <c r="B540" s="54"/>
      <c r="C540" s="47">
        <f t="shared" si="135"/>
        <v>3</v>
      </c>
      <c r="D540" s="73"/>
      <c r="E540" s="70"/>
      <c r="F540" s="70" t="s">
        <v>1131</v>
      </c>
      <c r="G540" s="73"/>
      <c r="H540" s="76"/>
      <c r="I540" s="96"/>
      <c r="J540" s="9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v>1</v>
      </c>
      <c r="AJ540" s="76">
        <v>1</v>
      </c>
      <c r="AK540" s="73"/>
      <c r="AL540" s="57"/>
      <c r="AM540" s="45"/>
      <c r="AN540" s="45"/>
      <c r="AO540" s="45"/>
    </row>
    <row r="541" spans="1:41" hidden="1" outlineLevel="3" x14ac:dyDescent="0.25">
      <c r="A541" s="45"/>
      <c r="B541" s="54"/>
      <c r="C541" s="47">
        <f t="shared" si="135"/>
        <v>3</v>
      </c>
      <c r="D541" s="73"/>
      <c r="E541" s="70"/>
      <c r="F541" s="70" t="s">
        <v>1132</v>
      </c>
      <c r="G541" s="73"/>
      <c r="H541" s="76"/>
      <c r="I541" s="96"/>
      <c r="J541" s="96"/>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v>1</v>
      </c>
      <c r="AJ541" s="76">
        <v>1</v>
      </c>
      <c r="AK541" s="73"/>
      <c r="AL541" s="57"/>
      <c r="AM541" s="45"/>
      <c r="AN541" s="45"/>
      <c r="AO541" s="45"/>
    </row>
    <row r="542" spans="1:41" hidden="1" outlineLevel="3" x14ac:dyDescent="0.25">
      <c r="A542" s="45"/>
      <c r="B542" s="54"/>
      <c r="C542" s="47">
        <f t="shared" si="135"/>
        <v>3</v>
      </c>
      <c r="D542" s="73"/>
      <c r="E542" s="70"/>
      <c r="F542" s="70" t="s">
        <v>1133</v>
      </c>
      <c r="G542" s="73"/>
      <c r="H542" s="76"/>
      <c r="I542" s="96"/>
      <c r="J542" s="96"/>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v>1</v>
      </c>
      <c r="AJ542" s="76">
        <v>1</v>
      </c>
      <c r="AK542" s="73"/>
      <c r="AL542" s="57"/>
      <c r="AM542" s="45"/>
      <c r="AN542" s="45"/>
      <c r="AO542" s="45"/>
    </row>
    <row r="543" spans="1:41" hidden="1" outlineLevel="3" x14ac:dyDescent="0.25">
      <c r="A543" s="45"/>
      <c r="B543" s="54"/>
      <c r="C543" s="47">
        <f t="shared" si="135"/>
        <v>3</v>
      </c>
      <c r="D543" s="73"/>
      <c r="E543" s="70"/>
      <c r="F543" s="70" t="s">
        <v>1134</v>
      </c>
      <c r="G543" s="73"/>
      <c r="H543" s="76"/>
      <c r="I543" s="96"/>
      <c r="J543" s="96"/>
      <c r="K543" s="76"/>
      <c r="L543" s="76"/>
      <c r="M543" s="76"/>
      <c r="N543" s="76"/>
      <c r="O543" s="76"/>
      <c r="P543" s="76"/>
      <c r="Q543" s="76"/>
      <c r="R543" s="76"/>
      <c r="S543" s="76"/>
      <c r="T543" s="96" t="s">
        <v>1135</v>
      </c>
      <c r="U543" s="76"/>
      <c r="V543" s="76"/>
      <c r="W543" s="76"/>
      <c r="X543" s="76"/>
      <c r="Y543" s="76"/>
      <c r="Z543" s="76"/>
      <c r="AA543" s="76"/>
      <c r="AB543" s="76"/>
      <c r="AC543" s="76"/>
      <c r="AD543" s="76"/>
      <c r="AE543" s="76"/>
      <c r="AF543" s="76"/>
      <c r="AG543" s="76"/>
      <c r="AH543" s="76"/>
      <c r="AI543" s="76">
        <v>1</v>
      </c>
      <c r="AJ543" s="76">
        <v>1</v>
      </c>
      <c r="AK543" s="73"/>
      <c r="AL543" s="57"/>
      <c r="AM543" s="45"/>
      <c r="AN543" s="45"/>
      <c r="AO543" s="45"/>
    </row>
    <row r="544" spans="1:41" hidden="1" outlineLevel="2" x14ac:dyDescent="0.25">
      <c r="A544" s="45"/>
      <c r="B544" s="54"/>
      <c r="C544" s="47">
        <f t="shared" ref="C544:C575" si="137">INT($C$29)+2</f>
        <v>3</v>
      </c>
      <c r="D544" s="73"/>
      <c r="E544" s="70"/>
      <c r="F544" s="70" t="s">
        <v>1136</v>
      </c>
      <c r="G544" s="73"/>
      <c r="H544" s="76" t="s">
        <v>1137</v>
      </c>
      <c r="I544" s="96" t="s">
        <v>497</v>
      </c>
      <c r="J544" s="96" t="s">
        <v>1138</v>
      </c>
      <c r="K544" s="76"/>
      <c r="L544" s="76"/>
      <c r="M544" s="76"/>
      <c r="N544" s="76"/>
      <c r="O544" s="76"/>
      <c r="P544" s="76"/>
      <c r="Q544" s="76"/>
      <c r="R544" s="76"/>
      <c r="S544" s="76"/>
      <c r="T544" s="76">
        <v>-0.1</v>
      </c>
      <c r="U544" s="97">
        <v>-0.2</v>
      </c>
      <c r="V544" s="97">
        <v>-0.2</v>
      </c>
      <c r="W544" s="97">
        <v>-0.2</v>
      </c>
      <c r="X544" s="97">
        <v>-0.2</v>
      </c>
      <c r="Y544" s="97">
        <v>-0.2</v>
      </c>
      <c r="Z544" s="97">
        <v>-0.2</v>
      </c>
      <c r="AA544" s="97">
        <v>-0.2</v>
      </c>
      <c r="AB544" s="255">
        <f t="shared" ref="AB544:AE548" si="138">AA544</f>
        <v>-0.2</v>
      </c>
      <c r="AC544" s="255">
        <f t="shared" si="138"/>
        <v>-0.2</v>
      </c>
      <c r="AD544" s="255">
        <f t="shared" si="138"/>
        <v>-0.2</v>
      </c>
      <c r="AE544" s="255">
        <f t="shared" si="138"/>
        <v>-0.2</v>
      </c>
      <c r="AF544" s="76"/>
      <c r="AG544" s="97" t="s">
        <v>1139</v>
      </c>
      <c r="AH544" s="76"/>
      <c r="AI544" s="97">
        <v>1</v>
      </c>
      <c r="AJ544" s="97">
        <v>1</v>
      </c>
      <c r="AK544" s="73"/>
      <c r="AL544" s="57"/>
      <c r="AM544" s="45"/>
      <c r="AN544" s="45"/>
      <c r="AO544" s="45"/>
    </row>
    <row r="545" spans="1:41" hidden="1" outlineLevel="2" x14ac:dyDescent="0.25">
      <c r="A545" s="45"/>
      <c r="B545" s="54"/>
      <c r="C545" s="47">
        <f t="shared" si="137"/>
        <v>3</v>
      </c>
      <c r="D545" s="73"/>
      <c r="E545" s="70"/>
      <c r="F545" s="70" t="s">
        <v>1140</v>
      </c>
      <c r="G545" s="73"/>
      <c r="H545" s="76" t="s">
        <v>2570</v>
      </c>
      <c r="I545" s="96" t="s">
        <v>497</v>
      </c>
      <c r="J545" s="96" t="s">
        <v>1138</v>
      </c>
      <c r="K545" s="76"/>
      <c r="L545" s="76"/>
      <c r="M545" s="76"/>
      <c r="N545" s="76"/>
      <c r="O545" s="76"/>
      <c r="P545" s="76"/>
      <c r="Q545" s="76"/>
      <c r="R545" s="76"/>
      <c r="S545" s="76"/>
      <c r="T545" s="76">
        <v>0</v>
      </c>
      <c r="U545" s="97">
        <v>-0.1</v>
      </c>
      <c r="V545" s="97">
        <v>-0.1</v>
      </c>
      <c r="W545" s="97">
        <v>-0.1</v>
      </c>
      <c r="X545" s="97">
        <v>-0.1</v>
      </c>
      <c r="Y545" s="97">
        <v>-0.1</v>
      </c>
      <c r="Z545" s="97">
        <v>-0.1</v>
      </c>
      <c r="AA545" s="97">
        <v>-0.1</v>
      </c>
      <c r="AB545" s="255">
        <f t="shared" si="138"/>
        <v>-0.1</v>
      </c>
      <c r="AC545" s="255">
        <f t="shared" si="138"/>
        <v>-0.1</v>
      </c>
      <c r="AD545" s="255">
        <f t="shared" si="138"/>
        <v>-0.1</v>
      </c>
      <c r="AE545" s="255">
        <f t="shared" si="138"/>
        <v>-0.1</v>
      </c>
      <c r="AF545" s="76"/>
      <c r="AG545" s="97" t="s">
        <v>2559</v>
      </c>
      <c r="AH545" s="76"/>
      <c r="AI545" s="97">
        <v>1</v>
      </c>
      <c r="AJ545" s="97">
        <v>1</v>
      </c>
      <c r="AK545" s="73"/>
      <c r="AL545" s="57"/>
      <c r="AM545" s="45"/>
      <c r="AN545" s="45"/>
      <c r="AO545" s="45"/>
    </row>
    <row r="546" spans="1:41" hidden="1" outlineLevel="2" x14ac:dyDescent="0.25">
      <c r="A546" s="45"/>
      <c r="B546" s="54"/>
      <c r="C546" s="47">
        <f t="shared" si="137"/>
        <v>3</v>
      </c>
      <c r="D546" s="73"/>
      <c r="E546" s="70"/>
      <c r="F546" s="70" t="s">
        <v>1141</v>
      </c>
      <c r="G546" s="73"/>
      <c r="H546" s="76" t="s">
        <v>2571</v>
      </c>
      <c r="I546" s="96" t="s">
        <v>497</v>
      </c>
      <c r="J546" s="96" t="s">
        <v>1138</v>
      </c>
      <c r="K546" s="76"/>
      <c r="L546" s="76"/>
      <c r="M546" s="76"/>
      <c r="N546" s="76"/>
      <c r="O546" s="76"/>
      <c r="P546" s="76"/>
      <c r="Q546" s="76"/>
      <c r="R546" s="76"/>
      <c r="S546" s="76"/>
      <c r="T546" s="76">
        <v>-1.4E-2</v>
      </c>
      <c r="U546" s="97">
        <v>0</v>
      </c>
      <c r="V546" s="97">
        <v>0</v>
      </c>
      <c r="W546" s="97">
        <v>0</v>
      </c>
      <c r="X546" s="97">
        <v>0</v>
      </c>
      <c r="Y546" s="97">
        <v>0</v>
      </c>
      <c r="Z546" s="97">
        <v>0</v>
      </c>
      <c r="AA546" s="97">
        <v>0</v>
      </c>
      <c r="AB546" s="255">
        <f t="shared" si="138"/>
        <v>0</v>
      </c>
      <c r="AC546" s="255">
        <f t="shared" si="138"/>
        <v>0</v>
      </c>
      <c r="AD546" s="255">
        <f t="shared" si="138"/>
        <v>0</v>
      </c>
      <c r="AE546" s="255">
        <f t="shared" si="138"/>
        <v>0</v>
      </c>
      <c r="AF546" s="76"/>
      <c r="AG546" s="97"/>
      <c r="AH546" s="76"/>
      <c r="AI546" s="97">
        <v>1</v>
      </c>
      <c r="AJ546" s="97">
        <v>1</v>
      </c>
      <c r="AK546" s="73"/>
      <c r="AL546" s="57"/>
      <c r="AM546" s="45"/>
      <c r="AN546" s="45"/>
      <c r="AO546" s="45"/>
    </row>
    <row r="547" spans="1:41" hidden="1" outlineLevel="2" x14ac:dyDescent="0.25">
      <c r="A547" s="45"/>
      <c r="B547" s="54"/>
      <c r="C547" s="47">
        <f t="shared" si="137"/>
        <v>3</v>
      </c>
      <c r="D547" s="73"/>
      <c r="E547" s="70"/>
      <c r="F547" s="70" t="s">
        <v>1142</v>
      </c>
      <c r="G547" s="73"/>
      <c r="H547" s="76" t="s">
        <v>2572</v>
      </c>
      <c r="I547" s="96" t="s">
        <v>497</v>
      </c>
      <c r="J547" s="96" t="s">
        <v>1138</v>
      </c>
      <c r="K547" s="76"/>
      <c r="L547" s="76"/>
      <c r="M547" s="76"/>
      <c r="N547" s="76"/>
      <c r="O547" s="76"/>
      <c r="P547" s="76"/>
      <c r="Q547" s="76"/>
      <c r="R547" s="76"/>
      <c r="S547" s="76"/>
      <c r="T547" s="76">
        <v>-0.104</v>
      </c>
      <c r="U547" s="97">
        <v>0</v>
      </c>
      <c r="V547" s="97">
        <v>0</v>
      </c>
      <c r="W547" s="97">
        <v>0</v>
      </c>
      <c r="X547" s="97">
        <v>0</v>
      </c>
      <c r="Y547" s="97">
        <v>0</v>
      </c>
      <c r="Z547" s="97">
        <v>0</v>
      </c>
      <c r="AA547" s="97">
        <v>0</v>
      </c>
      <c r="AB547" s="255">
        <f t="shared" si="138"/>
        <v>0</v>
      </c>
      <c r="AC547" s="255">
        <f t="shared" si="138"/>
        <v>0</v>
      </c>
      <c r="AD547" s="255">
        <f t="shared" si="138"/>
        <v>0</v>
      </c>
      <c r="AE547" s="255">
        <f t="shared" si="138"/>
        <v>0</v>
      </c>
      <c r="AF547" s="76"/>
      <c r="AG547" s="97"/>
      <c r="AH547" s="76"/>
      <c r="AI547" s="97">
        <v>1</v>
      </c>
      <c r="AJ547" s="97">
        <v>1</v>
      </c>
      <c r="AK547" s="73"/>
      <c r="AL547" s="57"/>
      <c r="AM547" s="45"/>
      <c r="AN547" s="45"/>
      <c r="AO547" s="45"/>
    </row>
    <row r="548" spans="1:41" hidden="1" outlineLevel="2" collapsed="1" x14ac:dyDescent="0.25">
      <c r="A548" s="45"/>
      <c r="B548" s="54"/>
      <c r="C548" s="47">
        <f t="shared" si="137"/>
        <v>3</v>
      </c>
      <c r="D548" s="73"/>
      <c r="E548" s="70"/>
      <c r="F548" s="70" t="s">
        <v>1143</v>
      </c>
      <c r="G548" s="73"/>
      <c r="H548" s="76" t="s">
        <v>2573</v>
      </c>
      <c r="I548" s="96" t="s">
        <v>497</v>
      </c>
      <c r="J548" s="96" t="s">
        <v>1138</v>
      </c>
      <c r="K548" s="76"/>
      <c r="L548" s="76"/>
      <c r="M548" s="76"/>
      <c r="N548" s="76"/>
      <c r="O548" s="76"/>
      <c r="P548" s="76"/>
      <c r="Q548" s="76"/>
      <c r="R548" s="76"/>
      <c r="S548" s="76"/>
      <c r="T548" s="76">
        <v>-0.32100000000000001</v>
      </c>
      <c r="U548" s="97">
        <v>0</v>
      </c>
      <c r="V548" s="97">
        <v>0</v>
      </c>
      <c r="W548" s="97">
        <v>0</v>
      </c>
      <c r="X548" s="97">
        <v>0</v>
      </c>
      <c r="Y548" s="97">
        <v>0</v>
      </c>
      <c r="Z548" s="97">
        <v>0</v>
      </c>
      <c r="AA548" s="97">
        <v>0</v>
      </c>
      <c r="AB548" s="255">
        <f t="shared" si="138"/>
        <v>0</v>
      </c>
      <c r="AC548" s="255">
        <f t="shared" si="138"/>
        <v>0</v>
      </c>
      <c r="AD548" s="255">
        <f t="shared" si="138"/>
        <v>0</v>
      </c>
      <c r="AE548" s="255">
        <f t="shared" si="138"/>
        <v>0</v>
      </c>
      <c r="AF548" s="76"/>
      <c r="AG548" s="97"/>
      <c r="AH548" s="76"/>
      <c r="AI548" s="97">
        <v>1</v>
      </c>
      <c r="AJ548" s="97">
        <v>1</v>
      </c>
      <c r="AK548" s="73"/>
      <c r="AL548" s="57"/>
      <c r="AM548" s="45"/>
      <c r="AN548" s="45"/>
      <c r="AO548" s="45"/>
    </row>
    <row r="549" spans="1:41" hidden="1" outlineLevel="3" x14ac:dyDescent="0.25">
      <c r="A549" s="45"/>
      <c r="B549" s="54"/>
      <c r="C549" s="47">
        <f t="shared" si="137"/>
        <v>3</v>
      </c>
      <c r="D549" s="73"/>
      <c r="E549" s="70"/>
      <c r="F549" s="70" t="s">
        <v>1144</v>
      </c>
      <c r="G549" s="73"/>
      <c r="H549" s="76" t="s">
        <v>2574</v>
      </c>
      <c r="I549" s="96" t="s">
        <v>497</v>
      </c>
      <c r="J549" s="96" t="s">
        <v>1138</v>
      </c>
      <c r="K549" s="76"/>
      <c r="L549" s="76"/>
      <c r="M549" s="76"/>
      <c r="N549" s="76"/>
      <c r="O549" s="76"/>
      <c r="P549" s="76"/>
      <c r="Q549" s="76"/>
      <c r="R549" s="76"/>
      <c r="S549" s="76"/>
      <c r="T549" s="76">
        <v>-0.32100000000000001</v>
      </c>
      <c r="U549" s="261">
        <f t="shared" ref="U549:AD551" si="139">U548</f>
        <v>0</v>
      </c>
      <c r="V549" s="261">
        <f t="shared" si="139"/>
        <v>0</v>
      </c>
      <c r="W549" s="261">
        <f t="shared" si="139"/>
        <v>0</v>
      </c>
      <c r="X549" s="261">
        <f t="shared" si="139"/>
        <v>0</v>
      </c>
      <c r="Y549" s="261">
        <f t="shared" ref="Y549" si="140">Y548</f>
        <v>0</v>
      </c>
      <c r="Z549" s="261">
        <f t="shared" ref="Z549:AA549" si="141">Z548</f>
        <v>0</v>
      </c>
      <c r="AA549" s="261">
        <f t="shared" si="141"/>
        <v>0</v>
      </c>
      <c r="AB549" s="261">
        <f t="shared" si="139"/>
        <v>0</v>
      </c>
      <c r="AC549" s="261">
        <f t="shared" si="139"/>
        <v>0</v>
      </c>
      <c r="AD549" s="261">
        <f t="shared" si="139"/>
        <v>0</v>
      </c>
      <c r="AE549" s="261">
        <f t="shared" ref="AE549" si="142">AE548</f>
        <v>0</v>
      </c>
      <c r="AF549" s="76"/>
      <c r="AG549" s="97"/>
      <c r="AH549" s="76"/>
      <c r="AI549" s="97">
        <v>1</v>
      </c>
      <c r="AJ549" s="97">
        <v>1</v>
      </c>
      <c r="AK549" s="73"/>
      <c r="AL549" s="57"/>
      <c r="AM549" s="45"/>
      <c r="AN549" s="45"/>
      <c r="AO549" s="45"/>
    </row>
    <row r="550" spans="1:41" hidden="1" outlineLevel="3" x14ac:dyDescent="0.25">
      <c r="A550" s="45"/>
      <c r="B550" s="54"/>
      <c r="C550" s="47">
        <f t="shared" si="137"/>
        <v>3</v>
      </c>
      <c r="D550" s="73"/>
      <c r="E550" s="70"/>
      <c r="F550" s="70" t="s">
        <v>1145</v>
      </c>
      <c r="G550" s="73"/>
      <c r="H550" s="76" t="s">
        <v>2575</v>
      </c>
      <c r="I550" s="96" t="s">
        <v>497</v>
      </c>
      <c r="J550" s="96" t="s">
        <v>1138</v>
      </c>
      <c r="K550" s="76"/>
      <c r="L550" s="76"/>
      <c r="M550" s="76"/>
      <c r="N550" s="76"/>
      <c r="O550" s="76"/>
      <c r="P550" s="76"/>
      <c r="Q550" s="76"/>
      <c r="R550" s="76"/>
      <c r="S550" s="76"/>
      <c r="T550" s="76">
        <v>-0.32100000000000001</v>
      </c>
      <c r="U550" s="261">
        <f t="shared" si="139"/>
        <v>0</v>
      </c>
      <c r="V550" s="261">
        <f t="shared" si="139"/>
        <v>0</v>
      </c>
      <c r="W550" s="261">
        <f t="shared" si="139"/>
        <v>0</v>
      </c>
      <c r="X550" s="261">
        <f t="shared" si="139"/>
        <v>0</v>
      </c>
      <c r="Y550" s="261">
        <f t="shared" ref="Y550" si="143">Y549</f>
        <v>0</v>
      </c>
      <c r="Z550" s="261">
        <f t="shared" ref="Z550:AA550" si="144">Z549</f>
        <v>0</v>
      </c>
      <c r="AA550" s="261">
        <f t="shared" si="144"/>
        <v>0</v>
      </c>
      <c r="AB550" s="261">
        <f t="shared" si="139"/>
        <v>0</v>
      </c>
      <c r="AC550" s="261">
        <f t="shared" si="139"/>
        <v>0</v>
      </c>
      <c r="AD550" s="261">
        <f t="shared" si="139"/>
        <v>0</v>
      </c>
      <c r="AE550" s="261">
        <f t="shared" ref="AE550" si="145">AE549</f>
        <v>0</v>
      </c>
      <c r="AF550" s="76"/>
      <c r="AG550" s="97"/>
      <c r="AH550" s="76"/>
      <c r="AI550" s="97">
        <v>1</v>
      </c>
      <c r="AJ550" s="97">
        <v>1</v>
      </c>
      <c r="AK550" s="73"/>
      <c r="AL550" s="57"/>
      <c r="AM550" s="45"/>
      <c r="AN550" s="45"/>
      <c r="AO550" s="45"/>
    </row>
    <row r="551" spans="1:41" hidden="1" outlineLevel="3" x14ac:dyDescent="0.25">
      <c r="A551" s="45"/>
      <c r="B551" s="54"/>
      <c r="C551" s="47">
        <f t="shared" si="137"/>
        <v>3</v>
      </c>
      <c r="D551" s="73"/>
      <c r="E551" s="70"/>
      <c r="F551" s="70" t="s">
        <v>1146</v>
      </c>
      <c r="G551" s="73"/>
      <c r="H551" s="76" t="s">
        <v>2576</v>
      </c>
      <c r="I551" s="96" t="s">
        <v>497</v>
      </c>
      <c r="J551" s="96" t="s">
        <v>1138</v>
      </c>
      <c r="K551" s="76"/>
      <c r="L551" s="76"/>
      <c r="M551" s="76"/>
      <c r="N551" s="76"/>
      <c r="O551" s="76"/>
      <c r="P551" s="76"/>
      <c r="Q551" s="76"/>
      <c r="R551" s="76"/>
      <c r="S551" s="76"/>
      <c r="T551" s="76">
        <v>-0.32100000000000001</v>
      </c>
      <c r="U551" s="261">
        <f t="shared" si="139"/>
        <v>0</v>
      </c>
      <c r="V551" s="261">
        <f t="shared" si="139"/>
        <v>0</v>
      </c>
      <c r="W551" s="261">
        <f t="shared" si="139"/>
        <v>0</v>
      </c>
      <c r="X551" s="261">
        <f t="shared" si="139"/>
        <v>0</v>
      </c>
      <c r="Y551" s="261">
        <f t="shared" ref="Y551" si="146">Y550</f>
        <v>0</v>
      </c>
      <c r="Z551" s="261">
        <f t="shared" ref="Z551:AA551" si="147">Z550</f>
        <v>0</v>
      </c>
      <c r="AA551" s="261">
        <f t="shared" si="147"/>
        <v>0</v>
      </c>
      <c r="AB551" s="261">
        <f t="shared" si="139"/>
        <v>0</v>
      </c>
      <c r="AC551" s="261">
        <f t="shared" si="139"/>
        <v>0</v>
      </c>
      <c r="AD551" s="261">
        <f t="shared" si="139"/>
        <v>0</v>
      </c>
      <c r="AE551" s="261">
        <f t="shared" ref="AE551" si="148">AE550</f>
        <v>0</v>
      </c>
      <c r="AF551" s="76"/>
      <c r="AG551" s="97"/>
      <c r="AH551" s="76"/>
      <c r="AI551" s="97">
        <v>1</v>
      </c>
      <c r="AJ551" s="97">
        <v>1</v>
      </c>
      <c r="AK551" s="73"/>
      <c r="AL551" s="57"/>
      <c r="AM551" s="45"/>
      <c r="AN551" s="45"/>
      <c r="AO551" s="45"/>
    </row>
    <row r="552" spans="1:41" hidden="1" outlineLevel="2" x14ac:dyDescent="0.25">
      <c r="A552" s="45"/>
      <c r="B552" s="54"/>
      <c r="C552" s="47">
        <f t="shared" si="137"/>
        <v>3</v>
      </c>
      <c r="D552" s="73"/>
      <c r="E552" s="70"/>
      <c r="F552" s="70" t="s">
        <v>1147</v>
      </c>
      <c r="G552" s="73"/>
      <c r="H552" s="76" t="s">
        <v>1148</v>
      </c>
      <c r="I552" s="96" t="s">
        <v>497</v>
      </c>
      <c r="J552" s="96" t="s">
        <v>1138</v>
      </c>
      <c r="K552" s="76"/>
      <c r="L552" s="76"/>
      <c r="M552" s="76"/>
      <c r="N552" s="76"/>
      <c r="O552" s="76"/>
      <c r="P552" s="76"/>
      <c r="Q552" s="76"/>
      <c r="R552" s="76"/>
      <c r="S552" s="76"/>
      <c r="T552" s="76">
        <v>0</v>
      </c>
      <c r="U552" s="97">
        <v>0</v>
      </c>
      <c r="V552" s="97">
        <v>0</v>
      </c>
      <c r="W552" s="97">
        <v>0</v>
      </c>
      <c r="X552" s="97">
        <v>0</v>
      </c>
      <c r="Y552" s="97">
        <v>0</v>
      </c>
      <c r="Z552" s="97">
        <v>0</v>
      </c>
      <c r="AA552" s="97">
        <v>0</v>
      </c>
      <c r="AB552" s="255">
        <f t="shared" ref="AB552:AE556" si="149">AA552</f>
        <v>0</v>
      </c>
      <c r="AC552" s="255">
        <f t="shared" si="149"/>
        <v>0</v>
      </c>
      <c r="AD552" s="255">
        <f t="shared" si="149"/>
        <v>0</v>
      </c>
      <c r="AE552" s="255">
        <f t="shared" si="149"/>
        <v>0</v>
      </c>
      <c r="AF552" s="76"/>
      <c r="AG552" s="97"/>
      <c r="AH552" s="76"/>
      <c r="AI552" s="97">
        <v>1</v>
      </c>
      <c r="AJ552" s="97">
        <v>1</v>
      </c>
      <c r="AK552" s="73"/>
      <c r="AL552" s="57"/>
      <c r="AM552" s="45"/>
      <c r="AN552" s="45"/>
      <c r="AO552" s="45"/>
    </row>
    <row r="553" spans="1:41" hidden="1" outlineLevel="2" x14ac:dyDescent="0.25">
      <c r="A553" s="45"/>
      <c r="B553" s="54"/>
      <c r="C553" s="47">
        <f t="shared" si="137"/>
        <v>3</v>
      </c>
      <c r="D553" s="73"/>
      <c r="E553" s="70"/>
      <c r="F553" s="70" t="s">
        <v>1149</v>
      </c>
      <c r="G553" s="73"/>
      <c r="H553" s="76" t="s">
        <v>2577</v>
      </c>
      <c r="I553" s="96" t="s">
        <v>497</v>
      </c>
      <c r="J553" s="96" t="s">
        <v>1138</v>
      </c>
      <c r="K553" s="76"/>
      <c r="L553" s="76"/>
      <c r="M553" s="76"/>
      <c r="N553" s="76"/>
      <c r="O553" s="76"/>
      <c r="P553" s="76"/>
      <c r="Q553" s="76"/>
      <c r="R553" s="76"/>
      <c r="S553" s="76"/>
      <c r="T553" s="76">
        <v>0</v>
      </c>
      <c r="U553" s="97">
        <v>0</v>
      </c>
      <c r="V553" s="97">
        <v>0</v>
      </c>
      <c r="W553" s="97">
        <v>0</v>
      </c>
      <c r="X553" s="97">
        <v>0</v>
      </c>
      <c r="Y553" s="97">
        <v>0</v>
      </c>
      <c r="Z553" s="97">
        <v>0</v>
      </c>
      <c r="AA553" s="97">
        <v>0</v>
      </c>
      <c r="AB553" s="255">
        <f t="shared" si="149"/>
        <v>0</v>
      </c>
      <c r="AC553" s="255">
        <f t="shared" si="149"/>
        <v>0</v>
      </c>
      <c r="AD553" s="255">
        <f t="shared" si="149"/>
        <v>0</v>
      </c>
      <c r="AE553" s="255">
        <f t="shared" si="149"/>
        <v>0</v>
      </c>
      <c r="AF553" s="76"/>
      <c r="AG553" s="97"/>
      <c r="AH553" s="76"/>
      <c r="AI553" s="97">
        <v>1</v>
      </c>
      <c r="AJ553" s="97">
        <v>1</v>
      </c>
      <c r="AK553" s="73"/>
      <c r="AL553" s="57"/>
      <c r="AM553" s="45"/>
      <c r="AN553" s="45"/>
      <c r="AO553" s="45"/>
    </row>
    <row r="554" spans="1:41" hidden="1" outlineLevel="2" x14ac:dyDescent="0.25">
      <c r="A554" s="45"/>
      <c r="B554" s="54"/>
      <c r="C554" s="47">
        <f t="shared" si="137"/>
        <v>3</v>
      </c>
      <c r="D554" s="73"/>
      <c r="E554" s="70"/>
      <c r="F554" s="70" t="s">
        <v>1150</v>
      </c>
      <c r="G554" s="73"/>
      <c r="H554" s="76" t="s">
        <v>2578</v>
      </c>
      <c r="I554" s="96" t="s">
        <v>497</v>
      </c>
      <c r="J554" s="96" t="s">
        <v>1138</v>
      </c>
      <c r="K554" s="76"/>
      <c r="L554" s="76"/>
      <c r="M554" s="76"/>
      <c r="N554" s="76"/>
      <c r="O554" s="76"/>
      <c r="P554" s="76"/>
      <c r="Q554" s="76"/>
      <c r="R554" s="76"/>
      <c r="S554" s="76"/>
      <c r="T554" s="76">
        <v>-1.7000000000000001E-2</v>
      </c>
      <c r="U554" s="97">
        <v>0</v>
      </c>
      <c r="V554" s="97">
        <v>0</v>
      </c>
      <c r="W554" s="97">
        <v>0</v>
      </c>
      <c r="X554" s="97">
        <v>0</v>
      </c>
      <c r="Y554" s="97">
        <v>0</v>
      </c>
      <c r="Z554" s="97">
        <v>0</v>
      </c>
      <c r="AA554" s="97">
        <v>0</v>
      </c>
      <c r="AB554" s="255">
        <f t="shared" si="149"/>
        <v>0</v>
      </c>
      <c r="AC554" s="255">
        <f t="shared" si="149"/>
        <v>0</v>
      </c>
      <c r="AD554" s="255">
        <f t="shared" si="149"/>
        <v>0</v>
      </c>
      <c r="AE554" s="255">
        <f t="shared" si="149"/>
        <v>0</v>
      </c>
      <c r="AF554" s="76"/>
      <c r="AG554" s="97"/>
      <c r="AH554" s="76"/>
      <c r="AI554" s="97">
        <v>1</v>
      </c>
      <c r="AJ554" s="97">
        <v>1</v>
      </c>
      <c r="AK554" s="73"/>
      <c r="AL554" s="57"/>
      <c r="AM554" s="45"/>
      <c r="AN554" s="45"/>
      <c r="AO554" s="45"/>
    </row>
    <row r="555" spans="1:41" hidden="1" outlineLevel="2" x14ac:dyDescent="0.25">
      <c r="A555" s="45"/>
      <c r="B555" s="54"/>
      <c r="C555" s="47">
        <f t="shared" si="137"/>
        <v>3</v>
      </c>
      <c r="D555" s="73"/>
      <c r="E555" s="70"/>
      <c r="F555" s="70" t="s">
        <v>1151</v>
      </c>
      <c r="G555" s="73"/>
      <c r="H555" s="76" t="s">
        <v>2579</v>
      </c>
      <c r="I555" s="96" t="s">
        <v>497</v>
      </c>
      <c r="J555" s="96" t="s">
        <v>1138</v>
      </c>
      <c r="K555" s="76"/>
      <c r="L555" s="76"/>
      <c r="M555" s="76"/>
      <c r="N555" s="76"/>
      <c r="O555" s="76"/>
      <c r="P555" s="76"/>
      <c r="Q555" s="76"/>
      <c r="R555" s="76"/>
      <c r="S555" s="76"/>
      <c r="T555" s="76">
        <v>-0.39700000000000002</v>
      </c>
      <c r="U555" s="97">
        <v>0</v>
      </c>
      <c r="V555" s="97">
        <v>0</v>
      </c>
      <c r="W555" s="97">
        <v>0</v>
      </c>
      <c r="X555" s="97">
        <v>0</v>
      </c>
      <c r="Y555" s="97">
        <v>0</v>
      </c>
      <c r="Z555" s="97">
        <v>0</v>
      </c>
      <c r="AA555" s="97">
        <v>0</v>
      </c>
      <c r="AB555" s="255">
        <f t="shared" si="149"/>
        <v>0</v>
      </c>
      <c r="AC555" s="255">
        <f t="shared" si="149"/>
        <v>0</v>
      </c>
      <c r="AD555" s="255">
        <f t="shared" si="149"/>
        <v>0</v>
      </c>
      <c r="AE555" s="255">
        <f t="shared" si="149"/>
        <v>0</v>
      </c>
      <c r="AF555" s="76"/>
      <c r="AG555" s="97"/>
      <c r="AH555" s="76"/>
      <c r="AI555" s="97">
        <v>1</v>
      </c>
      <c r="AJ555" s="97">
        <v>1</v>
      </c>
      <c r="AK555" s="73"/>
      <c r="AL555" s="57"/>
      <c r="AM555" s="45"/>
      <c r="AN555" s="45"/>
      <c r="AO555" s="45"/>
    </row>
    <row r="556" spans="1:41" hidden="1" outlineLevel="2" collapsed="1" x14ac:dyDescent="0.25">
      <c r="A556" s="45"/>
      <c r="B556" s="54"/>
      <c r="C556" s="47">
        <f t="shared" si="137"/>
        <v>3</v>
      </c>
      <c r="D556" s="73"/>
      <c r="E556" s="70"/>
      <c r="F556" s="70" t="s">
        <v>1152</v>
      </c>
      <c r="G556" s="73"/>
      <c r="H556" s="76" t="s">
        <v>2580</v>
      </c>
      <c r="I556" s="96" t="s">
        <v>497</v>
      </c>
      <c r="J556" s="96" t="s">
        <v>1138</v>
      </c>
      <c r="K556" s="76"/>
      <c r="L556" s="76"/>
      <c r="M556" s="76"/>
      <c r="N556" s="76"/>
      <c r="O556" s="76"/>
      <c r="P556" s="76"/>
      <c r="Q556" s="76"/>
      <c r="R556" s="76"/>
      <c r="S556" s="76"/>
      <c r="T556" s="76">
        <v>-0.74199999999999999</v>
      </c>
      <c r="U556" s="97">
        <v>0</v>
      </c>
      <c r="V556" s="97">
        <v>0</v>
      </c>
      <c r="W556" s="97">
        <v>0</v>
      </c>
      <c r="X556" s="97">
        <v>0</v>
      </c>
      <c r="Y556" s="97">
        <v>0</v>
      </c>
      <c r="Z556" s="97">
        <v>0</v>
      </c>
      <c r="AA556" s="97">
        <v>0</v>
      </c>
      <c r="AB556" s="255">
        <f t="shared" si="149"/>
        <v>0</v>
      </c>
      <c r="AC556" s="255">
        <f t="shared" si="149"/>
        <v>0</v>
      </c>
      <c r="AD556" s="255">
        <f t="shared" si="149"/>
        <v>0</v>
      </c>
      <c r="AE556" s="255">
        <f t="shared" si="149"/>
        <v>0</v>
      </c>
      <c r="AF556" s="76"/>
      <c r="AG556" s="97"/>
      <c r="AH556" s="76"/>
      <c r="AI556" s="97">
        <v>1</v>
      </c>
      <c r="AJ556" s="97">
        <v>1</v>
      </c>
      <c r="AK556" s="73"/>
      <c r="AL556" s="57"/>
      <c r="AM556" s="45"/>
      <c r="AN556" s="45"/>
      <c r="AO556" s="45"/>
    </row>
    <row r="557" spans="1:41" hidden="1" outlineLevel="3" x14ac:dyDescent="0.25">
      <c r="A557" s="45"/>
      <c r="B557" s="54"/>
      <c r="C557" s="47">
        <f t="shared" si="137"/>
        <v>3</v>
      </c>
      <c r="D557" s="73"/>
      <c r="E557" s="70"/>
      <c r="F557" s="70" t="s">
        <v>1153</v>
      </c>
      <c r="G557" s="73"/>
      <c r="H557" s="76" t="s">
        <v>2581</v>
      </c>
      <c r="I557" s="96" t="s">
        <v>497</v>
      </c>
      <c r="J557" s="96" t="s">
        <v>1138</v>
      </c>
      <c r="K557" s="76"/>
      <c r="L557" s="76"/>
      <c r="M557" s="76"/>
      <c r="N557" s="76"/>
      <c r="O557" s="76"/>
      <c r="P557" s="76"/>
      <c r="Q557" s="76"/>
      <c r="R557" s="76"/>
      <c r="S557" s="76"/>
      <c r="T557" s="76">
        <v>-0.74199999999999999</v>
      </c>
      <c r="U557" s="261">
        <f t="shared" ref="U557:AD559" si="150">U556</f>
        <v>0</v>
      </c>
      <c r="V557" s="261">
        <f t="shared" si="150"/>
        <v>0</v>
      </c>
      <c r="W557" s="261">
        <f t="shared" si="150"/>
        <v>0</v>
      </c>
      <c r="X557" s="261">
        <f t="shared" si="150"/>
        <v>0</v>
      </c>
      <c r="Y557" s="261">
        <f t="shared" ref="Y557" si="151">Y556</f>
        <v>0</v>
      </c>
      <c r="Z557" s="261">
        <f t="shared" ref="Z557:AA557" si="152">Z556</f>
        <v>0</v>
      </c>
      <c r="AA557" s="261">
        <f t="shared" si="152"/>
        <v>0</v>
      </c>
      <c r="AB557" s="261">
        <f t="shared" si="150"/>
        <v>0</v>
      </c>
      <c r="AC557" s="261">
        <f t="shared" si="150"/>
        <v>0</v>
      </c>
      <c r="AD557" s="261">
        <f t="shared" si="150"/>
        <v>0</v>
      </c>
      <c r="AE557" s="261">
        <f t="shared" ref="AE557" si="153">AE556</f>
        <v>0</v>
      </c>
      <c r="AF557" s="76"/>
      <c r="AG557" s="97"/>
      <c r="AH557" s="76"/>
      <c r="AI557" s="97">
        <v>1</v>
      </c>
      <c r="AJ557" s="97">
        <v>1</v>
      </c>
      <c r="AK557" s="73"/>
      <c r="AL557" s="57"/>
      <c r="AM557" s="45"/>
      <c r="AN557" s="45"/>
      <c r="AO557" s="45"/>
    </row>
    <row r="558" spans="1:41" hidden="1" outlineLevel="3" x14ac:dyDescent="0.25">
      <c r="A558" s="45"/>
      <c r="B558" s="54"/>
      <c r="C558" s="47">
        <f t="shared" si="137"/>
        <v>3</v>
      </c>
      <c r="D558" s="73"/>
      <c r="E558" s="70"/>
      <c r="F558" s="70" t="s">
        <v>1154</v>
      </c>
      <c r="G558" s="73"/>
      <c r="H558" s="76" t="s">
        <v>2582</v>
      </c>
      <c r="I558" s="96" t="s">
        <v>497</v>
      </c>
      <c r="J558" s="96" t="s">
        <v>1138</v>
      </c>
      <c r="K558" s="76"/>
      <c r="L558" s="76"/>
      <c r="M558" s="76"/>
      <c r="N558" s="76"/>
      <c r="O558" s="76"/>
      <c r="P558" s="76"/>
      <c r="Q558" s="76"/>
      <c r="R558" s="76"/>
      <c r="S558" s="76"/>
      <c r="T558" s="76">
        <v>-0.74199999999999999</v>
      </c>
      <c r="U558" s="261">
        <f t="shared" si="150"/>
        <v>0</v>
      </c>
      <c r="V558" s="261">
        <f t="shared" si="150"/>
        <v>0</v>
      </c>
      <c r="W558" s="261">
        <f t="shared" si="150"/>
        <v>0</v>
      </c>
      <c r="X558" s="261">
        <f t="shared" si="150"/>
        <v>0</v>
      </c>
      <c r="Y558" s="261">
        <f t="shared" ref="Y558" si="154">Y557</f>
        <v>0</v>
      </c>
      <c r="Z558" s="261">
        <f t="shared" ref="Z558:AA558" si="155">Z557</f>
        <v>0</v>
      </c>
      <c r="AA558" s="261">
        <f t="shared" si="155"/>
        <v>0</v>
      </c>
      <c r="AB558" s="261">
        <f t="shared" si="150"/>
        <v>0</v>
      </c>
      <c r="AC558" s="261">
        <f t="shared" si="150"/>
        <v>0</v>
      </c>
      <c r="AD558" s="261">
        <f t="shared" si="150"/>
        <v>0</v>
      </c>
      <c r="AE558" s="261">
        <f t="shared" ref="AE558" si="156">AE557</f>
        <v>0</v>
      </c>
      <c r="AF558" s="76"/>
      <c r="AG558" s="97"/>
      <c r="AH558" s="76"/>
      <c r="AI558" s="97">
        <v>1</v>
      </c>
      <c r="AJ558" s="97">
        <v>1</v>
      </c>
      <c r="AK558" s="73"/>
      <c r="AL558" s="57"/>
      <c r="AM558" s="45"/>
      <c r="AN558" s="45"/>
      <c r="AO558" s="45"/>
    </row>
    <row r="559" spans="1:41" hidden="1" outlineLevel="3" collapsed="1" x14ac:dyDescent="0.25">
      <c r="A559" s="45"/>
      <c r="B559" s="54"/>
      <c r="C559" s="47">
        <f t="shared" si="137"/>
        <v>3</v>
      </c>
      <c r="D559" s="73"/>
      <c r="E559" s="70"/>
      <c r="F559" s="70" t="s">
        <v>1155</v>
      </c>
      <c r="G559" s="73"/>
      <c r="H559" s="76" t="s">
        <v>2583</v>
      </c>
      <c r="I559" s="96" t="s">
        <v>497</v>
      </c>
      <c r="J559" s="96" t="s">
        <v>1138</v>
      </c>
      <c r="K559" s="76"/>
      <c r="L559" s="76"/>
      <c r="M559" s="76"/>
      <c r="N559" s="76"/>
      <c r="O559" s="76"/>
      <c r="P559" s="76"/>
      <c r="Q559" s="76"/>
      <c r="R559" s="76"/>
      <c r="S559" s="76"/>
      <c r="T559" s="76">
        <v>-0.74199999999999999</v>
      </c>
      <c r="U559" s="261">
        <f t="shared" si="150"/>
        <v>0</v>
      </c>
      <c r="V559" s="261">
        <f t="shared" si="150"/>
        <v>0</v>
      </c>
      <c r="W559" s="261">
        <f t="shared" si="150"/>
        <v>0</v>
      </c>
      <c r="X559" s="261">
        <f t="shared" si="150"/>
        <v>0</v>
      </c>
      <c r="Y559" s="261">
        <f t="shared" ref="Y559" si="157">Y558</f>
        <v>0</v>
      </c>
      <c r="Z559" s="261">
        <f t="shared" ref="Z559:AA559" si="158">Z558</f>
        <v>0</v>
      </c>
      <c r="AA559" s="261">
        <f t="shared" si="158"/>
        <v>0</v>
      </c>
      <c r="AB559" s="261">
        <f t="shared" si="150"/>
        <v>0</v>
      </c>
      <c r="AC559" s="261">
        <f t="shared" si="150"/>
        <v>0</v>
      </c>
      <c r="AD559" s="261">
        <f t="shared" si="150"/>
        <v>0</v>
      </c>
      <c r="AE559" s="261">
        <f t="shared" ref="AE559" si="159">AE558</f>
        <v>0</v>
      </c>
      <c r="AF559" s="76"/>
      <c r="AG559" s="97"/>
      <c r="AH559" s="76"/>
      <c r="AI559" s="97">
        <v>1</v>
      </c>
      <c r="AJ559" s="97">
        <v>1</v>
      </c>
      <c r="AK559" s="73"/>
      <c r="AL559" s="57"/>
      <c r="AM559" s="45"/>
      <c r="AN559" s="45"/>
      <c r="AO559" s="45"/>
    </row>
    <row r="560" spans="1:41" hidden="1" outlineLevel="3" x14ac:dyDescent="0.25">
      <c r="A560" s="45"/>
      <c r="B560" s="54"/>
      <c r="C560" s="47">
        <f t="shared" si="137"/>
        <v>3</v>
      </c>
      <c r="D560" s="73"/>
      <c r="E560" s="70"/>
      <c r="F560" s="70" t="s">
        <v>1156</v>
      </c>
      <c r="G560" s="73"/>
      <c r="H560" s="76" t="s">
        <v>599</v>
      </c>
      <c r="I560" s="96"/>
      <c r="J560" s="9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v>1</v>
      </c>
      <c r="AJ560" s="76">
        <v>1</v>
      </c>
      <c r="AK560" s="73"/>
      <c r="AL560" s="57"/>
      <c r="AM560" s="45"/>
      <c r="AN560" s="45"/>
      <c r="AO560" s="45"/>
    </row>
    <row r="561" spans="1:41" hidden="1" outlineLevel="3" x14ac:dyDescent="0.25">
      <c r="A561" s="45"/>
      <c r="B561" s="54"/>
      <c r="C561" s="47">
        <f t="shared" si="137"/>
        <v>3</v>
      </c>
      <c r="D561" s="73"/>
      <c r="E561" s="70"/>
      <c r="F561" s="70" t="s">
        <v>1157</v>
      </c>
      <c r="G561" s="73"/>
      <c r="H561" s="76"/>
      <c r="I561" s="96"/>
      <c r="J561" s="9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v>1</v>
      </c>
      <c r="AJ561" s="76">
        <v>1</v>
      </c>
      <c r="AK561" s="73"/>
      <c r="AL561" s="57"/>
      <c r="AM561" s="45"/>
      <c r="AN561" s="45"/>
      <c r="AO561" s="45"/>
    </row>
    <row r="562" spans="1:41" hidden="1" outlineLevel="3" x14ac:dyDescent="0.25">
      <c r="A562" s="45"/>
      <c r="B562" s="54"/>
      <c r="C562" s="47">
        <f t="shared" si="137"/>
        <v>3</v>
      </c>
      <c r="D562" s="73"/>
      <c r="E562" s="70"/>
      <c r="F562" s="70" t="s">
        <v>1158</v>
      </c>
      <c r="G562" s="73"/>
      <c r="H562" s="76"/>
      <c r="I562" s="96"/>
      <c r="J562" s="9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v>1</v>
      </c>
      <c r="AJ562" s="76">
        <v>1</v>
      </c>
      <c r="AK562" s="73"/>
      <c r="AL562" s="57"/>
      <c r="AM562" s="45"/>
      <c r="AN562" s="45"/>
      <c r="AO562" s="45"/>
    </row>
    <row r="563" spans="1:41" hidden="1" outlineLevel="3" x14ac:dyDescent="0.25">
      <c r="A563" s="45"/>
      <c r="B563" s="54"/>
      <c r="C563" s="47">
        <f t="shared" si="137"/>
        <v>3</v>
      </c>
      <c r="D563" s="73"/>
      <c r="E563" s="70"/>
      <c r="F563" s="70" t="s">
        <v>1159</v>
      </c>
      <c r="G563" s="73"/>
      <c r="H563" s="76"/>
      <c r="I563" s="96"/>
      <c r="J563" s="9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v>1</v>
      </c>
      <c r="AJ563" s="76">
        <v>1</v>
      </c>
      <c r="AK563" s="73"/>
      <c r="AL563" s="57"/>
      <c r="AM563" s="45"/>
      <c r="AN563" s="45"/>
      <c r="AO563" s="45"/>
    </row>
    <row r="564" spans="1:41" hidden="1" outlineLevel="3" x14ac:dyDescent="0.25">
      <c r="A564" s="45"/>
      <c r="B564" s="54"/>
      <c r="C564" s="47">
        <f t="shared" si="137"/>
        <v>3</v>
      </c>
      <c r="D564" s="73"/>
      <c r="E564" s="70"/>
      <c r="F564" s="70" t="s">
        <v>1160</v>
      </c>
      <c r="G564" s="73"/>
      <c r="H564" s="76"/>
      <c r="I564" s="96"/>
      <c r="J564" s="9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v>1</v>
      </c>
      <c r="AJ564" s="76">
        <v>1</v>
      </c>
      <c r="AK564" s="73"/>
      <c r="AL564" s="57"/>
      <c r="AM564" s="45"/>
      <c r="AN564" s="45"/>
      <c r="AO564" s="45"/>
    </row>
    <row r="565" spans="1:41" hidden="1" outlineLevel="3" x14ac:dyDescent="0.25">
      <c r="A565" s="45"/>
      <c r="B565" s="54"/>
      <c r="C565" s="47">
        <f t="shared" si="137"/>
        <v>3</v>
      </c>
      <c r="D565" s="73"/>
      <c r="E565" s="70"/>
      <c r="F565" s="70" t="s">
        <v>1161</v>
      </c>
      <c r="G565" s="73"/>
      <c r="H565" s="76"/>
      <c r="I565" s="96"/>
      <c r="J565" s="9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v>1</v>
      </c>
      <c r="AJ565" s="76">
        <v>1</v>
      </c>
      <c r="AK565" s="73"/>
      <c r="AL565" s="57"/>
      <c r="AM565" s="45"/>
      <c r="AN565" s="45"/>
      <c r="AO565" s="45"/>
    </row>
    <row r="566" spans="1:41" hidden="1" outlineLevel="3" x14ac:dyDescent="0.25">
      <c r="A566" s="45"/>
      <c r="B566" s="54"/>
      <c r="C566" s="47">
        <f t="shared" si="137"/>
        <v>3</v>
      </c>
      <c r="D566" s="73"/>
      <c r="E566" s="70"/>
      <c r="F566" s="70" t="s">
        <v>1162</v>
      </c>
      <c r="G566" s="73"/>
      <c r="H566" s="76"/>
      <c r="I566" s="96"/>
      <c r="J566" s="9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v>1</v>
      </c>
      <c r="AJ566" s="76">
        <v>1</v>
      </c>
      <c r="AK566" s="73"/>
      <c r="AL566" s="57"/>
      <c r="AM566" s="45"/>
      <c r="AN566" s="45"/>
      <c r="AO566" s="45"/>
    </row>
    <row r="567" spans="1:41" hidden="1" outlineLevel="3" x14ac:dyDescent="0.25">
      <c r="A567" s="45"/>
      <c r="B567" s="54"/>
      <c r="C567" s="47">
        <f t="shared" si="137"/>
        <v>3</v>
      </c>
      <c r="D567" s="73"/>
      <c r="E567" s="70"/>
      <c r="F567" s="70" t="s">
        <v>1163</v>
      </c>
      <c r="G567" s="73"/>
      <c r="H567" s="76"/>
      <c r="I567" s="96"/>
      <c r="J567" s="9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v>1</v>
      </c>
      <c r="AJ567" s="76">
        <v>1</v>
      </c>
      <c r="AK567" s="73"/>
      <c r="AL567" s="57"/>
      <c r="AM567" s="45"/>
      <c r="AN567" s="45"/>
      <c r="AO567" s="45"/>
    </row>
    <row r="568" spans="1:41" hidden="1" outlineLevel="2" x14ac:dyDescent="0.25">
      <c r="A568" s="45"/>
      <c r="B568" s="54"/>
      <c r="C568" s="47">
        <f t="shared" si="137"/>
        <v>3</v>
      </c>
      <c r="D568" s="73"/>
      <c r="E568" s="70"/>
      <c r="F568" s="70" t="s">
        <v>1164</v>
      </c>
      <c r="G568" s="73"/>
      <c r="H568" s="76" t="s">
        <v>1165</v>
      </c>
      <c r="I568" s="96" t="s">
        <v>497</v>
      </c>
      <c r="J568" s="96" t="s">
        <v>1166</v>
      </c>
      <c r="K568" s="76"/>
      <c r="L568" s="76"/>
      <c r="M568" s="76"/>
      <c r="N568" s="76"/>
      <c r="O568" s="76"/>
      <c r="P568" s="76"/>
      <c r="Q568" s="76"/>
      <c r="R568" s="76"/>
      <c r="S568" s="76"/>
      <c r="T568" s="76"/>
      <c r="U568" s="76">
        <v>1</v>
      </c>
      <c r="V568" s="76">
        <v>1</v>
      </c>
      <c r="W568" s="76">
        <v>1</v>
      </c>
      <c r="X568" s="76">
        <v>1</v>
      </c>
      <c r="Y568" s="76">
        <v>1</v>
      </c>
      <c r="Z568" s="76">
        <v>1</v>
      </c>
      <c r="AA568" s="76">
        <v>1</v>
      </c>
      <c r="AB568" s="76">
        <v>1</v>
      </c>
      <c r="AC568" s="76">
        <v>1</v>
      </c>
      <c r="AD568" s="76">
        <v>1</v>
      </c>
      <c r="AE568" s="76">
        <v>1</v>
      </c>
      <c r="AF568" s="76"/>
      <c r="AG568" s="97" t="s">
        <v>1167</v>
      </c>
      <c r="AH568" s="76"/>
      <c r="AI568" s="97">
        <v>1</v>
      </c>
      <c r="AJ568" s="97">
        <v>1</v>
      </c>
      <c r="AK568" s="73"/>
      <c r="AL568" s="57"/>
      <c r="AM568" s="45"/>
      <c r="AN568" s="45"/>
      <c r="AO568" s="45"/>
    </row>
    <row r="569" spans="1:41" hidden="1" outlineLevel="2" x14ac:dyDescent="0.25">
      <c r="A569" s="45"/>
      <c r="B569" s="54"/>
      <c r="C569" s="47">
        <f t="shared" si="137"/>
        <v>3</v>
      </c>
      <c r="D569" s="73"/>
      <c r="E569" s="70"/>
      <c r="F569" s="70" t="s">
        <v>1168</v>
      </c>
      <c r="G569" s="73"/>
      <c r="H569" s="76" t="s">
        <v>2584</v>
      </c>
      <c r="I569" s="96" t="s">
        <v>497</v>
      </c>
      <c r="J569" s="96" t="s">
        <v>1166</v>
      </c>
      <c r="K569" s="76"/>
      <c r="L569" s="76"/>
      <c r="M569" s="76"/>
      <c r="N569" s="76"/>
      <c r="O569" s="76"/>
      <c r="P569" s="76"/>
      <c r="Q569" s="76"/>
      <c r="R569" s="76"/>
      <c r="S569" s="76"/>
      <c r="T569" s="76"/>
      <c r="U569" s="76">
        <v>1</v>
      </c>
      <c r="V569" s="76">
        <v>1</v>
      </c>
      <c r="W569" s="76">
        <v>1</v>
      </c>
      <c r="X569" s="76">
        <v>1</v>
      </c>
      <c r="Y569" s="76">
        <v>1</v>
      </c>
      <c r="Z569" s="76">
        <v>1</v>
      </c>
      <c r="AA569" s="76">
        <v>1</v>
      </c>
      <c r="AB569" s="76">
        <v>1</v>
      </c>
      <c r="AC569" s="76">
        <v>1</v>
      </c>
      <c r="AD569" s="76">
        <v>1</v>
      </c>
      <c r="AE569" s="76">
        <v>1</v>
      </c>
      <c r="AF569" s="76"/>
      <c r="AG569" s="97"/>
      <c r="AH569" s="76"/>
      <c r="AI569" s="97">
        <v>1</v>
      </c>
      <c r="AJ569" s="97">
        <v>1</v>
      </c>
      <c r="AK569" s="73"/>
      <c r="AL569" s="57"/>
      <c r="AM569" s="45"/>
      <c r="AN569" s="45"/>
      <c r="AO569" s="45"/>
    </row>
    <row r="570" spans="1:41" hidden="1" outlineLevel="2" x14ac:dyDescent="0.25">
      <c r="A570" s="45"/>
      <c r="B570" s="54"/>
      <c r="C570" s="47">
        <f t="shared" si="137"/>
        <v>3</v>
      </c>
      <c r="D570" s="73"/>
      <c r="E570" s="70"/>
      <c r="F570" s="70" t="s">
        <v>1169</v>
      </c>
      <c r="G570" s="73"/>
      <c r="H570" s="76" t="s">
        <v>2585</v>
      </c>
      <c r="I570" s="96" t="s">
        <v>497</v>
      </c>
      <c r="J570" s="96" t="s">
        <v>1166</v>
      </c>
      <c r="K570" s="76"/>
      <c r="L570" s="76"/>
      <c r="M570" s="76"/>
      <c r="N570" s="76"/>
      <c r="O570" s="76"/>
      <c r="P570" s="76"/>
      <c r="Q570" s="76"/>
      <c r="R570" s="76"/>
      <c r="S570" s="76"/>
      <c r="T570" s="76"/>
      <c r="U570" s="76">
        <v>1</v>
      </c>
      <c r="V570" s="76">
        <v>1</v>
      </c>
      <c r="W570" s="76">
        <v>1</v>
      </c>
      <c r="X570" s="76">
        <v>1</v>
      </c>
      <c r="Y570" s="76">
        <v>1</v>
      </c>
      <c r="Z570" s="76">
        <v>1</v>
      </c>
      <c r="AA570" s="76">
        <v>1</v>
      </c>
      <c r="AB570" s="76">
        <v>1</v>
      </c>
      <c r="AC570" s="76">
        <v>1</v>
      </c>
      <c r="AD570" s="76">
        <v>1</v>
      </c>
      <c r="AE570" s="76">
        <v>1</v>
      </c>
      <c r="AF570" s="76"/>
      <c r="AG570" s="97"/>
      <c r="AH570" s="76"/>
      <c r="AI570" s="97">
        <v>1</v>
      </c>
      <c r="AJ570" s="97">
        <v>1</v>
      </c>
      <c r="AK570" s="73"/>
      <c r="AL570" s="57"/>
      <c r="AM570" s="45"/>
      <c r="AN570" s="45"/>
      <c r="AO570" s="45"/>
    </row>
    <row r="571" spans="1:41" hidden="1" outlineLevel="2" x14ac:dyDescent="0.25">
      <c r="A571" s="45"/>
      <c r="B571" s="54"/>
      <c r="C571" s="47">
        <f t="shared" si="137"/>
        <v>3</v>
      </c>
      <c r="D571" s="73"/>
      <c r="E571" s="70"/>
      <c r="F571" s="70" t="s">
        <v>1170</v>
      </c>
      <c r="G571" s="73"/>
      <c r="H571" s="76" t="s">
        <v>2586</v>
      </c>
      <c r="I571" s="96" t="s">
        <v>497</v>
      </c>
      <c r="J571" s="96" t="s">
        <v>1166</v>
      </c>
      <c r="K571" s="76"/>
      <c r="L571" s="76"/>
      <c r="M571" s="76"/>
      <c r="N571" s="76"/>
      <c r="O571" s="76"/>
      <c r="P571" s="76"/>
      <c r="Q571" s="76"/>
      <c r="R571" s="76"/>
      <c r="S571" s="76"/>
      <c r="T571" s="76"/>
      <c r="U571" s="76">
        <v>1</v>
      </c>
      <c r="V571" s="76">
        <v>1</v>
      </c>
      <c r="W571" s="76">
        <v>1</v>
      </c>
      <c r="X571" s="76">
        <v>1</v>
      </c>
      <c r="Y571" s="76">
        <v>1</v>
      </c>
      <c r="Z571" s="76">
        <v>1</v>
      </c>
      <c r="AA571" s="76">
        <v>1</v>
      </c>
      <c r="AB571" s="76">
        <v>1</v>
      </c>
      <c r="AC571" s="76">
        <v>1</v>
      </c>
      <c r="AD571" s="76">
        <v>1</v>
      </c>
      <c r="AE571" s="76">
        <v>1</v>
      </c>
      <c r="AF571" s="76"/>
      <c r="AG571" s="97"/>
      <c r="AH571" s="76"/>
      <c r="AI571" s="97">
        <v>1</v>
      </c>
      <c r="AJ571" s="97">
        <v>1</v>
      </c>
      <c r="AK571" s="73"/>
      <c r="AL571" s="57"/>
      <c r="AM571" s="45"/>
      <c r="AN571" s="45"/>
      <c r="AO571" s="45"/>
    </row>
    <row r="572" spans="1:41" hidden="1" outlineLevel="2" x14ac:dyDescent="0.25">
      <c r="A572" s="45"/>
      <c r="B572" s="54"/>
      <c r="C572" s="47">
        <f t="shared" si="137"/>
        <v>3</v>
      </c>
      <c r="D572" s="73"/>
      <c r="E572" s="70"/>
      <c r="F572" s="70" t="s">
        <v>1171</v>
      </c>
      <c r="G572" s="73"/>
      <c r="H572" s="76" t="s">
        <v>2587</v>
      </c>
      <c r="I572" s="96" t="s">
        <v>497</v>
      </c>
      <c r="J572" s="96" t="s">
        <v>1166</v>
      </c>
      <c r="K572" s="76"/>
      <c r="L572" s="76"/>
      <c r="M572" s="76"/>
      <c r="N572" s="76"/>
      <c r="O572" s="76"/>
      <c r="P572" s="76"/>
      <c r="Q572" s="76"/>
      <c r="R572" s="76"/>
      <c r="S572" s="76"/>
      <c r="T572" s="76"/>
      <c r="U572" s="76">
        <v>1</v>
      </c>
      <c r="V572" s="76">
        <v>1</v>
      </c>
      <c r="W572" s="76">
        <v>1</v>
      </c>
      <c r="X572" s="76">
        <v>1</v>
      </c>
      <c r="Y572" s="76">
        <v>1</v>
      </c>
      <c r="Z572" s="76">
        <v>1</v>
      </c>
      <c r="AA572" s="76">
        <v>1</v>
      </c>
      <c r="AB572" s="76">
        <v>1</v>
      </c>
      <c r="AC572" s="76">
        <v>1</v>
      </c>
      <c r="AD572" s="76">
        <v>1</v>
      </c>
      <c r="AE572" s="76">
        <v>1</v>
      </c>
      <c r="AF572" s="76"/>
      <c r="AG572" s="97"/>
      <c r="AH572" s="76"/>
      <c r="AI572" s="97">
        <v>1</v>
      </c>
      <c r="AJ572" s="97">
        <v>1</v>
      </c>
      <c r="AK572" s="73"/>
      <c r="AL572" s="57"/>
      <c r="AM572" s="45"/>
      <c r="AN572" s="45"/>
      <c r="AO572" s="45"/>
    </row>
    <row r="573" spans="1:41" hidden="1" outlineLevel="2" x14ac:dyDescent="0.25">
      <c r="A573" s="45"/>
      <c r="B573" s="54"/>
      <c r="C573" s="47">
        <f t="shared" si="137"/>
        <v>3</v>
      </c>
      <c r="D573" s="73"/>
      <c r="E573" s="70"/>
      <c r="F573" s="70" t="s">
        <v>1172</v>
      </c>
      <c r="G573" s="73"/>
      <c r="H573" s="76" t="s">
        <v>2588</v>
      </c>
      <c r="I573" s="96" t="s">
        <v>497</v>
      </c>
      <c r="J573" s="96" t="s">
        <v>1166</v>
      </c>
      <c r="K573" s="76"/>
      <c r="L573" s="76"/>
      <c r="M573" s="76"/>
      <c r="N573" s="76"/>
      <c r="O573" s="76"/>
      <c r="P573" s="76"/>
      <c r="Q573" s="76"/>
      <c r="R573" s="76"/>
      <c r="S573" s="76"/>
      <c r="T573" s="76"/>
      <c r="U573" s="76">
        <v>1</v>
      </c>
      <c r="V573" s="76">
        <v>1</v>
      </c>
      <c r="W573" s="76">
        <v>1</v>
      </c>
      <c r="X573" s="76">
        <v>1</v>
      </c>
      <c r="Y573" s="76">
        <v>1</v>
      </c>
      <c r="Z573" s="76">
        <v>1</v>
      </c>
      <c r="AA573" s="76">
        <v>1</v>
      </c>
      <c r="AB573" s="76">
        <v>1</v>
      </c>
      <c r="AC573" s="76">
        <v>1</v>
      </c>
      <c r="AD573" s="76">
        <v>1</v>
      </c>
      <c r="AE573" s="76">
        <v>1</v>
      </c>
      <c r="AF573" s="76"/>
      <c r="AG573" s="97"/>
      <c r="AH573" s="76"/>
      <c r="AI573" s="97">
        <v>1</v>
      </c>
      <c r="AJ573" s="97">
        <v>1</v>
      </c>
      <c r="AK573" s="73"/>
      <c r="AL573" s="57"/>
      <c r="AM573" s="45"/>
      <c r="AN573" s="45"/>
      <c r="AO573" s="45"/>
    </row>
    <row r="574" spans="1:41" hidden="1" outlineLevel="2" x14ac:dyDescent="0.25">
      <c r="A574" s="45"/>
      <c r="B574" s="54"/>
      <c r="C574" s="47">
        <f t="shared" si="137"/>
        <v>3</v>
      </c>
      <c r="D574" s="73"/>
      <c r="E574" s="70"/>
      <c r="F574" s="70" t="s">
        <v>1173</v>
      </c>
      <c r="G574" s="73"/>
      <c r="H574" s="76" t="s">
        <v>2589</v>
      </c>
      <c r="I574" s="96" t="s">
        <v>497</v>
      </c>
      <c r="J574" s="96" t="s">
        <v>1166</v>
      </c>
      <c r="K574" s="76"/>
      <c r="L574" s="76"/>
      <c r="M574" s="76"/>
      <c r="N574" s="76"/>
      <c r="O574" s="76"/>
      <c r="P574" s="76"/>
      <c r="Q574" s="76"/>
      <c r="R574" s="76"/>
      <c r="S574" s="76"/>
      <c r="T574" s="76"/>
      <c r="U574" s="76">
        <v>1</v>
      </c>
      <c r="V574" s="76">
        <v>1</v>
      </c>
      <c r="W574" s="76">
        <v>1</v>
      </c>
      <c r="X574" s="76">
        <v>1</v>
      </c>
      <c r="Y574" s="76">
        <v>1</v>
      </c>
      <c r="Z574" s="76">
        <v>1</v>
      </c>
      <c r="AA574" s="76">
        <v>1</v>
      </c>
      <c r="AB574" s="76">
        <v>1</v>
      </c>
      <c r="AC574" s="76">
        <v>1</v>
      </c>
      <c r="AD574" s="76">
        <v>1</v>
      </c>
      <c r="AE574" s="76">
        <v>1</v>
      </c>
      <c r="AF574" s="76"/>
      <c r="AG574" s="97"/>
      <c r="AH574" s="76"/>
      <c r="AI574" s="97">
        <v>1</v>
      </c>
      <c r="AJ574" s="97">
        <v>1</v>
      </c>
      <c r="AK574" s="73"/>
      <c r="AL574" s="57"/>
      <c r="AM574" s="45"/>
      <c r="AN574" s="45"/>
      <c r="AO574" s="45"/>
    </row>
    <row r="575" spans="1:41" hidden="1" outlineLevel="2" x14ac:dyDescent="0.25">
      <c r="A575" s="45"/>
      <c r="B575" s="54"/>
      <c r="C575" s="47">
        <f t="shared" si="137"/>
        <v>3</v>
      </c>
      <c r="D575" s="73"/>
      <c r="E575" s="70"/>
      <c r="F575" s="70" t="s">
        <v>1174</v>
      </c>
      <c r="G575" s="73"/>
      <c r="H575" s="76" t="s">
        <v>2590</v>
      </c>
      <c r="I575" s="96" t="s">
        <v>497</v>
      </c>
      <c r="J575" s="96" t="s">
        <v>1166</v>
      </c>
      <c r="K575" s="76"/>
      <c r="L575" s="76"/>
      <c r="M575" s="76"/>
      <c r="N575" s="76"/>
      <c r="O575" s="76"/>
      <c r="P575" s="76"/>
      <c r="Q575" s="76"/>
      <c r="R575" s="76"/>
      <c r="S575" s="76"/>
      <c r="T575" s="76"/>
      <c r="U575" s="76">
        <v>1</v>
      </c>
      <c r="V575" s="76">
        <v>1</v>
      </c>
      <c r="W575" s="76">
        <v>1</v>
      </c>
      <c r="X575" s="76">
        <v>1</v>
      </c>
      <c r="Y575" s="76">
        <v>1</v>
      </c>
      <c r="Z575" s="76">
        <v>1</v>
      </c>
      <c r="AA575" s="76">
        <v>1</v>
      </c>
      <c r="AB575" s="76">
        <v>1</v>
      </c>
      <c r="AC575" s="76">
        <v>1</v>
      </c>
      <c r="AD575" s="76">
        <v>1</v>
      </c>
      <c r="AE575" s="76">
        <v>1</v>
      </c>
      <c r="AF575" s="76"/>
      <c r="AG575" s="97"/>
      <c r="AH575" s="76"/>
      <c r="AI575" s="97">
        <v>1</v>
      </c>
      <c r="AJ575" s="97">
        <v>1</v>
      </c>
      <c r="AK575" s="73"/>
      <c r="AL575" s="57"/>
      <c r="AM575" s="45"/>
      <c r="AN575" s="45"/>
      <c r="AO575" s="45"/>
    </row>
    <row r="576" spans="1:41" hidden="1" outlineLevel="2" x14ac:dyDescent="0.25">
      <c r="A576" s="45"/>
      <c r="B576" s="54"/>
      <c r="C576" s="47">
        <f t="shared" ref="C576:C607" si="160">INT($C$29)+2</f>
        <v>3</v>
      </c>
      <c r="D576" s="73"/>
      <c r="E576" s="70"/>
      <c r="F576" s="70" t="s">
        <v>1175</v>
      </c>
      <c r="G576" s="73"/>
      <c r="H576" s="76" t="s">
        <v>2150</v>
      </c>
      <c r="I576" s="96" t="s">
        <v>497</v>
      </c>
      <c r="J576" s="96" t="s">
        <v>1138</v>
      </c>
      <c r="K576" s="76"/>
      <c r="L576" s="76"/>
      <c r="M576" s="76"/>
      <c r="N576" s="76"/>
      <c r="O576" s="76"/>
      <c r="P576" s="76"/>
      <c r="Q576" s="76"/>
      <c r="R576" s="76"/>
      <c r="S576" s="76"/>
      <c r="T576" s="76"/>
      <c r="U576" s="334">
        <v>-0.4</v>
      </c>
      <c r="V576" s="334">
        <v>-0.5</v>
      </c>
      <c r="W576" s="334">
        <v>-0.4</v>
      </c>
      <c r="X576" s="334">
        <v>-0.5</v>
      </c>
      <c r="Y576" s="334">
        <v>-0.5</v>
      </c>
      <c r="Z576" s="334">
        <v>-0.5</v>
      </c>
      <c r="AA576" s="334">
        <v>-0.5</v>
      </c>
      <c r="AB576" s="97">
        <v>-0.55000000000000004</v>
      </c>
      <c r="AC576" s="255">
        <f t="shared" ref="AC576:AE599" si="161">AB576</f>
        <v>-0.55000000000000004</v>
      </c>
      <c r="AD576" s="255">
        <f t="shared" si="161"/>
        <v>-0.55000000000000004</v>
      </c>
      <c r="AE576" s="255">
        <f t="shared" ref="AE576:AE583" si="162">AD576</f>
        <v>-0.55000000000000004</v>
      </c>
      <c r="AF576" s="76"/>
      <c r="AG576" s="97" t="s">
        <v>2662</v>
      </c>
      <c r="AH576" s="76"/>
      <c r="AI576" s="97">
        <v>1</v>
      </c>
      <c r="AJ576" s="97">
        <v>1</v>
      </c>
      <c r="AK576" s="73"/>
      <c r="AL576" s="57"/>
      <c r="AM576" s="45"/>
      <c r="AN576" s="45"/>
      <c r="AO576" s="45"/>
    </row>
    <row r="577" spans="1:41" hidden="1" outlineLevel="2" x14ac:dyDescent="0.25">
      <c r="A577" s="45"/>
      <c r="B577" s="54"/>
      <c r="C577" s="47">
        <f t="shared" si="160"/>
        <v>3</v>
      </c>
      <c r="D577" s="73"/>
      <c r="E577" s="70"/>
      <c r="F577" s="70" t="s">
        <v>1176</v>
      </c>
      <c r="G577" s="73"/>
      <c r="H577" s="76" t="s">
        <v>2591</v>
      </c>
      <c r="I577" s="96" t="s">
        <v>497</v>
      </c>
      <c r="J577" s="96" t="s">
        <v>1138</v>
      </c>
      <c r="K577" s="76"/>
      <c r="L577" s="76"/>
      <c r="M577" s="76"/>
      <c r="N577" s="76"/>
      <c r="O577" s="76"/>
      <c r="P577" s="76"/>
      <c r="Q577" s="76"/>
      <c r="R577" s="76"/>
      <c r="S577" s="76"/>
      <c r="T577" s="76"/>
      <c r="U577" s="262">
        <v>0</v>
      </c>
      <c r="V577" s="262">
        <v>0</v>
      </c>
      <c r="W577" s="262">
        <v>0</v>
      </c>
      <c r="X577" s="262">
        <v>0</v>
      </c>
      <c r="Y577" s="262">
        <v>0</v>
      </c>
      <c r="Z577" s="262">
        <v>0</v>
      </c>
      <c r="AA577" s="262">
        <v>0</v>
      </c>
      <c r="AB577" s="97">
        <v>-0.2</v>
      </c>
      <c r="AC577" s="255">
        <f t="shared" si="161"/>
        <v>-0.2</v>
      </c>
      <c r="AD577" s="255">
        <f t="shared" si="161"/>
        <v>-0.2</v>
      </c>
      <c r="AE577" s="255">
        <f t="shared" si="162"/>
        <v>-0.2</v>
      </c>
      <c r="AF577" s="76"/>
      <c r="AG577" s="97" t="s">
        <v>2689</v>
      </c>
      <c r="AH577" s="76"/>
      <c r="AI577" s="97">
        <v>1</v>
      </c>
      <c r="AJ577" s="97">
        <v>1</v>
      </c>
      <c r="AK577" s="73"/>
      <c r="AL577" s="57"/>
      <c r="AM577" s="45"/>
      <c r="AN577" s="45"/>
      <c r="AO577" s="45"/>
    </row>
    <row r="578" spans="1:41" hidden="1" outlineLevel="2" x14ac:dyDescent="0.25">
      <c r="A578" s="45"/>
      <c r="B578" s="54"/>
      <c r="C578" s="47">
        <f t="shared" si="160"/>
        <v>3</v>
      </c>
      <c r="D578" s="73"/>
      <c r="E578" s="70"/>
      <c r="F578" s="70" t="s">
        <v>1177</v>
      </c>
      <c r="G578" s="73"/>
      <c r="H578" s="76" t="s">
        <v>2592</v>
      </c>
      <c r="I578" s="96" t="s">
        <v>497</v>
      </c>
      <c r="J578" s="96" t="s">
        <v>1138</v>
      </c>
      <c r="K578" s="76"/>
      <c r="L578" s="76"/>
      <c r="M578" s="76"/>
      <c r="N578" s="76"/>
      <c r="O578" s="76"/>
      <c r="P578" s="76"/>
      <c r="Q578" s="76"/>
      <c r="R578" s="76"/>
      <c r="S578" s="76"/>
      <c r="T578" s="76"/>
      <c r="U578" s="262">
        <v>0</v>
      </c>
      <c r="V578" s="262">
        <v>0</v>
      </c>
      <c r="W578" s="262">
        <v>0</v>
      </c>
      <c r="X578" s="262">
        <v>0</v>
      </c>
      <c r="Y578" s="262">
        <v>0</v>
      </c>
      <c r="Z578" s="262">
        <v>0</v>
      </c>
      <c r="AA578" s="262">
        <v>0</v>
      </c>
      <c r="AB578" s="97">
        <v>0</v>
      </c>
      <c r="AC578" s="255">
        <f t="shared" si="161"/>
        <v>0</v>
      </c>
      <c r="AD578" s="255">
        <f t="shared" si="161"/>
        <v>0</v>
      </c>
      <c r="AE578" s="255">
        <f t="shared" si="162"/>
        <v>0</v>
      </c>
      <c r="AF578" s="76"/>
      <c r="AG578" s="97"/>
      <c r="AH578" s="76"/>
      <c r="AI578" s="97">
        <v>1</v>
      </c>
      <c r="AJ578" s="97">
        <v>1</v>
      </c>
      <c r="AK578" s="73"/>
      <c r="AL578" s="57"/>
      <c r="AM578" s="45"/>
      <c r="AN578" s="45"/>
      <c r="AO578" s="45"/>
    </row>
    <row r="579" spans="1:41" hidden="1" outlineLevel="2" x14ac:dyDescent="0.25">
      <c r="A579" s="45"/>
      <c r="B579" s="54"/>
      <c r="C579" s="47">
        <f t="shared" si="160"/>
        <v>3</v>
      </c>
      <c r="D579" s="73"/>
      <c r="E579" s="70"/>
      <c r="F579" s="70" t="s">
        <v>1178</v>
      </c>
      <c r="G579" s="73"/>
      <c r="H579" s="76" t="s">
        <v>2593</v>
      </c>
      <c r="I579" s="96" t="s">
        <v>497</v>
      </c>
      <c r="J579" s="96" t="s">
        <v>1138</v>
      </c>
      <c r="K579" s="76"/>
      <c r="L579" s="76"/>
      <c r="M579" s="76"/>
      <c r="N579" s="76"/>
      <c r="O579" s="76"/>
      <c r="P579" s="76"/>
      <c r="Q579" s="76"/>
      <c r="R579" s="76"/>
      <c r="S579" s="76"/>
      <c r="T579" s="76"/>
      <c r="U579" s="262">
        <v>0</v>
      </c>
      <c r="V579" s="262">
        <v>0</v>
      </c>
      <c r="W579" s="262">
        <v>0</v>
      </c>
      <c r="X579" s="262">
        <v>0</v>
      </c>
      <c r="Y579" s="262">
        <v>0</v>
      </c>
      <c r="Z579" s="262">
        <v>0</v>
      </c>
      <c r="AA579" s="262">
        <v>0</v>
      </c>
      <c r="AB579" s="97">
        <v>0</v>
      </c>
      <c r="AC579" s="255">
        <f t="shared" si="161"/>
        <v>0</v>
      </c>
      <c r="AD579" s="255">
        <f t="shared" si="161"/>
        <v>0</v>
      </c>
      <c r="AE579" s="255">
        <f t="shared" si="162"/>
        <v>0</v>
      </c>
      <c r="AF579" s="76"/>
      <c r="AG579" s="97"/>
      <c r="AH579" s="76"/>
      <c r="AI579" s="97">
        <v>1</v>
      </c>
      <c r="AJ579" s="97">
        <v>1</v>
      </c>
      <c r="AK579" s="73"/>
      <c r="AL579" s="57"/>
      <c r="AM579" s="45"/>
      <c r="AN579" s="45"/>
      <c r="AO579" s="45"/>
    </row>
    <row r="580" spans="1:41" hidden="1" outlineLevel="2" x14ac:dyDescent="0.25">
      <c r="A580" s="45"/>
      <c r="B580" s="54"/>
      <c r="C580" s="47">
        <f t="shared" si="160"/>
        <v>3</v>
      </c>
      <c r="D580" s="73"/>
      <c r="E580" s="70"/>
      <c r="F580" s="70" t="s">
        <v>1179</v>
      </c>
      <c r="G580" s="73"/>
      <c r="H580" s="76" t="s">
        <v>2594</v>
      </c>
      <c r="I580" s="96" t="s">
        <v>497</v>
      </c>
      <c r="J580" s="96" t="s">
        <v>1138</v>
      </c>
      <c r="K580" s="76"/>
      <c r="L580" s="76"/>
      <c r="M580" s="76"/>
      <c r="N580" s="76"/>
      <c r="O580" s="76"/>
      <c r="P580" s="76"/>
      <c r="Q580" s="76"/>
      <c r="R580" s="76"/>
      <c r="S580" s="76"/>
      <c r="T580" s="76"/>
      <c r="U580" s="262">
        <v>0</v>
      </c>
      <c r="V580" s="262">
        <v>0</v>
      </c>
      <c r="W580" s="262">
        <v>0</v>
      </c>
      <c r="X580" s="262">
        <v>0</v>
      </c>
      <c r="Y580" s="262">
        <v>0</v>
      </c>
      <c r="Z580" s="262">
        <v>0</v>
      </c>
      <c r="AA580" s="262">
        <v>0</v>
      </c>
      <c r="AB580" s="97">
        <v>0</v>
      </c>
      <c r="AC580" s="255">
        <f t="shared" si="161"/>
        <v>0</v>
      </c>
      <c r="AD580" s="255">
        <f t="shared" si="161"/>
        <v>0</v>
      </c>
      <c r="AE580" s="255">
        <f t="shared" si="162"/>
        <v>0</v>
      </c>
      <c r="AF580" s="76"/>
      <c r="AG580" s="97"/>
      <c r="AH580" s="76"/>
      <c r="AI580" s="97">
        <v>1</v>
      </c>
      <c r="AJ580" s="97">
        <v>1</v>
      </c>
      <c r="AK580" s="73"/>
      <c r="AL580" s="57"/>
      <c r="AM580" s="45"/>
      <c r="AN580" s="45"/>
      <c r="AO580" s="45"/>
    </row>
    <row r="581" spans="1:41" hidden="1" outlineLevel="2" x14ac:dyDescent="0.25">
      <c r="A581" s="45"/>
      <c r="B581" s="54"/>
      <c r="C581" s="47">
        <f t="shared" si="160"/>
        <v>3</v>
      </c>
      <c r="D581" s="73"/>
      <c r="E581" s="70"/>
      <c r="F581" s="70" t="s">
        <v>1180</v>
      </c>
      <c r="G581" s="73"/>
      <c r="H581" s="76" t="s">
        <v>2595</v>
      </c>
      <c r="I581" s="96" t="s">
        <v>497</v>
      </c>
      <c r="J581" s="96" t="s">
        <v>1138</v>
      </c>
      <c r="K581" s="76"/>
      <c r="L581" s="76"/>
      <c r="M581" s="76"/>
      <c r="N581" s="76"/>
      <c r="O581" s="76"/>
      <c r="P581" s="76"/>
      <c r="Q581" s="76"/>
      <c r="R581" s="76"/>
      <c r="S581" s="76"/>
      <c r="T581" s="76"/>
      <c r="U581" s="262">
        <v>0</v>
      </c>
      <c r="V581" s="262">
        <v>0</v>
      </c>
      <c r="W581" s="262">
        <v>0</v>
      </c>
      <c r="X581" s="262">
        <v>0</v>
      </c>
      <c r="Y581" s="262">
        <v>0</v>
      </c>
      <c r="Z581" s="262">
        <v>0</v>
      </c>
      <c r="AA581" s="262">
        <v>0</v>
      </c>
      <c r="AB581" s="97">
        <v>0</v>
      </c>
      <c r="AC581" s="255">
        <f t="shared" si="161"/>
        <v>0</v>
      </c>
      <c r="AD581" s="255">
        <f t="shared" si="161"/>
        <v>0</v>
      </c>
      <c r="AE581" s="255">
        <f t="shared" si="162"/>
        <v>0</v>
      </c>
      <c r="AF581" s="76"/>
      <c r="AG581" s="97"/>
      <c r="AH581" s="76"/>
      <c r="AI581" s="97">
        <v>1</v>
      </c>
      <c r="AJ581" s="97">
        <v>1</v>
      </c>
      <c r="AK581" s="73"/>
      <c r="AL581" s="57"/>
      <c r="AM581" s="45"/>
      <c r="AN581" s="45"/>
      <c r="AO581" s="45"/>
    </row>
    <row r="582" spans="1:41" hidden="1" outlineLevel="2" x14ac:dyDescent="0.25">
      <c r="A582" s="45"/>
      <c r="B582" s="54"/>
      <c r="C582" s="47">
        <f t="shared" si="160"/>
        <v>3</v>
      </c>
      <c r="D582" s="73"/>
      <c r="E582" s="70"/>
      <c r="F582" s="70" t="s">
        <v>1181</v>
      </c>
      <c r="G582" s="73"/>
      <c r="H582" s="76" t="s">
        <v>2596</v>
      </c>
      <c r="I582" s="96" t="s">
        <v>497</v>
      </c>
      <c r="J582" s="96" t="s">
        <v>1138</v>
      </c>
      <c r="K582" s="76"/>
      <c r="L582" s="76"/>
      <c r="M582" s="76"/>
      <c r="N582" s="76"/>
      <c r="O582" s="76"/>
      <c r="P582" s="76"/>
      <c r="Q582" s="76"/>
      <c r="R582" s="76"/>
      <c r="S582" s="76"/>
      <c r="T582" s="76"/>
      <c r="U582" s="262">
        <v>0</v>
      </c>
      <c r="V582" s="262">
        <v>0</v>
      </c>
      <c r="W582" s="262">
        <v>0</v>
      </c>
      <c r="X582" s="262">
        <v>0</v>
      </c>
      <c r="Y582" s="262">
        <v>0</v>
      </c>
      <c r="Z582" s="262">
        <v>0</v>
      </c>
      <c r="AA582" s="262">
        <v>0</v>
      </c>
      <c r="AB582" s="97">
        <v>0</v>
      </c>
      <c r="AC582" s="255">
        <f t="shared" si="161"/>
        <v>0</v>
      </c>
      <c r="AD582" s="255">
        <f t="shared" si="161"/>
        <v>0</v>
      </c>
      <c r="AE582" s="255">
        <f t="shared" si="162"/>
        <v>0</v>
      </c>
      <c r="AF582" s="76"/>
      <c r="AG582" s="97"/>
      <c r="AH582" s="76"/>
      <c r="AI582" s="97">
        <v>1</v>
      </c>
      <c r="AJ582" s="97">
        <v>1</v>
      </c>
      <c r="AK582" s="73"/>
      <c r="AL582" s="57"/>
      <c r="AM582" s="45"/>
      <c r="AN582" s="45"/>
      <c r="AO582" s="45"/>
    </row>
    <row r="583" spans="1:41" hidden="1" outlineLevel="2" x14ac:dyDescent="0.25">
      <c r="A583" s="45"/>
      <c r="B583" s="54"/>
      <c r="C583" s="47">
        <f t="shared" si="160"/>
        <v>3</v>
      </c>
      <c r="D583" s="73"/>
      <c r="E583" s="70"/>
      <c r="F583" s="70" t="s">
        <v>1182</v>
      </c>
      <c r="G583" s="73"/>
      <c r="H583" s="76" t="s">
        <v>2597</v>
      </c>
      <c r="I583" s="96" t="s">
        <v>497</v>
      </c>
      <c r="J583" s="96" t="s">
        <v>1138</v>
      </c>
      <c r="K583" s="76"/>
      <c r="L583" s="76"/>
      <c r="M583" s="76"/>
      <c r="N583" s="76"/>
      <c r="O583" s="76"/>
      <c r="P583" s="76"/>
      <c r="Q583" s="76"/>
      <c r="R583" s="76"/>
      <c r="S583" s="76"/>
      <c r="T583" s="76"/>
      <c r="U583" s="262">
        <v>0</v>
      </c>
      <c r="V583" s="262">
        <v>0</v>
      </c>
      <c r="W583" s="262">
        <v>0</v>
      </c>
      <c r="X583" s="262">
        <v>0</v>
      </c>
      <c r="Y583" s="262">
        <v>0</v>
      </c>
      <c r="Z583" s="262">
        <v>0</v>
      </c>
      <c r="AA583" s="262">
        <v>0</v>
      </c>
      <c r="AB583" s="97">
        <f>AB577</f>
        <v>-0.2</v>
      </c>
      <c r="AC583" s="255">
        <f t="shared" si="161"/>
        <v>-0.2</v>
      </c>
      <c r="AD583" s="255">
        <f t="shared" si="161"/>
        <v>-0.2</v>
      </c>
      <c r="AE583" s="255">
        <f t="shared" si="162"/>
        <v>-0.2</v>
      </c>
      <c r="AF583" s="76"/>
      <c r="AG583" s="97"/>
      <c r="AH583" s="76"/>
      <c r="AI583" s="97">
        <v>1</v>
      </c>
      <c r="AJ583" s="97">
        <v>1</v>
      </c>
      <c r="AK583" s="73"/>
      <c r="AL583" s="57"/>
      <c r="AM583" s="45"/>
      <c r="AN583" s="45"/>
      <c r="AO583" s="45"/>
    </row>
    <row r="584" spans="1:41" hidden="1" outlineLevel="2" x14ac:dyDescent="0.25">
      <c r="A584" s="45"/>
      <c r="B584" s="54"/>
      <c r="C584" s="47">
        <f t="shared" si="160"/>
        <v>3</v>
      </c>
      <c r="D584" s="73"/>
      <c r="E584" s="70"/>
      <c r="F584" s="70" t="s">
        <v>1183</v>
      </c>
      <c r="G584" s="73"/>
      <c r="H584" s="76" t="s">
        <v>1184</v>
      </c>
      <c r="I584" s="96" t="s">
        <v>497</v>
      </c>
      <c r="J584" s="96" t="s">
        <v>1138</v>
      </c>
      <c r="K584" s="76"/>
      <c r="L584" s="76"/>
      <c r="M584" s="76"/>
      <c r="N584" s="76"/>
      <c r="O584" s="76"/>
      <c r="P584" s="76"/>
      <c r="Q584" s="76"/>
      <c r="R584" s="76"/>
      <c r="S584" s="76"/>
      <c r="T584" s="76"/>
      <c r="U584" s="262">
        <v>0</v>
      </c>
      <c r="V584" s="262">
        <v>0</v>
      </c>
      <c r="W584" s="262">
        <v>0</v>
      </c>
      <c r="X584" s="262">
        <v>0</v>
      </c>
      <c r="Y584" s="262">
        <v>0</v>
      </c>
      <c r="Z584" s="262">
        <v>0</v>
      </c>
      <c r="AA584" s="262">
        <v>0</v>
      </c>
      <c r="AB584" s="255">
        <f t="shared" ref="AB584:AB599" si="163">AA584</f>
        <v>0</v>
      </c>
      <c r="AC584" s="255">
        <f t="shared" si="161"/>
        <v>0</v>
      </c>
      <c r="AD584" s="255">
        <f t="shared" si="161"/>
        <v>0</v>
      </c>
      <c r="AE584" s="255">
        <f t="shared" si="161"/>
        <v>0</v>
      </c>
      <c r="AF584" s="76"/>
      <c r="AG584" s="97"/>
      <c r="AH584" s="76"/>
      <c r="AI584" s="97">
        <v>1</v>
      </c>
      <c r="AJ584" s="97">
        <v>1</v>
      </c>
      <c r="AK584" s="73"/>
      <c r="AL584" s="57"/>
      <c r="AM584" s="45"/>
      <c r="AN584" s="45"/>
      <c r="AO584" s="45"/>
    </row>
    <row r="585" spans="1:41" hidden="1" outlineLevel="2" x14ac:dyDescent="0.25">
      <c r="A585" s="45"/>
      <c r="B585" s="54"/>
      <c r="C585" s="47">
        <f t="shared" si="160"/>
        <v>3</v>
      </c>
      <c r="D585" s="73"/>
      <c r="E585" s="70"/>
      <c r="F585" s="70" t="s">
        <v>1185</v>
      </c>
      <c r="G585" s="73"/>
      <c r="H585" s="76" t="s">
        <v>2598</v>
      </c>
      <c r="I585" s="96" t="s">
        <v>497</v>
      </c>
      <c r="J585" s="96" t="s">
        <v>1138</v>
      </c>
      <c r="K585" s="76"/>
      <c r="L585" s="76"/>
      <c r="M585" s="76"/>
      <c r="N585" s="76"/>
      <c r="O585" s="76"/>
      <c r="P585" s="76"/>
      <c r="Q585" s="76"/>
      <c r="R585" s="76"/>
      <c r="S585" s="76"/>
      <c r="T585" s="76"/>
      <c r="U585" s="262">
        <v>0</v>
      </c>
      <c r="V585" s="262">
        <v>0</v>
      </c>
      <c r="W585" s="262">
        <v>0</v>
      </c>
      <c r="X585" s="262">
        <v>0</v>
      </c>
      <c r="Y585" s="262">
        <v>0</v>
      </c>
      <c r="Z585" s="262">
        <v>0</v>
      </c>
      <c r="AA585" s="262">
        <v>0</v>
      </c>
      <c r="AB585" s="255">
        <f t="shared" si="163"/>
        <v>0</v>
      </c>
      <c r="AC585" s="255">
        <f t="shared" si="161"/>
        <v>0</v>
      </c>
      <c r="AD585" s="255">
        <f t="shared" si="161"/>
        <v>0</v>
      </c>
      <c r="AE585" s="255">
        <f t="shared" si="161"/>
        <v>0</v>
      </c>
      <c r="AF585" s="76"/>
      <c r="AG585" s="97"/>
      <c r="AH585" s="76"/>
      <c r="AI585" s="97">
        <v>1</v>
      </c>
      <c r="AJ585" s="97">
        <v>1</v>
      </c>
      <c r="AK585" s="73"/>
      <c r="AL585" s="57"/>
      <c r="AM585" s="45"/>
      <c r="AN585" s="45"/>
      <c r="AO585" s="45"/>
    </row>
    <row r="586" spans="1:41" hidden="1" outlineLevel="2" collapsed="1" x14ac:dyDescent="0.25">
      <c r="A586" s="45"/>
      <c r="B586" s="54"/>
      <c r="C586" s="47">
        <f t="shared" si="160"/>
        <v>3</v>
      </c>
      <c r="D586" s="73"/>
      <c r="E586" s="70"/>
      <c r="F586" s="70" t="s">
        <v>1186</v>
      </c>
      <c r="G586" s="73"/>
      <c r="H586" s="76" t="s">
        <v>2599</v>
      </c>
      <c r="I586" s="96" t="s">
        <v>497</v>
      </c>
      <c r="J586" s="96" t="s">
        <v>1138</v>
      </c>
      <c r="K586" s="76"/>
      <c r="L586" s="76"/>
      <c r="M586" s="76"/>
      <c r="N586" s="76"/>
      <c r="O586" s="76"/>
      <c r="P586" s="76"/>
      <c r="Q586" s="76"/>
      <c r="R586" s="76"/>
      <c r="S586" s="76"/>
      <c r="T586" s="76"/>
      <c r="U586" s="262">
        <v>0</v>
      </c>
      <c r="V586" s="262">
        <v>0</v>
      </c>
      <c r="W586" s="262">
        <v>0</v>
      </c>
      <c r="X586" s="262">
        <v>0</v>
      </c>
      <c r="Y586" s="262">
        <v>0</v>
      </c>
      <c r="Z586" s="262">
        <v>0</v>
      </c>
      <c r="AA586" s="262">
        <v>0</v>
      </c>
      <c r="AB586" s="255">
        <f t="shared" si="163"/>
        <v>0</v>
      </c>
      <c r="AC586" s="255">
        <f t="shared" si="161"/>
        <v>0</v>
      </c>
      <c r="AD586" s="255">
        <f t="shared" si="161"/>
        <v>0</v>
      </c>
      <c r="AE586" s="255">
        <f t="shared" si="161"/>
        <v>0</v>
      </c>
      <c r="AF586" s="76"/>
      <c r="AG586" s="97"/>
      <c r="AH586" s="76"/>
      <c r="AI586" s="97">
        <v>1</v>
      </c>
      <c r="AJ586" s="97">
        <v>1</v>
      </c>
      <c r="AK586" s="73"/>
      <c r="AL586" s="57"/>
      <c r="AM586" s="45"/>
      <c r="AN586" s="45"/>
      <c r="AO586" s="45"/>
    </row>
    <row r="587" spans="1:41" hidden="1" outlineLevel="3" x14ac:dyDescent="0.25">
      <c r="A587" s="45"/>
      <c r="B587" s="54"/>
      <c r="C587" s="47">
        <f t="shared" si="160"/>
        <v>3</v>
      </c>
      <c r="D587" s="73"/>
      <c r="E587" s="70"/>
      <c r="F587" s="70" t="s">
        <v>1187</v>
      </c>
      <c r="G587" s="73"/>
      <c r="H587" s="76" t="s">
        <v>2600</v>
      </c>
      <c r="I587" s="96" t="s">
        <v>497</v>
      </c>
      <c r="J587" s="96" t="s">
        <v>1138</v>
      </c>
      <c r="K587" s="76"/>
      <c r="L587" s="76"/>
      <c r="M587" s="76"/>
      <c r="N587" s="76"/>
      <c r="O587" s="76"/>
      <c r="P587" s="76"/>
      <c r="Q587" s="76"/>
      <c r="R587" s="76"/>
      <c r="S587" s="76"/>
      <c r="T587" s="76"/>
      <c r="U587" s="262">
        <v>0</v>
      </c>
      <c r="V587" s="262">
        <v>0</v>
      </c>
      <c r="W587" s="262">
        <v>0</v>
      </c>
      <c r="X587" s="262">
        <v>0</v>
      </c>
      <c r="Y587" s="262">
        <v>0</v>
      </c>
      <c r="Z587" s="262">
        <v>0</v>
      </c>
      <c r="AA587" s="262">
        <v>0</v>
      </c>
      <c r="AB587" s="255">
        <f t="shared" si="163"/>
        <v>0</v>
      </c>
      <c r="AC587" s="255">
        <f t="shared" si="161"/>
        <v>0</v>
      </c>
      <c r="AD587" s="255">
        <f t="shared" si="161"/>
        <v>0</v>
      </c>
      <c r="AE587" s="255">
        <f t="shared" si="161"/>
        <v>0</v>
      </c>
      <c r="AF587" s="76"/>
      <c r="AG587" s="97"/>
      <c r="AH587" s="76"/>
      <c r="AI587" s="97">
        <v>1</v>
      </c>
      <c r="AJ587" s="97">
        <v>1</v>
      </c>
      <c r="AK587" s="73"/>
      <c r="AL587" s="57"/>
      <c r="AM587" s="45"/>
      <c r="AN587" s="45"/>
      <c r="AO587" s="45"/>
    </row>
    <row r="588" spans="1:41" hidden="1" outlineLevel="3" x14ac:dyDescent="0.25">
      <c r="A588" s="45"/>
      <c r="B588" s="54"/>
      <c r="C588" s="47">
        <f t="shared" si="160"/>
        <v>3</v>
      </c>
      <c r="D588" s="73"/>
      <c r="E588" s="70"/>
      <c r="F588" s="70" t="s">
        <v>1188</v>
      </c>
      <c r="G588" s="73"/>
      <c r="H588" s="76" t="s">
        <v>2601</v>
      </c>
      <c r="I588" s="96" t="s">
        <v>497</v>
      </c>
      <c r="J588" s="96" t="s">
        <v>1138</v>
      </c>
      <c r="K588" s="76"/>
      <c r="L588" s="76"/>
      <c r="M588" s="76"/>
      <c r="N588" s="76"/>
      <c r="O588" s="76"/>
      <c r="P588" s="76"/>
      <c r="Q588" s="76"/>
      <c r="R588" s="76"/>
      <c r="S588" s="76"/>
      <c r="T588" s="76"/>
      <c r="U588" s="262">
        <v>0</v>
      </c>
      <c r="V588" s="262">
        <v>0</v>
      </c>
      <c r="W588" s="262">
        <v>0</v>
      </c>
      <c r="X588" s="262">
        <v>0</v>
      </c>
      <c r="Y588" s="262">
        <v>0</v>
      </c>
      <c r="Z588" s="262">
        <v>0</v>
      </c>
      <c r="AA588" s="262">
        <v>0</v>
      </c>
      <c r="AB588" s="255">
        <f t="shared" si="163"/>
        <v>0</v>
      </c>
      <c r="AC588" s="255">
        <f t="shared" si="161"/>
        <v>0</v>
      </c>
      <c r="AD588" s="255">
        <f t="shared" si="161"/>
        <v>0</v>
      </c>
      <c r="AE588" s="255">
        <f t="shared" si="161"/>
        <v>0</v>
      </c>
      <c r="AF588" s="76"/>
      <c r="AG588" s="97"/>
      <c r="AH588" s="76"/>
      <c r="AI588" s="97">
        <v>1</v>
      </c>
      <c r="AJ588" s="97">
        <v>1</v>
      </c>
      <c r="AK588" s="73"/>
      <c r="AL588" s="57"/>
      <c r="AM588" s="45"/>
      <c r="AN588" s="45"/>
      <c r="AO588" s="45"/>
    </row>
    <row r="589" spans="1:41" hidden="1" outlineLevel="3" x14ac:dyDescent="0.25">
      <c r="A589" s="45"/>
      <c r="B589" s="54"/>
      <c r="C589" s="47">
        <f t="shared" si="160"/>
        <v>3</v>
      </c>
      <c r="D589" s="73"/>
      <c r="E589" s="70"/>
      <c r="F589" s="70" t="s">
        <v>1189</v>
      </c>
      <c r="G589" s="73"/>
      <c r="H589" s="76" t="s">
        <v>2602</v>
      </c>
      <c r="I589" s="96" t="s">
        <v>497</v>
      </c>
      <c r="J589" s="96" t="s">
        <v>1138</v>
      </c>
      <c r="K589" s="76"/>
      <c r="L589" s="76"/>
      <c r="M589" s="76"/>
      <c r="N589" s="76"/>
      <c r="O589" s="76"/>
      <c r="P589" s="76"/>
      <c r="Q589" s="76"/>
      <c r="R589" s="76"/>
      <c r="S589" s="76"/>
      <c r="T589" s="76"/>
      <c r="U589" s="262">
        <v>0</v>
      </c>
      <c r="V589" s="262">
        <v>0</v>
      </c>
      <c r="W589" s="262">
        <v>0</v>
      </c>
      <c r="X589" s="262">
        <v>0</v>
      </c>
      <c r="Y589" s="262">
        <v>0</v>
      </c>
      <c r="Z589" s="262">
        <v>0</v>
      </c>
      <c r="AA589" s="262">
        <v>0</v>
      </c>
      <c r="AB589" s="255">
        <f t="shared" si="163"/>
        <v>0</v>
      </c>
      <c r="AC589" s="255">
        <f t="shared" si="161"/>
        <v>0</v>
      </c>
      <c r="AD589" s="255">
        <f t="shared" si="161"/>
        <v>0</v>
      </c>
      <c r="AE589" s="255">
        <f t="shared" si="161"/>
        <v>0</v>
      </c>
      <c r="AF589" s="76"/>
      <c r="AG589" s="97"/>
      <c r="AH589" s="76"/>
      <c r="AI589" s="97">
        <v>1</v>
      </c>
      <c r="AJ589" s="97">
        <v>1</v>
      </c>
      <c r="AK589" s="73"/>
      <c r="AL589" s="57"/>
      <c r="AM589" s="45"/>
      <c r="AN589" s="45"/>
      <c r="AO589" s="45"/>
    </row>
    <row r="590" spans="1:41" hidden="1" outlineLevel="3" x14ac:dyDescent="0.25">
      <c r="A590" s="45"/>
      <c r="B590" s="54"/>
      <c r="C590" s="47">
        <f t="shared" si="160"/>
        <v>3</v>
      </c>
      <c r="D590" s="73"/>
      <c r="E590" s="70"/>
      <c r="F590" s="70" t="s">
        <v>1190</v>
      </c>
      <c r="G590" s="73"/>
      <c r="H590" s="76" t="s">
        <v>2603</v>
      </c>
      <c r="I590" s="96" t="s">
        <v>497</v>
      </c>
      <c r="J590" s="96" t="s">
        <v>1138</v>
      </c>
      <c r="K590" s="76"/>
      <c r="L590" s="76"/>
      <c r="M590" s="76"/>
      <c r="N590" s="76"/>
      <c r="O590" s="76"/>
      <c r="P590" s="76"/>
      <c r="Q590" s="76"/>
      <c r="R590" s="76"/>
      <c r="S590" s="76"/>
      <c r="T590" s="76"/>
      <c r="U590" s="262">
        <v>0</v>
      </c>
      <c r="V590" s="262">
        <v>0</v>
      </c>
      <c r="W590" s="262">
        <v>0</v>
      </c>
      <c r="X590" s="262">
        <v>0</v>
      </c>
      <c r="Y590" s="262">
        <v>0</v>
      </c>
      <c r="Z590" s="262">
        <v>0</v>
      </c>
      <c r="AA590" s="262">
        <v>0</v>
      </c>
      <c r="AB590" s="255">
        <f t="shared" si="163"/>
        <v>0</v>
      </c>
      <c r="AC590" s="255">
        <f t="shared" si="161"/>
        <v>0</v>
      </c>
      <c r="AD590" s="255">
        <f t="shared" si="161"/>
        <v>0</v>
      </c>
      <c r="AE590" s="255">
        <f t="shared" si="161"/>
        <v>0</v>
      </c>
      <c r="AF590" s="76"/>
      <c r="AG590" s="97"/>
      <c r="AH590" s="76"/>
      <c r="AI590" s="97">
        <v>1</v>
      </c>
      <c r="AJ590" s="97">
        <v>1</v>
      </c>
      <c r="AK590" s="73"/>
      <c r="AL590" s="57"/>
      <c r="AM590" s="45"/>
      <c r="AN590" s="45"/>
      <c r="AO590" s="45"/>
    </row>
    <row r="591" spans="1:41" hidden="1" outlineLevel="3" x14ac:dyDescent="0.25">
      <c r="A591" s="45"/>
      <c r="B591" s="54"/>
      <c r="C591" s="47">
        <f t="shared" si="160"/>
        <v>3</v>
      </c>
      <c r="D591" s="73"/>
      <c r="E591" s="70"/>
      <c r="F591" s="70" t="s">
        <v>1191</v>
      </c>
      <c r="G591" s="73"/>
      <c r="H591" s="76" t="s">
        <v>2604</v>
      </c>
      <c r="I591" s="96" t="s">
        <v>497</v>
      </c>
      <c r="J591" s="96" t="s">
        <v>1138</v>
      </c>
      <c r="K591" s="76"/>
      <c r="L591" s="76"/>
      <c r="M591" s="76"/>
      <c r="N591" s="76"/>
      <c r="O591" s="76"/>
      <c r="P591" s="76"/>
      <c r="Q591" s="76"/>
      <c r="R591" s="76"/>
      <c r="S591" s="76"/>
      <c r="T591" s="76"/>
      <c r="U591" s="262">
        <v>0</v>
      </c>
      <c r="V591" s="262">
        <v>0</v>
      </c>
      <c r="W591" s="262">
        <v>0</v>
      </c>
      <c r="X591" s="262">
        <v>0</v>
      </c>
      <c r="Y591" s="262">
        <v>0</v>
      </c>
      <c r="Z591" s="262">
        <v>0</v>
      </c>
      <c r="AA591" s="262">
        <v>0</v>
      </c>
      <c r="AB591" s="255">
        <f t="shared" si="163"/>
        <v>0</v>
      </c>
      <c r="AC591" s="255">
        <f t="shared" si="161"/>
        <v>0</v>
      </c>
      <c r="AD591" s="255">
        <f t="shared" si="161"/>
        <v>0</v>
      </c>
      <c r="AE591" s="255">
        <f t="shared" si="161"/>
        <v>0</v>
      </c>
      <c r="AF591" s="76"/>
      <c r="AG591" s="97"/>
      <c r="AH591" s="76"/>
      <c r="AI591" s="97">
        <v>1</v>
      </c>
      <c r="AJ591" s="97">
        <v>1</v>
      </c>
      <c r="AK591" s="73"/>
      <c r="AL591" s="57"/>
      <c r="AM591" s="45"/>
      <c r="AN591" s="45"/>
      <c r="AO591" s="45"/>
    </row>
    <row r="592" spans="1:41" hidden="1" outlineLevel="2" x14ac:dyDescent="0.25">
      <c r="A592" s="45"/>
      <c r="B592" s="54"/>
      <c r="C592" s="47">
        <f t="shared" si="160"/>
        <v>3</v>
      </c>
      <c r="D592" s="73"/>
      <c r="E592" s="70"/>
      <c r="F592" s="70" t="s">
        <v>1192</v>
      </c>
      <c r="G592" s="73"/>
      <c r="H592" s="76" t="s">
        <v>1193</v>
      </c>
      <c r="I592" s="96" t="s">
        <v>497</v>
      </c>
      <c r="J592" s="96" t="s">
        <v>1138</v>
      </c>
      <c r="K592" s="76"/>
      <c r="L592" s="76"/>
      <c r="M592" s="76"/>
      <c r="N592" s="76"/>
      <c r="O592" s="76"/>
      <c r="P592" s="76"/>
      <c r="Q592" s="76"/>
      <c r="R592" s="76"/>
      <c r="S592" s="76"/>
      <c r="T592" s="76"/>
      <c r="U592" s="262">
        <v>0</v>
      </c>
      <c r="V592" s="262">
        <v>0</v>
      </c>
      <c r="W592" s="262">
        <v>0</v>
      </c>
      <c r="X592" s="262">
        <v>0</v>
      </c>
      <c r="Y592" s="262">
        <v>0</v>
      </c>
      <c r="Z592" s="262">
        <v>0</v>
      </c>
      <c r="AA592" s="262">
        <v>0</v>
      </c>
      <c r="AB592" s="255">
        <f t="shared" si="163"/>
        <v>0</v>
      </c>
      <c r="AC592" s="255">
        <f t="shared" si="161"/>
        <v>0</v>
      </c>
      <c r="AD592" s="255">
        <f t="shared" si="161"/>
        <v>0</v>
      </c>
      <c r="AE592" s="255">
        <f t="shared" si="161"/>
        <v>0</v>
      </c>
      <c r="AF592" s="76"/>
      <c r="AG592" s="97"/>
      <c r="AH592" s="76"/>
      <c r="AI592" s="97">
        <v>1</v>
      </c>
      <c r="AJ592" s="97">
        <v>1</v>
      </c>
      <c r="AK592" s="73"/>
      <c r="AL592" s="57"/>
      <c r="AM592" s="45"/>
      <c r="AN592" s="45"/>
      <c r="AO592" s="45"/>
    </row>
    <row r="593" spans="1:41" hidden="1" outlineLevel="2" x14ac:dyDescent="0.25">
      <c r="A593" s="45"/>
      <c r="B593" s="54"/>
      <c r="C593" s="47">
        <f t="shared" si="160"/>
        <v>3</v>
      </c>
      <c r="D593" s="73"/>
      <c r="E593" s="70"/>
      <c r="F593" s="70" t="s">
        <v>1194</v>
      </c>
      <c r="G593" s="73"/>
      <c r="H593" s="76" t="s">
        <v>2605</v>
      </c>
      <c r="I593" s="96" t="s">
        <v>497</v>
      </c>
      <c r="J593" s="96" t="s">
        <v>1138</v>
      </c>
      <c r="K593" s="76"/>
      <c r="L593" s="76"/>
      <c r="M593" s="76"/>
      <c r="N593" s="76"/>
      <c r="O593" s="76"/>
      <c r="P593" s="76"/>
      <c r="Q593" s="76"/>
      <c r="R593" s="76"/>
      <c r="S593" s="76"/>
      <c r="T593" s="76"/>
      <c r="U593" s="262">
        <v>0</v>
      </c>
      <c r="V593" s="262">
        <v>0</v>
      </c>
      <c r="W593" s="262">
        <v>0</v>
      </c>
      <c r="X593" s="262">
        <v>0</v>
      </c>
      <c r="Y593" s="262">
        <v>0</v>
      </c>
      <c r="Z593" s="262">
        <v>0</v>
      </c>
      <c r="AA593" s="262">
        <v>0</v>
      </c>
      <c r="AB593" s="255">
        <f t="shared" si="163"/>
        <v>0</v>
      </c>
      <c r="AC593" s="255">
        <f t="shared" si="161"/>
        <v>0</v>
      </c>
      <c r="AD593" s="255">
        <f t="shared" si="161"/>
        <v>0</v>
      </c>
      <c r="AE593" s="255">
        <f t="shared" si="161"/>
        <v>0</v>
      </c>
      <c r="AF593" s="76"/>
      <c r="AG593" s="97"/>
      <c r="AH593" s="76"/>
      <c r="AI593" s="97">
        <v>1</v>
      </c>
      <c r="AJ593" s="97">
        <v>1</v>
      </c>
      <c r="AK593" s="73"/>
      <c r="AL593" s="57"/>
      <c r="AM593" s="45"/>
      <c r="AN593" s="45"/>
      <c r="AO593" s="45"/>
    </row>
    <row r="594" spans="1:41" hidden="1" outlineLevel="2" collapsed="1" x14ac:dyDescent="0.25">
      <c r="A594" s="45"/>
      <c r="B594" s="54"/>
      <c r="C594" s="47">
        <f t="shared" si="160"/>
        <v>3</v>
      </c>
      <c r="D594" s="73"/>
      <c r="E594" s="70"/>
      <c r="F594" s="70" t="s">
        <v>1195</v>
      </c>
      <c r="G594" s="73"/>
      <c r="H594" s="76" t="s">
        <v>2606</v>
      </c>
      <c r="I594" s="96" t="s">
        <v>497</v>
      </c>
      <c r="J594" s="96" t="s">
        <v>1138</v>
      </c>
      <c r="K594" s="76"/>
      <c r="L594" s="76"/>
      <c r="M594" s="76"/>
      <c r="N594" s="76"/>
      <c r="O594" s="76"/>
      <c r="P594" s="76"/>
      <c r="Q594" s="76"/>
      <c r="R594" s="76"/>
      <c r="S594" s="76"/>
      <c r="T594" s="76"/>
      <c r="U594" s="262">
        <v>0</v>
      </c>
      <c r="V594" s="262">
        <v>0</v>
      </c>
      <c r="W594" s="262">
        <v>0</v>
      </c>
      <c r="X594" s="262">
        <v>0</v>
      </c>
      <c r="Y594" s="262">
        <v>0</v>
      </c>
      <c r="Z594" s="262">
        <v>0</v>
      </c>
      <c r="AA594" s="262">
        <v>0</v>
      </c>
      <c r="AB594" s="255">
        <f t="shared" si="163"/>
        <v>0</v>
      </c>
      <c r="AC594" s="255">
        <f t="shared" si="161"/>
        <v>0</v>
      </c>
      <c r="AD594" s="255">
        <f t="shared" si="161"/>
        <v>0</v>
      </c>
      <c r="AE594" s="255">
        <f t="shared" si="161"/>
        <v>0</v>
      </c>
      <c r="AF594" s="76"/>
      <c r="AG594" s="97"/>
      <c r="AH594" s="76"/>
      <c r="AI594" s="97">
        <v>1</v>
      </c>
      <c r="AJ594" s="97">
        <v>1</v>
      </c>
      <c r="AK594" s="73"/>
      <c r="AL594" s="57"/>
      <c r="AM594" s="45"/>
      <c r="AN594" s="45"/>
      <c r="AO594" s="45"/>
    </row>
    <row r="595" spans="1:41" hidden="1" outlineLevel="3" x14ac:dyDescent="0.25">
      <c r="A595" s="45"/>
      <c r="B595" s="54"/>
      <c r="C595" s="47">
        <f t="shared" si="160"/>
        <v>3</v>
      </c>
      <c r="D595" s="73"/>
      <c r="E595" s="70"/>
      <c r="F595" s="70" t="s">
        <v>1196</v>
      </c>
      <c r="G595" s="73"/>
      <c r="H595" s="76" t="s">
        <v>2607</v>
      </c>
      <c r="I595" s="96" t="s">
        <v>497</v>
      </c>
      <c r="J595" s="96" t="s">
        <v>1138</v>
      </c>
      <c r="K595" s="76"/>
      <c r="L595" s="76"/>
      <c r="M595" s="76"/>
      <c r="N595" s="76"/>
      <c r="O595" s="76"/>
      <c r="P595" s="76"/>
      <c r="Q595" s="76"/>
      <c r="R595" s="76"/>
      <c r="S595" s="76"/>
      <c r="T595" s="76"/>
      <c r="U595" s="262">
        <v>0</v>
      </c>
      <c r="V595" s="262">
        <v>0</v>
      </c>
      <c r="W595" s="262">
        <v>0</v>
      </c>
      <c r="X595" s="262">
        <v>0</v>
      </c>
      <c r="Y595" s="262">
        <v>0</v>
      </c>
      <c r="Z595" s="262">
        <v>0</v>
      </c>
      <c r="AA595" s="262">
        <v>0</v>
      </c>
      <c r="AB595" s="255">
        <f t="shared" si="163"/>
        <v>0</v>
      </c>
      <c r="AC595" s="255">
        <f t="shared" si="161"/>
        <v>0</v>
      </c>
      <c r="AD595" s="255">
        <f t="shared" si="161"/>
        <v>0</v>
      </c>
      <c r="AE595" s="255">
        <f t="shared" si="161"/>
        <v>0</v>
      </c>
      <c r="AF595" s="76"/>
      <c r="AG595" s="97"/>
      <c r="AH595" s="76"/>
      <c r="AI595" s="97">
        <v>1</v>
      </c>
      <c r="AJ595" s="97">
        <v>1</v>
      </c>
      <c r="AK595" s="73"/>
      <c r="AL595" s="57"/>
      <c r="AM595" s="45"/>
      <c r="AN595" s="45"/>
      <c r="AO595" s="45"/>
    </row>
    <row r="596" spans="1:41" hidden="1" outlineLevel="3" x14ac:dyDescent="0.25">
      <c r="A596" s="45"/>
      <c r="B596" s="54"/>
      <c r="C596" s="47">
        <f t="shared" si="160"/>
        <v>3</v>
      </c>
      <c r="D596" s="73"/>
      <c r="E596" s="70"/>
      <c r="F596" s="70" t="s">
        <v>1197</v>
      </c>
      <c r="G596" s="73"/>
      <c r="H596" s="76" t="s">
        <v>2608</v>
      </c>
      <c r="I596" s="96" t="s">
        <v>497</v>
      </c>
      <c r="J596" s="96" t="s">
        <v>1138</v>
      </c>
      <c r="K596" s="76"/>
      <c r="L596" s="76"/>
      <c r="M596" s="76"/>
      <c r="N596" s="76"/>
      <c r="O596" s="76"/>
      <c r="P596" s="76"/>
      <c r="Q596" s="76"/>
      <c r="R596" s="76"/>
      <c r="S596" s="76"/>
      <c r="T596" s="76"/>
      <c r="U596" s="262">
        <v>0</v>
      </c>
      <c r="V596" s="262">
        <v>0</v>
      </c>
      <c r="W596" s="262">
        <v>0</v>
      </c>
      <c r="X596" s="262">
        <v>0</v>
      </c>
      <c r="Y596" s="262">
        <v>0</v>
      </c>
      <c r="Z596" s="262">
        <v>0</v>
      </c>
      <c r="AA596" s="262">
        <v>0</v>
      </c>
      <c r="AB596" s="255">
        <f t="shared" si="163"/>
        <v>0</v>
      </c>
      <c r="AC596" s="255">
        <f t="shared" si="161"/>
        <v>0</v>
      </c>
      <c r="AD596" s="255">
        <f t="shared" si="161"/>
        <v>0</v>
      </c>
      <c r="AE596" s="255">
        <f t="shared" si="161"/>
        <v>0</v>
      </c>
      <c r="AF596" s="76"/>
      <c r="AG596" s="97"/>
      <c r="AH596" s="76"/>
      <c r="AI596" s="97">
        <v>1</v>
      </c>
      <c r="AJ596" s="97">
        <v>1</v>
      </c>
      <c r="AK596" s="73"/>
      <c r="AL596" s="57"/>
      <c r="AM596" s="45"/>
      <c r="AN596" s="45"/>
      <c r="AO596" s="45"/>
    </row>
    <row r="597" spans="1:41" hidden="1" outlineLevel="3" x14ac:dyDescent="0.25">
      <c r="A597" s="45"/>
      <c r="B597" s="54"/>
      <c r="C597" s="47">
        <f t="shared" si="160"/>
        <v>3</v>
      </c>
      <c r="D597" s="73"/>
      <c r="E597" s="70"/>
      <c r="F597" s="70" t="s">
        <v>1198</v>
      </c>
      <c r="G597" s="73"/>
      <c r="H597" s="76" t="s">
        <v>2609</v>
      </c>
      <c r="I597" s="96" t="s">
        <v>497</v>
      </c>
      <c r="J597" s="96" t="s">
        <v>1138</v>
      </c>
      <c r="K597" s="76"/>
      <c r="L597" s="76"/>
      <c r="M597" s="76"/>
      <c r="N597" s="76"/>
      <c r="O597" s="76"/>
      <c r="P597" s="76"/>
      <c r="Q597" s="76"/>
      <c r="R597" s="76"/>
      <c r="S597" s="76"/>
      <c r="T597" s="76"/>
      <c r="U597" s="262">
        <v>0</v>
      </c>
      <c r="V597" s="262">
        <v>0</v>
      </c>
      <c r="W597" s="262">
        <v>0</v>
      </c>
      <c r="X597" s="262">
        <v>0</v>
      </c>
      <c r="Y597" s="262">
        <v>0</v>
      </c>
      <c r="Z597" s="262">
        <v>0</v>
      </c>
      <c r="AA597" s="262">
        <v>0</v>
      </c>
      <c r="AB597" s="255">
        <f t="shared" si="163"/>
        <v>0</v>
      </c>
      <c r="AC597" s="255">
        <f t="shared" si="161"/>
        <v>0</v>
      </c>
      <c r="AD597" s="255">
        <f t="shared" si="161"/>
        <v>0</v>
      </c>
      <c r="AE597" s="255">
        <f t="shared" si="161"/>
        <v>0</v>
      </c>
      <c r="AF597" s="76"/>
      <c r="AG597" s="97"/>
      <c r="AH597" s="76"/>
      <c r="AI597" s="97">
        <v>1</v>
      </c>
      <c r="AJ597" s="97">
        <v>1</v>
      </c>
      <c r="AK597" s="73"/>
      <c r="AL597" s="57"/>
      <c r="AM597" s="45"/>
      <c r="AN597" s="45"/>
      <c r="AO597" s="45"/>
    </row>
    <row r="598" spans="1:41" hidden="1" outlineLevel="3" x14ac:dyDescent="0.25">
      <c r="A598" s="45"/>
      <c r="B598" s="54"/>
      <c r="C598" s="47">
        <f t="shared" si="160"/>
        <v>3</v>
      </c>
      <c r="D598" s="73"/>
      <c r="E598" s="70"/>
      <c r="F598" s="70" t="s">
        <v>1199</v>
      </c>
      <c r="G598" s="73"/>
      <c r="H598" s="76" t="s">
        <v>2610</v>
      </c>
      <c r="I598" s="96" t="s">
        <v>497</v>
      </c>
      <c r="J598" s="96" t="s">
        <v>1138</v>
      </c>
      <c r="K598" s="76"/>
      <c r="L598" s="76"/>
      <c r="M598" s="76"/>
      <c r="N598" s="76"/>
      <c r="O598" s="76"/>
      <c r="P598" s="76"/>
      <c r="Q598" s="76"/>
      <c r="R598" s="76"/>
      <c r="S598" s="76"/>
      <c r="T598" s="76"/>
      <c r="U598" s="262">
        <v>0</v>
      </c>
      <c r="V598" s="262">
        <v>0</v>
      </c>
      <c r="W598" s="262">
        <v>0</v>
      </c>
      <c r="X598" s="262">
        <v>0</v>
      </c>
      <c r="Y598" s="262">
        <v>0</v>
      </c>
      <c r="Z598" s="262">
        <v>0</v>
      </c>
      <c r="AA598" s="262">
        <v>0</v>
      </c>
      <c r="AB598" s="255">
        <f t="shared" si="163"/>
        <v>0</v>
      </c>
      <c r="AC598" s="255">
        <f t="shared" si="161"/>
        <v>0</v>
      </c>
      <c r="AD598" s="255">
        <f t="shared" si="161"/>
        <v>0</v>
      </c>
      <c r="AE598" s="255">
        <f t="shared" si="161"/>
        <v>0</v>
      </c>
      <c r="AF598" s="76"/>
      <c r="AG598" s="97"/>
      <c r="AH598" s="76"/>
      <c r="AI598" s="97">
        <v>1</v>
      </c>
      <c r="AJ598" s="97">
        <v>1</v>
      </c>
      <c r="AK598" s="73"/>
      <c r="AL598" s="57"/>
      <c r="AM598" s="45"/>
      <c r="AN598" s="45"/>
      <c r="AO598" s="45"/>
    </row>
    <row r="599" spans="1:41" hidden="1" outlineLevel="3" x14ac:dyDescent="0.25">
      <c r="A599" s="45"/>
      <c r="B599" s="54"/>
      <c r="C599" s="47">
        <f t="shared" si="160"/>
        <v>3</v>
      </c>
      <c r="D599" s="73"/>
      <c r="E599" s="70"/>
      <c r="F599" s="70" t="s">
        <v>1200</v>
      </c>
      <c r="G599" s="73"/>
      <c r="H599" s="76" t="s">
        <v>2611</v>
      </c>
      <c r="I599" s="96" t="s">
        <v>497</v>
      </c>
      <c r="J599" s="96" t="s">
        <v>1138</v>
      </c>
      <c r="K599" s="76"/>
      <c r="L599" s="76"/>
      <c r="M599" s="76"/>
      <c r="N599" s="76"/>
      <c r="O599" s="76"/>
      <c r="P599" s="76"/>
      <c r="Q599" s="76"/>
      <c r="R599" s="76"/>
      <c r="S599" s="76"/>
      <c r="T599" s="76"/>
      <c r="U599" s="262">
        <v>0</v>
      </c>
      <c r="V599" s="262">
        <v>0</v>
      </c>
      <c r="W599" s="262">
        <v>0</v>
      </c>
      <c r="X599" s="262">
        <v>0</v>
      </c>
      <c r="Y599" s="262">
        <v>0</v>
      </c>
      <c r="Z599" s="262">
        <v>0</v>
      </c>
      <c r="AA599" s="262">
        <v>0</v>
      </c>
      <c r="AB599" s="255">
        <f t="shared" si="163"/>
        <v>0</v>
      </c>
      <c r="AC599" s="255">
        <f t="shared" si="161"/>
        <v>0</v>
      </c>
      <c r="AD599" s="255">
        <f t="shared" si="161"/>
        <v>0</v>
      </c>
      <c r="AE599" s="255">
        <f t="shared" si="161"/>
        <v>0</v>
      </c>
      <c r="AF599" s="76"/>
      <c r="AG599" s="97"/>
      <c r="AH599" s="76"/>
      <c r="AI599" s="97">
        <v>1</v>
      </c>
      <c r="AJ599" s="97">
        <v>1</v>
      </c>
      <c r="AK599" s="73"/>
      <c r="AL599" s="57"/>
      <c r="AM599" s="45"/>
      <c r="AN599" s="45"/>
      <c r="AO599" s="45"/>
    </row>
    <row r="600" spans="1:41" hidden="1" outlineLevel="3" x14ac:dyDescent="0.25">
      <c r="A600" s="45"/>
      <c r="B600" s="54"/>
      <c r="C600" s="47">
        <f t="shared" si="160"/>
        <v>3</v>
      </c>
      <c r="D600" s="73"/>
      <c r="E600" s="70"/>
      <c r="F600" s="70" t="s">
        <v>2621</v>
      </c>
      <c r="G600" s="73"/>
      <c r="H600" s="76" t="s">
        <v>599</v>
      </c>
      <c r="I600" s="96"/>
      <c r="J600" s="96"/>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v>1</v>
      </c>
      <c r="AJ600" s="76">
        <v>1</v>
      </c>
      <c r="AK600" s="73"/>
      <c r="AL600" s="57"/>
      <c r="AM600" s="45"/>
      <c r="AN600" s="45"/>
      <c r="AO600" s="45"/>
    </row>
    <row r="601" spans="1:41" hidden="1" outlineLevel="3" x14ac:dyDescent="0.25">
      <c r="A601" s="45"/>
      <c r="B601" s="54"/>
      <c r="C601" s="47">
        <f t="shared" si="160"/>
        <v>3</v>
      </c>
      <c r="D601" s="73"/>
      <c r="E601" s="70"/>
      <c r="F601" s="70" t="s">
        <v>2622</v>
      </c>
      <c r="G601" s="73"/>
      <c r="H601" s="76"/>
      <c r="I601" s="96"/>
      <c r="J601" s="96"/>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v>1</v>
      </c>
      <c r="AJ601" s="76">
        <v>1</v>
      </c>
      <c r="AK601" s="73"/>
      <c r="AL601" s="57"/>
      <c r="AM601" s="45"/>
      <c r="AN601" s="45"/>
      <c r="AO601" s="45"/>
    </row>
    <row r="602" spans="1:41" hidden="1" outlineLevel="3" x14ac:dyDescent="0.25">
      <c r="A602" s="45"/>
      <c r="B602" s="54"/>
      <c r="C602" s="47">
        <f t="shared" si="160"/>
        <v>3</v>
      </c>
      <c r="D602" s="73"/>
      <c r="E602" s="70"/>
      <c r="F602" s="70" t="s">
        <v>2623</v>
      </c>
      <c r="G602" s="73"/>
      <c r="H602" s="76"/>
      <c r="I602" s="96"/>
      <c r="J602" s="96"/>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v>1</v>
      </c>
      <c r="AJ602" s="76">
        <v>1</v>
      </c>
      <c r="AK602" s="73"/>
      <c r="AL602" s="57"/>
      <c r="AM602" s="45"/>
      <c r="AN602" s="45"/>
      <c r="AO602" s="45"/>
    </row>
    <row r="603" spans="1:41" hidden="1" outlineLevel="3" x14ac:dyDescent="0.25">
      <c r="A603" s="45"/>
      <c r="B603" s="54"/>
      <c r="C603" s="47">
        <f t="shared" si="160"/>
        <v>3</v>
      </c>
      <c r="D603" s="73"/>
      <c r="E603" s="70"/>
      <c r="F603" s="70" t="s">
        <v>2624</v>
      </c>
      <c r="G603" s="73"/>
      <c r="H603" s="76"/>
      <c r="I603" s="96"/>
      <c r="J603" s="96"/>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v>1</v>
      </c>
      <c r="AJ603" s="76">
        <v>1</v>
      </c>
      <c r="AK603" s="73"/>
      <c r="AL603" s="57"/>
      <c r="AM603" s="45"/>
      <c r="AN603" s="45"/>
      <c r="AO603" s="45"/>
    </row>
    <row r="604" spans="1:41" hidden="1" outlineLevel="3" x14ac:dyDescent="0.25">
      <c r="A604" s="45"/>
      <c r="B604" s="54"/>
      <c r="C604" s="47">
        <f t="shared" si="160"/>
        <v>3</v>
      </c>
      <c r="D604" s="73"/>
      <c r="E604" s="70"/>
      <c r="F604" s="70" t="s">
        <v>2625</v>
      </c>
      <c r="G604" s="73"/>
      <c r="H604" s="76"/>
      <c r="I604" s="96"/>
      <c r="J604" s="96"/>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v>1</v>
      </c>
      <c r="AJ604" s="76">
        <v>1</v>
      </c>
      <c r="AK604" s="73"/>
      <c r="AL604" s="57"/>
      <c r="AM604" s="45"/>
      <c r="AN604" s="45"/>
      <c r="AO604" s="45"/>
    </row>
    <row r="605" spans="1:41" hidden="1" outlineLevel="3" x14ac:dyDescent="0.25">
      <c r="A605" s="45"/>
      <c r="B605" s="54"/>
      <c r="C605" s="47">
        <f t="shared" si="160"/>
        <v>3</v>
      </c>
      <c r="D605" s="73"/>
      <c r="E605" s="70"/>
      <c r="F605" s="70" t="s">
        <v>2626</v>
      </c>
      <c r="G605" s="73"/>
      <c r="H605" s="76"/>
      <c r="I605" s="96"/>
      <c r="J605" s="96"/>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v>1</v>
      </c>
      <c r="AJ605" s="76">
        <v>1</v>
      </c>
      <c r="AK605" s="73"/>
      <c r="AL605" s="57"/>
      <c r="AM605" s="45"/>
      <c r="AN605" s="45"/>
      <c r="AO605" s="45"/>
    </row>
    <row r="606" spans="1:41" hidden="1" outlineLevel="3" x14ac:dyDescent="0.25">
      <c r="A606" s="45"/>
      <c r="B606" s="54"/>
      <c r="C606" s="47">
        <f t="shared" si="160"/>
        <v>3</v>
      </c>
      <c r="D606" s="73"/>
      <c r="E606" s="70"/>
      <c r="F606" s="70" t="s">
        <v>2627</v>
      </c>
      <c r="G606" s="73"/>
      <c r="H606" s="76"/>
      <c r="I606" s="96"/>
      <c r="J606" s="96"/>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v>1</v>
      </c>
      <c r="AJ606" s="76">
        <v>1</v>
      </c>
      <c r="AK606" s="73"/>
      <c r="AL606" s="57"/>
      <c r="AM606" s="45"/>
      <c r="AN606" s="45"/>
      <c r="AO606" s="45"/>
    </row>
    <row r="607" spans="1:41" hidden="1" outlineLevel="3" x14ac:dyDescent="0.25">
      <c r="A607" s="45"/>
      <c r="B607" s="54"/>
      <c r="C607" s="47">
        <f t="shared" si="160"/>
        <v>3</v>
      </c>
      <c r="D607" s="73"/>
      <c r="E607" s="70"/>
      <c r="F607" s="70" t="s">
        <v>2628</v>
      </c>
      <c r="G607" s="73"/>
      <c r="H607" s="76"/>
      <c r="I607" s="96"/>
      <c r="J607" s="96"/>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v>1</v>
      </c>
      <c r="AJ607" s="76">
        <v>1</v>
      </c>
      <c r="AK607" s="73"/>
      <c r="AL607" s="57"/>
      <c r="AM607" s="45"/>
      <c r="AN607" s="45"/>
      <c r="AO607" s="45"/>
    </row>
    <row r="608" spans="1:41" hidden="1" outlineLevel="2" x14ac:dyDescent="0.25">
      <c r="A608" s="45"/>
      <c r="B608" s="54"/>
      <c r="C608" s="47">
        <f t="shared" ref="C608:C639" si="164">INT($C$29)+2</f>
        <v>3</v>
      </c>
      <c r="D608" s="73"/>
      <c r="E608" s="70"/>
      <c r="F608" s="70" t="s">
        <v>2629</v>
      </c>
      <c r="G608" s="73"/>
      <c r="H608" s="76" t="s">
        <v>2653</v>
      </c>
      <c r="I608" s="96"/>
      <c r="J608" s="96"/>
      <c r="K608" s="76"/>
      <c r="L608" s="76"/>
      <c r="M608" s="76"/>
      <c r="N608" s="76"/>
      <c r="O608" s="76"/>
      <c r="P608" s="76"/>
      <c r="Q608" s="76"/>
      <c r="R608" s="76"/>
      <c r="S608" s="76"/>
      <c r="T608" s="76"/>
      <c r="U608" s="97"/>
      <c r="V608" s="97"/>
      <c r="W608" s="97"/>
      <c r="X608" s="97"/>
      <c r="Y608" s="97"/>
      <c r="Z608" s="97"/>
      <c r="AA608" s="97"/>
      <c r="AB608" s="97"/>
      <c r="AC608" s="97"/>
      <c r="AD608" s="97"/>
      <c r="AE608" s="97"/>
      <c r="AF608" s="76"/>
      <c r="AG608" s="76"/>
      <c r="AH608" s="76"/>
      <c r="AI608" s="97">
        <v>1</v>
      </c>
      <c r="AJ608" s="97">
        <v>1</v>
      </c>
      <c r="AK608" s="73"/>
      <c r="AL608" s="57"/>
      <c r="AM608" s="45"/>
      <c r="AN608" s="45"/>
      <c r="AO608" s="45"/>
    </row>
    <row r="609" spans="1:41" hidden="1" outlineLevel="2" collapsed="1" x14ac:dyDescent="0.25">
      <c r="A609" s="45"/>
      <c r="B609" s="54"/>
      <c r="C609" s="47">
        <f t="shared" si="164"/>
        <v>3</v>
      </c>
      <c r="D609" s="73"/>
      <c r="E609" s="70"/>
      <c r="F609" s="70" t="s">
        <v>2630</v>
      </c>
      <c r="G609" s="73"/>
      <c r="H609" s="76" t="s">
        <v>2654</v>
      </c>
      <c r="I609" s="96"/>
      <c r="J609" s="96"/>
      <c r="K609" s="76"/>
      <c r="L609" s="76"/>
      <c r="M609" s="76"/>
      <c r="N609" s="76"/>
      <c r="O609" s="76"/>
      <c r="P609" s="76"/>
      <c r="Q609" s="76"/>
      <c r="R609" s="76"/>
      <c r="S609" s="76"/>
      <c r="T609" s="76"/>
      <c r="U609" s="97"/>
      <c r="V609" s="97"/>
      <c r="W609" s="97"/>
      <c r="X609" s="97"/>
      <c r="Y609" s="97"/>
      <c r="Z609" s="97"/>
      <c r="AA609" s="97"/>
      <c r="AB609" s="97"/>
      <c r="AC609" s="97"/>
      <c r="AD609" s="97"/>
      <c r="AE609" s="97"/>
      <c r="AF609" s="76"/>
      <c r="AG609" s="76"/>
      <c r="AH609" s="76"/>
      <c r="AI609" s="97">
        <v>1</v>
      </c>
      <c r="AJ609" s="97">
        <v>1</v>
      </c>
      <c r="AK609" s="73"/>
      <c r="AL609" s="57"/>
      <c r="AM609" s="45"/>
      <c r="AN609" s="45"/>
      <c r="AO609" s="45"/>
    </row>
    <row r="610" spans="1:41" hidden="1" outlineLevel="3" x14ac:dyDescent="0.25">
      <c r="A610" s="45"/>
      <c r="B610" s="54"/>
      <c r="C610" s="47">
        <f t="shared" si="164"/>
        <v>3</v>
      </c>
      <c r="D610" s="73"/>
      <c r="E610" s="70"/>
      <c r="F610" s="70" t="s">
        <v>2631</v>
      </c>
      <c r="G610" s="73"/>
      <c r="H610" s="76" t="s">
        <v>2655</v>
      </c>
      <c r="I610" s="96"/>
      <c r="J610" s="96"/>
      <c r="K610" s="76"/>
      <c r="L610" s="76"/>
      <c r="M610" s="76"/>
      <c r="N610" s="76"/>
      <c r="O610" s="76"/>
      <c r="P610" s="76"/>
      <c r="Q610" s="76"/>
      <c r="R610" s="76"/>
      <c r="S610" s="76"/>
      <c r="T610" s="76"/>
      <c r="U610" s="97"/>
      <c r="V610" s="97"/>
      <c r="W610" s="97"/>
      <c r="X610" s="97"/>
      <c r="Y610" s="97"/>
      <c r="Z610" s="97"/>
      <c r="AA610" s="97"/>
      <c r="AB610" s="97"/>
      <c r="AC610" s="97"/>
      <c r="AD610" s="97"/>
      <c r="AE610" s="97"/>
      <c r="AF610" s="76"/>
      <c r="AG610" s="76"/>
      <c r="AH610" s="76"/>
      <c r="AI610" s="97">
        <v>1</v>
      </c>
      <c r="AJ610" s="97">
        <v>1</v>
      </c>
      <c r="AK610" s="73"/>
      <c r="AL610" s="57"/>
      <c r="AM610" s="45"/>
      <c r="AN610" s="45"/>
      <c r="AO610" s="45"/>
    </row>
    <row r="611" spans="1:41" hidden="1" outlineLevel="3" x14ac:dyDescent="0.25">
      <c r="A611" s="45"/>
      <c r="B611" s="54"/>
      <c r="C611" s="47">
        <f t="shared" si="164"/>
        <v>3</v>
      </c>
      <c r="D611" s="73"/>
      <c r="E611" s="70"/>
      <c r="F611" s="70" t="s">
        <v>2632</v>
      </c>
      <c r="G611" s="73"/>
      <c r="H611" s="76" t="s">
        <v>2656</v>
      </c>
      <c r="I611" s="96"/>
      <c r="J611" s="96"/>
      <c r="K611" s="76"/>
      <c r="L611" s="76"/>
      <c r="M611" s="76"/>
      <c r="N611" s="76"/>
      <c r="O611" s="76"/>
      <c r="P611" s="76"/>
      <c r="Q611" s="76"/>
      <c r="R611" s="76"/>
      <c r="S611" s="76"/>
      <c r="T611" s="76"/>
      <c r="U611" s="97"/>
      <c r="V611" s="97"/>
      <c r="W611" s="97"/>
      <c r="X611" s="97"/>
      <c r="Y611" s="97"/>
      <c r="Z611" s="97"/>
      <c r="AA611" s="97"/>
      <c r="AB611" s="97"/>
      <c r="AC611" s="97"/>
      <c r="AD611" s="97"/>
      <c r="AE611" s="97"/>
      <c r="AF611" s="76"/>
      <c r="AG611" s="76"/>
      <c r="AH611" s="76"/>
      <c r="AI611" s="97">
        <v>1</v>
      </c>
      <c r="AJ611" s="97">
        <v>1</v>
      </c>
      <c r="AK611" s="73"/>
      <c r="AL611" s="57"/>
      <c r="AM611" s="45"/>
      <c r="AN611" s="45"/>
      <c r="AO611" s="45"/>
    </row>
    <row r="612" spans="1:41" hidden="1" outlineLevel="3" x14ac:dyDescent="0.25">
      <c r="A612" s="45"/>
      <c r="B612" s="54"/>
      <c r="C612" s="47">
        <f t="shared" si="164"/>
        <v>3</v>
      </c>
      <c r="D612" s="73"/>
      <c r="E612" s="70"/>
      <c r="F612" s="70" t="s">
        <v>2633</v>
      </c>
      <c r="G612" s="73"/>
      <c r="H612" s="76" t="s">
        <v>2657</v>
      </c>
      <c r="I612" s="96"/>
      <c r="J612" s="96"/>
      <c r="K612" s="76"/>
      <c r="L612" s="76"/>
      <c r="M612" s="76"/>
      <c r="N612" s="76"/>
      <c r="O612" s="76"/>
      <c r="P612" s="76"/>
      <c r="Q612" s="76"/>
      <c r="R612" s="76"/>
      <c r="S612" s="76"/>
      <c r="T612" s="76"/>
      <c r="U612" s="97"/>
      <c r="V612" s="97"/>
      <c r="W612" s="97"/>
      <c r="X612" s="97"/>
      <c r="Y612" s="97"/>
      <c r="Z612" s="97"/>
      <c r="AA612" s="97"/>
      <c r="AB612" s="97"/>
      <c r="AC612" s="97"/>
      <c r="AD612" s="97"/>
      <c r="AE612" s="97"/>
      <c r="AF612" s="76"/>
      <c r="AG612" s="76"/>
      <c r="AH612" s="76"/>
      <c r="AI612" s="97">
        <v>1</v>
      </c>
      <c r="AJ612" s="97">
        <v>1</v>
      </c>
      <c r="AK612" s="73"/>
      <c r="AL612" s="57"/>
      <c r="AM612" s="45"/>
      <c r="AN612" s="45"/>
      <c r="AO612" s="45"/>
    </row>
    <row r="613" spans="1:41" hidden="1" outlineLevel="3" x14ac:dyDescent="0.25">
      <c r="A613" s="45"/>
      <c r="B613" s="54"/>
      <c r="C613" s="47">
        <f t="shared" si="164"/>
        <v>3</v>
      </c>
      <c r="D613" s="73"/>
      <c r="E613" s="70"/>
      <c r="F613" s="70" t="s">
        <v>2634</v>
      </c>
      <c r="G613" s="73"/>
      <c r="H613" s="76" t="s">
        <v>2658</v>
      </c>
      <c r="I613" s="96"/>
      <c r="J613" s="96"/>
      <c r="K613" s="76"/>
      <c r="L613" s="76"/>
      <c r="M613" s="76"/>
      <c r="N613" s="76"/>
      <c r="O613" s="76"/>
      <c r="P613" s="76"/>
      <c r="Q613" s="76"/>
      <c r="R613" s="76"/>
      <c r="S613" s="76"/>
      <c r="T613" s="76"/>
      <c r="U613" s="97"/>
      <c r="V613" s="97"/>
      <c r="W613" s="97"/>
      <c r="X613" s="97"/>
      <c r="Y613" s="97"/>
      <c r="Z613" s="97"/>
      <c r="AA613" s="97"/>
      <c r="AB613" s="97"/>
      <c r="AC613" s="97"/>
      <c r="AD613" s="97"/>
      <c r="AE613" s="97"/>
      <c r="AF613" s="76"/>
      <c r="AG613" s="76"/>
      <c r="AH613" s="76"/>
      <c r="AI613" s="97">
        <v>1</v>
      </c>
      <c r="AJ613" s="97">
        <v>1</v>
      </c>
      <c r="AK613" s="73"/>
      <c r="AL613" s="57"/>
      <c r="AM613" s="45"/>
      <c r="AN613" s="45"/>
      <c r="AO613" s="45"/>
    </row>
    <row r="614" spans="1:41" hidden="1" outlineLevel="3" x14ac:dyDescent="0.25">
      <c r="A614" s="45"/>
      <c r="B614" s="54"/>
      <c r="C614" s="47">
        <f t="shared" si="164"/>
        <v>3</v>
      </c>
      <c r="D614" s="73"/>
      <c r="E614" s="70"/>
      <c r="F614" s="70" t="s">
        <v>2635</v>
      </c>
      <c r="G614" s="73"/>
      <c r="H614" s="76" t="s">
        <v>2659</v>
      </c>
      <c r="I614" s="96"/>
      <c r="J614" s="96"/>
      <c r="K614" s="76"/>
      <c r="L614" s="76"/>
      <c r="M614" s="76"/>
      <c r="N614" s="76"/>
      <c r="O614" s="76"/>
      <c r="P614" s="76"/>
      <c r="Q614" s="76"/>
      <c r="R614" s="76"/>
      <c r="S614" s="76"/>
      <c r="T614" s="76"/>
      <c r="U614" s="97"/>
      <c r="V614" s="97"/>
      <c r="W614" s="97"/>
      <c r="X614" s="97"/>
      <c r="Y614" s="97"/>
      <c r="Z614" s="97"/>
      <c r="AA614" s="97"/>
      <c r="AB614" s="97"/>
      <c r="AC614" s="97"/>
      <c r="AD614" s="97"/>
      <c r="AE614" s="97"/>
      <c r="AF614" s="76"/>
      <c r="AG614" s="76"/>
      <c r="AH614" s="76"/>
      <c r="AI614" s="97">
        <v>1</v>
      </c>
      <c r="AJ614" s="97">
        <v>1</v>
      </c>
      <c r="AK614" s="73"/>
      <c r="AL614" s="57"/>
      <c r="AM614" s="45"/>
      <c r="AN614" s="45"/>
      <c r="AO614" s="45"/>
    </row>
    <row r="615" spans="1:41" hidden="1" outlineLevel="3" x14ac:dyDescent="0.25">
      <c r="A615" s="45"/>
      <c r="B615" s="54"/>
      <c r="C615" s="47">
        <f t="shared" si="164"/>
        <v>3</v>
      </c>
      <c r="D615" s="73"/>
      <c r="E615" s="70"/>
      <c r="F615" s="70" t="s">
        <v>2636</v>
      </c>
      <c r="G615" s="73"/>
      <c r="H615" s="76" t="s">
        <v>2660</v>
      </c>
      <c r="I615" s="96"/>
      <c r="J615" s="96"/>
      <c r="K615" s="76"/>
      <c r="L615" s="76"/>
      <c r="M615" s="76"/>
      <c r="N615" s="76"/>
      <c r="O615" s="76"/>
      <c r="P615" s="76"/>
      <c r="Q615" s="76"/>
      <c r="R615" s="76"/>
      <c r="S615" s="76"/>
      <c r="T615" s="76"/>
      <c r="U615" s="97"/>
      <c r="V615" s="97"/>
      <c r="W615" s="97"/>
      <c r="X615" s="97"/>
      <c r="Y615" s="97"/>
      <c r="Z615" s="97"/>
      <c r="AA615" s="97"/>
      <c r="AB615" s="97"/>
      <c r="AC615" s="97"/>
      <c r="AD615" s="97"/>
      <c r="AE615" s="97"/>
      <c r="AF615" s="76"/>
      <c r="AG615" s="76"/>
      <c r="AH615" s="76"/>
      <c r="AI615" s="97">
        <v>1</v>
      </c>
      <c r="AJ615" s="97">
        <v>1</v>
      </c>
      <c r="AK615" s="73"/>
      <c r="AL615" s="57"/>
      <c r="AM615" s="45"/>
      <c r="AN615" s="45"/>
      <c r="AO615" s="45"/>
    </row>
    <row r="616" spans="1:41" hidden="1" outlineLevel="3" x14ac:dyDescent="0.25">
      <c r="A616" s="45"/>
      <c r="B616" s="54"/>
      <c r="C616" s="47">
        <f t="shared" si="164"/>
        <v>3</v>
      </c>
      <c r="D616" s="73"/>
      <c r="E616" s="70"/>
      <c r="F616" s="70" t="s">
        <v>2637</v>
      </c>
      <c r="G616" s="73"/>
      <c r="H616" s="76" t="s">
        <v>599</v>
      </c>
      <c r="I616" s="96"/>
      <c r="J616" s="96"/>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v>1</v>
      </c>
      <c r="AJ616" s="76">
        <v>1</v>
      </c>
      <c r="AK616" s="73"/>
      <c r="AL616" s="57"/>
      <c r="AM616" s="45"/>
      <c r="AN616" s="45"/>
      <c r="AO616" s="45"/>
    </row>
    <row r="617" spans="1:41" hidden="1" outlineLevel="3" x14ac:dyDescent="0.25">
      <c r="A617" s="45"/>
      <c r="B617" s="54"/>
      <c r="C617" s="47">
        <f t="shared" si="164"/>
        <v>3</v>
      </c>
      <c r="D617" s="73"/>
      <c r="E617" s="70"/>
      <c r="F617" s="70" t="s">
        <v>2638</v>
      </c>
      <c r="G617" s="73"/>
      <c r="H617" s="76"/>
      <c r="I617" s="96"/>
      <c r="J617" s="96"/>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v>1</v>
      </c>
      <c r="AJ617" s="76">
        <v>1</v>
      </c>
      <c r="AK617" s="73"/>
      <c r="AL617" s="57"/>
      <c r="AM617" s="45"/>
      <c r="AN617" s="45"/>
      <c r="AO617" s="45"/>
    </row>
    <row r="618" spans="1:41" hidden="1" outlineLevel="3" x14ac:dyDescent="0.25">
      <c r="A618" s="45"/>
      <c r="B618" s="54"/>
      <c r="C618" s="47">
        <f t="shared" si="164"/>
        <v>3</v>
      </c>
      <c r="D618" s="73"/>
      <c r="E618" s="70"/>
      <c r="F618" s="70" t="s">
        <v>2639</v>
      </c>
      <c r="G618" s="73"/>
      <c r="H618" s="76"/>
      <c r="I618" s="96"/>
      <c r="J618" s="96"/>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v>1</v>
      </c>
      <c r="AJ618" s="76">
        <v>1</v>
      </c>
      <c r="AK618" s="73"/>
      <c r="AL618" s="57"/>
      <c r="AM618" s="45"/>
      <c r="AN618" s="45"/>
      <c r="AO618" s="45"/>
    </row>
    <row r="619" spans="1:41" hidden="1" outlineLevel="3" x14ac:dyDescent="0.25">
      <c r="A619" s="45"/>
      <c r="B619" s="54"/>
      <c r="C619" s="47">
        <f t="shared" si="164"/>
        <v>3</v>
      </c>
      <c r="D619" s="73"/>
      <c r="E619" s="70"/>
      <c r="F619" s="70" t="s">
        <v>2640</v>
      </c>
      <c r="G619" s="73"/>
      <c r="H619" s="76"/>
      <c r="I619" s="96"/>
      <c r="J619" s="96"/>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v>1</v>
      </c>
      <c r="AJ619" s="76">
        <v>1</v>
      </c>
      <c r="AK619" s="73"/>
      <c r="AL619" s="57"/>
      <c r="AM619" s="45"/>
      <c r="AN619" s="45"/>
      <c r="AO619" s="45"/>
    </row>
    <row r="620" spans="1:41" hidden="1" outlineLevel="3" x14ac:dyDescent="0.25">
      <c r="A620" s="45"/>
      <c r="B620" s="54"/>
      <c r="C620" s="47">
        <f t="shared" si="164"/>
        <v>3</v>
      </c>
      <c r="D620" s="73"/>
      <c r="E620" s="70"/>
      <c r="F620" s="70" t="s">
        <v>2641</v>
      </c>
      <c r="G620" s="73"/>
      <c r="H620" s="76"/>
      <c r="I620" s="96"/>
      <c r="J620" s="96"/>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v>1</v>
      </c>
      <c r="AJ620" s="76">
        <v>1</v>
      </c>
      <c r="AK620" s="73"/>
      <c r="AL620" s="57"/>
      <c r="AM620" s="45"/>
      <c r="AN620" s="45"/>
      <c r="AO620" s="45"/>
    </row>
    <row r="621" spans="1:41" hidden="1" outlineLevel="3" x14ac:dyDescent="0.25">
      <c r="A621" s="45"/>
      <c r="B621" s="54"/>
      <c r="C621" s="47">
        <f t="shared" si="164"/>
        <v>3</v>
      </c>
      <c r="D621" s="73"/>
      <c r="E621" s="70"/>
      <c r="F621" s="70" t="s">
        <v>2642</v>
      </c>
      <c r="G621" s="73"/>
      <c r="H621" s="76"/>
      <c r="I621" s="96"/>
      <c r="J621" s="96"/>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v>1</v>
      </c>
      <c r="AJ621" s="76">
        <v>1</v>
      </c>
      <c r="AK621" s="73"/>
      <c r="AL621" s="57"/>
      <c r="AM621" s="45"/>
      <c r="AN621" s="45"/>
      <c r="AO621" s="45"/>
    </row>
    <row r="622" spans="1:41" hidden="1" outlineLevel="3" x14ac:dyDescent="0.25">
      <c r="A622" s="45"/>
      <c r="B622" s="54"/>
      <c r="C622" s="47">
        <f t="shared" si="164"/>
        <v>3</v>
      </c>
      <c r="D622" s="73"/>
      <c r="E622" s="70"/>
      <c r="F622" s="70" t="s">
        <v>2643</v>
      </c>
      <c r="G622" s="73"/>
      <c r="H622" s="76"/>
      <c r="I622" s="96"/>
      <c r="J622" s="96"/>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v>1</v>
      </c>
      <c r="AJ622" s="76">
        <v>1</v>
      </c>
      <c r="AK622" s="73"/>
      <c r="AL622" s="57"/>
      <c r="AM622" s="45"/>
      <c r="AN622" s="45"/>
      <c r="AO622" s="45"/>
    </row>
    <row r="623" spans="1:41" hidden="1" outlineLevel="3" x14ac:dyDescent="0.25">
      <c r="A623" s="45"/>
      <c r="B623" s="54"/>
      <c r="C623" s="47">
        <f t="shared" si="164"/>
        <v>3</v>
      </c>
      <c r="D623" s="73"/>
      <c r="E623" s="70"/>
      <c r="F623" s="70" t="s">
        <v>2644</v>
      </c>
      <c r="G623" s="73"/>
      <c r="H623" s="76"/>
      <c r="I623" s="96"/>
      <c r="J623" s="96"/>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v>1</v>
      </c>
      <c r="AJ623" s="76">
        <v>1</v>
      </c>
      <c r="AK623" s="73"/>
      <c r="AL623" s="57"/>
      <c r="AM623" s="45"/>
      <c r="AN623" s="45"/>
      <c r="AO623" s="45"/>
    </row>
    <row r="624" spans="1:41" hidden="1" outlineLevel="2" x14ac:dyDescent="0.25">
      <c r="A624" s="45"/>
      <c r="B624" s="54"/>
      <c r="C624" s="47">
        <f t="shared" si="164"/>
        <v>3</v>
      </c>
      <c r="D624" s="73"/>
      <c r="E624" s="70"/>
      <c r="F624" s="70" t="s">
        <v>2645</v>
      </c>
      <c r="G624" s="73"/>
      <c r="H624" s="76" t="s">
        <v>2738</v>
      </c>
      <c r="I624" s="96"/>
      <c r="J624" s="96"/>
      <c r="K624" s="76"/>
      <c r="L624" s="76"/>
      <c r="M624" s="76"/>
      <c r="N624" s="76"/>
      <c r="O624" s="76"/>
      <c r="P624" s="76"/>
      <c r="Q624" s="76"/>
      <c r="R624" s="76"/>
      <c r="S624" s="76"/>
      <c r="T624" s="76"/>
      <c r="U624" s="97"/>
      <c r="V624" s="97"/>
      <c r="W624" s="97"/>
      <c r="X624" s="97"/>
      <c r="Y624" s="97"/>
      <c r="Z624" s="97"/>
      <c r="AA624" s="97"/>
      <c r="AB624" s="97"/>
      <c r="AC624" s="97"/>
      <c r="AD624" s="97"/>
      <c r="AE624" s="97"/>
      <c r="AF624" s="76"/>
      <c r="AG624" s="76"/>
      <c r="AH624" s="76"/>
      <c r="AI624" s="97">
        <v>1</v>
      </c>
      <c r="AJ624" s="97">
        <v>1</v>
      </c>
      <c r="AK624" s="73"/>
      <c r="AL624" s="57"/>
      <c r="AM624" s="45"/>
      <c r="AN624" s="45"/>
      <c r="AO624" s="45"/>
    </row>
    <row r="625" spans="1:41" hidden="1" outlineLevel="2" collapsed="1" x14ac:dyDescent="0.25">
      <c r="A625" s="45"/>
      <c r="B625" s="54"/>
      <c r="C625" s="47">
        <f t="shared" si="164"/>
        <v>3</v>
      </c>
      <c r="D625" s="73"/>
      <c r="E625" s="70"/>
      <c r="F625" s="70" t="s">
        <v>2646</v>
      </c>
      <c r="G625" s="73"/>
      <c r="H625" s="76" t="s">
        <v>2654</v>
      </c>
      <c r="I625" s="96"/>
      <c r="J625" s="96"/>
      <c r="K625" s="76"/>
      <c r="L625" s="76"/>
      <c r="M625" s="76"/>
      <c r="N625" s="76"/>
      <c r="O625" s="76"/>
      <c r="P625" s="76"/>
      <c r="Q625" s="76"/>
      <c r="R625" s="76"/>
      <c r="S625" s="76"/>
      <c r="T625" s="76"/>
      <c r="U625" s="97"/>
      <c r="V625" s="97"/>
      <c r="W625" s="97"/>
      <c r="X625" s="97"/>
      <c r="Y625" s="97"/>
      <c r="Z625" s="97"/>
      <c r="AA625" s="97"/>
      <c r="AB625" s="97"/>
      <c r="AC625" s="97"/>
      <c r="AD625" s="97"/>
      <c r="AE625" s="97"/>
      <c r="AF625" s="76"/>
      <c r="AG625" s="76"/>
      <c r="AH625" s="76"/>
      <c r="AI625" s="97">
        <v>1</v>
      </c>
      <c r="AJ625" s="97">
        <v>1</v>
      </c>
      <c r="AK625" s="73"/>
      <c r="AL625" s="57"/>
      <c r="AM625" s="45"/>
      <c r="AN625" s="45"/>
      <c r="AO625" s="45"/>
    </row>
    <row r="626" spans="1:41" hidden="1" outlineLevel="3" x14ac:dyDescent="0.25">
      <c r="A626" s="45"/>
      <c r="B626" s="54"/>
      <c r="C626" s="47">
        <f t="shared" si="164"/>
        <v>3</v>
      </c>
      <c r="D626" s="73"/>
      <c r="E626" s="70"/>
      <c r="F626" s="70" t="s">
        <v>2647</v>
      </c>
      <c r="G626" s="73"/>
      <c r="H626" s="76" t="s">
        <v>2655</v>
      </c>
      <c r="I626" s="96"/>
      <c r="J626" s="96"/>
      <c r="K626" s="76"/>
      <c r="L626" s="76"/>
      <c r="M626" s="76"/>
      <c r="N626" s="76"/>
      <c r="O626" s="76"/>
      <c r="P626" s="76"/>
      <c r="Q626" s="76"/>
      <c r="R626" s="76"/>
      <c r="S626" s="76"/>
      <c r="T626" s="76"/>
      <c r="U626" s="97"/>
      <c r="V626" s="97"/>
      <c r="W626" s="97"/>
      <c r="X626" s="97"/>
      <c r="Y626" s="97"/>
      <c r="Z626" s="97"/>
      <c r="AA626" s="97"/>
      <c r="AB626" s="97"/>
      <c r="AC626" s="97"/>
      <c r="AD626" s="97"/>
      <c r="AE626" s="97"/>
      <c r="AF626" s="76"/>
      <c r="AG626" s="76"/>
      <c r="AH626" s="76"/>
      <c r="AI626" s="97">
        <v>1</v>
      </c>
      <c r="AJ626" s="97">
        <v>1</v>
      </c>
      <c r="AK626" s="73"/>
      <c r="AL626" s="57"/>
      <c r="AM626" s="45"/>
      <c r="AN626" s="45"/>
      <c r="AO626" s="45"/>
    </row>
    <row r="627" spans="1:41" hidden="1" outlineLevel="3" x14ac:dyDescent="0.25">
      <c r="A627" s="45"/>
      <c r="B627" s="54"/>
      <c r="C627" s="47">
        <f t="shared" si="164"/>
        <v>3</v>
      </c>
      <c r="D627" s="73"/>
      <c r="E627" s="70"/>
      <c r="F627" s="70" t="s">
        <v>2648</v>
      </c>
      <c r="G627" s="73"/>
      <c r="H627" s="76" t="s">
        <v>2656</v>
      </c>
      <c r="I627" s="96"/>
      <c r="J627" s="96"/>
      <c r="K627" s="76"/>
      <c r="L627" s="76"/>
      <c r="M627" s="76"/>
      <c r="N627" s="76"/>
      <c r="O627" s="76"/>
      <c r="P627" s="76"/>
      <c r="Q627" s="76"/>
      <c r="R627" s="76"/>
      <c r="S627" s="76"/>
      <c r="T627" s="76"/>
      <c r="U627" s="97"/>
      <c r="V627" s="97"/>
      <c r="W627" s="97"/>
      <c r="X627" s="97"/>
      <c r="Y627" s="97"/>
      <c r="Z627" s="97"/>
      <c r="AA627" s="97"/>
      <c r="AB627" s="97"/>
      <c r="AC627" s="97"/>
      <c r="AD627" s="97"/>
      <c r="AE627" s="97"/>
      <c r="AF627" s="76"/>
      <c r="AG627" s="76"/>
      <c r="AH627" s="76"/>
      <c r="AI627" s="97">
        <v>1</v>
      </c>
      <c r="AJ627" s="97">
        <v>1</v>
      </c>
      <c r="AK627" s="73"/>
      <c r="AL627" s="57"/>
      <c r="AM627" s="45"/>
      <c r="AN627" s="45"/>
      <c r="AO627" s="45"/>
    </row>
    <row r="628" spans="1:41" hidden="1" outlineLevel="3" x14ac:dyDescent="0.25">
      <c r="A628" s="45"/>
      <c r="B628" s="54"/>
      <c r="C628" s="47">
        <f t="shared" si="164"/>
        <v>3</v>
      </c>
      <c r="D628" s="73"/>
      <c r="E628" s="70"/>
      <c r="F628" s="70" t="s">
        <v>2649</v>
      </c>
      <c r="G628" s="73"/>
      <c r="H628" s="76" t="s">
        <v>2657</v>
      </c>
      <c r="I628" s="96"/>
      <c r="J628" s="96"/>
      <c r="K628" s="76"/>
      <c r="L628" s="76"/>
      <c r="M628" s="76"/>
      <c r="N628" s="76"/>
      <c r="O628" s="76"/>
      <c r="P628" s="76"/>
      <c r="Q628" s="76"/>
      <c r="R628" s="76"/>
      <c r="S628" s="76"/>
      <c r="T628" s="76"/>
      <c r="U628" s="97"/>
      <c r="V628" s="97"/>
      <c r="W628" s="97"/>
      <c r="X628" s="97"/>
      <c r="Y628" s="97"/>
      <c r="Z628" s="97"/>
      <c r="AA628" s="97"/>
      <c r="AB628" s="97"/>
      <c r="AC628" s="97"/>
      <c r="AD628" s="97"/>
      <c r="AE628" s="97"/>
      <c r="AF628" s="76"/>
      <c r="AG628" s="76"/>
      <c r="AH628" s="76"/>
      <c r="AI628" s="97">
        <v>1</v>
      </c>
      <c r="AJ628" s="97">
        <v>1</v>
      </c>
      <c r="AK628" s="73"/>
      <c r="AL628" s="57"/>
      <c r="AM628" s="45"/>
      <c r="AN628" s="45"/>
      <c r="AO628" s="45"/>
    </row>
    <row r="629" spans="1:41" hidden="1" outlineLevel="3" x14ac:dyDescent="0.25">
      <c r="A629" s="45"/>
      <c r="B629" s="54"/>
      <c r="C629" s="47">
        <f t="shared" si="164"/>
        <v>3</v>
      </c>
      <c r="D629" s="73"/>
      <c r="E629" s="70"/>
      <c r="F629" s="70" t="s">
        <v>2650</v>
      </c>
      <c r="G629" s="73"/>
      <c r="H629" s="76" t="s">
        <v>2658</v>
      </c>
      <c r="I629" s="96"/>
      <c r="J629" s="96"/>
      <c r="K629" s="76"/>
      <c r="L629" s="76"/>
      <c r="M629" s="76"/>
      <c r="N629" s="76"/>
      <c r="O629" s="76"/>
      <c r="P629" s="76"/>
      <c r="Q629" s="76"/>
      <c r="R629" s="76"/>
      <c r="S629" s="76"/>
      <c r="T629" s="76"/>
      <c r="U629" s="97"/>
      <c r="V629" s="97"/>
      <c r="W629" s="97"/>
      <c r="X629" s="97"/>
      <c r="Y629" s="97"/>
      <c r="Z629" s="97"/>
      <c r="AA629" s="97"/>
      <c r="AB629" s="97"/>
      <c r="AC629" s="97"/>
      <c r="AD629" s="97"/>
      <c r="AE629" s="97"/>
      <c r="AF629" s="76"/>
      <c r="AG629" s="76"/>
      <c r="AH629" s="76"/>
      <c r="AI629" s="97">
        <v>1</v>
      </c>
      <c r="AJ629" s="97">
        <v>1</v>
      </c>
      <c r="AK629" s="73"/>
      <c r="AL629" s="57"/>
      <c r="AM629" s="45"/>
      <c r="AN629" s="45"/>
      <c r="AO629" s="45"/>
    </row>
    <row r="630" spans="1:41" hidden="1" outlineLevel="3" x14ac:dyDescent="0.25">
      <c r="A630" s="45"/>
      <c r="B630" s="54"/>
      <c r="C630" s="47">
        <f t="shared" si="164"/>
        <v>3</v>
      </c>
      <c r="D630" s="73"/>
      <c r="E630" s="70"/>
      <c r="F630" s="70" t="s">
        <v>2651</v>
      </c>
      <c r="G630" s="73"/>
      <c r="H630" s="76" t="s">
        <v>2659</v>
      </c>
      <c r="I630" s="96"/>
      <c r="J630" s="96"/>
      <c r="K630" s="76"/>
      <c r="L630" s="76"/>
      <c r="M630" s="76"/>
      <c r="N630" s="76"/>
      <c r="O630" s="76"/>
      <c r="P630" s="76"/>
      <c r="Q630" s="76"/>
      <c r="R630" s="76"/>
      <c r="S630" s="76"/>
      <c r="T630" s="76"/>
      <c r="U630" s="97"/>
      <c r="V630" s="97"/>
      <c r="W630" s="97"/>
      <c r="X630" s="97"/>
      <c r="Y630" s="97"/>
      <c r="Z630" s="97"/>
      <c r="AA630" s="97"/>
      <c r="AB630" s="97"/>
      <c r="AC630" s="97"/>
      <c r="AD630" s="97"/>
      <c r="AE630" s="97"/>
      <c r="AF630" s="76"/>
      <c r="AG630" s="76"/>
      <c r="AH630" s="76"/>
      <c r="AI630" s="97">
        <v>1</v>
      </c>
      <c r="AJ630" s="97">
        <v>1</v>
      </c>
      <c r="AK630" s="73"/>
      <c r="AL630" s="57"/>
      <c r="AM630" s="45"/>
      <c r="AN630" s="45"/>
      <c r="AO630" s="45"/>
    </row>
    <row r="631" spans="1:41" hidden="1" outlineLevel="3" x14ac:dyDescent="0.25">
      <c r="A631" s="45"/>
      <c r="B631" s="54"/>
      <c r="C631" s="47">
        <f t="shared" si="164"/>
        <v>3</v>
      </c>
      <c r="D631" s="73"/>
      <c r="E631" s="70"/>
      <c r="F631" s="70" t="s">
        <v>2652</v>
      </c>
      <c r="G631" s="73"/>
      <c r="H631" s="76" t="s">
        <v>2660</v>
      </c>
      <c r="I631" s="96"/>
      <c r="J631" s="96"/>
      <c r="K631" s="76"/>
      <c r="L631" s="76"/>
      <c r="M631" s="76"/>
      <c r="N631" s="76"/>
      <c r="O631" s="76"/>
      <c r="P631" s="76"/>
      <c r="Q631" s="76"/>
      <c r="R631" s="76"/>
      <c r="S631" s="76"/>
      <c r="T631" s="76"/>
      <c r="U631" s="97"/>
      <c r="V631" s="97"/>
      <c r="W631" s="97"/>
      <c r="X631" s="97"/>
      <c r="Y631" s="97"/>
      <c r="Z631" s="97"/>
      <c r="AA631" s="97"/>
      <c r="AB631" s="97"/>
      <c r="AC631" s="97"/>
      <c r="AD631" s="97"/>
      <c r="AE631" s="97"/>
      <c r="AF631" s="76"/>
      <c r="AG631" s="76"/>
      <c r="AH631" s="76"/>
      <c r="AI631" s="97">
        <v>1</v>
      </c>
      <c r="AJ631" s="97">
        <v>1</v>
      </c>
      <c r="AK631" s="73"/>
      <c r="AL631" s="57"/>
      <c r="AM631" s="45"/>
      <c r="AN631" s="45"/>
      <c r="AO631" s="45"/>
    </row>
    <row r="632" spans="1:41" hidden="1" outlineLevel="2" x14ac:dyDescent="0.25">
      <c r="A632" s="45"/>
      <c r="B632" s="54"/>
      <c r="C632" s="47">
        <f t="shared" si="164"/>
        <v>3</v>
      </c>
      <c r="D632" s="73"/>
      <c r="E632" s="70"/>
      <c r="F632" s="70" t="s">
        <v>2740</v>
      </c>
      <c r="G632" s="73"/>
      <c r="H632" s="76" t="s">
        <v>2739</v>
      </c>
      <c r="I632" s="96">
        <v>1</v>
      </c>
      <c r="J632" s="96"/>
      <c r="K632" s="76"/>
      <c r="L632" s="76"/>
      <c r="M632" s="76"/>
      <c r="N632" s="76"/>
      <c r="O632" s="76"/>
      <c r="P632" s="76"/>
      <c r="Q632" s="76"/>
      <c r="R632" s="76"/>
      <c r="S632" s="76"/>
      <c r="T632" s="76"/>
      <c r="U632" s="97">
        <f>$AB632-($I632*-0.3347)</f>
        <v>0.39093</v>
      </c>
      <c r="V632" s="255">
        <f t="shared" ref="V632" si="165">U632</f>
        <v>0.39093</v>
      </c>
      <c r="W632" s="255">
        <f t="shared" ref="W632" si="166">U632</f>
        <v>0.39093</v>
      </c>
      <c r="X632" s="255">
        <f>U632</f>
        <v>0.39093</v>
      </c>
      <c r="Y632" s="255">
        <f>U632</f>
        <v>0.39093</v>
      </c>
      <c r="Z632" s="255">
        <f>U632</f>
        <v>0.39093</v>
      </c>
      <c r="AA632" s="255">
        <f>U632</f>
        <v>0.39093</v>
      </c>
      <c r="AB632" s="97">
        <f t="shared" ref="AB632:AB639" si="167">-($I632*-0.05623)</f>
        <v>5.6230000000000002E-2</v>
      </c>
      <c r="AC632" s="255">
        <f t="shared" ref="AC632" si="168">AB632</f>
        <v>5.6230000000000002E-2</v>
      </c>
      <c r="AD632" s="255">
        <f>AB632</f>
        <v>5.6230000000000002E-2</v>
      </c>
      <c r="AE632" s="255">
        <f>AB632</f>
        <v>5.6230000000000002E-2</v>
      </c>
      <c r="AF632" s="76"/>
      <c r="AG632" s="97" t="s">
        <v>3473</v>
      </c>
      <c r="AH632" s="76"/>
      <c r="AI632" s="97">
        <v>1</v>
      </c>
      <c r="AJ632" s="97">
        <v>1</v>
      </c>
      <c r="AK632" s="73"/>
      <c r="AL632" s="57"/>
      <c r="AM632" s="45"/>
      <c r="AN632" s="45"/>
      <c r="AO632" s="45"/>
    </row>
    <row r="633" spans="1:41" hidden="1" outlineLevel="2" x14ac:dyDescent="0.25">
      <c r="A633" s="45"/>
      <c r="B633" s="54"/>
      <c r="C633" s="47">
        <f t="shared" si="164"/>
        <v>3</v>
      </c>
      <c r="D633" s="73"/>
      <c r="E633" s="70"/>
      <c r="F633" s="70" t="s">
        <v>2741</v>
      </c>
      <c r="G633" s="73"/>
      <c r="H633" s="76" t="s">
        <v>2654</v>
      </c>
      <c r="I633" s="96">
        <v>2</v>
      </c>
      <c r="J633" s="96"/>
      <c r="K633" s="76"/>
      <c r="L633" s="76"/>
      <c r="M633" s="76"/>
      <c r="N633" s="76"/>
      <c r="O633" s="76"/>
      <c r="P633" s="76"/>
      <c r="Q633" s="76"/>
      <c r="R633" s="76"/>
      <c r="S633" s="76"/>
      <c r="T633" s="76"/>
      <c r="U633" s="97">
        <f t="shared" ref="U633:U639" si="169">$AB633-($I633*-0.3347)</f>
        <v>0.78186</v>
      </c>
      <c r="V633" s="255">
        <f t="shared" ref="V633:V639" si="170">U633</f>
        <v>0.78186</v>
      </c>
      <c r="W633" s="255">
        <f t="shared" ref="W633:W639" si="171">U633</f>
        <v>0.78186</v>
      </c>
      <c r="X633" s="255">
        <f t="shared" ref="X633:X639" si="172">U633</f>
        <v>0.78186</v>
      </c>
      <c r="Y633" s="255">
        <f t="shared" ref="Y633:Y639" si="173">U633</f>
        <v>0.78186</v>
      </c>
      <c r="Z633" s="255">
        <f t="shared" ref="Z633:Z639" si="174">U633</f>
        <v>0.78186</v>
      </c>
      <c r="AA633" s="255">
        <f t="shared" ref="AA633:AA639" si="175">U633</f>
        <v>0.78186</v>
      </c>
      <c r="AB633" s="97">
        <f t="shared" si="167"/>
        <v>0.11246</v>
      </c>
      <c r="AC633" s="255">
        <f t="shared" ref="AC633:AC639" si="176">AB633</f>
        <v>0.11246</v>
      </c>
      <c r="AD633" s="255">
        <f t="shared" ref="AD633:AD639" si="177">AB633</f>
        <v>0.11246</v>
      </c>
      <c r="AE633" s="255">
        <f t="shared" ref="AE633:AE639" si="178">AB633</f>
        <v>0.11246</v>
      </c>
      <c r="AF633" s="76"/>
      <c r="AG633" s="97" t="s">
        <v>3472</v>
      </c>
      <c r="AH633" s="76"/>
      <c r="AI633" s="97">
        <v>1</v>
      </c>
      <c r="AJ633" s="97">
        <v>1</v>
      </c>
      <c r="AK633" s="73"/>
      <c r="AL633" s="57"/>
      <c r="AM633" s="45"/>
      <c r="AN633" s="45"/>
      <c r="AO633" s="45"/>
    </row>
    <row r="634" spans="1:41" hidden="1" outlineLevel="2" x14ac:dyDescent="0.25">
      <c r="A634" s="45"/>
      <c r="B634" s="54"/>
      <c r="C634" s="47">
        <f t="shared" si="164"/>
        <v>3</v>
      </c>
      <c r="D634" s="73"/>
      <c r="E634" s="70"/>
      <c r="F634" s="70" t="s">
        <v>2742</v>
      </c>
      <c r="G634" s="73"/>
      <c r="H634" s="76" t="s">
        <v>2655</v>
      </c>
      <c r="I634" s="96">
        <v>3</v>
      </c>
      <c r="J634" s="96"/>
      <c r="K634" s="76"/>
      <c r="L634" s="76"/>
      <c r="M634" s="76"/>
      <c r="N634" s="76"/>
      <c r="O634" s="76"/>
      <c r="P634" s="76"/>
      <c r="Q634" s="76"/>
      <c r="R634" s="76"/>
      <c r="S634" s="76"/>
      <c r="T634" s="76"/>
      <c r="U634" s="97">
        <f t="shared" si="169"/>
        <v>1.17279</v>
      </c>
      <c r="V634" s="255">
        <f t="shared" si="170"/>
        <v>1.17279</v>
      </c>
      <c r="W634" s="255">
        <f t="shared" si="171"/>
        <v>1.17279</v>
      </c>
      <c r="X634" s="255">
        <f t="shared" si="172"/>
        <v>1.17279</v>
      </c>
      <c r="Y634" s="255">
        <f t="shared" si="173"/>
        <v>1.17279</v>
      </c>
      <c r="Z634" s="255">
        <f t="shared" si="174"/>
        <v>1.17279</v>
      </c>
      <c r="AA634" s="255">
        <f t="shared" si="175"/>
        <v>1.17279</v>
      </c>
      <c r="AB634" s="97">
        <f t="shared" si="167"/>
        <v>0.16869000000000001</v>
      </c>
      <c r="AC634" s="255">
        <f t="shared" si="176"/>
        <v>0.16869000000000001</v>
      </c>
      <c r="AD634" s="255">
        <f t="shared" si="177"/>
        <v>0.16869000000000001</v>
      </c>
      <c r="AE634" s="255">
        <f t="shared" si="178"/>
        <v>0.16869000000000001</v>
      </c>
      <c r="AF634" s="76"/>
      <c r="AG634" s="76"/>
      <c r="AH634" s="76"/>
      <c r="AI634" s="97">
        <v>1</v>
      </c>
      <c r="AJ634" s="97">
        <v>1</v>
      </c>
      <c r="AK634" s="73"/>
      <c r="AL634" s="57"/>
      <c r="AM634" s="45"/>
      <c r="AN634" s="45"/>
      <c r="AO634" s="45"/>
    </row>
    <row r="635" spans="1:41" hidden="1" outlineLevel="2" x14ac:dyDescent="0.25">
      <c r="A635" s="45"/>
      <c r="B635" s="54"/>
      <c r="C635" s="47">
        <f t="shared" si="164"/>
        <v>3</v>
      </c>
      <c r="D635" s="73"/>
      <c r="E635" s="70"/>
      <c r="F635" s="70" t="s">
        <v>2743</v>
      </c>
      <c r="G635" s="73"/>
      <c r="H635" s="76" t="s">
        <v>2656</v>
      </c>
      <c r="I635" s="96">
        <v>4</v>
      </c>
      <c r="J635" s="96"/>
      <c r="K635" s="76"/>
      <c r="L635" s="76"/>
      <c r="M635" s="76"/>
      <c r="N635" s="76"/>
      <c r="O635" s="76"/>
      <c r="P635" s="76"/>
      <c r="Q635" s="76"/>
      <c r="R635" s="76"/>
      <c r="S635" s="76"/>
      <c r="T635" s="76"/>
      <c r="U635" s="97">
        <f t="shared" si="169"/>
        <v>1.56372</v>
      </c>
      <c r="V635" s="255">
        <f t="shared" si="170"/>
        <v>1.56372</v>
      </c>
      <c r="W635" s="255">
        <f t="shared" si="171"/>
        <v>1.56372</v>
      </c>
      <c r="X635" s="255">
        <f t="shared" si="172"/>
        <v>1.56372</v>
      </c>
      <c r="Y635" s="255">
        <f t="shared" si="173"/>
        <v>1.56372</v>
      </c>
      <c r="Z635" s="255">
        <f t="shared" si="174"/>
        <v>1.56372</v>
      </c>
      <c r="AA635" s="255">
        <f t="shared" si="175"/>
        <v>1.56372</v>
      </c>
      <c r="AB635" s="97">
        <f t="shared" si="167"/>
        <v>0.22492000000000001</v>
      </c>
      <c r="AC635" s="255">
        <f t="shared" si="176"/>
        <v>0.22492000000000001</v>
      </c>
      <c r="AD635" s="255">
        <f t="shared" si="177"/>
        <v>0.22492000000000001</v>
      </c>
      <c r="AE635" s="255">
        <f t="shared" si="178"/>
        <v>0.22492000000000001</v>
      </c>
      <c r="AF635" s="76"/>
      <c r="AG635" s="76"/>
      <c r="AH635" s="76"/>
      <c r="AI635" s="97">
        <v>1</v>
      </c>
      <c r="AJ635" s="97">
        <v>1</v>
      </c>
      <c r="AK635" s="73"/>
      <c r="AL635" s="57"/>
      <c r="AM635" s="45"/>
      <c r="AN635" s="45"/>
      <c r="AO635" s="45"/>
    </row>
    <row r="636" spans="1:41" hidden="1" outlineLevel="2" x14ac:dyDescent="0.25">
      <c r="A636" s="45"/>
      <c r="B636" s="54"/>
      <c r="C636" s="47">
        <f t="shared" si="164"/>
        <v>3</v>
      </c>
      <c r="D636" s="73"/>
      <c r="E636" s="70"/>
      <c r="F636" s="70" t="s">
        <v>2744</v>
      </c>
      <c r="G636" s="73"/>
      <c r="H636" s="76" t="s">
        <v>2657</v>
      </c>
      <c r="I636" s="96">
        <v>5</v>
      </c>
      <c r="J636" s="96"/>
      <c r="K636" s="76"/>
      <c r="L636" s="76"/>
      <c r="M636" s="76"/>
      <c r="N636" s="76"/>
      <c r="O636" s="76"/>
      <c r="P636" s="76"/>
      <c r="Q636" s="76"/>
      <c r="R636" s="76"/>
      <c r="S636" s="76"/>
      <c r="T636" s="76"/>
      <c r="U636" s="97">
        <f t="shared" si="169"/>
        <v>1.95465</v>
      </c>
      <c r="V636" s="255">
        <f t="shared" si="170"/>
        <v>1.95465</v>
      </c>
      <c r="W636" s="255">
        <f t="shared" si="171"/>
        <v>1.95465</v>
      </c>
      <c r="X636" s="255">
        <f t="shared" si="172"/>
        <v>1.95465</v>
      </c>
      <c r="Y636" s="255">
        <f t="shared" si="173"/>
        <v>1.95465</v>
      </c>
      <c r="Z636" s="255">
        <f t="shared" si="174"/>
        <v>1.95465</v>
      </c>
      <c r="AA636" s="255">
        <f t="shared" si="175"/>
        <v>1.95465</v>
      </c>
      <c r="AB636" s="97">
        <f t="shared" si="167"/>
        <v>0.28115000000000001</v>
      </c>
      <c r="AC636" s="255">
        <f t="shared" si="176"/>
        <v>0.28115000000000001</v>
      </c>
      <c r="AD636" s="255">
        <f t="shared" si="177"/>
        <v>0.28115000000000001</v>
      </c>
      <c r="AE636" s="255">
        <f t="shared" si="178"/>
        <v>0.28115000000000001</v>
      </c>
      <c r="AF636" s="76"/>
      <c r="AG636" s="76"/>
      <c r="AH636" s="76"/>
      <c r="AI636" s="97">
        <v>1</v>
      </c>
      <c r="AJ636" s="97">
        <v>1</v>
      </c>
      <c r="AK636" s="73"/>
      <c r="AL636" s="57"/>
      <c r="AM636" s="45"/>
      <c r="AN636" s="45"/>
      <c r="AO636" s="45"/>
    </row>
    <row r="637" spans="1:41" hidden="1" outlineLevel="2" x14ac:dyDescent="0.25">
      <c r="A637" s="45"/>
      <c r="B637" s="54"/>
      <c r="C637" s="47">
        <f t="shared" si="164"/>
        <v>3</v>
      </c>
      <c r="D637" s="73"/>
      <c r="E637" s="70"/>
      <c r="F637" s="70" t="s">
        <v>2745</v>
      </c>
      <c r="G637" s="73"/>
      <c r="H637" s="76" t="s">
        <v>2658</v>
      </c>
      <c r="I637" s="96">
        <v>6</v>
      </c>
      <c r="J637" s="96"/>
      <c r="K637" s="76"/>
      <c r="L637" s="76"/>
      <c r="M637" s="76"/>
      <c r="N637" s="76"/>
      <c r="O637" s="76"/>
      <c r="P637" s="76"/>
      <c r="Q637" s="76"/>
      <c r="R637" s="76"/>
      <c r="S637" s="76"/>
      <c r="T637" s="76"/>
      <c r="U637" s="97">
        <f t="shared" si="169"/>
        <v>2.34558</v>
      </c>
      <c r="V637" s="255">
        <f t="shared" si="170"/>
        <v>2.34558</v>
      </c>
      <c r="W637" s="255">
        <f t="shared" si="171"/>
        <v>2.34558</v>
      </c>
      <c r="X637" s="255">
        <f t="shared" si="172"/>
        <v>2.34558</v>
      </c>
      <c r="Y637" s="255">
        <f t="shared" si="173"/>
        <v>2.34558</v>
      </c>
      <c r="Z637" s="255">
        <f t="shared" si="174"/>
        <v>2.34558</v>
      </c>
      <c r="AA637" s="255">
        <f t="shared" si="175"/>
        <v>2.34558</v>
      </c>
      <c r="AB637" s="97">
        <f t="shared" si="167"/>
        <v>0.33738000000000001</v>
      </c>
      <c r="AC637" s="255">
        <f t="shared" si="176"/>
        <v>0.33738000000000001</v>
      </c>
      <c r="AD637" s="255">
        <f t="shared" si="177"/>
        <v>0.33738000000000001</v>
      </c>
      <c r="AE637" s="255">
        <f t="shared" si="178"/>
        <v>0.33738000000000001</v>
      </c>
      <c r="AF637" s="76"/>
      <c r="AG637" s="76"/>
      <c r="AH637" s="76"/>
      <c r="AI637" s="97">
        <v>1</v>
      </c>
      <c r="AJ637" s="97">
        <v>1</v>
      </c>
      <c r="AK637" s="73"/>
      <c r="AL637" s="57"/>
      <c r="AM637" s="45"/>
      <c r="AN637" s="45"/>
      <c r="AO637" s="45"/>
    </row>
    <row r="638" spans="1:41" hidden="1" outlineLevel="2" x14ac:dyDescent="0.25">
      <c r="A638" s="45"/>
      <c r="B638" s="54"/>
      <c r="C638" s="47">
        <f t="shared" si="164"/>
        <v>3</v>
      </c>
      <c r="D638" s="73"/>
      <c r="E638" s="70"/>
      <c r="F638" s="70" t="s">
        <v>2746</v>
      </c>
      <c r="G638" s="73"/>
      <c r="H638" s="76" t="s">
        <v>2659</v>
      </c>
      <c r="I638" s="96">
        <v>7</v>
      </c>
      <c r="J638" s="96"/>
      <c r="K638" s="76"/>
      <c r="L638" s="76"/>
      <c r="M638" s="76"/>
      <c r="N638" s="76"/>
      <c r="O638" s="76"/>
      <c r="P638" s="76"/>
      <c r="Q638" s="76"/>
      <c r="R638" s="76"/>
      <c r="S638" s="76"/>
      <c r="T638" s="76"/>
      <c r="U638" s="97">
        <f t="shared" si="169"/>
        <v>2.73651</v>
      </c>
      <c r="V638" s="255">
        <f t="shared" si="170"/>
        <v>2.73651</v>
      </c>
      <c r="W638" s="255">
        <f t="shared" si="171"/>
        <v>2.73651</v>
      </c>
      <c r="X638" s="255">
        <f t="shared" si="172"/>
        <v>2.73651</v>
      </c>
      <c r="Y638" s="255">
        <f t="shared" si="173"/>
        <v>2.73651</v>
      </c>
      <c r="Z638" s="255">
        <f t="shared" si="174"/>
        <v>2.73651</v>
      </c>
      <c r="AA638" s="255">
        <f t="shared" si="175"/>
        <v>2.73651</v>
      </c>
      <c r="AB638" s="97">
        <f t="shared" si="167"/>
        <v>0.39361000000000002</v>
      </c>
      <c r="AC638" s="255">
        <f t="shared" si="176"/>
        <v>0.39361000000000002</v>
      </c>
      <c r="AD638" s="255">
        <f t="shared" si="177"/>
        <v>0.39361000000000002</v>
      </c>
      <c r="AE638" s="255">
        <f t="shared" si="178"/>
        <v>0.39361000000000002</v>
      </c>
      <c r="AF638" s="76"/>
      <c r="AG638" s="76"/>
      <c r="AH638" s="76"/>
      <c r="AI638" s="97">
        <v>1</v>
      </c>
      <c r="AJ638" s="97">
        <v>1</v>
      </c>
      <c r="AK638" s="73"/>
      <c r="AL638" s="57"/>
      <c r="AM638" s="45"/>
      <c r="AN638" s="45"/>
      <c r="AO638" s="45"/>
    </row>
    <row r="639" spans="1:41" hidden="1" outlineLevel="2" x14ac:dyDescent="0.25">
      <c r="A639" s="45"/>
      <c r="B639" s="54"/>
      <c r="C639" s="47">
        <f t="shared" si="164"/>
        <v>3</v>
      </c>
      <c r="D639" s="73"/>
      <c r="E639" s="70"/>
      <c r="F639" s="70" t="s">
        <v>2747</v>
      </c>
      <c r="G639" s="73"/>
      <c r="H639" s="76" t="s">
        <v>2660</v>
      </c>
      <c r="I639" s="96">
        <v>8</v>
      </c>
      <c r="J639" s="96"/>
      <c r="K639" s="76"/>
      <c r="L639" s="76"/>
      <c r="M639" s="76"/>
      <c r="N639" s="76"/>
      <c r="O639" s="76"/>
      <c r="P639" s="76"/>
      <c r="Q639" s="76"/>
      <c r="R639" s="76"/>
      <c r="S639" s="76"/>
      <c r="T639" s="76"/>
      <c r="U639" s="97">
        <f t="shared" si="169"/>
        <v>3.12744</v>
      </c>
      <c r="V639" s="255">
        <f t="shared" si="170"/>
        <v>3.12744</v>
      </c>
      <c r="W639" s="255">
        <f t="shared" si="171"/>
        <v>3.12744</v>
      </c>
      <c r="X639" s="255">
        <f t="shared" si="172"/>
        <v>3.12744</v>
      </c>
      <c r="Y639" s="255">
        <f t="shared" si="173"/>
        <v>3.12744</v>
      </c>
      <c r="Z639" s="255">
        <f t="shared" si="174"/>
        <v>3.12744</v>
      </c>
      <c r="AA639" s="255">
        <f t="shared" si="175"/>
        <v>3.12744</v>
      </c>
      <c r="AB639" s="97">
        <f t="shared" si="167"/>
        <v>0.44984000000000002</v>
      </c>
      <c r="AC639" s="255">
        <f t="shared" si="176"/>
        <v>0.44984000000000002</v>
      </c>
      <c r="AD639" s="255">
        <f t="shared" si="177"/>
        <v>0.44984000000000002</v>
      </c>
      <c r="AE639" s="255">
        <f t="shared" si="178"/>
        <v>0.44984000000000002</v>
      </c>
      <c r="AF639" s="76"/>
      <c r="AG639" s="76"/>
      <c r="AH639" s="76"/>
      <c r="AI639" s="97">
        <v>1</v>
      </c>
      <c r="AJ639" s="97">
        <v>1</v>
      </c>
      <c r="AK639" s="73"/>
      <c r="AL639" s="57"/>
      <c r="AM639" s="45"/>
      <c r="AN639" s="45"/>
      <c r="AO639" s="45"/>
    </row>
    <row r="640" spans="1:41" outlineLevel="1" collapsed="1" x14ac:dyDescent="0.25">
      <c r="A640" s="45"/>
      <c r="B640" s="54"/>
      <c r="C640" s="47">
        <f>INT($C$29)+1</f>
        <v>2</v>
      </c>
      <c r="D640" s="73"/>
      <c r="E640" s="70"/>
      <c r="F640" s="256" t="s">
        <v>1201</v>
      </c>
      <c r="G640" s="73"/>
      <c r="H640" s="246" t="s">
        <v>1202</v>
      </c>
      <c r="I640" s="129"/>
      <c r="J640" s="129" t="s">
        <v>1038</v>
      </c>
      <c r="K640" s="79">
        <f>COUNTA($F$641:$F$712)/L640</f>
        <v>24</v>
      </c>
      <c r="L640" s="79">
        <v>3</v>
      </c>
      <c r="M640" s="79">
        <v>-3</v>
      </c>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3"/>
      <c r="AL640" s="57"/>
      <c r="AM640" s="45"/>
      <c r="AN640" s="45"/>
      <c r="AO640" s="45"/>
    </row>
    <row r="641" spans="1:41" hidden="1" outlineLevel="2" x14ac:dyDescent="0.25">
      <c r="A641" s="45"/>
      <c r="B641" s="54"/>
      <c r="C641" s="47">
        <f t="shared" ref="C641:C658" si="179">INT($C$29)+2</f>
        <v>3</v>
      </c>
      <c r="D641" s="73"/>
      <c r="E641" s="70"/>
      <c r="F641" s="70" t="s">
        <v>1203</v>
      </c>
      <c r="G641" s="73"/>
      <c r="H641" s="76" t="s">
        <v>1293</v>
      </c>
      <c r="I641" s="96" t="s">
        <v>497</v>
      </c>
      <c r="J641" s="96"/>
      <c r="K641" s="76"/>
      <c r="L641" s="76"/>
      <c r="M641" s="76"/>
      <c r="N641" s="76"/>
      <c r="O641" s="76"/>
      <c r="P641" s="76"/>
      <c r="Q641" s="76"/>
      <c r="R641" s="76"/>
      <c r="S641" s="76"/>
      <c r="T641" s="76"/>
      <c r="U641" s="97">
        <v>0</v>
      </c>
      <c r="V641" s="97">
        <v>0</v>
      </c>
      <c r="W641" s="97">
        <v>0</v>
      </c>
      <c r="X641" s="97">
        <v>0</v>
      </c>
      <c r="Y641" s="97">
        <v>0</v>
      </c>
      <c r="Z641" s="97">
        <v>0</v>
      </c>
      <c r="AA641" s="97">
        <v>0</v>
      </c>
      <c r="AB641" s="97">
        <v>0</v>
      </c>
      <c r="AC641" s="97">
        <v>0</v>
      </c>
      <c r="AD641" s="97">
        <v>0</v>
      </c>
      <c r="AE641" s="97">
        <v>0</v>
      </c>
      <c r="AF641" s="76"/>
      <c r="AG641" s="97"/>
      <c r="AH641" s="76"/>
      <c r="AI641" s="97">
        <v>1</v>
      </c>
      <c r="AJ641" s="97">
        <v>1</v>
      </c>
      <c r="AK641" s="73"/>
      <c r="AL641" s="57"/>
      <c r="AM641" s="45"/>
      <c r="AN641" s="45"/>
      <c r="AO641" s="45"/>
    </row>
    <row r="642" spans="1:41" hidden="1" outlineLevel="2" x14ac:dyDescent="0.25">
      <c r="A642" s="45"/>
      <c r="B642" s="54"/>
      <c r="C642" s="47">
        <f t="shared" si="179"/>
        <v>3</v>
      </c>
      <c r="D642" s="73"/>
      <c r="E642" s="70"/>
      <c r="F642" s="70" t="s">
        <v>1204</v>
      </c>
      <c r="G642" s="73"/>
      <c r="H642" s="76" t="s">
        <v>2612</v>
      </c>
      <c r="I642" s="96" t="s">
        <v>497</v>
      </c>
      <c r="J642" s="96"/>
      <c r="K642" s="76"/>
      <c r="L642" s="76"/>
      <c r="M642" s="76"/>
      <c r="N642" s="76"/>
      <c r="O642" s="76"/>
      <c r="P642" s="76"/>
      <c r="Q642" s="76"/>
      <c r="R642" s="76"/>
      <c r="S642" s="76"/>
      <c r="T642" s="76"/>
      <c r="U642" s="118">
        <v>-0.01</v>
      </c>
      <c r="V642" s="118">
        <v>-0.01</v>
      </c>
      <c r="W642" s="118">
        <v>-0.01</v>
      </c>
      <c r="X642" s="118">
        <v>-0.01</v>
      </c>
      <c r="Y642" s="118">
        <v>-0.01</v>
      </c>
      <c r="Z642" s="118">
        <v>-0.01</v>
      </c>
      <c r="AA642" s="118">
        <v>-0.01</v>
      </c>
      <c r="AB642" s="118">
        <v>-0.01</v>
      </c>
      <c r="AC642" s="118">
        <v>-0.01</v>
      </c>
      <c r="AD642" s="118">
        <v>-0.01</v>
      </c>
      <c r="AE642" s="118">
        <v>-0.01</v>
      </c>
      <c r="AF642" s="76"/>
      <c r="AG642" s="97" t="s">
        <v>1295</v>
      </c>
      <c r="AH642" s="76"/>
      <c r="AI642" s="97">
        <v>1</v>
      </c>
      <c r="AJ642" s="97">
        <v>1</v>
      </c>
      <c r="AK642" s="73"/>
      <c r="AL642" s="57"/>
      <c r="AM642" s="45"/>
      <c r="AN642" s="45"/>
      <c r="AO642" s="45"/>
    </row>
    <row r="643" spans="1:41" hidden="1" outlineLevel="2" x14ac:dyDescent="0.25">
      <c r="A643" s="45"/>
      <c r="B643" s="54"/>
      <c r="C643" s="47">
        <f t="shared" si="179"/>
        <v>3</v>
      </c>
      <c r="D643" s="73"/>
      <c r="E643" s="70"/>
      <c r="F643" s="70" t="s">
        <v>1205</v>
      </c>
      <c r="G643" s="73"/>
      <c r="H643" s="76" t="s">
        <v>2613</v>
      </c>
      <c r="I643" s="96" t="s">
        <v>497</v>
      </c>
      <c r="J643" s="96"/>
      <c r="K643" s="76"/>
      <c r="L643" s="76"/>
      <c r="M643" s="76"/>
      <c r="N643" s="76"/>
      <c r="O643" s="76"/>
      <c r="P643" s="76"/>
      <c r="Q643" s="76"/>
      <c r="R643" s="76"/>
      <c r="S643" s="76"/>
      <c r="T643" s="76"/>
      <c r="U643" s="76">
        <v>0</v>
      </c>
      <c r="V643" s="76">
        <v>0</v>
      </c>
      <c r="W643" s="76">
        <v>0</v>
      </c>
      <c r="X643" s="76">
        <v>0</v>
      </c>
      <c r="Y643" s="76">
        <v>0</v>
      </c>
      <c r="Z643" s="76">
        <v>0</v>
      </c>
      <c r="AA643" s="76">
        <v>0</v>
      </c>
      <c r="AB643" s="76">
        <v>0</v>
      </c>
      <c r="AC643" s="76">
        <v>0</v>
      </c>
      <c r="AD643" s="76">
        <v>0</v>
      </c>
      <c r="AE643" s="76">
        <v>0</v>
      </c>
      <c r="AF643" s="76"/>
      <c r="AG643" s="76"/>
      <c r="AH643" s="76"/>
      <c r="AI643" s="97">
        <v>1</v>
      </c>
      <c r="AJ643" s="97">
        <v>1</v>
      </c>
      <c r="AK643" s="73"/>
      <c r="AL643" s="57"/>
      <c r="AM643" s="45"/>
      <c r="AN643" s="45"/>
      <c r="AO643" s="45"/>
    </row>
    <row r="644" spans="1:41" hidden="1" outlineLevel="2" x14ac:dyDescent="0.25">
      <c r="A644" s="45"/>
      <c r="B644" s="54"/>
      <c r="C644" s="47">
        <f t="shared" si="179"/>
        <v>3</v>
      </c>
      <c r="D644" s="73"/>
      <c r="E644" s="70"/>
      <c r="F644" s="70" t="s">
        <v>1206</v>
      </c>
      <c r="G644" s="73"/>
      <c r="H644" s="76" t="s">
        <v>3812</v>
      </c>
      <c r="I644" s="96" t="s">
        <v>493</v>
      </c>
      <c r="J644" s="96"/>
      <c r="K644" s="97">
        <v>1.5699999999999999E-2</v>
      </c>
      <c r="L644" s="97">
        <v>1.5699999999999999E-2</v>
      </c>
      <c r="M644" s="97">
        <v>1.15E-2</v>
      </c>
      <c r="N644" s="97">
        <v>1.15E-2</v>
      </c>
      <c r="O644" s="97">
        <v>1.15E-2</v>
      </c>
      <c r="P644" s="97">
        <v>1.15E-2</v>
      </c>
      <c r="Q644" s="76"/>
      <c r="R644" s="76" t="s">
        <v>3815</v>
      </c>
      <c r="S644" s="76"/>
      <c r="T644" s="76"/>
      <c r="U644" s="253">
        <f t="shared" ref="U644:AE646" si="180">INDEX($K644:$Q644,1,U$43)</f>
        <v>1.5699999999999999E-2</v>
      </c>
      <c r="V644" s="253">
        <f t="shared" si="180"/>
        <v>1.5699999999999999E-2</v>
      </c>
      <c r="W644" s="97">
        <v>1.2E-2</v>
      </c>
      <c r="X644" s="97">
        <v>1.2E-2</v>
      </c>
      <c r="Y644" s="97">
        <v>1.2E-2</v>
      </c>
      <c r="Z644" s="97">
        <v>1.2E-2</v>
      </c>
      <c r="AA644" s="97">
        <v>1.2E-2</v>
      </c>
      <c r="AB644" s="253">
        <f t="shared" si="180"/>
        <v>1.5699999999999999E-2</v>
      </c>
      <c r="AC644" s="253">
        <f t="shared" si="180"/>
        <v>1.5699999999999999E-2</v>
      </c>
      <c r="AD644" s="253">
        <f t="shared" si="180"/>
        <v>1.5699999999999999E-2</v>
      </c>
      <c r="AE644" s="253">
        <f t="shared" si="180"/>
        <v>1.5699999999999999E-2</v>
      </c>
      <c r="AF644" s="76"/>
      <c r="AG644" s="76"/>
      <c r="AH644" s="76"/>
      <c r="AI644" s="97">
        <v>1</v>
      </c>
      <c r="AJ644" s="97">
        <v>1</v>
      </c>
      <c r="AK644" s="73"/>
      <c r="AL644" s="57"/>
      <c r="AM644" s="45"/>
      <c r="AN644" s="45"/>
      <c r="AO644" s="45"/>
    </row>
    <row r="645" spans="1:41" hidden="1" outlineLevel="2" x14ac:dyDescent="0.25">
      <c r="A645" s="45"/>
      <c r="B645" s="54"/>
      <c r="C645" s="47">
        <f t="shared" si="179"/>
        <v>3</v>
      </c>
      <c r="D645" s="73"/>
      <c r="E645" s="70"/>
      <c r="F645" s="70" t="s">
        <v>1207</v>
      </c>
      <c r="G645" s="73"/>
      <c r="H645" s="76" t="s">
        <v>2612</v>
      </c>
      <c r="I645" s="96" t="s">
        <v>497</v>
      </c>
      <c r="J645" s="96"/>
      <c r="K645" s="97">
        <v>1.5699999999999999E-2</v>
      </c>
      <c r="L645" s="97">
        <v>1.5699999999999999E-2</v>
      </c>
      <c r="M645" s="97">
        <v>1.15E-2</v>
      </c>
      <c r="N645" s="97">
        <v>1.15E-2</v>
      </c>
      <c r="O645" s="97">
        <v>1.15E-2</v>
      </c>
      <c r="P645" s="97">
        <v>1.15E-2</v>
      </c>
      <c r="Q645" s="76"/>
      <c r="R645" s="76" t="s">
        <v>494</v>
      </c>
      <c r="S645" s="76" t="s">
        <v>494</v>
      </c>
      <c r="T645" s="76"/>
      <c r="U645" s="253">
        <f t="shared" si="180"/>
        <v>1.5699999999999999E-2</v>
      </c>
      <c r="V645" s="253">
        <f t="shared" si="180"/>
        <v>1.5699999999999999E-2</v>
      </c>
      <c r="W645" s="97">
        <v>1.5699999999999999E-2</v>
      </c>
      <c r="X645" s="97">
        <v>1.5699999999999999E-2</v>
      </c>
      <c r="Y645" s="97">
        <v>1.5699999999999999E-2</v>
      </c>
      <c r="Z645" s="97">
        <v>1.5699999999999999E-2</v>
      </c>
      <c r="AA645" s="97">
        <v>1.5699999999999999E-2</v>
      </c>
      <c r="AB645" s="253">
        <f t="shared" si="180"/>
        <v>1.5699999999999999E-2</v>
      </c>
      <c r="AC645" s="253">
        <f t="shared" si="180"/>
        <v>1.5699999999999999E-2</v>
      </c>
      <c r="AD645" s="253">
        <f t="shared" si="180"/>
        <v>1.5699999999999999E-2</v>
      </c>
      <c r="AE645" s="253">
        <f t="shared" si="180"/>
        <v>1.5699999999999999E-2</v>
      </c>
      <c r="AF645" s="76"/>
      <c r="AG645" s="76"/>
      <c r="AH645" s="76"/>
      <c r="AI645" s="97">
        <v>1</v>
      </c>
      <c r="AJ645" s="97">
        <v>1</v>
      </c>
      <c r="AK645" s="73"/>
      <c r="AL645" s="57"/>
      <c r="AM645" s="45"/>
      <c r="AN645" s="45"/>
      <c r="AO645" s="45"/>
    </row>
    <row r="646" spans="1:41" hidden="1" outlineLevel="2" collapsed="1" x14ac:dyDescent="0.25">
      <c r="A646" s="45"/>
      <c r="B646" s="54"/>
      <c r="C646" s="47">
        <f t="shared" si="179"/>
        <v>3</v>
      </c>
      <c r="D646" s="73"/>
      <c r="E646" s="70"/>
      <c r="F646" s="70" t="s">
        <v>1208</v>
      </c>
      <c r="G646" s="73"/>
      <c r="H646" s="76" t="s">
        <v>2613</v>
      </c>
      <c r="I646" s="96" t="s">
        <v>497</v>
      </c>
      <c r="J646" s="96"/>
      <c r="K646" s="97">
        <v>1.5699999999999999E-2</v>
      </c>
      <c r="L646" s="97">
        <v>1.5699999999999999E-2</v>
      </c>
      <c r="M646" s="97">
        <v>1.15E-2</v>
      </c>
      <c r="N646" s="97">
        <v>1.15E-2</v>
      </c>
      <c r="O646" s="97">
        <v>1.15E-2</v>
      </c>
      <c r="P646" s="97">
        <v>1.15E-2</v>
      </c>
      <c r="Q646" s="76"/>
      <c r="R646" s="76" t="s">
        <v>3814</v>
      </c>
      <c r="S646" s="76"/>
      <c r="T646" s="76"/>
      <c r="U646" s="253">
        <f t="shared" si="180"/>
        <v>1.5699999999999999E-2</v>
      </c>
      <c r="V646" s="253">
        <f t="shared" si="180"/>
        <v>1.5699999999999999E-2</v>
      </c>
      <c r="W646" s="97">
        <v>1.2E-2</v>
      </c>
      <c r="X646" s="97">
        <v>1.2E-2</v>
      </c>
      <c r="Y646" s="97">
        <v>1.2E-2</v>
      </c>
      <c r="Z646" s="97">
        <v>1.2E-2</v>
      </c>
      <c r="AA646" s="97">
        <v>1.2E-2</v>
      </c>
      <c r="AB646" s="253">
        <f t="shared" si="180"/>
        <v>1.5699999999999999E-2</v>
      </c>
      <c r="AC646" s="253">
        <f t="shared" si="180"/>
        <v>1.5699999999999999E-2</v>
      </c>
      <c r="AD646" s="253">
        <f t="shared" si="180"/>
        <v>1.5699999999999999E-2</v>
      </c>
      <c r="AE646" s="253">
        <f t="shared" si="180"/>
        <v>1.5699999999999999E-2</v>
      </c>
      <c r="AF646" s="76"/>
      <c r="AG646" s="76"/>
      <c r="AH646" s="76"/>
      <c r="AI646" s="97">
        <v>1</v>
      </c>
      <c r="AJ646" s="97">
        <v>1</v>
      </c>
      <c r="AK646" s="73"/>
      <c r="AL646" s="57"/>
      <c r="AM646" s="45"/>
      <c r="AN646" s="45"/>
      <c r="AO646" s="45"/>
    </row>
    <row r="647" spans="1:41" hidden="1" outlineLevel="3" x14ac:dyDescent="0.25">
      <c r="A647" s="45"/>
      <c r="B647" s="54"/>
      <c r="C647" s="47">
        <f t="shared" si="179"/>
        <v>3</v>
      </c>
      <c r="D647" s="73"/>
      <c r="E647" s="70"/>
      <c r="F647" s="70" t="s">
        <v>1209</v>
      </c>
      <c r="G647" s="73"/>
      <c r="H647" s="76" t="s">
        <v>599</v>
      </c>
      <c r="I647" s="96" t="s">
        <v>497</v>
      </c>
      <c r="J647" s="9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v>1</v>
      </c>
      <c r="AJ647" s="76">
        <v>1</v>
      </c>
      <c r="AK647" s="73"/>
      <c r="AL647" s="57"/>
      <c r="AM647" s="45"/>
      <c r="AN647" s="45"/>
      <c r="AO647" s="45"/>
    </row>
    <row r="648" spans="1:41" hidden="1" outlineLevel="3" x14ac:dyDescent="0.25">
      <c r="A648" s="45"/>
      <c r="B648" s="54"/>
      <c r="C648" s="47">
        <f t="shared" si="179"/>
        <v>3</v>
      </c>
      <c r="D648" s="73"/>
      <c r="E648" s="70"/>
      <c r="F648" s="70" t="s">
        <v>1210</v>
      </c>
      <c r="G648" s="73"/>
      <c r="H648" s="76"/>
      <c r="I648" s="96" t="s">
        <v>497</v>
      </c>
      <c r="J648" s="96"/>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v>1</v>
      </c>
      <c r="AJ648" s="76">
        <v>1</v>
      </c>
      <c r="AK648" s="73"/>
      <c r="AL648" s="57"/>
      <c r="AM648" s="45"/>
      <c r="AN648" s="45"/>
      <c r="AO648" s="45"/>
    </row>
    <row r="649" spans="1:41" hidden="1" outlineLevel="3" x14ac:dyDescent="0.25">
      <c r="A649" s="45"/>
      <c r="B649" s="54"/>
      <c r="C649" s="47">
        <f t="shared" si="179"/>
        <v>3</v>
      </c>
      <c r="D649" s="73"/>
      <c r="E649" s="70"/>
      <c r="F649" s="70" t="s">
        <v>1211</v>
      </c>
      <c r="G649" s="73"/>
      <c r="H649" s="76"/>
      <c r="I649" s="96" t="s">
        <v>497</v>
      </c>
      <c r="J649" s="96"/>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v>1</v>
      </c>
      <c r="AJ649" s="76">
        <v>1</v>
      </c>
      <c r="AK649" s="73"/>
      <c r="AL649" s="57"/>
      <c r="AM649" s="45"/>
      <c r="AN649" s="45"/>
      <c r="AO649" s="45"/>
    </row>
    <row r="650" spans="1:41" hidden="1" outlineLevel="3" x14ac:dyDescent="0.25">
      <c r="A650" s="45"/>
      <c r="B650" s="54"/>
      <c r="C650" s="47">
        <f t="shared" si="179"/>
        <v>3</v>
      </c>
      <c r="D650" s="73"/>
      <c r="E650" s="70"/>
      <c r="F650" s="70" t="s">
        <v>1212</v>
      </c>
      <c r="G650" s="73"/>
      <c r="H650" s="76" t="s">
        <v>599</v>
      </c>
      <c r="I650" s="96" t="s">
        <v>497</v>
      </c>
      <c r="J650" s="9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v>1</v>
      </c>
      <c r="AJ650" s="76">
        <v>1</v>
      </c>
      <c r="AK650" s="73"/>
      <c r="AL650" s="57"/>
      <c r="AM650" s="45"/>
      <c r="AN650" s="45"/>
      <c r="AO650" s="45"/>
    </row>
    <row r="651" spans="1:41" hidden="1" outlineLevel="3" x14ac:dyDescent="0.25">
      <c r="A651" s="45"/>
      <c r="B651" s="54"/>
      <c r="C651" s="47">
        <f t="shared" si="179"/>
        <v>3</v>
      </c>
      <c r="D651" s="73"/>
      <c r="E651" s="70"/>
      <c r="F651" s="70" t="s">
        <v>1213</v>
      </c>
      <c r="G651" s="73"/>
      <c r="H651" s="76"/>
      <c r="I651" s="96" t="s">
        <v>497</v>
      </c>
      <c r="J651" s="96"/>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v>1</v>
      </c>
      <c r="AJ651" s="76">
        <v>1</v>
      </c>
      <c r="AK651" s="73"/>
      <c r="AL651" s="57"/>
      <c r="AM651" s="45"/>
      <c r="AN651" s="45"/>
      <c r="AO651" s="45"/>
    </row>
    <row r="652" spans="1:41" hidden="1" outlineLevel="3" x14ac:dyDescent="0.25">
      <c r="A652" s="45"/>
      <c r="B652" s="54"/>
      <c r="C652" s="47">
        <f t="shared" si="179"/>
        <v>3</v>
      </c>
      <c r="D652" s="73"/>
      <c r="E652" s="70"/>
      <c r="F652" s="70" t="s">
        <v>1214</v>
      </c>
      <c r="G652" s="73"/>
      <c r="H652" s="76"/>
      <c r="I652" s="96" t="s">
        <v>497</v>
      </c>
      <c r="J652" s="96"/>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v>1</v>
      </c>
      <c r="AJ652" s="76">
        <v>1</v>
      </c>
      <c r="AK652" s="73"/>
      <c r="AL652" s="57"/>
      <c r="AM652" s="45"/>
      <c r="AN652" s="45"/>
      <c r="AO652" s="45"/>
    </row>
    <row r="653" spans="1:41" hidden="1" outlineLevel="3" x14ac:dyDescent="0.25">
      <c r="A653" s="45"/>
      <c r="B653" s="54"/>
      <c r="C653" s="47">
        <f t="shared" si="179"/>
        <v>3</v>
      </c>
      <c r="D653" s="73"/>
      <c r="E653" s="70"/>
      <c r="F653" s="70" t="s">
        <v>1215</v>
      </c>
      <c r="G653" s="73"/>
      <c r="H653" s="76" t="s">
        <v>599</v>
      </c>
      <c r="I653" s="96" t="s">
        <v>497</v>
      </c>
      <c r="J653" s="96"/>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v>1</v>
      </c>
      <c r="AJ653" s="76">
        <v>1</v>
      </c>
      <c r="AK653" s="73"/>
      <c r="AL653" s="57"/>
      <c r="AM653" s="45"/>
      <c r="AN653" s="45"/>
      <c r="AO653" s="45"/>
    </row>
    <row r="654" spans="1:41" hidden="1" outlineLevel="3" x14ac:dyDescent="0.25">
      <c r="A654" s="45"/>
      <c r="B654" s="54"/>
      <c r="C654" s="47">
        <f t="shared" si="179"/>
        <v>3</v>
      </c>
      <c r="D654" s="73"/>
      <c r="E654" s="70"/>
      <c r="F654" s="70" t="s">
        <v>1216</v>
      </c>
      <c r="G654" s="73"/>
      <c r="H654" s="76"/>
      <c r="I654" s="96" t="s">
        <v>497</v>
      </c>
      <c r="J654" s="96"/>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v>1</v>
      </c>
      <c r="AJ654" s="76">
        <v>1</v>
      </c>
      <c r="AK654" s="73"/>
      <c r="AL654" s="57"/>
      <c r="AM654" s="45"/>
      <c r="AN654" s="45"/>
      <c r="AO654" s="45"/>
    </row>
    <row r="655" spans="1:41" hidden="1" outlineLevel="3" x14ac:dyDescent="0.25">
      <c r="A655" s="45"/>
      <c r="B655" s="54"/>
      <c r="C655" s="47">
        <f t="shared" si="179"/>
        <v>3</v>
      </c>
      <c r="D655" s="73"/>
      <c r="E655" s="70"/>
      <c r="F655" s="70" t="s">
        <v>1217</v>
      </c>
      <c r="G655" s="73"/>
      <c r="H655" s="76"/>
      <c r="I655" s="96" t="s">
        <v>497</v>
      </c>
      <c r="J655" s="96"/>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v>1</v>
      </c>
      <c r="AJ655" s="76">
        <v>1</v>
      </c>
      <c r="AK655" s="73"/>
      <c r="AL655" s="57"/>
      <c r="AM655" s="45"/>
      <c r="AN655" s="45"/>
      <c r="AO655" s="45"/>
    </row>
    <row r="656" spans="1:41" hidden="1" outlineLevel="3" x14ac:dyDescent="0.25">
      <c r="A656" s="45"/>
      <c r="B656" s="54"/>
      <c r="C656" s="47">
        <f t="shared" si="179"/>
        <v>3</v>
      </c>
      <c r="D656" s="73"/>
      <c r="E656" s="70"/>
      <c r="F656" s="70" t="s">
        <v>1218</v>
      </c>
      <c r="G656" s="73"/>
      <c r="H656" s="76" t="s">
        <v>599</v>
      </c>
      <c r="I656" s="96" t="s">
        <v>497</v>
      </c>
      <c r="J656" s="96"/>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v>1</v>
      </c>
      <c r="AJ656" s="76">
        <v>1</v>
      </c>
      <c r="AK656" s="73"/>
      <c r="AL656" s="57"/>
      <c r="AM656" s="45"/>
      <c r="AN656" s="45"/>
      <c r="AO656" s="45"/>
    </row>
    <row r="657" spans="1:41" hidden="1" outlineLevel="3" x14ac:dyDescent="0.25">
      <c r="A657" s="45"/>
      <c r="B657" s="54"/>
      <c r="C657" s="47">
        <f t="shared" si="179"/>
        <v>3</v>
      </c>
      <c r="D657" s="73"/>
      <c r="E657" s="70"/>
      <c r="F657" s="70" t="s">
        <v>1219</v>
      </c>
      <c r="G657" s="73"/>
      <c r="H657" s="76"/>
      <c r="I657" s="96" t="s">
        <v>497</v>
      </c>
      <c r="J657" s="96"/>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v>1</v>
      </c>
      <c r="AJ657" s="76">
        <v>1</v>
      </c>
      <c r="AK657" s="73"/>
      <c r="AL657" s="57"/>
      <c r="AM657" s="45"/>
      <c r="AN657" s="45"/>
      <c r="AO657" s="45"/>
    </row>
    <row r="658" spans="1:41" hidden="1" outlineLevel="3" x14ac:dyDescent="0.25">
      <c r="A658" s="45"/>
      <c r="B658" s="54"/>
      <c r="C658" s="47">
        <f t="shared" si="179"/>
        <v>3</v>
      </c>
      <c r="D658" s="73"/>
      <c r="E658" s="70"/>
      <c r="F658" s="70" t="s">
        <v>1220</v>
      </c>
      <c r="G658" s="73"/>
      <c r="H658" s="76"/>
      <c r="I658" s="96" t="s">
        <v>497</v>
      </c>
      <c r="J658" s="96"/>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v>1</v>
      </c>
      <c r="AJ658" s="76">
        <v>1</v>
      </c>
      <c r="AK658" s="73"/>
      <c r="AL658" s="57"/>
      <c r="AM658" s="45"/>
      <c r="AN658" s="45"/>
      <c r="AO658" s="45"/>
    </row>
    <row r="659" spans="1:41" hidden="1" outlineLevel="3" x14ac:dyDescent="0.25">
      <c r="A659" s="45"/>
      <c r="B659" s="54"/>
      <c r="C659" s="47">
        <f t="shared" ref="C659:C664" si="181">INT($C$29)+3</f>
        <v>4</v>
      </c>
      <c r="D659" s="73"/>
      <c r="E659" s="70"/>
      <c r="F659" s="70" t="s">
        <v>1221</v>
      </c>
      <c r="G659" s="73"/>
      <c r="H659" s="76" t="s">
        <v>599</v>
      </c>
      <c r="I659" s="96" t="s">
        <v>497</v>
      </c>
      <c r="J659" s="96"/>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v>1</v>
      </c>
      <c r="AJ659" s="76">
        <v>1</v>
      </c>
      <c r="AK659" s="73"/>
      <c r="AL659" s="57"/>
      <c r="AM659" s="45"/>
      <c r="AN659" s="45"/>
      <c r="AO659" s="45"/>
    </row>
    <row r="660" spans="1:41" hidden="1" outlineLevel="3" x14ac:dyDescent="0.25">
      <c r="A660" s="45"/>
      <c r="B660" s="54"/>
      <c r="C660" s="47">
        <f t="shared" si="181"/>
        <v>4</v>
      </c>
      <c r="D660" s="73"/>
      <c r="E660" s="70"/>
      <c r="F660" s="70" t="s">
        <v>1222</v>
      </c>
      <c r="G660" s="73"/>
      <c r="H660" s="76"/>
      <c r="I660" s="96" t="s">
        <v>497</v>
      </c>
      <c r="J660" s="96"/>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v>1</v>
      </c>
      <c r="AJ660" s="76">
        <v>1</v>
      </c>
      <c r="AK660" s="73"/>
      <c r="AL660" s="57"/>
      <c r="AM660" s="45"/>
      <c r="AN660" s="45"/>
      <c r="AO660" s="45"/>
    </row>
    <row r="661" spans="1:41" hidden="1" outlineLevel="3" x14ac:dyDescent="0.25">
      <c r="A661" s="45"/>
      <c r="B661" s="54"/>
      <c r="C661" s="47">
        <f t="shared" si="181"/>
        <v>4</v>
      </c>
      <c r="D661" s="73"/>
      <c r="E661" s="70"/>
      <c r="F661" s="70" t="s">
        <v>1223</v>
      </c>
      <c r="G661" s="73"/>
      <c r="H661" s="76"/>
      <c r="I661" s="96" t="s">
        <v>497</v>
      </c>
      <c r="J661" s="96"/>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v>1</v>
      </c>
      <c r="AJ661" s="76">
        <v>1</v>
      </c>
      <c r="AK661" s="73"/>
      <c r="AL661" s="57"/>
      <c r="AM661" s="45"/>
      <c r="AN661" s="45"/>
      <c r="AO661" s="45"/>
    </row>
    <row r="662" spans="1:41" hidden="1" outlineLevel="3" x14ac:dyDescent="0.25">
      <c r="A662" s="45"/>
      <c r="B662" s="54"/>
      <c r="C662" s="47">
        <f t="shared" si="181"/>
        <v>4</v>
      </c>
      <c r="D662" s="73"/>
      <c r="E662" s="70"/>
      <c r="F662" s="70" t="s">
        <v>1224</v>
      </c>
      <c r="G662" s="73"/>
      <c r="H662" s="76" t="s">
        <v>599</v>
      </c>
      <c r="I662" s="96" t="s">
        <v>497</v>
      </c>
      <c r="J662" s="96"/>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v>1</v>
      </c>
      <c r="AJ662" s="76">
        <v>1</v>
      </c>
      <c r="AK662" s="73"/>
      <c r="AL662" s="57"/>
      <c r="AM662" s="45"/>
      <c r="AN662" s="45"/>
      <c r="AO662" s="45"/>
    </row>
    <row r="663" spans="1:41" hidden="1" outlineLevel="3" x14ac:dyDescent="0.25">
      <c r="A663" s="45"/>
      <c r="B663" s="54"/>
      <c r="C663" s="47">
        <f t="shared" si="181"/>
        <v>4</v>
      </c>
      <c r="D663" s="73"/>
      <c r="E663" s="70"/>
      <c r="F663" s="70" t="s">
        <v>1225</v>
      </c>
      <c r="G663" s="73"/>
      <c r="H663" s="76"/>
      <c r="I663" s="96" t="s">
        <v>497</v>
      </c>
      <c r="J663" s="96"/>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v>1</v>
      </c>
      <c r="AJ663" s="76">
        <v>1</v>
      </c>
      <c r="AK663" s="73"/>
      <c r="AL663" s="57"/>
      <c r="AM663" s="45"/>
      <c r="AN663" s="45"/>
      <c r="AO663" s="45"/>
    </row>
    <row r="664" spans="1:41" hidden="1" outlineLevel="3" x14ac:dyDescent="0.25">
      <c r="A664" s="45"/>
      <c r="B664" s="54"/>
      <c r="C664" s="47">
        <f t="shared" si="181"/>
        <v>4</v>
      </c>
      <c r="D664" s="73"/>
      <c r="E664" s="70"/>
      <c r="F664" s="70" t="s">
        <v>1226</v>
      </c>
      <c r="G664" s="73"/>
      <c r="H664" s="76"/>
      <c r="I664" s="96" t="s">
        <v>497</v>
      </c>
      <c r="J664" s="96"/>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v>1</v>
      </c>
      <c r="AJ664" s="76">
        <v>1</v>
      </c>
      <c r="AK664" s="73"/>
      <c r="AL664" s="57"/>
      <c r="AM664" s="45"/>
      <c r="AN664" s="45"/>
      <c r="AO664" s="45"/>
    </row>
    <row r="665" spans="1:41" hidden="1" outlineLevel="2" x14ac:dyDescent="0.25">
      <c r="A665" s="45"/>
      <c r="B665" s="54"/>
      <c r="C665" s="47">
        <f t="shared" ref="C665:C712" si="182">INT($C$29)+2</f>
        <v>3</v>
      </c>
      <c r="D665" s="73"/>
      <c r="E665" s="70"/>
      <c r="F665" s="70" t="s">
        <v>1227</v>
      </c>
      <c r="G665" s="73"/>
      <c r="H665" s="76" t="s">
        <v>1228</v>
      </c>
      <c r="I665" s="96" t="s">
        <v>497</v>
      </c>
      <c r="J665" s="96"/>
      <c r="K665" s="76"/>
      <c r="L665" s="76"/>
      <c r="M665" s="76"/>
      <c r="N665" s="76"/>
      <c r="O665" s="76"/>
      <c r="P665" s="76"/>
      <c r="Q665" s="76"/>
      <c r="R665" s="76"/>
      <c r="S665" s="76"/>
      <c r="T665" s="76"/>
      <c r="U665" s="97">
        <v>0</v>
      </c>
      <c r="V665" s="255">
        <f>U665</f>
        <v>0</v>
      </c>
      <c r="W665" s="255">
        <f t="shared" ref="W665:Y666" si="183">U665</f>
        <v>0</v>
      </c>
      <c r="X665" s="255">
        <f t="shared" si="183"/>
        <v>0</v>
      </c>
      <c r="Y665" s="255">
        <f t="shared" si="183"/>
        <v>0</v>
      </c>
      <c r="Z665" s="255">
        <f t="shared" ref="Z665:AA666" si="184">X665</f>
        <v>0</v>
      </c>
      <c r="AA665" s="255">
        <f t="shared" si="184"/>
        <v>0</v>
      </c>
      <c r="AB665" s="97">
        <v>-0.26729999999999998</v>
      </c>
      <c r="AC665" s="255">
        <f t="shared" ref="AC665:AD666" si="185">AB665</f>
        <v>-0.26729999999999998</v>
      </c>
      <c r="AD665" s="255">
        <f t="shared" si="185"/>
        <v>-0.26729999999999998</v>
      </c>
      <c r="AE665" s="255">
        <f>AD665</f>
        <v>-0.26729999999999998</v>
      </c>
      <c r="AF665" s="76"/>
      <c r="AG665" s="76" t="s">
        <v>1229</v>
      </c>
      <c r="AH665" s="76"/>
      <c r="AI665" s="97">
        <v>1</v>
      </c>
      <c r="AJ665" s="97">
        <v>1</v>
      </c>
      <c r="AK665" s="73"/>
      <c r="AL665" s="57"/>
      <c r="AM665" s="45"/>
      <c r="AN665" s="45"/>
      <c r="AO665" s="45"/>
    </row>
    <row r="666" spans="1:41" hidden="1" outlineLevel="2" x14ac:dyDescent="0.25">
      <c r="A666" s="45"/>
      <c r="B666" s="54"/>
      <c r="C666" s="47">
        <f t="shared" si="182"/>
        <v>3</v>
      </c>
      <c r="D666" s="73"/>
      <c r="E666" s="70"/>
      <c r="F666" s="70" t="s">
        <v>1230</v>
      </c>
      <c r="G666" s="73"/>
      <c r="H666" s="76" t="s">
        <v>2612</v>
      </c>
      <c r="I666" s="96" t="s">
        <v>497</v>
      </c>
      <c r="J666" s="96"/>
      <c r="K666" s="76"/>
      <c r="L666" s="76"/>
      <c r="M666" s="76"/>
      <c r="N666" s="76"/>
      <c r="O666" s="76"/>
      <c r="P666" s="76"/>
      <c r="Q666" s="76"/>
      <c r="R666" s="76"/>
      <c r="S666" s="76"/>
      <c r="T666" s="76"/>
      <c r="U666" s="97">
        <v>-2.38</v>
      </c>
      <c r="V666" s="255">
        <f>U666</f>
        <v>-2.38</v>
      </c>
      <c r="W666" s="255">
        <f t="shared" si="183"/>
        <v>-2.38</v>
      </c>
      <c r="X666" s="255">
        <f t="shared" si="183"/>
        <v>-2.38</v>
      </c>
      <c r="Y666" s="255">
        <f t="shared" si="183"/>
        <v>-2.38</v>
      </c>
      <c r="Z666" s="255">
        <f t="shared" si="184"/>
        <v>-2.38</v>
      </c>
      <c r="AA666" s="255">
        <f t="shared" si="184"/>
        <v>-2.38</v>
      </c>
      <c r="AB666" s="97">
        <v>0</v>
      </c>
      <c r="AC666" s="255">
        <f t="shared" si="185"/>
        <v>0</v>
      </c>
      <c r="AD666" s="255">
        <f t="shared" si="185"/>
        <v>0</v>
      </c>
      <c r="AE666" s="255">
        <f>AD666</f>
        <v>0</v>
      </c>
      <c r="AF666" s="76"/>
      <c r="AG666" s="76" t="s">
        <v>2551</v>
      </c>
      <c r="AH666" s="76"/>
      <c r="AI666" s="97">
        <v>1</v>
      </c>
      <c r="AJ666" s="97">
        <v>1</v>
      </c>
      <c r="AK666" s="73"/>
      <c r="AL666" s="57"/>
      <c r="AM666" s="45"/>
      <c r="AN666" s="45"/>
      <c r="AO666" s="45"/>
    </row>
    <row r="667" spans="1:41" hidden="1" outlineLevel="2" x14ac:dyDescent="0.25">
      <c r="A667" s="45"/>
      <c r="B667" s="54"/>
      <c r="C667" s="47">
        <f t="shared" si="182"/>
        <v>3</v>
      </c>
      <c r="D667" s="73"/>
      <c r="E667" s="70"/>
      <c r="F667" s="70" t="s">
        <v>1231</v>
      </c>
      <c r="G667" s="73"/>
      <c r="H667" s="76" t="s">
        <v>2613</v>
      </c>
      <c r="I667" s="96" t="s">
        <v>497</v>
      </c>
      <c r="J667" s="96"/>
      <c r="K667" s="76"/>
      <c r="L667" s="76"/>
      <c r="M667" s="76"/>
      <c r="N667" s="76"/>
      <c r="O667" s="76"/>
      <c r="P667" s="76"/>
      <c r="Q667" s="76"/>
      <c r="R667" s="76"/>
      <c r="S667" s="76"/>
      <c r="T667" s="76"/>
      <c r="U667" s="253">
        <f t="shared" ref="U667:AD667" si="186">U665</f>
        <v>0</v>
      </c>
      <c r="V667" s="253">
        <f t="shared" si="186"/>
        <v>0</v>
      </c>
      <c r="W667" s="253">
        <f t="shared" si="186"/>
        <v>0</v>
      </c>
      <c r="X667" s="253">
        <f t="shared" si="186"/>
        <v>0</v>
      </c>
      <c r="Y667" s="253">
        <f t="shared" ref="Y667" si="187">Y665</f>
        <v>0</v>
      </c>
      <c r="Z667" s="253">
        <f t="shared" ref="Z667:AA667" si="188">Z665</f>
        <v>0</v>
      </c>
      <c r="AA667" s="253">
        <f t="shared" si="188"/>
        <v>0</v>
      </c>
      <c r="AB667" s="253">
        <f t="shared" si="186"/>
        <v>-0.26729999999999998</v>
      </c>
      <c r="AC667" s="253">
        <f t="shared" si="186"/>
        <v>-0.26729999999999998</v>
      </c>
      <c r="AD667" s="253">
        <f t="shared" si="186"/>
        <v>-0.26729999999999998</v>
      </c>
      <c r="AE667" s="253">
        <f t="shared" ref="AE667" si="189">AE665</f>
        <v>-0.26729999999999998</v>
      </c>
      <c r="AF667" s="76"/>
      <c r="AG667" s="76"/>
      <c r="AH667" s="76"/>
      <c r="AI667" s="97">
        <v>1</v>
      </c>
      <c r="AJ667" s="97">
        <v>1</v>
      </c>
      <c r="AK667" s="73"/>
      <c r="AL667" s="57"/>
      <c r="AM667" s="45"/>
      <c r="AN667" s="45"/>
      <c r="AO667" s="45"/>
    </row>
    <row r="668" spans="1:41" hidden="1" outlineLevel="2" x14ac:dyDescent="0.25">
      <c r="A668" s="45"/>
      <c r="B668" s="54"/>
      <c r="C668" s="47">
        <f t="shared" si="182"/>
        <v>3</v>
      </c>
      <c r="D668" s="73"/>
      <c r="E668" s="70"/>
      <c r="F668" s="70" t="s">
        <v>1232</v>
      </c>
      <c r="G668" s="73"/>
      <c r="H668" s="76" t="s">
        <v>1233</v>
      </c>
      <c r="I668" s="96" t="s">
        <v>497</v>
      </c>
      <c r="J668" s="96"/>
      <c r="K668" s="76"/>
      <c r="L668" s="76"/>
      <c r="M668" s="76"/>
      <c r="N668" s="76"/>
      <c r="O668" s="76"/>
      <c r="P668" s="76"/>
      <c r="Q668" s="76"/>
      <c r="R668" s="76"/>
      <c r="S668" s="76"/>
      <c r="T668" s="76"/>
      <c r="U668" s="97">
        <v>0</v>
      </c>
      <c r="V668" s="255">
        <f>U668</f>
        <v>0</v>
      </c>
      <c r="W668" s="255">
        <f t="shared" ref="W668:Y669" si="190">U668</f>
        <v>0</v>
      </c>
      <c r="X668" s="255">
        <f t="shared" si="190"/>
        <v>0</v>
      </c>
      <c r="Y668" s="255">
        <f t="shared" si="190"/>
        <v>0</v>
      </c>
      <c r="Z668" s="255">
        <f t="shared" ref="Z668:AA669" si="191">X668</f>
        <v>0</v>
      </c>
      <c r="AA668" s="255">
        <f t="shared" si="191"/>
        <v>0</v>
      </c>
      <c r="AB668" s="97">
        <v>0</v>
      </c>
      <c r="AC668" s="255">
        <f t="shared" ref="AC668:AD670" si="192">AB668</f>
        <v>0</v>
      </c>
      <c r="AD668" s="255">
        <f t="shared" si="192"/>
        <v>0</v>
      </c>
      <c r="AE668" s="255">
        <f>AD668</f>
        <v>0</v>
      </c>
      <c r="AF668" s="76"/>
      <c r="AG668" s="76" t="s">
        <v>1229</v>
      </c>
      <c r="AH668" s="76"/>
      <c r="AI668" s="97">
        <v>1</v>
      </c>
      <c r="AJ668" s="97">
        <v>1</v>
      </c>
      <c r="AK668" s="73"/>
      <c r="AL668" s="57"/>
      <c r="AM668" s="45"/>
      <c r="AN668" s="45"/>
      <c r="AO668" s="45"/>
    </row>
    <row r="669" spans="1:41" hidden="1" outlineLevel="2" x14ac:dyDescent="0.25">
      <c r="A669" s="45"/>
      <c r="B669" s="54"/>
      <c r="C669" s="47">
        <f t="shared" si="182"/>
        <v>3</v>
      </c>
      <c r="D669" s="73"/>
      <c r="E669" s="70"/>
      <c r="F669" s="70" t="s">
        <v>1234</v>
      </c>
      <c r="G669" s="73"/>
      <c r="H669" s="76" t="s">
        <v>2614</v>
      </c>
      <c r="I669" s="96" t="s">
        <v>497</v>
      </c>
      <c r="J669" s="96"/>
      <c r="K669" s="76"/>
      <c r="L669" s="76"/>
      <c r="M669" s="76"/>
      <c r="N669" s="76"/>
      <c r="O669" s="76"/>
      <c r="P669" s="76"/>
      <c r="Q669" s="76"/>
      <c r="R669" s="76"/>
      <c r="S669" s="76"/>
      <c r="T669" s="76"/>
      <c r="U669" s="97">
        <v>2.673E-3</v>
      </c>
      <c r="V669" s="255">
        <f>U669</f>
        <v>2.673E-3</v>
      </c>
      <c r="W669" s="255">
        <f t="shared" si="190"/>
        <v>2.673E-3</v>
      </c>
      <c r="X669" s="255">
        <f t="shared" si="190"/>
        <v>2.673E-3</v>
      </c>
      <c r="Y669" s="255">
        <f t="shared" si="190"/>
        <v>2.673E-3</v>
      </c>
      <c r="Z669" s="255">
        <f t="shared" si="191"/>
        <v>2.673E-3</v>
      </c>
      <c r="AA669" s="255">
        <f t="shared" si="191"/>
        <v>2.673E-3</v>
      </c>
      <c r="AB669" s="97">
        <v>0</v>
      </c>
      <c r="AC669" s="255">
        <f t="shared" si="192"/>
        <v>0</v>
      </c>
      <c r="AD669" s="255">
        <f t="shared" si="192"/>
        <v>0</v>
      </c>
      <c r="AE669" s="255">
        <f>AD669</f>
        <v>0</v>
      </c>
      <c r="AF669" s="76"/>
      <c r="AG669" s="76"/>
      <c r="AH669" s="76"/>
      <c r="AI669" s="97">
        <v>1</v>
      </c>
      <c r="AJ669" s="97">
        <v>1</v>
      </c>
      <c r="AK669" s="73"/>
      <c r="AL669" s="57"/>
      <c r="AM669" s="45"/>
      <c r="AN669" s="45"/>
      <c r="AO669" s="45"/>
    </row>
    <row r="670" spans="1:41" hidden="1" outlineLevel="2" x14ac:dyDescent="0.25">
      <c r="A670" s="45"/>
      <c r="B670" s="54"/>
      <c r="C670" s="47">
        <f t="shared" si="182"/>
        <v>3</v>
      </c>
      <c r="D670" s="73"/>
      <c r="E670" s="70"/>
      <c r="F670" s="70" t="s">
        <v>1235</v>
      </c>
      <c r="G670" s="73"/>
      <c r="H670" s="76" t="s">
        <v>2615</v>
      </c>
      <c r="I670" s="96" t="s">
        <v>497</v>
      </c>
      <c r="J670" s="96"/>
      <c r="K670" s="76"/>
      <c r="L670" s="76"/>
      <c r="M670" s="76"/>
      <c r="N670" s="76"/>
      <c r="O670" s="76"/>
      <c r="P670" s="76"/>
      <c r="Q670" s="76"/>
      <c r="R670" s="76"/>
      <c r="S670" s="76"/>
      <c r="T670" s="76"/>
      <c r="U670" s="76">
        <v>0</v>
      </c>
      <c r="V670" s="76">
        <v>0</v>
      </c>
      <c r="W670" s="76">
        <v>0</v>
      </c>
      <c r="X670" s="76">
        <v>0</v>
      </c>
      <c r="Y670" s="76">
        <v>0</v>
      </c>
      <c r="Z670" s="76">
        <v>0</v>
      </c>
      <c r="AA670" s="76">
        <v>0</v>
      </c>
      <c r="AB670" s="97">
        <v>0</v>
      </c>
      <c r="AC670" s="255">
        <f t="shared" si="192"/>
        <v>0</v>
      </c>
      <c r="AD670" s="255">
        <f t="shared" si="192"/>
        <v>0</v>
      </c>
      <c r="AE670" s="255">
        <f>AD670</f>
        <v>0</v>
      </c>
      <c r="AF670" s="76"/>
      <c r="AG670" s="76"/>
      <c r="AH670" s="76"/>
      <c r="AI670" s="97">
        <v>1</v>
      </c>
      <c r="AJ670" s="97">
        <v>1</v>
      </c>
      <c r="AK670" s="73"/>
      <c r="AL670" s="57"/>
      <c r="AM670" s="45"/>
      <c r="AN670" s="45"/>
      <c r="AO670" s="45"/>
    </row>
    <row r="671" spans="1:41" hidden="1" outlineLevel="2" x14ac:dyDescent="0.25">
      <c r="A671" s="45"/>
      <c r="B671" s="54"/>
      <c r="C671" s="47">
        <f t="shared" si="182"/>
        <v>3</v>
      </c>
      <c r="D671" s="73"/>
      <c r="E671" s="70"/>
      <c r="F671" s="70" t="s">
        <v>1236</v>
      </c>
      <c r="G671" s="73"/>
      <c r="H671" s="76" t="s">
        <v>1237</v>
      </c>
      <c r="I671" s="96"/>
      <c r="J671" s="96" t="s">
        <v>1166</v>
      </c>
      <c r="K671" s="97">
        <v>1.1499999999999999</v>
      </c>
      <c r="L671" s="97">
        <v>1.1499999999999999</v>
      </c>
      <c r="M671" s="97">
        <v>1.1499999999999999</v>
      </c>
      <c r="N671" s="97">
        <v>1.1499999999999999</v>
      </c>
      <c r="O671" s="97">
        <v>1.1499999999999999</v>
      </c>
      <c r="P671" s="97">
        <v>1.1499999999999999</v>
      </c>
      <c r="Q671" s="76"/>
      <c r="R671" s="76" t="s">
        <v>507</v>
      </c>
      <c r="S671" s="76" t="s">
        <v>507</v>
      </c>
      <c r="T671" s="76"/>
      <c r="U671" s="253">
        <f t="shared" ref="U671:AE676" si="193">INDEX($K671:$Q671,1,U$43)</f>
        <v>1.1499999999999999</v>
      </c>
      <c r="V671" s="253">
        <f t="shared" si="193"/>
        <v>1.1499999999999999</v>
      </c>
      <c r="W671" s="253">
        <f t="shared" si="193"/>
        <v>1.1499999999999999</v>
      </c>
      <c r="X671" s="253">
        <f t="shared" si="193"/>
        <v>1.1499999999999999</v>
      </c>
      <c r="Y671" s="253">
        <f t="shared" si="193"/>
        <v>1.1499999999999999</v>
      </c>
      <c r="Z671" s="253">
        <f t="shared" si="193"/>
        <v>1.1499999999999999</v>
      </c>
      <c r="AA671" s="253">
        <f t="shared" si="193"/>
        <v>1.1499999999999999</v>
      </c>
      <c r="AB671" s="253">
        <f t="shared" si="193"/>
        <v>1.1499999999999999</v>
      </c>
      <c r="AC671" s="253">
        <f t="shared" si="193"/>
        <v>1.1499999999999999</v>
      </c>
      <c r="AD671" s="253">
        <f t="shared" si="193"/>
        <v>1.1499999999999999</v>
      </c>
      <c r="AE671" s="253">
        <f t="shared" si="193"/>
        <v>1.1499999999999999</v>
      </c>
      <c r="AF671" s="76"/>
      <c r="AG671" s="76"/>
      <c r="AH671" s="76"/>
      <c r="AI671" s="97">
        <v>1</v>
      </c>
      <c r="AJ671" s="97">
        <v>1</v>
      </c>
      <c r="AK671" s="73"/>
      <c r="AL671" s="57"/>
      <c r="AM671" s="45"/>
      <c r="AN671" s="45"/>
      <c r="AO671" s="45"/>
    </row>
    <row r="672" spans="1:41" hidden="1" outlineLevel="2" x14ac:dyDescent="0.25">
      <c r="A672" s="45"/>
      <c r="B672" s="54"/>
      <c r="C672" s="47">
        <f t="shared" si="182"/>
        <v>3</v>
      </c>
      <c r="D672" s="73"/>
      <c r="E672" s="70"/>
      <c r="F672" s="70" t="s">
        <v>1238</v>
      </c>
      <c r="G672" s="73"/>
      <c r="H672" s="76" t="s">
        <v>2616</v>
      </c>
      <c r="I672" s="96"/>
      <c r="J672" s="96" t="s">
        <v>1166</v>
      </c>
      <c r="K672" s="97">
        <v>1</v>
      </c>
      <c r="L672" s="97">
        <v>1</v>
      </c>
      <c r="M672" s="97">
        <v>1</v>
      </c>
      <c r="N672" s="97">
        <v>1</v>
      </c>
      <c r="O672" s="97">
        <v>1</v>
      </c>
      <c r="P672" s="97">
        <v>1</v>
      </c>
      <c r="Q672" s="76"/>
      <c r="R672" s="76" t="s">
        <v>507</v>
      </c>
      <c r="S672" s="76" t="s">
        <v>507</v>
      </c>
      <c r="T672" s="76"/>
      <c r="U672" s="253">
        <f t="shared" si="193"/>
        <v>1</v>
      </c>
      <c r="V672" s="253">
        <f t="shared" si="193"/>
        <v>1</v>
      </c>
      <c r="W672" s="253">
        <f t="shared" si="193"/>
        <v>1</v>
      </c>
      <c r="X672" s="253">
        <f t="shared" si="193"/>
        <v>1</v>
      </c>
      <c r="Y672" s="253">
        <f t="shared" si="193"/>
        <v>1</v>
      </c>
      <c r="Z672" s="253">
        <f t="shared" si="193"/>
        <v>1</v>
      </c>
      <c r="AA672" s="253">
        <f t="shared" si="193"/>
        <v>1</v>
      </c>
      <c r="AB672" s="253">
        <f t="shared" si="193"/>
        <v>1</v>
      </c>
      <c r="AC672" s="253">
        <f t="shared" si="193"/>
        <v>1</v>
      </c>
      <c r="AD672" s="253">
        <f t="shared" si="193"/>
        <v>1</v>
      </c>
      <c r="AE672" s="253">
        <f t="shared" si="193"/>
        <v>1</v>
      </c>
      <c r="AF672" s="76"/>
      <c r="AG672" s="76"/>
      <c r="AH672" s="76"/>
      <c r="AI672" s="97">
        <v>1</v>
      </c>
      <c r="AJ672" s="97">
        <v>1</v>
      </c>
      <c r="AK672" s="73"/>
      <c r="AL672" s="57"/>
      <c r="AM672" s="45"/>
      <c r="AN672" s="45"/>
      <c r="AO672" s="45"/>
    </row>
    <row r="673" spans="1:41" hidden="1" outlineLevel="2" x14ac:dyDescent="0.25">
      <c r="A673" s="45"/>
      <c r="B673" s="54"/>
      <c r="C673" s="47">
        <f t="shared" si="182"/>
        <v>3</v>
      </c>
      <c r="D673" s="73"/>
      <c r="E673" s="70"/>
      <c r="F673" s="70" t="s">
        <v>1239</v>
      </c>
      <c r="G673" s="73"/>
      <c r="H673" s="76" t="s">
        <v>2617</v>
      </c>
      <c r="I673" s="96"/>
      <c r="J673" s="96" t="s">
        <v>1166</v>
      </c>
      <c r="K673" s="97">
        <v>1</v>
      </c>
      <c r="L673" s="97">
        <v>1</v>
      </c>
      <c r="M673" s="97">
        <v>1</v>
      </c>
      <c r="N673" s="97">
        <v>1</v>
      </c>
      <c r="O673" s="97">
        <v>1</v>
      </c>
      <c r="P673" s="97">
        <v>1</v>
      </c>
      <c r="Q673" s="76"/>
      <c r="R673" s="76" t="s">
        <v>507</v>
      </c>
      <c r="S673" s="76" t="s">
        <v>507</v>
      </c>
      <c r="T673" s="76"/>
      <c r="U673" s="253">
        <f t="shared" si="193"/>
        <v>1</v>
      </c>
      <c r="V673" s="253">
        <f t="shared" si="193"/>
        <v>1</v>
      </c>
      <c r="W673" s="253">
        <f t="shared" si="193"/>
        <v>1</v>
      </c>
      <c r="X673" s="253">
        <f t="shared" si="193"/>
        <v>1</v>
      </c>
      <c r="Y673" s="253">
        <f t="shared" si="193"/>
        <v>1</v>
      </c>
      <c r="Z673" s="253">
        <f t="shared" si="193"/>
        <v>1</v>
      </c>
      <c r="AA673" s="253">
        <f t="shared" si="193"/>
        <v>1</v>
      </c>
      <c r="AB673" s="253">
        <f t="shared" si="193"/>
        <v>1</v>
      </c>
      <c r="AC673" s="253">
        <f t="shared" si="193"/>
        <v>1</v>
      </c>
      <c r="AD673" s="253">
        <f t="shared" si="193"/>
        <v>1</v>
      </c>
      <c r="AE673" s="253">
        <f t="shared" si="193"/>
        <v>1</v>
      </c>
      <c r="AF673" s="76"/>
      <c r="AG673" s="76"/>
      <c r="AH673" s="76"/>
      <c r="AI673" s="97">
        <v>1</v>
      </c>
      <c r="AJ673" s="97">
        <v>1</v>
      </c>
      <c r="AK673" s="73"/>
      <c r="AL673" s="57"/>
      <c r="AM673" s="45"/>
      <c r="AN673" s="45"/>
      <c r="AO673" s="45"/>
    </row>
    <row r="674" spans="1:41" hidden="1" outlineLevel="2" x14ac:dyDescent="0.25">
      <c r="A674" s="45"/>
      <c r="B674" s="54"/>
      <c r="C674" s="47">
        <f t="shared" si="182"/>
        <v>3</v>
      </c>
      <c r="D674" s="73"/>
      <c r="E674" s="70"/>
      <c r="F674" s="70" t="s">
        <v>1240</v>
      </c>
      <c r="G674" s="73"/>
      <c r="H674" s="76" t="s">
        <v>2940</v>
      </c>
      <c r="I674" s="96"/>
      <c r="J674" s="96" t="s">
        <v>1166</v>
      </c>
      <c r="K674" s="97">
        <v>1.4</v>
      </c>
      <c r="L674" s="97">
        <v>1.4</v>
      </c>
      <c r="M674" s="97">
        <v>1.4</v>
      </c>
      <c r="N674" s="97">
        <v>1.4</v>
      </c>
      <c r="O674" s="97">
        <v>1.4</v>
      </c>
      <c r="P674" s="97">
        <v>1.4</v>
      </c>
      <c r="Q674" s="76"/>
      <c r="R674" s="76" t="s">
        <v>507</v>
      </c>
      <c r="S674" s="76" t="s">
        <v>507</v>
      </c>
      <c r="T674" s="76"/>
      <c r="U674" s="253">
        <f t="shared" si="193"/>
        <v>1.4</v>
      </c>
      <c r="V674" s="253">
        <f t="shared" si="193"/>
        <v>1.4</v>
      </c>
      <c r="W674" s="253">
        <f t="shared" si="193"/>
        <v>1.4</v>
      </c>
      <c r="X674" s="253">
        <f t="shared" si="193"/>
        <v>1.4</v>
      </c>
      <c r="Y674" s="253">
        <f t="shared" si="193"/>
        <v>1.4</v>
      </c>
      <c r="Z674" s="253">
        <f t="shared" si="193"/>
        <v>1.4</v>
      </c>
      <c r="AA674" s="253">
        <f t="shared" si="193"/>
        <v>1.4</v>
      </c>
      <c r="AB674" s="253">
        <f t="shared" si="193"/>
        <v>1.4</v>
      </c>
      <c r="AC674" s="253">
        <f t="shared" si="193"/>
        <v>1.4</v>
      </c>
      <c r="AD674" s="253">
        <f t="shared" si="193"/>
        <v>1.4</v>
      </c>
      <c r="AE674" s="253">
        <f t="shared" si="193"/>
        <v>1.4</v>
      </c>
      <c r="AF674" s="76"/>
      <c r="AG674" s="76"/>
      <c r="AH674" s="76"/>
      <c r="AI674" s="97">
        <v>1</v>
      </c>
      <c r="AJ674" s="97">
        <v>1</v>
      </c>
      <c r="AK674" s="73"/>
      <c r="AL674" s="57"/>
      <c r="AM674" s="45"/>
      <c r="AN674" s="45"/>
      <c r="AO674" s="45"/>
    </row>
    <row r="675" spans="1:41" hidden="1" outlineLevel="2" x14ac:dyDescent="0.25">
      <c r="A675" s="45"/>
      <c r="B675" s="54"/>
      <c r="C675" s="47">
        <f t="shared" si="182"/>
        <v>3</v>
      </c>
      <c r="D675" s="73"/>
      <c r="E675" s="70"/>
      <c r="F675" s="70" t="s">
        <v>1241</v>
      </c>
      <c r="G675" s="73"/>
      <c r="H675" s="76" t="s">
        <v>2941</v>
      </c>
      <c r="I675" s="96"/>
      <c r="J675" s="96" t="s">
        <v>1166</v>
      </c>
      <c r="K675" s="97">
        <v>1</v>
      </c>
      <c r="L675" s="97">
        <v>1</v>
      </c>
      <c r="M675" s="97">
        <v>1</v>
      </c>
      <c r="N675" s="97">
        <v>1</v>
      </c>
      <c r="O675" s="97">
        <v>1</v>
      </c>
      <c r="P675" s="97">
        <v>1</v>
      </c>
      <c r="Q675" s="76"/>
      <c r="R675" s="76" t="s">
        <v>507</v>
      </c>
      <c r="S675" s="76" t="s">
        <v>507</v>
      </c>
      <c r="T675" s="76"/>
      <c r="U675" s="253">
        <f t="shared" si="193"/>
        <v>1</v>
      </c>
      <c r="V675" s="253">
        <f t="shared" si="193"/>
        <v>1</v>
      </c>
      <c r="W675" s="253">
        <f t="shared" si="193"/>
        <v>1</v>
      </c>
      <c r="X675" s="253">
        <f t="shared" si="193"/>
        <v>1</v>
      </c>
      <c r="Y675" s="253">
        <f t="shared" si="193"/>
        <v>1</v>
      </c>
      <c r="Z675" s="253">
        <f t="shared" si="193"/>
        <v>1</v>
      </c>
      <c r="AA675" s="253">
        <f t="shared" si="193"/>
        <v>1</v>
      </c>
      <c r="AB675" s="253">
        <f t="shared" si="193"/>
        <v>1</v>
      </c>
      <c r="AC675" s="253">
        <f t="shared" si="193"/>
        <v>1</v>
      </c>
      <c r="AD675" s="253">
        <f t="shared" si="193"/>
        <v>1</v>
      </c>
      <c r="AE675" s="253">
        <f t="shared" si="193"/>
        <v>1</v>
      </c>
      <c r="AF675" s="76"/>
      <c r="AG675" s="76"/>
      <c r="AH675" s="76"/>
      <c r="AI675" s="97">
        <v>1</v>
      </c>
      <c r="AJ675" s="97">
        <v>1</v>
      </c>
      <c r="AK675" s="73"/>
      <c r="AL675" s="57"/>
      <c r="AM675" s="45"/>
      <c r="AN675" s="45"/>
      <c r="AO675" s="45"/>
    </row>
    <row r="676" spans="1:41" hidden="1" outlineLevel="2" x14ac:dyDescent="0.25">
      <c r="A676" s="45"/>
      <c r="B676" s="54"/>
      <c r="C676" s="47">
        <f t="shared" si="182"/>
        <v>3</v>
      </c>
      <c r="D676" s="73"/>
      <c r="E676" s="70"/>
      <c r="F676" s="70" t="s">
        <v>1242</v>
      </c>
      <c r="G676" s="73"/>
      <c r="H676" s="76" t="s">
        <v>2942</v>
      </c>
      <c r="I676" s="96"/>
      <c r="J676" s="96" t="s">
        <v>1166</v>
      </c>
      <c r="K676" s="97">
        <v>1.2</v>
      </c>
      <c r="L676" s="97">
        <v>1.2</v>
      </c>
      <c r="M676" s="97">
        <v>1.2</v>
      </c>
      <c r="N676" s="97">
        <v>1.2</v>
      </c>
      <c r="O676" s="97">
        <v>1.2</v>
      </c>
      <c r="P676" s="97">
        <v>1.2</v>
      </c>
      <c r="Q676" s="76"/>
      <c r="R676" s="76" t="s">
        <v>507</v>
      </c>
      <c r="S676" s="76" t="s">
        <v>507</v>
      </c>
      <c r="T676" s="76"/>
      <c r="U676" s="253">
        <f t="shared" si="193"/>
        <v>1.2</v>
      </c>
      <c r="V676" s="253">
        <f t="shared" si="193"/>
        <v>1.2</v>
      </c>
      <c r="W676" s="253">
        <f t="shared" si="193"/>
        <v>1.2</v>
      </c>
      <c r="X676" s="253">
        <f t="shared" si="193"/>
        <v>1.2</v>
      </c>
      <c r="Y676" s="253">
        <f t="shared" si="193"/>
        <v>1.2</v>
      </c>
      <c r="Z676" s="253">
        <f t="shared" si="193"/>
        <v>1.2</v>
      </c>
      <c r="AA676" s="253">
        <f t="shared" si="193"/>
        <v>1.2</v>
      </c>
      <c r="AB676" s="253">
        <f t="shared" si="193"/>
        <v>1.2</v>
      </c>
      <c r="AC676" s="253">
        <f t="shared" si="193"/>
        <v>1.2</v>
      </c>
      <c r="AD676" s="253">
        <f t="shared" si="193"/>
        <v>1.2</v>
      </c>
      <c r="AE676" s="253">
        <f t="shared" si="193"/>
        <v>1.2</v>
      </c>
      <c r="AF676" s="76"/>
      <c r="AG676" s="76"/>
      <c r="AH676" s="76"/>
      <c r="AI676" s="97">
        <v>1</v>
      </c>
      <c r="AJ676" s="97">
        <v>1</v>
      </c>
      <c r="AK676" s="73"/>
      <c r="AL676" s="57"/>
      <c r="AM676" s="45"/>
      <c r="AN676" s="45"/>
      <c r="AO676" s="45"/>
    </row>
    <row r="677" spans="1:41" hidden="1" outlineLevel="2" x14ac:dyDescent="0.25">
      <c r="A677" s="45"/>
      <c r="B677" s="54"/>
      <c r="C677" s="47">
        <f t="shared" si="182"/>
        <v>3</v>
      </c>
      <c r="D677" s="73"/>
      <c r="E677" s="70"/>
      <c r="F677" s="70" t="s">
        <v>1243</v>
      </c>
      <c r="G677" s="73"/>
      <c r="H677" s="76" t="s">
        <v>1244</v>
      </c>
      <c r="I677" s="96" t="s">
        <v>497</v>
      </c>
      <c r="J677" s="96" t="s">
        <v>1138</v>
      </c>
      <c r="K677" s="76"/>
      <c r="L677" s="76"/>
      <c r="M677" s="76"/>
      <c r="N677" s="76"/>
      <c r="O677" s="76"/>
      <c r="P677" s="76"/>
      <c r="Q677" s="76"/>
      <c r="R677" s="76"/>
      <c r="S677" s="76"/>
      <c r="T677" s="76"/>
      <c r="U677" s="97">
        <v>0</v>
      </c>
      <c r="V677" s="97">
        <v>0</v>
      </c>
      <c r="W677" s="97">
        <v>0</v>
      </c>
      <c r="X677" s="97">
        <v>0</v>
      </c>
      <c r="Y677" s="97">
        <v>0</v>
      </c>
      <c r="Z677" s="97">
        <v>0</v>
      </c>
      <c r="AA677" s="97">
        <v>0</v>
      </c>
      <c r="AB677" s="255">
        <f t="shared" ref="AB677:AE682" si="194">AA677</f>
        <v>0</v>
      </c>
      <c r="AC677" s="255">
        <f t="shared" si="194"/>
        <v>0</v>
      </c>
      <c r="AD677" s="255">
        <f t="shared" si="194"/>
        <v>0</v>
      </c>
      <c r="AE677" s="255">
        <f t="shared" si="194"/>
        <v>0</v>
      </c>
      <c r="AF677" s="76"/>
      <c r="AG677" s="76"/>
      <c r="AH677" s="76"/>
      <c r="AI677" s="97">
        <v>1</v>
      </c>
      <c r="AJ677" s="97">
        <v>1</v>
      </c>
      <c r="AK677" s="73"/>
      <c r="AL677" s="57"/>
      <c r="AM677" s="45"/>
      <c r="AN677" s="45"/>
      <c r="AO677" s="45"/>
    </row>
    <row r="678" spans="1:41" hidden="1" outlineLevel="2" x14ac:dyDescent="0.25">
      <c r="A678" s="45"/>
      <c r="B678" s="54"/>
      <c r="C678" s="47">
        <f t="shared" si="182"/>
        <v>3</v>
      </c>
      <c r="D678" s="73"/>
      <c r="E678" s="70"/>
      <c r="F678" s="70" t="s">
        <v>1245</v>
      </c>
      <c r="G678" s="73"/>
      <c r="H678" s="76" t="s">
        <v>2616</v>
      </c>
      <c r="I678" s="96" t="s">
        <v>497</v>
      </c>
      <c r="J678" s="96" t="s">
        <v>1138</v>
      </c>
      <c r="K678" s="76"/>
      <c r="L678" s="76"/>
      <c r="M678" s="76"/>
      <c r="N678" s="76"/>
      <c r="O678" s="76"/>
      <c r="P678" s="76"/>
      <c r="Q678" s="76"/>
      <c r="R678" s="76"/>
      <c r="S678" s="76"/>
      <c r="T678" s="76"/>
      <c r="U678" s="97">
        <v>0</v>
      </c>
      <c r="V678" s="97">
        <v>0</v>
      </c>
      <c r="W678" s="97">
        <v>0</v>
      </c>
      <c r="X678" s="97">
        <v>0</v>
      </c>
      <c r="Y678" s="97">
        <v>0</v>
      </c>
      <c r="Z678" s="97">
        <v>0</v>
      </c>
      <c r="AA678" s="97">
        <v>0</v>
      </c>
      <c r="AB678" s="255">
        <f t="shared" si="194"/>
        <v>0</v>
      </c>
      <c r="AC678" s="255">
        <f t="shared" si="194"/>
        <v>0</v>
      </c>
      <c r="AD678" s="255">
        <f t="shared" si="194"/>
        <v>0</v>
      </c>
      <c r="AE678" s="255">
        <f t="shared" si="194"/>
        <v>0</v>
      </c>
      <c r="AF678" s="76"/>
      <c r="AG678" s="76"/>
      <c r="AH678" s="76"/>
      <c r="AI678" s="97">
        <v>1</v>
      </c>
      <c r="AJ678" s="97">
        <v>1</v>
      </c>
      <c r="AK678" s="73"/>
      <c r="AL678" s="57"/>
      <c r="AM678" s="45"/>
      <c r="AN678" s="45"/>
      <c r="AO678" s="45"/>
    </row>
    <row r="679" spans="1:41" hidden="1" outlineLevel="2" x14ac:dyDescent="0.25">
      <c r="A679" s="45"/>
      <c r="B679" s="54"/>
      <c r="C679" s="47">
        <f t="shared" si="182"/>
        <v>3</v>
      </c>
      <c r="D679" s="73"/>
      <c r="E679" s="70"/>
      <c r="F679" s="70" t="s">
        <v>1246</v>
      </c>
      <c r="G679" s="73"/>
      <c r="H679" s="76" t="s">
        <v>2617</v>
      </c>
      <c r="I679" s="96" t="s">
        <v>497</v>
      </c>
      <c r="J679" s="96" t="s">
        <v>1138</v>
      </c>
      <c r="K679" s="76"/>
      <c r="L679" s="76"/>
      <c r="M679" s="76"/>
      <c r="N679" s="76"/>
      <c r="O679" s="76"/>
      <c r="P679" s="76"/>
      <c r="Q679" s="76"/>
      <c r="R679" s="76"/>
      <c r="S679" s="76"/>
      <c r="T679" s="76"/>
      <c r="U679" s="97">
        <v>0</v>
      </c>
      <c r="V679" s="97">
        <v>0</v>
      </c>
      <c r="W679" s="97">
        <v>0</v>
      </c>
      <c r="X679" s="97">
        <v>0</v>
      </c>
      <c r="Y679" s="97">
        <v>0</v>
      </c>
      <c r="Z679" s="97">
        <v>0</v>
      </c>
      <c r="AA679" s="97">
        <v>0</v>
      </c>
      <c r="AB679" s="255">
        <f t="shared" si="194"/>
        <v>0</v>
      </c>
      <c r="AC679" s="255">
        <f t="shared" si="194"/>
        <v>0</v>
      </c>
      <c r="AD679" s="255">
        <f t="shared" si="194"/>
        <v>0</v>
      </c>
      <c r="AE679" s="255">
        <f t="shared" si="194"/>
        <v>0</v>
      </c>
      <c r="AF679" s="76"/>
      <c r="AG679" s="76"/>
      <c r="AH679" s="76"/>
      <c r="AI679" s="97">
        <v>1</v>
      </c>
      <c r="AJ679" s="97">
        <v>1</v>
      </c>
      <c r="AK679" s="73"/>
      <c r="AL679" s="57"/>
      <c r="AM679" s="45"/>
      <c r="AN679" s="45"/>
      <c r="AO679" s="45"/>
    </row>
    <row r="680" spans="1:41" hidden="1" outlineLevel="2" x14ac:dyDescent="0.25">
      <c r="A680" s="45"/>
      <c r="B680" s="54"/>
      <c r="C680" s="47">
        <f t="shared" si="182"/>
        <v>3</v>
      </c>
      <c r="D680" s="73"/>
      <c r="E680" s="70"/>
      <c r="F680" s="70" t="s">
        <v>1247</v>
      </c>
      <c r="G680" s="73"/>
      <c r="H680" s="76" t="s">
        <v>1248</v>
      </c>
      <c r="I680" s="96" t="s">
        <v>497</v>
      </c>
      <c r="J680" s="96" t="s">
        <v>1138</v>
      </c>
      <c r="K680" s="76"/>
      <c r="L680" s="76"/>
      <c r="M680" s="76"/>
      <c r="N680" s="76"/>
      <c r="O680" s="76"/>
      <c r="P680" s="76"/>
      <c r="Q680" s="76"/>
      <c r="R680" s="76"/>
      <c r="S680" s="76"/>
      <c r="T680" s="76"/>
      <c r="U680" s="97">
        <v>0</v>
      </c>
      <c r="V680" s="97">
        <v>0</v>
      </c>
      <c r="W680" s="97">
        <v>0</v>
      </c>
      <c r="X680" s="97">
        <v>0</v>
      </c>
      <c r="Y680" s="97">
        <v>0</v>
      </c>
      <c r="Z680" s="97">
        <v>0</v>
      </c>
      <c r="AA680" s="97">
        <v>0</v>
      </c>
      <c r="AB680" s="255">
        <f t="shared" si="194"/>
        <v>0</v>
      </c>
      <c r="AC680" s="255">
        <f t="shared" si="194"/>
        <v>0</v>
      </c>
      <c r="AD680" s="255">
        <f t="shared" si="194"/>
        <v>0</v>
      </c>
      <c r="AE680" s="255">
        <f t="shared" si="194"/>
        <v>0</v>
      </c>
      <c r="AF680" s="76"/>
      <c r="AG680" s="76"/>
      <c r="AH680" s="76"/>
      <c r="AI680" s="97">
        <v>1</v>
      </c>
      <c r="AJ680" s="97">
        <v>1</v>
      </c>
      <c r="AK680" s="73"/>
      <c r="AL680" s="57"/>
      <c r="AM680" s="45"/>
      <c r="AN680" s="45"/>
      <c r="AO680" s="45"/>
    </row>
    <row r="681" spans="1:41" hidden="1" outlineLevel="2" x14ac:dyDescent="0.25">
      <c r="A681" s="45"/>
      <c r="B681" s="54"/>
      <c r="C681" s="47">
        <f t="shared" si="182"/>
        <v>3</v>
      </c>
      <c r="D681" s="73"/>
      <c r="E681" s="70"/>
      <c r="F681" s="70" t="s">
        <v>1249</v>
      </c>
      <c r="G681" s="73"/>
      <c r="H681" s="76" t="s">
        <v>2616</v>
      </c>
      <c r="I681" s="96" t="s">
        <v>497</v>
      </c>
      <c r="J681" s="96" t="s">
        <v>1138</v>
      </c>
      <c r="K681" s="76"/>
      <c r="L681" s="76"/>
      <c r="M681" s="76"/>
      <c r="N681" s="76"/>
      <c r="O681" s="76"/>
      <c r="P681" s="76"/>
      <c r="Q681" s="76"/>
      <c r="R681" s="76"/>
      <c r="S681" s="76"/>
      <c r="T681" s="76"/>
      <c r="U681" s="97">
        <v>0.26</v>
      </c>
      <c r="V681" s="97">
        <v>0.26</v>
      </c>
      <c r="W681" s="97">
        <v>0.26</v>
      </c>
      <c r="X681" s="97">
        <v>0.26</v>
      </c>
      <c r="Y681" s="97">
        <v>0.26</v>
      </c>
      <c r="Z681" s="97">
        <v>0.26</v>
      </c>
      <c r="AA681" s="97">
        <v>0.26</v>
      </c>
      <c r="AB681" s="255">
        <f t="shared" si="194"/>
        <v>0.26</v>
      </c>
      <c r="AC681" s="255">
        <f t="shared" si="194"/>
        <v>0.26</v>
      </c>
      <c r="AD681" s="255">
        <f t="shared" si="194"/>
        <v>0.26</v>
      </c>
      <c r="AE681" s="255">
        <f t="shared" si="194"/>
        <v>0.26</v>
      </c>
      <c r="AF681" s="76"/>
      <c r="AG681" s="97" t="s">
        <v>1250</v>
      </c>
      <c r="AH681" s="76"/>
      <c r="AI681" s="97">
        <v>1</v>
      </c>
      <c r="AJ681" s="97">
        <v>1</v>
      </c>
      <c r="AK681" s="73"/>
      <c r="AL681" s="57"/>
      <c r="AM681" s="45"/>
      <c r="AN681" s="45"/>
      <c r="AO681" s="45"/>
    </row>
    <row r="682" spans="1:41" hidden="1" outlineLevel="2" collapsed="1" x14ac:dyDescent="0.25">
      <c r="A682" s="45"/>
      <c r="B682" s="54"/>
      <c r="C682" s="47">
        <f t="shared" si="182"/>
        <v>3</v>
      </c>
      <c r="D682" s="73"/>
      <c r="E682" s="70"/>
      <c r="F682" s="70" t="s">
        <v>1251</v>
      </c>
      <c r="G682" s="73"/>
      <c r="H682" s="76" t="s">
        <v>2617</v>
      </c>
      <c r="I682" s="96" t="s">
        <v>497</v>
      </c>
      <c r="J682" s="96" t="s">
        <v>1138</v>
      </c>
      <c r="K682" s="76"/>
      <c r="L682" s="76"/>
      <c r="M682" s="76"/>
      <c r="N682" s="76"/>
      <c r="O682" s="76"/>
      <c r="P682" s="76"/>
      <c r="Q682" s="76"/>
      <c r="R682" s="76"/>
      <c r="S682" s="76"/>
      <c r="T682" s="76"/>
      <c r="U682" s="97">
        <v>0</v>
      </c>
      <c r="V682" s="97">
        <v>0</v>
      </c>
      <c r="W682" s="97">
        <v>0</v>
      </c>
      <c r="X682" s="97">
        <v>0</v>
      </c>
      <c r="Y682" s="97">
        <v>0</v>
      </c>
      <c r="Z682" s="97">
        <v>0</v>
      </c>
      <c r="AA682" s="97">
        <v>0</v>
      </c>
      <c r="AB682" s="255">
        <f t="shared" si="194"/>
        <v>0</v>
      </c>
      <c r="AC682" s="255">
        <f t="shared" si="194"/>
        <v>0</v>
      </c>
      <c r="AD682" s="255">
        <f t="shared" si="194"/>
        <v>0</v>
      </c>
      <c r="AE682" s="255">
        <f t="shared" si="194"/>
        <v>0</v>
      </c>
      <c r="AF682" s="76"/>
      <c r="AG682" s="76"/>
      <c r="AH682" s="76"/>
      <c r="AI682" s="97">
        <v>1</v>
      </c>
      <c r="AJ682" s="97">
        <v>1</v>
      </c>
      <c r="AK682" s="73"/>
      <c r="AL682" s="57"/>
      <c r="AM682" s="45"/>
      <c r="AN682" s="45"/>
      <c r="AO682" s="45"/>
    </row>
    <row r="683" spans="1:41" hidden="1" outlineLevel="3" x14ac:dyDescent="0.25">
      <c r="A683" s="45"/>
      <c r="B683" s="54"/>
      <c r="C683" s="47">
        <f t="shared" si="182"/>
        <v>3</v>
      </c>
      <c r="D683" s="73"/>
      <c r="E683" s="70"/>
      <c r="F683" s="70" t="s">
        <v>1252</v>
      </c>
      <c r="G683" s="73"/>
      <c r="H683" s="76" t="s">
        <v>599</v>
      </c>
      <c r="I683" s="96" t="s">
        <v>497</v>
      </c>
      <c r="J683" s="96"/>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v>1</v>
      </c>
      <c r="AJ683" s="76">
        <v>1</v>
      </c>
      <c r="AK683" s="73"/>
      <c r="AL683" s="57"/>
      <c r="AM683" s="45"/>
      <c r="AN683" s="45"/>
      <c r="AO683" s="45"/>
    </row>
    <row r="684" spans="1:41" hidden="1" outlineLevel="3" x14ac:dyDescent="0.25">
      <c r="A684" s="45"/>
      <c r="B684" s="54"/>
      <c r="C684" s="47">
        <f t="shared" si="182"/>
        <v>3</v>
      </c>
      <c r="D684" s="73"/>
      <c r="E684" s="70"/>
      <c r="F684" s="70" t="s">
        <v>1253</v>
      </c>
      <c r="G684" s="73"/>
      <c r="H684" s="76"/>
      <c r="I684" s="96" t="s">
        <v>497</v>
      </c>
      <c r="J684" s="96"/>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v>1</v>
      </c>
      <c r="AJ684" s="76">
        <v>1</v>
      </c>
      <c r="AK684" s="73"/>
      <c r="AL684" s="57"/>
      <c r="AM684" s="45"/>
      <c r="AN684" s="45"/>
      <c r="AO684" s="45"/>
    </row>
    <row r="685" spans="1:41" hidden="1" outlineLevel="3" x14ac:dyDescent="0.25">
      <c r="A685" s="45"/>
      <c r="B685" s="54"/>
      <c r="C685" s="47">
        <f t="shared" si="182"/>
        <v>3</v>
      </c>
      <c r="D685" s="73"/>
      <c r="E685" s="70"/>
      <c r="F685" s="70" t="s">
        <v>1254</v>
      </c>
      <c r="G685" s="73"/>
      <c r="H685" s="76"/>
      <c r="I685" s="96" t="s">
        <v>497</v>
      </c>
      <c r="J685" s="96"/>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v>1</v>
      </c>
      <c r="AJ685" s="76">
        <v>1</v>
      </c>
      <c r="AK685" s="73"/>
      <c r="AL685" s="57"/>
      <c r="AM685" s="45"/>
      <c r="AN685" s="45"/>
      <c r="AO685" s="45"/>
    </row>
    <row r="686" spans="1:41" hidden="1" outlineLevel="2" x14ac:dyDescent="0.25">
      <c r="A686" s="45"/>
      <c r="B686" s="54"/>
      <c r="C686" s="47">
        <f t="shared" si="182"/>
        <v>3</v>
      </c>
      <c r="D686" s="73"/>
      <c r="E686" s="70"/>
      <c r="F686" s="70" t="s">
        <v>1255</v>
      </c>
      <c r="G686" s="73"/>
      <c r="H686" s="76" t="s">
        <v>1256</v>
      </c>
      <c r="I686" s="96"/>
      <c r="J686" s="96" t="s">
        <v>1166</v>
      </c>
      <c r="K686" s="97">
        <f>5.1/5</f>
        <v>1.02</v>
      </c>
      <c r="L686" s="97">
        <f>5.1/5</f>
        <v>1.02</v>
      </c>
      <c r="M686" s="97">
        <v>1</v>
      </c>
      <c r="N686" s="97">
        <v>1</v>
      </c>
      <c r="O686" s="97">
        <v>1</v>
      </c>
      <c r="P686" s="97">
        <v>1</v>
      </c>
      <c r="Q686" s="76"/>
      <c r="R686" s="76" t="s">
        <v>1257</v>
      </c>
      <c r="S686" s="76"/>
      <c r="T686" s="76"/>
      <c r="U686" s="253">
        <f t="shared" ref="U686:AE688" si="195">INDEX($K686:$Q686,1,U$43)</f>
        <v>1.02</v>
      </c>
      <c r="V686" s="253">
        <f t="shared" si="195"/>
        <v>1.02</v>
      </c>
      <c r="W686" s="253">
        <f t="shared" si="195"/>
        <v>1.02</v>
      </c>
      <c r="X686" s="253">
        <f t="shared" si="195"/>
        <v>1.02</v>
      </c>
      <c r="Y686" s="253">
        <f t="shared" si="195"/>
        <v>1.02</v>
      </c>
      <c r="Z686" s="253">
        <f t="shared" si="195"/>
        <v>1.02</v>
      </c>
      <c r="AA686" s="253">
        <f t="shared" si="195"/>
        <v>1.02</v>
      </c>
      <c r="AB686" s="253">
        <f t="shared" si="195"/>
        <v>1.02</v>
      </c>
      <c r="AC686" s="253">
        <f t="shared" si="195"/>
        <v>1.02</v>
      </c>
      <c r="AD686" s="253">
        <f t="shared" si="195"/>
        <v>1.02</v>
      </c>
      <c r="AE686" s="253">
        <f t="shared" si="195"/>
        <v>1.02</v>
      </c>
      <c r="AF686" s="76"/>
      <c r="AG686" s="76"/>
      <c r="AH686" s="76"/>
      <c r="AI686" s="97">
        <v>1</v>
      </c>
      <c r="AJ686" s="97">
        <v>1</v>
      </c>
      <c r="AK686" s="73"/>
      <c r="AL686" s="57"/>
      <c r="AM686" s="45"/>
      <c r="AN686" s="45"/>
      <c r="AO686" s="45"/>
    </row>
    <row r="687" spans="1:41" hidden="1" outlineLevel="2" x14ac:dyDescent="0.25">
      <c r="A687" s="45"/>
      <c r="B687" s="54"/>
      <c r="C687" s="47">
        <f t="shared" si="182"/>
        <v>3</v>
      </c>
      <c r="D687" s="73"/>
      <c r="E687" s="70"/>
      <c r="F687" s="70" t="s">
        <v>1258</v>
      </c>
      <c r="G687" s="73"/>
      <c r="H687" s="76" t="s">
        <v>1259</v>
      </c>
      <c r="I687" s="96"/>
      <c r="J687" s="96" t="s">
        <v>1166</v>
      </c>
      <c r="K687" s="97">
        <f>4.9/5</f>
        <v>0.98000000000000009</v>
      </c>
      <c r="L687" s="97">
        <f>4.9/5</f>
        <v>0.98000000000000009</v>
      </c>
      <c r="M687" s="97">
        <v>1</v>
      </c>
      <c r="N687" s="97">
        <v>1</v>
      </c>
      <c r="O687" s="97">
        <v>1</v>
      </c>
      <c r="P687" s="97">
        <v>1</v>
      </c>
      <c r="Q687" s="76"/>
      <c r="R687" s="76" t="s">
        <v>1260</v>
      </c>
      <c r="S687" s="76"/>
      <c r="T687" s="76"/>
      <c r="U687" s="253">
        <f t="shared" si="195"/>
        <v>0.98000000000000009</v>
      </c>
      <c r="V687" s="253">
        <f t="shared" si="195"/>
        <v>0.98000000000000009</v>
      </c>
      <c r="W687" s="253">
        <f t="shared" si="195"/>
        <v>0.98000000000000009</v>
      </c>
      <c r="X687" s="253">
        <f t="shared" si="195"/>
        <v>0.98000000000000009</v>
      </c>
      <c r="Y687" s="253">
        <f t="shared" si="195"/>
        <v>0.98000000000000009</v>
      </c>
      <c r="Z687" s="253">
        <f t="shared" si="195"/>
        <v>0.98000000000000009</v>
      </c>
      <c r="AA687" s="253">
        <f t="shared" si="195"/>
        <v>0.98000000000000009</v>
      </c>
      <c r="AB687" s="253">
        <f t="shared" si="195"/>
        <v>0.98000000000000009</v>
      </c>
      <c r="AC687" s="253">
        <f t="shared" si="195"/>
        <v>0.98000000000000009</v>
      </c>
      <c r="AD687" s="253">
        <f t="shared" si="195"/>
        <v>0.98000000000000009</v>
      </c>
      <c r="AE687" s="253">
        <f t="shared" si="195"/>
        <v>0.98000000000000009</v>
      </c>
      <c r="AF687" s="76"/>
      <c r="AG687" s="76"/>
      <c r="AH687" s="76"/>
      <c r="AI687" s="97">
        <v>1</v>
      </c>
      <c r="AJ687" s="97">
        <v>1</v>
      </c>
      <c r="AK687" s="73"/>
      <c r="AL687" s="57"/>
      <c r="AM687" s="45"/>
      <c r="AN687" s="45"/>
      <c r="AO687" s="45"/>
    </row>
    <row r="688" spans="1:41" hidden="1" outlineLevel="2" x14ac:dyDescent="0.25">
      <c r="A688" s="45"/>
      <c r="B688" s="54"/>
      <c r="C688" s="47">
        <f t="shared" si="182"/>
        <v>3</v>
      </c>
      <c r="D688" s="73"/>
      <c r="E688" s="70"/>
      <c r="F688" s="70" t="s">
        <v>1261</v>
      </c>
      <c r="G688" s="73"/>
      <c r="H688" s="76" t="s">
        <v>2318</v>
      </c>
      <c r="I688" s="96"/>
      <c r="J688" s="96" t="s">
        <v>1166</v>
      </c>
      <c r="K688" s="253">
        <f t="shared" ref="K688:P688" si="196">K686</f>
        <v>1.02</v>
      </c>
      <c r="L688" s="253">
        <f t="shared" si="196"/>
        <v>1.02</v>
      </c>
      <c r="M688" s="253">
        <f t="shared" si="196"/>
        <v>1</v>
      </c>
      <c r="N688" s="253">
        <f t="shared" si="196"/>
        <v>1</v>
      </c>
      <c r="O688" s="253">
        <f t="shared" si="196"/>
        <v>1</v>
      </c>
      <c r="P688" s="253">
        <f t="shared" si="196"/>
        <v>1</v>
      </c>
      <c r="Q688" s="76"/>
      <c r="R688" s="76"/>
      <c r="S688" s="76"/>
      <c r="T688" s="76"/>
      <c r="U688" s="253">
        <f t="shared" si="195"/>
        <v>1.02</v>
      </c>
      <c r="V688" s="253">
        <f t="shared" si="195"/>
        <v>1.02</v>
      </c>
      <c r="W688" s="253">
        <f t="shared" si="195"/>
        <v>1.02</v>
      </c>
      <c r="X688" s="253">
        <f t="shared" si="195"/>
        <v>1.02</v>
      </c>
      <c r="Y688" s="253">
        <f t="shared" si="195"/>
        <v>1.02</v>
      </c>
      <c r="Z688" s="253">
        <f t="shared" si="195"/>
        <v>1.02</v>
      </c>
      <c r="AA688" s="253">
        <f t="shared" si="195"/>
        <v>1.02</v>
      </c>
      <c r="AB688" s="253">
        <f t="shared" si="195"/>
        <v>1.02</v>
      </c>
      <c r="AC688" s="253">
        <f t="shared" si="195"/>
        <v>1.02</v>
      </c>
      <c r="AD688" s="253">
        <f t="shared" si="195"/>
        <v>1.02</v>
      </c>
      <c r="AE688" s="253">
        <f t="shared" si="195"/>
        <v>1.02</v>
      </c>
      <c r="AF688" s="76"/>
      <c r="AG688" s="76"/>
      <c r="AH688" s="76"/>
      <c r="AI688" s="97">
        <v>1</v>
      </c>
      <c r="AJ688" s="97">
        <v>1</v>
      </c>
      <c r="AK688" s="73"/>
      <c r="AL688" s="57"/>
      <c r="AM688" s="45"/>
      <c r="AN688" s="45"/>
      <c r="AO688" s="45"/>
    </row>
    <row r="689" spans="1:41" hidden="1" outlineLevel="2" x14ac:dyDescent="0.25">
      <c r="A689" s="45"/>
      <c r="B689" s="54"/>
      <c r="C689" s="47">
        <f t="shared" si="182"/>
        <v>3</v>
      </c>
      <c r="D689" s="73"/>
      <c r="E689" s="70"/>
      <c r="F689" s="70" t="s">
        <v>1262</v>
      </c>
      <c r="G689" s="73"/>
      <c r="H689" s="76" t="s">
        <v>1263</v>
      </c>
      <c r="I689" s="96" t="s">
        <v>497</v>
      </c>
      <c r="J689" s="96" t="s">
        <v>1138</v>
      </c>
      <c r="K689" s="76"/>
      <c r="L689" s="76"/>
      <c r="M689" s="76"/>
      <c r="N689" s="76"/>
      <c r="O689" s="76"/>
      <c r="P689" s="76"/>
      <c r="Q689" s="76"/>
      <c r="R689" s="76"/>
      <c r="S689" s="76"/>
      <c r="T689" s="76"/>
      <c r="U689" s="97">
        <v>0</v>
      </c>
      <c r="V689" s="97">
        <v>0</v>
      </c>
      <c r="W689" s="97">
        <v>0</v>
      </c>
      <c r="X689" s="97">
        <v>0</v>
      </c>
      <c r="Y689" s="97">
        <v>0</v>
      </c>
      <c r="Z689" s="97">
        <v>0</v>
      </c>
      <c r="AA689" s="97">
        <v>0</v>
      </c>
      <c r="AB689" s="97">
        <v>0.35589999999999999</v>
      </c>
      <c r="AC689" s="255">
        <f t="shared" ref="AC689:AE697" si="197">AB689</f>
        <v>0.35589999999999999</v>
      </c>
      <c r="AD689" s="255">
        <f t="shared" si="197"/>
        <v>0.35589999999999999</v>
      </c>
      <c r="AE689" s="255">
        <f>AD689</f>
        <v>0.35589999999999999</v>
      </c>
      <c r="AF689" s="76"/>
      <c r="AG689" s="97" t="s">
        <v>2152</v>
      </c>
      <c r="AH689" s="76"/>
      <c r="AI689" s="97">
        <v>1</v>
      </c>
      <c r="AJ689" s="97">
        <v>1</v>
      </c>
      <c r="AK689" s="73"/>
      <c r="AL689" s="57"/>
      <c r="AM689" s="45"/>
      <c r="AN689" s="45"/>
      <c r="AO689" s="45"/>
    </row>
    <row r="690" spans="1:41" hidden="1" outlineLevel="2" x14ac:dyDescent="0.25">
      <c r="A690" s="45"/>
      <c r="B690" s="54"/>
      <c r="C690" s="47">
        <f t="shared" si="182"/>
        <v>3</v>
      </c>
      <c r="D690" s="73"/>
      <c r="E690" s="70"/>
      <c r="F690" s="70" t="s">
        <v>1264</v>
      </c>
      <c r="G690" s="73"/>
      <c r="H690" s="76" t="s">
        <v>2616</v>
      </c>
      <c r="I690" s="96" t="s">
        <v>497</v>
      </c>
      <c r="J690" s="96" t="s">
        <v>1138</v>
      </c>
      <c r="K690" s="76"/>
      <c r="L690" s="76"/>
      <c r="M690" s="76"/>
      <c r="N690" s="76"/>
      <c r="O690" s="76"/>
      <c r="P690" s="76"/>
      <c r="Q690" s="76"/>
      <c r="R690" s="76"/>
      <c r="S690" s="76"/>
      <c r="T690" s="76"/>
      <c r="U690" s="97">
        <v>-0.19574</v>
      </c>
      <c r="V690" s="255">
        <f>U690</f>
        <v>-0.19574</v>
      </c>
      <c r="W690" s="255">
        <f>U690</f>
        <v>-0.19574</v>
      </c>
      <c r="X690" s="255">
        <f>V690</f>
        <v>-0.19574</v>
      </c>
      <c r="Y690" s="255">
        <f>W690</f>
        <v>-0.19574</v>
      </c>
      <c r="Z690" s="255">
        <f t="shared" ref="Z690:AA690" si="198">X690</f>
        <v>-0.19574</v>
      </c>
      <c r="AA690" s="255">
        <f t="shared" si="198"/>
        <v>-0.19574</v>
      </c>
      <c r="AB690" s="97">
        <v>0</v>
      </c>
      <c r="AC690" s="255">
        <f t="shared" si="197"/>
        <v>0</v>
      </c>
      <c r="AD690" s="255">
        <f t="shared" si="197"/>
        <v>0</v>
      </c>
      <c r="AE690" s="255">
        <f>AD690</f>
        <v>0</v>
      </c>
      <c r="AF690" s="76"/>
      <c r="AG690" s="76"/>
      <c r="AH690" s="76"/>
      <c r="AI690" s="97">
        <v>1</v>
      </c>
      <c r="AJ690" s="97">
        <v>1</v>
      </c>
      <c r="AK690" s="73"/>
      <c r="AL690" s="57"/>
      <c r="AM690" s="45"/>
      <c r="AN690" s="45"/>
      <c r="AO690" s="45"/>
    </row>
    <row r="691" spans="1:41" hidden="1" outlineLevel="2" x14ac:dyDescent="0.25">
      <c r="A691" s="45"/>
      <c r="B691" s="54"/>
      <c r="C691" s="47">
        <f t="shared" si="182"/>
        <v>3</v>
      </c>
      <c r="D691" s="73"/>
      <c r="E691" s="70"/>
      <c r="F691" s="70" t="s">
        <v>1265</v>
      </c>
      <c r="G691" s="73"/>
      <c r="H691" s="76" t="s">
        <v>2617</v>
      </c>
      <c r="I691" s="96" t="s">
        <v>497</v>
      </c>
      <c r="J691" s="96" t="s">
        <v>1138</v>
      </c>
      <c r="K691" s="76"/>
      <c r="L691" s="76"/>
      <c r="M691" s="76"/>
      <c r="N691" s="76"/>
      <c r="O691" s="76"/>
      <c r="P691" s="76"/>
      <c r="Q691" s="76"/>
      <c r="R691" s="76"/>
      <c r="S691" s="76"/>
      <c r="T691" s="76"/>
      <c r="U691" s="97">
        <v>0</v>
      </c>
      <c r="V691" s="97">
        <v>0</v>
      </c>
      <c r="W691" s="97">
        <v>0</v>
      </c>
      <c r="X691" s="97">
        <v>0</v>
      </c>
      <c r="Y691" s="97">
        <v>0</v>
      </c>
      <c r="Z691" s="97">
        <v>0</v>
      </c>
      <c r="AA691" s="97">
        <v>0</v>
      </c>
      <c r="AB691" s="253">
        <f>AB689</f>
        <v>0.35589999999999999</v>
      </c>
      <c r="AC691" s="255">
        <f t="shared" si="197"/>
        <v>0.35589999999999999</v>
      </c>
      <c r="AD691" s="255">
        <f t="shared" si="197"/>
        <v>0.35589999999999999</v>
      </c>
      <c r="AE691" s="255">
        <f>AD691</f>
        <v>0.35589999999999999</v>
      </c>
      <c r="AF691" s="76"/>
      <c r="AG691" s="76"/>
      <c r="AH691" s="76"/>
      <c r="AI691" s="97">
        <v>1</v>
      </c>
      <c r="AJ691" s="97">
        <v>1</v>
      </c>
      <c r="AK691" s="73"/>
      <c r="AL691" s="57"/>
      <c r="AM691" s="45"/>
      <c r="AN691" s="45"/>
      <c r="AO691" s="45"/>
    </row>
    <row r="692" spans="1:41" hidden="1" outlineLevel="2" x14ac:dyDescent="0.25">
      <c r="A692" s="45"/>
      <c r="B692" s="54"/>
      <c r="C692" s="47">
        <f t="shared" si="182"/>
        <v>3</v>
      </c>
      <c r="D692" s="73"/>
      <c r="E692" s="70"/>
      <c r="F692" s="70" t="s">
        <v>1266</v>
      </c>
      <c r="G692" s="73"/>
      <c r="H692" s="76" t="s">
        <v>1267</v>
      </c>
      <c r="I692" s="96" t="s">
        <v>497</v>
      </c>
      <c r="J692" s="96" t="s">
        <v>1138</v>
      </c>
      <c r="K692" s="76"/>
      <c r="L692" s="76"/>
      <c r="M692" s="76"/>
      <c r="N692" s="76"/>
      <c r="O692" s="76"/>
      <c r="P692" s="76"/>
      <c r="Q692" s="76"/>
      <c r="R692" s="76"/>
      <c r="S692" s="76"/>
      <c r="T692" s="76"/>
      <c r="U692" s="97">
        <v>0</v>
      </c>
      <c r="V692" s="97">
        <v>0</v>
      </c>
      <c r="W692" s="97">
        <v>0</v>
      </c>
      <c r="X692" s="97">
        <v>0</v>
      </c>
      <c r="Y692" s="97">
        <v>0</v>
      </c>
      <c r="Z692" s="97">
        <v>0</v>
      </c>
      <c r="AA692" s="97">
        <v>0</v>
      </c>
      <c r="AB692" s="97">
        <v>1.42</v>
      </c>
      <c r="AC692" s="255">
        <f t="shared" si="197"/>
        <v>1.42</v>
      </c>
      <c r="AD692" s="255">
        <f t="shared" si="197"/>
        <v>1.42</v>
      </c>
      <c r="AE692" s="255">
        <f t="shared" si="197"/>
        <v>1.42</v>
      </c>
      <c r="AF692" s="76"/>
      <c r="AG692" s="97" t="s">
        <v>2152</v>
      </c>
      <c r="AH692" s="76"/>
      <c r="AI692" s="97">
        <v>1</v>
      </c>
      <c r="AJ692" s="97">
        <v>1</v>
      </c>
      <c r="AK692" s="73"/>
      <c r="AL692" s="57"/>
      <c r="AM692" s="45"/>
      <c r="AN692" s="45"/>
      <c r="AO692" s="45"/>
    </row>
    <row r="693" spans="1:41" hidden="1" outlineLevel="2" x14ac:dyDescent="0.25">
      <c r="A693" s="45"/>
      <c r="B693" s="54"/>
      <c r="C693" s="47">
        <f t="shared" si="182"/>
        <v>3</v>
      </c>
      <c r="D693" s="73"/>
      <c r="E693" s="70"/>
      <c r="F693" s="70" t="s">
        <v>1268</v>
      </c>
      <c r="G693" s="73"/>
      <c r="H693" s="76" t="s">
        <v>2616</v>
      </c>
      <c r="I693" s="96" t="s">
        <v>497</v>
      </c>
      <c r="J693" s="96" t="s">
        <v>1138</v>
      </c>
      <c r="K693" s="76"/>
      <c r="L693" s="76"/>
      <c r="M693" s="76"/>
      <c r="N693" s="76"/>
      <c r="O693" s="76"/>
      <c r="P693" s="76"/>
      <c r="Q693" s="76"/>
      <c r="R693" s="76"/>
      <c r="S693" s="76"/>
      <c r="T693" s="76"/>
      <c r="U693" s="97">
        <v>-0.72</v>
      </c>
      <c r="V693" s="97">
        <v>-0.72</v>
      </c>
      <c r="W693" s="97">
        <v>-0.72</v>
      </c>
      <c r="X693" s="97">
        <v>-0.72</v>
      </c>
      <c r="Y693" s="97">
        <v>-0.72</v>
      </c>
      <c r="Z693" s="97">
        <v>-0.72</v>
      </c>
      <c r="AA693" s="97">
        <v>-0.72</v>
      </c>
      <c r="AB693" s="97">
        <v>0</v>
      </c>
      <c r="AC693" s="255">
        <f t="shared" si="197"/>
        <v>0</v>
      </c>
      <c r="AD693" s="255">
        <f t="shared" si="197"/>
        <v>0</v>
      </c>
      <c r="AE693" s="255">
        <f t="shared" si="197"/>
        <v>0</v>
      </c>
      <c r="AF693" s="76"/>
      <c r="AG693" s="97" t="s">
        <v>1269</v>
      </c>
      <c r="AH693" s="76"/>
      <c r="AI693" s="97">
        <v>1</v>
      </c>
      <c r="AJ693" s="97">
        <v>1</v>
      </c>
      <c r="AK693" s="73"/>
      <c r="AL693" s="57"/>
      <c r="AM693" s="45"/>
      <c r="AN693" s="45"/>
      <c r="AO693" s="45"/>
    </row>
    <row r="694" spans="1:41" hidden="1" outlineLevel="2" x14ac:dyDescent="0.25">
      <c r="A694" s="45"/>
      <c r="B694" s="54"/>
      <c r="C694" s="47">
        <f t="shared" si="182"/>
        <v>3</v>
      </c>
      <c r="D694" s="73"/>
      <c r="E694" s="70"/>
      <c r="F694" s="70" t="s">
        <v>1270</v>
      </c>
      <c r="G694" s="73"/>
      <c r="H694" s="76" t="s">
        <v>2617</v>
      </c>
      <c r="I694" s="96" t="s">
        <v>497</v>
      </c>
      <c r="J694" s="96" t="s">
        <v>1138</v>
      </c>
      <c r="K694" s="76"/>
      <c r="L694" s="76"/>
      <c r="M694" s="76"/>
      <c r="N694" s="76"/>
      <c r="O694" s="76"/>
      <c r="P694" s="76"/>
      <c r="Q694" s="76"/>
      <c r="R694" s="76"/>
      <c r="S694" s="76"/>
      <c r="T694" s="76"/>
      <c r="U694" s="97">
        <v>0</v>
      </c>
      <c r="V694" s="97">
        <v>0</v>
      </c>
      <c r="W694" s="97">
        <v>0</v>
      </c>
      <c r="X694" s="97">
        <v>0</v>
      </c>
      <c r="Y694" s="97">
        <v>0</v>
      </c>
      <c r="Z694" s="97">
        <v>0</v>
      </c>
      <c r="AA694" s="97">
        <v>0</v>
      </c>
      <c r="AB694" s="253">
        <f>AB692</f>
        <v>1.42</v>
      </c>
      <c r="AC694" s="255">
        <f t="shared" si="197"/>
        <v>1.42</v>
      </c>
      <c r="AD694" s="255">
        <f t="shared" si="197"/>
        <v>1.42</v>
      </c>
      <c r="AE694" s="255">
        <f t="shared" si="197"/>
        <v>1.42</v>
      </c>
      <c r="AF694" s="76"/>
      <c r="AG694" s="76"/>
      <c r="AH694" s="76"/>
      <c r="AI694" s="97">
        <v>1</v>
      </c>
      <c r="AJ694" s="97">
        <v>1</v>
      </c>
      <c r="AK694" s="73"/>
      <c r="AL694" s="57"/>
      <c r="AM694" s="45"/>
      <c r="AN694" s="45"/>
      <c r="AO694" s="45"/>
    </row>
    <row r="695" spans="1:41" hidden="1" outlineLevel="2" x14ac:dyDescent="0.25">
      <c r="A695" s="45"/>
      <c r="B695" s="54"/>
      <c r="C695" s="47">
        <f t="shared" si="182"/>
        <v>3</v>
      </c>
      <c r="D695" s="73"/>
      <c r="E695" s="70"/>
      <c r="F695" s="70" t="s">
        <v>1271</v>
      </c>
      <c r="G695" s="73"/>
      <c r="H695" s="76" t="s">
        <v>1272</v>
      </c>
      <c r="I695" s="96" t="s">
        <v>497</v>
      </c>
      <c r="J695" s="96" t="s">
        <v>1138</v>
      </c>
      <c r="K695" s="76"/>
      <c r="L695" s="76"/>
      <c r="M695" s="76"/>
      <c r="N695" s="76"/>
      <c r="O695" s="76"/>
      <c r="P695" s="76"/>
      <c r="Q695" s="76"/>
      <c r="R695" s="76"/>
      <c r="S695" s="76"/>
      <c r="T695" s="76"/>
      <c r="U695" s="97">
        <v>0</v>
      </c>
      <c r="V695" s="97">
        <v>0</v>
      </c>
      <c r="W695" s="97">
        <v>0</v>
      </c>
      <c r="X695" s="97">
        <v>0</v>
      </c>
      <c r="Y695" s="97">
        <v>0</v>
      </c>
      <c r="Z695" s="97">
        <v>0</v>
      </c>
      <c r="AA695" s="97">
        <v>0</v>
      </c>
      <c r="AB695" s="255">
        <f t="shared" ref="AB695:AB697" si="199">AA695</f>
        <v>0</v>
      </c>
      <c r="AC695" s="255">
        <f t="shared" si="197"/>
        <v>0</v>
      </c>
      <c r="AD695" s="255">
        <f t="shared" si="197"/>
        <v>0</v>
      </c>
      <c r="AE695" s="255">
        <f t="shared" si="197"/>
        <v>0</v>
      </c>
      <c r="AF695" s="76"/>
      <c r="AG695" s="76"/>
      <c r="AH695" s="76"/>
      <c r="AI695" s="97">
        <v>1</v>
      </c>
      <c r="AJ695" s="97">
        <v>1</v>
      </c>
      <c r="AK695" s="73"/>
      <c r="AL695" s="57"/>
      <c r="AM695" s="45"/>
      <c r="AN695" s="45"/>
      <c r="AO695" s="45"/>
    </row>
    <row r="696" spans="1:41" hidden="1" outlineLevel="2" x14ac:dyDescent="0.25">
      <c r="A696" s="45"/>
      <c r="B696" s="54"/>
      <c r="C696" s="47">
        <f t="shared" si="182"/>
        <v>3</v>
      </c>
      <c r="D696" s="73"/>
      <c r="E696" s="70"/>
      <c r="F696" s="70" t="s">
        <v>1273</v>
      </c>
      <c r="G696" s="73"/>
      <c r="H696" s="76" t="s">
        <v>2616</v>
      </c>
      <c r="I696" s="96" t="s">
        <v>497</v>
      </c>
      <c r="J696" s="96" t="s">
        <v>1138</v>
      </c>
      <c r="K696" s="76"/>
      <c r="L696" s="76"/>
      <c r="M696" s="76"/>
      <c r="N696" s="76"/>
      <c r="O696" s="76"/>
      <c r="P696" s="76"/>
      <c r="Q696" s="76"/>
      <c r="R696" s="76"/>
      <c r="S696" s="76"/>
      <c r="T696" s="76"/>
      <c r="U696" s="97">
        <f>-7/1000</f>
        <v>-7.0000000000000001E-3</v>
      </c>
      <c r="V696" s="97">
        <f>-7/1000</f>
        <v>-7.0000000000000001E-3</v>
      </c>
      <c r="W696" s="97">
        <f>-7/1000</f>
        <v>-7.0000000000000001E-3</v>
      </c>
      <c r="X696" s="97">
        <f>-7/1000</f>
        <v>-7.0000000000000001E-3</v>
      </c>
      <c r="Y696" s="97">
        <f>-7/1000</f>
        <v>-7.0000000000000001E-3</v>
      </c>
      <c r="Z696" s="97">
        <f t="shared" ref="Z696:AA696" si="200">-7/1000</f>
        <v>-7.0000000000000001E-3</v>
      </c>
      <c r="AA696" s="97">
        <f t="shared" si="200"/>
        <v>-7.0000000000000001E-3</v>
      </c>
      <c r="AB696" s="255">
        <f t="shared" si="199"/>
        <v>-7.0000000000000001E-3</v>
      </c>
      <c r="AC696" s="255">
        <f t="shared" si="197"/>
        <v>-7.0000000000000001E-3</v>
      </c>
      <c r="AD696" s="255">
        <f t="shared" si="197"/>
        <v>-7.0000000000000001E-3</v>
      </c>
      <c r="AE696" s="255">
        <f t="shared" si="197"/>
        <v>-7.0000000000000001E-3</v>
      </c>
      <c r="AF696" s="76"/>
      <c r="AG696" s="97" t="s">
        <v>1274</v>
      </c>
      <c r="AH696" s="76"/>
      <c r="AI696" s="97">
        <v>1</v>
      </c>
      <c r="AJ696" s="97">
        <v>1</v>
      </c>
      <c r="AK696" s="73"/>
      <c r="AL696" s="57"/>
      <c r="AM696" s="45"/>
      <c r="AN696" s="45"/>
      <c r="AO696" s="45"/>
    </row>
    <row r="697" spans="1:41" hidden="1" outlineLevel="2" collapsed="1" x14ac:dyDescent="0.25">
      <c r="A697" s="45"/>
      <c r="B697" s="54"/>
      <c r="C697" s="47">
        <f t="shared" si="182"/>
        <v>3</v>
      </c>
      <c r="D697" s="73"/>
      <c r="E697" s="70"/>
      <c r="F697" s="70" t="s">
        <v>1275</v>
      </c>
      <c r="G697" s="73"/>
      <c r="H697" s="76" t="s">
        <v>2617</v>
      </c>
      <c r="I697" s="96" t="s">
        <v>497</v>
      </c>
      <c r="J697" s="96" t="s">
        <v>1138</v>
      </c>
      <c r="K697" s="76"/>
      <c r="L697" s="76"/>
      <c r="M697" s="76"/>
      <c r="N697" s="76"/>
      <c r="O697" s="76"/>
      <c r="P697" s="76"/>
      <c r="Q697" s="76"/>
      <c r="R697" s="76"/>
      <c r="S697" s="76"/>
      <c r="T697" s="76"/>
      <c r="U697" s="97">
        <v>0</v>
      </c>
      <c r="V697" s="97">
        <v>0</v>
      </c>
      <c r="W697" s="97">
        <v>0</v>
      </c>
      <c r="X697" s="97">
        <v>0</v>
      </c>
      <c r="Y697" s="97">
        <v>0</v>
      </c>
      <c r="Z697" s="97">
        <v>0</v>
      </c>
      <c r="AA697" s="97">
        <v>0</v>
      </c>
      <c r="AB697" s="255">
        <f t="shared" si="199"/>
        <v>0</v>
      </c>
      <c r="AC697" s="255">
        <f t="shared" si="197"/>
        <v>0</v>
      </c>
      <c r="AD697" s="255">
        <f t="shared" si="197"/>
        <v>0</v>
      </c>
      <c r="AE697" s="255">
        <f t="shared" si="197"/>
        <v>0</v>
      </c>
      <c r="AF697" s="76"/>
      <c r="AG697" s="76"/>
      <c r="AH697" s="76"/>
      <c r="AI697" s="97">
        <v>1</v>
      </c>
      <c r="AJ697" s="97">
        <v>1</v>
      </c>
      <c r="AK697" s="73"/>
      <c r="AL697" s="57"/>
      <c r="AM697" s="45"/>
      <c r="AN697" s="45"/>
      <c r="AO697" s="45"/>
    </row>
    <row r="698" spans="1:41" hidden="1" outlineLevel="3" x14ac:dyDescent="0.25">
      <c r="A698" s="45"/>
      <c r="B698" s="54"/>
      <c r="C698" s="47">
        <f t="shared" si="182"/>
        <v>3</v>
      </c>
      <c r="D698" s="73"/>
      <c r="E698" s="70"/>
      <c r="F698" s="70" t="s">
        <v>1276</v>
      </c>
      <c r="G698" s="73"/>
      <c r="H698" s="76" t="s">
        <v>599</v>
      </c>
      <c r="I698" s="96" t="s">
        <v>497</v>
      </c>
      <c r="J698" s="96"/>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v>1</v>
      </c>
      <c r="AJ698" s="76">
        <v>1</v>
      </c>
      <c r="AK698" s="73"/>
      <c r="AL698" s="57"/>
      <c r="AM698" s="45"/>
      <c r="AN698" s="45"/>
      <c r="AO698" s="45"/>
    </row>
    <row r="699" spans="1:41" hidden="1" outlineLevel="3" x14ac:dyDescent="0.25">
      <c r="A699" s="45"/>
      <c r="B699" s="54"/>
      <c r="C699" s="47">
        <f t="shared" si="182"/>
        <v>3</v>
      </c>
      <c r="D699" s="73"/>
      <c r="E699" s="70"/>
      <c r="F699" s="70" t="s">
        <v>1277</v>
      </c>
      <c r="G699" s="73"/>
      <c r="H699" s="76"/>
      <c r="I699" s="96" t="s">
        <v>497</v>
      </c>
      <c r="J699" s="96"/>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v>1</v>
      </c>
      <c r="AJ699" s="76">
        <v>1</v>
      </c>
      <c r="AK699" s="73"/>
      <c r="AL699" s="57"/>
      <c r="AM699" s="45"/>
      <c r="AN699" s="45"/>
      <c r="AO699" s="45"/>
    </row>
    <row r="700" spans="1:41" hidden="1" outlineLevel="3" x14ac:dyDescent="0.25">
      <c r="A700" s="45"/>
      <c r="B700" s="54"/>
      <c r="C700" s="47">
        <f t="shared" si="182"/>
        <v>3</v>
      </c>
      <c r="D700" s="73"/>
      <c r="E700" s="70"/>
      <c r="F700" s="70" t="s">
        <v>1278</v>
      </c>
      <c r="G700" s="73"/>
      <c r="H700" s="76"/>
      <c r="I700" s="96" t="s">
        <v>497</v>
      </c>
      <c r="J700" s="96"/>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v>1</v>
      </c>
      <c r="AJ700" s="76">
        <v>1</v>
      </c>
      <c r="AK700" s="73"/>
      <c r="AL700" s="57"/>
      <c r="AM700" s="45"/>
      <c r="AN700" s="45"/>
      <c r="AO700" s="45"/>
    </row>
    <row r="701" spans="1:41" hidden="1" outlineLevel="2" x14ac:dyDescent="0.25">
      <c r="A701" s="45"/>
      <c r="B701" s="54"/>
      <c r="C701" s="47">
        <f t="shared" si="182"/>
        <v>3</v>
      </c>
      <c r="D701" s="73"/>
      <c r="E701" s="70"/>
      <c r="F701" s="70" t="s">
        <v>1279</v>
      </c>
      <c r="G701" s="73"/>
      <c r="H701" s="76" t="s">
        <v>1280</v>
      </c>
      <c r="I701" s="96" t="s">
        <v>497</v>
      </c>
      <c r="J701" s="96"/>
      <c r="K701" s="76"/>
      <c r="L701" s="76"/>
      <c r="M701" s="76"/>
      <c r="N701" s="76"/>
      <c r="O701" s="76"/>
      <c r="P701" s="76"/>
      <c r="Q701" s="76"/>
      <c r="R701" s="76"/>
      <c r="S701" s="76"/>
      <c r="T701" s="76"/>
      <c r="U701" s="97">
        <v>0</v>
      </c>
      <c r="V701" s="97">
        <v>0</v>
      </c>
      <c r="W701" s="97">
        <v>0</v>
      </c>
      <c r="X701" s="97">
        <v>0</v>
      </c>
      <c r="Y701" s="97">
        <v>0</v>
      </c>
      <c r="Z701" s="97">
        <v>0</v>
      </c>
      <c r="AA701" s="97">
        <v>0</v>
      </c>
      <c r="AB701" s="97">
        <v>0</v>
      </c>
      <c r="AC701" s="97">
        <v>0</v>
      </c>
      <c r="AD701" s="97">
        <v>0</v>
      </c>
      <c r="AE701" s="97">
        <v>0</v>
      </c>
      <c r="AF701" s="76"/>
      <c r="AG701" s="97" t="s">
        <v>1281</v>
      </c>
      <c r="AH701" s="76"/>
      <c r="AI701" s="97">
        <v>1</v>
      </c>
      <c r="AJ701" s="97">
        <v>1</v>
      </c>
      <c r="AK701" s="73"/>
      <c r="AL701" s="57"/>
      <c r="AM701" s="45"/>
      <c r="AN701" s="45"/>
      <c r="AO701" s="45"/>
    </row>
    <row r="702" spans="1:41" hidden="1" outlineLevel="2" x14ac:dyDescent="0.25">
      <c r="A702" s="45"/>
      <c r="B702" s="54"/>
      <c r="C702" s="47">
        <f t="shared" si="182"/>
        <v>3</v>
      </c>
      <c r="D702" s="73"/>
      <c r="E702" s="70"/>
      <c r="F702" s="70" t="s">
        <v>1282</v>
      </c>
      <c r="G702" s="73"/>
      <c r="H702" s="76" t="s">
        <v>2614</v>
      </c>
      <c r="I702" s="96" t="s">
        <v>497</v>
      </c>
      <c r="J702" s="96"/>
      <c r="K702" s="76"/>
      <c r="L702" s="76"/>
      <c r="M702" s="76"/>
      <c r="N702" s="76"/>
      <c r="O702" s="76"/>
      <c r="P702" s="76"/>
      <c r="Q702" s="76"/>
      <c r="R702" s="76"/>
      <c r="S702" s="76"/>
      <c r="T702" s="76"/>
      <c r="U702" s="97">
        <v>0.34200000000000003</v>
      </c>
      <c r="V702" s="97">
        <v>0.34200000000000003</v>
      </c>
      <c r="W702" s="97">
        <v>0.34200000000000003</v>
      </c>
      <c r="X702" s="97">
        <v>0.34200000000000003</v>
      </c>
      <c r="Y702" s="97">
        <v>0.34200000000000003</v>
      </c>
      <c r="Z702" s="97">
        <v>0.34200000000000003</v>
      </c>
      <c r="AA702" s="97">
        <v>0.34200000000000003</v>
      </c>
      <c r="AB702" s="255">
        <f>AA702</f>
        <v>0.34200000000000003</v>
      </c>
      <c r="AC702" s="255">
        <f>AB702</f>
        <v>0.34200000000000003</v>
      </c>
      <c r="AD702" s="255">
        <f>AC702</f>
        <v>0.34200000000000003</v>
      </c>
      <c r="AE702" s="255">
        <f>AD702</f>
        <v>0.34200000000000003</v>
      </c>
      <c r="AF702" s="76"/>
      <c r="AG702" s="97" t="s">
        <v>1283</v>
      </c>
      <c r="AH702" s="76"/>
      <c r="AI702" s="97">
        <v>1</v>
      </c>
      <c r="AJ702" s="97">
        <v>1</v>
      </c>
      <c r="AK702" s="73"/>
      <c r="AL702" s="57"/>
      <c r="AM702" s="45"/>
      <c r="AN702" s="45"/>
      <c r="AO702" s="45"/>
    </row>
    <row r="703" spans="1:41" hidden="1" outlineLevel="2" x14ac:dyDescent="0.25">
      <c r="A703" s="45"/>
      <c r="B703" s="54"/>
      <c r="C703" s="47">
        <f t="shared" si="182"/>
        <v>3</v>
      </c>
      <c r="D703" s="73"/>
      <c r="E703" s="70"/>
      <c r="F703" s="70" t="s">
        <v>1284</v>
      </c>
      <c r="G703" s="73"/>
      <c r="H703" s="76" t="s">
        <v>2615</v>
      </c>
      <c r="I703" s="96" t="s">
        <v>497</v>
      </c>
      <c r="J703" s="96"/>
      <c r="K703" s="76"/>
      <c r="L703" s="76"/>
      <c r="M703" s="76"/>
      <c r="N703" s="76"/>
      <c r="O703" s="76"/>
      <c r="P703" s="76"/>
      <c r="Q703" s="76"/>
      <c r="R703" s="76"/>
      <c r="S703" s="76"/>
      <c r="T703" s="76"/>
      <c r="U703" s="76">
        <v>0</v>
      </c>
      <c r="V703" s="76">
        <v>0</v>
      </c>
      <c r="W703" s="76">
        <v>0</v>
      </c>
      <c r="X703" s="76">
        <v>0</v>
      </c>
      <c r="Y703" s="76">
        <v>0</v>
      </c>
      <c r="Z703" s="76">
        <v>0</v>
      </c>
      <c r="AA703" s="76">
        <v>0</v>
      </c>
      <c r="AB703" s="76">
        <v>0</v>
      </c>
      <c r="AC703" s="76">
        <v>0</v>
      </c>
      <c r="AD703" s="76">
        <v>0</v>
      </c>
      <c r="AE703" s="76">
        <v>0</v>
      </c>
      <c r="AF703" s="76"/>
      <c r="AG703" s="76"/>
      <c r="AH703" s="76"/>
      <c r="AI703" s="97">
        <v>1</v>
      </c>
      <c r="AJ703" s="97">
        <v>1</v>
      </c>
      <c r="AK703" s="73"/>
      <c r="AL703" s="57"/>
      <c r="AM703" s="45"/>
      <c r="AN703" s="45"/>
      <c r="AO703" s="45"/>
    </row>
    <row r="704" spans="1:41" hidden="1" outlineLevel="2" x14ac:dyDescent="0.25">
      <c r="A704" s="45"/>
      <c r="B704" s="54"/>
      <c r="C704" s="47">
        <f t="shared" si="182"/>
        <v>3</v>
      </c>
      <c r="D704" s="73"/>
      <c r="E704" s="70"/>
      <c r="F704" s="70" t="s">
        <v>1285</v>
      </c>
      <c r="G704" s="73"/>
      <c r="H704" s="76" t="s">
        <v>1286</v>
      </c>
      <c r="I704" s="96" t="s">
        <v>497</v>
      </c>
      <c r="J704" s="96"/>
      <c r="K704" s="76"/>
      <c r="L704" s="76"/>
      <c r="M704" s="76"/>
      <c r="N704" s="76"/>
      <c r="O704" s="76"/>
      <c r="P704" s="76"/>
      <c r="Q704" s="76"/>
      <c r="R704" s="76"/>
      <c r="S704" s="76"/>
      <c r="T704" s="76"/>
      <c r="U704" s="97">
        <v>0</v>
      </c>
      <c r="V704" s="97">
        <v>0</v>
      </c>
      <c r="W704" s="97">
        <v>0</v>
      </c>
      <c r="X704" s="97">
        <v>0</v>
      </c>
      <c r="Y704" s="97">
        <v>0</v>
      </c>
      <c r="Z704" s="97">
        <v>0</v>
      </c>
      <c r="AA704" s="97">
        <v>0</v>
      </c>
      <c r="AB704" s="255">
        <f t="shared" ref="AB704:AE706" si="201">AA704</f>
        <v>0</v>
      </c>
      <c r="AC704" s="255">
        <f t="shared" si="201"/>
        <v>0</v>
      </c>
      <c r="AD704" s="255">
        <f t="shared" si="201"/>
        <v>0</v>
      </c>
      <c r="AE704" s="255">
        <f t="shared" si="201"/>
        <v>0</v>
      </c>
      <c r="AF704" s="76"/>
      <c r="AG704" s="76"/>
      <c r="AH704" s="76"/>
      <c r="AI704" s="97">
        <v>1</v>
      </c>
      <c r="AJ704" s="97">
        <v>1</v>
      </c>
      <c r="AK704" s="73"/>
      <c r="AL704" s="57"/>
      <c r="AM704" s="45"/>
      <c r="AN704" s="45"/>
      <c r="AO704" s="45"/>
    </row>
    <row r="705" spans="1:41" hidden="1" outlineLevel="2" x14ac:dyDescent="0.25">
      <c r="A705" s="45"/>
      <c r="B705" s="54"/>
      <c r="C705" s="47">
        <f t="shared" si="182"/>
        <v>3</v>
      </c>
      <c r="D705" s="73"/>
      <c r="E705" s="70"/>
      <c r="F705" s="70" t="s">
        <v>1287</v>
      </c>
      <c r="G705" s="73"/>
      <c r="H705" s="76" t="s">
        <v>2614</v>
      </c>
      <c r="I705" s="96" t="s">
        <v>497</v>
      </c>
      <c r="J705" s="96"/>
      <c r="K705" s="76"/>
      <c r="L705" s="76"/>
      <c r="M705" s="76"/>
      <c r="N705" s="76"/>
      <c r="O705" s="76"/>
      <c r="P705" s="76"/>
      <c r="Q705" s="76"/>
      <c r="R705" s="76"/>
      <c r="S705" s="76"/>
      <c r="T705" s="76"/>
      <c r="U705" s="97">
        <v>0</v>
      </c>
      <c r="V705" s="97">
        <v>0</v>
      </c>
      <c r="W705" s="97">
        <v>0</v>
      </c>
      <c r="X705" s="97">
        <v>0</v>
      </c>
      <c r="Y705" s="97">
        <v>0</v>
      </c>
      <c r="Z705" s="97">
        <v>0</v>
      </c>
      <c r="AA705" s="97">
        <v>0</v>
      </c>
      <c r="AB705" s="255">
        <f t="shared" si="201"/>
        <v>0</v>
      </c>
      <c r="AC705" s="255">
        <f t="shared" si="201"/>
        <v>0</v>
      </c>
      <c r="AD705" s="255">
        <f t="shared" si="201"/>
        <v>0</v>
      </c>
      <c r="AE705" s="255">
        <f t="shared" si="201"/>
        <v>0</v>
      </c>
      <c r="AF705" s="76"/>
      <c r="AG705" s="76"/>
      <c r="AH705" s="76"/>
      <c r="AI705" s="97">
        <v>1</v>
      </c>
      <c r="AJ705" s="97">
        <v>1</v>
      </c>
      <c r="AK705" s="73"/>
      <c r="AL705" s="57"/>
      <c r="AM705" s="45"/>
      <c r="AN705" s="45"/>
      <c r="AO705" s="45"/>
    </row>
    <row r="706" spans="1:41" hidden="1" outlineLevel="2" x14ac:dyDescent="0.25">
      <c r="A706" s="45"/>
      <c r="B706" s="54"/>
      <c r="C706" s="47">
        <f t="shared" si="182"/>
        <v>3</v>
      </c>
      <c r="D706" s="73"/>
      <c r="E706" s="70"/>
      <c r="F706" s="70" t="s">
        <v>1288</v>
      </c>
      <c r="G706" s="73"/>
      <c r="H706" s="76" t="s">
        <v>2615</v>
      </c>
      <c r="I706" s="96" t="s">
        <v>497</v>
      </c>
      <c r="J706" s="96"/>
      <c r="K706" s="76"/>
      <c r="L706" s="76"/>
      <c r="M706" s="76"/>
      <c r="N706" s="76"/>
      <c r="O706" s="76"/>
      <c r="P706" s="76"/>
      <c r="Q706" s="76"/>
      <c r="R706" s="76"/>
      <c r="S706" s="76"/>
      <c r="T706" s="76"/>
      <c r="U706" s="97">
        <v>0</v>
      </c>
      <c r="V706" s="97">
        <v>0</v>
      </c>
      <c r="W706" s="97">
        <v>0</v>
      </c>
      <c r="X706" s="97">
        <v>0</v>
      </c>
      <c r="Y706" s="97">
        <v>0</v>
      </c>
      <c r="Z706" s="97">
        <v>0</v>
      </c>
      <c r="AA706" s="97">
        <v>0</v>
      </c>
      <c r="AB706" s="255">
        <f t="shared" si="201"/>
        <v>0</v>
      </c>
      <c r="AC706" s="255">
        <f t="shared" si="201"/>
        <v>0</v>
      </c>
      <c r="AD706" s="255">
        <f t="shared" si="201"/>
        <v>0</v>
      </c>
      <c r="AE706" s="255">
        <f t="shared" si="201"/>
        <v>0</v>
      </c>
      <c r="AF706" s="76"/>
      <c r="AG706" s="76"/>
      <c r="AH706" s="76"/>
      <c r="AI706" s="97">
        <v>1</v>
      </c>
      <c r="AJ706" s="97">
        <v>1</v>
      </c>
      <c r="AK706" s="73"/>
      <c r="AL706" s="57"/>
      <c r="AM706" s="45"/>
      <c r="AN706" s="45"/>
      <c r="AO706" s="45"/>
    </row>
    <row r="707" spans="1:41" hidden="1" outlineLevel="2" x14ac:dyDescent="0.25">
      <c r="A707" s="45"/>
      <c r="B707" s="54"/>
      <c r="C707" s="47">
        <f t="shared" si="182"/>
        <v>3</v>
      </c>
      <c r="D707" s="73"/>
      <c r="E707" s="70"/>
      <c r="F707" s="70" t="s">
        <v>1289</v>
      </c>
      <c r="G707" s="73"/>
      <c r="H707" s="76" t="s">
        <v>2931</v>
      </c>
      <c r="I707" s="96" t="s">
        <v>497</v>
      </c>
      <c r="J707" s="96"/>
      <c r="K707" s="76"/>
      <c r="L707" s="76"/>
      <c r="M707" s="76"/>
      <c r="N707" s="76"/>
      <c r="O707" s="76"/>
      <c r="P707" s="76"/>
      <c r="Q707" s="76"/>
      <c r="R707" s="76"/>
      <c r="S707" s="76"/>
      <c r="T707" s="76"/>
      <c r="U707" s="97">
        <v>4.7E-2</v>
      </c>
      <c r="V707" s="97">
        <v>4.7E-2</v>
      </c>
      <c r="W707" s="97">
        <v>4.7E-2</v>
      </c>
      <c r="X707" s="97">
        <v>4.7E-2</v>
      </c>
      <c r="Y707" s="97">
        <v>4.7E-2</v>
      </c>
      <c r="Z707" s="97">
        <v>4.7E-2</v>
      </c>
      <c r="AA707" s="97">
        <v>4.7E-2</v>
      </c>
      <c r="AB707" s="97">
        <v>4.7E-2</v>
      </c>
      <c r="AC707" s="97">
        <v>4.7E-2</v>
      </c>
      <c r="AD707" s="97">
        <v>4.7E-2</v>
      </c>
      <c r="AE707" s="97">
        <v>4.7E-2</v>
      </c>
      <c r="AF707" s="76"/>
      <c r="AG707" s="97" t="s">
        <v>2932</v>
      </c>
      <c r="AH707" s="76"/>
      <c r="AI707" s="97">
        <v>1</v>
      </c>
      <c r="AJ707" s="97">
        <v>1</v>
      </c>
      <c r="AK707" s="73"/>
      <c r="AL707" s="57"/>
      <c r="AM707" s="45"/>
      <c r="AN707" s="45"/>
      <c r="AO707" s="45"/>
    </row>
    <row r="708" spans="1:41" hidden="1" outlineLevel="2" x14ac:dyDescent="0.25">
      <c r="A708" s="45"/>
      <c r="B708" s="54"/>
      <c r="C708" s="47">
        <f t="shared" si="182"/>
        <v>3</v>
      </c>
      <c r="D708" s="73"/>
      <c r="E708" s="70"/>
      <c r="F708" s="70" t="s">
        <v>1290</v>
      </c>
      <c r="G708" s="73"/>
      <c r="H708" s="76" t="s">
        <v>2614</v>
      </c>
      <c r="I708" s="96" t="s">
        <v>497</v>
      </c>
      <c r="J708" s="96"/>
      <c r="K708" s="76"/>
      <c r="L708" s="76"/>
      <c r="M708" s="76"/>
      <c r="N708" s="76"/>
      <c r="O708" s="76"/>
      <c r="P708" s="76"/>
      <c r="Q708" s="76"/>
      <c r="R708" s="76"/>
      <c r="S708" s="76"/>
      <c r="T708" s="76"/>
      <c r="U708" s="97">
        <v>5.0999999999999997E-2</v>
      </c>
      <c r="V708" s="97">
        <v>5.0999999999999997E-2</v>
      </c>
      <c r="W708" s="97">
        <v>5.0999999999999997E-2</v>
      </c>
      <c r="X708" s="97">
        <v>5.0999999999999997E-2</v>
      </c>
      <c r="Y708" s="97">
        <v>5.0999999999999997E-2</v>
      </c>
      <c r="Z708" s="97">
        <v>5.0999999999999997E-2</v>
      </c>
      <c r="AA708" s="97">
        <v>5.0999999999999997E-2</v>
      </c>
      <c r="AB708" s="97">
        <v>5.0999999999999997E-2</v>
      </c>
      <c r="AC708" s="97">
        <v>5.0999999999999997E-2</v>
      </c>
      <c r="AD708" s="97">
        <v>5.0999999999999997E-2</v>
      </c>
      <c r="AE708" s="97">
        <v>5.0999999999999997E-2</v>
      </c>
      <c r="AF708" s="76"/>
      <c r="AG708" s="76"/>
      <c r="AH708" s="76"/>
      <c r="AI708" s="97">
        <v>1</v>
      </c>
      <c r="AJ708" s="97">
        <v>1</v>
      </c>
      <c r="AK708" s="73"/>
      <c r="AL708" s="57"/>
      <c r="AM708" s="45"/>
      <c r="AN708" s="45"/>
      <c r="AO708" s="45"/>
    </row>
    <row r="709" spans="1:41" hidden="1" outlineLevel="2" collapsed="1" x14ac:dyDescent="0.25">
      <c r="A709" s="45"/>
      <c r="B709" s="54"/>
      <c r="C709" s="47">
        <f t="shared" si="182"/>
        <v>3</v>
      </c>
      <c r="D709" s="73"/>
      <c r="E709" s="70"/>
      <c r="F709" s="70" t="s">
        <v>1291</v>
      </c>
      <c r="G709" s="73"/>
      <c r="H709" s="76" t="s">
        <v>2615</v>
      </c>
      <c r="I709" s="96" t="s">
        <v>497</v>
      </c>
      <c r="J709" s="96"/>
      <c r="K709" s="76"/>
      <c r="L709" s="76"/>
      <c r="M709" s="76"/>
      <c r="N709" s="76"/>
      <c r="O709" s="76"/>
      <c r="P709" s="76"/>
      <c r="Q709" s="76"/>
      <c r="R709" s="76"/>
      <c r="S709" s="76"/>
      <c r="T709" s="76"/>
      <c r="U709" s="97">
        <v>5.0999999999999997E-2</v>
      </c>
      <c r="V709" s="97">
        <v>5.0999999999999997E-2</v>
      </c>
      <c r="W709" s="97">
        <v>5.0999999999999997E-2</v>
      </c>
      <c r="X709" s="97">
        <v>5.0999999999999997E-2</v>
      </c>
      <c r="Y709" s="97">
        <v>5.0999999999999997E-2</v>
      </c>
      <c r="Z709" s="97">
        <v>5.0999999999999997E-2</v>
      </c>
      <c r="AA709" s="97">
        <v>5.0999999999999997E-2</v>
      </c>
      <c r="AB709" s="97">
        <v>5.0999999999999997E-2</v>
      </c>
      <c r="AC709" s="97">
        <v>5.0999999999999997E-2</v>
      </c>
      <c r="AD709" s="97">
        <v>5.0999999999999997E-2</v>
      </c>
      <c r="AE709" s="97">
        <v>5.0999999999999997E-2</v>
      </c>
      <c r="AF709" s="76"/>
      <c r="AG709" s="76"/>
      <c r="AH709" s="76"/>
      <c r="AI709" s="97">
        <v>1</v>
      </c>
      <c r="AJ709" s="97">
        <v>1</v>
      </c>
      <c r="AK709" s="73"/>
      <c r="AL709" s="57"/>
      <c r="AM709" s="45"/>
      <c r="AN709" s="45"/>
      <c r="AO709" s="45"/>
    </row>
    <row r="710" spans="1:41" hidden="1" outlineLevel="3" x14ac:dyDescent="0.25">
      <c r="A710" s="45"/>
      <c r="B710" s="54"/>
      <c r="C710" s="47">
        <f t="shared" si="182"/>
        <v>3</v>
      </c>
      <c r="D710" s="73"/>
      <c r="E710" s="70"/>
      <c r="F710" s="70" t="s">
        <v>1292</v>
      </c>
      <c r="G710" s="73"/>
      <c r="H710" s="76" t="s">
        <v>599</v>
      </c>
      <c r="I710" s="96" t="s">
        <v>497</v>
      </c>
      <c r="J710" s="96"/>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v>1</v>
      </c>
      <c r="AJ710" s="76">
        <v>1</v>
      </c>
      <c r="AK710" s="73"/>
      <c r="AL710" s="57"/>
      <c r="AM710" s="45"/>
      <c r="AN710" s="45"/>
      <c r="AO710" s="45"/>
    </row>
    <row r="711" spans="1:41" hidden="1" outlineLevel="3" x14ac:dyDescent="0.25">
      <c r="A711" s="45"/>
      <c r="B711" s="54"/>
      <c r="C711" s="47">
        <f t="shared" si="182"/>
        <v>3</v>
      </c>
      <c r="D711" s="73"/>
      <c r="E711" s="70"/>
      <c r="F711" s="70" t="s">
        <v>1294</v>
      </c>
      <c r="G711" s="73"/>
      <c r="H711" s="76"/>
      <c r="I711" s="96" t="s">
        <v>497</v>
      </c>
      <c r="J711" s="96"/>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v>1</v>
      </c>
      <c r="AJ711" s="76">
        <v>1</v>
      </c>
      <c r="AK711" s="73"/>
      <c r="AL711" s="57"/>
      <c r="AM711" s="45"/>
      <c r="AN711" s="45"/>
      <c r="AO711" s="45"/>
    </row>
    <row r="712" spans="1:41" hidden="1" outlineLevel="3" x14ac:dyDescent="0.25">
      <c r="A712" s="45"/>
      <c r="B712" s="54"/>
      <c r="C712" s="47">
        <f t="shared" si="182"/>
        <v>3</v>
      </c>
      <c r="D712" s="73"/>
      <c r="E712" s="70"/>
      <c r="F712" s="70" t="s">
        <v>1296</v>
      </c>
      <c r="G712" s="73"/>
      <c r="H712" s="76"/>
      <c r="I712" s="96" t="s">
        <v>497</v>
      </c>
      <c r="J712" s="9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v>1</v>
      </c>
      <c r="AJ712" s="76">
        <v>1</v>
      </c>
      <c r="AK712" s="73"/>
      <c r="AL712" s="57"/>
      <c r="AM712" s="45"/>
      <c r="AN712" s="45"/>
      <c r="AO712" s="45"/>
    </row>
    <row r="713" spans="1:41" outlineLevel="1" collapsed="1" x14ac:dyDescent="0.25">
      <c r="A713" s="45"/>
      <c r="B713" s="54"/>
      <c r="C713" s="47">
        <f>INT($C$29)+1</f>
        <v>2</v>
      </c>
      <c r="D713" s="73"/>
      <c r="E713" s="70"/>
      <c r="F713" s="256" t="s">
        <v>1297</v>
      </c>
      <c r="G713" s="73"/>
      <c r="H713" s="246" t="s">
        <v>1298</v>
      </c>
      <c r="I713" s="129"/>
      <c r="J713" s="129" t="s">
        <v>1038</v>
      </c>
      <c r="K713" s="79">
        <v>19</v>
      </c>
      <c r="L713" s="79">
        <v>6</v>
      </c>
      <c r="M713" s="79">
        <v>-4</v>
      </c>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3"/>
      <c r="AL713" s="57"/>
      <c r="AM713" s="45"/>
      <c r="AN713" s="45"/>
      <c r="AO713" s="45"/>
    </row>
    <row r="714" spans="1:41" hidden="1" outlineLevel="2" collapsed="1" x14ac:dyDescent="0.25">
      <c r="A714" s="45"/>
      <c r="B714" s="54"/>
      <c r="C714" s="47">
        <f t="shared" ref="C714:C761" si="202">INT($C$29)+3</f>
        <v>4</v>
      </c>
      <c r="D714" s="73"/>
      <c r="E714" s="70"/>
      <c r="F714" s="70" t="s">
        <v>1299</v>
      </c>
      <c r="G714" s="73"/>
      <c r="H714" s="76" t="s">
        <v>599</v>
      </c>
      <c r="I714" s="96"/>
      <c r="J714" s="96"/>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v>1</v>
      </c>
      <c r="AJ714" s="76">
        <v>1</v>
      </c>
      <c r="AK714" s="73"/>
      <c r="AL714" s="57"/>
      <c r="AM714" s="45"/>
      <c r="AN714" s="45"/>
      <c r="AO714" s="45"/>
    </row>
    <row r="715" spans="1:41" hidden="1" outlineLevel="3" x14ac:dyDescent="0.25">
      <c r="A715" s="45"/>
      <c r="B715" s="54"/>
      <c r="C715" s="47">
        <f t="shared" si="202"/>
        <v>4</v>
      </c>
      <c r="D715" s="73"/>
      <c r="E715" s="70"/>
      <c r="F715" s="70" t="s">
        <v>1300</v>
      </c>
      <c r="G715" s="73"/>
      <c r="H715" s="76"/>
      <c r="I715" s="96"/>
      <c r="J715" s="96"/>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v>1</v>
      </c>
      <c r="AJ715" s="76">
        <v>1</v>
      </c>
      <c r="AK715" s="73"/>
      <c r="AL715" s="57"/>
      <c r="AM715" s="45"/>
      <c r="AN715" s="45"/>
      <c r="AO715" s="45"/>
    </row>
    <row r="716" spans="1:41" hidden="1" outlineLevel="3" x14ac:dyDescent="0.25">
      <c r="A716" s="45"/>
      <c r="B716" s="54"/>
      <c r="C716" s="47">
        <f t="shared" si="202"/>
        <v>4</v>
      </c>
      <c r="D716" s="73"/>
      <c r="E716" s="70"/>
      <c r="F716" s="70" t="s">
        <v>1301</v>
      </c>
      <c r="G716" s="73"/>
      <c r="H716" s="76"/>
      <c r="I716" s="96"/>
      <c r="J716" s="9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v>1</v>
      </c>
      <c r="AJ716" s="76">
        <v>1</v>
      </c>
      <c r="AK716" s="73"/>
      <c r="AL716" s="57"/>
      <c r="AM716" s="45"/>
      <c r="AN716" s="45"/>
      <c r="AO716" s="45"/>
    </row>
    <row r="717" spans="1:41" hidden="1" outlineLevel="3" x14ac:dyDescent="0.25">
      <c r="A717" s="45"/>
      <c r="B717" s="54"/>
      <c r="C717" s="47">
        <f t="shared" si="202"/>
        <v>4</v>
      </c>
      <c r="D717" s="73"/>
      <c r="E717" s="70"/>
      <c r="F717" s="70" t="s">
        <v>1302</v>
      </c>
      <c r="G717" s="73"/>
      <c r="H717" s="76"/>
      <c r="I717" s="96"/>
      <c r="J717" s="96"/>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v>1</v>
      </c>
      <c r="AJ717" s="76">
        <v>1</v>
      </c>
      <c r="AK717" s="73"/>
      <c r="AL717" s="57"/>
      <c r="AM717" s="45"/>
      <c r="AN717" s="45"/>
      <c r="AO717" s="45"/>
    </row>
    <row r="718" spans="1:41" hidden="1" outlineLevel="3" x14ac:dyDescent="0.25">
      <c r="A718" s="45"/>
      <c r="B718" s="54"/>
      <c r="C718" s="47">
        <f t="shared" si="202"/>
        <v>4</v>
      </c>
      <c r="D718" s="73"/>
      <c r="E718" s="70"/>
      <c r="F718" s="70" t="s">
        <v>1303</v>
      </c>
      <c r="G718" s="73"/>
      <c r="H718" s="76"/>
      <c r="I718" s="96"/>
      <c r="J718" s="96"/>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v>1</v>
      </c>
      <c r="AJ718" s="76">
        <v>1</v>
      </c>
      <c r="AK718" s="73"/>
      <c r="AL718" s="57"/>
      <c r="AM718" s="45"/>
      <c r="AN718" s="45"/>
      <c r="AO718" s="45"/>
    </row>
    <row r="719" spans="1:41" hidden="1" outlineLevel="3" x14ac:dyDescent="0.25">
      <c r="A719" s="45"/>
      <c r="B719" s="54"/>
      <c r="C719" s="47">
        <f t="shared" si="202"/>
        <v>4</v>
      </c>
      <c r="D719" s="73"/>
      <c r="E719" s="70"/>
      <c r="F719" s="70" t="s">
        <v>1304</v>
      </c>
      <c r="G719" s="73"/>
      <c r="H719" s="76"/>
      <c r="I719" s="96"/>
      <c r="J719" s="96"/>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v>1</v>
      </c>
      <c r="AJ719" s="76">
        <v>1</v>
      </c>
      <c r="AK719" s="73"/>
      <c r="AL719" s="57"/>
      <c r="AM719" s="45"/>
      <c r="AN719" s="45"/>
      <c r="AO719" s="45"/>
    </row>
    <row r="720" spans="1:41" hidden="1" outlineLevel="3" x14ac:dyDescent="0.25">
      <c r="A720" s="45"/>
      <c r="B720" s="54"/>
      <c r="C720" s="47">
        <f t="shared" si="202"/>
        <v>4</v>
      </c>
      <c r="D720" s="73"/>
      <c r="E720" s="70"/>
      <c r="F720" s="70" t="s">
        <v>1305</v>
      </c>
      <c r="G720" s="73"/>
      <c r="H720" s="76" t="s">
        <v>599</v>
      </c>
      <c r="I720" s="96"/>
      <c r="J720" s="96"/>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v>1</v>
      </c>
      <c r="AJ720" s="76">
        <v>1</v>
      </c>
      <c r="AK720" s="73"/>
      <c r="AL720" s="57"/>
      <c r="AM720" s="45"/>
      <c r="AN720" s="45"/>
      <c r="AO720" s="45"/>
    </row>
    <row r="721" spans="1:41" hidden="1" outlineLevel="3" x14ac:dyDescent="0.25">
      <c r="A721" s="45"/>
      <c r="B721" s="54"/>
      <c r="C721" s="47">
        <f t="shared" si="202"/>
        <v>4</v>
      </c>
      <c r="D721" s="73"/>
      <c r="E721" s="70"/>
      <c r="F721" s="70" t="s">
        <v>1306</v>
      </c>
      <c r="G721" s="73"/>
      <c r="H721" s="76"/>
      <c r="I721" s="96"/>
      <c r="J721" s="96"/>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v>1</v>
      </c>
      <c r="AJ721" s="76">
        <v>1</v>
      </c>
      <c r="AK721" s="73"/>
      <c r="AL721" s="57"/>
      <c r="AM721" s="45"/>
      <c r="AN721" s="45"/>
      <c r="AO721" s="45"/>
    </row>
    <row r="722" spans="1:41" hidden="1" outlineLevel="3" x14ac:dyDescent="0.25">
      <c r="A722" s="45"/>
      <c r="B722" s="54"/>
      <c r="C722" s="47">
        <f t="shared" si="202"/>
        <v>4</v>
      </c>
      <c r="D722" s="73"/>
      <c r="E722" s="70"/>
      <c r="F722" s="70" t="s">
        <v>1307</v>
      </c>
      <c r="G722" s="73"/>
      <c r="H722" s="76"/>
      <c r="I722" s="96"/>
      <c r="J722" s="96"/>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v>1</v>
      </c>
      <c r="AJ722" s="76">
        <v>1</v>
      </c>
      <c r="AK722" s="73"/>
      <c r="AL722" s="57"/>
      <c r="AM722" s="45"/>
      <c r="AN722" s="45"/>
      <c r="AO722" s="45"/>
    </row>
    <row r="723" spans="1:41" hidden="1" outlineLevel="3" x14ac:dyDescent="0.25">
      <c r="A723" s="45"/>
      <c r="B723" s="54"/>
      <c r="C723" s="47">
        <f t="shared" si="202"/>
        <v>4</v>
      </c>
      <c r="D723" s="73"/>
      <c r="E723" s="70"/>
      <c r="F723" s="70" t="s">
        <v>1308</v>
      </c>
      <c r="G723" s="73"/>
      <c r="H723" s="76"/>
      <c r="I723" s="96"/>
      <c r="J723" s="96"/>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v>1</v>
      </c>
      <c r="AJ723" s="76">
        <v>1</v>
      </c>
      <c r="AK723" s="73"/>
      <c r="AL723" s="57"/>
      <c r="AM723" s="45"/>
      <c r="AN723" s="45"/>
      <c r="AO723" s="45"/>
    </row>
    <row r="724" spans="1:41" hidden="1" outlineLevel="3" x14ac:dyDescent="0.25">
      <c r="A724" s="45"/>
      <c r="B724" s="54"/>
      <c r="C724" s="47">
        <f t="shared" si="202"/>
        <v>4</v>
      </c>
      <c r="D724" s="73"/>
      <c r="E724" s="70"/>
      <c r="F724" s="70" t="s">
        <v>1309</v>
      </c>
      <c r="G724" s="73"/>
      <c r="H724" s="76"/>
      <c r="I724" s="96"/>
      <c r="J724" s="96"/>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v>1</v>
      </c>
      <c r="AJ724" s="76">
        <v>1</v>
      </c>
      <c r="AK724" s="73"/>
      <c r="AL724" s="57"/>
      <c r="AM724" s="45"/>
      <c r="AN724" s="45"/>
      <c r="AO724" s="45"/>
    </row>
    <row r="725" spans="1:41" hidden="1" outlineLevel="3" x14ac:dyDescent="0.25">
      <c r="A725" s="45"/>
      <c r="B725" s="54"/>
      <c r="C725" s="47">
        <f t="shared" si="202"/>
        <v>4</v>
      </c>
      <c r="D725" s="73"/>
      <c r="E725" s="70"/>
      <c r="F725" s="70" t="s">
        <v>1310</v>
      </c>
      <c r="G725" s="73"/>
      <c r="H725" s="76"/>
      <c r="I725" s="96"/>
      <c r="J725" s="96"/>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v>1</v>
      </c>
      <c r="AJ725" s="76">
        <v>1</v>
      </c>
      <c r="AK725" s="73"/>
      <c r="AL725" s="57"/>
      <c r="AM725" s="45"/>
      <c r="AN725" s="45"/>
      <c r="AO725" s="45"/>
    </row>
    <row r="726" spans="1:41" hidden="1" outlineLevel="3" x14ac:dyDescent="0.25">
      <c r="A726" s="45"/>
      <c r="B726" s="54"/>
      <c r="C726" s="47">
        <f t="shared" si="202"/>
        <v>4</v>
      </c>
      <c r="D726" s="73"/>
      <c r="E726" s="70"/>
      <c r="F726" s="70" t="s">
        <v>1311</v>
      </c>
      <c r="G726" s="73"/>
      <c r="H726" s="76" t="s">
        <v>599</v>
      </c>
      <c r="I726" s="96"/>
      <c r="J726" s="96"/>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v>1</v>
      </c>
      <c r="AJ726" s="76">
        <v>1</v>
      </c>
      <c r="AK726" s="73"/>
      <c r="AL726" s="57"/>
      <c r="AM726" s="45"/>
      <c r="AN726" s="45"/>
      <c r="AO726" s="45"/>
    </row>
    <row r="727" spans="1:41" hidden="1" outlineLevel="3" x14ac:dyDescent="0.25">
      <c r="A727" s="45"/>
      <c r="B727" s="54"/>
      <c r="C727" s="47">
        <f t="shared" si="202"/>
        <v>4</v>
      </c>
      <c r="D727" s="73"/>
      <c r="E727" s="70"/>
      <c r="F727" s="70" t="s">
        <v>1312</v>
      </c>
      <c r="G727" s="73"/>
      <c r="H727" s="76"/>
      <c r="I727" s="96"/>
      <c r="J727" s="96"/>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v>1</v>
      </c>
      <c r="AJ727" s="76">
        <v>1</v>
      </c>
      <c r="AK727" s="73"/>
      <c r="AL727" s="57"/>
      <c r="AM727" s="45"/>
      <c r="AN727" s="45"/>
      <c r="AO727" s="45"/>
    </row>
    <row r="728" spans="1:41" hidden="1" outlineLevel="3" x14ac:dyDescent="0.25">
      <c r="A728" s="45"/>
      <c r="B728" s="54"/>
      <c r="C728" s="47">
        <f t="shared" si="202"/>
        <v>4</v>
      </c>
      <c r="D728" s="73"/>
      <c r="E728" s="70"/>
      <c r="F728" s="70" t="s">
        <v>1313</v>
      </c>
      <c r="G728" s="73"/>
      <c r="H728" s="76"/>
      <c r="I728" s="96"/>
      <c r="J728" s="96"/>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v>1</v>
      </c>
      <c r="AJ728" s="76">
        <v>1</v>
      </c>
      <c r="AK728" s="73"/>
      <c r="AL728" s="57"/>
      <c r="AM728" s="45"/>
      <c r="AN728" s="45"/>
      <c r="AO728" s="45"/>
    </row>
    <row r="729" spans="1:41" hidden="1" outlineLevel="3" x14ac:dyDescent="0.25">
      <c r="A729" s="45"/>
      <c r="B729" s="54"/>
      <c r="C729" s="47">
        <f t="shared" si="202"/>
        <v>4</v>
      </c>
      <c r="D729" s="73"/>
      <c r="E729" s="70"/>
      <c r="F729" s="70" t="s">
        <v>1314</v>
      </c>
      <c r="G729" s="73"/>
      <c r="H729" s="76"/>
      <c r="I729" s="96"/>
      <c r="J729" s="96"/>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v>1</v>
      </c>
      <c r="AJ729" s="76">
        <v>1</v>
      </c>
      <c r="AK729" s="73"/>
      <c r="AL729" s="57"/>
      <c r="AM729" s="45"/>
      <c r="AN729" s="45"/>
      <c r="AO729" s="45"/>
    </row>
    <row r="730" spans="1:41" hidden="1" outlineLevel="3" x14ac:dyDescent="0.25">
      <c r="A730" s="45">
        <v>4</v>
      </c>
      <c r="B730" s="54"/>
      <c r="C730" s="47">
        <f t="shared" si="202"/>
        <v>4</v>
      </c>
      <c r="D730" s="73"/>
      <c r="E730" s="70"/>
      <c r="F730" s="70" t="s">
        <v>1315</v>
      </c>
      <c r="G730" s="73"/>
      <c r="H730" s="76"/>
      <c r="I730" s="96"/>
      <c r="J730" s="96"/>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v>1</v>
      </c>
      <c r="AJ730" s="76">
        <v>1</v>
      </c>
      <c r="AK730" s="73"/>
      <c r="AL730" s="57"/>
      <c r="AM730" s="45"/>
      <c r="AN730" s="45"/>
      <c r="AO730" s="45"/>
    </row>
    <row r="731" spans="1:41" hidden="1" outlineLevel="3" x14ac:dyDescent="0.25">
      <c r="A731" s="45">
        <f>A730</f>
        <v>4</v>
      </c>
      <c r="B731" s="54"/>
      <c r="C731" s="47">
        <f t="shared" si="202"/>
        <v>4</v>
      </c>
      <c r="D731" s="73"/>
      <c r="E731" s="70"/>
      <c r="F731" s="70" t="s">
        <v>1316</v>
      </c>
      <c r="G731" s="73"/>
      <c r="H731" s="76"/>
      <c r="I731" s="96"/>
      <c r="J731" s="96"/>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v>1</v>
      </c>
      <c r="AJ731" s="76">
        <v>1</v>
      </c>
      <c r="AK731" s="73"/>
      <c r="AL731" s="57"/>
      <c r="AM731" s="45"/>
      <c r="AN731" s="45"/>
      <c r="AO731" s="45"/>
    </row>
    <row r="732" spans="1:41" hidden="1" outlineLevel="3" x14ac:dyDescent="0.25">
      <c r="A732" s="45"/>
      <c r="B732" s="54"/>
      <c r="C732" s="47">
        <f t="shared" si="202"/>
        <v>4</v>
      </c>
      <c r="D732" s="73"/>
      <c r="E732" s="70"/>
      <c r="F732" s="70" t="s">
        <v>1317</v>
      </c>
      <c r="G732" s="73"/>
      <c r="H732" s="76" t="s">
        <v>599</v>
      </c>
      <c r="I732" s="96"/>
      <c r="J732" s="96"/>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v>1</v>
      </c>
      <c r="AJ732" s="76">
        <v>1</v>
      </c>
      <c r="AK732" s="73"/>
      <c r="AL732" s="57"/>
      <c r="AM732" s="45"/>
      <c r="AN732" s="45"/>
      <c r="AO732" s="45"/>
    </row>
    <row r="733" spans="1:41" hidden="1" outlineLevel="3" x14ac:dyDescent="0.25">
      <c r="A733" s="45"/>
      <c r="B733" s="54"/>
      <c r="C733" s="47">
        <f t="shared" si="202"/>
        <v>4</v>
      </c>
      <c r="D733" s="73"/>
      <c r="E733" s="70"/>
      <c r="F733" s="70" t="s">
        <v>1318</v>
      </c>
      <c r="G733" s="73"/>
      <c r="H733" s="76"/>
      <c r="I733" s="96"/>
      <c r="J733" s="96"/>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v>1</v>
      </c>
      <c r="AJ733" s="76">
        <v>1</v>
      </c>
      <c r="AK733" s="73"/>
      <c r="AL733" s="57"/>
      <c r="AM733" s="45"/>
      <c r="AN733" s="45"/>
      <c r="AO733" s="45"/>
    </row>
    <row r="734" spans="1:41" hidden="1" outlineLevel="3" x14ac:dyDescent="0.25">
      <c r="A734" s="45"/>
      <c r="B734" s="54"/>
      <c r="C734" s="47">
        <f t="shared" si="202"/>
        <v>4</v>
      </c>
      <c r="D734" s="73"/>
      <c r="E734" s="70"/>
      <c r="F734" s="70" t="s">
        <v>1319</v>
      </c>
      <c r="G734" s="73"/>
      <c r="H734" s="76"/>
      <c r="I734" s="96"/>
      <c r="J734" s="96"/>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v>1</v>
      </c>
      <c r="AJ734" s="76">
        <v>1</v>
      </c>
      <c r="AK734" s="73"/>
      <c r="AL734" s="57"/>
      <c r="AM734" s="45"/>
      <c r="AN734" s="45"/>
      <c r="AO734" s="45"/>
    </row>
    <row r="735" spans="1:41" hidden="1" outlineLevel="3" x14ac:dyDescent="0.25">
      <c r="A735" s="45"/>
      <c r="B735" s="54"/>
      <c r="C735" s="47">
        <f t="shared" si="202"/>
        <v>4</v>
      </c>
      <c r="D735" s="73"/>
      <c r="E735" s="70"/>
      <c r="F735" s="70" t="s">
        <v>1320</v>
      </c>
      <c r="G735" s="73"/>
      <c r="H735" s="76"/>
      <c r="I735" s="96"/>
      <c r="J735" s="96"/>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v>1</v>
      </c>
      <c r="AJ735" s="76">
        <v>1</v>
      </c>
      <c r="AK735" s="73"/>
      <c r="AL735" s="57"/>
      <c r="AM735" s="45"/>
      <c r="AN735" s="45"/>
      <c r="AO735" s="45"/>
    </row>
    <row r="736" spans="1:41" hidden="1" outlineLevel="3" x14ac:dyDescent="0.25">
      <c r="A736" s="45">
        <v>4</v>
      </c>
      <c r="B736" s="54"/>
      <c r="C736" s="47">
        <f t="shared" si="202"/>
        <v>4</v>
      </c>
      <c r="D736" s="73"/>
      <c r="E736" s="70"/>
      <c r="F736" s="70" t="s">
        <v>1321</v>
      </c>
      <c r="G736" s="73"/>
      <c r="H736" s="76"/>
      <c r="I736" s="96"/>
      <c r="J736" s="96"/>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v>1</v>
      </c>
      <c r="AJ736" s="76">
        <v>1</v>
      </c>
      <c r="AK736" s="73"/>
      <c r="AL736" s="57"/>
      <c r="AM736" s="45"/>
      <c r="AN736" s="45"/>
      <c r="AO736" s="45"/>
    </row>
    <row r="737" spans="1:41" hidden="1" outlineLevel="3" x14ac:dyDescent="0.25">
      <c r="A737" s="45">
        <f>A736</f>
        <v>4</v>
      </c>
      <c r="B737" s="54"/>
      <c r="C737" s="47">
        <f t="shared" si="202"/>
        <v>4</v>
      </c>
      <c r="D737" s="73"/>
      <c r="E737" s="70"/>
      <c r="F737" s="70" t="s">
        <v>1322</v>
      </c>
      <c r="G737" s="73"/>
      <c r="H737" s="76"/>
      <c r="I737" s="96"/>
      <c r="J737" s="96"/>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v>1</v>
      </c>
      <c r="AJ737" s="76">
        <v>1</v>
      </c>
      <c r="AK737" s="73"/>
      <c r="AL737" s="57"/>
      <c r="AM737" s="45"/>
      <c r="AN737" s="45"/>
      <c r="AO737" s="45"/>
    </row>
    <row r="738" spans="1:41" hidden="1" outlineLevel="3" x14ac:dyDescent="0.25">
      <c r="A738" s="45"/>
      <c r="B738" s="54"/>
      <c r="C738" s="47">
        <f t="shared" si="202"/>
        <v>4</v>
      </c>
      <c r="D738" s="73"/>
      <c r="E738" s="70"/>
      <c r="F738" s="70" t="s">
        <v>1323</v>
      </c>
      <c r="G738" s="73"/>
      <c r="H738" s="76" t="s">
        <v>599</v>
      </c>
      <c r="I738" s="96"/>
      <c r="J738" s="96"/>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v>1</v>
      </c>
      <c r="AJ738" s="76">
        <v>1</v>
      </c>
      <c r="AK738" s="73"/>
      <c r="AL738" s="57"/>
      <c r="AM738" s="45"/>
      <c r="AN738" s="45"/>
      <c r="AO738" s="45"/>
    </row>
    <row r="739" spans="1:41" hidden="1" outlineLevel="3" x14ac:dyDescent="0.25">
      <c r="A739" s="45"/>
      <c r="B739" s="54"/>
      <c r="C739" s="47">
        <f t="shared" si="202"/>
        <v>4</v>
      </c>
      <c r="D739" s="73"/>
      <c r="E739" s="70"/>
      <c r="F739" s="70" t="s">
        <v>1324</v>
      </c>
      <c r="G739" s="73"/>
      <c r="H739" s="76"/>
      <c r="I739" s="96"/>
      <c r="J739" s="96"/>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v>1</v>
      </c>
      <c r="AJ739" s="76">
        <v>1</v>
      </c>
      <c r="AK739" s="73"/>
      <c r="AL739" s="57"/>
      <c r="AM739" s="45"/>
      <c r="AN739" s="45"/>
      <c r="AO739" s="45"/>
    </row>
    <row r="740" spans="1:41" hidden="1" outlineLevel="3" x14ac:dyDescent="0.25">
      <c r="A740" s="45"/>
      <c r="B740" s="54"/>
      <c r="C740" s="47">
        <f t="shared" si="202"/>
        <v>4</v>
      </c>
      <c r="D740" s="73"/>
      <c r="E740" s="70"/>
      <c r="F740" s="70" t="s">
        <v>1325</v>
      </c>
      <c r="G740" s="73"/>
      <c r="H740" s="76"/>
      <c r="I740" s="96"/>
      <c r="J740" s="96"/>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v>1</v>
      </c>
      <c r="AJ740" s="76">
        <v>1</v>
      </c>
      <c r="AK740" s="73"/>
      <c r="AL740" s="57"/>
      <c r="AM740" s="45"/>
      <c r="AN740" s="45"/>
      <c r="AO740" s="45"/>
    </row>
    <row r="741" spans="1:41" hidden="1" outlineLevel="3" x14ac:dyDescent="0.25">
      <c r="A741" s="45"/>
      <c r="B741" s="54"/>
      <c r="C741" s="47">
        <f t="shared" si="202"/>
        <v>4</v>
      </c>
      <c r="D741" s="73"/>
      <c r="E741" s="70"/>
      <c r="F741" s="70" t="s">
        <v>1326</v>
      </c>
      <c r="G741" s="73"/>
      <c r="H741" s="76"/>
      <c r="I741" s="96"/>
      <c r="J741" s="96"/>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v>1</v>
      </c>
      <c r="AJ741" s="76">
        <v>1</v>
      </c>
      <c r="AK741" s="73"/>
      <c r="AL741" s="57"/>
      <c r="AM741" s="45"/>
      <c r="AN741" s="45"/>
      <c r="AO741" s="45"/>
    </row>
    <row r="742" spans="1:41" hidden="1" outlineLevel="3" x14ac:dyDescent="0.25">
      <c r="A742" s="45">
        <v>4</v>
      </c>
      <c r="B742" s="54"/>
      <c r="C742" s="47">
        <f t="shared" si="202"/>
        <v>4</v>
      </c>
      <c r="D742" s="73"/>
      <c r="E742" s="70"/>
      <c r="F742" s="70" t="s">
        <v>1327</v>
      </c>
      <c r="G742" s="73"/>
      <c r="H742" s="76"/>
      <c r="I742" s="96"/>
      <c r="J742" s="96"/>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v>1</v>
      </c>
      <c r="AJ742" s="76">
        <v>1</v>
      </c>
      <c r="AK742" s="73"/>
      <c r="AL742" s="57"/>
      <c r="AM742" s="45"/>
      <c r="AN742" s="45"/>
      <c r="AO742" s="45"/>
    </row>
    <row r="743" spans="1:41" hidden="1" outlineLevel="3" x14ac:dyDescent="0.25">
      <c r="A743" s="45">
        <f>A742</f>
        <v>4</v>
      </c>
      <c r="B743" s="54"/>
      <c r="C743" s="47">
        <f t="shared" si="202"/>
        <v>4</v>
      </c>
      <c r="D743" s="73"/>
      <c r="E743" s="70"/>
      <c r="F743" s="70" t="s">
        <v>1328</v>
      </c>
      <c r="G743" s="73"/>
      <c r="H743" s="76"/>
      <c r="I743" s="96"/>
      <c r="J743" s="96"/>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v>1</v>
      </c>
      <c r="AJ743" s="76">
        <v>1</v>
      </c>
      <c r="AK743" s="73"/>
      <c r="AL743" s="57"/>
      <c r="AM743" s="45"/>
      <c r="AN743" s="45"/>
      <c r="AO743" s="45"/>
    </row>
    <row r="744" spans="1:41" hidden="1" outlineLevel="3" x14ac:dyDescent="0.25">
      <c r="A744" s="45"/>
      <c r="B744" s="54"/>
      <c r="C744" s="47">
        <f t="shared" si="202"/>
        <v>4</v>
      </c>
      <c r="D744" s="73"/>
      <c r="E744" s="70"/>
      <c r="F744" s="70" t="s">
        <v>1329</v>
      </c>
      <c r="G744" s="73"/>
      <c r="H744" s="76" t="s">
        <v>599</v>
      </c>
      <c r="I744" s="96"/>
      <c r="J744" s="96"/>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v>1</v>
      </c>
      <c r="AJ744" s="76">
        <v>1</v>
      </c>
      <c r="AK744" s="73"/>
      <c r="AL744" s="57"/>
      <c r="AM744" s="45"/>
      <c r="AN744" s="45"/>
      <c r="AO744" s="45"/>
    </row>
    <row r="745" spans="1:41" hidden="1" outlineLevel="3" x14ac:dyDescent="0.25">
      <c r="A745" s="45"/>
      <c r="B745" s="54"/>
      <c r="C745" s="47">
        <f t="shared" si="202"/>
        <v>4</v>
      </c>
      <c r="D745" s="73"/>
      <c r="E745" s="70"/>
      <c r="F745" s="70" t="s">
        <v>1330</v>
      </c>
      <c r="G745" s="73"/>
      <c r="H745" s="76"/>
      <c r="I745" s="96"/>
      <c r="J745" s="96"/>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v>1</v>
      </c>
      <c r="AJ745" s="76">
        <v>1</v>
      </c>
      <c r="AK745" s="73"/>
      <c r="AL745" s="57"/>
      <c r="AM745" s="45"/>
      <c r="AN745" s="45"/>
      <c r="AO745" s="45"/>
    </row>
    <row r="746" spans="1:41" hidden="1" outlineLevel="3" x14ac:dyDescent="0.25">
      <c r="A746" s="45"/>
      <c r="B746" s="54"/>
      <c r="C746" s="47">
        <f t="shared" si="202"/>
        <v>4</v>
      </c>
      <c r="D746" s="73"/>
      <c r="E746" s="70"/>
      <c r="F746" s="70" t="s">
        <v>1331</v>
      </c>
      <c r="G746" s="73"/>
      <c r="H746" s="76"/>
      <c r="I746" s="96"/>
      <c r="J746" s="96"/>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v>1</v>
      </c>
      <c r="AJ746" s="76">
        <v>1</v>
      </c>
      <c r="AK746" s="73"/>
      <c r="AL746" s="57"/>
      <c r="AM746" s="45"/>
      <c r="AN746" s="45"/>
      <c r="AO746" s="45"/>
    </row>
    <row r="747" spans="1:41" hidden="1" outlineLevel="3" x14ac:dyDescent="0.25">
      <c r="A747" s="45"/>
      <c r="B747" s="54"/>
      <c r="C747" s="47">
        <f t="shared" si="202"/>
        <v>4</v>
      </c>
      <c r="D747" s="73"/>
      <c r="E747" s="70"/>
      <c r="F747" s="70" t="s">
        <v>1332</v>
      </c>
      <c r="G747" s="73"/>
      <c r="H747" s="76"/>
      <c r="I747" s="96"/>
      <c r="J747" s="96"/>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v>1</v>
      </c>
      <c r="AJ747" s="76">
        <v>1</v>
      </c>
      <c r="AK747" s="73"/>
      <c r="AL747" s="57"/>
      <c r="AM747" s="45"/>
      <c r="AN747" s="45"/>
      <c r="AO747" s="45"/>
    </row>
    <row r="748" spans="1:41" hidden="1" outlineLevel="3" x14ac:dyDescent="0.25">
      <c r="A748" s="45">
        <v>4</v>
      </c>
      <c r="B748" s="54"/>
      <c r="C748" s="47">
        <f t="shared" si="202"/>
        <v>4</v>
      </c>
      <c r="D748" s="73"/>
      <c r="E748" s="70"/>
      <c r="F748" s="70" t="s">
        <v>1333</v>
      </c>
      <c r="G748" s="73"/>
      <c r="H748" s="76"/>
      <c r="I748" s="96"/>
      <c r="J748" s="96"/>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v>1</v>
      </c>
      <c r="AJ748" s="76">
        <v>1</v>
      </c>
      <c r="AK748" s="73"/>
      <c r="AL748" s="57"/>
      <c r="AM748" s="45"/>
      <c r="AN748" s="45"/>
      <c r="AO748" s="45"/>
    </row>
    <row r="749" spans="1:41" hidden="1" outlineLevel="3" x14ac:dyDescent="0.25">
      <c r="A749" s="45">
        <f>A748</f>
        <v>4</v>
      </c>
      <c r="B749" s="54"/>
      <c r="C749" s="47">
        <f t="shared" si="202"/>
        <v>4</v>
      </c>
      <c r="D749" s="73"/>
      <c r="E749" s="70"/>
      <c r="F749" s="70" t="s">
        <v>1334</v>
      </c>
      <c r="G749" s="73"/>
      <c r="H749" s="76"/>
      <c r="I749" s="96"/>
      <c r="J749" s="96"/>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v>1</v>
      </c>
      <c r="AJ749" s="76">
        <v>1</v>
      </c>
      <c r="AK749" s="73"/>
      <c r="AL749" s="57"/>
      <c r="AM749" s="45"/>
      <c r="AN749" s="45"/>
      <c r="AO749" s="45"/>
    </row>
    <row r="750" spans="1:41" hidden="1" outlineLevel="3" x14ac:dyDescent="0.25">
      <c r="A750" s="45"/>
      <c r="B750" s="54"/>
      <c r="C750" s="47">
        <f t="shared" si="202"/>
        <v>4</v>
      </c>
      <c r="D750" s="73"/>
      <c r="E750" s="70"/>
      <c r="F750" s="70" t="s">
        <v>1335</v>
      </c>
      <c r="G750" s="73"/>
      <c r="H750" s="76" t="s">
        <v>599</v>
      </c>
      <c r="I750" s="96"/>
      <c r="J750" s="96"/>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v>1</v>
      </c>
      <c r="AJ750" s="76">
        <v>1</v>
      </c>
      <c r="AK750" s="73"/>
      <c r="AL750" s="57"/>
      <c r="AM750" s="45"/>
      <c r="AN750" s="45"/>
      <c r="AO750" s="45"/>
    </row>
    <row r="751" spans="1:41" hidden="1" outlineLevel="3" x14ac:dyDescent="0.25">
      <c r="A751" s="45"/>
      <c r="B751" s="54"/>
      <c r="C751" s="47">
        <f t="shared" si="202"/>
        <v>4</v>
      </c>
      <c r="D751" s="73"/>
      <c r="E751" s="70"/>
      <c r="F751" s="70" t="s">
        <v>1336</v>
      </c>
      <c r="G751" s="73"/>
      <c r="H751" s="76"/>
      <c r="I751" s="96"/>
      <c r="J751" s="96"/>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v>1</v>
      </c>
      <c r="AJ751" s="76">
        <v>1</v>
      </c>
      <c r="AK751" s="73"/>
      <c r="AL751" s="57"/>
      <c r="AM751" s="45"/>
      <c r="AN751" s="45"/>
      <c r="AO751" s="45"/>
    </row>
    <row r="752" spans="1:41" hidden="1" outlineLevel="3" x14ac:dyDescent="0.25">
      <c r="A752" s="45"/>
      <c r="B752" s="54"/>
      <c r="C752" s="47">
        <f t="shared" si="202"/>
        <v>4</v>
      </c>
      <c r="D752" s="73"/>
      <c r="E752" s="70"/>
      <c r="F752" s="70" t="s">
        <v>1337</v>
      </c>
      <c r="G752" s="73"/>
      <c r="H752" s="76"/>
      <c r="I752" s="96"/>
      <c r="J752" s="96"/>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v>1</v>
      </c>
      <c r="AJ752" s="76">
        <v>1</v>
      </c>
      <c r="AK752" s="73"/>
      <c r="AL752" s="57"/>
      <c r="AM752" s="45"/>
      <c r="AN752" s="45"/>
      <c r="AO752" s="45"/>
    </row>
    <row r="753" spans="1:41" hidden="1" outlineLevel="3" x14ac:dyDescent="0.25">
      <c r="A753" s="45"/>
      <c r="B753" s="54"/>
      <c r="C753" s="47">
        <f t="shared" si="202"/>
        <v>4</v>
      </c>
      <c r="D753" s="73"/>
      <c r="E753" s="70"/>
      <c r="F753" s="70" t="s">
        <v>1338</v>
      </c>
      <c r="G753" s="73"/>
      <c r="H753" s="76"/>
      <c r="I753" s="96"/>
      <c r="J753" s="96"/>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v>1</v>
      </c>
      <c r="AJ753" s="76">
        <v>1</v>
      </c>
      <c r="AK753" s="73"/>
      <c r="AL753" s="57"/>
      <c r="AM753" s="45"/>
      <c r="AN753" s="45"/>
      <c r="AO753" s="45"/>
    </row>
    <row r="754" spans="1:41" hidden="1" outlineLevel="3" x14ac:dyDescent="0.25">
      <c r="A754" s="45">
        <v>4</v>
      </c>
      <c r="B754" s="54"/>
      <c r="C754" s="47">
        <f t="shared" si="202"/>
        <v>4</v>
      </c>
      <c r="D754" s="73"/>
      <c r="E754" s="70"/>
      <c r="F754" s="70" t="s">
        <v>1339</v>
      </c>
      <c r="G754" s="73"/>
      <c r="H754" s="76"/>
      <c r="I754" s="96"/>
      <c r="J754" s="96"/>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v>1</v>
      </c>
      <c r="AJ754" s="76">
        <v>1</v>
      </c>
      <c r="AK754" s="73"/>
      <c r="AL754" s="57"/>
      <c r="AM754" s="45"/>
      <c r="AN754" s="45"/>
      <c r="AO754" s="45"/>
    </row>
    <row r="755" spans="1:41" hidden="1" outlineLevel="3" x14ac:dyDescent="0.25">
      <c r="A755" s="45">
        <f>A754</f>
        <v>4</v>
      </c>
      <c r="B755" s="54"/>
      <c r="C755" s="47">
        <f t="shared" si="202"/>
        <v>4</v>
      </c>
      <c r="D755" s="73"/>
      <c r="E755" s="70"/>
      <c r="F755" s="70" t="s">
        <v>1340</v>
      </c>
      <c r="G755" s="73"/>
      <c r="H755" s="76"/>
      <c r="I755" s="96"/>
      <c r="J755" s="96"/>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v>1</v>
      </c>
      <c r="AJ755" s="76">
        <v>1</v>
      </c>
      <c r="AK755" s="73"/>
      <c r="AL755" s="57"/>
      <c r="AM755" s="45"/>
      <c r="AN755" s="45"/>
      <c r="AO755" s="45"/>
    </row>
    <row r="756" spans="1:41" hidden="1" outlineLevel="3" x14ac:dyDescent="0.25">
      <c r="A756" s="45"/>
      <c r="B756" s="54"/>
      <c r="C756" s="47">
        <f t="shared" si="202"/>
        <v>4</v>
      </c>
      <c r="D756" s="73"/>
      <c r="E756" s="70"/>
      <c r="F756" s="70" t="s">
        <v>1341</v>
      </c>
      <c r="G756" s="73"/>
      <c r="H756" s="76" t="s">
        <v>599</v>
      </c>
      <c r="I756" s="96"/>
      <c r="J756" s="96"/>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v>1</v>
      </c>
      <c r="AJ756" s="76">
        <v>1</v>
      </c>
      <c r="AK756" s="73"/>
      <c r="AL756" s="57"/>
      <c r="AM756" s="45"/>
      <c r="AN756" s="45"/>
      <c r="AO756" s="45"/>
    </row>
    <row r="757" spans="1:41" hidden="1" outlineLevel="3" x14ac:dyDescent="0.25">
      <c r="A757" s="45"/>
      <c r="B757" s="54"/>
      <c r="C757" s="47">
        <f t="shared" si="202"/>
        <v>4</v>
      </c>
      <c r="D757" s="73"/>
      <c r="E757" s="70"/>
      <c r="F757" s="70" t="s">
        <v>1342</v>
      </c>
      <c r="G757" s="73"/>
      <c r="H757" s="76"/>
      <c r="I757" s="96"/>
      <c r="J757" s="96"/>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v>1</v>
      </c>
      <c r="AJ757" s="76">
        <v>1</v>
      </c>
      <c r="AK757" s="73"/>
      <c r="AL757" s="57"/>
      <c r="AM757" s="45"/>
      <c r="AN757" s="45"/>
      <c r="AO757" s="45"/>
    </row>
    <row r="758" spans="1:41" hidden="1" outlineLevel="3" x14ac:dyDescent="0.25">
      <c r="A758" s="45"/>
      <c r="B758" s="54"/>
      <c r="C758" s="47">
        <f t="shared" si="202"/>
        <v>4</v>
      </c>
      <c r="D758" s="73"/>
      <c r="E758" s="70"/>
      <c r="F758" s="70" t="s">
        <v>1343</v>
      </c>
      <c r="G758" s="73"/>
      <c r="H758" s="76"/>
      <c r="I758" s="96"/>
      <c r="J758" s="96"/>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v>1</v>
      </c>
      <c r="AJ758" s="76">
        <v>1</v>
      </c>
      <c r="AK758" s="73"/>
      <c r="AL758" s="57"/>
      <c r="AM758" s="45"/>
      <c r="AN758" s="45"/>
      <c r="AO758" s="45"/>
    </row>
    <row r="759" spans="1:41" hidden="1" outlineLevel="3" x14ac:dyDescent="0.25">
      <c r="A759" s="45"/>
      <c r="B759" s="54"/>
      <c r="C759" s="47">
        <f t="shared" si="202"/>
        <v>4</v>
      </c>
      <c r="D759" s="73"/>
      <c r="E759" s="70"/>
      <c r="F759" s="70" t="s">
        <v>1344</v>
      </c>
      <c r="G759" s="73"/>
      <c r="H759" s="76"/>
      <c r="I759" s="96"/>
      <c r="J759" s="96"/>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v>1</v>
      </c>
      <c r="AJ759" s="76">
        <v>1</v>
      </c>
      <c r="AK759" s="73"/>
      <c r="AL759" s="57"/>
      <c r="AM759" s="45"/>
      <c r="AN759" s="45"/>
      <c r="AO759" s="45"/>
    </row>
    <row r="760" spans="1:41" hidden="1" outlineLevel="3" x14ac:dyDescent="0.25">
      <c r="A760" s="45">
        <v>4</v>
      </c>
      <c r="B760" s="54"/>
      <c r="C760" s="47">
        <f t="shared" si="202"/>
        <v>4</v>
      </c>
      <c r="D760" s="73"/>
      <c r="E760" s="70"/>
      <c r="F760" s="70" t="s">
        <v>1345</v>
      </c>
      <c r="G760" s="73"/>
      <c r="H760" s="76"/>
      <c r="I760" s="96"/>
      <c r="J760" s="96"/>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v>1</v>
      </c>
      <c r="AJ760" s="76">
        <v>1</v>
      </c>
      <c r="AK760" s="73"/>
      <c r="AL760" s="57"/>
      <c r="AM760" s="45"/>
      <c r="AN760" s="45"/>
      <c r="AO760" s="45"/>
    </row>
    <row r="761" spans="1:41" hidden="1" outlineLevel="3" x14ac:dyDescent="0.25">
      <c r="A761" s="45">
        <f>A760</f>
        <v>4</v>
      </c>
      <c r="B761" s="54"/>
      <c r="C761" s="47">
        <f t="shared" si="202"/>
        <v>4</v>
      </c>
      <c r="D761" s="73"/>
      <c r="E761" s="70"/>
      <c r="F761" s="70" t="s">
        <v>1346</v>
      </c>
      <c r="G761" s="73"/>
      <c r="H761" s="76"/>
      <c r="I761" s="96"/>
      <c r="J761" s="96"/>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v>1</v>
      </c>
      <c r="AJ761" s="76">
        <v>1</v>
      </c>
      <c r="AK761" s="73"/>
      <c r="AL761" s="57"/>
      <c r="AM761" s="45"/>
      <c r="AN761" s="45"/>
      <c r="AO761" s="45"/>
    </row>
    <row r="762" spans="1:41" hidden="1" outlineLevel="2" x14ac:dyDescent="0.25">
      <c r="A762" s="45"/>
      <c r="B762" s="54"/>
      <c r="C762" s="47">
        <f t="shared" ref="C762:C767" si="203">INT($C$29)+2</f>
        <v>3</v>
      </c>
      <c r="D762" s="73"/>
      <c r="E762" s="70"/>
      <c r="F762" s="70" t="s">
        <v>1347</v>
      </c>
      <c r="G762" s="73"/>
      <c r="H762" s="76" t="s">
        <v>1348</v>
      </c>
      <c r="I762" s="96"/>
      <c r="J762" s="96"/>
      <c r="K762" s="76"/>
      <c r="L762" s="76"/>
      <c r="M762" s="76"/>
      <c r="N762" s="76"/>
      <c r="O762" s="76"/>
      <c r="P762" s="76"/>
      <c r="Q762" s="76"/>
      <c r="R762" s="76"/>
      <c r="S762" s="76"/>
      <c r="T762" s="76"/>
      <c r="U762" s="261">
        <f t="shared" ref="U762:AE762" si="204">U$862</f>
        <v>0</v>
      </c>
      <c r="V762" s="261">
        <f t="shared" si="204"/>
        <v>0</v>
      </c>
      <c r="W762" s="261">
        <f t="shared" si="204"/>
        <v>0</v>
      </c>
      <c r="X762" s="261">
        <f t="shared" si="204"/>
        <v>0</v>
      </c>
      <c r="Y762" s="261">
        <f t="shared" si="204"/>
        <v>0</v>
      </c>
      <c r="Z762" s="261">
        <f t="shared" si="204"/>
        <v>0</v>
      </c>
      <c r="AA762" s="261">
        <f t="shared" si="204"/>
        <v>0</v>
      </c>
      <c r="AB762" s="261">
        <f t="shared" si="204"/>
        <v>0</v>
      </c>
      <c r="AC762" s="261">
        <f t="shared" si="204"/>
        <v>0</v>
      </c>
      <c r="AD762" s="261">
        <f t="shared" si="204"/>
        <v>0</v>
      </c>
      <c r="AE762" s="261">
        <f t="shared" si="204"/>
        <v>0</v>
      </c>
      <c r="AF762" s="76"/>
      <c r="AG762" s="97" t="s">
        <v>1349</v>
      </c>
      <c r="AH762" s="76"/>
      <c r="AI762" s="261">
        <f>AI$862</f>
        <v>1</v>
      </c>
      <c r="AJ762" s="261">
        <f>AJ$862</f>
        <v>1</v>
      </c>
      <c r="AK762" s="73"/>
      <c r="AL762" s="57"/>
      <c r="AM762" s="45"/>
      <c r="AN762" s="45"/>
      <c r="AO762" s="45"/>
    </row>
    <row r="763" spans="1:41" hidden="1" outlineLevel="2" x14ac:dyDescent="0.25">
      <c r="A763" s="45"/>
      <c r="B763" s="54"/>
      <c r="C763" s="47">
        <f t="shared" si="203"/>
        <v>3</v>
      </c>
      <c r="D763" s="73"/>
      <c r="E763" s="70"/>
      <c r="F763" s="70" t="s">
        <v>1350</v>
      </c>
      <c r="G763" s="73"/>
      <c r="H763" s="76" t="s">
        <v>1351</v>
      </c>
      <c r="I763" s="96"/>
      <c r="J763" s="96"/>
      <c r="K763" s="76"/>
      <c r="L763" s="76"/>
      <c r="M763" s="76"/>
      <c r="N763" s="76"/>
      <c r="O763" s="76"/>
      <c r="P763" s="76"/>
      <c r="Q763" s="76"/>
      <c r="R763" s="76"/>
      <c r="S763" s="76"/>
      <c r="T763" s="76"/>
      <c r="U763" s="261">
        <f t="shared" ref="U763:AE763" si="205">U$863</f>
        <v>-0.71226</v>
      </c>
      <c r="V763" s="261">
        <f t="shared" si="205"/>
        <v>-0.71226</v>
      </c>
      <c r="W763" s="261">
        <f t="shared" si="205"/>
        <v>-0.71226</v>
      </c>
      <c r="X763" s="261">
        <f t="shared" si="205"/>
        <v>-0.71226</v>
      </c>
      <c r="Y763" s="261">
        <f t="shared" si="205"/>
        <v>-0.71226</v>
      </c>
      <c r="Z763" s="261">
        <f t="shared" si="205"/>
        <v>-0.71226</v>
      </c>
      <c r="AA763" s="261">
        <f t="shared" si="205"/>
        <v>-0.71226</v>
      </c>
      <c r="AB763" s="261">
        <f t="shared" si="205"/>
        <v>-0.21895000000000001</v>
      </c>
      <c r="AC763" s="261">
        <f t="shared" si="205"/>
        <v>-0.21895000000000001</v>
      </c>
      <c r="AD763" s="261">
        <f t="shared" si="205"/>
        <v>-0.21895000000000001</v>
      </c>
      <c r="AE763" s="261">
        <f t="shared" si="205"/>
        <v>-0.21895000000000001</v>
      </c>
      <c r="AF763" s="76"/>
      <c r="AG763" s="76"/>
      <c r="AH763" s="76"/>
      <c r="AI763" s="261">
        <f>AI$863</f>
        <v>1</v>
      </c>
      <c r="AJ763" s="261">
        <f>AJ$863</f>
        <v>1</v>
      </c>
      <c r="AK763" s="73"/>
      <c r="AL763" s="57"/>
      <c r="AM763" s="45"/>
      <c r="AN763" s="45"/>
      <c r="AO763" s="45"/>
    </row>
    <row r="764" spans="1:41" hidden="1" outlineLevel="2" x14ac:dyDescent="0.25">
      <c r="A764" s="45"/>
      <c r="B764" s="54"/>
      <c r="C764" s="47">
        <f t="shared" si="203"/>
        <v>3</v>
      </c>
      <c r="D764" s="73"/>
      <c r="E764" s="70"/>
      <c r="F764" s="70" t="s">
        <v>1352</v>
      </c>
      <c r="G764" s="73"/>
      <c r="H764" s="76" t="s">
        <v>1353</v>
      </c>
      <c r="I764" s="96"/>
      <c r="J764" s="96"/>
      <c r="K764" s="76"/>
      <c r="L764" s="76"/>
      <c r="M764" s="76"/>
      <c r="N764" s="76"/>
      <c r="O764" s="76"/>
      <c r="P764" s="76"/>
      <c r="Q764" s="76"/>
      <c r="R764" s="76"/>
      <c r="S764" s="76"/>
      <c r="T764" s="76"/>
      <c r="U764" s="261">
        <f t="shared" ref="U764:AE764" si="206">U$864</f>
        <v>-0.90173999999999999</v>
      </c>
      <c r="V764" s="261">
        <f t="shared" si="206"/>
        <v>-0.90173999999999999</v>
      </c>
      <c r="W764" s="261">
        <f t="shared" si="206"/>
        <v>-0.90173999999999999</v>
      </c>
      <c r="X764" s="261">
        <f t="shared" si="206"/>
        <v>-0.90173999999999999</v>
      </c>
      <c r="Y764" s="261">
        <f t="shared" si="206"/>
        <v>-0.90173999999999999</v>
      </c>
      <c r="Z764" s="261">
        <f t="shared" si="206"/>
        <v>-0.90173999999999999</v>
      </c>
      <c r="AA764" s="261">
        <f t="shared" si="206"/>
        <v>-0.90173999999999999</v>
      </c>
      <c r="AB764" s="261">
        <f t="shared" si="206"/>
        <v>-0.37940000000000002</v>
      </c>
      <c r="AC764" s="261">
        <f t="shared" si="206"/>
        <v>-0.37940000000000002</v>
      </c>
      <c r="AD764" s="261">
        <f t="shared" si="206"/>
        <v>-0.37940000000000002</v>
      </c>
      <c r="AE764" s="261">
        <f t="shared" si="206"/>
        <v>-0.37940000000000002</v>
      </c>
      <c r="AF764" s="76"/>
      <c r="AG764" s="76"/>
      <c r="AH764" s="76"/>
      <c r="AI764" s="261">
        <f>AI$864</f>
        <v>1</v>
      </c>
      <c r="AJ764" s="261">
        <f>AJ$864</f>
        <v>1</v>
      </c>
      <c r="AK764" s="73"/>
      <c r="AL764" s="57"/>
      <c r="AM764" s="45"/>
      <c r="AN764" s="45"/>
      <c r="AO764" s="45"/>
    </row>
    <row r="765" spans="1:41" hidden="1" outlineLevel="2" x14ac:dyDescent="0.25">
      <c r="A765" s="45"/>
      <c r="B765" s="54"/>
      <c r="C765" s="47">
        <f t="shared" si="203"/>
        <v>3</v>
      </c>
      <c r="D765" s="73"/>
      <c r="E765" s="70"/>
      <c r="F765" s="70" t="s">
        <v>1354</v>
      </c>
      <c r="G765" s="73"/>
      <c r="H765" s="76" t="s">
        <v>1355</v>
      </c>
      <c r="I765" s="96"/>
      <c r="J765" s="96"/>
      <c r="K765" s="76"/>
      <c r="L765" s="76"/>
      <c r="M765" s="76"/>
      <c r="N765" s="76"/>
      <c r="O765" s="76"/>
      <c r="P765" s="76"/>
      <c r="Q765" s="76"/>
      <c r="R765" s="76"/>
      <c r="S765" s="76"/>
      <c r="T765" s="76"/>
      <c r="U765" s="261">
        <f>$863:$863</f>
        <v>-0.71226</v>
      </c>
      <c r="V765" s="261">
        <f>$863:$863</f>
        <v>-0.71226</v>
      </c>
      <c r="W765" s="261">
        <f>$863:$863</f>
        <v>-0.71226</v>
      </c>
      <c r="X765" s="261">
        <f>$863:$863</f>
        <v>-0.71226</v>
      </c>
      <c r="Y765" s="261">
        <f>$863:$863</f>
        <v>-0.71226</v>
      </c>
      <c r="Z765" s="261">
        <f t="shared" ref="Z765:AA765" si="207">$863:$863</f>
        <v>-0.71226</v>
      </c>
      <c r="AA765" s="261">
        <f t="shared" si="207"/>
        <v>-0.71226</v>
      </c>
      <c r="AB765" s="261">
        <f>$863:$863</f>
        <v>-0.21895000000000001</v>
      </c>
      <c r="AC765" s="261">
        <f>$863:$863</f>
        <v>-0.21895000000000001</v>
      </c>
      <c r="AD765" s="261">
        <f>$863:$863</f>
        <v>-0.21895000000000001</v>
      </c>
      <c r="AE765" s="261">
        <f>$863:$863</f>
        <v>-0.21895000000000001</v>
      </c>
      <c r="AF765" s="76"/>
      <c r="AG765" s="76"/>
      <c r="AH765" s="76"/>
      <c r="AI765" s="261">
        <f>$863:$863</f>
        <v>1</v>
      </c>
      <c r="AJ765" s="261">
        <f>$863:$863</f>
        <v>1</v>
      </c>
      <c r="AK765" s="73"/>
      <c r="AL765" s="57"/>
      <c r="AM765" s="45"/>
      <c r="AN765" s="45"/>
      <c r="AO765" s="45"/>
    </row>
    <row r="766" spans="1:41" hidden="1" outlineLevel="2" x14ac:dyDescent="0.25">
      <c r="A766" s="45">
        <v>4</v>
      </c>
      <c r="B766" s="54"/>
      <c r="C766" s="47">
        <f t="shared" si="203"/>
        <v>3</v>
      </c>
      <c r="D766" s="73"/>
      <c r="E766" s="70"/>
      <c r="F766" s="70" t="s">
        <v>1356</v>
      </c>
      <c r="G766" s="73"/>
      <c r="H766" s="76" t="s">
        <v>1357</v>
      </c>
      <c r="I766" s="96"/>
      <c r="J766" s="96"/>
      <c r="K766" s="76"/>
      <c r="L766" s="76"/>
      <c r="M766" s="76"/>
      <c r="N766" s="76"/>
      <c r="O766" s="76"/>
      <c r="P766" s="76"/>
      <c r="Q766" s="76"/>
      <c r="R766" s="76"/>
      <c r="S766" s="76"/>
      <c r="T766" s="76"/>
      <c r="U766" s="261">
        <f t="shared" ref="U766:Y767" si="208">$864:$864</f>
        <v>-0.90173999999999999</v>
      </c>
      <c r="V766" s="261">
        <f t="shared" si="208"/>
        <v>-0.90173999999999999</v>
      </c>
      <c r="W766" s="261">
        <f t="shared" si="208"/>
        <v>-0.90173999999999999</v>
      </c>
      <c r="X766" s="261">
        <f t="shared" si="208"/>
        <v>-0.90173999999999999</v>
      </c>
      <c r="Y766" s="261">
        <f t="shared" si="208"/>
        <v>-0.90173999999999999</v>
      </c>
      <c r="Z766" s="261">
        <f t="shared" ref="Z766:AA767" si="209">$864:$864</f>
        <v>-0.90173999999999999</v>
      </c>
      <c r="AA766" s="261">
        <f t="shared" si="209"/>
        <v>-0.90173999999999999</v>
      </c>
      <c r="AB766" s="261">
        <f t="shared" ref="AB766:AE767" si="210">$864:$864</f>
        <v>-0.37940000000000002</v>
      </c>
      <c r="AC766" s="261">
        <f t="shared" si="210"/>
        <v>-0.37940000000000002</v>
      </c>
      <c r="AD766" s="261">
        <f t="shared" si="210"/>
        <v>-0.37940000000000002</v>
      </c>
      <c r="AE766" s="261">
        <f t="shared" si="210"/>
        <v>-0.37940000000000002</v>
      </c>
      <c r="AF766" s="76"/>
      <c r="AG766" s="76"/>
      <c r="AH766" s="76"/>
      <c r="AI766" s="261">
        <f>$864:$864</f>
        <v>1</v>
      </c>
      <c r="AJ766" s="261">
        <f>$864:$864</f>
        <v>1</v>
      </c>
      <c r="AK766" s="73"/>
      <c r="AL766" s="57"/>
      <c r="AM766" s="45"/>
      <c r="AN766" s="45"/>
      <c r="AO766" s="45"/>
    </row>
    <row r="767" spans="1:41" hidden="1" outlineLevel="2" collapsed="1" x14ac:dyDescent="0.25">
      <c r="A767" s="45">
        <f>A766</f>
        <v>4</v>
      </c>
      <c r="B767" s="54"/>
      <c r="C767" s="47">
        <f t="shared" si="203"/>
        <v>3</v>
      </c>
      <c r="D767" s="73"/>
      <c r="E767" s="70"/>
      <c r="F767" s="70" t="s">
        <v>1358</v>
      </c>
      <c r="G767" s="73"/>
      <c r="H767" s="76" t="s">
        <v>1359</v>
      </c>
      <c r="I767" s="96"/>
      <c r="J767" s="96"/>
      <c r="K767" s="76"/>
      <c r="L767" s="76"/>
      <c r="M767" s="76"/>
      <c r="N767" s="76"/>
      <c r="O767" s="76"/>
      <c r="P767" s="76"/>
      <c r="Q767" s="76"/>
      <c r="R767" s="76"/>
      <c r="S767" s="76"/>
      <c r="T767" s="76"/>
      <c r="U767" s="261">
        <f t="shared" si="208"/>
        <v>-0.90173999999999999</v>
      </c>
      <c r="V767" s="261">
        <f t="shared" si="208"/>
        <v>-0.90173999999999999</v>
      </c>
      <c r="W767" s="261">
        <f t="shared" si="208"/>
        <v>-0.90173999999999999</v>
      </c>
      <c r="X767" s="261">
        <f t="shared" si="208"/>
        <v>-0.90173999999999999</v>
      </c>
      <c r="Y767" s="261">
        <f t="shared" si="208"/>
        <v>-0.90173999999999999</v>
      </c>
      <c r="Z767" s="261">
        <f t="shared" si="209"/>
        <v>-0.90173999999999999</v>
      </c>
      <c r="AA767" s="261">
        <f t="shared" si="209"/>
        <v>-0.90173999999999999</v>
      </c>
      <c r="AB767" s="261">
        <f t="shared" si="210"/>
        <v>-0.37940000000000002</v>
      </c>
      <c r="AC767" s="261">
        <f t="shared" si="210"/>
        <v>-0.37940000000000002</v>
      </c>
      <c r="AD767" s="261">
        <f t="shared" si="210"/>
        <v>-0.37940000000000002</v>
      </c>
      <c r="AE767" s="261">
        <f t="shared" si="210"/>
        <v>-0.37940000000000002</v>
      </c>
      <c r="AF767" s="76"/>
      <c r="AG767" s="76"/>
      <c r="AH767" s="76"/>
      <c r="AI767" s="261">
        <f>$864:$864</f>
        <v>1</v>
      </c>
      <c r="AJ767" s="261">
        <f>$864:$864</f>
        <v>1</v>
      </c>
      <c r="AK767" s="73"/>
      <c r="AL767" s="57"/>
      <c r="AM767" s="45"/>
      <c r="AN767" s="45"/>
      <c r="AO767" s="45"/>
    </row>
    <row r="768" spans="1:41" hidden="1" outlineLevel="3" x14ac:dyDescent="0.25">
      <c r="A768" s="45"/>
      <c r="B768" s="54"/>
      <c r="C768" s="47">
        <f t="shared" ref="C768:C785" si="211">INT($C$29)+3</f>
        <v>4</v>
      </c>
      <c r="D768" s="73"/>
      <c r="E768" s="70"/>
      <c r="F768" s="70" t="s">
        <v>1360</v>
      </c>
      <c r="G768" s="73"/>
      <c r="H768" s="76" t="s">
        <v>599</v>
      </c>
      <c r="I768" s="96"/>
      <c r="J768" s="96"/>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v>1</v>
      </c>
      <c r="AJ768" s="76">
        <v>1</v>
      </c>
      <c r="AK768" s="73"/>
      <c r="AL768" s="57"/>
      <c r="AM768" s="45"/>
      <c r="AN768" s="45"/>
      <c r="AO768" s="45"/>
    </row>
    <row r="769" spans="1:41" hidden="1" outlineLevel="3" x14ac:dyDescent="0.25">
      <c r="A769" s="45"/>
      <c r="B769" s="54"/>
      <c r="C769" s="47">
        <f t="shared" si="211"/>
        <v>4</v>
      </c>
      <c r="D769" s="73"/>
      <c r="E769" s="70"/>
      <c r="F769" s="70" t="s">
        <v>1361</v>
      </c>
      <c r="G769" s="73"/>
      <c r="H769" s="76"/>
      <c r="I769" s="96"/>
      <c r="J769" s="96"/>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v>1</v>
      </c>
      <c r="AJ769" s="76">
        <v>1</v>
      </c>
      <c r="AK769" s="73"/>
      <c r="AL769" s="57"/>
      <c r="AM769" s="45"/>
      <c r="AN769" s="45"/>
      <c r="AO769" s="45"/>
    </row>
    <row r="770" spans="1:41" hidden="1" outlineLevel="3" x14ac:dyDescent="0.25">
      <c r="A770" s="45"/>
      <c r="B770" s="54"/>
      <c r="C770" s="47">
        <f t="shared" si="211"/>
        <v>4</v>
      </c>
      <c r="D770" s="73"/>
      <c r="E770" s="70"/>
      <c r="F770" s="70" t="s">
        <v>1362</v>
      </c>
      <c r="G770" s="73"/>
      <c r="H770" s="76"/>
      <c r="I770" s="96"/>
      <c r="J770" s="96"/>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v>1</v>
      </c>
      <c r="AJ770" s="76">
        <v>1</v>
      </c>
      <c r="AK770" s="73"/>
      <c r="AL770" s="57"/>
      <c r="AM770" s="45"/>
      <c r="AN770" s="45"/>
      <c r="AO770" s="45"/>
    </row>
    <row r="771" spans="1:41" hidden="1" outlineLevel="3" x14ac:dyDescent="0.25">
      <c r="A771" s="45"/>
      <c r="B771" s="54"/>
      <c r="C771" s="47">
        <f t="shared" si="211"/>
        <v>4</v>
      </c>
      <c r="D771" s="73"/>
      <c r="E771" s="70"/>
      <c r="F771" s="70" t="s">
        <v>1363</v>
      </c>
      <c r="G771" s="73"/>
      <c r="H771" s="76"/>
      <c r="I771" s="96"/>
      <c r="J771" s="96"/>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v>1</v>
      </c>
      <c r="AJ771" s="76">
        <v>1</v>
      </c>
      <c r="AK771" s="73"/>
      <c r="AL771" s="57"/>
      <c r="AM771" s="45"/>
      <c r="AN771" s="45"/>
      <c r="AO771" s="45"/>
    </row>
    <row r="772" spans="1:41" hidden="1" outlineLevel="3" x14ac:dyDescent="0.25">
      <c r="A772" s="45">
        <v>4</v>
      </c>
      <c r="B772" s="54"/>
      <c r="C772" s="47">
        <f t="shared" si="211"/>
        <v>4</v>
      </c>
      <c r="D772" s="73"/>
      <c r="E772" s="70"/>
      <c r="F772" s="70" t="s">
        <v>1364</v>
      </c>
      <c r="G772" s="73"/>
      <c r="H772" s="76"/>
      <c r="I772" s="96"/>
      <c r="J772" s="96"/>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v>1</v>
      </c>
      <c r="AJ772" s="76">
        <v>1</v>
      </c>
      <c r="AK772" s="73"/>
      <c r="AL772" s="57"/>
      <c r="AM772" s="45"/>
      <c r="AN772" s="45"/>
      <c r="AO772" s="45"/>
    </row>
    <row r="773" spans="1:41" hidden="1" outlineLevel="3" x14ac:dyDescent="0.25">
      <c r="A773" s="45">
        <f>A772</f>
        <v>4</v>
      </c>
      <c r="B773" s="54"/>
      <c r="C773" s="47">
        <f t="shared" si="211"/>
        <v>4</v>
      </c>
      <c r="D773" s="73"/>
      <c r="E773" s="70"/>
      <c r="F773" s="70" t="s">
        <v>1365</v>
      </c>
      <c r="G773" s="73"/>
      <c r="H773" s="76"/>
      <c r="I773" s="96"/>
      <c r="J773" s="96"/>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v>1</v>
      </c>
      <c r="AJ773" s="76">
        <v>1</v>
      </c>
      <c r="AK773" s="73"/>
      <c r="AL773" s="57"/>
      <c r="AM773" s="45"/>
      <c r="AN773" s="45"/>
      <c r="AO773" s="45"/>
    </row>
    <row r="774" spans="1:41" hidden="1" outlineLevel="3" x14ac:dyDescent="0.25">
      <c r="A774" s="45"/>
      <c r="B774" s="54"/>
      <c r="C774" s="47">
        <f t="shared" si="211"/>
        <v>4</v>
      </c>
      <c r="D774" s="73"/>
      <c r="E774" s="70"/>
      <c r="F774" s="70" t="s">
        <v>1366</v>
      </c>
      <c r="G774" s="73"/>
      <c r="H774" s="76" t="s">
        <v>599</v>
      </c>
      <c r="I774" s="96"/>
      <c r="J774" s="96"/>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76"/>
      <c r="AH774" s="76"/>
      <c r="AI774" s="76">
        <v>1</v>
      </c>
      <c r="AJ774" s="76">
        <v>1</v>
      </c>
      <c r="AK774" s="73"/>
      <c r="AL774" s="57"/>
      <c r="AM774" s="45"/>
      <c r="AN774" s="45"/>
      <c r="AO774" s="45"/>
    </row>
    <row r="775" spans="1:41" hidden="1" outlineLevel="3" x14ac:dyDescent="0.25">
      <c r="A775" s="45"/>
      <c r="B775" s="54"/>
      <c r="C775" s="47">
        <f t="shared" si="211"/>
        <v>4</v>
      </c>
      <c r="D775" s="73"/>
      <c r="E775" s="70"/>
      <c r="F775" s="70" t="s">
        <v>1367</v>
      </c>
      <c r="G775" s="73"/>
      <c r="H775" s="76"/>
      <c r="I775" s="96"/>
      <c r="J775" s="96"/>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76"/>
      <c r="AH775" s="76"/>
      <c r="AI775" s="76">
        <v>1</v>
      </c>
      <c r="AJ775" s="76">
        <v>1</v>
      </c>
      <c r="AK775" s="73"/>
      <c r="AL775" s="57"/>
      <c r="AM775" s="45"/>
      <c r="AN775" s="45"/>
      <c r="AO775" s="45"/>
    </row>
    <row r="776" spans="1:41" hidden="1" outlineLevel="3" x14ac:dyDescent="0.25">
      <c r="A776" s="45"/>
      <c r="B776" s="54"/>
      <c r="C776" s="47">
        <f t="shared" si="211"/>
        <v>4</v>
      </c>
      <c r="D776" s="73"/>
      <c r="E776" s="70"/>
      <c r="F776" s="70" t="s">
        <v>1368</v>
      </c>
      <c r="G776" s="73"/>
      <c r="H776" s="76"/>
      <c r="I776" s="96"/>
      <c r="J776" s="96"/>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76"/>
      <c r="AH776" s="76"/>
      <c r="AI776" s="76">
        <v>1</v>
      </c>
      <c r="AJ776" s="76">
        <v>1</v>
      </c>
      <c r="AK776" s="73"/>
      <c r="AL776" s="57"/>
      <c r="AM776" s="45"/>
      <c r="AN776" s="45"/>
      <c r="AO776" s="45"/>
    </row>
    <row r="777" spans="1:41" hidden="1" outlineLevel="3" x14ac:dyDescent="0.25">
      <c r="A777" s="45"/>
      <c r="B777" s="54"/>
      <c r="C777" s="47">
        <f t="shared" si="211"/>
        <v>4</v>
      </c>
      <c r="D777" s="73"/>
      <c r="E777" s="70"/>
      <c r="F777" s="70" t="s">
        <v>1369</v>
      </c>
      <c r="G777" s="73"/>
      <c r="H777" s="76"/>
      <c r="I777" s="96"/>
      <c r="J777" s="96"/>
      <c r="K777" s="76"/>
      <c r="L777" s="76"/>
      <c r="M777" s="76"/>
      <c r="N777" s="76"/>
      <c r="O777" s="76"/>
      <c r="P777" s="76"/>
      <c r="Q777" s="76"/>
      <c r="R777" s="76"/>
      <c r="S777" s="76"/>
      <c r="T777" s="76"/>
      <c r="U777" s="76"/>
      <c r="V777" s="76"/>
      <c r="W777" s="76"/>
      <c r="X777" s="76"/>
      <c r="Y777" s="76"/>
      <c r="Z777" s="76"/>
      <c r="AA777" s="76"/>
      <c r="AB777" s="76"/>
      <c r="AC777" s="76"/>
      <c r="AD777" s="76"/>
      <c r="AE777" s="76"/>
      <c r="AF777" s="76"/>
      <c r="AG777" s="76"/>
      <c r="AH777" s="76"/>
      <c r="AI777" s="76">
        <v>1</v>
      </c>
      <c r="AJ777" s="76">
        <v>1</v>
      </c>
      <c r="AK777" s="73"/>
      <c r="AL777" s="57"/>
      <c r="AM777" s="45"/>
      <c r="AN777" s="45"/>
      <c r="AO777" s="45"/>
    </row>
    <row r="778" spans="1:41" hidden="1" outlineLevel="3" x14ac:dyDescent="0.25">
      <c r="A778" s="45">
        <v>4</v>
      </c>
      <c r="B778" s="54"/>
      <c r="C778" s="47">
        <f t="shared" si="211"/>
        <v>4</v>
      </c>
      <c r="D778" s="73"/>
      <c r="E778" s="70"/>
      <c r="F778" s="70" t="s">
        <v>1370</v>
      </c>
      <c r="G778" s="73"/>
      <c r="H778" s="76"/>
      <c r="I778" s="96"/>
      <c r="J778" s="96"/>
      <c r="K778" s="76"/>
      <c r="L778" s="76"/>
      <c r="M778" s="76"/>
      <c r="N778" s="76"/>
      <c r="O778" s="76"/>
      <c r="P778" s="76"/>
      <c r="Q778" s="76"/>
      <c r="R778" s="76"/>
      <c r="S778" s="76"/>
      <c r="T778" s="76"/>
      <c r="U778" s="76"/>
      <c r="V778" s="76"/>
      <c r="W778" s="76"/>
      <c r="X778" s="76"/>
      <c r="Y778" s="76"/>
      <c r="Z778" s="76"/>
      <c r="AA778" s="76"/>
      <c r="AB778" s="76"/>
      <c r="AC778" s="76"/>
      <c r="AD778" s="76"/>
      <c r="AE778" s="76"/>
      <c r="AF778" s="76"/>
      <c r="AG778" s="76"/>
      <c r="AH778" s="76"/>
      <c r="AI778" s="76">
        <v>1</v>
      </c>
      <c r="AJ778" s="76">
        <v>1</v>
      </c>
      <c r="AK778" s="73"/>
      <c r="AL778" s="57"/>
      <c r="AM778" s="45"/>
      <c r="AN778" s="45"/>
      <c r="AO778" s="45"/>
    </row>
    <row r="779" spans="1:41" hidden="1" outlineLevel="3" x14ac:dyDescent="0.25">
      <c r="A779" s="45">
        <f>A778</f>
        <v>4</v>
      </c>
      <c r="B779" s="54"/>
      <c r="C779" s="47">
        <f t="shared" si="211"/>
        <v>4</v>
      </c>
      <c r="D779" s="73"/>
      <c r="E779" s="70"/>
      <c r="F779" s="70" t="s">
        <v>1371</v>
      </c>
      <c r="G779" s="73"/>
      <c r="H779" s="76"/>
      <c r="I779" s="96"/>
      <c r="J779" s="96"/>
      <c r="K779" s="76"/>
      <c r="L779" s="76"/>
      <c r="M779" s="76"/>
      <c r="N779" s="76"/>
      <c r="O779" s="76"/>
      <c r="P779" s="76"/>
      <c r="Q779" s="76"/>
      <c r="R779" s="76"/>
      <c r="S779" s="76"/>
      <c r="T779" s="76"/>
      <c r="U779" s="76"/>
      <c r="V779" s="76"/>
      <c r="W779" s="76"/>
      <c r="X779" s="76"/>
      <c r="Y779" s="76"/>
      <c r="Z779" s="76"/>
      <c r="AA779" s="76"/>
      <c r="AB779" s="76"/>
      <c r="AC779" s="76"/>
      <c r="AD779" s="76"/>
      <c r="AE779" s="76"/>
      <c r="AF779" s="76"/>
      <c r="AG779" s="76"/>
      <c r="AH779" s="76"/>
      <c r="AI779" s="76">
        <v>1</v>
      </c>
      <c r="AJ779" s="76">
        <v>1</v>
      </c>
      <c r="AK779" s="73"/>
      <c r="AL779" s="57"/>
      <c r="AM779" s="45"/>
      <c r="AN779" s="45"/>
      <c r="AO779" s="45"/>
    </row>
    <row r="780" spans="1:41" hidden="1" outlineLevel="2" x14ac:dyDescent="0.25">
      <c r="A780" s="45"/>
      <c r="B780" s="54"/>
      <c r="C780" s="47">
        <f t="shared" si="211"/>
        <v>4</v>
      </c>
      <c r="D780" s="73"/>
      <c r="E780" s="70"/>
      <c r="F780" s="70" t="s">
        <v>1372</v>
      </c>
      <c r="G780" s="73"/>
      <c r="H780" s="76" t="s">
        <v>2696</v>
      </c>
      <c r="I780" s="96"/>
      <c r="J780" s="96"/>
      <c r="K780" s="76"/>
      <c r="L780" s="76"/>
      <c r="M780" s="76"/>
      <c r="N780" s="76"/>
      <c r="O780" s="76"/>
      <c r="P780" s="76"/>
      <c r="Q780" s="76"/>
      <c r="R780" s="76"/>
      <c r="S780" s="76"/>
      <c r="T780" s="76"/>
      <c r="U780" s="281">
        <v>1</v>
      </c>
      <c r="V780" s="336">
        <f t="shared" ref="V780:V785" si="212">U780</f>
        <v>1</v>
      </c>
      <c r="W780" s="336">
        <f t="shared" ref="W780:X785" si="213">U780</f>
        <v>1</v>
      </c>
      <c r="X780" s="336">
        <f t="shared" si="213"/>
        <v>1</v>
      </c>
      <c r="Y780" s="336">
        <f t="shared" ref="Y780:Y785" si="214">W780</f>
        <v>1</v>
      </c>
      <c r="Z780" s="336">
        <f t="shared" ref="Z780:Z785" si="215">X780</f>
        <v>1</v>
      </c>
      <c r="AA780" s="336">
        <f t="shared" ref="AA780:AA785" si="216">Y780</f>
        <v>1</v>
      </c>
      <c r="AB780" s="336">
        <f t="shared" ref="AB780:AE789" si="217">AA780</f>
        <v>1</v>
      </c>
      <c r="AC780" s="336">
        <f t="shared" si="217"/>
        <v>1</v>
      </c>
      <c r="AD780" s="336">
        <f t="shared" si="217"/>
        <v>1</v>
      </c>
      <c r="AE780" s="336">
        <f t="shared" si="217"/>
        <v>1</v>
      </c>
      <c r="AF780" s="76"/>
      <c r="AG780" s="97" t="s">
        <v>2702</v>
      </c>
      <c r="AH780" s="76"/>
      <c r="AI780" s="97">
        <v>1</v>
      </c>
      <c r="AJ780" s="97">
        <v>1</v>
      </c>
      <c r="AK780" s="73"/>
      <c r="AL780" s="57"/>
      <c r="AM780" s="45"/>
      <c r="AN780" s="45"/>
      <c r="AO780" s="45"/>
    </row>
    <row r="781" spans="1:41" hidden="1" outlineLevel="2" x14ac:dyDescent="0.25">
      <c r="A781" s="45"/>
      <c r="B781" s="54"/>
      <c r="C781" s="47">
        <f t="shared" si="211"/>
        <v>4</v>
      </c>
      <c r="D781" s="73"/>
      <c r="E781" s="70"/>
      <c r="F781" s="70" t="s">
        <v>1373</v>
      </c>
      <c r="G781" s="73"/>
      <c r="H781" s="76" t="s">
        <v>2697</v>
      </c>
      <c r="I781" s="96"/>
      <c r="J781" s="96"/>
      <c r="K781" s="76"/>
      <c r="L781" s="76"/>
      <c r="M781" s="76"/>
      <c r="N781" s="76"/>
      <c r="O781" s="76"/>
      <c r="P781" s="76"/>
      <c r="Q781" s="76"/>
      <c r="R781" s="76"/>
      <c r="S781" s="76"/>
      <c r="T781" s="76"/>
      <c r="U781" s="281">
        <v>0.95399999999999996</v>
      </c>
      <c r="V781" s="336">
        <f t="shared" si="212"/>
        <v>0.95399999999999996</v>
      </c>
      <c r="W781" s="336">
        <f t="shared" si="213"/>
        <v>0.95399999999999996</v>
      </c>
      <c r="X781" s="336">
        <f t="shared" si="213"/>
        <v>0.95399999999999996</v>
      </c>
      <c r="Y781" s="336">
        <f t="shared" si="214"/>
        <v>0.95399999999999996</v>
      </c>
      <c r="Z781" s="336">
        <f t="shared" si="215"/>
        <v>0.95399999999999996</v>
      </c>
      <c r="AA781" s="336">
        <f t="shared" si="216"/>
        <v>0.95399999999999996</v>
      </c>
      <c r="AB781" s="336">
        <f t="shared" si="217"/>
        <v>0.95399999999999996</v>
      </c>
      <c r="AC781" s="336">
        <f t="shared" si="217"/>
        <v>0.95399999999999996</v>
      </c>
      <c r="AD781" s="336">
        <f t="shared" si="217"/>
        <v>0.95399999999999996</v>
      </c>
      <c r="AE781" s="336">
        <f t="shared" si="217"/>
        <v>0.95399999999999996</v>
      </c>
      <c r="AF781" s="76"/>
      <c r="AG781" s="76"/>
      <c r="AH781" s="76"/>
      <c r="AI781" s="97">
        <v>1</v>
      </c>
      <c r="AJ781" s="97">
        <v>1</v>
      </c>
      <c r="AK781" s="73"/>
      <c r="AL781" s="57"/>
      <c r="AM781" s="45"/>
      <c r="AN781" s="45"/>
      <c r="AO781" s="45"/>
    </row>
    <row r="782" spans="1:41" hidden="1" outlineLevel="2" x14ac:dyDescent="0.25">
      <c r="A782" s="45"/>
      <c r="B782" s="54"/>
      <c r="C782" s="47">
        <f t="shared" si="211"/>
        <v>4</v>
      </c>
      <c r="D782" s="73"/>
      <c r="E782" s="70"/>
      <c r="F782" s="70" t="s">
        <v>1374</v>
      </c>
      <c r="G782" s="73"/>
      <c r="H782" s="76" t="s">
        <v>2698</v>
      </c>
      <c r="I782" s="96"/>
      <c r="J782" s="96"/>
      <c r="K782" s="76"/>
      <c r="L782" s="76"/>
      <c r="M782" s="76"/>
      <c r="N782" s="76"/>
      <c r="O782" s="76"/>
      <c r="P782" s="76"/>
      <c r="Q782" s="76"/>
      <c r="R782" s="76"/>
      <c r="S782" s="76"/>
      <c r="T782" s="76"/>
      <c r="U782" s="281">
        <v>0.90800000000000003</v>
      </c>
      <c r="V782" s="336">
        <f t="shared" si="212"/>
        <v>0.90800000000000003</v>
      </c>
      <c r="W782" s="336">
        <f t="shared" si="213"/>
        <v>0.90800000000000003</v>
      </c>
      <c r="X782" s="336">
        <f t="shared" si="213"/>
        <v>0.90800000000000003</v>
      </c>
      <c r="Y782" s="336">
        <f t="shared" si="214"/>
        <v>0.90800000000000003</v>
      </c>
      <c r="Z782" s="336">
        <f t="shared" si="215"/>
        <v>0.90800000000000003</v>
      </c>
      <c r="AA782" s="336">
        <f t="shared" si="216"/>
        <v>0.90800000000000003</v>
      </c>
      <c r="AB782" s="336">
        <f t="shared" si="217"/>
        <v>0.90800000000000003</v>
      </c>
      <c r="AC782" s="336">
        <f t="shared" si="217"/>
        <v>0.90800000000000003</v>
      </c>
      <c r="AD782" s="336">
        <f t="shared" si="217"/>
        <v>0.90800000000000003</v>
      </c>
      <c r="AE782" s="336">
        <f t="shared" si="217"/>
        <v>0.90800000000000003</v>
      </c>
      <c r="AF782" s="76"/>
      <c r="AG782" s="76"/>
      <c r="AH782" s="76"/>
      <c r="AI782" s="97">
        <v>1</v>
      </c>
      <c r="AJ782" s="97">
        <v>1</v>
      </c>
      <c r="AK782" s="73"/>
      <c r="AL782" s="57"/>
      <c r="AM782" s="45"/>
      <c r="AN782" s="45"/>
      <c r="AO782" s="45"/>
    </row>
    <row r="783" spans="1:41" hidden="1" outlineLevel="2" x14ac:dyDescent="0.25">
      <c r="A783" s="45"/>
      <c r="B783" s="54"/>
      <c r="C783" s="47">
        <f t="shared" si="211"/>
        <v>4</v>
      </c>
      <c r="D783" s="73"/>
      <c r="E783" s="70"/>
      <c r="F783" s="70" t="s">
        <v>1375</v>
      </c>
      <c r="G783" s="73"/>
      <c r="H783" s="76" t="s">
        <v>2699</v>
      </c>
      <c r="I783" s="96"/>
      <c r="J783" s="96"/>
      <c r="K783" s="76"/>
      <c r="L783" s="76"/>
      <c r="M783" s="76"/>
      <c r="N783" s="76"/>
      <c r="O783" s="76"/>
      <c r="P783" s="76"/>
      <c r="Q783" s="76"/>
      <c r="R783" s="76"/>
      <c r="S783" s="76"/>
      <c r="T783" s="76"/>
      <c r="U783" s="281">
        <v>0.97</v>
      </c>
      <c r="V783" s="336">
        <f t="shared" si="212"/>
        <v>0.97</v>
      </c>
      <c r="W783" s="336">
        <f t="shared" si="213"/>
        <v>0.97</v>
      </c>
      <c r="X783" s="336">
        <f t="shared" si="213"/>
        <v>0.97</v>
      </c>
      <c r="Y783" s="336">
        <f t="shared" si="214"/>
        <v>0.97</v>
      </c>
      <c r="Z783" s="336">
        <f t="shared" si="215"/>
        <v>0.97</v>
      </c>
      <c r="AA783" s="336">
        <f t="shared" si="216"/>
        <v>0.97</v>
      </c>
      <c r="AB783" s="336">
        <f t="shared" si="217"/>
        <v>0.97</v>
      </c>
      <c r="AC783" s="336">
        <f t="shared" si="217"/>
        <v>0.97</v>
      </c>
      <c r="AD783" s="336">
        <f t="shared" si="217"/>
        <v>0.97</v>
      </c>
      <c r="AE783" s="336">
        <f t="shared" si="217"/>
        <v>0.97</v>
      </c>
      <c r="AF783" s="76"/>
      <c r="AG783" s="76"/>
      <c r="AH783" s="76"/>
      <c r="AI783" s="97">
        <v>1</v>
      </c>
      <c r="AJ783" s="97">
        <v>1</v>
      </c>
      <c r="AK783" s="73"/>
      <c r="AL783" s="57"/>
      <c r="AM783" s="45"/>
      <c r="AN783" s="45"/>
      <c r="AO783" s="45"/>
    </row>
    <row r="784" spans="1:41" hidden="1" outlineLevel="2" x14ac:dyDescent="0.25">
      <c r="A784" s="45">
        <v>4</v>
      </c>
      <c r="B784" s="54"/>
      <c r="C784" s="47">
        <f t="shared" si="211"/>
        <v>4</v>
      </c>
      <c r="D784" s="73"/>
      <c r="E784" s="70"/>
      <c r="F784" s="70" t="s">
        <v>1376</v>
      </c>
      <c r="G784" s="73"/>
      <c r="H784" s="76" t="s">
        <v>2700</v>
      </c>
      <c r="I784" s="96"/>
      <c r="J784" s="96"/>
      <c r="K784" s="76"/>
      <c r="L784" s="76"/>
      <c r="M784" s="76"/>
      <c r="N784" s="76"/>
      <c r="O784" s="76"/>
      <c r="P784" s="76"/>
      <c r="Q784" s="76"/>
      <c r="R784" s="76"/>
      <c r="S784" s="76"/>
      <c r="T784" s="76"/>
      <c r="U784" s="281">
        <v>0.92400000000000004</v>
      </c>
      <c r="V784" s="336">
        <f t="shared" si="212"/>
        <v>0.92400000000000004</v>
      </c>
      <c r="W784" s="336">
        <f t="shared" si="213"/>
        <v>0.92400000000000004</v>
      </c>
      <c r="X784" s="336">
        <f t="shared" si="213"/>
        <v>0.92400000000000004</v>
      </c>
      <c r="Y784" s="336">
        <f t="shared" si="214"/>
        <v>0.92400000000000004</v>
      </c>
      <c r="Z784" s="336">
        <f t="shared" si="215"/>
        <v>0.92400000000000004</v>
      </c>
      <c r="AA784" s="336">
        <f t="shared" si="216"/>
        <v>0.92400000000000004</v>
      </c>
      <c r="AB784" s="336">
        <f t="shared" si="217"/>
        <v>0.92400000000000004</v>
      </c>
      <c r="AC784" s="336">
        <f t="shared" si="217"/>
        <v>0.92400000000000004</v>
      </c>
      <c r="AD784" s="336">
        <f t="shared" si="217"/>
        <v>0.92400000000000004</v>
      </c>
      <c r="AE784" s="336">
        <f t="shared" si="217"/>
        <v>0.92400000000000004</v>
      </c>
      <c r="AF784" s="76"/>
      <c r="AG784" s="76"/>
      <c r="AH784" s="76"/>
      <c r="AI784" s="97">
        <v>1</v>
      </c>
      <c r="AJ784" s="97">
        <v>1</v>
      </c>
      <c r="AK784" s="73"/>
      <c r="AL784" s="57"/>
      <c r="AM784" s="45"/>
      <c r="AN784" s="45"/>
      <c r="AO784" s="45"/>
    </row>
    <row r="785" spans="1:41" hidden="1" outlineLevel="2" x14ac:dyDescent="0.25">
      <c r="A785" s="45">
        <f>A784</f>
        <v>4</v>
      </c>
      <c r="B785" s="54"/>
      <c r="C785" s="47">
        <f t="shared" si="211"/>
        <v>4</v>
      </c>
      <c r="D785" s="73"/>
      <c r="E785" s="70"/>
      <c r="F785" s="70" t="s">
        <v>1377</v>
      </c>
      <c r="G785" s="73"/>
      <c r="H785" s="76" t="s">
        <v>2701</v>
      </c>
      <c r="I785" s="96"/>
      <c r="J785" s="96"/>
      <c r="K785" s="76"/>
      <c r="L785" s="76"/>
      <c r="M785" s="76"/>
      <c r="N785" s="76"/>
      <c r="O785" s="76"/>
      <c r="P785" s="76"/>
      <c r="Q785" s="76"/>
      <c r="R785" s="76"/>
      <c r="S785" s="76"/>
      <c r="T785" s="76"/>
      <c r="U785" s="281">
        <v>0.94</v>
      </c>
      <c r="V785" s="336">
        <f t="shared" si="212"/>
        <v>0.94</v>
      </c>
      <c r="W785" s="336">
        <f t="shared" si="213"/>
        <v>0.94</v>
      </c>
      <c r="X785" s="336">
        <f t="shared" si="213"/>
        <v>0.94</v>
      </c>
      <c r="Y785" s="336">
        <f t="shared" si="214"/>
        <v>0.94</v>
      </c>
      <c r="Z785" s="336">
        <f t="shared" si="215"/>
        <v>0.94</v>
      </c>
      <c r="AA785" s="336">
        <f t="shared" si="216"/>
        <v>0.94</v>
      </c>
      <c r="AB785" s="336">
        <f t="shared" si="217"/>
        <v>0.94</v>
      </c>
      <c r="AC785" s="336">
        <f t="shared" si="217"/>
        <v>0.94</v>
      </c>
      <c r="AD785" s="336">
        <f t="shared" si="217"/>
        <v>0.94</v>
      </c>
      <c r="AE785" s="336">
        <f t="shared" si="217"/>
        <v>0.94</v>
      </c>
      <c r="AF785" s="76"/>
      <c r="AG785" s="76"/>
      <c r="AH785" s="76"/>
      <c r="AI785" s="97">
        <v>1</v>
      </c>
      <c r="AJ785" s="97">
        <v>1</v>
      </c>
      <c r="AK785" s="73"/>
      <c r="AL785" s="57"/>
      <c r="AM785" s="45"/>
      <c r="AN785" s="45"/>
      <c r="AO785" s="45"/>
    </row>
    <row r="786" spans="1:41" hidden="1" outlineLevel="2" x14ac:dyDescent="0.25">
      <c r="A786" s="45"/>
      <c r="B786" s="54"/>
      <c r="C786" s="47">
        <f t="shared" ref="C786:C797" si="218">INT($C$29)+2</f>
        <v>3</v>
      </c>
      <c r="D786" s="73"/>
      <c r="E786" s="70"/>
      <c r="F786" s="70" t="s">
        <v>1378</v>
      </c>
      <c r="G786" s="73"/>
      <c r="H786" s="76" t="s">
        <v>1379</v>
      </c>
      <c r="I786" s="96" t="s">
        <v>687</v>
      </c>
      <c r="J786" s="96" t="s">
        <v>1138</v>
      </c>
      <c r="K786" s="76"/>
      <c r="L786" s="76"/>
      <c r="M786" s="76"/>
      <c r="N786" s="76"/>
      <c r="O786" s="76"/>
      <c r="P786" s="76"/>
      <c r="Q786" s="76"/>
      <c r="R786" s="76"/>
      <c r="S786" s="76"/>
      <c r="T786" s="76"/>
      <c r="U786" s="97">
        <v>0</v>
      </c>
      <c r="V786" s="97">
        <v>0</v>
      </c>
      <c r="W786" s="97">
        <v>0</v>
      </c>
      <c r="X786" s="97">
        <v>0</v>
      </c>
      <c r="Y786" s="97">
        <v>0</v>
      </c>
      <c r="Z786" s="97">
        <v>0</v>
      </c>
      <c r="AA786" s="97">
        <v>0</v>
      </c>
      <c r="AB786" s="255">
        <f t="shared" si="217"/>
        <v>0</v>
      </c>
      <c r="AC786" s="255">
        <f t="shared" si="217"/>
        <v>0</v>
      </c>
      <c r="AD786" s="255">
        <f t="shared" si="217"/>
        <v>0</v>
      </c>
      <c r="AE786" s="255">
        <f t="shared" si="217"/>
        <v>0</v>
      </c>
      <c r="AF786" s="76"/>
      <c r="AG786" s="97" t="s">
        <v>1380</v>
      </c>
      <c r="AH786" s="76"/>
      <c r="AI786" s="97">
        <v>1</v>
      </c>
      <c r="AJ786" s="97">
        <v>1</v>
      </c>
      <c r="AK786" s="73"/>
      <c r="AL786" s="57"/>
      <c r="AM786" s="45"/>
      <c r="AN786" s="45"/>
      <c r="AO786" s="45"/>
    </row>
    <row r="787" spans="1:41" hidden="1" outlineLevel="2" x14ac:dyDescent="0.25">
      <c r="A787" s="45"/>
      <c r="B787" s="54"/>
      <c r="C787" s="47">
        <f t="shared" si="218"/>
        <v>3</v>
      </c>
      <c r="D787" s="73"/>
      <c r="E787" s="70"/>
      <c r="F787" s="70" t="s">
        <v>1381</v>
      </c>
      <c r="G787" s="73"/>
      <c r="H787" s="76" t="s">
        <v>1382</v>
      </c>
      <c r="I787" s="96" t="s">
        <v>687</v>
      </c>
      <c r="J787" s="96" t="s">
        <v>1138</v>
      </c>
      <c r="K787" s="76"/>
      <c r="L787" s="76"/>
      <c r="M787" s="76"/>
      <c r="N787" s="76"/>
      <c r="O787" s="76"/>
      <c r="P787" s="76"/>
      <c r="Q787" s="76"/>
      <c r="R787" s="76"/>
      <c r="S787" s="76"/>
      <c r="T787" s="76"/>
      <c r="U787" s="97">
        <v>-0.26400000000000001</v>
      </c>
      <c r="V787" s="97">
        <v>-0.26400000000000001</v>
      </c>
      <c r="W787" s="97">
        <v>-0.26400000000000001</v>
      </c>
      <c r="X787" s="97">
        <v>-0.26400000000000001</v>
      </c>
      <c r="Y787" s="97">
        <v>-0.26400000000000001</v>
      </c>
      <c r="Z787" s="97">
        <v>-0.26400000000000001</v>
      </c>
      <c r="AA787" s="97">
        <v>-0.26400000000000001</v>
      </c>
      <c r="AB787" s="255">
        <f t="shared" si="217"/>
        <v>-0.26400000000000001</v>
      </c>
      <c r="AC787" s="255">
        <f t="shared" si="217"/>
        <v>-0.26400000000000001</v>
      </c>
      <c r="AD787" s="255">
        <f t="shared" si="217"/>
        <v>-0.26400000000000001</v>
      </c>
      <c r="AE787" s="255">
        <f t="shared" si="217"/>
        <v>-0.26400000000000001</v>
      </c>
      <c r="AF787" s="76"/>
      <c r="AG787" s="97" t="s">
        <v>1383</v>
      </c>
      <c r="AH787" s="76"/>
      <c r="AI787" s="97">
        <v>1</v>
      </c>
      <c r="AJ787" s="97">
        <v>1</v>
      </c>
      <c r="AK787" s="73"/>
      <c r="AL787" s="57"/>
      <c r="AM787" s="45"/>
      <c r="AN787" s="45"/>
      <c r="AO787" s="45"/>
    </row>
    <row r="788" spans="1:41" hidden="1" outlineLevel="2" x14ac:dyDescent="0.25">
      <c r="A788" s="45"/>
      <c r="B788" s="54"/>
      <c r="C788" s="47">
        <f t="shared" si="218"/>
        <v>3</v>
      </c>
      <c r="D788" s="73"/>
      <c r="E788" s="70"/>
      <c r="F788" s="70" t="s">
        <v>1384</v>
      </c>
      <c r="G788" s="73"/>
      <c r="H788" s="76" t="s">
        <v>1385</v>
      </c>
      <c r="I788" s="96" t="s">
        <v>687</v>
      </c>
      <c r="J788" s="96" t="s">
        <v>1138</v>
      </c>
      <c r="K788" s="76"/>
      <c r="L788" s="76"/>
      <c r="M788" s="76"/>
      <c r="N788" s="76"/>
      <c r="O788" s="76"/>
      <c r="P788" s="76"/>
      <c r="Q788" s="76"/>
      <c r="R788" s="76"/>
      <c r="S788" s="76"/>
      <c r="T788" s="76"/>
      <c r="U788" s="97">
        <v>-0.4</v>
      </c>
      <c r="V788" s="97">
        <v>-0.4</v>
      </c>
      <c r="W788" s="97">
        <v>-0.4</v>
      </c>
      <c r="X788" s="97">
        <v>-0.4</v>
      </c>
      <c r="Y788" s="97">
        <v>-0.4</v>
      </c>
      <c r="Z788" s="97">
        <v>-0.4</v>
      </c>
      <c r="AA788" s="97">
        <v>-0.4</v>
      </c>
      <c r="AB788" s="255">
        <f t="shared" si="217"/>
        <v>-0.4</v>
      </c>
      <c r="AC788" s="255">
        <f t="shared" si="217"/>
        <v>-0.4</v>
      </c>
      <c r="AD788" s="255">
        <f t="shared" si="217"/>
        <v>-0.4</v>
      </c>
      <c r="AE788" s="255">
        <f t="shared" si="217"/>
        <v>-0.4</v>
      </c>
      <c r="AF788" s="76"/>
      <c r="AG788" s="263" t="s">
        <v>1386</v>
      </c>
      <c r="AH788" s="76"/>
      <c r="AI788" s="97">
        <v>1</v>
      </c>
      <c r="AJ788" s="97">
        <v>1</v>
      </c>
      <c r="AK788" s="73"/>
      <c r="AL788" s="57"/>
      <c r="AM788" s="45"/>
      <c r="AN788" s="45"/>
      <c r="AO788" s="45"/>
    </row>
    <row r="789" spans="1:41" hidden="1" outlineLevel="2" x14ac:dyDescent="0.25">
      <c r="A789" s="45"/>
      <c r="B789" s="54"/>
      <c r="C789" s="47">
        <f t="shared" si="218"/>
        <v>3</v>
      </c>
      <c r="D789" s="73"/>
      <c r="E789" s="70"/>
      <c r="F789" s="70" t="s">
        <v>1387</v>
      </c>
      <c r="G789" s="73"/>
      <c r="H789" s="76" t="s">
        <v>1388</v>
      </c>
      <c r="I789" s="96" t="s">
        <v>687</v>
      </c>
      <c r="J789" s="96" t="s">
        <v>1138</v>
      </c>
      <c r="K789" s="76"/>
      <c r="L789" s="76"/>
      <c r="M789" s="76"/>
      <c r="N789" s="76"/>
      <c r="O789" s="76"/>
      <c r="P789" s="76"/>
      <c r="Q789" s="76"/>
      <c r="R789" s="76"/>
      <c r="S789" s="76"/>
      <c r="T789" s="76"/>
      <c r="U789" s="97">
        <v>-0.17799999999999999</v>
      </c>
      <c r="V789" s="97">
        <v>-0.17799999999999999</v>
      </c>
      <c r="W789" s="97">
        <v>-0.17799999999999999</v>
      </c>
      <c r="X789" s="97">
        <v>-0.17799999999999999</v>
      </c>
      <c r="Y789" s="97">
        <v>-0.17799999999999999</v>
      </c>
      <c r="Z789" s="97">
        <v>-0.17799999999999999</v>
      </c>
      <c r="AA789" s="97">
        <v>-0.17799999999999999</v>
      </c>
      <c r="AB789" s="255">
        <f t="shared" si="217"/>
        <v>-0.17799999999999999</v>
      </c>
      <c r="AC789" s="255">
        <f t="shared" si="217"/>
        <v>-0.17799999999999999</v>
      </c>
      <c r="AD789" s="255">
        <f t="shared" si="217"/>
        <v>-0.17799999999999999</v>
      </c>
      <c r="AE789" s="255">
        <f t="shared" si="217"/>
        <v>-0.17799999999999999</v>
      </c>
      <c r="AF789" s="76"/>
      <c r="AG789" s="97" t="s">
        <v>1389</v>
      </c>
      <c r="AH789" s="76"/>
      <c r="AI789" s="97">
        <v>1</v>
      </c>
      <c r="AJ789" s="97">
        <v>1</v>
      </c>
      <c r="AK789" s="73"/>
      <c r="AL789" s="57"/>
      <c r="AM789" s="45"/>
      <c r="AN789" s="45"/>
      <c r="AO789" s="45"/>
    </row>
    <row r="790" spans="1:41" hidden="1" outlineLevel="2" x14ac:dyDescent="0.25">
      <c r="A790" s="45">
        <v>4</v>
      </c>
      <c r="B790" s="54"/>
      <c r="C790" s="47">
        <f t="shared" si="218"/>
        <v>3</v>
      </c>
      <c r="D790" s="73"/>
      <c r="E790" s="70"/>
      <c r="F790" s="70" t="s">
        <v>1390</v>
      </c>
      <c r="G790" s="73"/>
      <c r="H790" s="76" t="s">
        <v>1391</v>
      </c>
      <c r="I790" s="96" t="s">
        <v>687</v>
      </c>
      <c r="J790" s="96" t="s">
        <v>1138</v>
      </c>
      <c r="K790" s="76"/>
      <c r="L790" s="76"/>
      <c r="M790" s="76"/>
      <c r="N790" s="76"/>
      <c r="O790" s="76"/>
      <c r="P790" s="76"/>
      <c r="Q790" s="76"/>
      <c r="R790" s="76"/>
      <c r="S790" s="76"/>
      <c r="T790" s="76"/>
      <c r="U790" s="97">
        <v>-0.26400000000000001</v>
      </c>
      <c r="V790" s="97">
        <v>-0.26400000000000001</v>
      </c>
      <c r="W790" s="97">
        <v>-0.26400000000000001</v>
      </c>
      <c r="X790" s="97">
        <v>-0.26400000000000001</v>
      </c>
      <c r="Y790" s="97">
        <v>-0.26400000000000001</v>
      </c>
      <c r="Z790" s="97">
        <v>-0.26400000000000001</v>
      </c>
      <c r="AA790" s="97">
        <v>-0.26400000000000001</v>
      </c>
      <c r="AB790" s="255">
        <f t="shared" ref="AB790:AE797" si="219">AA790</f>
        <v>-0.26400000000000001</v>
      </c>
      <c r="AC790" s="255">
        <f t="shared" si="219"/>
        <v>-0.26400000000000001</v>
      </c>
      <c r="AD790" s="255">
        <f t="shared" si="219"/>
        <v>-0.26400000000000001</v>
      </c>
      <c r="AE790" s="255">
        <f t="shared" si="219"/>
        <v>-0.26400000000000001</v>
      </c>
      <c r="AF790" s="76"/>
      <c r="AG790" s="97"/>
      <c r="AH790" s="76"/>
      <c r="AI790" s="97">
        <v>1</v>
      </c>
      <c r="AJ790" s="97">
        <v>1</v>
      </c>
      <c r="AK790" s="73"/>
      <c r="AL790" s="57"/>
      <c r="AM790" s="45"/>
      <c r="AN790" s="45"/>
      <c r="AO790" s="45"/>
    </row>
    <row r="791" spans="1:41" hidden="1" outlineLevel="2" x14ac:dyDescent="0.25">
      <c r="A791" s="45">
        <f>A790</f>
        <v>4</v>
      </c>
      <c r="B791" s="54"/>
      <c r="C791" s="47">
        <f t="shared" si="218"/>
        <v>3</v>
      </c>
      <c r="D791" s="73"/>
      <c r="E791" s="70"/>
      <c r="F791" s="70" t="s">
        <v>1392</v>
      </c>
      <c r="G791" s="73"/>
      <c r="H791" s="76" t="s">
        <v>1393</v>
      </c>
      <c r="I791" s="96" t="s">
        <v>687</v>
      </c>
      <c r="J791" s="96" t="s">
        <v>1138</v>
      </c>
      <c r="K791" s="76"/>
      <c r="L791" s="76"/>
      <c r="M791" s="76"/>
      <c r="N791" s="76"/>
      <c r="O791" s="76"/>
      <c r="P791" s="76"/>
      <c r="Q791" s="76"/>
      <c r="R791" s="76"/>
      <c r="S791" s="76"/>
      <c r="T791" s="76"/>
      <c r="U791" s="97">
        <v>-0.17799999999999999</v>
      </c>
      <c r="V791" s="97">
        <v>-0.17799999999999999</v>
      </c>
      <c r="W791" s="97">
        <v>-0.17799999999999999</v>
      </c>
      <c r="X791" s="97">
        <v>-0.17799999999999999</v>
      </c>
      <c r="Y791" s="97">
        <v>-0.17799999999999999</v>
      </c>
      <c r="Z791" s="97">
        <v>-0.17799999999999999</v>
      </c>
      <c r="AA791" s="97">
        <v>-0.17799999999999999</v>
      </c>
      <c r="AB791" s="255">
        <f t="shared" si="219"/>
        <v>-0.17799999999999999</v>
      </c>
      <c r="AC791" s="255">
        <f t="shared" si="219"/>
        <v>-0.17799999999999999</v>
      </c>
      <c r="AD791" s="255">
        <f t="shared" si="219"/>
        <v>-0.17799999999999999</v>
      </c>
      <c r="AE791" s="255">
        <f t="shared" si="219"/>
        <v>-0.17799999999999999</v>
      </c>
      <c r="AF791" s="76"/>
      <c r="AG791" s="97"/>
      <c r="AH791" s="76"/>
      <c r="AI791" s="97">
        <v>1</v>
      </c>
      <c r="AJ791" s="97">
        <v>1</v>
      </c>
      <c r="AK791" s="73"/>
      <c r="AL791" s="57"/>
      <c r="AM791" s="45"/>
      <c r="AN791" s="45"/>
      <c r="AO791" s="45"/>
    </row>
    <row r="792" spans="1:41" hidden="1" outlineLevel="2" x14ac:dyDescent="0.25">
      <c r="A792" s="45"/>
      <c r="B792" s="54"/>
      <c r="C792" s="47">
        <f t="shared" si="218"/>
        <v>3</v>
      </c>
      <c r="D792" s="73"/>
      <c r="E792" s="70"/>
      <c r="F792" s="70" t="s">
        <v>1394</v>
      </c>
      <c r="G792" s="73"/>
      <c r="H792" s="76" t="s">
        <v>1395</v>
      </c>
      <c r="I792" s="96" t="s">
        <v>1396</v>
      </c>
      <c r="J792" s="96" t="s">
        <v>1138</v>
      </c>
      <c r="K792" s="76"/>
      <c r="L792" s="76"/>
      <c r="M792" s="76"/>
      <c r="N792" s="76"/>
      <c r="O792" s="76"/>
      <c r="P792" s="76"/>
      <c r="Q792" s="76"/>
      <c r="R792" s="76"/>
      <c r="S792" s="76"/>
      <c r="T792" s="76"/>
      <c r="U792" s="97">
        <v>0</v>
      </c>
      <c r="V792" s="97">
        <v>0</v>
      </c>
      <c r="W792" s="97">
        <v>0</v>
      </c>
      <c r="X792" s="97">
        <v>0</v>
      </c>
      <c r="Y792" s="97">
        <v>0</v>
      </c>
      <c r="Z792" s="97">
        <v>0</v>
      </c>
      <c r="AA792" s="97">
        <v>0</v>
      </c>
      <c r="AB792" s="255">
        <f t="shared" si="219"/>
        <v>0</v>
      </c>
      <c r="AC792" s="255">
        <f t="shared" si="219"/>
        <v>0</v>
      </c>
      <c r="AD792" s="255">
        <f t="shared" si="219"/>
        <v>0</v>
      </c>
      <c r="AE792" s="255">
        <f t="shared" si="219"/>
        <v>0</v>
      </c>
      <c r="AF792" s="76"/>
      <c r="AG792" s="97" t="s">
        <v>1380</v>
      </c>
      <c r="AH792" s="76"/>
      <c r="AI792" s="97">
        <v>1</v>
      </c>
      <c r="AJ792" s="97">
        <v>1</v>
      </c>
      <c r="AK792" s="73"/>
      <c r="AL792" s="57"/>
      <c r="AM792" s="45"/>
      <c r="AN792" s="45"/>
      <c r="AO792" s="45"/>
    </row>
    <row r="793" spans="1:41" hidden="1" outlineLevel="2" x14ac:dyDescent="0.25">
      <c r="A793" s="45"/>
      <c r="B793" s="54"/>
      <c r="C793" s="47">
        <f t="shared" si="218"/>
        <v>3</v>
      </c>
      <c r="D793" s="73"/>
      <c r="E793" s="70"/>
      <c r="F793" s="70" t="s">
        <v>1397</v>
      </c>
      <c r="G793" s="73"/>
      <c r="H793" s="76" t="s">
        <v>1398</v>
      </c>
      <c r="I793" s="96" t="s">
        <v>1396</v>
      </c>
      <c r="J793" s="96" t="s">
        <v>1138</v>
      </c>
      <c r="K793" s="76"/>
      <c r="L793" s="76"/>
      <c r="M793" s="76"/>
      <c r="N793" s="76"/>
      <c r="O793" s="76"/>
      <c r="P793" s="76"/>
      <c r="Q793" s="76"/>
      <c r="R793" s="76"/>
      <c r="S793" s="76"/>
      <c r="T793" s="76"/>
      <c r="U793" s="97">
        <v>0.43</v>
      </c>
      <c r="V793" s="97">
        <v>0.43</v>
      </c>
      <c r="W793" s="97">
        <v>0.43</v>
      </c>
      <c r="X793" s="97">
        <v>0.43</v>
      </c>
      <c r="Y793" s="97">
        <v>0.43</v>
      </c>
      <c r="Z793" s="97">
        <v>0.43</v>
      </c>
      <c r="AA793" s="97">
        <v>0.43</v>
      </c>
      <c r="AB793" s="255">
        <f t="shared" si="219"/>
        <v>0.43</v>
      </c>
      <c r="AC793" s="255">
        <f t="shared" si="219"/>
        <v>0.43</v>
      </c>
      <c r="AD793" s="255">
        <f t="shared" si="219"/>
        <v>0.43</v>
      </c>
      <c r="AE793" s="255">
        <f t="shared" si="219"/>
        <v>0.43</v>
      </c>
      <c r="AF793" s="76"/>
      <c r="AG793" s="97" t="s">
        <v>1383</v>
      </c>
      <c r="AH793" s="76"/>
      <c r="AI793" s="97">
        <v>1</v>
      </c>
      <c r="AJ793" s="97">
        <v>1</v>
      </c>
      <c r="AK793" s="73"/>
      <c r="AL793" s="57"/>
      <c r="AM793" s="45"/>
      <c r="AN793" s="45"/>
      <c r="AO793" s="45"/>
    </row>
    <row r="794" spans="1:41" hidden="1" outlineLevel="2" x14ac:dyDescent="0.25">
      <c r="A794" s="45"/>
      <c r="B794" s="54"/>
      <c r="C794" s="47">
        <f t="shared" si="218"/>
        <v>3</v>
      </c>
      <c r="D794" s="73"/>
      <c r="E794" s="70"/>
      <c r="F794" s="70" t="s">
        <v>1399</v>
      </c>
      <c r="G794" s="73"/>
      <c r="H794" s="76" t="s">
        <v>1400</v>
      </c>
      <c r="I794" s="96" t="s">
        <v>1396</v>
      </c>
      <c r="J794" s="96" t="s">
        <v>1138</v>
      </c>
      <c r="K794" s="76"/>
      <c r="L794" s="76"/>
      <c r="M794" s="76"/>
      <c r="N794" s="76"/>
      <c r="O794" s="76"/>
      <c r="P794" s="76"/>
      <c r="Q794" s="76"/>
      <c r="R794" s="76"/>
      <c r="S794" s="76"/>
      <c r="T794" s="76"/>
      <c r="U794" s="97">
        <v>0.8</v>
      </c>
      <c r="V794" s="97">
        <v>0.8</v>
      </c>
      <c r="W794" s="97">
        <v>0.8</v>
      </c>
      <c r="X794" s="97">
        <v>0.8</v>
      </c>
      <c r="Y794" s="97">
        <v>0.8</v>
      </c>
      <c r="Z794" s="97">
        <v>0.8</v>
      </c>
      <c r="AA794" s="97">
        <v>0.8</v>
      </c>
      <c r="AB794" s="255">
        <f t="shared" si="219"/>
        <v>0.8</v>
      </c>
      <c r="AC794" s="255">
        <f t="shared" si="219"/>
        <v>0.8</v>
      </c>
      <c r="AD794" s="255">
        <f t="shared" si="219"/>
        <v>0.8</v>
      </c>
      <c r="AE794" s="255">
        <f t="shared" si="219"/>
        <v>0.8</v>
      </c>
      <c r="AF794" s="76"/>
      <c r="AG794" s="263" t="s">
        <v>1386</v>
      </c>
      <c r="AH794" s="76"/>
      <c r="AI794" s="97">
        <v>1</v>
      </c>
      <c r="AJ794" s="97">
        <v>1</v>
      </c>
      <c r="AK794" s="73"/>
      <c r="AL794" s="57"/>
      <c r="AM794" s="45"/>
      <c r="AN794" s="45"/>
      <c r="AO794" s="45"/>
    </row>
    <row r="795" spans="1:41" hidden="1" outlineLevel="2" x14ac:dyDescent="0.25">
      <c r="A795" s="45"/>
      <c r="B795" s="54"/>
      <c r="C795" s="47">
        <f t="shared" si="218"/>
        <v>3</v>
      </c>
      <c r="D795" s="73"/>
      <c r="E795" s="70"/>
      <c r="F795" s="70" t="s">
        <v>1401</v>
      </c>
      <c r="G795" s="73"/>
      <c r="H795" s="76" t="s">
        <v>1402</v>
      </c>
      <c r="I795" s="96" t="s">
        <v>1396</v>
      </c>
      <c r="J795" s="96" t="s">
        <v>1138</v>
      </c>
      <c r="K795" s="76"/>
      <c r="L795" s="76"/>
      <c r="M795" s="76"/>
      <c r="N795" s="76"/>
      <c r="O795" s="76"/>
      <c r="P795" s="76"/>
      <c r="Q795" s="76"/>
      <c r="R795" s="76"/>
      <c r="S795" s="76"/>
      <c r="T795" s="76"/>
      <c r="U795" s="97">
        <v>8.9999999999999993E-3</v>
      </c>
      <c r="V795" s="97">
        <v>8.9999999999999993E-3</v>
      </c>
      <c r="W795" s="97">
        <v>8.9999999999999993E-3</v>
      </c>
      <c r="X795" s="97">
        <v>8.9999999999999993E-3</v>
      </c>
      <c r="Y795" s="97">
        <v>8.9999999999999993E-3</v>
      </c>
      <c r="Z795" s="97">
        <v>8.9999999999999993E-3</v>
      </c>
      <c r="AA795" s="97">
        <v>8.9999999999999993E-3</v>
      </c>
      <c r="AB795" s="255">
        <f t="shared" si="219"/>
        <v>8.9999999999999993E-3</v>
      </c>
      <c r="AC795" s="255">
        <f t="shared" si="219"/>
        <v>8.9999999999999993E-3</v>
      </c>
      <c r="AD795" s="255">
        <f t="shared" si="219"/>
        <v>8.9999999999999993E-3</v>
      </c>
      <c r="AE795" s="255">
        <f t="shared" si="219"/>
        <v>8.9999999999999993E-3</v>
      </c>
      <c r="AF795" s="76"/>
      <c r="AG795" s="97" t="s">
        <v>1403</v>
      </c>
      <c r="AH795" s="76"/>
      <c r="AI795" s="97">
        <v>1</v>
      </c>
      <c r="AJ795" s="97">
        <v>1</v>
      </c>
      <c r="AK795" s="73"/>
      <c r="AL795" s="57"/>
      <c r="AM795" s="45"/>
      <c r="AN795" s="45"/>
      <c r="AO795" s="45"/>
    </row>
    <row r="796" spans="1:41" hidden="1" outlineLevel="2" x14ac:dyDescent="0.25">
      <c r="A796" s="45">
        <v>4</v>
      </c>
      <c r="B796" s="54"/>
      <c r="C796" s="47">
        <f t="shared" si="218"/>
        <v>3</v>
      </c>
      <c r="D796" s="73"/>
      <c r="E796" s="70"/>
      <c r="F796" s="70" t="s">
        <v>1404</v>
      </c>
      <c r="G796" s="73"/>
      <c r="H796" s="76" t="s">
        <v>1405</v>
      </c>
      <c r="I796" s="96" t="s">
        <v>1396</v>
      </c>
      <c r="J796" s="96" t="s">
        <v>1138</v>
      </c>
      <c r="K796" s="76"/>
      <c r="L796" s="76"/>
      <c r="M796" s="76"/>
      <c r="N796" s="76"/>
      <c r="O796" s="76"/>
      <c r="P796" s="76"/>
      <c r="Q796" s="76"/>
      <c r="R796" s="76"/>
      <c r="S796" s="76"/>
      <c r="T796" s="76"/>
      <c r="U796" s="97">
        <v>0.48199999999999998</v>
      </c>
      <c r="V796" s="97">
        <v>0.48199999999999998</v>
      </c>
      <c r="W796" s="97">
        <v>0.48199999999999998</v>
      </c>
      <c r="X796" s="97">
        <v>0.48199999999999998</v>
      </c>
      <c r="Y796" s="97">
        <v>0.48199999999999998</v>
      </c>
      <c r="Z796" s="97">
        <v>0.48199999999999998</v>
      </c>
      <c r="AA796" s="97">
        <v>0.48199999999999998</v>
      </c>
      <c r="AB796" s="255">
        <f t="shared" si="219"/>
        <v>0.48199999999999998</v>
      </c>
      <c r="AC796" s="255">
        <f t="shared" si="219"/>
        <v>0.48199999999999998</v>
      </c>
      <c r="AD796" s="255">
        <f t="shared" si="219"/>
        <v>0.48199999999999998</v>
      </c>
      <c r="AE796" s="255">
        <f t="shared" si="219"/>
        <v>0.48199999999999998</v>
      </c>
      <c r="AF796" s="76"/>
      <c r="AG796" s="97"/>
      <c r="AH796" s="76"/>
      <c r="AI796" s="97">
        <v>1</v>
      </c>
      <c r="AJ796" s="97">
        <v>1</v>
      </c>
      <c r="AK796" s="73"/>
      <c r="AL796" s="57"/>
      <c r="AM796" s="45"/>
      <c r="AN796" s="45"/>
      <c r="AO796" s="45"/>
    </row>
    <row r="797" spans="1:41" hidden="1" outlineLevel="2" collapsed="1" x14ac:dyDescent="0.25">
      <c r="A797" s="45">
        <f>A796</f>
        <v>4</v>
      </c>
      <c r="B797" s="54"/>
      <c r="C797" s="47">
        <f t="shared" si="218"/>
        <v>3</v>
      </c>
      <c r="D797" s="73"/>
      <c r="E797" s="70"/>
      <c r="F797" s="70" t="s">
        <v>1406</v>
      </c>
      <c r="G797" s="73"/>
      <c r="H797" s="76" t="s">
        <v>1407</v>
      </c>
      <c r="I797" s="96" t="s">
        <v>1396</v>
      </c>
      <c r="J797" s="96" t="s">
        <v>1138</v>
      </c>
      <c r="K797" s="76"/>
      <c r="L797" s="76"/>
      <c r="M797" s="76"/>
      <c r="N797" s="76"/>
      <c r="O797" s="76"/>
      <c r="P797" s="76"/>
      <c r="Q797" s="76"/>
      <c r="R797" s="76"/>
      <c r="S797" s="76"/>
      <c r="T797" s="76"/>
      <c r="U797" s="97">
        <v>0.128</v>
      </c>
      <c r="V797" s="97">
        <v>0.128</v>
      </c>
      <c r="W797" s="97">
        <v>0.128</v>
      </c>
      <c r="X797" s="97">
        <v>0.128</v>
      </c>
      <c r="Y797" s="97">
        <v>0.128</v>
      </c>
      <c r="Z797" s="97">
        <v>0.128</v>
      </c>
      <c r="AA797" s="97">
        <v>0.128</v>
      </c>
      <c r="AB797" s="255">
        <f t="shared" si="219"/>
        <v>0.128</v>
      </c>
      <c r="AC797" s="255">
        <f t="shared" si="219"/>
        <v>0.128</v>
      </c>
      <c r="AD797" s="255">
        <f t="shared" si="219"/>
        <v>0.128</v>
      </c>
      <c r="AE797" s="255">
        <f t="shared" si="219"/>
        <v>0.128</v>
      </c>
      <c r="AF797" s="76"/>
      <c r="AG797" s="97"/>
      <c r="AH797" s="76"/>
      <c r="AI797" s="97">
        <v>1</v>
      </c>
      <c r="AJ797" s="97">
        <v>1</v>
      </c>
      <c r="AK797" s="73"/>
      <c r="AL797" s="57"/>
      <c r="AM797" s="45"/>
      <c r="AN797" s="45"/>
      <c r="AO797" s="45"/>
    </row>
    <row r="798" spans="1:41" hidden="1" outlineLevel="3" x14ac:dyDescent="0.25">
      <c r="A798" s="45"/>
      <c r="B798" s="54"/>
      <c r="C798" s="47">
        <f t="shared" ref="C798:C803" si="220">INT($C$29)+3</f>
        <v>4</v>
      </c>
      <c r="D798" s="73"/>
      <c r="E798" s="70"/>
      <c r="F798" s="70" t="s">
        <v>1408</v>
      </c>
      <c r="G798" s="73"/>
      <c r="H798" s="76" t="s">
        <v>599</v>
      </c>
      <c r="I798" s="96"/>
      <c r="J798" s="96"/>
      <c r="K798" s="76"/>
      <c r="L798" s="76"/>
      <c r="M798" s="76"/>
      <c r="N798" s="76"/>
      <c r="O798" s="76"/>
      <c r="P798" s="76"/>
      <c r="Q798" s="76"/>
      <c r="R798" s="76"/>
      <c r="S798" s="76"/>
      <c r="T798" s="76"/>
      <c r="U798" s="76"/>
      <c r="V798" s="76"/>
      <c r="W798" s="76"/>
      <c r="X798" s="76"/>
      <c r="Y798" s="76"/>
      <c r="Z798" s="76"/>
      <c r="AA798" s="76"/>
      <c r="AB798" s="76"/>
      <c r="AC798" s="76"/>
      <c r="AD798" s="76"/>
      <c r="AE798" s="76"/>
      <c r="AF798" s="76"/>
      <c r="AG798" s="76"/>
      <c r="AH798" s="76"/>
      <c r="AI798" s="76">
        <v>1</v>
      </c>
      <c r="AJ798" s="76">
        <v>1</v>
      </c>
      <c r="AK798" s="73"/>
      <c r="AL798" s="57"/>
      <c r="AM798" s="45"/>
      <c r="AN798" s="45"/>
      <c r="AO798" s="45"/>
    </row>
    <row r="799" spans="1:41" hidden="1" outlineLevel="3" x14ac:dyDescent="0.25">
      <c r="A799" s="45"/>
      <c r="B799" s="54"/>
      <c r="C799" s="47">
        <f t="shared" si="220"/>
        <v>4</v>
      </c>
      <c r="D799" s="73"/>
      <c r="E799" s="70"/>
      <c r="F799" s="70" t="s">
        <v>1409</v>
      </c>
      <c r="G799" s="73"/>
      <c r="H799" s="76"/>
      <c r="I799" s="96"/>
      <c r="J799" s="96"/>
      <c r="K799" s="76"/>
      <c r="L799" s="76"/>
      <c r="M799" s="76"/>
      <c r="N799" s="76"/>
      <c r="O799" s="76"/>
      <c r="P799" s="76"/>
      <c r="Q799" s="76"/>
      <c r="R799" s="76"/>
      <c r="S799" s="76"/>
      <c r="T799" s="76"/>
      <c r="U799" s="76"/>
      <c r="V799" s="76"/>
      <c r="W799" s="76"/>
      <c r="X799" s="76"/>
      <c r="Y799" s="76"/>
      <c r="Z799" s="76"/>
      <c r="AA799" s="76"/>
      <c r="AB799" s="76"/>
      <c r="AC799" s="76"/>
      <c r="AD799" s="76"/>
      <c r="AE799" s="76"/>
      <c r="AF799" s="76"/>
      <c r="AG799" s="76"/>
      <c r="AH799" s="76"/>
      <c r="AI799" s="76">
        <v>1</v>
      </c>
      <c r="AJ799" s="76">
        <v>1</v>
      </c>
      <c r="AK799" s="73"/>
      <c r="AL799" s="57"/>
      <c r="AM799" s="45"/>
      <c r="AN799" s="45"/>
      <c r="AO799" s="45"/>
    </row>
    <row r="800" spans="1:41" hidden="1" outlineLevel="3" x14ac:dyDescent="0.25">
      <c r="A800" s="45"/>
      <c r="B800" s="54"/>
      <c r="C800" s="47">
        <f t="shared" si="220"/>
        <v>4</v>
      </c>
      <c r="D800" s="73"/>
      <c r="E800" s="70"/>
      <c r="F800" s="70" t="s">
        <v>1410</v>
      </c>
      <c r="G800" s="73"/>
      <c r="H800" s="76"/>
      <c r="I800" s="96"/>
      <c r="J800" s="96"/>
      <c r="K800" s="76"/>
      <c r="L800" s="76"/>
      <c r="M800" s="76"/>
      <c r="N800" s="76"/>
      <c r="O800" s="76"/>
      <c r="P800" s="76"/>
      <c r="Q800" s="76"/>
      <c r="R800" s="76"/>
      <c r="S800" s="76"/>
      <c r="T800" s="76"/>
      <c r="U800" s="76"/>
      <c r="V800" s="76"/>
      <c r="W800" s="76"/>
      <c r="X800" s="76"/>
      <c r="Y800" s="76"/>
      <c r="Z800" s="76"/>
      <c r="AA800" s="76"/>
      <c r="AB800" s="76"/>
      <c r="AC800" s="76"/>
      <c r="AD800" s="76"/>
      <c r="AE800" s="76"/>
      <c r="AF800" s="76"/>
      <c r="AG800" s="76"/>
      <c r="AH800" s="76"/>
      <c r="AI800" s="76">
        <v>1</v>
      </c>
      <c r="AJ800" s="76">
        <v>1</v>
      </c>
      <c r="AK800" s="73"/>
      <c r="AL800" s="57"/>
      <c r="AM800" s="45"/>
      <c r="AN800" s="45"/>
      <c r="AO800" s="45"/>
    </row>
    <row r="801" spans="1:41" hidden="1" outlineLevel="3" x14ac:dyDescent="0.25">
      <c r="A801" s="45"/>
      <c r="B801" s="54"/>
      <c r="C801" s="47">
        <f t="shared" si="220"/>
        <v>4</v>
      </c>
      <c r="D801" s="73"/>
      <c r="E801" s="70"/>
      <c r="F801" s="70" t="s">
        <v>1411</v>
      </c>
      <c r="G801" s="73"/>
      <c r="H801" s="76"/>
      <c r="I801" s="96"/>
      <c r="J801" s="96"/>
      <c r="K801" s="76"/>
      <c r="L801" s="76"/>
      <c r="M801" s="76"/>
      <c r="N801" s="76"/>
      <c r="O801" s="76"/>
      <c r="P801" s="76"/>
      <c r="Q801" s="76"/>
      <c r="R801" s="76"/>
      <c r="S801" s="76"/>
      <c r="T801" s="76"/>
      <c r="U801" s="76"/>
      <c r="V801" s="76"/>
      <c r="W801" s="76"/>
      <c r="X801" s="76"/>
      <c r="Y801" s="76"/>
      <c r="Z801" s="76"/>
      <c r="AA801" s="76"/>
      <c r="AB801" s="76"/>
      <c r="AC801" s="76"/>
      <c r="AD801" s="76"/>
      <c r="AE801" s="76"/>
      <c r="AF801" s="76"/>
      <c r="AG801" s="76"/>
      <c r="AH801" s="76"/>
      <c r="AI801" s="76">
        <v>1</v>
      </c>
      <c r="AJ801" s="76">
        <v>1</v>
      </c>
      <c r="AK801" s="73"/>
      <c r="AL801" s="57"/>
      <c r="AM801" s="45"/>
      <c r="AN801" s="45"/>
      <c r="AO801" s="45"/>
    </row>
    <row r="802" spans="1:41" hidden="1" outlineLevel="3" x14ac:dyDescent="0.25">
      <c r="A802" s="45">
        <v>4</v>
      </c>
      <c r="B802" s="54"/>
      <c r="C802" s="47">
        <f t="shared" si="220"/>
        <v>4</v>
      </c>
      <c r="D802" s="73"/>
      <c r="E802" s="70"/>
      <c r="F802" s="70" t="s">
        <v>1412</v>
      </c>
      <c r="G802" s="73"/>
      <c r="H802" s="76"/>
      <c r="I802" s="96"/>
      <c r="J802" s="96"/>
      <c r="K802" s="76"/>
      <c r="L802" s="76"/>
      <c r="M802" s="76"/>
      <c r="N802" s="76"/>
      <c r="O802" s="76"/>
      <c r="P802" s="76"/>
      <c r="Q802" s="76"/>
      <c r="R802" s="76"/>
      <c r="S802" s="76"/>
      <c r="T802" s="76"/>
      <c r="U802" s="76"/>
      <c r="V802" s="76"/>
      <c r="W802" s="76"/>
      <c r="X802" s="76"/>
      <c r="Y802" s="76"/>
      <c r="Z802" s="76"/>
      <c r="AA802" s="76"/>
      <c r="AB802" s="76"/>
      <c r="AC802" s="76"/>
      <c r="AD802" s="76"/>
      <c r="AE802" s="76"/>
      <c r="AF802" s="76"/>
      <c r="AG802" s="76"/>
      <c r="AH802" s="76"/>
      <c r="AI802" s="76">
        <v>1</v>
      </c>
      <c r="AJ802" s="76">
        <v>1</v>
      </c>
      <c r="AK802" s="73"/>
      <c r="AL802" s="57"/>
      <c r="AM802" s="45"/>
      <c r="AN802" s="45"/>
      <c r="AO802" s="45"/>
    </row>
    <row r="803" spans="1:41" hidden="1" outlineLevel="3" x14ac:dyDescent="0.25">
      <c r="A803" s="45">
        <f>A802</f>
        <v>4</v>
      </c>
      <c r="B803" s="54"/>
      <c r="C803" s="47">
        <f t="shared" si="220"/>
        <v>4</v>
      </c>
      <c r="D803" s="73"/>
      <c r="E803" s="70"/>
      <c r="F803" s="70" t="s">
        <v>1413</v>
      </c>
      <c r="G803" s="73"/>
      <c r="H803" s="76"/>
      <c r="I803" s="96"/>
      <c r="J803" s="96"/>
      <c r="K803" s="76"/>
      <c r="L803" s="76"/>
      <c r="M803" s="76"/>
      <c r="N803" s="76"/>
      <c r="O803" s="76"/>
      <c r="P803" s="76"/>
      <c r="Q803" s="76"/>
      <c r="R803" s="76"/>
      <c r="S803" s="76"/>
      <c r="T803" s="76"/>
      <c r="U803" s="76"/>
      <c r="V803" s="76"/>
      <c r="W803" s="76"/>
      <c r="X803" s="76"/>
      <c r="Y803" s="76"/>
      <c r="Z803" s="76"/>
      <c r="AA803" s="76"/>
      <c r="AB803" s="76"/>
      <c r="AC803" s="76"/>
      <c r="AD803" s="76"/>
      <c r="AE803" s="76"/>
      <c r="AF803" s="76"/>
      <c r="AG803" s="76"/>
      <c r="AH803" s="76"/>
      <c r="AI803" s="76">
        <v>1</v>
      </c>
      <c r="AJ803" s="76">
        <v>1</v>
      </c>
      <c r="AK803" s="73"/>
      <c r="AL803" s="57"/>
      <c r="AM803" s="45"/>
      <c r="AN803" s="45"/>
      <c r="AO803" s="45"/>
    </row>
    <row r="804" spans="1:41" hidden="1" outlineLevel="2" x14ac:dyDescent="0.25">
      <c r="A804" s="45"/>
      <c r="B804" s="54"/>
      <c r="C804" s="47">
        <f t="shared" ref="C804:C827" si="221">INT($C$29)+2</f>
        <v>3</v>
      </c>
      <c r="D804" s="73"/>
      <c r="E804" s="70"/>
      <c r="F804" s="70" t="s">
        <v>1414</v>
      </c>
      <c r="G804" s="73"/>
      <c r="H804" s="76" t="s">
        <v>1415</v>
      </c>
      <c r="I804" s="96"/>
      <c r="J804" s="96" t="s">
        <v>1166</v>
      </c>
      <c r="K804" s="76"/>
      <c r="L804" s="76"/>
      <c r="M804" s="76"/>
      <c r="N804" s="76"/>
      <c r="O804" s="76"/>
      <c r="P804" s="76"/>
      <c r="Q804" s="76"/>
      <c r="R804" s="76"/>
      <c r="S804" s="76"/>
      <c r="T804" s="76"/>
      <c r="U804" s="261">
        <f t="shared" ref="U804:AE804" si="222">U$890</f>
        <v>0.1</v>
      </c>
      <c r="V804" s="261">
        <f t="shared" si="222"/>
        <v>0.1</v>
      </c>
      <c r="W804" s="261">
        <f t="shared" si="222"/>
        <v>0.1</v>
      </c>
      <c r="X804" s="261">
        <f t="shared" si="222"/>
        <v>0.1</v>
      </c>
      <c r="Y804" s="261">
        <f t="shared" si="222"/>
        <v>0.1</v>
      </c>
      <c r="Z804" s="261">
        <f t="shared" si="222"/>
        <v>0.1</v>
      </c>
      <c r="AA804" s="261">
        <f t="shared" si="222"/>
        <v>0.1</v>
      </c>
      <c r="AB804" s="261">
        <f t="shared" si="222"/>
        <v>0.1</v>
      </c>
      <c r="AC804" s="261">
        <f t="shared" si="222"/>
        <v>0.1</v>
      </c>
      <c r="AD804" s="261">
        <f t="shared" si="222"/>
        <v>0.1</v>
      </c>
      <c r="AE804" s="261">
        <f t="shared" si="222"/>
        <v>0.1</v>
      </c>
      <c r="AF804" s="76"/>
      <c r="AG804" s="76" t="s">
        <v>1349</v>
      </c>
      <c r="AH804" s="76"/>
      <c r="AI804" s="261">
        <f>AI$890</f>
        <v>1</v>
      </c>
      <c r="AJ804" s="261">
        <f>AJ$890</f>
        <v>1</v>
      </c>
      <c r="AK804" s="73"/>
      <c r="AL804" s="57"/>
      <c r="AM804" s="45"/>
      <c r="AN804" s="45"/>
      <c r="AO804" s="45"/>
    </row>
    <row r="805" spans="1:41" hidden="1" outlineLevel="2" x14ac:dyDescent="0.25">
      <c r="A805" s="45"/>
      <c r="B805" s="54"/>
      <c r="C805" s="47">
        <f t="shared" si="221"/>
        <v>3</v>
      </c>
      <c r="D805" s="73"/>
      <c r="E805" s="70"/>
      <c r="F805" s="70" t="s">
        <v>1416</v>
      </c>
      <c r="G805" s="73"/>
      <c r="H805" s="76" t="s">
        <v>1417</v>
      </c>
      <c r="I805" s="96"/>
      <c r="J805" s="96" t="s">
        <v>1166</v>
      </c>
      <c r="K805" s="76"/>
      <c r="L805" s="76"/>
      <c r="M805" s="76"/>
      <c r="N805" s="76"/>
      <c r="O805" s="76"/>
      <c r="P805" s="76"/>
      <c r="Q805" s="76"/>
      <c r="R805" s="76"/>
      <c r="S805" s="76"/>
      <c r="T805" s="76"/>
      <c r="U805" s="261">
        <f t="shared" ref="U805:AE805" si="223">U$891</f>
        <v>8.5000000000000006E-2</v>
      </c>
      <c r="V805" s="261">
        <f t="shared" si="223"/>
        <v>8.5000000000000006E-2</v>
      </c>
      <c r="W805" s="261">
        <f t="shared" si="223"/>
        <v>8.5000000000000006E-2</v>
      </c>
      <c r="X805" s="261">
        <f t="shared" si="223"/>
        <v>8.5000000000000006E-2</v>
      </c>
      <c r="Y805" s="261">
        <f t="shared" si="223"/>
        <v>8.5000000000000006E-2</v>
      </c>
      <c r="Z805" s="261">
        <f t="shared" si="223"/>
        <v>8.5000000000000006E-2</v>
      </c>
      <c r="AA805" s="261">
        <f t="shared" si="223"/>
        <v>8.5000000000000006E-2</v>
      </c>
      <c r="AB805" s="261">
        <f t="shared" si="223"/>
        <v>8.5000000000000006E-2</v>
      </c>
      <c r="AC805" s="261">
        <f t="shared" si="223"/>
        <v>8.5000000000000006E-2</v>
      </c>
      <c r="AD805" s="261">
        <f t="shared" si="223"/>
        <v>8.5000000000000006E-2</v>
      </c>
      <c r="AE805" s="261">
        <f t="shared" si="223"/>
        <v>8.5000000000000006E-2</v>
      </c>
      <c r="AF805" s="76"/>
      <c r="AG805" s="76"/>
      <c r="AH805" s="76"/>
      <c r="AI805" s="261">
        <f>AI$891</f>
        <v>1</v>
      </c>
      <c r="AJ805" s="261">
        <f>AJ$891</f>
        <v>1</v>
      </c>
      <c r="AK805" s="73"/>
      <c r="AL805" s="57"/>
      <c r="AM805" s="45"/>
      <c r="AN805" s="45"/>
      <c r="AO805" s="45"/>
    </row>
    <row r="806" spans="1:41" hidden="1" outlineLevel="2" x14ac:dyDescent="0.25">
      <c r="A806" s="45"/>
      <c r="B806" s="54"/>
      <c r="C806" s="47">
        <f t="shared" si="221"/>
        <v>3</v>
      </c>
      <c r="D806" s="73"/>
      <c r="E806" s="70"/>
      <c r="F806" s="70" t="s">
        <v>1418</v>
      </c>
      <c r="G806" s="73"/>
      <c r="H806" s="76" t="s">
        <v>1419</v>
      </c>
      <c r="I806" s="96"/>
      <c r="J806" s="96" t="s">
        <v>1166</v>
      </c>
      <c r="K806" s="76"/>
      <c r="L806" s="76"/>
      <c r="M806" s="76"/>
      <c r="N806" s="76"/>
      <c r="O806" s="76"/>
      <c r="P806" s="76"/>
      <c r="Q806" s="76"/>
      <c r="R806" s="76"/>
      <c r="S806" s="76"/>
      <c r="T806" s="76"/>
      <c r="U806" s="261">
        <f t="shared" ref="U806:AE806" si="224">U$892</f>
        <v>7.0000000000000007E-2</v>
      </c>
      <c r="V806" s="261">
        <f t="shared" si="224"/>
        <v>7.0000000000000007E-2</v>
      </c>
      <c r="W806" s="261">
        <f t="shared" si="224"/>
        <v>7.0000000000000007E-2</v>
      </c>
      <c r="X806" s="261">
        <f t="shared" si="224"/>
        <v>7.0000000000000007E-2</v>
      </c>
      <c r="Y806" s="261">
        <f t="shared" si="224"/>
        <v>7.0000000000000007E-2</v>
      </c>
      <c r="Z806" s="261">
        <f t="shared" si="224"/>
        <v>7.0000000000000007E-2</v>
      </c>
      <c r="AA806" s="261">
        <f t="shared" si="224"/>
        <v>7.0000000000000007E-2</v>
      </c>
      <c r="AB806" s="261">
        <f t="shared" si="224"/>
        <v>7.0000000000000007E-2</v>
      </c>
      <c r="AC806" s="261">
        <f t="shared" si="224"/>
        <v>7.0000000000000007E-2</v>
      </c>
      <c r="AD806" s="261">
        <f t="shared" si="224"/>
        <v>7.0000000000000007E-2</v>
      </c>
      <c r="AE806" s="261">
        <f t="shared" si="224"/>
        <v>7.0000000000000007E-2</v>
      </c>
      <c r="AF806" s="76"/>
      <c r="AG806" s="76"/>
      <c r="AH806" s="76"/>
      <c r="AI806" s="261">
        <f>AI$892</f>
        <v>1</v>
      </c>
      <c r="AJ806" s="261">
        <f>AJ$892</f>
        <v>1</v>
      </c>
      <c r="AK806" s="73"/>
      <c r="AL806" s="57"/>
      <c r="AM806" s="45"/>
      <c r="AN806" s="45"/>
      <c r="AO806" s="45"/>
    </row>
    <row r="807" spans="1:41" hidden="1" outlineLevel="2" x14ac:dyDescent="0.25">
      <c r="A807" s="45"/>
      <c r="B807" s="54"/>
      <c r="C807" s="47">
        <f t="shared" si="221"/>
        <v>3</v>
      </c>
      <c r="D807" s="73"/>
      <c r="E807" s="70"/>
      <c r="F807" s="70" t="s">
        <v>1420</v>
      </c>
      <c r="G807" s="73"/>
      <c r="H807" s="76" t="s">
        <v>1421</v>
      </c>
      <c r="I807" s="96"/>
      <c r="J807" s="96" t="s">
        <v>1166</v>
      </c>
      <c r="K807" s="76"/>
      <c r="L807" s="76"/>
      <c r="M807" s="76"/>
      <c r="N807" s="76"/>
      <c r="O807" s="76"/>
      <c r="P807" s="76"/>
      <c r="Q807" s="76"/>
      <c r="R807" s="76"/>
      <c r="S807" s="76"/>
      <c r="T807" s="76"/>
      <c r="U807" s="261">
        <f t="shared" ref="U807:AE807" si="225">U$891</f>
        <v>8.5000000000000006E-2</v>
      </c>
      <c r="V807" s="261">
        <f t="shared" si="225"/>
        <v>8.5000000000000006E-2</v>
      </c>
      <c r="W807" s="261">
        <f t="shared" si="225"/>
        <v>8.5000000000000006E-2</v>
      </c>
      <c r="X807" s="261">
        <f t="shared" si="225"/>
        <v>8.5000000000000006E-2</v>
      </c>
      <c r="Y807" s="261">
        <f t="shared" si="225"/>
        <v>8.5000000000000006E-2</v>
      </c>
      <c r="Z807" s="261">
        <f t="shared" si="225"/>
        <v>8.5000000000000006E-2</v>
      </c>
      <c r="AA807" s="261">
        <f t="shared" si="225"/>
        <v>8.5000000000000006E-2</v>
      </c>
      <c r="AB807" s="261">
        <f t="shared" si="225"/>
        <v>8.5000000000000006E-2</v>
      </c>
      <c r="AC807" s="261">
        <f t="shared" si="225"/>
        <v>8.5000000000000006E-2</v>
      </c>
      <c r="AD807" s="261">
        <f t="shared" si="225"/>
        <v>8.5000000000000006E-2</v>
      </c>
      <c r="AE807" s="261">
        <f t="shared" si="225"/>
        <v>8.5000000000000006E-2</v>
      </c>
      <c r="AF807" s="76"/>
      <c r="AG807" s="76"/>
      <c r="AH807" s="76"/>
      <c r="AI807" s="261">
        <f>AI$891</f>
        <v>1</v>
      </c>
      <c r="AJ807" s="261">
        <f>AJ$891</f>
        <v>1</v>
      </c>
      <c r="AK807" s="73"/>
      <c r="AL807" s="57"/>
      <c r="AM807" s="45"/>
      <c r="AN807" s="45"/>
      <c r="AO807" s="45"/>
    </row>
    <row r="808" spans="1:41" hidden="1" outlineLevel="2" x14ac:dyDescent="0.25">
      <c r="A808" s="45">
        <v>4</v>
      </c>
      <c r="B808" s="54"/>
      <c r="C808" s="47">
        <f t="shared" si="221"/>
        <v>3</v>
      </c>
      <c r="D808" s="73"/>
      <c r="E808" s="70"/>
      <c r="F808" s="70" t="s">
        <v>1422</v>
      </c>
      <c r="G808" s="73"/>
      <c r="H808" s="76" t="s">
        <v>1423</v>
      </c>
      <c r="I808" s="96"/>
      <c r="J808" s="96" t="s">
        <v>1166</v>
      </c>
      <c r="K808" s="76"/>
      <c r="L808" s="76"/>
      <c r="M808" s="76"/>
      <c r="N808" s="76"/>
      <c r="O808" s="76"/>
      <c r="P808" s="76"/>
      <c r="Q808" s="76"/>
      <c r="R808" s="76"/>
      <c r="S808" s="76"/>
      <c r="T808" s="76"/>
      <c r="U808" s="261">
        <f t="shared" ref="U808:AE809" si="226">U$892</f>
        <v>7.0000000000000007E-2</v>
      </c>
      <c r="V808" s="261">
        <f t="shared" si="226"/>
        <v>7.0000000000000007E-2</v>
      </c>
      <c r="W808" s="261">
        <f t="shared" si="226"/>
        <v>7.0000000000000007E-2</v>
      </c>
      <c r="X808" s="261">
        <f t="shared" si="226"/>
        <v>7.0000000000000007E-2</v>
      </c>
      <c r="Y808" s="261">
        <f t="shared" si="226"/>
        <v>7.0000000000000007E-2</v>
      </c>
      <c r="Z808" s="261">
        <f t="shared" si="226"/>
        <v>7.0000000000000007E-2</v>
      </c>
      <c r="AA808" s="261">
        <f t="shared" si="226"/>
        <v>7.0000000000000007E-2</v>
      </c>
      <c r="AB808" s="261">
        <f t="shared" si="226"/>
        <v>7.0000000000000007E-2</v>
      </c>
      <c r="AC808" s="261">
        <f t="shared" si="226"/>
        <v>7.0000000000000007E-2</v>
      </c>
      <c r="AD808" s="261">
        <f t="shared" si="226"/>
        <v>7.0000000000000007E-2</v>
      </c>
      <c r="AE808" s="261">
        <f t="shared" si="226"/>
        <v>7.0000000000000007E-2</v>
      </c>
      <c r="AF808" s="76"/>
      <c r="AG808" s="76"/>
      <c r="AH808" s="76"/>
      <c r="AI808" s="261">
        <f>AI$892</f>
        <v>1</v>
      </c>
      <c r="AJ808" s="261">
        <f>AJ$892</f>
        <v>1</v>
      </c>
      <c r="AK808" s="73"/>
      <c r="AL808" s="57"/>
      <c r="AM808" s="45"/>
      <c r="AN808" s="45"/>
      <c r="AO808" s="45"/>
    </row>
    <row r="809" spans="1:41" hidden="1" outlineLevel="2" x14ac:dyDescent="0.25">
      <c r="A809" s="45">
        <f>A808</f>
        <v>4</v>
      </c>
      <c r="B809" s="54"/>
      <c r="C809" s="47">
        <f t="shared" si="221"/>
        <v>3</v>
      </c>
      <c r="D809" s="73"/>
      <c r="E809" s="70"/>
      <c r="F809" s="70" t="s">
        <v>1424</v>
      </c>
      <c r="G809" s="73"/>
      <c r="H809" s="76" t="s">
        <v>1425</v>
      </c>
      <c r="I809" s="96"/>
      <c r="J809" s="96" t="s">
        <v>1166</v>
      </c>
      <c r="K809" s="76"/>
      <c r="L809" s="76"/>
      <c r="M809" s="76"/>
      <c r="N809" s="76"/>
      <c r="O809" s="76"/>
      <c r="P809" s="76"/>
      <c r="Q809" s="76"/>
      <c r="R809" s="76"/>
      <c r="S809" s="76"/>
      <c r="T809" s="76"/>
      <c r="U809" s="261">
        <f t="shared" si="226"/>
        <v>7.0000000000000007E-2</v>
      </c>
      <c r="V809" s="261">
        <f t="shared" si="226"/>
        <v>7.0000000000000007E-2</v>
      </c>
      <c r="W809" s="261">
        <f t="shared" si="226"/>
        <v>7.0000000000000007E-2</v>
      </c>
      <c r="X809" s="261">
        <f t="shared" si="226"/>
        <v>7.0000000000000007E-2</v>
      </c>
      <c r="Y809" s="261">
        <f t="shared" si="226"/>
        <v>7.0000000000000007E-2</v>
      </c>
      <c r="Z809" s="261">
        <f t="shared" si="226"/>
        <v>7.0000000000000007E-2</v>
      </c>
      <c r="AA809" s="261">
        <f t="shared" si="226"/>
        <v>7.0000000000000007E-2</v>
      </c>
      <c r="AB809" s="261">
        <f t="shared" si="226"/>
        <v>7.0000000000000007E-2</v>
      </c>
      <c r="AC809" s="261">
        <f t="shared" si="226"/>
        <v>7.0000000000000007E-2</v>
      </c>
      <c r="AD809" s="261">
        <f t="shared" si="226"/>
        <v>7.0000000000000007E-2</v>
      </c>
      <c r="AE809" s="261">
        <f t="shared" si="226"/>
        <v>7.0000000000000007E-2</v>
      </c>
      <c r="AF809" s="76"/>
      <c r="AG809" s="76"/>
      <c r="AH809" s="76"/>
      <c r="AI809" s="261">
        <f>AI$892</f>
        <v>1</v>
      </c>
      <c r="AJ809" s="261">
        <f>AJ$892</f>
        <v>1</v>
      </c>
      <c r="AK809" s="73"/>
      <c r="AL809" s="57"/>
      <c r="AM809" s="45"/>
      <c r="AN809" s="45"/>
      <c r="AO809" s="45"/>
    </row>
    <row r="810" spans="1:41" hidden="1" outlineLevel="2" x14ac:dyDescent="0.25">
      <c r="A810" s="45"/>
      <c r="B810" s="54"/>
      <c r="C810" s="47">
        <f t="shared" si="221"/>
        <v>3</v>
      </c>
      <c r="D810" s="73"/>
      <c r="E810" s="70"/>
      <c r="F810" s="70" t="s">
        <v>1426</v>
      </c>
      <c r="G810" s="73"/>
      <c r="H810" s="76" t="s">
        <v>1427</v>
      </c>
      <c r="I810" s="96" t="s">
        <v>687</v>
      </c>
      <c r="J810" s="96" t="s">
        <v>1138</v>
      </c>
      <c r="K810" s="76"/>
      <c r="L810" s="76"/>
      <c r="M810" s="76"/>
      <c r="N810" s="76"/>
      <c r="O810" s="76"/>
      <c r="P810" s="76"/>
      <c r="Q810" s="76"/>
      <c r="R810" s="76"/>
      <c r="S810" s="76"/>
      <c r="T810" s="76"/>
      <c r="U810" s="261">
        <f t="shared" ref="U810:AE810" si="227">U$894</f>
        <v>0</v>
      </c>
      <c r="V810" s="261">
        <f t="shared" si="227"/>
        <v>0</v>
      </c>
      <c r="W810" s="261">
        <f t="shared" si="227"/>
        <v>0</v>
      </c>
      <c r="X810" s="261">
        <f t="shared" si="227"/>
        <v>0</v>
      </c>
      <c r="Y810" s="261">
        <f t="shared" si="227"/>
        <v>0</v>
      </c>
      <c r="Z810" s="261">
        <f t="shared" si="227"/>
        <v>0</v>
      </c>
      <c r="AA810" s="261">
        <f t="shared" si="227"/>
        <v>0</v>
      </c>
      <c r="AB810" s="261">
        <f t="shared" si="227"/>
        <v>0</v>
      </c>
      <c r="AC810" s="261">
        <f t="shared" si="227"/>
        <v>0</v>
      </c>
      <c r="AD810" s="261">
        <f t="shared" si="227"/>
        <v>0</v>
      </c>
      <c r="AE810" s="261">
        <f t="shared" si="227"/>
        <v>0</v>
      </c>
      <c r="AF810" s="76"/>
      <c r="AG810" s="76" t="s">
        <v>1349</v>
      </c>
      <c r="AH810" s="76"/>
      <c r="AI810" s="261">
        <f>AI$894</f>
        <v>1</v>
      </c>
      <c r="AJ810" s="261">
        <f>AJ$894</f>
        <v>1</v>
      </c>
      <c r="AK810" s="73"/>
      <c r="AL810" s="57"/>
      <c r="AM810" s="45"/>
      <c r="AN810" s="45"/>
      <c r="AO810" s="45"/>
    </row>
    <row r="811" spans="1:41" hidden="1" outlineLevel="2" x14ac:dyDescent="0.25">
      <c r="A811" s="45"/>
      <c r="B811" s="54"/>
      <c r="C811" s="47">
        <f t="shared" si="221"/>
        <v>3</v>
      </c>
      <c r="D811" s="73"/>
      <c r="E811" s="70"/>
      <c r="F811" s="70" t="s">
        <v>1428</v>
      </c>
      <c r="G811" s="73"/>
      <c r="H811" s="76" t="s">
        <v>1429</v>
      </c>
      <c r="I811" s="96" t="s">
        <v>687</v>
      </c>
      <c r="J811" s="96" t="s">
        <v>1138</v>
      </c>
      <c r="K811" s="76"/>
      <c r="L811" s="76"/>
      <c r="M811" s="76"/>
      <c r="N811" s="76"/>
      <c r="O811" s="76"/>
      <c r="P811" s="76"/>
      <c r="Q811" s="76"/>
      <c r="R811" s="76"/>
      <c r="S811" s="76"/>
      <c r="T811" s="76"/>
      <c r="U811" s="261">
        <f t="shared" ref="U811:AE811" si="228">U$895</f>
        <v>-0.95650000000000002</v>
      </c>
      <c r="V811" s="261">
        <f t="shared" si="228"/>
        <v>-0.95650000000000002</v>
      </c>
      <c r="W811" s="261">
        <f t="shared" si="228"/>
        <v>-0.95650000000000002</v>
      </c>
      <c r="X811" s="261">
        <f t="shared" si="228"/>
        <v>-0.95650000000000002</v>
      </c>
      <c r="Y811" s="261">
        <f t="shared" si="228"/>
        <v>-0.95650000000000002</v>
      </c>
      <c r="Z811" s="261">
        <f t="shared" si="228"/>
        <v>-0.95650000000000002</v>
      </c>
      <c r="AA811" s="261">
        <f t="shared" si="228"/>
        <v>-0.95650000000000002</v>
      </c>
      <c r="AB811" s="261">
        <f t="shared" si="228"/>
        <v>-1.0820000000000001</v>
      </c>
      <c r="AC811" s="261">
        <f t="shared" si="228"/>
        <v>-1.0820000000000001</v>
      </c>
      <c r="AD811" s="261">
        <f t="shared" si="228"/>
        <v>-1.0820000000000001</v>
      </c>
      <c r="AE811" s="261">
        <f t="shared" si="228"/>
        <v>-1.0820000000000001</v>
      </c>
      <c r="AF811" s="76"/>
      <c r="AG811" s="76"/>
      <c r="AH811" s="76"/>
      <c r="AI811" s="261">
        <f>AI$895</f>
        <v>1</v>
      </c>
      <c r="AJ811" s="261">
        <f>AJ$895</f>
        <v>1</v>
      </c>
      <c r="AK811" s="73"/>
      <c r="AL811" s="57"/>
      <c r="AM811" s="45"/>
      <c r="AN811" s="45"/>
      <c r="AO811" s="45"/>
    </row>
    <row r="812" spans="1:41" hidden="1" outlineLevel="2" x14ac:dyDescent="0.25">
      <c r="A812" s="45"/>
      <c r="B812" s="54"/>
      <c r="C812" s="47">
        <f t="shared" si="221"/>
        <v>3</v>
      </c>
      <c r="D812" s="73"/>
      <c r="E812" s="70"/>
      <c r="F812" s="70" t="s">
        <v>1430</v>
      </c>
      <c r="G812" s="73"/>
      <c r="H812" s="76" t="s">
        <v>1431</v>
      </c>
      <c r="I812" s="96" t="s">
        <v>687</v>
      </c>
      <c r="J812" s="96" t="s">
        <v>1138</v>
      </c>
      <c r="K812" s="76"/>
      <c r="L812" s="76"/>
      <c r="M812" s="76"/>
      <c r="N812" s="76"/>
      <c r="O812" s="76"/>
      <c r="P812" s="76"/>
      <c r="Q812" s="76"/>
      <c r="R812" s="76"/>
      <c r="S812" s="76"/>
      <c r="T812" s="76"/>
      <c r="U812" s="261">
        <f t="shared" ref="U812:AE812" si="229">U$896</f>
        <v>-1.7614000000000001</v>
      </c>
      <c r="V812" s="261">
        <f t="shared" si="229"/>
        <v>-1.7614000000000001</v>
      </c>
      <c r="W812" s="261">
        <f t="shared" si="229"/>
        <v>-1.7614000000000001</v>
      </c>
      <c r="X812" s="261">
        <f t="shared" si="229"/>
        <v>-1.7614000000000001</v>
      </c>
      <c r="Y812" s="261">
        <f t="shared" si="229"/>
        <v>-1.7614000000000001</v>
      </c>
      <c r="Z812" s="261">
        <f t="shared" si="229"/>
        <v>-1.7614000000000001</v>
      </c>
      <c r="AA812" s="261">
        <f t="shared" si="229"/>
        <v>-1.7614000000000001</v>
      </c>
      <c r="AB812" s="261">
        <f t="shared" si="229"/>
        <v>-2.0059999999999998</v>
      </c>
      <c r="AC812" s="261">
        <f t="shared" si="229"/>
        <v>-2.0059999999999998</v>
      </c>
      <c r="AD812" s="261">
        <f t="shared" si="229"/>
        <v>-2.0059999999999998</v>
      </c>
      <c r="AE812" s="261">
        <f t="shared" si="229"/>
        <v>-2.0059999999999998</v>
      </c>
      <c r="AF812" s="76"/>
      <c r="AG812" s="76"/>
      <c r="AH812" s="76"/>
      <c r="AI812" s="261">
        <f>AI$896</f>
        <v>1</v>
      </c>
      <c r="AJ812" s="261">
        <f>AJ$896</f>
        <v>1</v>
      </c>
      <c r="AK812" s="73"/>
      <c r="AL812" s="57"/>
      <c r="AM812" s="45"/>
      <c r="AN812" s="45"/>
      <c r="AO812" s="45"/>
    </row>
    <row r="813" spans="1:41" hidden="1" outlineLevel="2" x14ac:dyDescent="0.25">
      <c r="A813" s="45"/>
      <c r="B813" s="54"/>
      <c r="C813" s="47">
        <f t="shared" si="221"/>
        <v>3</v>
      </c>
      <c r="D813" s="73"/>
      <c r="E813" s="70"/>
      <c r="F813" s="70" t="s">
        <v>1432</v>
      </c>
      <c r="G813" s="73"/>
      <c r="H813" s="76" t="s">
        <v>1433</v>
      </c>
      <c r="I813" s="96" t="s">
        <v>687</v>
      </c>
      <c r="J813" s="96" t="s">
        <v>1138</v>
      </c>
      <c r="K813" s="76"/>
      <c r="L813" s="76"/>
      <c r="M813" s="76"/>
      <c r="N813" s="76"/>
      <c r="O813" s="76"/>
      <c r="P813" s="76"/>
      <c r="Q813" s="76"/>
      <c r="R813" s="76"/>
      <c r="S813" s="76"/>
      <c r="T813" s="76"/>
      <c r="U813" s="261">
        <f t="shared" ref="U813:AE813" si="230">U$895</f>
        <v>-0.95650000000000002</v>
      </c>
      <c r="V813" s="261">
        <f t="shared" si="230"/>
        <v>-0.95650000000000002</v>
      </c>
      <c r="W813" s="261">
        <f t="shared" si="230"/>
        <v>-0.95650000000000002</v>
      </c>
      <c r="X813" s="261">
        <f t="shared" si="230"/>
        <v>-0.95650000000000002</v>
      </c>
      <c r="Y813" s="261">
        <f t="shared" si="230"/>
        <v>-0.95650000000000002</v>
      </c>
      <c r="Z813" s="261">
        <f t="shared" si="230"/>
        <v>-0.95650000000000002</v>
      </c>
      <c r="AA813" s="261">
        <f t="shared" si="230"/>
        <v>-0.95650000000000002</v>
      </c>
      <c r="AB813" s="261">
        <f t="shared" si="230"/>
        <v>-1.0820000000000001</v>
      </c>
      <c r="AC813" s="261">
        <f t="shared" si="230"/>
        <v>-1.0820000000000001</v>
      </c>
      <c r="AD813" s="261">
        <f t="shared" si="230"/>
        <v>-1.0820000000000001</v>
      </c>
      <c r="AE813" s="261">
        <f t="shared" si="230"/>
        <v>-1.0820000000000001</v>
      </c>
      <c r="AF813" s="76"/>
      <c r="AG813" s="76"/>
      <c r="AH813" s="76"/>
      <c r="AI813" s="261">
        <f>AI$895</f>
        <v>1</v>
      </c>
      <c r="AJ813" s="261">
        <f>AJ$895</f>
        <v>1</v>
      </c>
      <c r="AK813" s="73"/>
      <c r="AL813" s="57"/>
      <c r="AM813" s="45"/>
      <c r="AN813" s="45"/>
      <c r="AO813" s="45"/>
    </row>
    <row r="814" spans="1:41" hidden="1" outlineLevel="2" x14ac:dyDescent="0.25">
      <c r="A814" s="45">
        <v>4</v>
      </c>
      <c r="B814" s="54"/>
      <c r="C814" s="47">
        <f t="shared" si="221"/>
        <v>3</v>
      </c>
      <c r="D814" s="73"/>
      <c r="E814" s="70"/>
      <c r="F814" s="70" t="s">
        <v>1434</v>
      </c>
      <c r="G814" s="73"/>
      <c r="H814" s="76" t="s">
        <v>1435</v>
      </c>
      <c r="I814" s="96" t="s">
        <v>687</v>
      </c>
      <c r="J814" s="96" t="s">
        <v>1138</v>
      </c>
      <c r="K814" s="76"/>
      <c r="L814" s="76"/>
      <c r="M814" s="76"/>
      <c r="N814" s="76"/>
      <c r="O814" s="76"/>
      <c r="P814" s="76"/>
      <c r="Q814" s="76"/>
      <c r="R814" s="76"/>
      <c r="S814" s="76"/>
      <c r="T814" s="76"/>
      <c r="U814" s="261">
        <f t="shared" ref="U814:AE815" si="231">U$896</f>
        <v>-1.7614000000000001</v>
      </c>
      <c r="V814" s="261">
        <f t="shared" si="231"/>
        <v>-1.7614000000000001</v>
      </c>
      <c r="W814" s="261">
        <f t="shared" si="231"/>
        <v>-1.7614000000000001</v>
      </c>
      <c r="X814" s="261">
        <f t="shared" si="231"/>
        <v>-1.7614000000000001</v>
      </c>
      <c r="Y814" s="261">
        <f t="shared" si="231"/>
        <v>-1.7614000000000001</v>
      </c>
      <c r="Z814" s="261">
        <f t="shared" si="231"/>
        <v>-1.7614000000000001</v>
      </c>
      <c r="AA814" s="261">
        <f t="shared" si="231"/>
        <v>-1.7614000000000001</v>
      </c>
      <c r="AB814" s="261">
        <f t="shared" si="231"/>
        <v>-2.0059999999999998</v>
      </c>
      <c r="AC814" s="261">
        <f t="shared" si="231"/>
        <v>-2.0059999999999998</v>
      </c>
      <c r="AD814" s="261">
        <f t="shared" si="231"/>
        <v>-2.0059999999999998</v>
      </c>
      <c r="AE814" s="261">
        <f t="shared" si="231"/>
        <v>-2.0059999999999998</v>
      </c>
      <c r="AF814" s="76"/>
      <c r="AG814" s="76"/>
      <c r="AH814" s="76"/>
      <c r="AI814" s="261">
        <f>AI$896</f>
        <v>1</v>
      </c>
      <c r="AJ814" s="261">
        <f>AJ$896</f>
        <v>1</v>
      </c>
      <c r="AK814" s="73"/>
      <c r="AL814" s="57"/>
      <c r="AM814" s="45"/>
      <c r="AN814" s="45"/>
      <c r="AO814" s="45"/>
    </row>
    <row r="815" spans="1:41" hidden="1" outlineLevel="2" x14ac:dyDescent="0.25">
      <c r="A815" s="45">
        <f>A814</f>
        <v>4</v>
      </c>
      <c r="B815" s="54"/>
      <c r="C815" s="47">
        <f t="shared" si="221"/>
        <v>3</v>
      </c>
      <c r="D815" s="73"/>
      <c r="E815" s="70"/>
      <c r="F815" s="70" t="s">
        <v>1436</v>
      </c>
      <c r="G815" s="73"/>
      <c r="H815" s="76" t="s">
        <v>1437</v>
      </c>
      <c r="I815" s="96" t="s">
        <v>687</v>
      </c>
      <c r="J815" s="96" t="s">
        <v>1138</v>
      </c>
      <c r="K815" s="76"/>
      <c r="L815" s="76"/>
      <c r="M815" s="76"/>
      <c r="N815" s="76"/>
      <c r="O815" s="76"/>
      <c r="P815" s="76"/>
      <c r="Q815" s="76"/>
      <c r="R815" s="76"/>
      <c r="S815" s="76"/>
      <c r="T815" s="76"/>
      <c r="U815" s="261">
        <f t="shared" si="231"/>
        <v>-1.7614000000000001</v>
      </c>
      <c r="V815" s="261">
        <f t="shared" si="231"/>
        <v>-1.7614000000000001</v>
      </c>
      <c r="W815" s="261">
        <f t="shared" si="231"/>
        <v>-1.7614000000000001</v>
      </c>
      <c r="X815" s="261">
        <f t="shared" si="231"/>
        <v>-1.7614000000000001</v>
      </c>
      <c r="Y815" s="261">
        <f t="shared" si="231"/>
        <v>-1.7614000000000001</v>
      </c>
      <c r="Z815" s="261">
        <f t="shared" si="231"/>
        <v>-1.7614000000000001</v>
      </c>
      <c r="AA815" s="261">
        <f t="shared" si="231"/>
        <v>-1.7614000000000001</v>
      </c>
      <c r="AB815" s="261">
        <f t="shared" si="231"/>
        <v>-2.0059999999999998</v>
      </c>
      <c r="AC815" s="261">
        <f t="shared" si="231"/>
        <v>-2.0059999999999998</v>
      </c>
      <c r="AD815" s="261">
        <f t="shared" si="231"/>
        <v>-2.0059999999999998</v>
      </c>
      <c r="AE815" s="261">
        <f t="shared" si="231"/>
        <v>-2.0059999999999998</v>
      </c>
      <c r="AF815" s="76"/>
      <c r="AG815" s="76"/>
      <c r="AH815" s="76"/>
      <c r="AI815" s="261">
        <f>AI$896</f>
        <v>1</v>
      </c>
      <c r="AJ815" s="261">
        <f>AJ$896</f>
        <v>1</v>
      </c>
      <c r="AK815" s="73"/>
      <c r="AL815" s="57"/>
      <c r="AM815" s="45"/>
      <c r="AN815" s="45"/>
      <c r="AO815" s="45"/>
    </row>
    <row r="816" spans="1:41" hidden="1" outlineLevel="2" x14ac:dyDescent="0.25">
      <c r="A816" s="45"/>
      <c r="B816" s="54"/>
      <c r="C816" s="47">
        <f t="shared" si="221"/>
        <v>3</v>
      </c>
      <c r="D816" s="73"/>
      <c r="E816" s="70"/>
      <c r="F816" s="70" t="s">
        <v>1438</v>
      </c>
      <c r="G816" s="73"/>
      <c r="H816" s="76" t="s">
        <v>1439</v>
      </c>
      <c r="I816" s="96" t="s">
        <v>687</v>
      </c>
      <c r="J816" s="96" t="s">
        <v>1138</v>
      </c>
      <c r="K816" s="76"/>
      <c r="L816" s="76"/>
      <c r="M816" s="76"/>
      <c r="N816" s="76"/>
      <c r="O816" s="76"/>
      <c r="P816" s="76"/>
      <c r="Q816" s="76"/>
      <c r="R816" s="76"/>
      <c r="S816" s="76"/>
      <c r="T816" s="76"/>
      <c r="U816" s="76">
        <v>0</v>
      </c>
      <c r="V816" s="76">
        <v>0</v>
      </c>
      <c r="W816" s="76">
        <v>0</v>
      </c>
      <c r="X816" s="76">
        <v>0</v>
      </c>
      <c r="Y816" s="76">
        <v>0</v>
      </c>
      <c r="Z816" s="76">
        <v>0</v>
      </c>
      <c r="AA816" s="76">
        <v>0</v>
      </c>
      <c r="AB816" s="76">
        <v>0</v>
      </c>
      <c r="AC816" s="76">
        <v>0</v>
      </c>
      <c r="AD816" s="76">
        <v>0</v>
      </c>
      <c r="AE816" s="76">
        <v>0</v>
      </c>
      <c r="AF816" s="76"/>
      <c r="AG816" s="97" t="s">
        <v>1269</v>
      </c>
      <c r="AH816" s="76"/>
      <c r="AI816" s="97">
        <v>1</v>
      </c>
      <c r="AJ816" s="97">
        <v>1</v>
      </c>
      <c r="AK816" s="73"/>
      <c r="AL816" s="57"/>
      <c r="AM816" s="45"/>
      <c r="AN816" s="45"/>
      <c r="AO816" s="45"/>
    </row>
    <row r="817" spans="1:41" hidden="1" outlineLevel="2" x14ac:dyDescent="0.25">
      <c r="A817" s="45"/>
      <c r="B817" s="54"/>
      <c r="C817" s="47">
        <f t="shared" si="221"/>
        <v>3</v>
      </c>
      <c r="D817" s="73"/>
      <c r="E817" s="70"/>
      <c r="F817" s="70" t="s">
        <v>1440</v>
      </c>
      <c r="G817" s="73"/>
      <c r="H817" s="76" t="s">
        <v>1441</v>
      </c>
      <c r="I817" s="96" t="s">
        <v>687</v>
      </c>
      <c r="J817" s="96" t="s">
        <v>1138</v>
      </c>
      <c r="K817" s="76"/>
      <c r="L817" s="76"/>
      <c r="M817" s="76"/>
      <c r="N817" s="76"/>
      <c r="O817" s="76"/>
      <c r="P817" s="76"/>
      <c r="Q817" s="76"/>
      <c r="R817" s="76"/>
      <c r="S817" s="76"/>
      <c r="T817" s="76"/>
      <c r="U817" s="334">
        <v>-4.9400000000000004</v>
      </c>
      <c r="V817" s="336">
        <f>U817</f>
        <v>-4.9400000000000004</v>
      </c>
      <c r="W817" s="336">
        <f t="shared" ref="W817:X821" si="232">U817</f>
        <v>-4.9400000000000004</v>
      </c>
      <c r="X817" s="336">
        <f t="shared" si="232"/>
        <v>-4.9400000000000004</v>
      </c>
      <c r="Y817" s="336">
        <f t="shared" ref="Y817:Y821" si="233">W817</f>
        <v>-4.9400000000000004</v>
      </c>
      <c r="Z817" s="336">
        <f t="shared" ref="Z817:Z821" si="234">X817</f>
        <v>-4.9400000000000004</v>
      </c>
      <c r="AA817" s="336">
        <f t="shared" ref="AA817:AA821" si="235">Y817</f>
        <v>-4.9400000000000004</v>
      </c>
      <c r="AB817" s="97">
        <v>-6.68</v>
      </c>
      <c r="AC817" s="255">
        <f t="shared" ref="AC817:AD821" si="236">AB817</f>
        <v>-6.68</v>
      </c>
      <c r="AD817" s="255">
        <f t="shared" si="236"/>
        <v>-6.68</v>
      </c>
      <c r="AE817" s="336">
        <f>AD817</f>
        <v>-6.68</v>
      </c>
      <c r="AF817" s="76"/>
      <c r="AG817" s="97" t="s">
        <v>2271</v>
      </c>
      <c r="AH817" s="76"/>
      <c r="AI817" s="97">
        <v>1</v>
      </c>
      <c r="AJ817" s="97">
        <v>1</v>
      </c>
      <c r="AK817" s="73"/>
      <c r="AL817" s="57"/>
      <c r="AM817" s="45"/>
      <c r="AN817" s="45"/>
      <c r="AO817" s="45"/>
    </row>
    <row r="818" spans="1:41" hidden="1" outlineLevel="2" x14ac:dyDescent="0.25">
      <c r="A818" s="45"/>
      <c r="B818" s="54"/>
      <c r="C818" s="47">
        <f t="shared" si="221"/>
        <v>3</v>
      </c>
      <c r="D818" s="73"/>
      <c r="E818" s="70"/>
      <c r="F818" s="70" t="s">
        <v>1442</v>
      </c>
      <c r="G818" s="73"/>
      <c r="H818" s="76" t="s">
        <v>1443</v>
      </c>
      <c r="I818" s="96" t="s">
        <v>687</v>
      </c>
      <c r="J818" s="96" t="s">
        <v>1138</v>
      </c>
      <c r="K818" s="76"/>
      <c r="L818" s="76"/>
      <c r="M818" s="76"/>
      <c r="N818" s="76"/>
      <c r="O818" s="76"/>
      <c r="P818" s="76"/>
      <c r="Q818" s="76"/>
      <c r="R818" s="76"/>
      <c r="S818" s="76"/>
      <c r="T818" s="76"/>
      <c r="U818" s="337">
        <f>U817*1.38</f>
        <v>-6.8171999999999997</v>
      </c>
      <c r="V818" s="336">
        <f>U818</f>
        <v>-6.8171999999999997</v>
      </c>
      <c r="W818" s="336">
        <f t="shared" si="232"/>
        <v>-6.8171999999999997</v>
      </c>
      <c r="X818" s="336">
        <f t="shared" si="232"/>
        <v>-6.8171999999999997</v>
      </c>
      <c r="Y818" s="336">
        <f t="shared" si="233"/>
        <v>-6.8171999999999997</v>
      </c>
      <c r="Z818" s="336">
        <f t="shared" si="234"/>
        <v>-6.8171999999999997</v>
      </c>
      <c r="AA818" s="336">
        <f t="shared" si="235"/>
        <v>-6.8171999999999997</v>
      </c>
      <c r="AB818" s="97">
        <v>-9.2200000000000006</v>
      </c>
      <c r="AC818" s="255">
        <f t="shared" si="236"/>
        <v>-9.2200000000000006</v>
      </c>
      <c r="AD818" s="255">
        <f t="shared" si="236"/>
        <v>-9.2200000000000006</v>
      </c>
      <c r="AE818" s="336">
        <f>AD818</f>
        <v>-9.2200000000000006</v>
      </c>
      <c r="AF818" s="76"/>
      <c r="AG818" s="97" t="s">
        <v>2272</v>
      </c>
      <c r="AH818" s="76"/>
      <c r="AI818" s="97">
        <v>1</v>
      </c>
      <c r="AJ818" s="97">
        <v>1</v>
      </c>
      <c r="AK818" s="73"/>
      <c r="AL818" s="57"/>
      <c r="AM818" s="45"/>
      <c r="AN818" s="45"/>
      <c r="AO818" s="45"/>
    </row>
    <row r="819" spans="1:41" hidden="1" outlineLevel="2" x14ac:dyDescent="0.25">
      <c r="A819" s="45"/>
      <c r="B819" s="54"/>
      <c r="C819" s="47">
        <f t="shared" si="221"/>
        <v>3</v>
      </c>
      <c r="D819" s="73"/>
      <c r="E819" s="70"/>
      <c r="F819" s="70" t="s">
        <v>1445</v>
      </c>
      <c r="G819" s="73"/>
      <c r="H819" s="76" t="s">
        <v>1446</v>
      </c>
      <c r="I819" s="96" t="s">
        <v>687</v>
      </c>
      <c r="J819" s="96" t="s">
        <v>1138</v>
      </c>
      <c r="K819" s="76"/>
      <c r="L819" s="76"/>
      <c r="M819" s="76"/>
      <c r="N819" s="76"/>
      <c r="O819" s="76"/>
      <c r="P819" s="76"/>
      <c r="Q819" s="76"/>
      <c r="R819" s="76"/>
      <c r="S819" s="76"/>
      <c r="T819" s="76"/>
      <c r="U819" s="334">
        <v>-1.85</v>
      </c>
      <c r="V819" s="336">
        <f>U819</f>
        <v>-1.85</v>
      </c>
      <c r="W819" s="336">
        <f t="shared" si="232"/>
        <v>-1.85</v>
      </c>
      <c r="X819" s="336">
        <f t="shared" si="232"/>
        <v>-1.85</v>
      </c>
      <c r="Y819" s="336">
        <f t="shared" si="233"/>
        <v>-1.85</v>
      </c>
      <c r="Z819" s="336">
        <f t="shared" si="234"/>
        <v>-1.85</v>
      </c>
      <c r="AA819" s="336">
        <f t="shared" si="235"/>
        <v>-1.85</v>
      </c>
      <c r="AB819" s="97">
        <v>-3.36</v>
      </c>
      <c r="AC819" s="255">
        <f t="shared" si="236"/>
        <v>-3.36</v>
      </c>
      <c r="AD819" s="255">
        <f t="shared" si="236"/>
        <v>-3.36</v>
      </c>
      <c r="AE819" s="336">
        <f>AD819</f>
        <v>-3.36</v>
      </c>
      <c r="AF819" s="76"/>
      <c r="AG819" s="97" t="s">
        <v>2273</v>
      </c>
      <c r="AH819" s="76"/>
      <c r="AI819" s="97">
        <v>1</v>
      </c>
      <c r="AJ819" s="97">
        <v>1</v>
      </c>
      <c r="AK819" s="73"/>
      <c r="AL819" s="57"/>
      <c r="AM819" s="45"/>
      <c r="AN819" s="45"/>
      <c r="AO819" s="45"/>
    </row>
    <row r="820" spans="1:41" hidden="1" outlineLevel="2" x14ac:dyDescent="0.25">
      <c r="A820" s="45">
        <v>4</v>
      </c>
      <c r="B820" s="54"/>
      <c r="C820" s="47">
        <f t="shared" si="221"/>
        <v>3</v>
      </c>
      <c r="D820" s="73"/>
      <c r="E820" s="70"/>
      <c r="F820" s="70" t="s">
        <v>1447</v>
      </c>
      <c r="G820" s="73"/>
      <c r="H820" s="76" t="s">
        <v>1448</v>
      </c>
      <c r="I820" s="96" t="s">
        <v>687</v>
      </c>
      <c r="J820" s="96" t="s">
        <v>1138</v>
      </c>
      <c r="K820" s="76"/>
      <c r="L820" s="76"/>
      <c r="M820" s="76"/>
      <c r="N820" s="76"/>
      <c r="O820" s="76"/>
      <c r="P820" s="76"/>
      <c r="Q820" s="76"/>
      <c r="R820" s="76"/>
      <c r="S820" s="76"/>
      <c r="T820" s="76"/>
      <c r="U820" s="337">
        <f>U818*0.904</f>
        <v>-6.1627488000000001</v>
      </c>
      <c r="V820" s="336">
        <f>U820</f>
        <v>-6.1627488000000001</v>
      </c>
      <c r="W820" s="336">
        <f t="shared" si="232"/>
        <v>-6.1627488000000001</v>
      </c>
      <c r="X820" s="336">
        <f t="shared" si="232"/>
        <v>-6.1627488000000001</v>
      </c>
      <c r="Y820" s="336">
        <f t="shared" si="233"/>
        <v>-6.1627488000000001</v>
      </c>
      <c r="Z820" s="336">
        <f t="shared" si="234"/>
        <v>-6.1627488000000001</v>
      </c>
      <c r="AA820" s="336">
        <f t="shared" si="235"/>
        <v>-6.1627488000000001</v>
      </c>
      <c r="AB820" s="97">
        <v>-8.33</v>
      </c>
      <c r="AC820" s="255">
        <f t="shared" si="236"/>
        <v>-8.33</v>
      </c>
      <c r="AD820" s="255">
        <f t="shared" si="236"/>
        <v>-8.33</v>
      </c>
      <c r="AE820" s="336">
        <f>AD820</f>
        <v>-8.33</v>
      </c>
      <c r="AF820" s="76"/>
      <c r="AG820" s="97"/>
      <c r="AH820" s="76"/>
      <c r="AI820" s="97">
        <v>1</v>
      </c>
      <c r="AJ820" s="97">
        <v>1</v>
      </c>
      <c r="AK820" s="73"/>
      <c r="AL820" s="57"/>
      <c r="AM820" s="45"/>
      <c r="AN820" s="45"/>
      <c r="AO820" s="45"/>
    </row>
    <row r="821" spans="1:41" hidden="1" outlineLevel="2" x14ac:dyDescent="0.25">
      <c r="A821" s="45">
        <f>A820</f>
        <v>4</v>
      </c>
      <c r="B821" s="54"/>
      <c r="C821" s="47">
        <f t="shared" si="221"/>
        <v>3</v>
      </c>
      <c r="D821" s="73"/>
      <c r="E821" s="70"/>
      <c r="F821" s="70" t="s">
        <v>1449</v>
      </c>
      <c r="G821" s="73"/>
      <c r="H821" s="76" t="s">
        <v>1450</v>
      </c>
      <c r="I821" s="96" t="s">
        <v>687</v>
      </c>
      <c r="J821" s="96" t="s">
        <v>1138</v>
      </c>
      <c r="K821" s="76"/>
      <c r="L821" s="76"/>
      <c r="M821" s="76"/>
      <c r="N821" s="76"/>
      <c r="O821" s="76"/>
      <c r="P821" s="76"/>
      <c r="Q821" s="76"/>
      <c r="R821" s="76"/>
      <c r="S821" s="76"/>
      <c r="T821" s="76"/>
      <c r="U821" s="337">
        <f>U818*0.555</f>
        <v>-3.7835460000000003</v>
      </c>
      <c r="V821" s="336">
        <f>U821</f>
        <v>-3.7835460000000003</v>
      </c>
      <c r="W821" s="336">
        <f t="shared" si="232"/>
        <v>-3.7835460000000003</v>
      </c>
      <c r="X821" s="336">
        <f t="shared" si="232"/>
        <v>-3.7835460000000003</v>
      </c>
      <c r="Y821" s="336">
        <f t="shared" si="233"/>
        <v>-3.7835460000000003</v>
      </c>
      <c r="Z821" s="336">
        <f t="shared" si="234"/>
        <v>-3.7835460000000003</v>
      </c>
      <c r="AA821" s="336">
        <f t="shared" si="235"/>
        <v>-3.7835460000000003</v>
      </c>
      <c r="AB821" s="97">
        <v>-5.1100000000000003</v>
      </c>
      <c r="AC821" s="255">
        <f t="shared" si="236"/>
        <v>-5.1100000000000003</v>
      </c>
      <c r="AD821" s="255">
        <f t="shared" si="236"/>
        <v>-5.1100000000000003</v>
      </c>
      <c r="AE821" s="336">
        <f>AD821</f>
        <v>-5.1100000000000003</v>
      </c>
      <c r="AF821" s="76"/>
      <c r="AG821" s="97"/>
      <c r="AH821" s="76"/>
      <c r="AI821" s="97">
        <v>1</v>
      </c>
      <c r="AJ821" s="97">
        <v>1</v>
      </c>
      <c r="AK821" s="73"/>
      <c r="AL821" s="57"/>
      <c r="AM821" s="45"/>
      <c r="AN821" s="45"/>
      <c r="AO821" s="45"/>
    </row>
    <row r="822" spans="1:41" hidden="1" outlineLevel="2" x14ac:dyDescent="0.25">
      <c r="A822" s="45"/>
      <c r="B822" s="54"/>
      <c r="C822" s="47">
        <f t="shared" si="221"/>
        <v>3</v>
      </c>
      <c r="D822" s="73"/>
      <c r="E822" s="70"/>
      <c r="F822" s="70" t="s">
        <v>1451</v>
      </c>
      <c r="G822" s="73"/>
      <c r="H822" s="76" t="s">
        <v>1452</v>
      </c>
      <c r="I822" s="96" t="s">
        <v>687</v>
      </c>
      <c r="J822" s="96" t="s">
        <v>1138</v>
      </c>
      <c r="K822" s="76"/>
      <c r="L822" s="76"/>
      <c r="M822" s="76"/>
      <c r="N822" s="76"/>
      <c r="O822" s="76"/>
      <c r="P822" s="76"/>
      <c r="Q822" s="76"/>
      <c r="R822" s="76"/>
      <c r="S822" s="76"/>
      <c r="T822" s="76"/>
      <c r="U822" s="76">
        <v>0</v>
      </c>
      <c r="V822" s="76">
        <v>0</v>
      </c>
      <c r="W822" s="76">
        <v>0</v>
      </c>
      <c r="X822" s="76">
        <v>0</v>
      </c>
      <c r="Y822" s="76">
        <v>0</v>
      </c>
      <c r="Z822" s="76">
        <v>0</v>
      </c>
      <c r="AA822" s="76">
        <v>0</v>
      </c>
      <c r="AB822" s="76">
        <v>0</v>
      </c>
      <c r="AC822" s="76">
        <v>0</v>
      </c>
      <c r="AD822" s="76">
        <v>0</v>
      </c>
      <c r="AE822" s="76">
        <v>0</v>
      </c>
      <c r="AF822" s="76"/>
      <c r="AG822" s="97" t="s">
        <v>1274</v>
      </c>
      <c r="AH822" s="76"/>
      <c r="AI822" s="97">
        <v>1</v>
      </c>
      <c r="AJ822" s="97">
        <v>1</v>
      </c>
      <c r="AK822" s="73"/>
      <c r="AL822" s="57"/>
      <c r="AM822" s="45"/>
      <c r="AN822" s="45"/>
      <c r="AO822" s="45"/>
    </row>
    <row r="823" spans="1:41" hidden="1" outlineLevel="2" x14ac:dyDescent="0.25">
      <c r="A823" s="45"/>
      <c r="B823" s="54"/>
      <c r="C823" s="47">
        <f t="shared" si="221"/>
        <v>3</v>
      </c>
      <c r="D823" s="73"/>
      <c r="E823" s="70"/>
      <c r="F823" s="70" t="s">
        <v>1453</v>
      </c>
      <c r="G823" s="73"/>
      <c r="H823" s="76" t="s">
        <v>1454</v>
      </c>
      <c r="I823" s="96" t="s">
        <v>687</v>
      </c>
      <c r="J823" s="96" t="s">
        <v>1138</v>
      </c>
      <c r="K823" s="76"/>
      <c r="L823" s="76"/>
      <c r="M823" s="76"/>
      <c r="N823" s="76"/>
      <c r="O823" s="76"/>
      <c r="P823" s="76"/>
      <c r="Q823" s="76"/>
      <c r="R823" s="76"/>
      <c r="S823" s="76"/>
      <c r="T823" s="76"/>
      <c r="U823" s="97">
        <f>-52.3/1000</f>
        <v>-5.2299999999999999E-2</v>
      </c>
      <c r="V823" s="255">
        <f>U823</f>
        <v>-5.2299999999999999E-2</v>
      </c>
      <c r="W823" s="255">
        <f>U823</f>
        <v>-5.2299999999999999E-2</v>
      </c>
      <c r="X823" s="255">
        <f>V823</f>
        <v>-5.2299999999999999E-2</v>
      </c>
      <c r="Y823" s="255">
        <f>W823</f>
        <v>-5.2299999999999999E-2</v>
      </c>
      <c r="Z823" s="255">
        <f t="shared" ref="Z823:AA823" si="237">X823</f>
        <v>-5.2299999999999999E-2</v>
      </c>
      <c r="AA823" s="255">
        <f t="shared" si="237"/>
        <v>-5.2299999999999999E-2</v>
      </c>
      <c r="AB823" s="255">
        <f>AA823</f>
        <v>-5.2299999999999999E-2</v>
      </c>
      <c r="AC823" s="255">
        <f>AB823</f>
        <v>-5.2299999999999999E-2</v>
      </c>
      <c r="AD823" s="255">
        <f>AC823</f>
        <v>-5.2299999999999999E-2</v>
      </c>
      <c r="AE823" s="255">
        <f>AD823</f>
        <v>-5.2299999999999999E-2</v>
      </c>
      <c r="AF823" s="76"/>
      <c r="AG823" s="97"/>
      <c r="AH823" s="76"/>
      <c r="AI823" s="97">
        <v>1</v>
      </c>
      <c r="AJ823" s="97">
        <v>1</v>
      </c>
      <c r="AK823" s="73"/>
      <c r="AL823" s="57"/>
      <c r="AM823" s="45"/>
      <c r="AN823" s="45"/>
      <c r="AO823" s="45"/>
    </row>
    <row r="824" spans="1:41" hidden="1" outlineLevel="2" x14ac:dyDescent="0.25">
      <c r="A824" s="45"/>
      <c r="B824" s="54"/>
      <c r="C824" s="47">
        <f t="shared" si="221"/>
        <v>3</v>
      </c>
      <c r="D824" s="73"/>
      <c r="E824" s="70"/>
      <c r="F824" s="70" t="s">
        <v>1455</v>
      </c>
      <c r="G824" s="73"/>
      <c r="H824" s="76" t="s">
        <v>1456</v>
      </c>
      <c r="I824" s="96" t="s">
        <v>687</v>
      </c>
      <c r="J824" s="96" t="s">
        <v>1138</v>
      </c>
      <c r="K824" s="76"/>
      <c r="L824" s="76"/>
      <c r="M824" s="76"/>
      <c r="N824" s="76"/>
      <c r="O824" s="76"/>
      <c r="P824" s="76"/>
      <c r="Q824" s="76"/>
      <c r="R824" s="76"/>
      <c r="S824" s="76"/>
      <c r="T824" s="76"/>
      <c r="U824" s="261">
        <f t="shared" ref="U824:AD824" si="238">U823</f>
        <v>-5.2299999999999999E-2</v>
      </c>
      <c r="V824" s="261">
        <f t="shared" si="238"/>
        <v>-5.2299999999999999E-2</v>
      </c>
      <c r="W824" s="261">
        <f t="shared" si="238"/>
        <v>-5.2299999999999999E-2</v>
      </c>
      <c r="X824" s="261">
        <f t="shared" si="238"/>
        <v>-5.2299999999999999E-2</v>
      </c>
      <c r="Y824" s="261">
        <f t="shared" ref="Y824" si="239">Y823</f>
        <v>-5.2299999999999999E-2</v>
      </c>
      <c r="Z824" s="261">
        <f t="shared" ref="Z824:AA824" si="240">Z823</f>
        <v>-5.2299999999999999E-2</v>
      </c>
      <c r="AA824" s="261">
        <f t="shared" si="240"/>
        <v>-5.2299999999999999E-2</v>
      </c>
      <c r="AB824" s="261">
        <f t="shared" si="238"/>
        <v>-5.2299999999999999E-2</v>
      </c>
      <c r="AC824" s="261">
        <f t="shared" si="238"/>
        <v>-5.2299999999999999E-2</v>
      </c>
      <c r="AD824" s="261">
        <f t="shared" si="238"/>
        <v>-5.2299999999999999E-2</v>
      </c>
      <c r="AE824" s="261">
        <f t="shared" ref="AE824" si="241">AE823</f>
        <v>-5.2299999999999999E-2</v>
      </c>
      <c r="AF824" s="76"/>
      <c r="AG824" s="97" t="s">
        <v>1444</v>
      </c>
      <c r="AH824" s="76"/>
      <c r="AI824" s="97">
        <v>1</v>
      </c>
      <c r="AJ824" s="97">
        <v>1</v>
      </c>
      <c r="AK824" s="73"/>
      <c r="AL824" s="57"/>
      <c r="AM824" s="45"/>
      <c r="AN824" s="45"/>
      <c r="AO824" s="45"/>
    </row>
    <row r="825" spans="1:41" hidden="1" outlineLevel="2" x14ac:dyDescent="0.25">
      <c r="A825" s="45"/>
      <c r="B825" s="54"/>
      <c r="C825" s="47">
        <f t="shared" si="221"/>
        <v>3</v>
      </c>
      <c r="D825" s="73"/>
      <c r="E825" s="70"/>
      <c r="F825" s="70" t="s">
        <v>1457</v>
      </c>
      <c r="G825" s="73"/>
      <c r="H825" s="76" t="s">
        <v>1458</v>
      </c>
      <c r="I825" s="96" t="s">
        <v>687</v>
      </c>
      <c r="J825" s="96" t="s">
        <v>1138</v>
      </c>
      <c r="K825" s="76"/>
      <c r="L825" s="76"/>
      <c r="M825" s="76"/>
      <c r="N825" s="76"/>
      <c r="O825" s="76"/>
      <c r="P825" s="76"/>
      <c r="Q825" s="76"/>
      <c r="R825" s="76"/>
      <c r="S825" s="76"/>
      <c r="T825" s="76"/>
      <c r="U825" s="97">
        <f>-10.7/1000</f>
        <v>-1.0699999999999999E-2</v>
      </c>
      <c r="V825" s="255">
        <f>U825</f>
        <v>-1.0699999999999999E-2</v>
      </c>
      <c r="W825" s="255">
        <f>U825</f>
        <v>-1.0699999999999999E-2</v>
      </c>
      <c r="X825" s="255">
        <f>V825</f>
        <v>-1.0699999999999999E-2</v>
      </c>
      <c r="Y825" s="255">
        <f>W825</f>
        <v>-1.0699999999999999E-2</v>
      </c>
      <c r="Z825" s="255">
        <f t="shared" ref="Z825:AA825" si="242">X825</f>
        <v>-1.0699999999999999E-2</v>
      </c>
      <c r="AA825" s="255">
        <f t="shared" si="242"/>
        <v>-1.0699999999999999E-2</v>
      </c>
      <c r="AB825" s="255">
        <f>AA825</f>
        <v>-1.0699999999999999E-2</v>
      </c>
      <c r="AC825" s="255">
        <f>AB825</f>
        <v>-1.0699999999999999E-2</v>
      </c>
      <c r="AD825" s="255">
        <f>AC825</f>
        <v>-1.0699999999999999E-2</v>
      </c>
      <c r="AE825" s="255">
        <f>AD825</f>
        <v>-1.0699999999999999E-2</v>
      </c>
      <c r="AF825" s="76"/>
      <c r="AG825" s="97"/>
      <c r="AH825" s="76"/>
      <c r="AI825" s="97">
        <v>1</v>
      </c>
      <c r="AJ825" s="97">
        <v>1</v>
      </c>
      <c r="AK825" s="73"/>
      <c r="AL825" s="57"/>
      <c r="AM825" s="45"/>
      <c r="AN825" s="45"/>
      <c r="AO825" s="45"/>
    </row>
    <row r="826" spans="1:41" hidden="1" outlineLevel="2" x14ac:dyDescent="0.25">
      <c r="A826" s="45">
        <v>4</v>
      </c>
      <c r="B826" s="54"/>
      <c r="C826" s="47">
        <f t="shared" si="221"/>
        <v>3</v>
      </c>
      <c r="D826" s="73"/>
      <c r="E826" s="70"/>
      <c r="F826" s="70" t="s">
        <v>1459</v>
      </c>
      <c r="G826" s="73"/>
      <c r="H826" s="76" t="s">
        <v>1460</v>
      </c>
      <c r="I826" s="96" t="s">
        <v>687</v>
      </c>
      <c r="J826" s="96" t="s">
        <v>1138</v>
      </c>
      <c r="K826" s="76"/>
      <c r="L826" s="76"/>
      <c r="M826" s="76"/>
      <c r="N826" s="76"/>
      <c r="O826" s="76"/>
      <c r="P826" s="76"/>
      <c r="Q826" s="76"/>
      <c r="R826" s="76"/>
      <c r="S826" s="76"/>
      <c r="T826" s="76"/>
      <c r="U826" s="261">
        <f t="shared" ref="U826:AD827" si="243">U825</f>
        <v>-1.0699999999999999E-2</v>
      </c>
      <c r="V826" s="261">
        <f t="shared" si="243"/>
        <v>-1.0699999999999999E-2</v>
      </c>
      <c r="W826" s="261">
        <f t="shared" si="243"/>
        <v>-1.0699999999999999E-2</v>
      </c>
      <c r="X826" s="261">
        <f t="shared" si="243"/>
        <v>-1.0699999999999999E-2</v>
      </c>
      <c r="Y826" s="261">
        <f t="shared" ref="Y826" si="244">Y825</f>
        <v>-1.0699999999999999E-2</v>
      </c>
      <c r="Z826" s="261">
        <f t="shared" ref="Z826:AA826" si="245">Z825</f>
        <v>-1.0699999999999999E-2</v>
      </c>
      <c r="AA826" s="261">
        <f t="shared" si="245"/>
        <v>-1.0699999999999999E-2</v>
      </c>
      <c r="AB826" s="261">
        <f t="shared" si="243"/>
        <v>-1.0699999999999999E-2</v>
      </c>
      <c r="AC826" s="261">
        <f t="shared" si="243"/>
        <v>-1.0699999999999999E-2</v>
      </c>
      <c r="AD826" s="261">
        <f t="shared" si="243"/>
        <v>-1.0699999999999999E-2</v>
      </c>
      <c r="AE826" s="261">
        <f t="shared" ref="AE826" si="246">AE825</f>
        <v>-1.0699999999999999E-2</v>
      </c>
      <c r="AF826" s="76"/>
      <c r="AG826" s="97"/>
      <c r="AH826" s="76"/>
      <c r="AI826" s="97">
        <v>1</v>
      </c>
      <c r="AJ826" s="97">
        <v>1</v>
      </c>
      <c r="AK826" s="73"/>
      <c r="AL826" s="57"/>
      <c r="AM826" s="45"/>
      <c r="AN826" s="45"/>
      <c r="AO826" s="45"/>
    </row>
    <row r="827" spans="1:41" hidden="1" outlineLevel="2" x14ac:dyDescent="0.25">
      <c r="A827" s="45">
        <f>A826</f>
        <v>4</v>
      </c>
      <c r="B827" s="54"/>
      <c r="C827" s="47">
        <f t="shared" si="221"/>
        <v>3</v>
      </c>
      <c r="D827" s="73"/>
      <c r="E827" s="70"/>
      <c r="F827" s="70" t="s">
        <v>1461</v>
      </c>
      <c r="G827" s="73"/>
      <c r="H827" s="76" t="s">
        <v>1462</v>
      </c>
      <c r="I827" s="96" t="s">
        <v>687</v>
      </c>
      <c r="J827" s="96" t="s">
        <v>1138</v>
      </c>
      <c r="K827" s="76"/>
      <c r="L827" s="76"/>
      <c r="M827" s="76"/>
      <c r="N827" s="76"/>
      <c r="O827" s="76"/>
      <c r="P827" s="76"/>
      <c r="Q827" s="76"/>
      <c r="R827" s="76"/>
      <c r="S827" s="76"/>
      <c r="T827" s="76"/>
      <c r="U827" s="261">
        <f t="shared" si="243"/>
        <v>-1.0699999999999999E-2</v>
      </c>
      <c r="V827" s="261">
        <f t="shared" si="243"/>
        <v>-1.0699999999999999E-2</v>
      </c>
      <c r="W827" s="261">
        <f t="shared" si="243"/>
        <v>-1.0699999999999999E-2</v>
      </c>
      <c r="X827" s="261">
        <f t="shared" si="243"/>
        <v>-1.0699999999999999E-2</v>
      </c>
      <c r="Y827" s="261">
        <f t="shared" ref="Y827" si="247">Y826</f>
        <v>-1.0699999999999999E-2</v>
      </c>
      <c r="Z827" s="261">
        <f t="shared" ref="Z827:AA827" si="248">Z826</f>
        <v>-1.0699999999999999E-2</v>
      </c>
      <c r="AA827" s="261">
        <f t="shared" si="248"/>
        <v>-1.0699999999999999E-2</v>
      </c>
      <c r="AB827" s="261">
        <f t="shared" si="243"/>
        <v>-1.0699999999999999E-2</v>
      </c>
      <c r="AC827" s="261">
        <f t="shared" si="243"/>
        <v>-1.0699999999999999E-2</v>
      </c>
      <c r="AD827" s="261">
        <f t="shared" si="243"/>
        <v>-1.0699999999999999E-2</v>
      </c>
      <c r="AE827" s="261">
        <f t="shared" ref="AE827" si="249">AE826</f>
        <v>-1.0699999999999999E-2</v>
      </c>
      <c r="AF827" s="76"/>
      <c r="AG827" s="97"/>
      <c r="AH827" s="76"/>
      <c r="AI827" s="97">
        <v>1</v>
      </c>
      <c r="AJ827" s="97">
        <v>1</v>
      </c>
      <c r="AK827" s="73"/>
      <c r="AL827" s="57"/>
      <c r="AM827" s="45"/>
      <c r="AN827" s="45"/>
      <c r="AO827" s="45"/>
    </row>
    <row r="828" spans="1:41" outlineLevel="1" collapsed="1" x14ac:dyDescent="0.25">
      <c r="A828" s="45"/>
      <c r="B828" s="54"/>
      <c r="C828" s="47">
        <f>INT($C$29)+1</f>
        <v>2</v>
      </c>
      <c r="D828" s="73"/>
      <c r="E828" s="70"/>
      <c r="F828" s="256" t="s">
        <v>1463</v>
      </c>
      <c r="G828" s="73"/>
      <c r="H828" s="246" t="s">
        <v>1464</v>
      </c>
      <c r="I828" s="129"/>
      <c r="J828" s="129" t="s">
        <v>1038</v>
      </c>
      <c r="K828" s="79">
        <v>41</v>
      </c>
      <c r="L828" s="79">
        <v>4</v>
      </c>
      <c r="M828" s="79">
        <v>-12</v>
      </c>
      <c r="N828" s="76"/>
      <c r="O828" s="76"/>
      <c r="P828" s="76"/>
      <c r="Q828" s="76"/>
      <c r="R828" s="76"/>
      <c r="S828" s="76"/>
      <c r="T828" s="76"/>
      <c r="U828" s="76"/>
      <c r="V828" s="76"/>
      <c r="W828" s="76"/>
      <c r="X828" s="76"/>
      <c r="Y828" s="76"/>
      <c r="Z828" s="76"/>
      <c r="AA828" s="76"/>
      <c r="AB828" s="76"/>
      <c r="AC828" s="76"/>
      <c r="AD828" s="76"/>
      <c r="AE828" s="76"/>
      <c r="AF828" s="76"/>
      <c r="AG828" s="76"/>
      <c r="AH828" s="76"/>
      <c r="AI828" s="76"/>
      <c r="AJ828" s="76"/>
      <c r="AK828" s="73"/>
      <c r="AL828" s="57"/>
      <c r="AM828" s="45"/>
      <c r="AN828" s="45"/>
      <c r="AO828" s="45"/>
    </row>
    <row r="829" spans="1:41" hidden="1" outlineLevel="2" collapsed="1" x14ac:dyDescent="0.25">
      <c r="A829" s="45"/>
      <c r="B829" s="54"/>
      <c r="C829" s="47">
        <f>INT($C$29)+3</f>
        <v>4</v>
      </c>
      <c r="D829" s="73"/>
      <c r="E829" s="70"/>
      <c r="F829" s="70" t="s">
        <v>1465</v>
      </c>
      <c r="G829" s="73"/>
      <c r="H829" s="76" t="s">
        <v>1466</v>
      </c>
      <c r="I829" s="96" t="s">
        <v>497</v>
      </c>
      <c r="J829" s="96"/>
      <c r="K829" s="76"/>
      <c r="L829" s="76"/>
      <c r="M829" s="76"/>
      <c r="N829" s="76"/>
      <c r="O829" s="76"/>
      <c r="P829" s="76"/>
      <c r="Q829" s="76"/>
      <c r="R829" s="76"/>
      <c r="S829" s="76"/>
      <c r="T829" s="76"/>
      <c r="U829" s="76"/>
      <c r="V829" s="76"/>
      <c r="W829" s="76"/>
      <c r="X829" s="76"/>
      <c r="Y829" s="76"/>
      <c r="Z829" s="76"/>
      <c r="AA829" s="76"/>
      <c r="AB829" s="76"/>
      <c r="AC829" s="76"/>
      <c r="AD829" s="76"/>
      <c r="AE829" s="76"/>
      <c r="AF829" s="76"/>
      <c r="AG829" s="76"/>
      <c r="AH829" s="76"/>
      <c r="AI829" s="76">
        <v>1</v>
      </c>
      <c r="AJ829" s="76">
        <v>1</v>
      </c>
      <c r="AK829" s="73"/>
      <c r="AL829" s="57"/>
      <c r="AM829" s="45"/>
      <c r="AN829" s="45"/>
      <c r="AO829" s="45"/>
    </row>
    <row r="830" spans="1:41" hidden="1" outlineLevel="3" x14ac:dyDescent="0.25">
      <c r="A830" s="45"/>
      <c r="B830" s="54"/>
      <c r="C830" s="47">
        <f>INT($C$29)+3</f>
        <v>4</v>
      </c>
      <c r="D830" s="73"/>
      <c r="E830" s="70"/>
      <c r="F830" s="70" t="s">
        <v>1467</v>
      </c>
      <c r="G830" s="73"/>
      <c r="H830" s="76" t="s">
        <v>1468</v>
      </c>
      <c r="I830" s="96" t="s">
        <v>497</v>
      </c>
      <c r="J830" s="96"/>
      <c r="K830" s="76"/>
      <c r="L830" s="76"/>
      <c r="M830" s="76"/>
      <c r="N830" s="76"/>
      <c r="O830" s="76"/>
      <c r="P830" s="76"/>
      <c r="Q830" s="76"/>
      <c r="R830" s="76"/>
      <c r="S830" s="76"/>
      <c r="T830" s="76"/>
      <c r="U830" s="76"/>
      <c r="V830" s="76"/>
      <c r="W830" s="76"/>
      <c r="X830" s="76"/>
      <c r="Y830" s="76"/>
      <c r="Z830" s="76"/>
      <c r="AA830" s="76"/>
      <c r="AB830" s="76"/>
      <c r="AC830" s="76"/>
      <c r="AD830" s="76"/>
      <c r="AE830" s="76"/>
      <c r="AF830" s="76"/>
      <c r="AG830" s="76"/>
      <c r="AH830" s="76"/>
      <c r="AI830" s="76">
        <v>1</v>
      </c>
      <c r="AJ830" s="76">
        <v>1</v>
      </c>
      <c r="AK830" s="73"/>
      <c r="AL830" s="57"/>
      <c r="AM830" s="45"/>
      <c r="AN830" s="45"/>
      <c r="AO830" s="45"/>
    </row>
    <row r="831" spans="1:41" hidden="1" outlineLevel="3" x14ac:dyDescent="0.25">
      <c r="A831" s="45"/>
      <c r="B831" s="54"/>
      <c r="C831" s="47">
        <f>INT($C$29)+3</f>
        <v>4</v>
      </c>
      <c r="D831" s="73"/>
      <c r="E831" s="70"/>
      <c r="F831" s="70" t="s">
        <v>1469</v>
      </c>
      <c r="G831" s="73"/>
      <c r="H831" s="76" t="s">
        <v>1470</v>
      </c>
      <c r="I831" s="96" t="s">
        <v>497</v>
      </c>
      <c r="J831" s="96"/>
      <c r="K831" s="76"/>
      <c r="L831" s="76"/>
      <c r="M831" s="76"/>
      <c r="N831" s="76"/>
      <c r="O831" s="76"/>
      <c r="P831" s="76"/>
      <c r="Q831" s="76"/>
      <c r="R831" s="76"/>
      <c r="S831" s="76"/>
      <c r="T831" s="76"/>
      <c r="U831" s="76"/>
      <c r="V831" s="76"/>
      <c r="W831" s="76"/>
      <c r="X831" s="76"/>
      <c r="Y831" s="76"/>
      <c r="Z831" s="76"/>
      <c r="AA831" s="76"/>
      <c r="AB831" s="76"/>
      <c r="AC831" s="76"/>
      <c r="AD831" s="76"/>
      <c r="AE831" s="76"/>
      <c r="AF831" s="76"/>
      <c r="AG831" s="76"/>
      <c r="AH831" s="76"/>
      <c r="AI831" s="76">
        <v>1</v>
      </c>
      <c r="AJ831" s="76">
        <v>1</v>
      </c>
      <c r="AK831" s="73"/>
      <c r="AL831" s="57"/>
      <c r="AM831" s="45"/>
      <c r="AN831" s="45"/>
      <c r="AO831" s="45"/>
    </row>
    <row r="832" spans="1:41" hidden="1" outlineLevel="3" x14ac:dyDescent="0.25">
      <c r="A832" s="45"/>
      <c r="B832" s="54"/>
      <c r="C832" s="47">
        <f>INT($C$29)+3</f>
        <v>4</v>
      </c>
      <c r="D832" s="73"/>
      <c r="E832" s="70"/>
      <c r="F832" s="70" t="s">
        <v>1471</v>
      </c>
      <c r="G832" s="73"/>
      <c r="H832" s="76" t="s">
        <v>1472</v>
      </c>
      <c r="I832" s="96" t="s">
        <v>497</v>
      </c>
      <c r="J832" s="96"/>
      <c r="K832" s="76"/>
      <c r="L832" s="76"/>
      <c r="M832" s="76"/>
      <c r="N832" s="76"/>
      <c r="O832" s="76"/>
      <c r="P832" s="76"/>
      <c r="Q832" s="76"/>
      <c r="R832" s="76"/>
      <c r="S832" s="76"/>
      <c r="T832" s="76"/>
      <c r="U832" s="76"/>
      <c r="V832" s="76"/>
      <c r="W832" s="76"/>
      <c r="X832" s="76"/>
      <c r="Y832" s="76"/>
      <c r="Z832" s="76"/>
      <c r="AA832" s="76"/>
      <c r="AB832" s="76"/>
      <c r="AC832" s="76"/>
      <c r="AD832" s="76"/>
      <c r="AE832" s="76"/>
      <c r="AF832" s="76"/>
      <c r="AG832" s="76"/>
      <c r="AH832" s="76"/>
      <c r="AI832" s="76">
        <v>1</v>
      </c>
      <c r="AJ832" s="76">
        <v>1</v>
      </c>
      <c r="AK832" s="73"/>
      <c r="AL832" s="57"/>
      <c r="AM832" s="45"/>
      <c r="AN832" s="45"/>
      <c r="AO832" s="45"/>
    </row>
    <row r="833" spans="1:41" hidden="1" outlineLevel="2" x14ac:dyDescent="0.25">
      <c r="A833" s="45"/>
      <c r="B833" s="54"/>
      <c r="C833" s="47">
        <f t="shared" ref="C833:C867" si="250">INT($C$29)+2</f>
        <v>3</v>
      </c>
      <c r="D833" s="73"/>
      <c r="E833" s="70" t="s">
        <v>979</v>
      </c>
      <c r="F833" s="70" t="s">
        <v>1473</v>
      </c>
      <c r="G833" s="73"/>
      <c r="H833" s="76" t="s">
        <v>1474</v>
      </c>
      <c r="I833" s="96" t="s">
        <v>497</v>
      </c>
      <c r="J833" s="96"/>
      <c r="K833" s="76"/>
      <c r="L833" s="76"/>
      <c r="M833" s="76"/>
      <c r="N833" s="76"/>
      <c r="O833" s="76"/>
      <c r="P833" s="76"/>
      <c r="Q833" s="76"/>
      <c r="R833" s="76"/>
      <c r="S833" s="76"/>
      <c r="T833" s="76"/>
      <c r="U833" s="76">
        <v>0</v>
      </c>
      <c r="V833" s="76">
        <v>0</v>
      </c>
      <c r="W833" s="76">
        <v>0</v>
      </c>
      <c r="X833" s="76">
        <v>0</v>
      </c>
      <c r="Y833" s="76">
        <v>0</v>
      </c>
      <c r="Z833" s="76">
        <v>0</v>
      </c>
      <c r="AA833" s="76">
        <v>0</v>
      </c>
      <c r="AB833" s="76">
        <v>0</v>
      </c>
      <c r="AC833" s="76">
        <v>0</v>
      </c>
      <c r="AD833" s="76">
        <v>0</v>
      </c>
      <c r="AE833" s="76">
        <v>0</v>
      </c>
      <c r="AF833" s="76"/>
      <c r="AG833" s="264" t="s">
        <v>1475</v>
      </c>
      <c r="AH833" s="76"/>
      <c r="AI833" s="76">
        <v>1</v>
      </c>
      <c r="AJ833" s="76">
        <v>1</v>
      </c>
      <c r="AK833" s="73"/>
      <c r="AL833" s="57"/>
      <c r="AM833" s="45"/>
      <c r="AN833" s="45"/>
      <c r="AO833" s="45"/>
    </row>
    <row r="834" spans="1:41" hidden="1" outlineLevel="2" x14ac:dyDescent="0.25">
      <c r="A834" s="45"/>
      <c r="B834" s="54"/>
      <c r="C834" s="47">
        <f t="shared" si="250"/>
        <v>3</v>
      </c>
      <c r="D834" s="73"/>
      <c r="E834" s="70"/>
      <c r="F834" s="70" t="s">
        <v>1476</v>
      </c>
      <c r="G834" s="73"/>
      <c r="H834" s="76" t="s">
        <v>1477</v>
      </c>
      <c r="I834" s="96" t="s">
        <v>497</v>
      </c>
      <c r="J834" s="96"/>
      <c r="K834" s="76"/>
      <c r="L834" s="76"/>
      <c r="M834" s="97">
        <v>0</v>
      </c>
      <c r="N834" s="97">
        <v>0</v>
      </c>
      <c r="O834" s="97">
        <v>0</v>
      </c>
      <c r="P834" s="97">
        <v>0</v>
      </c>
      <c r="Q834" s="76"/>
      <c r="R834" s="76"/>
      <c r="S834" s="97" t="s">
        <v>1478</v>
      </c>
      <c r="T834" s="76"/>
      <c r="U834" s="97">
        <f>0.23/2</f>
        <v>0.115</v>
      </c>
      <c r="V834" s="97">
        <f>0.23/2</f>
        <v>0.115</v>
      </c>
      <c r="W834" s="97">
        <f>0.23/2</f>
        <v>0.115</v>
      </c>
      <c r="X834" s="97">
        <f>0.23/2</f>
        <v>0.115</v>
      </c>
      <c r="Y834" s="97">
        <f>0.23/2</f>
        <v>0.115</v>
      </c>
      <c r="Z834" s="97">
        <f t="shared" ref="Z834:AA834" si="251">0.23/2</f>
        <v>0.115</v>
      </c>
      <c r="AA834" s="97">
        <f t="shared" si="251"/>
        <v>0.115</v>
      </c>
      <c r="AB834" s="97">
        <f t="shared" ref="AB834:AF834" si="252">0.34/2</f>
        <v>0.17</v>
      </c>
      <c r="AC834" s="97">
        <f t="shared" si="252"/>
        <v>0.17</v>
      </c>
      <c r="AD834" s="97">
        <f t="shared" si="252"/>
        <v>0.17</v>
      </c>
      <c r="AE834" s="97">
        <f t="shared" si="252"/>
        <v>0.17</v>
      </c>
      <c r="AF834" s="97">
        <f t="shared" si="252"/>
        <v>0.17</v>
      </c>
      <c r="AG834" s="97" t="s">
        <v>2556</v>
      </c>
      <c r="AH834" s="76"/>
      <c r="AI834" s="97">
        <v>1</v>
      </c>
      <c r="AJ834" s="97">
        <v>1</v>
      </c>
      <c r="AK834" s="73"/>
      <c r="AL834" s="57"/>
      <c r="AM834" s="45"/>
      <c r="AN834" s="45"/>
      <c r="AO834" s="45"/>
    </row>
    <row r="835" spans="1:41" hidden="1" outlineLevel="2" x14ac:dyDescent="0.25">
      <c r="A835" s="45"/>
      <c r="B835" s="54"/>
      <c r="C835" s="47">
        <f t="shared" si="250"/>
        <v>3</v>
      </c>
      <c r="D835" s="73"/>
      <c r="E835" s="70"/>
      <c r="F835" s="70" t="s">
        <v>1479</v>
      </c>
      <c r="G835" s="73"/>
      <c r="H835" s="76" t="s">
        <v>1480</v>
      </c>
      <c r="I835" s="96" t="s">
        <v>497</v>
      </c>
      <c r="J835" s="96"/>
      <c r="K835" s="76"/>
      <c r="L835" s="76"/>
      <c r="M835" s="76"/>
      <c r="N835" s="76"/>
      <c r="O835" s="76"/>
      <c r="P835" s="76"/>
      <c r="Q835" s="76"/>
      <c r="R835" s="76"/>
      <c r="S835" s="76"/>
      <c r="T835" s="76"/>
      <c r="U835" s="97">
        <f t="shared" ref="U835:AA836" si="253">0.39/2</f>
        <v>0.19500000000000001</v>
      </c>
      <c r="V835" s="97">
        <f t="shared" si="253"/>
        <v>0.19500000000000001</v>
      </c>
      <c r="W835" s="97">
        <f t="shared" si="253"/>
        <v>0.19500000000000001</v>
      </c>
      <c r="X835" s="97">
        <f t="shared" si="253"/>
        <v>0.19500000000000001</v>
      </c>
      <c r="Y835" s="97">
        <f t="shared" si="253"/>
        <v>0.19500000000000001</v>
      </c>
      <c r="Z835" s="97">
        <f t="shared" si="253"/>
        <v>0.19500000000000001</v>
      </c>
      <c r="AA835" s="97">
        <f t="shared" si="253"/>
        <v>0.19500000000000001</v>
      </c>
      <c r="AB835" s="97">
        <f t="shared" ref="AB835:AF836" si="254">0.64/2</f>
        <v>0.32</v>
      </c>
      <c r="AC835" s="97">
        <f t="shared" si="254"/>
        <v>0.32</v>
      </c>
      <c r="AD835" s="97">
        <f t="shared" si="254"/>
        <v>0.32</v>
      </c>
      <c r="AE835" s="97">
        <f t="shared" si="254"/>
        <v>0.32</v>
      </c>
      <c r="AF835" s="97">
        <f t="shared" si="254"/>
        <v>0.32</v>
      </c>
      <c r="AG835" s="97" t="s">
        <v>3803</v>
      </c>
      <c r="AH835" s="76"/>
      <c r="AI835" s="97">
        <v>1</v>
      </c>
      <c r="AJ835" s="97">
        <v>1</v>
      </c>
      <c r="AK835" s="73"/>
      <c r="AL835" s="57"/>
      <c r="AM835" s="45"/>
      <c r="AN835" s="45"/>
      <c r="AO835" s="45"/>
    </row>
    <row r="836" spans="1:41" hidden="1" outlineLevel="2" x14ac:dyDescent="0.25">
      <c r="A836" s="45"/>
      <c r="B836" s="54"/>
      <c r="C836" s="47">
        <f t="shared" si="250"/>
        <v>3</v>
      </c>
      <c r="D836" s="73"/>
      <c r="E836" s="70"/>
      <c r="F836" s="70" t="s">
        <v>1481</v>
      </c>
      <c r="G836" s="73"/>
      <c r="H836" s="76" t="s">
        <v>1482</v>
      </c>
      <c r="I836" s="96" t="s">
        <v>497</v>
      </c>
      <c r="J836" s="96"/>
      <c r="K836" s="76"/>
      <c r="L836" s="76"/>
      <c r="M836" s="76"/>
      <c r="N836" s="76"/>
      <c r="O836" s="76"/>
      <c r="P836" s="76"/>
      <c r="Q836" s="76"/>
      <c r="R836" s="76"/>
      <c r="S836" s="76"/>
      <c r="T836" s="76"/>
      <c r="U836" s="97">
        <f t="shared" si="253"/>
        <v>0.19500000000000001</v>
      </c>
      <c r="V836" s="97">
        <f t="shared" si="253"/>
        <v>0.19500000000000001</v>
      </c>
      <c r="W836" s="97">
        <f t="shared" si="253"/>
        <v>0.19500000000000001</v>
      </c>
      <c r="X836" s="97">
        <f t="shared" si="253"/>
        <v>0.19500000000000001</v>
      </c>
      <c r="Y836" s="97">
        <f t="shared" si="253"/>
        <v>0.19500000000000001</v>
      </c>
      <c r="Z836" s="97">
        <f t="shared" si="253"/>
        <v>0.19500000000000001</v>
      </c>
      <c r="AA836" s="97">
        <f t="shared" si="253"/>
        <v>0.19500000000000001</v>
      </c>
      <c r="AB836" s="97">
        <f t="shared" si="254"/>
        <v>0.32</v>
      </c>
      <c r="AC836" s="97">
        <f t="shared" si="254"/>
        <v>0.32</v>
      </c>
      <c r="AD836" s="97">
        <f t="shared" si="254"/>
        <v>0.32</v>
      </c>
      <c r="AE836" s="97">
        <f t="shared" si="254"/>
        <v>0.32</v>
      </c>
      <c r="AF836" s="97">
        <f t="shared" si="254"/>
        <v>0.32</v>
      </c>
      <c r="AG836" s="97" t="s">
        <v>1017</v>
      </c>
      <c r="AH836" s="76"/>
      <c r="AI836" s="97">
        <v>1</v>
      </c>
      <c r="AJ836" s="97">
        <v>1</v>
      </c>
      <c r="AK836" s="73"/>
      <c r="AL836" s="57"/>
      <c r="AM836" s="45"/>
      <c r="AN836" s="45"/>
      <c r="AO836" s="45"/>
    </row>
    <row r="837" spans="1:41" hidden="1" outlineLevel="2" x14ac:dyDescent="0.25">
      <c r="A837" s="45"/>
      <c r="B837" s="54"/>
      <c r="C837" s="47">
        <f t="shared" si="250"/>
        <v>3</v>
      </c>
      <c r="D837" s="73"/>
      <c r="E837" s="70" t="s">
        <v>1483</v>
      </c>
      <c r="F837" s="70" t="s">
        <v>1484</v>
      </c>
      <c r="G837" s="73"/>
      <c r="H837" s="76" t="s">
        <v>1485</v>
      </c>
      <c r="I837" s="96" t="s">
        <v>497</v>
      </c>
      <c r="J837" s="96"/>
      <c r="K837" s="76"/>
      <c r="L837" s="76"/>
      <c r="M837" s="76"/>
      <c r="N837" s="76"/>
      <c r="O837" s="76"/>
      <c r="P837" s="76"/>
      <c r="Q837" s="76"/>
      <c r="R837" s="76"/>
      <c r="S837" s="76"/>
      <c r="T837" s="76"/>
      <c r="U837" s="76">
        <v>-1</v>
      </c>
      <c r="V837" s="76">
        <v>-1</v>
      </c>
      <c r="W837" s="76">
        <v>-1</v>
      </c>
      <c r="X837" s="76">
        <v>-1</v>
      </c>
      <c r="Y837" s="76">
        <v>-1</v>
      </c>
      <c r="Z837" s="76">
        <v>-1</v>
      </c>
      <c r="AA837" s="76">
        <v>-1</v>
      </c>
      <c r="AB837" s="76">
        <v>-1</v>
      </c>
      <c r="AC837" s="76">
        <v>-1</v>
      </c>
      <c r="AD837" s="76">
        <v>-1</v>
      </c>
      <c r="AE837" s="76">
        <v>-1</v>
      </c>
      <c r="AF837" s="76"/>
      <c r="AG837" s="264" t="s">
        <v>1475</v>
      </c>
      <c r="AH837" s="76"/>
      <c r="AI837" s="76">
        <v>1</v>
      </c>
      <c r="AJ837" s="76">
        <v>1</v>
      </c>
      <c r="AK837" s="73"/>
      <c r="AL837" s="57"/>
      <c r="AM837" s="45"/>
      <c r="AN837" s="45"/>
      <c r="AO837" s="45"/>
    </row>
    <row r="838" spans="1:41" hidden="1" outlineLevel="2" x14ac:dyDescent="0.25">
      <c r="A838" s="45"/>
      <c r="B838" s="54"/>
      <c r="C838" s="47">
        <f t="shared" si="250"/>
        <v>3</v>
      </c>
      <c r="D838" s="73"/>
      <c r="E838" s="70"/>
      <c r="F838" s="70" t="s">
        <v>1486</v>
      </c>
      <c r="G838" s="73"/>
      <c r="H838" s="76" t="s">
        <v>1487</v>
      </c>
      <c r="I838" s="96" t="s">
        <v>497</v>
      </c>
      <c r="J838" s="96"/>
      <c r="K838" s="76"/>
      <c r="L838" s="76"/>
      <c r="M838" s="97">
        <v>0.5</v>
      </c>
      <c r="N838" s="97">
        <v>0.5</v>
      </c>
      <c r="O838" s="97">
        <v>0.5</v>
      </c>
      <c r="P838" s="97">
        <v>0.5</v>
      </c>
      <c r="Q838" s="76"/>
      <c r="R838" s="76"/>
      <c r="S838" s="97" t="s">
        <v>1488</v>
      </c>
      <c r="T838" s="76"/>
      <c r="U838" s="97">
        <v>-0.53</v>
      </c>
      <c r="V838" s="97">
        <v>-0.53</v>
      </c>
      <c r="W838" s="97">
        <v>-0.53</v>
      </c>
      <c r="X838" s="97">
        <v>-0.53</v>
      </c>
      <c r="Y838" s="97">
        <v>-0.53</v>
      </c>
      <c r="Z838" s="97">
        <v>-0.53</v>
      </c>
      <c r="AA838" s="97">
        <v>-0.53</v>
      </c>
      <c r="AB838" s="97">
        <v>-1.8049999999999999</v>
      </c>
      <c r="AC838" s="97">
        <v>-1.8049999999999999</v>
      </c>
      <c r="AD838" s="97">
        <v>-1.8049999999999999</v>
      </c>
      <c r="AE838" s="97">
        <v>-1.8049999999999999</v>
      </c>
      <c r="AF838" s="76"/>
      <c r="AG838" s="97" t="s">
        <v>1493</v>
      </c>
      <c r="AH838" s="76"/>
      <c r="AI838" s="97">
        <v>1</v>
      </c>
      <c r="AJ838" s="97">
        <v>1</v>
      </c>
      <c r="AK838" s="73"/>
      <c r="AL838" s="57"/>
      <c r="AM838" s="45"/>
      <c r="AN838" s="45"/>
      <c r="AO838" s="45"/>
    </row>
    <row r="839" spans="1:41" hidden="1" outlineLevel="2" x14ac:dyDescent="0.25">
      <c r="A839" s="45"/>
      <c r="B839" s="54"/>
      <c r="C839" s="47">
        <f t="shared" si="250"/>
        <v>3</v>
      </c>
      <c r="D839" s="73"/>
      <c r="E839" s="70"/>
      <c r="F839" s="70" t="s">
        <v>1489</v>
      </c>
      <c r="G839" s="73"/>
      <c r="H839" s="76" t="s">
        <v>1490</v>
      </c>
      <c r="I839" s="96" t="s">
        <v>497</v>
      </c>
      <c r="J839" s="96"/>
      <c r="K839" s="76"/>
      <c r="L839" s="76"/>
      <c r="M839" s="76"/>
      <c r="N839" s="76"/>
      <c r="O839" s="76"/>
      <c r="P839" s="76"/>
      <c r="Q839" s="76"/>
      <c r="R839" s="76"/>
      <c r="S839" s="76"/>
      <c r="T839" s="76"/>
      <c r="U839" s="97">
        <v>-0.03</v>
      </c>
      <c r="V839" s="97">
        <v>-0.03</v>
      </c>
      <c r="W839" s="97">
        <v>-0.03</v>
      </c>
      <c r="X839" s="97">
        <v>-0.03</v>
      </c>
      <c r="Y839" s="97">
        <v>-0.03</v>
      </c>
      <c r="Z839" s="97">
        <v>-0.03</v>
      </c>
      <c r="AA839" s="97">
        <v>-0.03</v>
      </c>
      <c r="AB839" s="97">
        <v>-2.6150000000000002</v>
      </c>
      <c r="AC839" s="97">
        <v>-2.6150000000000002</v>
      </c>
      <c r="AD839" s="97">
        <v>-2.6150000000000002</v>
      </c>
      <c r="AE839" s="97">
        <v>-2.6150000000000002</v>
      </c>
      <c r="AF839" s="76"/>
      <c r="AG839" s="97" t="s">
        <v>1493</v>
      </c>
      <c r="AH839" s="76"/>
      <c r="AI839" s="97">
        <v>1</v>
      </c>
      <c r="AJ839" s="97">
        <v>1</v>
      </c>
      <c r="AK839" s="73"/>
      <c r="AL839" s="57"/>
      <c r="AM839" s="45"/>
      <c r="AN839" s="45"/>
      <c r="AO839" s="45"/>
    </row>
    <row r="840" spans="1:41" hidden="1" outlineLevel="2" x14ac:dyDescent="0.25">
      <c r="A840" s="45"/>
      <c r="B840" s="54"/>
      <c r="C840" s="47">
        <f t="shared" si="250"/>
        <v>3</v>
      </c>
      <c r="D840" s="73"/>
      <c r="E840" s="70"/>
      <c r="F840" s="70" t="s">
        <v>1491</v>
      </c>
      <c r="G840" s="73"/>
      <c r="H840" s="76" t="s">
        <v>1492</v>
      </c>
      <c r="I840" s="96" t="s">
        <v>497</v>
      </c>
      <c r="J840" s="96"/>
      <c r="K840" s="76"/>
      <c r="L840" s="76"/>
      <c r="M840" s="76"/>
      <c r="N840" s="76"/>
      <c r="O840" s="76"/>
      <c r="P840" s="76"/>
      <c r="Q840" s="76"/>
      <c r="R840" s="76"/>
      <c r="S840" s="76"/>
      <c r="T840" s="76"/>
      <c r="U840" s="97">
        <v>3.6549999999999998</v>
      </c>
      <c r="V840" s="97">
        <v>3.6549999999999998</v>
      </c>
      <c r="W840" s="97">
        <v>3.6549999999999998</v>
      </c>
      <c r="X840" s="97">
        <v>3.6549999999999998</v>
      </c>
      <c r="Y840" s="97">
        <v>3.6549999999999998</v>
      </c>
      <c r="Z840" s="97">
        <v>3.6549999999999998</v>
      </c>
      <c r="AA840" s="97">
        <v>3.6549999999999998</v>
      </c>
      <c r="AB840" s="97">
        <v>1.4500000000000002</v>
      </c>
      <c r="AC840" s="97">
        <v>1.4500000000000002</v>
      </c>
      <c r="AD840" s="97">
        <v>1.4500000000000002</v>
      </c>
      <c r="AE840" s="97">
        <v>1.4500000000000002</v>
      </c>
      <c r="AF840" s="76"/>
      <c r="AG840" s="97" t="s">
        <v>1493</v>
      </c>
      <c r="AH840" s="76"/>
      <c r="AI840" s="97">
        <v>1</v>
      </c>
      <c r="AJ840" s="97">
        <v>1</v>
      </c>
      <c r="AK840" s="73"/>
      <c r="AL840" s="57"/>
      <c r="AM840" s="45"/>
      <c r="AN840" s="45"/>
      <c r="AO840" s="45"/>
    </row>
    <row r="841" spans="1:41" hidden="1" outlineLevel="2" x14ac:dyDescent="0.25">
      <c r="A841" s="45"/>
      <c r="B841" s="54"/>
      <c r="C841" s="47">
        <f t="shared" si="250"/>
        <v>3</v>
      </c>
      <c r="D841" s="73"/>
      <c r="E841" s="70" t="s">
        <v>1494</v>
      </c>
      <c r="F841" s="70" t="s">
        <v>1495</v>
      </c>
      <c r="G841" s="73"/>
      <c r="H841" s="76" t="s">
        <v>1496</v>
      </c>
      <c r="I841" s="96" t="s">
        <v>497</v>
      </c>
      <c r="J841" s="96"/>
      <c r="K841" s="76"/>
      <c r="L841" s="76"/>
      <c r="M841" s="76"/>
      <c r="N841" s="76"/>
      <c r="O841" s="76"/>
      <c r="P841" s="76"/>
      <c r="Q841" s="76"/>
      <c r="R841" s="76"/>
      <c r="S841" s="76"/>
      <c r="T841" s="76"/>
      <c r="U841" s="76">
        <v>-0.99</v>
      </c>
      <c r="V841" s="76">
        <v>-0.99</v>
      </c>
      <c r="W841" s="76">
        <v>-0.99</v>
      </c>
      <c r="X841" s="76">
        <v>-0.99</v>
      </c>
      <c r="Y841" s="76">
        <v>-0.99</v>
      </c>
      <c r="Z841" s="76">
        <v>-0.99</v>
      </c>
      <c r="AA841" s="76">
        <v>-0.99</v>
      </c>
      <c r="AB841" s="76">
        <v>-0.99</v>
      </c>
      <c r="AC841" s="76">
        <v>-0.99</v>
      </c>
      <c r="AD841" s="76">
        <v>-0.99</v>
      </c>
      <c r="AE841" s="76">
        <v>-0.99</v>
      </c>
      <c r="AF841" s="76"/>
      <c r="AG841" s="264" t="s">
        <v>1475</v>
      </c>
      <c r="AH841" s="76"/>
      <c r="AI841" s="76">
        <v>1</v>
      </c>
      <c r="AJ841" s="76">
        <v>1</v>
      </c>
      <c r="AK841" s="73"/>
      <c r="AL841" s="57"/>
      <c r="AM841" s="45"/>
      <c r="AN841" s="45"/>
      <c r="AO841" s="45"/>
    </row>
    <row r="842" spans="1:41" hidden="1" outlineLevel="2" x14ac:dyDescent="0.25">
      <c r="A842" s="45"/>
      <c r="B842" s="54"/>
      <c r="C842" s="47">
        <f t="shared" si="250"/>
        <v>3</v>
      </c>
      <c r="D842" s="73"/>
      <c r="E842" s="70"/>
      <c r="F842" s="70" t="s">
        <v>1497</v>
      </c>
      <c r="G842" s="73"/>
      <c r="H842" s="76" t="s">
        <v>1487</v>
      </c>
      <c r="I842" s="96" t="s">
        <v>497</v>
      </c>
      <c r="J842" s="96"/>
      <c r="K842" s="76"/>
      <c r="L842" s="76"/>
      <c r="M842" s="97">
        <v>1</v>
      </c>
      <c r="N842" s="97">
        <v>1</v>
      </c>
      <c r="O842" s="97">
        <v>1</v>
      </c>
      <c r="P842" s="97">
        <v>1</v>
      </c>
      <c r="Q842" s="76"/>
      <c r="R842" s="76"/>
      <c r="S842" s="97" t="s">
        <v>1488</v>
      </c>
      <c r="T842" s="76"/>
      <c r="U842" s="97">
        <v>1.81</v>
      </c>
      <c r="V842" s="97">
        <v>1.81</v>
      </c>
      <c r="W842" s="97">
        <v>1.81</v>
      </c>
      <c r="X842" s="97">
        <v>1.81</v>
      </c>
      <c r="Y842" s="97">
        <v>1.81</v>
      </c>
      <c r="Z842" s="97">
        <v>1.81</v>
      </c>
      <c r="AA842" s="97">
        <v>1.81</v>
      </c>
      <c r="AB842" s="97">
        <v>3.3149999999999999</v>
      </c>
      <c r="AC842" s="97">
        <v>3.3149999999999999</v>
      </c>
      <c r="AD842" s="97">
        <v>3.3149999999999999</v>
      </c>
      <c r="AE842" s="97">
        <v>3.3149999999999999</v>
      </c>
      <c r="AF842" s="76"/>
      <c r="AG842" s="97" t="s">
        <v>1493</v>
      </c>
      <c r="AH842" s="76"/>
      <c r="AI842" s="97">
        <v>1</v>
      </c>
      <c r="AJ842" s="97">
        <v>1</v>
      </c>
      <c r="AK842" s="73"/>
      <c r="AL842" s="57"/>
      <c r="AM842" s="45"/>
      <c r="AN842" s="45"/>
      <c r="AO842" s="45"/>
    </row>
    <row r="843" spans="1:41" hidden="1" outlineLevel="2" x14ac:dyDescent="0.25">
      <c r="A843" s="45"/>
      <c r="B843" s="54"/>
      <c r="C843" s="47">
        <f t="shared" si="250"/>
        <v>3</v>
      </c>
      <c r="D843" s="73"/>
      <c r="E843" s="70"/>
      <c r="F843" s="70" t="s">
        <v>1498</v>
      </c>
      <c r="G843" s="73"/>
      <c r="H843" s="76" t="s">
        <v>1490</v>
      </c>
      <c r="I843" s="96" t="s">
        <v>497</v>
      </c>
      <c r="J843" s="96"/>
      <c r="K843" s="76"/>
      <c r="L843" s="76"/>
      <c r="M843" s="76"/>
      <c r="N843" s="76"/>
      <c r="O843" s="76"/>
      <c r="P843" s="76"/>
      <c r="Q843" s="76"/>
      <c r="R843" s="76"/>
      <c r="S843" s="76"/>
      <c r="T843" s="76"/>
      <c r="U843" s="97">
        <v>2.66</v>
      </c>
      <c r="V843" s="97">
        <v>2.66</v>
      </c>
      <c r="W843" s="97">
        <v>2.66</v>
      </c>
      <c r="X843" s="97">
        <v>2.66</v>
      </c>
      <c r="Y843" s="97">
        <v>2.66</v>
      </c>
      <c r="Z843" s="97">
        <v>2.66</v>
      </c>
      <c r="AA843" s="97">
        <v>2.66</v>
      </c>
      <c r="AB843" s="97">
        <v>4.4850000000000003</v>
      </c>
      <c r="AC843" s="97">
        <v>4.4850000000000003</v>
      </c>
      <c r="AD843" s="97">
        <v>4.4850000000000003</v>
      </c>
      <c r="AE843" s="97">
        <v>4.4850000000000003</v>
      </c>
      <c r="AF843" s="76"/>
      <c r="AG843" s="97" t="s">
        <v>1493</v>
      </c>
      <c r="AH843" s="76"/>
      <c r="AI843" s="97">
        <v>1</v>
      </c>
      <c r="AJ843" s="97">
        <v>1</v>
      </c>
      <c r="AK843" s="73"/>
      <c r="AL843" s="57"/>
      <c r="AM843" s="45"/>
      <c r="AN843" s="45"/>
      <c r="AO843" s="45"/>
    </row>
    <row r="844" spans="1:41" hidden="1" outlineLevel="2" x14ac:dyDescent="0.25">
      <c r="A844" s="45"/>
      <c r="B844" s="54"/>
      <c r="C844" s="47">
        <f t="shared" si="250"/>
        <v>3</v>
      </c>
      <c r="D844" s="73"/>
      <c r="E844" s="70"/>
      <c r="F844" s="70" t="s">
        <v>1499</v>
      </c>
      <c r="G844" s="73"/>
      <c r="H844" s="76" t="s">
        <v>1492</v>
      </c>
      <c r="I844" s="96" t="s">
        <v>497</v>
      </c>
      <c r="J844" s="96"/>
      <c r="K844" s="76"/>
      <c r="L844" s="76"/>
      <c r="M844" s="76"/>
      <c r="N844" s="76"/>
      <c r="O844" s="76"/>
      <c r="P844" s="76"/>
      <c r="Q844" s="76"/>
      <c r="R844" s="76"/>
      <c r="S844" s="76"/>
      <c r="T844" s="76"/>
      <c r="U844" s="97">
        <v>6.3449999999999998</v>
      </c>
      <c r="V844" s="97">
        <v>6.3449999999999998</v>
      </c>
      <c r="W844" s="97">
        <v>6.3449999999999998</v>
      </c>
      <c r="X844" s="97">
        <v>6.3449999999999998</v>
      </c>
      <c r="Y844" s="97">
        <v>6.3449999999999998</v>
      </c>
      <c r="Z844" s="97">
        <v>6.3449999999999998</v>
      </c>
      <c r="AA844" s="97">
        <v>6.3449999999999998</v>
      </c>
      <c r="AB844" s="97">
        <v>8.5500000000000007</v>
      </c>
      <c r="AC844" s="97">
        <v>8.5500000000000007</v>
      </c>
      <c r="AD844" s="97">
        <v>8.5500000000000007</v>
      </c>
      <c r="AE844" s="97">
        <v>8.5500000000000007</v>
      </c>
      <c r="AF844" s="76"/>
      <c r="AG844" s="97" t="s">
        <v>1493</v>
      </c>
      <c r="AH844" s="76"/>
      <c r="AI844" s="97">
        <v>1</v>
      </c>
      <c r="AJ844" s="97">
        <v>1</v>
      </c>
      <c r="AK844" s="73"/>
      <c r="AL844" s="57"/>
      <c r="AM844" s="45"/>
      <c r="AN844" s="45"/>
      <c r="AO844" s="45"/>
    </row>
    <row r="845" spans="1:41" hidden="1" outlineLevel="2" x14ac:dyDescent="0.25">
      <c r="A845" s="45"/>
      <c r="B845" s="54"/>
      <c r="C845" s="47">
        <f t="shared" si="250"/>
        <v>3</v>
      </c>
      <c r="D845" s="73"/>
      <c r="E845" s="70" t="s">
        <v>1500</v>
      </c>
      <c r="F845" s="70" t="s">
        <v>1501</v>
      </c>
      <c r="G845" s="73"/>
      <c r="H845" s="76" t="s">
        <v>1502</v>
      </c>
      <c r="I845" s="96"/>
      <c r="J845" s="96"/>
      <c r="K845" s="76"/>
      <c r="L845" s="76"/>
      <c r="M845" s="76"/>
      <c r="N845" s="76"/>
      <c r="O845" s="76"/>
      <c r="P845" s="76"/>
      <c r="Q845" s="76"/>
      <c r="R845" s="76"/>
      <c r="S845" s="76"/>
      <c r="T845" s="76"/>
      <c r="U845" s="76">
        <v>1</v>
      </c>
      <c r="V845" s="76">
        <v>1</v>
      </c>
      <c r="W845" s="76">
        <v>1</v>
      </c>
      <c r="X845" s="76">
        <v>1</v>
      </c>
      <c r="Y845" s="76">
        <v>1</v>
      </c>
      <c r="Z845" s="76">
        <v>1</v>
      </c>
      <c r="AA845" s="76">
        <v>1</v>
      </c>
      <c r="AB845" s="76">
        <v>1</v>
      </c>
      <c r="AC845" s="76">
        <v>1</v>
      </c>
      <c r="AD845" s="76">
        <v>1</v>
      </c>
      <c r="AE845" s="76">
        <v>1</v>
      </c>
      <c r="AF845" s="76"/>
      <c r="AG845" s="264" t="s">
        <v>1503</v>
      </c>
      <c r="AH845" s="76"/>
      <c r="AI845" s="76">
        <v>1</v>
      </c>
      <c r="AJ845" s="76">
        <v>1</v>
      </c>
      <c r="AK845" s="73"/>
      <c r="AL845" s="57"/>
      <c r="AM845" s="45"/>
      <c r="AN845" s="45"/>
      <c r="AO845" s="45"/>
    </row>
    <row r="846" spans="1:41" hidden="1" outlineLevel="2" x14ac:dyDescent="0.25">
      <c r="A846" s="45"/>
      <c r="B846" s="54"/>
      <c r="C846" s="47">
        <f t="shared" si="250"/>
        <v>3</v>
      </c>
      <c r="D846" s="73"/>
      <c r="E846" s="70"/>
      <c r="F846" s="70" t="s">
        <v>1504</v>
      </c>
      <c r="G846" s="73"/>
      <c r="H846" s="76" t="s">
        <v>1505</v>
      </c>
      <c r="I846" s="96"/>
      <c r="J846" s="96"/>
      <c r="K846" s="76"/>
      <c r="L846" s="76"/>
      <c r="M846" s="76"/>
      <c r="N846" s="76"/>
      <c r="O846" s="76"/>
      <c r="P846" s="76"/>
      <c r="Q846" s="76"/>
      <c r="R846" s="76"/>
      <c r="S846" s="76"/>
      <c r="T846" s="76"/>
      <c r="U846" s="76">
        <v>1</v>
      </c>
      <c r="V846" s="76">
        <v>1</v>
      </c>
      <c r="W846" s="76">
        <v>1</v>
      </c>
      <c r="X846" s="76">
        <v>1</v>
      </c>
      <c r="Y846" s="76">
        <v>1</v>
      </c>
      <c r="Z846" s="76">
        <v>1</v>
      </c>
      <c r="AA846" s="76">
        <v>1</v>
      </c>
      <c r="AB846" s="76">
        <v>1</v>
      </c>
      <c r="AC846" s="76">
        <v>1</v>
      </c>
      <c r="AD846" s="76">
        <v>1</v>
      </c>
      <c r="AE846" s="76">
        <v>1</v>
      </c>
      <c r="AF846" s="76"/>
      <c r="AG846" s="264" t="s">
        <v>1503</v>
      </c>
      <c r="AH846" s="76"/>
      <c r="AI846" s="97">
        <v>1</v>
      </c>
      <c r="AJ846" s="97">
        <v>1</v>
      </c>
      <c r="AK846" s="73"/>
      <c r="AL846" s="57"/>
      <c r="AM846" s="45"/>
      <c r="AN846" s="45"/>
      <c r="AO846" s="45"/>
    </row>
    <row r="847" spans="1:41" hidden="1" outlineLevel="2" x14ac:dyDescent="0.25">
      <c r="A847" s="45"/>
      <c r="B847" s="54"/>
      <c r="C847" s="47">
        <f t="shared" si="250"/>
        <v>3</v>
      </c>
      <c r="D847" s="73"/>
      <c r="E847" s="70"/>
      <c r="F847" s="70" t="s">
        <v>1506</v>
      </c>
      <c r="G847" s="73"/>
      <c r="H847" s="76" t="s">
        <v>1507</v>
      </c>
      <c r="I847" s="96" t="s">
        <v>1508</v>
      </c>
      <c r="J847" s="96"/>
      <c r="K847" s="76"/>
      <c r="L847" s="76"/>
      <c r="M847" s="76"/>
      <c r="N847" s="76"/>
      <c r="O847" s="76"/>
      <c r="P847" s="76"/>
      <c r="Q847" s="76"/>
      <c r="R847" s="76"/>
      <c r="S847" s="76"/>
      <c r="T847" s="76"/>
      <c r="U847" s="97">
        <f t="shared" ref="U847:AE848" si="255">0.2-(0.2944/2)</f>
        <v>5.2800000000000014E-2</v>
      </c>
      <c r="V847" s="97">
        <f t="shared" si="255"/>
        <v>5.2800000000000014E-2</v>
      </c>
      <c r="W847" s="97">
        <f t="shared" si="255"/>
        <v>5.2800000000000014E-2</v>
      </c>
      <c r="X847" s="97">
        <f t="shared" si="255"/>
        <v>5.2800000000000014E-2</v>
      </c>
      <c r="Y847" s="97">
        <f t="shared" si="255"/>
        <v>5.2800000000000014E-2</v>
      </c>
      <c r="Z847" s="97">
        <f t="shared" si="255"/>
        <v>5.2800000000000014E-2</v>
      </c>
      <c r="AA847" s="97">
        <f t="shared" si="255"/>
        <v>5.2800000000000014E-2</v>
      </c>
      <c r="AB847" s="97">
        <f t="shared" si="255"/>
        <v>5.2800000000000014E-2</v>
      </c>
      <c r="AC847" s="97">
        <f t="shared" si="255"/>
        <v>5.2800000000000014E-2</v>
      </c>
      <c r="AD847" s="97">
        <f t="shared" si="255"/>
        <v>5.2800000000000014E-2</v>
      </c>
      <c r="AE847" s="97">
        <f t="shared" si="255"/>
        <v>5.2800000000000014E-2</v>
      </c>
      <c r="AF847" s="76"/>
      <c r="AG847" s="97" t="s">
        <v>1509</v>
      </c>
      <c r="AH847" s="76"/>
      <c r="AI847" s="97">
        <v>1</v>
      </c>
      <c r="AJ847" s="97">
        <v>1</v>
      </c>
      <c r="AK847" s="73"/>
      <c r="AL847" s="57"/>
      <c r="AM847" s="45"/>
      <c r="AN847" s="45"/>
      <c r="AO847" s="45"/>
    </row>
    <row r="848" spans="1:41" hidden="1" outlineLevel="2" x14ac:dyDescent="0.25">
      <c r="A848" s="45"/>
      <c r="B848" s="54"/>
      <c r="C848" s="47">
        <f t="shared" si="250"/>
        <v>3</v>
      </c>
      <c r="D848" s="73"/>
      <c r="E848" s="70"/>
      <c r="F848" s="70" t="s">
        <v>1510</v>
      </c>
      <c r="G848" s="73"/>
      <c r="H848" s="76" t="s">
        <v>1511</v>
      </c>
      <c r="I848" s="96" t="s">
        <v>1508</v>
      </c>
      <c r="J848" s="96"/>
      <c r="K848" s="76"/>
      <c r="L848" s="76"/>
      <c r="M848" s="76"/>
      <c r="N848" s="76"/>
      <c r="O848" s="76"/>
      <c r="P848" s="76"/>
      <c r="Q848" s="76"/>
      <c r="R848" s="76"/>
      <c r="S848" s="76"/>
      <c r="T848" s="76"/>
      <c r="U848" s="97">
        <f t="shared" si="255"/>
        <v>5.2800000000000014E-2</v>
      </c>
      <c r="V848" s="97">
        <f t="shared" si="255"/>
        <v>5.2800000000000014E-2</v>
      </c>
      <c r="W848" s="97">
        <f t="shared" si="255"/>
        <v>5.2800000000000014E-2</v>
      </c>
      <c r="X848" s="97">
        <f t="shared" si="255"/>
        <v>5.2800000000000014E-2</v>
      </c>
      <c r="Y848" s="97">
        <f t="shared" si="255"/>
        <v>5.2800000000000014E-2</v>
      </c>
      <c r="Z848" s="97">
        <f t="shared" si="255"/>
        <v>5.2800000000000014E-2</v>
      </c>
      <c r="AA848" s="97">
        <f t="shared" si="255"/>
        <v>5.2800000000000014E-2</v>
      </c>
      <c r="AB848" s="97">
        <f t="shared" si="255"/>
        <v>5.2800000000000014E-2</v>
      </c>
      <c r="AC848" s="97">
        <f t="shared" si="255"/>
        <v>5.2800000000000014E-2</v>
      </c>
      <c r="AD848" s="97">
        <f t="shared" si="255"/>
        <v>5.2800000000000014E-2</v>
      </c>
      <c r="AE848" s="97">
        <f t="shared" si="255"/>
        <v>5.2800000000000014E-2</v>
      </c>
      <c r="AF848" s="76"/>
      <c r="AG848" s="97" t="s">
        <v>1512</v>
      </c>
      <c r="AH848" s="76"/>
      <c r="AI848" s="97">
        <v>1</v>
      </c>
      <c r="AJ848" s="97">
        <v>1</v>
      </c>
      <c r="AK848" s="73"/>
      <c r="AL848" s="57"/>
      <c r="AM848" s="45"/>
      <c r="AN848" s="45"/>
      <c r="AO848" s="45"/>
    </row>
    <row r="849" spans="1:41" hidden="1" outlineLevel="2" x14ac:dyDescent="0.25">
      <c r="A849" s="45"/>
      <c r="B849" s="54"/>
      <c r="C849" s="47">
        <f t="shared" si="250"/>
        <v>3</v>
      </c>
      <c r="D849" s="73"/>
      <c r="E849" s="70" t="s">
        <v>1513</v>
      </c>
      <c r="F849" s="70" t="s">
        <v>1514</v>
      </c>
      <c r="G849" s="73"/>
      <c r="H849" s="76" t="s">
        <v>1515</v>
      </c>
      <c r="I849" s="96"/>
      <c r="J849" s="96"/>
      <c r="K849" s="76"/>
      <c r="L849" s="76"/>
      <c r="M849" s="76"/>
      <c r="N849" s="76"/>
      <c r="O849" s="76"/>
      <c r="P849" s="76"/>
      <c r="Q849" s="76"/>
      <c r="R849" s="76"/>
      <c r="S849" s="76"/>
      <c r="T849" s="76"/>
      <c r="U849" s="76">
        <v>1.1000000000000001</v>
      </c>
      <c r="V849" s="76">
        <v>1.1000000000000001</v>
      </c>
      <c r="W849" s="76">
        <v>1.1000000000000001</v>
      </c>
      <c r="X849" s="76">
        <v>1.1000000000000001</v>
      </c>
      <c r="Y849" s="76">
        <v>1.1000000000000001</v>
      </c>
      <c r="Z849" s="76">
        <v>1.1000000000000001</v>
      </c>
      <c r="AA849" s="76">
        <v>1.1000000000000001</v>
      </c>
      <c r="AB849" s="76">
        <v>1.1000000000000001</v>
      </c>
      <c r="AC849" s="76">
        <v>1.1000000000000001</v>
      </c>
      <c r="AD849" s="76">
        <v>1.1000000000000001</v>
      </c>
      <c r="AE849" s="76">
        <v>1.1000000000000001</v>
      </c>
      <c r="AF849" s="76"/>
      <c r="AG849" s="264" t="s">
        <v>1503</v>
      </c>
      <c r="AH849" s="76"/>
      <c r="AI849" s="76">
        <v>1</v>
      </c>
      <c r="AJ849" s="76">
        <v>1</v>
      </c>
      <c r="AK849" s="73"/>
      <c r="AL849" s="57"/>
      <c r="AM849" s="45"/>
      <c r="AN849" s="45"/>
      <c r="AO849" s="45"/>
    </row>
    <row r="850" spans="1:41" hidden="1" outlineLevel="2" x14ac:dyDescent="0.25">
      <c r="A850" s="45"/>
      <c r="B850" s="54"/>
      <c r="C850" s="47">
        <f t="shared" si="250"/>
        <v>3</v>
      </c>
      <c r="D850" s="73"/>
      <c r="E850" s="70"/>
      <c r="F850" s="70" t="s">
        <v>1516</v>
      </c>
      <c r="G850" s="73"/>
      <c r="H850" s="76" t="s">
        <v>1505</v>
      </c>
      <c r="I850" s="96"/>
      <c r="J850" s="96"/>
      <c r="K850" s="76"/>
      <c r="L850" s="76"/>
      <c r="M850" s="76"/>
      <c r="N850" s="76"/>
      <c r="O850" s="76"/>
      <c r="P850" s="76"/>
      <c r="Q850" s="76"/>
      <c r="R850" s="76"/>
      <c r="S850" s="76"/>
      <c r="T850" s="76"/>
      <c r="U850" s="76">
        <v>1.1000000000000001</v>
      </c>
      <c r="V850" s="76">
        <v>1.1000000000000001</v>
      </c>
      <c r="W850" s="76">
        <v>1.1000000000000001</v>
      </c>
      <c r="X850" s="76">
        <v>1.1000000000000001</v>
      </c>
      <c r="Y850" s="76">
        <v>1.1000000000000001</v>
      </c>
      <c r="Z850" s="76">
        <v>1.1000000000000001</v>
      </c>
      <c r="AA850" s="76">
        <v>1.1000000000000001</v>
      </c>
      <c r="AB850" s="76">
        <v>1.1000000000000001</v>
      </c>
      <c r="AC850" s="76">
        <v>1.1000000000000001</v>
      </c>
      <c r="AD850" s="76">
        <v>1.1000000000000001</v>
      </c>
      <c r="AE850" s="76">
        <v>1.1000000000000001</v>
      </c>
      <c r="AF850" s="76"/>
      <c r="AG850" s="264" t="s">
        <v>1503</v>
      </c>
      <c r="AH850" s="76"/>
      <c r="AI850" s="97">
        <v>1</v>
      </c>
      <c r="AJ850" s="97">
        <v>1</v>
      </c>
      <c r="AK850" s="73"/>
      <c r="AL850" s="57"/>
      <c r="AM850" s="45"/>
      <c r="AN850" s="45"/>
      <c r="AO850" s="45"/>
    </row>
    <row r="851" spans="1:41" hidden="1" outlineLevel="2" x14ac:dyDescent="0.25">
      <c r="A851" s="45"/>
      <c r="B851" s="54"/>
      <c r="C851" s="47">
        <f t="shared" si="250"/>
        <v>3</v>
      </c>
      <c r="D851" s="73"/>
      <c r="E851" s="70"/>
      <c r="F851" s="70" t="s">
        <v>1517</v>
      </c>
      <c r="G851" s="73"/>
      <c r="H851" s="76" t="s">
        <v>1507</v>
      </c>
      <c r="I851" s="96" t="s">
        <v>1508</v>
      </c>
      <c r="J851" s="96"/>
      <c r="K851" s="76"/>
      <c r="L851" s="76"/>
      <c r="M851" s="76"/>
      <c r="N851" s="76"/>
      <c r="O851" s="76"/>
      <c r="P851" s="76"/>
      <c r="Q851" s="76"/>
      <c r="R851" s="76"/>
      <c r="S851" s="76"/>
      <c r="T851" s="76"/>
      <c r="U851" s="97">
        <f t="shared" ref="U851:AE852" si="256">0.2+(0.2944/2)</f>
        <v>0.34720000000000001</v>
      </c>
      <c r="V851" s="97">
        <f t="shared" si="256"/>
        <v>0.34720000000000001</v>
      </c>
      <c r="W851" s="97">
        <f t="shared" si="256"/>
        <v>0.34720000000000001</v>
      </c>
      <c r="X851" s="97">
        <f t="shared" si="256"/>
        <v>0.34720000000000001</v>
      </c>
      <c r="Y851" s="97">
        <f t="shared" si="256"/>
        <v>0.34720000000000001</v>
      </c>
      <c r="Z851" s="97">
        <f t="shared" si="256"/>
        <v>0.34720000000000001</v>
      </c>
      <c r="AA851" s="97">
        <f t="shared" si="256"/>
        <v>0.34720000000000001</v>
      </c>
      <c r="AB851" s="97">
        <f t="shared" si="256"/>
        <v>0.34720000000000001</v>
      </c>
      <c r="AC851" s="97">
        <f t="shared" si="256"/>
        <v>0.34720000000000001</v>
      </c>
      <c r="AD851" s="97">
        <f t="shared" si="256"/>
        <v>0.34720000000000001</v>
      </c>
      <c r="AE851" s="97">
        <f t="shared" si="256"/>
        <v>0.34720000000000001</v>
      </c>
      <c r="AF851" s="76"/>
      <c r="AG851" s="97" t="s">
        <v>2253</v>
      </c>
      <c r="AH851" s="76"/>
      <c r="AI851" s="97">
        <v>1</v>
      </c>
      <c r="AJ851" s="97">
        <v>1</v>
      </c>
      <c r="AK851" s="73"/>
      <c r="AL851" s="57"/>
      <c r="AM851" s="45"/>
      <c r="AN851" s="45"/>
      <c r="AO851" s="45"/>
    </row>
    <row r="852" spans="1:41" hidden="1" outlineLevel="2" x14ac:dyDescent="0.25">
      <c r="A852" s="45"/>
      <c r="B852" s="54"/>
      <c r="C852" s="47">
        <f t="shared" si="250"/>
        <v>3</v>
      </c>
      <c r="D852" s="73"/>
      <c r="E852" s="70"/>
      <c r="F852" s="70" t="s">
        <v>1518</v>
      </c>
      <c r="G852" s="73"/>
      <c r="H852" s="76" t="s">
        <v>1511</v>
      </c>
      <c r="I852" s="96" t="s">
        <v>1508</v>
      </c>
      <c r="J852" s="96"/>
      <c r="K852" s="76"/>
      <c r="L852" s="76"/>
      <c r="M852" s="76"/>
      <c r="N852" s="76"/>
      <c r="O852" s="76"/>
      <c r="P852" s="76"/>
      <c r="Q852" s="76"/>
      <c r="R852" s="76"/>
      <c r="S852" s="76"/>
      <c r="T852" s="76"/>
      <c r="U852" s="97">
        <f t="shared" si="256"/>
        <v>0.34720000000000001</v>
      </c>
      <c r="V852" s="97">
        <f t="shared" si="256"/>
        <v>0.34720000000000001</v>
      </c>
      <c r="W852" s="97">
        <f t="shared" si="256"/>
        <v>0.34720000000000001</v>
      </c>
      <c r="X852" s="97">
        <f t="shared" si="256"/>
        <v>0.34720000000000001</v>
      </c>
      <c r="Y852" s="97">
        <f t="shared" si="256"/>
        <v>0.34720000000000001</v>
      </c>
      <c r="Z852" s="97">
        <f t="shared" si="256"/>
        <v>0.34720000000000001</v>
      </c>
      <c r="AA852" s="97">
        <f t="shared" si="256"/>
        <v>0.34720000000000001</v>
      </c>
      <c r="AB852" s="97">
        <f t="shared" si="256"/>
        <v>0.34720000000000001</v>
      </c>
      <c r="AC852" s="97">
        <f t="shared" si="256"/>
        <v>0.34720000000000001</v>
      </c>
      <c r="AD852" s="97">
        <f t="shared" si="256"/>
        <v>0.34720000000000001</v>
      </c>
      <c r="AE852" s="97">
        <f t="shared" si="256"/>
        <v>0.34720000000000001</v>
      </c>
      <c r="AF852" s="76"/>
      <c r="AG852" s="97" t="s">
        <v>2254</v>
      </c>
      <c r="AH852" s="76"/>
      <c r="AI852" s="97">
        <v>1</v>
      </c>
      <c r="AJ852" s="97">
        <v>1</v>
      </c>
      <c r="AK852" s="73"/>
      <c r="AL852" s="57"/>
      <c r="AM852" s="45"/>
      <c r="AN852" s="45"/>
      <c r="AO852" s="45"/>
    </row>
    <row r="853" spans="1:41" hidden="1" outlineLevel="2" x14ac:dyDescent="0.25">
      <c r="A853" s="45"/>
      <c r="B853" s="54"/>
      <c r="C853" s="47">
        <f t="shared" si="250"/>
        <v>3</v>
      </c>
      <c r="D853" s="73"/>
      <c r="E853" s="70" t="s">
        <v>1519</v>
      </c>
      <c r="F853" s="70" t="s">
        <v>1520</v>
      </c>
      <c r="G853" s="73"/>
      <c r="H853" s="76" t="s">
        <v>1521</v>
      </c>
      <c r="I853" s="96" t="s">
        <v>497</v>
      </c>
      <c r="J853" s="96"/>
      <c r="K853" s="76"/>
      <c r="L853" s="76"/>
      <c r="M853" s="76"/>
      <c r="N853" s="76"/>
      <c r="O853" s="76"/>
      <c r="P853" s="76"/>
      <c r="Q853" s="76"/>
      <c r="R853" s="76"/>
      <c r="S853" s="76"/>
      <c r="T853" s="76"/>
      <c r="U853" s="76">
        <v>10</v>
      </c>
      <c r="V853" s="76">
        <v>10</v>
      </c>
      <c r="W853" s="76">
        <v>10</v>
      </c>
      <c r="X853" s="76">
        <v>10</v>
      </c>
      <c r="Y853" s="76">
        <v>10</v>
      </c>
      <c r="Z853" s="76">
        <v>10</v>
      </c>
      <c r="AA853" s="76">
        <v>10</v>
      </c>
      <c r="AB853" s="76">
        <v>10</v>
      </c>
      <c r="AC853" s="76">
        <v>10</v>
      </c>
      <c r="AD853" s="76">
        <v>10</v>
      </c>
      <c r="AE853" s="76">
        <v>10</v>
      </c>
      <c r="AF853" s="76"/>
      <c r="AG853" s="264" t="s">
        <v>1503</v>
      </c>
      <c r="AH853" s="76"/>
      <c r="AI853" s="76">
        <v>1</v>
      </c>
      <c r="AJ853" s="76">
        <v>1</v>
      </c>
      <c r="AK853" s="73"/>
      <c r="AL853" s="57"/>
      <c r="AM853" s="45"/>
      <c r="AN853" s="45"/>
      <c r="AO853" s="45"/>
    </row>
    <row r="854" spans="1:41" hidden="1" outlineLevel="2" x14ac:dyDescent="0.25">
      <c r="A854" s="45"/>
      <c r="B854" s="54"/>
      <c r="C854" s="47">
        <f t="shared" si="250"/>
        <v>3</v>
      </c>
      <c r="D854" s="73"/>
      <c r="E854" s="70"/>
      <c r="F854" s="70" t="s">
        <v>1522</v>
      </c>
      <c r="G854" s="73"/>
      <c r="H854" s="76" t="s">
        <v>1505</v>
      </c>
      <c r="I854" s="96" t="s">
        <v>497</v>
      </c>
      <c r="J854" s="96"/>
      <c r="K854" s="76"/>
      <c r="L854" s="76"/>
      <c r="M854" s="76"/>
      <c r="N854" s="76"/>
      <c r="O854" s="76"/>
      <c r="P854" s="76"/>
      <c r="Q854" s="76"/>
      <c r="R854" s="76"/>
      <c r="S854" s="76"/>
      <c r="T854" s="76"/>
      <c r="U854" s="97">
        <v>1.1000000000000001</v>
      </c>
      <c r="V854" s="97">
        <v>1.1000000000000001</v>
      </c>
      <c r="W854" s="97">
        <v>1.1000000000000001</v>
      </c>
      <c r="X854" s="97">
        <v>1.1000000000000001</v>
      </c>
      <c r="Y854" s="97">
        <v>1.1000000000000001</v>
      </c>
      <c r="Z854" s="97">
        <v>1.1000000000000001</v>
      </c>
      <c r="AA854" s="97">
        <v>1.1000000000000001</v>
      </c>
      <c r="AB854" s="97">
        <v>1.1000000000000001</v>
      </c>
      <c r="AC854" s="97">
        <v>1.1000000000000001</v>
      </c>
      <c r="AD854" s="97">
        <v>1.1000000000000001</v>
      </c>
      <c r="AE854" s="97">
        <v>1.1000000000000001</v>
      </c>
      <c r="AF854" s="76"/>
      <c r="AG854" s="97" t="s">
        <v>3803</v>
      </c>
      <c r="AH854" s="76"/>
      <c r="AI854" s="97">
        <v>1</v>
      </c>
      <c r="AJ854" s="97">
        <v>1</v>
      </c>
      <c r="AK854" s="73"/>
      <c r="AL854" s="57"/>
      <c r="AM854" s="45"/>
      <c r="AN854" s="45"/>
      <c r="AO854" s="45"/>
    </row>
    <row r="855" spans="1:41" hidden="1" outlineLevel="2" x14ac:dyDescent="0.25">
      <c r="A855" s="45"/>
      <c r="B855" s="54"/>
      <c r="C855" s="47">
        <f t="shared" si="250"/>
        <v>3</v>
      </c>
      <c r="D855" s="73"/>
      <c r="E855" s="70"/>
      <c r="F855" s="70" t="s">
        <v>1523</v>
      </c>
      <c r="G855" s="73"/>
      <c r="H855" s="76" t="s">
        <v>1507</v>
      </c>
      <c r="I855" s="96" t="s">
        <v>497</v>
      </c>
      <c r="J855" s="96"/>
      <c r="K855" s="76"/>
      <c r="L855" s="76"/>
      <c r="M855" s="76"/>
      <c r="N855" s="76"/>
      <c r="O855" s="76"/>
      <c r="P855" s="76"/>
      <c r="Q855" s="76"/>
      <c r="R855" s="76"/>
      <c r="S855" s="76"/>
      <c r="T855" s="76"/>
      <c r="U855" s="97">
        <v>1.1000000000000001</v>
      </c>
      <c r="V855" s="97">
        <v>1.1000000000000001</v>
      </c>
      <c r="W855" s="97">
        <v>1.1000000000000001</v>
      </c>
      <c r="X855" s="97">
        <v>1.1000000000000001</v>
      </c>
      <c r="Y855" s="97">
        <v>1.1000000000000001</v>
      </c>
      <c r="Z855" s="97">
        <v>1.1000000000000001</v>
      </c>
      <c r="AA855" s="97">
        <v>1.1000000000000001</v>
      </c>
      <c r="AB855" s="97">
        <v>1.1000000000000001</v>
      </c>
      <c r="AC855" s="97">
        <v>1.1000000000000001</v>
      </c>
      <c r="AD855" s="97">
        <v>1.1000000000000001</v>
      </c>
      <c r="AE855" s="97">
        <v>1.1000000000000001</v>
      </c>
      <c r="AF855" s="76"/>
      <c r="AG855" s="97" t="s">
        <v>3803</v>
      </c>
      <c r="AH855" s="76"/>
      <c r="AI855" s="97">
        <v>1</v>
      </c>
      <c r="AJ855" s="97">
        <v>1</v>
      </c>
      <c r="AK855" s="73"/>
      <c r="AL855" s="57"/>
      <c r="AM855" s="45"/>
      <c r="AN855" s="45"/>
      <c r="AO855" s="45"/>
    </row>
    <row r="856" spans="1:41" hidden="1" outlineLevel="2" x14ac:dyDescent="0.25">
      <c r="A856" s="45"/>
      <c r="B856" s="54"/>
      <c r="C856" s="47">
        <f t="shared" si="250"/>
        <v>3</v>
      </c>
      <c r="D856" s="73"/>
      <c r="E856" s="70"/>
      <c r="F856" s="70" t="s">
        <v>1524</v>
      </c>
      <c r="G856" s="73"/>
      <c r="H856" s="76" t="s">
        <v>1511</v>
      </c>
      <c r="I856" s="96" t="s">
        <v>497</v>
      </c>
      <c r="J856" s="96"/>
      <c r="K856" s="76"/>
      <c r="L856" s="76"/>
      <c r="M856" s="76"/>
      <c r="N856" s="76"/>
      <c r="O856" s="76"/>
      <c r="P856" s="76"/>
      <c r="Q856" s="76"/>
      <c r="R856" s="76"/>
      <c r="S856" s="76"/>
      <c r="T856" s="76"/>
      <c r="U856" s="97">
        <v>1.1000000000000001</v>
      </c>
      <c r="V856" s="97">
        <v>1.1000000000000001</v>
      </c>
      <c r="W856" s="97">
        <v>1.1000000000000001</v>
      </c>
      <c r="X856" s="97">
        <v>1.1000000000000001</v>
      </c>
      <c r="Y856" s="97">
        <v>1.1000000000000001</v>
      </c>
      <c r="Z856" s="97">
        <v>1.1000000000000001</v>
      </c>
      <c r="AA856" s="97">
        <v>1.1000000000000001</v>
      </c>
      <c r="AB856" s="97">
        <v>1.1000000000000001</v>
      </c>
      <c r="AC856" s="97">
        <v>1.1000000000000001</v>
      </c>
      <c r="AD856" s="97">
        <v>1.1000000000000001</v>
      </c>
      <c r="AE856" s="97">
        <v>1.1000000000000001</v>
      </c>
      <c r="AF856" s="76"/>
      <c r="AG856" s="97" t="s">
        <v>3803</v>
      </c>
      <c r="AH856" s="76"/>
      <c r="AI856" s="97">
        <v>1</v>
      </c>
      <c r="AJ856" s="97">
        <v>1</v>
      </c>
      <c r="AK856" s="73"/>
      <c r="AL856" s="57"/>
      <c r="AM856" s="45"/>
      <c r="AN856" s="45"/>
      <c r="AO856" s="45"/>
    </row>
    <row r="857" spans="1:41" hidden="1" outlineLevel="2" x14ac:dyDescent="0.25">
      <c r="A857" s="45"/>
      <c r="B857" s="54"/>
      <c r="C857" s="47">
        <f t="shared" si="250"/>
        <v>3</v>
      </c>
      <c r="D857" s="73"/>
      <c r="E857" s="70" t="s">
        <v>1525</v>
      </c>
      <c r="F857" s="70" t="s">
        <v>1526</v>
      </c>
      <c r="G857" s="73"/>
      <c r="H857" s="76" t="s">
        <v>1515</v>
      </c>
      <c r="I857" s="96" t="s">
        <v>497</v>
      </c>
      <c r="J857" s="96"/>
      <c r="K857" s="76"/>
      <c r="L857" s="76"/>
      <c r="M857" s="76"/>
      <c r="N857" s="76"/>
      <c r="O857" s="76"/>
      <c r="P857" s="76"/>
      <c r="Q857" s="76"/>
      <c r="R857" s="76"/>
      <c r="S857" s="76"/>
      <c r="T857" s="76"/>
      <c r="U857" s="76">
        <v>11</v>
      </c>
      <c r="V857" s="76">
        <v>11</v>
      </c>
      <c r="W857" s="76">
        <v>11</v>
      </c>
      <c r="X857" s="76">
        <v>11</v>
      </c>
      <c r="Y857" s="76">
        <v>11</v>
      </c>
      <c r="Z857" s="76">
        <v>11</v>
      </c>
      <c r="AA857" s="76">
        <v>11</v>
      </c>
      <c r="AB857" s="76">
        <v>11</v>
      </c>
      <c r="AC857" s="76">
        <v>11</v>
      </c>
      <c r="AD857" s="76">
        <v>11</v>
      </c>
      <c r="AE857" s="76">
        <v>11</v>
      </c>
      <c r="AF857" s="76"/>
      <c r="AG857" s="264" t="s">
        <v>1503</v>
      </c>
      <c r="AH857" s="76"/>
      <c r="AI857" s="76">
        <v>1</v>
      </c>
      <c r="AJ857" s="76">
        <v>1</v>
      </c>
      <c r="AK857" s="73"/>
      <c r="AL857" s="57"/>
      <c r="AM857" s="45"/>
      <c r="AN857" s="45"/>
      <c r="AO857" s="45"/>
    </row>
    <row r="858" spans="1:41" hidden="1" outlineLevel="2" x14ac:dyDescent="0.25">
      <c r="A858" s="45"/>
      <c r="B858" s="54"/>
      <c r="C858" s="47">
        <f t="shared" si="250"/>
        <v>3</v>
      </c>
      <c r="D858" s="73"/>
      <c r="E858" s="70"/>
      <c r="F858" s="70" t="s">
        <v>1527</v>
      </c>
      <c r="G858" s="73"/>
      <c r="H858" s="76" t="s">
        <v>1505</v>
      </c>
      <c r="I858" s="96" t="s">
        <v>497</v>
      </c>
      <c r="J858" s="96"/>
      <c r="K858" s="76"/>
      <c r="L858" s="76"/>
      <c r="M858" s="76"/>
      <c r="N858" s="76"/>
      <c r="O858" s="76"/>
      <c r="P858" s="76"/>
      <c r="Q858" s="76"/>
      <c r="R858" s="76"/>
      <c r="S858" s="76"/>
      <c r="T858" s="76"/>
      <c r="U858" s="97">
        <v>1.7</v>
      </c>
      <c r="V858" s="97">
        <v>1.7</v>
      </c>
      <c r="W858" s="97">
        <v>1.7</v>
      </c>
      <c r="X858" s="97">
        <v>1.7</v>
      </c>
      <c r="Y858" s="97">
        <v>1.7</v>
      </c>
      <c r="Z858" s="97">
        <v>1.7</v>
      </c>
      <c r="AA858" s="97">
        <v>1.7</v>
      </c>
      <c r="AB858" s="97">
        <v>1.7</v>
      </c>
      <c r="AC858" s="97">
        <v>1.7</v>
      </c>
      <c r="AD858" s="97">
        <v>1.7</v>
      </c>
      <c r="AE858" s="97">
        <v>1.7</v>
      </c>
      <c r="AF858" s="76"/>
      <c r="AG858" s="97" t="s">
        <v>3803</v>
      </c>
      <c r="AH858" s="76"/>
      <c r="AI858" s="97">
        <v>1</v>
      </c>
      <c r="AJ858" s="97">
        <v>1</v>
      </c>
      <c r="AK858" s="73"/>
      <c r="AL858" s="57"/>
      <c r="AM858" s="45"/>
      <c r="AN858" s="45"/>
      <c r="AO858" s="45"/>
    </row>
    <row r="859" spans="1:41" hidden="1" outlineLevel="2" x14ac:dyDescent="0.25">
      <c r="A859" s="45"/>
      <c r="B859" s="54"/>
      <c r="C859" s="47">
        <f t="shared" si="250"/>
        <v>3</v>
      </c>
      <c r="D859" s="73"/>
      <c r="E859" s="70"/>
      <c r="F859" s="70" t="s">
        <v>1528</v>
      </c>
      <c r="G859" s="73"/>
      <c r="H859" s="76" t="s">
        <v>1507</v>
      </c>
      <c r="I859" s="96" t="s">
        <v>497</v>
      </c>
      <c r="J859" s="96"/>
      <c r="K859" s="76"/>
      <c r="L859" s="76"/>
      <c r="M859" s="76"/>
      <c r="N859" s="76"/>
      <c r="O859" s="76"/>
      <c r="P859" s="76"/>
      <c r="Q859" s="76"/>
      <c r="R859" s="76"/>
      <c r="S859" s="76"/>
      <c r="T859" s="76"/>
      <c r="U859" s="97">
        <v>1.7</v>
      </c>
      <c r="V859" s="97">
        <v>1.7</v>
      </c>
      <c r="W859" s="97">
        <v>1.7</v>
      </c>
      <c r="X859" s="97">
        <v>1.7</v>
      </c>
      <c r="Y859" s="97">
        <v>1.7</v>
      </c>
      <c r="Z859" s="97">
        <v>1.7</v>
      </c>
      <c r="AA859" s="97">
        <v>1.7</v>
      </c>
      <c r="AB859" s="97">
        <v>1.7</v>
      </c>
      <c r="AC859" s="97">
        <v>1.7</v>
      </c>
      <c r="AD859" s="97">
        <v>1.7</v>
      </c>
      <c r="AE859" s="97">
        <v>1.7</v>
      </c>
      <c r="AF859" s="76"/>
      <c r="AG859" s="97" t="s">
        <v>3803</v>
      </c>
      <c r="AH859" s="76"/>
      <c r="AI859" s="97">
        <v>1</v>
      </c>
      <c r="AJ859" s="97">
        <v>1</v>
      </c>
      <c r="AK859" s="73"/>
      <c r="AL859" s="57"/>
      <c r="AM859" s="45"/>
      <c r="AN859" s="45"/>
      <c r="AO859" s="45"/>
    </row>
    <row r="860" spans="1:41" hidden="1" outlineLevel="2" x14ac:dyDescent="0.25">
      <c r="A860" s="45"/>
      <c r="B860" s="54"/>
      <c r="C860" s="47">
        <f t="shared" si="250"/>
        <v>3</v>
      </c>
      <c r="D860" s="73"/>
      <c r="E860" s="70"/>
      <c r="F860" s="70" t="s">
        <v>1529</v>
      </c>
      <c r="G860" s="73"/>
      <c r="H860" s="76" t="s">
        <v>1511</v>
      </c>
      <c r="I860" s="96" t="s">
        <v>497</v>
      </c>
      <c r="J860" s="96"/>
      <c r="K860" s="76"/>
      <c r="L860" s="76"/>
      <c r="M860" s="76"/>
      <c r="N860" s="76"/>
      <c r="O860" s="76"/>
      <c r="P860" s="76"/>
      <c r="Q860" s="76"/>
      <c r="R860" s="76"/>
      <c r="S860" s="76"/>
      <c r="T860" s="76"/>
      <c r="U860" s="97">
        <v>1.7</v>
      </c>
      <c r="V860" s="97">
        <v>1.7</v>
      </c>
      <c r="W860" s="97">
        <v>1.7</v>
      </c>
      <c r="X860" s="97">
        <v>1.7</v>
      </c>
      <c r="Y860" s="97">
        <v>1.7</v>
      </c>
      <c r="Z860" s="97">
        <v>1.7</v>
      </c>
      <c r="AA860" s="97">
        <v>1.7</v>
      </c>
      <c r="AB860" s="97">
        <v>1.7</v>
      </c>
      <c r="AC860" s="97">
        <v>1.7</v>
      </c>
      <c r="AD860" s="97">
        <v>1.7</v>
      </c>
      <c r="AE860" s="97">
        <v>1.7</v>
      </c>
      <c r="AF860" s="76"/>
      <c r="AG860" s="97" t="s">
        <v>3803</v>
      </c>
      <c r="AH860" s="76"/>
      <c r="AI860" s="97">
        <v>1</v>
      </c>
      <c r="AJ860" s="97">
        <v>1</v>
      </c>
      <c r="AK860" s="73"/>
      <c r="AL860" s="57"/>
      <c r="AM860" s="45"/>
      <c r="AN860" s="45"/>
      <c r="AO860" s="45"/>
    </row>
    <row r="861" spans="1:41" hidden="1" outlineLevel="2" x14ac:dyDescent="0.25">
      <c r="A861" s="45"/>
      <c r="B861" s="54"/>
      <c r="C861" s="47">
        <f t="shared" si="250"/>
        <v>3</v>
      </c>
      <c r="D861" s="73"/>
      <c r="E861" s="70"/>
      <c r="F861" s="70" t="s">
        <v>1530</v>
      </c>
      <c r="G861" s="73"/>
      <c r="H861" s="76" t="s">
        <v>1531</v>
      </c>
      <c r="I861" s="96" t="s">
        <v>497</v>
      </c>
      <c r="J861" s="96"/>
      <c r="K861" s="76"/>
      <c r="L861" s="76"/>
      <c r="M861" s="76"/>
      <c r="N861" s="76"/>
      <c r="O861" s="76"/>
      <c r="P861" s="76"/>
      <c r="Q861" s="76"/>
      <c r="R861" s="76"/>
      <c r="S861" s="76"/>
      <c r="T861" s="76"/>
      <c r="U861" s="76">
        <v>0</v>
      </c>
      <c r="V861" s="76">
        <v>0</v>
      </c>
      <c r="W861" s="76">
        <v>0</v>
      </c>
      <c r="X861" s="76">
        <v>0</v>
      </c>
      <c r="Y861" s="76">
        <v>0</v>
      </c>
      <c r="Z861" s="76">
        <v>0</v>
      </c>
      <c r="AA861" s="76">
        <v>0</v>
      </c>
      <c r="AB861" s="76">
        <v>0</v>
      </c>
      <c r="AC861" s="76">
        <v>0</v>
      </c>
      <c r="AD861" s="76">
        <v>0</v>
      </c>
      <c r="AE861" s="76">
        <v>0</v>
      </c>
      <c r="AF861" s="76"/>
      <c r="AG861" s="76"/>
      <c r="AH861" s="76"/>
      <c r="AI861" s="76">
        <v>1</v>
      </c>
      <c r="AJ861" s="76">
        <v>1</v>
      </c>
      <c r="AK861" s="73"/>
      <c r="AL861" s="57"/>
      <c r="AM861" s="45"/>
      <c r="AN861" s="45"/>
      <c r="AO861" s="45"/>
    </row>
    <row r="862" spans="1:41" hidden="1" outlineLevel="2" x14ac:dyDescent="0.25">
      <c r="A862" s="45"/>
      <c r="B862" s="54"/>
      <c r="C862" s="47">
        <f t="shared" si="250"/>
        <v>3</v>
      </c>
      <c r="D862" s="73"/>
      <c r="E862" s="70"/>
      <c r="F862" s="70" t="s">
        <v>1532</v>
      </c>
      <c r="G862" s="73"/>
      <c r="H862" s="76" t="s">
        <v>1533</v>
      </c>
      <c r="I862" s="96" t="s">
        <v>497</v>
      </c>
      <c r="J862" s="96"/>
      <c r="K862" s="76"/>
      <c r="L862" s="76"/>
      <c r="M862" s="76"/>
      <c r="N862" s="76"/>
      <c r="O862" s="76"/>
      <c r="P862" s="76"/>
      <c r="Q862" s="76"/>
      <c r="R862" s="76"/>
      <c r="S862" s="76"/>
      <c r="T862" s="76"/>
      <c r="U862" s="97">
        <v>0</v>
      </c>
      <c r="V862" s="255">
        <f>U862</f>
        <v>0</v>
      </c>
      <c r="W862" s="255">
        <f>U862</f>
        <v>0</v>
      </c>
      <c r="X862" s="255">
        <f>V862</f>
        <v>0</v>
      </c>
      <c r="Y862" s="255">
        <f>W862</f>
        <v>0</v>
      </c>
      <c r="Z862" s="255">
        <f t="shared" ref="Z862:AA862" si="257">X862</f>
        <v>0</v>
      </c>
      <c r="AA862" s="255">
        <f t="shared" si="257"/>
        <v>0</v>
      </c>
      <c r="AB862" s="97">
        <v>0</v>
      </c>
      <c r="AC862" s="255">
        <f t="shared" ref="AC862:AD864" si="258">AB862</f>
        <v>0</v>
      </c>
      <c r="AD862" s="255">
        <f t="shared" si="258"/>
        <v>0</v>
      </c>
      <c r="AE862" s="255">
        <f>AD862</f>
        <v>0</v>
      </c>
      <c r="AF862" s="76"/>
      <c r="AG862" s="97" t="s">
        <v>2552</v>
      </c>
      <c r="AH862" s="76"/>
      <c r="AI862" s="97">
        <v>1</v>
      </c>
      <c r="AJ862" s="97">
        <v>1</v>
      </c>
      <c r="AK862" s="73"/>
      <c r="AL862" s="57"/>
      <c r="AM862" s="45"/>
      <c r="AN862" s="45"/>
      <c r="AO862" s="45"/>
    </row>
    <row r="863" spans="1:41" hidden="1" outlineLevel="2" x14ac:dyDescent="0.25">
      <c r="A863" s="45"/>
      <c r="B863" s="54"/>
      <c r="C863" s="47">
        <f t="shared" si="250"/>
        <v>3</v>
      </c>
      <c r="D863" s="73"/>
      <c r="E863" s="70"/>
      <c r="F863" s="70" t="s">
        <v>1534</v>
      </c>
      <c r="G863" s="73"/>
      <c r="H863" s="76" t="s">
        <v>1535</v>
      </c>
      <c r="I863" s="96" t="s">
        <v>497</v>
      </c>
      <c r="J863" s="96"/>
      <c r="K863" s="76"/>
      <c r="L863" s="76"/>
      <c r="M863" s="76"/>
      <c r="N863" s="76"/>
      <c r="O863" s="76"/>
      <c r="P863" s="76"/>
      <c r="Q863" s="76"/>
      <c r="R863" s="76"/>
      <c r="S863" s="76"/>
      <c r="T863" s="76"/>
      <c r="U863" s="97">
        <v>-0.71226</v>
      </c>
      <c r="V863" s="255">
        <f>U863</f>
        <v>-0.71226</v>
      </c>
      <c r="W863" s="97">
        <f t="shared" ref="W863:X863" si="259">V863</f>
        <v>-0.71226</v>
      </c>
      <c r="X863" s="97">
        <f t="shared" si="259"/>
        <v>-0.71226</v>
      </c>
      <c r="Y863" s="97">
        <f t="shared" ref="Y863" si="260">X863</f>
        <v>-0.71226</v>
      </c>
      <c r="Z863" s="97">
        <f t="shared" ref="Z863:AA863" si="261">Y863</f>
        <v>-0.71226</v>
      </c>
      <c r="AA863" s="97">
        <f t="shared" si="261"/>
        <v>-0.71226</v>
      </c>
      <c r="AB863" s="97">
        <v>-0.21895000000000001</v>
      </c>
      <c r="AC863" s="255">
        <f t="shared" si="258"/>
        <v>-0.21895000000000001</v>
      </c>
      <c r="AD863" s="255">
        <f t="shared" si="258"/>
        <v>-0.21895000000000001</v>
      </c>
      <c r="AE863" s="255">
        <f>AD863</f>
        <v>-0.21895000000000001</v>
      </c>
      <c r="AF863" s="76"/>
      <c r="AG863" s="76"/>
      <c r="AH863" s="76"/>
      <c r="AI863" s="97">
        <v>1</v>
      </c>
      <c r="AJ863" s="97">
        <v>1</v>
      </c>
      <c r="AK863" s="73"/>
      <c r="AL863" s="57"/>
      <c r="AM863" s="45"/>
      <c r="AN863" s="45"/>
      <c r="AO863" s="45"/>
    </row>
    <row r="864" spans="1:41" hidden="1" outlineLevel="2" x14ac:dyDescent="0.25">
      <c r="A864" s="45"/>
      <c r="B864" s="54"/>
      <c r="C864" s="47">
        <f t="shared" si="250"/>
        <v>3</v>
      </c>
      <c r="D864" s="73"/>
      <c r="E864" s="70"/>
      <c r="F864" s="70" t="s">
        <v>1536</v>
      </c>
      <c r="G864" s="73"/>
      <c r="H864" s="76" t="s">
        <v>1537</v>
      </c>
      <c r="I864" s="96" t="s">
        <v>497</v>
      </c>
      <c r="J864" s="96"/>
      <c r="K864" s="76"/>
      <c r="L864" s="76"/>
      <c r="M864" s="76"/>
      <c r="N864" s="76"/>
      <c r="O864" s="76"/>
      <c r="P864" s="76"/>
      <c r="Q864" s="76"/>
      <c r="R864" s="76"/>
      <c r="S864" s="76"/>
      <c r="T864" s="76"/>
      <c r="U864" s="97">
        <v>-0.90173999999999999</v>
      </c>
      <c r="V864" s="255">
        <f>U864</f>
        <v>-0.90173999999999999</v>
      </c>
      <c r="W864" s="255">
        <f>U864</f>
        <v>-0.90173999999999999</v>
      </c>
      <c r="X864" s="255">
        <f>V864</f>
        <v>-0.90173999999999999</v>
      </c>
      <c r="Y864" s="255">
        <f>W864</f>
        <v>-0.90173999999999999</v>
      </c>
      <c r="Z864" s="255">
        <f t="shared" ref="Z864:AA864" si="262">X864</f>
        <v>-0.90173999999999999</v>
      </c>
      <c r="AA864" s="255">
        <f t="shared" si="262"/>
        <v>-0.90173999999999999</v>
      </c>
      <c r="AB864" s="97">
        <v>-0.37940000000000002</v>
      </c>
      <c r="AC864" s="255">
        <f t="shared" si="258"/>
        <v>-0.37940000000000002</v>
      </c>
      <c r="AD864" s="255">
        <f t="shared" si="258"/>
        <v>-0.37940000000000002</v>
      </c>
      <c r="AE864" s="255">
        <f>AD864</f>
        <v>-0.37940000000000002</v>
      </c>
      <c r="AF864" s="76"/>
      <c r="AG864" s="76"/>
      <c r="AH864" s="76"/>
      <c r="AI864" s="97">
        <v>1</v>
      </c>
      <c r="AJ864" s="97">
        <v>1</v>
      </c>
      <c r="AK864" s="73"/>
      <c r="AL864" s="57"/>
      <c r="AM864" s="45"/>
      <c r="AN864" s="45"/>
      <c r="AO864" s="45"/>
    </row>
    <row r="865" spans="1:41" hidden="1" outlineLevel="2" x14ac:dyDescent="0.25">
      <c r="A865" s="45"/>
      <c r="B865" s="54"/>
      <c r="C865" s="47">
        <f t="shared" si="250"/>
        <v>3</v>
      </c>
      <c r="D865" s="73"/>
      <c r="E865" s="70"/>
      <c r="F865" s="70" t="s">
        <v>1538</v>
      </c>
      <c r="G865" s="73"/>
      <c r="H865" s="76" t="s">
        <v>2706</v>
      </c>
      <c r="I865" s="96" t="s">
        <v>497</v>
      </c>
      <c r="J865" s="96"/>
      <c r="K865" s="76"/>
      <c r="L865" s="76"/>
      <c r="M865" s="76"/>
      <c r="N865" s="76"/>
      <c r="O865" s="76"/>
      <c r="P865" s="76"/>
      <c r="Q865" s="76"/>
      <c r="R865" s="76"/>
      <c r="S865" s="76"/>
      <c r="T865" s="76"/>
      <c r="U865" s="76">
        <v>0</v>
      </c>
      <c r="V865" s="76">
        <v>0</v>
      </c>
      <c r="W865" s="76">
        <v>0</v>
      </c>
      <c r="X865" s="76">
        <v>0</v>
      </c>
      <c r="Y865" s="76">
        <v>0</v>
      </c>
      <c r="Z865" s="76">
        <v>0</v>
      </c>
      <c r="AA865" s="76">
        <v>0</v>
      </c>
      <c r="AB865" s="76">
        <v>0</v>
      </c>
      <c r="AC865" s="76">
        <v>0</v>
      </c>
      <c r="AD865" s="76">
        <v>0</v>
      </c>
      <c r="AE865" s="76">
        <v>0</v>
      </c>
      <c r="AF865" s="76"/>
      <c r="AG865" s="76"/>
      <c r="AH865" s="76"/>
      <c r="AI865" s="76">
        <v>1</v>
      </c>
      <c r="AJ865" s="76">
        <v>1</v>
      </c>
      <c r="AK865" s="73"/>
      <c r="AL865" s="57"/>
      <c r="AM865" s="45"/>
      <c r="AN865" s="45"/>
      <c r="AO865" s="45"/>
    </row>
    <row r="866" spans="1:41" hidden="1" outlineLevel="2" x14ac:dyDescent="0.25">
      <c r="A866" s="45"/>
      <c r="B866" s="54"/>
      <c r="C866" s="47">
        <f t="shared" si="250"/>
        <v>3</v>
      </c>
      <c r="D866" s="73"/>
      <c r="E866" s="70"/>
      <c r="F866" s="70" t="s">
        <v>1539</v>
      </c>
      <c r="G866" s="73"/>
      <c r="H866" s="76" t="s">
        <v>2147</v>
      </c>
      <c r="I866" s="96" t="s">
        <v>497</v>
      </c>
      <c r="J866" s="96"/>
      <c r="K866" s="76"/>
      <c r="L866" s="76"/>
      <c r="M866" s="76"/>
      <c r="N866" s="76"/>
      <c r="O866" s="76"/>
      <c r="P866" s="76"/>
      <c r="Q866" s="76"/>
      <c r="R866" s="76"/>
      <c r="S866" s="76"/>
      <c r="T866" s="76"/>
      <c r="U866" s="97">
        <v>-1.1100000000000001E-3</v>
      </c>
      <c r="V866" s="255">
        <f>U866</f>
        <v>-1.1100000000000001E-3</v>
      </c>
      <c r="W866" s="255">
        <f t="shared" ref="W866:X868" si="263">U866</f>
        <v>-1.1100000000000001E-3</v>
      </c>
      <c r="X866" s="255">
        <f t="shared" si="263"/>
        <v>-1.1100000000000001E-3</v>
      </c>
      <c r="Y866" s="255">
        <f t="shared" ref="Y866:Y868" si="264">W866</f>
        <v>-1.1100000000000001E-3</v>
      </c>
      <c r="Z866" s="255">
        <f t="shared" ref="Z866:Z868" si="265">X866</f>
        <v>-1.1100000000000001E-3</v>
      </c>
      <c r="AA866" s="255">
        <f t="shared" ref="AA866:AA868" si="266">Y866</f>
        <v>-1.1100000000000001E-3</v>
      </c>
      <c r="AB866" s="97">
        <v>-1.5499999999999999E-3</v>
      </c>
      <c r="AC866" s="255">
        <f t="shared" ref="AC866:AD868" si="267">AB866</f>
        <v>-1.5499999999999999E-3</v>
      </c>
      <c r="AD866" s="255">
        <f t="shared" si="267"/>
        <v>-1.5499999999999999E-3</v>
      </c>
      <c r="AE866" s="255">
        <f>AD866</f>
        <v>-1.5499999999999999E-3</v>
      </c>
      <c r="AF866" s="76"/>
      <c r="AG866" s="97" t="s">
        <v>2703</v>
      </c>
      <c r="AH866" s="76"/>
      <c r="AI866" s="76">
        <v>1</v>
      </c>
      <c r="AJ866" s="76">
        <v>1</v>
      </c>
      <c r="AK866" s="73"/>
      <c r="AL866" s="57"/>
      <c r="AM866" s="45"/>
      <c r="AN866" s="45"/>
      <c r="AO866" s="45"/>
    </row>
    <row r="867" spans="1:41" hidden="1" outlineLevel="2" x14ac:dyDescent="0.25">
      <c r="A867" s="45"/>
      <c r="B867" s="54"/>
      <c r="C867" s="47">
        <f t="shared" si="250"/>
        <v>3</v>
      </c>
      <c r="D867" s="73"/>
      <c r="E867" s="70"/>
      <c r="F867" s="70" t="s">
        <v>1540</v>
      </c>
      <c r="G867" s="73"/>
      <c r="H867" s="76" t="s">
        <v>2148</v>
      </c>
      <c r="I867" s="96" t="s">
        <v>497</v>
      </c>
      <c r="J867" s="96"/>
      <c r="K867" s="76"/>
      <c r="L867" s="76"/>
      <c r="M867" s="76"/>
      <c r="N867" s="76"/>
      <c r="O867" s="76"/>
      <c r="P867" s="76"/>
      <c r="Q867" s="76"/>
      <c r="R867" s="76"/>
      <c r="S867" s="76"/>
      <c r="T867" s="76"/>
      <c r="U867" s="97">
        <v>-1.5E-3</v>
      </c>
      <c r="V867" s="255">
        <f>U867</f>
        <v>-1.5E-3</v>
      </c>
      <c r="W867" s="255">
        <f t="shared" si="263"/>
        <v>-1.5E-3</v>
      </c>
      <c r="X867" s="255">
        <f t="shared" si="263"/>
        <v>-1.5E-3</v>
      </c>
      <c r="Y867" s="255">
        <f t="shared" si="264"/>
        <v>-1.5E-3</v>
      </c>
      <c r="Z867" s="255">
        <f t="shared" si="265"/>
        <v>-1.5E-3</v>
      </c>
      <c r="AA867" s="255">
        <f t="shared" si="266"/>
        <v>-1.5E-3</v>
      </c>
      <c r="AB867" s="97">
        <v>-2.1250000000000002E-3</v>
      </c>
      <c r="AC867" s="255">
        <f t="shared" si="267"/>
        <v>-2.1250000000000002E-3</v>
      </c>
      <c r="AD867" s="255">
        <f t="shared" si="267"/>
        <v>-2.1250000000000002E-3</v>
      </c>
      <c r="AE867" s="255">
        <f>AD867</f>
        <v>-2.1250000000000002E-3</v>
      </c>
      <c r="AF867" s="76"/>
      <c r="AG867" s="97"/>
      <c r="AH867" s="76"/>
      <c r="AI867" s="76">
        <v>1</v>
      </c>
      <c r="AJ867" s="76">
        <v>1</v>
      </c>
      <c r="AK867" s="73"/>
      <c r="AL867" s="57"/>
      <c r="AM867" s="45"/>
      <c r="AN867" s="45"/>
      <c r="AO867" s="45"/>
    </row>
    <row r="868" spans="1:41" hidden="1" outlineLevel="2" x14ac:dyDescent="0.25">
      <c r="A868" s="45"/>
      <c r="B868" s="54"/>
      <c r="C868" s="47">
        <f>INT($C$29)+3</f>
        <v>4</v>
      </c>
      <c r="D868" s="73"/>
      <c r="E868" s="70"/>
      <c r="F868" s="70" t="s">
        <v>1541</v>
      </c>
      <c r="G868" s="73"/>
      <c r="H868" s="76" t="s">
        <v>2149</v>
      </c>
      <c r="I868" s="96" t="s">
        <v>497</v>
      </c>
      <c r="J868" s="96"/>
      <c r="K868" s="76"/>
      <c r="L868" s="76"/>
      <c r="M868" s="76"/>
      <c r="N868" s="76"/>
      <c r="O868" s="76"/>
      <c r="P868" s="76"/>
      <c r="Q868" s="76"/>
      <c r="R868" s="76"/>
      <c r="S868" s="76"/>
      <c r="T868" s="76"/>
      <c r="U868" s="97">
        <v>-6.8500000000000002E-3</v>
      </c>
      <c r="V868" s="255">
        <f>U868</f>
        <v>-6.8500000000000002E-3</v>
      </c>
      <c r="W868" s="255">
        <f t="shared" si="263"/>
        <v>-6.8500000000000002E-3</v>
      </c>
      <c r="X868" s="255">
        <f t="shared" si="263"/>
        <v>-6.8500000000000002E-3</v>
      </c>
      <c r="Y868" s="255">
        <f t="shared" si="264"/>
        <v>-6.8500000000000002E-3</v>
      </c>
      <c r="Z868" s="255">
        <f t="shared" si="265"/>
        <v>-6.8500000000000002E-3</v>
      </c>
      <c r="AA868" s="255">
        <f t="shared" si="266"/>
        <v>-6.8500000000000002E-3</v>
      </c>
      <c r="AB868" s="97">
        <v>-8.0300000000000007E-3</v>
      </c>
      <c r="AC868" s="255">
        <f t="shared" si="267"/>
        <v>-8.0300000000000007E-3</v>
      </c>
      <c r="AD868" s="255">
        <f t="shared" si="267"/>
        <v>-8.0300000000000007E-3</v>
      </c>
      <c r="AE868" s="255">
        <f>AD868</f>
        <v>-8.0300000000000007E-3</v>
      </c>
      <c r="AF868" s="76"/>
      <c r="AG868" s="76"/>
      <c r="AH868" s="76"/>
      <c r="AI868" s="76">
        <v>1</v>
      </c>
      <c r="AJ868" s="76">
        <v>1</v>
      </c>
      <c r="AK868" s="73"/>
      <c r="AL868" s="57"/>
      <c r="AM868" s="45"/>
      <c r="AN868" s="45"/>
      <c r="AO868" s="45"/>
    </row>
    <row r="869" spans="1:41" hidden="1" outlineLevel="2" x14ac:dyDescent="0.25">
      <c r="A869" s="45"/>
      <c r="B869" s="54"/>
      <c r="C869" s="47">
        <f>INT($C$29)+3</f>
        <v>4</v>
      </c>
      <c r="D869" s="73"/>
      <c r="E869" s="70" t="s">
        <v>1546</v>
      </c>
      <c r="F869" s="70" t="s">
        <v>1542</v>
      </c>
      <c r="G869" s="73"/>
      <c r="H869" s="76" t="s">
        <v>1548</v>
      </c>
      <c r="I869" s="96" t="s">
        <v>497</v>
      </c>
      <c r="J869" s="96"/>
      <c r="K869" s="76"/>
      <c r="L869" s="76"/>
      <c r="M869" s="76"/>
      <c r="N869" s="76"/>
      <c r="O869" s="76"/>
      <c r="P869" s="76"/>
      <c r="Q869" s="76"/>
      <c r="R869" s="76"/>
      <c r="S869" s="76"/>
      <c r="T869" s="76"/>
      <c r="U869" s="76">
        <v>-100</v>
      </c>
      <c r="V869" s="76">
        <v>-100</v>
      </c>
      <c r="W869" s="76">
        <v>-100</v>
      </c>
      <c r="X869" s="76">
        <v>-100</v>
      </c>
      <c r="Y869" s="76">
        <v>-100</v>
      </c>
      <c r="Z869" s="76">
        <v>-100</v>
      </c>
      <c r="AA869" s="76">
        <v>-100</v>
      </c>
      <c r="AB869" s="76">
        <v>-100</v>
      </c>
      <c r="AC869" s="76">
        <v>-100</v>
      </c>
      <c r="AD869" s="76">
        <v>-100</v>
      </c>
      <c r="AE869" s="76">
        <v>-100</v>
      </c>
      <c r="AF869" s="76"/>
      <c r="AG869" s="264" t="s">
        <v>1503</v>
      </c>
      <c r="AH869" s="76"/>
      <c r="AI869" s="76">
        <v>1</v>
      </c>
      <c r="AJ869" s="76">
        <v>1</v>
      </c>
      <c r="AK869" s="73"/>
      <c r="AL869" s="57"/>
      <c r="AM869" s="45"/>
      <c r="AN869" s="45"/>
      <c r="AO869" s="45"/>
    </row>
    <row r="870" spans="1:41" hidden="1" outlineLevel="2" x14ac:dyDescent="0.25">
      <c r="A870" s="45"/>
      <c r="B870" s="54"/>
      <c r="C870" s="47">
        <f>INT($C$29)+3</f>
        <v>4</v>
      </c>
      <c r="D870" s="73"/>
      <c r="E870" s="70"/>
      <c r="F870" s="70" t="s">
        <v>1543</v>
      </c>
      <c r="G870" s="73"/>
      <c r="H870" s="76" t="s">
        <v>1468</v>
      </c>
      <c r="I870" s="96" t="s">
        <v>497</v>
      </c>
      <c r="J870" s="96"/>
      <c r="K870" s="76"/>
      <c r="L870" s="76"/>
      <c r="M870" s="76"/>
      <c r="N870" s="76"/>
      <c r="O870" s="76"/>
      <c r="P870" s="76"/>
      <c r="Q870" s="76"/>
      <c r="R870" s="76"/>
      <c r="S870" s="76"/>
      <c r="T870" s="76"/>
      <c r="U870" s="97">
        <v>0</v>
      </c>
      <c r="V870" s="97">
        <v>0</v>
      </c>
      <c r="W870" s="97">
        <v>0</v>
      </c>
      <c r="X870" s="97">
        <v>0</v>
      </c>
      <c r="Y870" s="97">
        <v>0</v>
      </c>
      <c r="Z870" s="97">
        <v>0</v>
      </c>
      <c r="AA870" s="97">
        <v>0</v>
      </c>
      <c r="AB870" s="97">
        <v>0</v>
      </c>
      <c r="AC870" s="97">
        <v>0</v>
      </c>
      <c r="AD870" s="97">
        <v>0</v>
      </c>
      <c r="AE870" s="97">
        <v>0</v>
      </c>
      <c r="AF870" s="76"/>
      <c r="AG870" s="97" t="s">
        <v>1008</v>
      </c>
      <c r="AH870" s="76"/>
      <c r="AI870" s="97">
        <v>1</v>
      </c>
      <c r="AJ870" s="97">
        <v>1</v>
      </c>
      <c r="AK870" s="73"/>
      <c r="AL870" s="57"/>
      <c r="AM870" s="45"/>
      <c r="AN870" s="45"/>
      <c r="AO870" s="45"/>
    </row>
    <row r="871" spans="1:41" hidden="1" outlineLevel="2" x14ac:dyDescent="0.25">
      <c r="A871" s="45"/>
      <c r="B871" s="54"/>
      <c r="C871" s="47">
        <f>INT($C$29)+3</f>
        <v>4</v>
      </c>
      <c r="D871" s="73"/>
      <c r="E871" s="70"/>
      <c r="F871" s="70" t="s">
        <v>1544</v>
      </c>
      <c r="G871" s="73"/>
      <c r="H871" s="76" t="s">
        <v>1470</v>
      </c>
      <c r="I871" s="96" t="s">
        <v>497</v>
      </c>
      <c r="J871" s="96"/>
      <c r="K871" s="76"/>
      <c r="L871" s="76"/>
      <c r="M871" s="76"/>
      <c r="N871" s="76"/>
      <c r="O871" s="76"/>
      <c r="P871" s="76"/>
      <c r="Q871" s="76"/>
      <c r="R871" s="76"/>
      <c r="S871" s="76"/>
      <c r="T871" s="76"/>
      <c r="U871" s="97">
        <v>1.1000000000000001</v>
      </c>
      <c r="V871" s="97">
        <v>1.1000000000000001</v>
      </c>
      <c r="W871" s="97">
        <v>1.1000000000000001</v>
      </c>
      <c r="X871" s="97">
        <v>1.1000000000000001</v>
      </c>
      <c r="Y871" s="97">
        <v>1.1000000000000001</v>
      </c>
      <c r="Z871" s="97">
        <v>1.1000000000000001</v>
      </c>
      <c r="AA871" s="97">
        <v>1.1000000000000001</v>
      </c>
      <c r="AB871" s="97">
        <v>0.82</v>
      </c>
      <c r="AC871" s="97">
        <v>0.82</v>
      </c>
      <c r="AD871" s="97">
        <v>0.82</v>
      </c>
      <c r="AE871" s="97">
        <v>0.82</v>
      </c>
      <c r="AF871" s="76"/>
      <c r="AG871" s="97" t="s">
        <v>1008</v>
      </c>
      <c r="AH871" s="76"/>
      <c r="AI871" s="97">
        <v>1</v>
      </c>
      <c r="AJ871" s="97">
        <v>1</v>
      </c>
      <c r="AK871" s="73"/>
      <c r="AL871" s="57"/>
      <c r="AM871" s="45"/>
      <c r="AN871" s="45"/>
      <c r="AO871" s="45"/>
    </row>
    <row r="872" spans="1:41" hidden="1" outlineLevel="2" collapsed="1" x14ac:dyDescent="0.25">
      <c r="A872" s="45"/>
      <c r="B872" s="54"/>
      <c r="C872" s="47">
        <f>INT($C$29)+3</f>
        <v>4</v>
      </c>
      <c r="D872" s="73"/>
      <c r="E872" s="70"/>
      <c r="F872" s="70" t="s">
        <v>1545</v>
      </c>
      <c r="G872" s="73"/>
      <c r="H872" s="76" t="s">
        <v>1472</v>
      </c>
      <c r="I872" s="96" t="s">
        <v>497</v>
      </c>
      <c r="J872" s="96"/>
      <c r="K872" s="76"/>
      <c r="L872" s="76"/>
      <c r="M872" s="76"/>
      <c r="N872" s="76"/>
      <c r="O872" s="76"/>
      <c r="P872" s="76"/>
      <c r="Q872" s="76"/>
      <c r="R872" s="76"/>
      <c r="S872" s="76"/>
      <c r="T872" s="76"/>
      <c r="U872" s="97">
        <f t="shared" ref="U872:AD872" si="268">U871+($AA859-$AA860)</f>
        <v>1.1000000000000001</v>
      </c>
      <c r="V872" s="97">
        <f t="shared" si="268"/>
        <v>1.1000000000000001</v>
      </c>
      <c r="W872" s="97">
        <f t="shared" si="268"/>
        <v>1.1000000000000001</v>
      </c>
      <c r="X872" s="97">
        <f t="shared" si="268"/>
        <v>1.1000000000000001</v>
      </c>
      <c r="Y872" s="97">
        <f t="shared" ref="Y872" si="269">Y871+($AA859-$AA860)</f>
        <v>1.1000000000000001</v>
      </c>
      <c r="Z872" s="97">
        <f t="shared" ref="Z872:AA872" si="270">Z871+($AA859-$AA860)</f>
        <v>1.1000000000000001</v>
      </c>
      <c r="AA872" s="97">
        <f t="shared" si="270"/>
        <v>1.1000000000000001</v>
      </c>
      <c r="AB872" s="97">
        <f t="shared" si="268"/>
        <v>0.82</v>
      </c>
      <c r="AC872" s="97">
        <f t="shared" si="268"/>
        <v>0.82</v>
      </c>
      <c r="AD872" s="97">
        <f t="shared" si="268"/>
        <v>0.82</v>
      </c>
      <c r="AE872" s="97">
        <f t="shared" ref="AE872" si="271">AE871+($AA859-$AA860)</f>
        <v>0.82</v>
      </c>
      <c r="AF872" s="76"/>
      <c r="AG872" s="97" t="s">
        <v>2688</v>
      </c>
      <c r="AH872" s="76"/>
      <c r="AI872" s="97">
        <v>1</v>
      </c>
      <c r="AJ872" s="97">
        <v>1</v>
      </c>
      <c r="AK872" s="73"/>
      <c r="AL872" s="57"/>
      <c r="AM872" s="45"/>
      <c r="AN872" s="45"/>
      <c r="AO872" s="45"/>
    </row>
    <row r="873" spans="1:41" hidden="1" outlineLevel="3" x14ac:dyDescent="0.25">
      <c r="A873" s="45"/>
      <c r="B873" s="54"/>
      <c r="C873" s="47">
        <f>INT($C$29)+2</f>
        <v>3</v>
      </c>
      <c r="D873" s="73"/>
      <c r="E873" s="70"/>
      <c r="F873" s="70" t="s">
        <v>1547</v>
      </c>
      <c r="G873" s="73"/>
      <c r="H873" s="76" t="s">
        <v>3799</v>
      </c>
      <c r="I873" s="96" t="s">
        <v>497</v>
      </c>
      <c r="J873" s="96"/>
      <c r="K873" s="76"/>
      <c r="L873" s="76"/>
      <c r="M873" s="76"/>
      <c r="N873" s="76"/>
      <c r="O873" s="76"/>
      <c r="P873" s="76"/>
      <c r="Q873" s="76"/>
      <c r="R873" s="76"/>
      <c r="S873" s="76"/>
      <c r="T873" s="76"/>
      <c r="U873" s="76"/>
      <c r="V873" s="76"/>
      <c r="W873" s="76"/>
      <c r="X873" s="76"/>
      <c r="Y873" s="76"/>
      <c r="Z873" s="76"/>
      <c r="AA873" s="76"/>
      <c r="AB873" s="76"/>
      <c r="AC873" s="76"/>
      <c r="AD873" s="76"/>
      <c r="AE873" s="76"/>
      <c r="AF873" s="76"/>
      <c r="AG873" s="76"/>
      <c r="AH873" s="76"/>
      <c r="AI873" s="76">
        <v>1</v>
      </c>
      <c r="AJ873" s="76">
        <v>1</v>
      </c>
      <c r="AK873" s="73"/>
      <c r="AL873" s="57"/>
      <c r="AM873" s="45"/>
      <c r="AN873" s="45"/>
      <c r="AO873" s="45"/>
    </row>
    <row r="874" spans="1:41" hidden="1" outlineLevel="3" x14ac:dyDescent="0.25">
      <c r="A874" s="45"/>
      <c r="B874" s="54"/>
      <c r="C874" s="47">
        <f>INT($C$29)+2</f>
        <v>3</v>
      </c>
      <c r="D874" s="73"/>
      <c r="E874" s="70"/>
      <c r="F874" s="70" t="s">
        <v>1549</v>
      </c>
      <c r="G874" s="73"/>
      <c r="H874" s="76" t="s">
        <v>1468</v>
      </c>
      <c r="I874" s="96" t="s">
        <v>497</v>
      </c>
      <c r="J874" s="96"/>
      <c r="K874" s="76"/>
      <c r="L874" s="76"/>
      <c r="M874" s="76"/>
      <c r="N874" s="76"/>
      <c r="O874" s="76"/>
      <c r="P874" s="76"/>
      <c r="Q874" s="76"/>
      <c r="R874" s="76"/>
      <c r="S874" s="76"/>
      <c r="T874" s="76"/>
      <c r="U874" s="76"/>
      <c r="V874" s="76"/>
      <c r="W874" s="76"/>
      <c r="X874" s="76"/>
      <c r="Y874" s="76"/>
      <c r="Z874" s="76"/>
      <c r="AA874" s="76"/>
      <c r="AB874" s="76"/>
      <c r="AC874" s="76"/>
      <c r="AD874" s="76"/>
      <c r="AE874" s="76"/>
      <c r="AF874" s="76"/>
      <c r="AG874" s="76"/>
      <c r="AH874" s="76"/>
      <c r="AI874" s="76">
        <v>1</v>
      </c>
      <c r="AJ874" s="76">
        <v>1</v>
      </c>
      <c r="AK874" s="73"/>
      <c r="AL874" s="57"/>
      <c r="AM874" s="45"/>
      <c r="AN874" s="45"/>
      <c r="AO874" s="45"/>
    </row>
    <row r="875" spans="1:41" hidden="1" outlineLevel="3" x14ac:dyDescent="0.25">
      <c r="A875" s="45"/>
      <c r="B875" s="54"/>
      <c r="C875" s="47">
        <f>INT($C$29)+2</f>
        <v>3</v>
      </c>
      <c r="D875" s="73"/>
      <c r="E875" s="70"/>
      <c r="F875" s="70" t="s">
        <v>1550</v>
      </c>
      <c r="G875" s="73"/>
      <c r="H875" s="76" t="s">
        <v>1470</v>
      </c>
      <c r="I875" s="96" t="s">
        <v>497</v>
      </c>
      <c r="J875" s="96"/>
      <c r="K875" s="76"/>
      <c r="L875" s="76"/>
      <c r="M875" s="76"/>
      <c r="N875" s="76"/>
      <c r="O875" s="76"/>
      <c r="P875" s="76"/>
      <c r="Q875" s="76"/>
      <c r="R875" s="76"/>
      <c r="S875" s="76"/>
      <c r="T875" s="76"/>
      <c r="U875" s="76"/>
      <c r="V875" s="76"/>
      <c r="W875" s="76"/>
      <c r="X875" s="76"/>
      <c r="Y875" s="76"/>
      <c r="Z875" s="76"/>
      <c r="AA875" s="76"/>
      <c r="AB875" s="76"/>
      <c r="AC875" s="76"/>
      <c r="AD875" s="76"/>
      <c r="AE875" s="76"/>
      <c r="AF875" s="76"/>
      <c r="AG875" s="76"/>
      <c r="AH875" s="76"/>
      <c r="AI875" s="76">
        <v>1</v>
      </c>
      <c r="AJ875" s="76">
        <v>1</v>
      </c>
      <c r="AK875" s="73"/>
      <c r="AL875" s="57"/>
      <c r="AM875" s="45"/>
      <c r="AN875" s="45"/>
      <c r="AO875" s="45"/>
    </row>
    <row r="876" spans="1:41" hidden="1" outlineLevel="3" x14ac:dyDescent="0.25">
      <c r="A876" s="45"/>
      <c r="B876" s="54"/>
      <c r="C876" s="47">
        <f>INT($C$29)+2</f>
        <v>3</v>
      </c>
      <c r="D876" s="73"/>
      <c r="E876" s="70"/>
      <c r="F876" s="70" t="s">
        <v>1551</v>
      </c>
      <c r="G876" s="73"/>
      <c r="H876" s="76" t="s">
        <v>1472</v>
      </c>
      <c r="I876" s="96" t="s">
        <v>497</v>
      </c>
      <c r="J876" s="96"/>
      <c r="K876" s="76"/>
      <c r="L876" s="76"/>
      <c r="M876" s="76"/>
      <c r="N876" s="76"/>
      <c r="O876" s="76"/>
      <c r="P876" s="76"/>
      <c r="Q876" s="76"/>
      <c r="R876" s="76"/>
      <c r="S876" s="76"/>
      <c r="T876" s="76"/>
      <c r="U876" s="76"/>
      <c r="V876" s="76"/>
      <c r="W876" s="76"/>
      <c r="X876" s="76"/>
      <c r="Y876" s="76"/>
      <c r="Z876" s="76"/>
      <c r="AA876" s="76"/>
      <c r="AB876" s="76"/>
      <c r="AC876" s="76"/>
      <c r="AD876" s="76"/>
      <c r="AE876" s="76"/>
      <c r="AF876" s="76"/>
      <c r="AG876" s="76"/>
      <c r="AH876" s="76"/>
      <c r="AI876" s="76">
        <v>1</v>
      </c>
      <c r="AJ876" s="76">
        <v>1</v>
      </c>
      <c r="AK876" s="73"/>
      <c r="AL876" s="57"/>
      <c r="AM876" s="45"/>
      <c r="AN876" s="45"/>
      <c r="AO876" s="45"/>
    </row>
    <row r="877" spans="1:41" hidden="1" outlineLevel="3" x14ac:dyDescent="0.25">
      <c r="A877" s="45"/>
      <c r="B877" s="54"/>
      <c r="C877" s="47">
        <f t="shared" ref="C877:C884" si="272">INT($C$29)+3</f>
        <v>4</v>
      </c>
      <c r="D877" s="73"/>
      <c r="E877" s="70"/>
      <c r="F877" s="70" t="s">
        <v>1552</v>
      </c>
      <c r="G877" s="73"/>
      <c r="H877" s="76" t="s">
        <v>1553</v>
      </c>
      <c r="I877" s="96" t="s">
        <v>497</v>
      </c>
      <c r="J877" s="96"/>
      <c r="K877" s="76"/>
      <c r="L877" s="76"/>
      <c r="M877" s="76"/>
      <c r="N877" s="76"/>
      <c r="O877" s="76"/>
      <c r="P877" s="76"/>
      <c r="Q877" s="76"/>
      <c r="R877" s="76"/>
      <c r="S877" s="76"/>
      <c r="T877" s="76"/>
      <c r="U877" s="76"/>
      <c r="V877" s="76"/>
      <c r="W877" s="76"/>
      <c r="X877" s="76"/>
      <c r="Y877" s="76"/>
      <c r="Z877" s="76"/>
      <c r="AA877" s="76"/>
      <c r="AB877" s="76"/>
      <c r="AC877" s="76"/>
      <c r="AD877" s="76"/>
      <c r="AE877" s="76"/>
      <c r="AF877" s="76"/>
      <c r="AG877" s="76"/>
      <c r="AH877" s="76"/>
      <c r="AI877" s="76">
        <v>1</v>
      </c>
      <c r="AJ877" s="76">
        <v>1</v>
      </c>
      <c r="AK877" s="73"/>
      <c r="AL877" s="57"/>
      <c r="AM877" s="45"/>
      <c r="AN877" s="45"/>
      <c r="AO877" s="45"/>
    </row>
    <row r="878" spans="1:41" hidden="1" outlineLevel="3" x14ac:dyDescent="0.25">
      <c r="A878" s="45"/>
      <c r="B878" s="54"/>
      <c r="C878" s="47">
        <f t="shared" si="272"/>
        <v>4</v>
      </c>
      <c r="D878" s="73"/>
      <c r="E878" s="70"/>
      <c r="F878" s="70" t="s">
        <v>1554</v>
      </c>
      <c r="G878" s="73"/>
      <c r="H878" s="76" t="s">
        <v>1468</v>
      </c>
      <c r="I878" s="96" t="s">
        <v>497</v>
      </c>
      <c r="J878" s="96"/>
      <c r="K878" s="76"/>
      <c r="L878" s="76"/>
      <c r="M878" s="76"/>
      <c r="N878" s="76"/>
      <c r="O878" s="76"/>
      <c r="P878" s="76"/>
      <c r="Q878" s="76"/>
      <c r="R878" s="76"/>
      <c r="S878" s="76"/>
      <c r="T878" s="76"/>
      <c r="U878" s="76"/>
      <c r="V878" s="76"/>
      <c r="W878" s="76"/>
      <c r="X878" s="76"/>
      <c r="Y878" s="76"/>
      <c r="Z878" s="76"/>
      <c r="AA878" s="76"/>
      <c r="AB878" s="76"/>
      <c r="AC878" s="76"/>
      <c r="AD878" s="76"/>
      <c r="AE878" s="76"/>
      <c r="AF878" s="76"/>
      <c r="AG878" s="76"/>
      <c r="AH878" s="76"/>
      <c r="AI878" s="76">
        <v>1</v>
      </c>
      <c r="AJ878" s="76">
        <v>1</v>
      </c>
      <c r="AK878" s="73"/>
      <c r="AL878" s="57"/>
      <c r="AM878" s="45"/>
      <c r="AN878" s="45"/>
      <c r="AO878" s="45"/>
    </row>
    <row r="879" spans="1:41" hidden="1" outlineLevel="3" x14ac:dyDescent="0.25">
      <c r="A879" s="45"/>
      <c r="B879" s="54"/>
      <c r="C879" s="47">
        <f t="shared" si="272"/>
        <v>4</v>
      </c>
      <c r="D879" s="73"/>
      <c r="E879" s="70"/>
      <c r="F879" s="70" t="s">
        <v>1555</v>
      </c>
      <c r="G879" s="73"/>
      <c r="H879" s="76" t="s">
        <v>1470</v>
      </c>
      <c r="I879" s="96" t="s">
        <v>497</v>
      </c>
      <c r="J879" s="96"/>
      <c r="K879" s="76"/>
      <c r="L879" s="76"/>
      <c r="M879" s="76"/>
      <c r="N879" s="76"/>
      <c r="O879" s="76"/>
      <c r="P879" s="76"/>
      <c r="Q879" s="76"/>
      <c r="R879" s="76"/>
      <c r="S879" s="76"/>
      <c r="T879" s="76"/>
      <c r="U879" s="76"/>
      <c r="V879" s="76"/>
      <c r="W879" s="76"/>
      <c r="X879" s="76"/>
      <c r="Y879" s="76"/>
      <c r="Z879" s="76"/>
      <c r="AA879" s="76"/>
      <c r="AB879" s="76"/>
      <c r="AC879" s="76"/>
      <c r="AD879" s="76"/>
      <c r="AE879" s="76"/>
      <c r="AF879" s="76"/>
      <c r="AG879" s="76"/>
      <c r="AH879" s="76"/>
      <c r="AI879" s="76">
        <v>1</v>
      </c>
      <c r="AJ879" s="76">
        <v>1</v>
      </c>
      <c r="AK879" s="73"/>
      <c r="AL879" s="57"/>
      <c r="AM879" s="45"/>
      <c r="AN879" s="45"/>
      <c r="AO879" s="45"/>
    </row>
    <row r="880" spans="1:41" hidden="1" outlineLevel="3" x14ac:dyDescent="0.25">
      <c r="A880" s="45"/>
      <c r="B880" s="54"/>
      <c r="C880" s="47">
        <f t="shared" si="272"/>
        <v>4</v>
      </c>
      <c r="D880" s="73"/>
      <c r="E880" s="70"/>
      <c r="F880" s="70" t="s">
        <v>1556</v>
      </c>
      <c r="G880" s="73"/>
      <c r="H880" s="76" t="s">
        <v>1472</v>
      </c>
      <c r="I880" s="96" t="s">
        <v>497</v>
      </c>
      <c r="J880" s="96"/>
      <c r="K880" s="76"/>
      <c r="L880" s="76"/>
      <c r="M880" s="76"/>
      <c r="N880" s="76"/>
      <c r="O880" s="76"/>
      <c r="P880" s="76"/>
      <c r="Q880" s="76"/>
      <c r="R880" s="76"/>
      <c r="S880" s="76"/>
      <c r="T880" s="76"/>
      <c r="U880" s="76"/>
      <c r="V880" s="76"/>
      <c r="W880" s="76"/>
      <c r="X880" s="76"/>
      <c r="Y880" s="76"/>
      <c r="Z880" s="76"/>
      <c r="AA880" s="76"/>
      <c r="AB880" s="76"/>
      <c r="AC880" s="76"/>
      <c r="AD880" s="76"/>
      <c r="AE880" s="76"/>
      <c r="AF880" s="76"/>
      <c r="AG880" s="76"/>
      <c r="AH880" s="76"/>
      <c r="AI880" s="76">
        <v>1</v>
      </c>
      <c r="AJ880" s="76">
        <v>1</v>
      </c>
      <c r="AK880" s="73"/>
      <c r="AL880" s="57"/>
      <c r="AM880" s="45"/>
      <c r="AN880" s="45"/>
      <c r="AO880" s="45"/>
    </row>
    <row r="881" spans="1:41" hidden="1" outlineLevel="2" x14ac:dyDescent="0.25">
      <c r="A881" s="45"/>
      <c r="B881" s="54"/>
      <c r="C881" s="47">
        <f t="shared" si="272"/>
        <v>4</v>
      </c>
      <c r="D881" s="73"/>
      <c r="E881" s="70"/>
      <c r="F881" s="70" t="s">
        <v>1557</v>
      </c>
      <c r="G881" s="73"/>
      <c r="H881" s="76" t="s">
        <v>1558</v>
      </c>
      <c r="I881" s="96" t="s">
        <v>497</v>
      </c>
      <c r="J881" s="96"/>
      <c r="K881" s="76"/>
      <c r="L881" s="76"/>
      <c r="M881" s="76"/>
      <c r="N881" s="76"/>
      <c r="O881" s="76"/>
      <c r="P881" s="76"/>
      <c r="Q881" s="76"/>
      <c r="R881" s="76"/>
      <c r="S881" s="76"/>
      <c r="T881" s="76"/>
      <c r="U881" s="76"/>
      <c r="V881" s="76"/>
      <c r="W881" s="76"/>
      <c r="X881" s="76"/>
      <c r="Y881" s="76"/>
      <c r="Z881" s="76"/>
      <c r="AA881" s="76"/>
      <c r="AB881" s="76"/>
      <c r="AC881" s="76"/>
      <c r="AD881" s="76"/>
      <c r="AE881" s="76"/>
      <c r="AF881" s="76"/>
      <c r="AG881" s="76"/>
      <c r="AH881" s="76"/>
      <c r="AI881" s="76">
        <v>1</v>
      </c>
      <c r="AJ881" s="76">
        <v>1</v>
      </c>
      <c r="AK881" s="73"/>
      <c r="AL881" s="57"/>
      <c r="AM881" s="45"/>
      <c r="AN881" s="45"/>
      <c r="AO881" s="45"/>
    </row>
    <row r="882" spans="1:41" hidden="1" outlineLevel="2" x14ac:dyDescent="0.25">
      <c r="A882" s="45"/>
      <c r="B882" s="54"/>
      <c r="C882" s="47">
        <f t="shared" si="272"/>
        <v>4</v>
      </c>
      <c r="D882" s="73"/>
      <c r="E882" s="70"/>
      <c r="F882" s="70" t="s">
        <v>1559</v>
      </c>
      <c r="G882" s="73"/>
      <c r="H882" s="76" t="s">
        <v>1468</v>
      </c>
      <c r="I882" s="96" t="s">
        <v>497</v>
      </c>
      <c r="J882" s="96"/>
      <c r="K882" s="76"/>
      <c r="L882" s="76"/>
      <c r="M882" s="76"/>
      <c r="N882" s="76"/>
      <c r="O882" s="76"/>
      <c r="P882" s="76"/>
      <c r="Q882" s="76"/>
      <c r="R882" s="76"/>
      <c r="S882" s="76"/>
      <c r="T882" s="76"/>
      <c r="U882" s="76"/>
      <c r="V882" s="76"/>
      <c r="W882" s="76"/>
      <c r="X882" s="76"/>
      <c r="Y882" s="76"/>
      <c r="Z882" s="76"/>
      <c r="AA882" s="76"/>
      <c r="AB882" s="76"/>
      <c r="AC882" s="76"/>
      <c r="AD882" s="76"/>
      <c r="AE882" s="76"/>
      <c r="AF882" s="76"/>
      <c r="AG882" s="76"/>
      <c r="AH882" s="76"/>
      <c r="AI882" s="76">
        <v>1</v>
      </c>
      <c r="AJ882" s="76">
        <v>1</v>
      </c>
      <c r="AK882" s="73"/>
      <c r="AL882" s="57"/>
      <c r="AM882" s="45"/>
      <c r="AN882" s="45"/>
      <c r="AO882" s="45"/>
    </row>
    <row r="883" spans="1:41" hidden="1" outlineLevel="2" x14ac:dyDescent="0.25">
      <c r="A883" s="45"/>
      <c r="B883" s="54"/>
      <c r="C883" s="47">
        <f t="shared" si="272"/>
        <v>4</v>
      </c>
      <c r="D883" s="73"/>
      <c r="E883" s="70"/>
      <c r="F883" s="70" t="s">
        <v>1560</v>
      </c>
      <c r="G883" s="73"/>
      <c r="H883" s="76" t="s">
        <v>1470</v>
      </c>
      <c r="I883" s="96" t="s">
        <v>497</v>
      </c>
      <c r="J883" s="96"/>
      <c r="K883" s="76"/>
      <c r="L883" s="76"/>
      <c r="M883" s="76"/>
      <c r="N883" s="76"/>
      <c r="O883" s="76"/>
      <c r="P883" s="76"/>
      <c r="Q883" s="76"/>
      <c r="R883" s="76"/>
      <c r="S883" s="76"/>
      <c r="T883" s="76"/>
      <c r="U883" s="76"/>
      <c r="V883" s="76"/>
      <c r="W883" s="76"/>
      <c r="X883" s="76"/>
      <c r="Y883" s="76"/>
      <c r="Z883" s="76"/>
      <c r="AA883" s="76"/>
      <c r="AB883" s="76"/>
      <c r="AC883" s="76"/>
      <c r="AD883" s="76"/>
      <c r="AE883" s="76"/>
      <c r="AF883" s="76"/>
      <c r="AG883" s="76"/>
      <c r="AH883" s="76"/>
      <c r="AI883" s="76">
        <v>1</v>
      </c>
      <c r="AJ883" s="76">
        <v>1</v>
      </c>
      <c r="AK883" s="73"/>
      <c r="AL883" s="57"/>
      <c r="AM883" s="45"/>
      <c r="AN883" s="45"/>
      <c r="AO883" s="45"/>
    </row>
    <row r="884" spans="1:41" hidden="1" outlineLevel="2" x14ac:dyDescent="0.25">
      <c r="A884" s="45"/>
      <c r="B884" s="54"/>
      <c r="C884" s="47">
        <f t="shared" si="272"/>
        <v>4</v>
      </c>
      <c r="D884" s="73"/>
      <c r="E884" s="70"/>
      <c r="F884" s="70" t="s">
        <v>1561</v>
      </c>
      <c r="G884" s="73"/>
      <c r="H884" s="76" t="s">
        <v>1472</v>
      </c>
      <c r="I884" s="96" t="s">
        <v>497</v>
      </c>
      <c r="J884" s="96"/>
      <c r="K884" s="76"/>
      <c r="L884" s="76"/>
      <c r="M884" s="76"/>
      <c r="N884" s="76"/>
      <c r="O884" s="76"/>
      <c r="P884" s="76"/>
      <c r="Q884" s="76"/>
      <c r="R884" s="76"/>
      <c r="S884" s="76"/>
      <c r="T884" s="76"/>
      <c r="U884" s="76"/>
      <c r="V884" s="76"/>
      <c r="W884" s="76"/>
      <c r="X884" s="76"/>
      <c r="Y884" s="76"/>
      <c r="Z884" s="76"/>
      <c r="AA884" s="76"/>
      <c r="AB884" s="76"/>
      <c r="AC884" s="76"/>
      <c r="AD884" s="76"/>
      <c r="AE884" s="76"/>
      <c r="AF884" s="76"/>
      <c r="AG884" s="76"/>
      <c r="AH884" s="76"/>
      <c r="AI884" s="76">
        <v>1</v>
      </c>
      <c r="AJ884" s="76">
        <v>1</v>
      </c>
      <c r="AK884" s="73"/>
      <c r="AL884" s="57"/>
      <c r="AM884" s="45"/>
      <c r="AN884" s="45"/>
      <c r="AO884" s="45"/>
    </row>
    <row r="885" spans="1:41" hidden="1" outlineLevel="2" x14ac:dyDescent="0.25">
      <c r="A885" s="45"/>
      <c r="B885" s="54"/>
      <c r="C885" s="47">
        <f t="shared" ref="C885:C953" si="273">INT($C$29)+2</f>
        <v>3</v>
      </c>
      <c r="D885" s="73"/>
      <c r="E885" s="70" t="s">
        <v>779</v>
      </c>
      <c r="F885" s="70" t="s">
        <v>1562</v>
      </c>
      <c r="G885" s="73"/>
      <c r="H885" s="76" t="s">
        <v>1563</v>
      </c>
      <c r="I885" s="96" t="s">
        <v>497</v>
      </c>
      <c r="J885" s="96"/>
      <c r="K885" s="76"/>
      <c r="L885" s="76"/>
      <c r="M885" s="76"/>
      <c r="N885" s="76"/>
      <c r="O885" s="76"/>
      <c r="P885" s="76"/>
      <c r="Q885" s="76"/>
      <c r="R885" s="76"/>
      <c r="S885" s="76"/>
      <c r="T885" s="76"/>
      <c r="U885" s="76">
        <v>0</v>
      </c>
      <c r="V885" s="76">
        <v>0</v>
      </c>
      <c r="W885" s="76">
        <v>0</v>
      </c>
      <c r="X885" s="76">
        <v>0</v>
      </c>
      <c r="Y885" s="76">
        <v>0</v>
      </c>
      <c r="Z885" s="76">
        <v>0</v>
      </c>
      <c r="AA885" s="76">
        <v>0</v>
      </c>
      <c r="AB885" s="76">
        <v>0</v>
      </c>
      <c r="AC885" s="76">
        <v>0</v>
      </c>
      <c r="AD885" s="76">
        <v>0</v>
      </c>
      <c r="AE885" s="76">
        <v>0</v>
      </c>
      <c r="AF885" s="76"/>
      <c r="AG885" s="264"/>
      <c r="AH885" s="76"/>
      <c r="AI885" s="76">
        <v>1</v>
      </c>
      <c r="AJ885" s="76">
        <v>1</v>
      </c>
      <c r="AK885" s="73"/>
      <c r="AL885" s="57"/>
      <c r="AM885" s="45"/>
      <c r="AN885" s="45"/>
      <c r="AO885" s="45"/>
    </row>
    <row r="886" spans="1:41" hidden="1" outlineLevel="2" x14ac:dyDescent="0.25">
      <c r="A886" s="45"/>
      <c r="B886" s="54"/>
      <c r="C886" s="47">
        <f t="shared" si="273"/>
        <v>3</v>
      </c>
      <c r="D886" s="73"/>
      <c r="E886" s="70"/>
      <c r="F886" s="70" t="s">
        <v>1564</v>
      </c>
      <c r="G886" s="73"/>
      <c r="H886" s="76" t="s">
        <v>1565</v>
      </c>
      <c r="I886" s="96" t="s">
        <v>497</v>
      </c>
      <c r="J886" s="96"/>
      <c r="K886" s="97">
        <v>1.5</v>
      </c>
      <c r="L886" s="97">
        <v>1.5</v>
      </c>
      <c r="M886" s="97">
        <v>1</v>
      </c>
      <c r="N886" s="97">
        <v>1</v>
      </c>
      <c r="O886" s="97">
        <v>1</v>
      </c>
      <c r="P886" s="97">
        <v>1</v>
      </c>
      <c r="Q886" s="76"/>
      <c r="R886" s="76" t="s">
        <v>545</v>
      </c>
      <c r="S886" s="76" t="s">
        <v>545</v>
      </c>
      <c r="T886" s="76"/>
      <c r="U886" s="253">
        <f t="shared" ref="U886:AE888" si="274">INDEX($K886:$Q886,1,U$43)</f>
        <v>1.5</v>
      </c>
      <c r="V886" s="253">
        <f t="shared" si="274"/>
        <v>1.5</v>
      </c>
      <c r="W886" s="253">
        <f t="shared" si="274"/>
        <v>1.5</v>
      </c>
      <c r="X886" s="253">
        <f t="shared" si="274"/>
        <v>1.5</v>
      </c>
      <c r="Y886" s="253">
        <f t="shared" si="274"/>
        <v>1.5</v>
      </c>
      <c r="Z886" s="253">
        <f t="shared" si="274"/>
        <v>1.5</v>
      </c>
      <c r="AA886" s="253">
        <f t="shared" si="274"/>
        <v>1.5</v>
      </c>
      <c r="AB886" s="253">
        <f t="shared" si="274"/>
        <v>1.5</v>
      </c>
      <c r="AC886" s="253">
        <f t="shared" si="274"/>
        <v>1.5</v>
      </c>
      <c r="AD886" s="253">
        <f t="shared" si="274"/>
        <v>1.5</v>
      </c>
      <c r="AE886" s="253">
        <f t="shared" si="274"/>
        <v>1.5</v>
      </c>
      <c r="AF886" s="76"/>
      <c r="AG886" s="76"/>
      <c r="AH886" s="76"/>
      <c r="AI886" s="97">
        <v>1</v>
      </c>
      <c r="AJ886" s="97">
        <v>1</v>
      </c>
      <c r="AK886" s="73"/>
      <c r="AL886" s="57"/>
      <c r="AM886" s="45"/>
      <c r="AN886" s="45"/>
      <c r="AO886" s="45"/>
    </row>
    <row r="887" spans="1:41" hidden="1" outlineLevel="2" x14ac:dyDescent="0.25">
      <c r="A887" s="45"/>
      <c r="B887" s="54"/>
      <c r="C887" s="47">
        <f t="shared" si="273"/>
        <v>3</v>
      </c>
      <c r="D887" s="73"/>
      <c r="E887" s="70"/>
      <c r="F887" s="70" t="s">
        <v>1566</v>
      </c>
      <c r="G887" s="73"/>
      <c r="H887" s="76" t="s">
        <v>1567</v>
      </c>
      <c r="I887" s="96" t="s">
        <v>497</v>
      </c>
      <c r="J887" s="96"/>
      <c r="K887" s="97">
        <v>1.75</v>
      </c>
      <c r="L887" s="97">
        <v>1.75</v>
      </c>
      <c r="M887" s="76"/>
      <c r="N887" s="76"/>
      <c r="O887" s="76"/>
      <c r="P887" s="76"/>
      <c r="Q887" s="76"/>
      <c r="R887" s="76" t="s">
        <v>545</v>
      </c>
      <c r="S887" s="76"/>
      <c r="T887" s="76"/>
      <c r="U887" s="253">
        <f t="shared" si="274"/>
        <v>1.75</v>
      </c>
      <c r="V887" s="253">
        <f t="shared" si="274"/>
        <v>1.75</v>
      </c>
      <c r="W887" s="253">
        <f t="shared" si="274"/>
        <v>1.75</v>
      </c>
      <c r="X887" s="253">
        <f t="shared" si="274"/>
        <v>1.75</v>
      </c>
      <c r="Y887" s="253">
        <f t="shared" si="274"/>
        <v>1.75</v>
      </c>
      <c r="Z887" s="253">
        <f t="shared" si="274"/>
        <v>1.75</v>
      </c>
      <c r="AA887" s="253">
        <f t="shared" si="274"/>
        <v>1.75</v>
      </c>
      <c r="AB887" s="253">
        <f t="shared" si="274"/>
        <v>1.75</v>
      </c>
      <c r="AC887" s="253">
        <f t="shared" si="274"/>
        <v>1.75</v>
      </c>
      <c r="AD887" s="253">
        <f t="shared" si="274"/>
        <v>1.75</v>
      </c>
      <c r="AE887" s="253">
        <f t="shared" si="274"/>
        <v>1.75</v>
      </c>
      <c r="AF887" s="76"/>
      <c r="AG887" s="76"/>
      <c r="AH887" s="76"/>
      <c r="AI887" s="97">
        <v>1</v>
      </c>
      <c r="AJ887" s="97">
        <v>1</v>
      </c>
      <c r="AK887" s="73"/>
      <c r="AL887" s="57"/>
      <c r="AM887" s="45"/>
      <c r="AN887" s="45"/>
      <c r="AO887" s="45"/>
    </row>
    <row r="888" spans="1:41" hidden="1" outlineLevel="2" x14ac:dyDescent="0.25">
      <c r="A888" s="45"/>
      <c r="B888" s="54"/>
      <c r="C888" s="47">
        <f t="shared" si="273"/>
        <v>3</v>
      </c>
      <c r="D888" s="73"/>
      <c r="E888" s="70"/>
      <c r="F888" s="70" t="s">
        <v>1568</v>
      </c>
      <c r="G888" s="73"/>
      <c r="H888" s="76" t="s">
        <v>1569</v>
      </c>
      <c r="I888" s="96" t="s">
        <v>497</v>
      </c>
      <c r="J888" s="96"/>
      <c r="K888" s="97">
        <v>2</v>
      </c>
      <c r="L888" s="97">
        <v>2</v>
      </c>
      <c r="M888" s="76"/>
      <c r="N888" s="76"/>
      <c r="O888" s="76"/>
      <c r="P888" s="76"/>
      <c r="Q888" s="76"/>
      <c r="R888" s="76" t="s">
        <v>545</v>
      </c>
      <c r="S888" s="76"/>
      <c r="T888" s="76"/>
      <c r="U888" s="253">
        <f t="shared" si="274"/>
        <v>2</v>
      </c>
      <c r="V888" s="253">
        <f t="shared" si="274"/>
        <v>2</v>
      </c>
      <c r="W888" s="253">
        <f t="shared" si="274"/>
        <v>2</v>
      </c>
      <c r="X888" s="253">
        <f t="shared" si="274"/>
        <v>2</v>
      </c>
      <c r="Y888" s="253">
        <f t="shared" si="274"/>
        <v>2</v>
      </c>
      <c r="Z888" s="253">
        <f t="shared" si="274"/>
        <v>2</v>
      </c>
      <c r="AA888" s="253">
        <f t="shared" si="274"/>
        <v>2</v>
      </c>
      <c r="AB888" s="253">
        <f t="shared" si="274"/>
        <v>2</v>
      </c>
      <c r="AC888" s="253">
        <f t="shared" si="274"/>
        <v>2</v>
      </c>
      <c r="AD888" s="253">
        <f t="shared" si="274"/>
        <v>2</v>
      </c>
      <c r="AE888" s="253">
        <f t="shared" si="274"/>
        <v>2</v>
      </c>
      <c r="AF888" s="76"/>
      <c r="AG888" s="76"/>
      <c r="AH888" s="76"/>
      <c r="AI888" s="97">
        <v>1</v>
      </c>
      <c r="AJ888" s="97">
        <v>1</v>
      </c>
      <c r="AK888" s="73"/>
      <c r="AL888" s="57"/>
      <c r="AM888" s="45"/>
      <c r="AN888" s="45"/>
      <c r="AO888" s="45"/>
    </row>
    <row r="889" spans="1:41" hidden="1" outlineLevel="2" x14ac:dyDescent="0.25">
      <c r="A889" s="45"/>
      <c r="B889" s="54"/>
      <c r="C889" s="47">
        <f t="shared" si="273"/>
        <v>3</v>
      </c>
      <c r="D889" s="73"/>
      <c r="E889" s="70" t="s">
        <v>782</v>
      </c>
      <c r="F889" s="70" t="s">
        <v>1570</v>
      </c>
      <c r="G889" s="73"/>
      <c r="H889" s="76" t="s">
        <v>1571</v>
      </c>
      <c r="I889" s="96" t="s">
        <v>497</v>
      </c>
      <c r="J889" s="96" t="s">
        <v>1166</v>
      </c>
      <c r="K889" s="76"/>
      <c r="L889" s="76"/>
      <c r="M889" s="76"/>
      <c r="N889" s="76"/>
      <c r="O889" s="76"/>
      <c r="P889" s="76"/>
      <c r="Q889" s="76"/>
      <c r="R889" s="76"/>
      <c r="S889" s="76"/>
      <c r="T889" s="76"/>
      <c r="U889" s="76">
        <v>0</v>
      </c>
      <c r="V889" s="76">
        <v>0</v>
      </c>
      <c r="W889" s="76">
        <v>0</v>
      </c>
      <c r="X889" s="76">
        <v>0</v>
      </c>
      <c r="Y889" s="76">
        <v>0</v>
      </c>
      <c r="Z889" s="76">
        <v>0</v>
      </c>
      <c r="AA889" s="76">
        <v>0</v>
      </c>
      <c r="AB889" s="76">
        <v>0</v>
      </c>
      <c r="AC889" s="76">
        <v>0</v>
      </c>
      <c r="AD889" s="76">
        <v>0</v>
      </c>
      <c r="AE889" s="76">
        <v>0</v>
      </c>
      <c r="AF889" s="76"/>
      <c r="AG889" s="76"/>
      <c r="AH889" s="76"/>
      <c r="AI889" s="76">
        <v>1</v>
      </c>
      <c r="AJ889" s="76">
        <v>1</v>
      </c>
      <c r="AK889" s="73"/>
      <c r="AL889" s="57"/>
      <c r="AM889" s="45"/>
      <c r="AN889" s="45"/>
      <c r="AO889" s="45"/>
    </row>
    <row r="890" spans="1:41" hidden="1" outlineLevel="2" x14ac:dyDescent="0.25">
      <c r="A890" s="45"/>
      <c r="B890" s="54"/>
      <c r="C890" s="47">
        <f t="shared" si="273"/>
        <v>3</v>
      </c>
      <c r="D890" s="73"/>
      <c r="E890" s="70"/>
      <c r="F890" s="70" t="s">
        <v>1572</v>
      </c>
      <c r="G890" s="73"/>
      <c r="H890" s="76" t="s">
        <v>1573</v>
      </c>
      <c r="I890" s="96" t="s">
        <v>90</v>
      </c>
      <c r="J890" s="96" t="s">
        <v>1166</v>
      </c>
      <c r="K890" s="97">
        <v>0.1</v>
      </c>
      <c r="L890" s="97">
        <v>0.1</v>
      </c>
      <c r="M890" s="97">
        <v>7.0000000000000007E-2</v>
      </c>
      <c r="N890" s="97">
        <v>7.0000000000000007E-2</v>
      </c>
      <c r="O890" s="97">
        <v>7.0000000000000007E-2</v>
      </c>
      <c r="P890" s="97">
        <v>7.0000000000000007E-2</v>
      </c>
      <c r="Q890" s="76"/>
      <c r="R890" s="76" t="s">
        <v>545</v>
      </c>
      <c r="S890" s="76" t="s">
        <v>545</v>
      </c>
      <c r="T890" s="76"/>
      <c r="U890" s="253">
        <f t="shared" ref="U890:AE892" si="275">INDEX($K890:$Q890,1,U$43)</f>
        <v>0.1</v>
      </c>
      <c r="V890" s="253">
        <f t="shared" si="275"/>
        <v>0.1</v>
      </c>
      <c r="W890" s="253">
        <f t="shared" si="275"/>
        <v>0.1</v>
      </c>
      <c r="X890" s="253">
        <f t="shared" si="275"/>
        <v>0.1</v>
      </c>
      <c r="Y890" s="253">
        <f t="shared" si="275"/>
        <v>0.1</v>
      </c>
      <c r="Z890" s="253">
        <f t="shared" si="275"/>
        <v>0.1</v>
      </c>
      <c r="AA890" s="253">
        <f t="shared" si="275"/>
        <v>0.1</v>
      </c>
      <c r="AB890" s="253">
        <f t="shared" si="275"/>
        <v>0.1</v>
      </c>
      <c r="AC890" s="253">
        <f t="shared" si="275"/>
        <v>0.1</v>
      </c>
      <c r="AD890" s="253">
        <f t="shared" si="275"/>
        <v>0.1</v>
      </c>
      <c r="AE890" s="253">
        <f t="shared" si="275"/>
        <v>0.1</v>
      </c>
      <c r="AF890" s="76"/>
      <c r="AG890" s="76"/>
      <c r="AH890" s="76"/>
      <c r="AI890" s="97">
        <v>1</v>
      </c>
      <c r="AJ890" s="97">
        <v>1</v>
      </c>
      <c r="AK890" s="73"/>
      <c r="AL890" s="57"/>
      <c r="AM890" s="45"/>
      <c r="AN890" s="45"/>
      <c r="AO890" s="45"/>
    </row>
    <row r="891" spans="1:41" hidden="1" outlineLevel="2" x14ac:dyDescent="0.25">
      <c r="A891" s="45"/>
      <c r="B891" s="54"/>
      <c r="C891" s="47">
        <f t="shared" si="273"/>
        <v>3</v>
      </c>
      <c r="D891" s="73"/>
      <c r="E891" s="70"/>
      <c r="F891" s="70" t="s">
        <v>1574</v>
      </c>
      <c r="G891" s="73"/>
      <c r="H891" s="76" t="s">
        <v>1575</v>
      </c>
      <c r="I891" s="96" t="s">
        <v>90</v>
      </c>
      <c r="J891" s="96" t="s">
        <v>1166</v>
      </c>
      <c r="K891" s="97">
        <v>8.5000000000000006E-2</v>
      </c>
      <c r="L891" s="97">
        <v>8.5000000000000006E-2</v>
      </c>
      <c r="M891" s="76"/>
      <c r="N891" s="76"/>
      <c r="O891" s="76"/>
      <c r="P891" s="76"/>
      <c r="Q891" s="76"/>
      <c r="R891" s="76" t="s">
        <v>545</v>
      </c>
      <c r="S891" s="76"/>
      <c r="T891" s="76"/>
      <c r="U891" s="253">
        <f t="shared" si="275"/>
        <v>8.5000000000000006E-2</v>
      </c>
      <c r="V891" s="253">
        <f t="shared" si="275"/>
        <v>8.5000000000000006E-2</v>
      </c>
      <c r="W891" s="253">
        <f t="shared" si="275"/>
        <v>8.5000000000000006E-2</v>
      </c>
      <c r="X891" s="253">
        <f t="shared" si="275"/>
        <v>8.5000000000000006E-2</v>
      </c>
      <c r="Y891" s="253">
        <f t="shared" si="275"/>
        <v>8.5000000000000006E-2</v>
      </c>
      <c r="Z891" s="253">
        <f t="shared" si="275"/>
        <v>8.5000000000000006E-2</v>
      </c>
      <c r="AA891" s="253">
        <f t="shared" si="275"/>
        <v>8.5000000000000006E-2</v>
      </c>
      <c r="AB891" s="253">
        <f t="shared" si="275"/>
        <v>8.5000000000000006E-2</v>
      </c>
      <c r="AC891" s="253">
        <f t="shared" si="275"/>
        <v>8.5000000000000006E-2</v>
      </c>
      <c r="AD891" s="253">
        <f t="shared" si="275"/>
        <v>8.5000000000000006E-2</v>
      </c>
      <c r="AE891" s="253">
        <f t="shared" si="275"/>
        <v>8.5000000000000006E-2</v>
      </c>
      <c r="AF891" s="76"/>
      <c r="AG891" s="76"/>
      <c r="AH891" s="76"/>
      <c r="AI891" s="97">
        <v>1</v>
      </c>
      <c r="AJ891" s="97">
        <v>1</v>
      </c>
      <c r="AK891" s="73"/>
      <c r="AL891" s="57"/>
      <c r="AM891" s="45"/>
      <c r="AN891" s="45"/>
      <c r="AO891" s="45"/>
    </row>
    <row r="892" spans="1:41" hidden="1" outlineLevel="2" x14ac:dyDescent="0.25">
      <c r="A892" s="45"/>
      <c r="B892" s="54"/>
      <c r="C892" s="47">
        <f t="shared" si="273"/>
        <v>3</v>
      </c>
      <c r="D892" s="73"/>
      <c r="E892" s="70"/>
      <c r="F892" s="70" t="s">
        <v>1576</v>
      </c>
      <c r="G892" s="73"/>
      <c r="H892" s="76" t="s">
        <v>1577</v>
      </c>
      <c r="I892" s="96" t="s">
        <v>90</v>
      </c>
      <c r="J892" s="96" t="s">
        <v>1166</v>
      </c>
      <c r="K892" s="97">
        <v>7.0000000000000007E-2</v>
      </c>
      <c r="L892" s="97">
        <v>7.0000000000000007E-2</v>
      </c>
      <c r="M892" s="76"/>
      <c r="N892" s="76"/>
      <c r="O892" s="76"/>
      <c r="P892" s="76"/>
      <c r="Q892" s="76"/>
      <c r="R892" s="76" t="s">
        <v>545</v>
      </c>
      <c r="S892" s="76"/>
      <c r="T892" s="76"/>
      <c r="U892" s="253">
        <f t="shared" si="275"/>
        <v>7.0000000000000007E-2</v>
      </c>
      <c r="V892" s="253">
        <f t="shared" si="275"/>
        <v>7.0000000000000007E-2</v>
      </c>
      <c r="W892" s="253">
        <f t="shared" si="275"/>
        <v>7.0000000000000007E-2</v>
      </c>
      <c r="X892" s="253">
        <f t="shared" si="275"/>
        <v>7.0000000000000007E-2</v>
      </c>
      <c r="Y892" s="253">
        <f t="shared" si="275"/>
        <v>7.0000000000000007E-2</v>
      </c>
      <c r="Z892" s="253">
        <f t="shared" si="275"/>
        <v>7.0000000000000007E-2</v>
      </c>
      <c r="AA892" s="253">
        <f t="shared" si="275"/>
        <v>7.0000000000000007E-2</v>
      </c>
      <c r="AB892" s="253">
        <f t="shared" si="275"/>
        <v>7.0000000000000007E-2</v>
      </c>
      <c r="AC892" s="253">
        <f t="shared" si="275"/>
        <v>7.0000000000000007E-2</v>
      </c>
      <c r="AD892" s="253">
        <f t="shared" si="275"/>
        <v>7.0000000000000007E-2</v>
      </c>
      <c r="AE892" s="253">
        <f t="shared" si="275"/>
        <v>7.0000000000000007E-2</v>
      </c>
      <c r="AF892" s="76"/>
      <c r="AG892" s="76"/>
      <c r="AH892" s="76"/>
      <c r="AI892" s="97">
        <v>1</v>
      </c>
      <c r="AJ892" s="97">
        <v>1</v>
      </c>
      <c r="AK892" s="73"/>
      <c r="AL892" s="57"/>
      <c r="AM892" s="45"/>
      <c r="AN892" s="45"/>
      <c r="AO892" s="45"/>
    </row>
    <row r="893" spans="1:41" hidden="1" outlineLevel="2" x14ac:dyDescent="0.25">
      <c r="A893" s="45"/>
      <c r="B893" s="54"/>
      <c r="C893" s="47">
        <f t="shared" si="273"/>
        <v>3</v>
      </c>
      <c r="D893" s="73"/>
      <c r="E893" s="70"/>
      <c r="F893" s="70" t="s">
        <v>1578</v>
      </c>
      <c r="G893" s="73"/>
      <c r="H893" s="76" t="s">
        <v>1579</v>
      </c>
      <c r="I893" s="96" t="s">
        <v>497</v>
      </c>
      <c r="J893" s="96" t="s">
        <v>1138</v>
      </c>
      <c r="K893" s="76"/>
      <c r="L893" s="76"/>
      <c r="M893" s="76"/>
      <c r="N893" s="76"/>
      <c r="O893" s="76"/>
      <c r="P893" s="76"/>
      <c r="Q893" s="76"/>
      <c r="R893" s="76"/>
      <c r="S893" s="76"/>
      <c r="T893" s="76"/>
      <c r="U893" s="76">
        <v>0</v>
      </c>
      <c r="V893" s="76">
        <v>0</v>
      </c>
      <c r="W893" s="76">
        <v>0</v>
      </c>
      <c r="X893" s="76">
        <v>0</v>
      </c>
      <c r="Y893" s="76">
        <v>0</v>
      </c>
      <c r="Z893" s="76">
        <v>0</v>
      </c>
      <c r="AA893" s="76">
        <v>0</v>
      </c>
      <c r="AB893" s="76">
        <v>0</v>
      </c>
      <c r="AC893" s="76">
        <v>0</v>
      </c>
      <c r="AD893" s="76">
        <v>0</v>
      </c>
      <c r="AE893" s="76">
        <v>0</v>
      </c>
      <c r="AF893" s="76"/>
      <c r="AG893" s="76"/>
      <c r="AH893" s="76"/>
      <c r="AI893" s="76">
        <v>1</v>
      </c>
      <c r="AJ893" s="76">
        <v>1</v>
      </c>
      <c r="AK893" s="73"/>
      <c r="AL893" s="57"/>
      <c r="AM893" s="45"/>
      <c r="AN893" s="45"/>
      <c r="AO893" s="45"/>
    </row>
    <row r="894" spans="1:41" hidden="1" outlineLevel="2" x14ac:dyDescent="0.25">
      <c r="A894" s="45"/>
      <c r="B894" s="54"/>
      <c r="C894" s="47">
        <f t="shared" si="273"/>
        <v>3</v>
      </c>
      <c r="D894" s="73"/>
      <c r="E894" s="70"/>
      <c r="F894" s="70" t="s">
        <v>1580</v>
      </c>
      <c r="G894" s="73"/>
      <c r="H894" s="76" t="s">
        <v>1581</v>
      </c>
      <c r="I894" s="96" t="s">
        <v>687</v>
      </c>
      <c r="J894" s="96" t="s">
        <v>1138</v>
      </c>
      <c r="K894" s="76"/>
      <c r="L894" s="76"/>
      <c r="M894" s="76"/>
      <c r="N894" s="76"/>
      <c r="O894" s="76"/>
      <c r="P894" s="76"/>
      <c r="Q894" s="76"/>
      <c r="R894" s="76"/>
      <c r="S894" s="76"/>
      <c r="T894" s="76"/>
      <c r="U894" s="97">
        <v>0</v>
      </c>
      <c r="V894" s="255">
        <f>U894</f>
        <v>0</v>
      </c>
      <c r="W894" s="255">
        <f t="shared" ref="W894:X896" si="276">U894</f>
        <v>0</v>
      </c>
      <c r="X894" s="255">
        <f t="shared" si="276"/>
        <v>0</v>
      </c>
      <c r="Y894" s="255">
        <f t="shared" ref="Y894:Y896" si="277">W894</f>
        <v>0</v>
      </c>
      <c r="Z894" s="255">
        <f t="shared" ref="Z894:Z896" si="278">X894</f>
        <v>0</v>
      </c>
      <c r="AA894" s="255">
        <f t="shared" ref="AA894:AA896" si="279">Y894</f>
        <v>0</v>
      </c>
      <c r="AB894" s="97">
        <v>0</v>
      </c>
      <c r="AC894" s="255">
        <f t="shared" ref="AC894:AD896" si="280">AB894</f>
        <v>0</v>
      </c>
      <c r="AD894" s="255">
        <f t="shared" si="280"/>
        <v>0</v>
      </c>
      <c r="AE894" s="255">
        <f>AD894</f>
        <v>0</v>
      </c>
      <c r="AF894" s="76"/>
      <c r="AG894" s="97" t="s">
        <v>2151</v>
      </c>
      <c r="AH894" s="76"/>
      <c r="AI894" s="97">
        <v>1</v>
      </c>
      <c r="AJ894" s="97">
        <v>1</v>
      </c>
      <c r="AK894" s="73"/>
      <c r="AL894" s="57"/>
      <c r="AM894" s="45"/>
      <c r="AN894" s="45"/>
      <c r="AO894" s="45"/>
    </row>
    <row r="895" spans="1:41" hidden="1" outlineLevel="2" x14ac:dyDescent="0.25">
      <c r="A895" s="45"/>
      <c r="B895" s="54"/>
      <c r="C895" s="47">
        <f t="shared" si="273"/>
        <v>3</v>
      </c>
      <c r="D895" s="73"/>
      <c r="E895" s="70"/>
      <c r="F895" s="70" t="s">
        <v>1582</v>
      </c>
      <c r="G895" s="73"/>
      <c r="H895" s="76" t="s">
        <v>1583</v>
      </c>
      <c r="I895" s="96" t="s">
        <v>687</v>
      </c>
      <c r="J895" s="96" t="s">
        <v>1138</v>
      </c>
      <c r="K895" s="76"/>
      <c r="L895" s="76"/>
      <c r="M895" s="76"/>
      <c r="N895" s="76"/>
      <c r="O895" s="76"/>
      <c r="P895" s="76"/>
      <c r="Q895" s="76"/>
      <c r="R895" s="76"/>
      <c r="S895" s="76"/>
      <c r="T895" s="76"/>
      <c r="U895" s="97">
        <v>-0.95650000000000002</v>
      </c>
      <c r="V895" s="255">
        <f>U895</f>
        <v>-0.95650000000000002</v>
      </c>
      <c r="W895" s="255">
        <f t="shared" si="276"/>
        <v>-0.95650000000000002</v>
      </c>
      <c r="X895" s="255">
        <f t="shared" si="276"/>
        <v>-0.95650000000000002</v>
      </c>
      <c r="Y895" s="255">
        <f t="shared" si="277"/>
        <v>-0.95650000000000002</v>
      </c>
      <c r="Z895" s="255">
        <f t="shared" si="278"/>
        <v>-0.95650000000000002</v>
      </c>
      <c r="AA895" s="255">
        <f t="shared" si="279"/>
        <v>-0.95650000000000002</v>
      </c>
      <c r="AB895" s="97">
        <v>-1.0820000000000001</v>
      </c>
      <c r="AC895" s="255">
        <f t="shared" si="280"/>
        <v>-1.0820000000000001</v>
      </c>
      <c r="AD895" s="255">
        <f t="shared" si="280"/>
        <v>-1.0820000000000001</v>
      </c>
      <c r="AE895" s="255">
        <f>AD895</f>
        <v>-1.0820000000000001</v>
      </c>
      <c r="AF895" s="76"/>
      <c r="AG895" s="97"/>
      <c r="AH895" s="76"/>
      <c r="AI895" s="97">
        <v>1</v>
      </c>
      <c r="AJ895" s="97">
        <v>1</v>
      </c>
      <c r="AK895" s="73"/>
      <c r="AL895" s="57"/>
      <c r="AM895" s="45"/>
      <c r="AN895" s="45"/>
      <c r="AO895" s="45"/>
    </row>
    <row r="896" spans="1:41" hidden="1" outlineLevel="2" x14ac:dyDescent="0.25">
      <c r="A896" s="45"/>
      <c r="B896" s="54"/>
      <c r="C896" s="47">
        <f t="shared" si="273"/>
        <v>3</v>
      </c>
      <c r="D896" s="73"/>
      <c r="E896" s="70"/>
      <c r="F896" s="70" t="s">
        <v>1584</v>
      </c>
      <c r="G896" s="73"/>
      <c r="H896" s="76" t="s">
        <v>1585</v>
      </c>
      <c r="I896" s="96" t="s">
        <v>687</v>
      </c>
      <c r="J896" s="96" t="s">
        <v>1138</v>
      </c>
      <c r="K896" s="76"/>
      <c r="L896" s="76"/>
      <c r="M896" s="76"/>
      <c r="N896" s="76"/>
      <c r="O896" s="76"/>
      <c r="P896" s="76"/>
      <c r="Q896" s="76"/>
      <c r="R896" s="76"/>
      <c r="S896" s="76"/>
      <c r="T896" s="76"/>
      <c r="U896" s="97">
        <v>-1.7614000000000001</v>
      </c>
      <c r="V896" s="255">
        <f>U896</f>
        <v>-1.7614000000000001</v>
      </c>
      <c r="W896" s="255">
        <f t="shared" si="276"/>
        <v>-1.7614000000000001</v>
      </c>
      <c r="X896" s="255">
        <f t="shared" si="276"/>
        <v>-1.7614000000000001</v>
      </c>
      <c r="Y896" s="255">
        <f t="shared" si="277"/>
        <v>-1.7614000000000001</v>
      </c>
      <c r="Z896" s="255">
        <f t="shared" si="278"/>
        <v>-1.7614000000000001</v>
      </c>
      <c r="AA896" s="255">
        <f t="shared" si="279"/>
        <v>-1.7614000000000001</v>
      </c>
      <c r="AB896" s="97">
        <v>-2.0059999999999998</v>
      </c>
      <c r="AC896" s="255">
        <f t="shared" si="280"/>
        <v>-2.0059999999999998</v>
      </c>
      <c r="AD896" s="255">
        <f t="shared" si="280"/>
        <v>-2.0059999999999998</v>
      </c>
      <c r="AE896" s="255">
        <f>AD896</f>
        <v>-2.0059999999999998</v>
      </c>
      <c r="AF896" s="76"/>
      <c r="AG896" s="97"/>
      <c r="AH896" s="76"/>
      <c r="AI896" s="97">
        <v>1</v>
      </c>
      <c r="AJ896" s="97">
        <v>1</v>
      </c>
      <c r="AK896" s="73"/>
      <c r="AL896" s="57"/>
      <c r="AM896" s="45"/>
      <c r="AN896" s="45"/>
      <c r="AO896" s="45"/>
    </row>
    <row r="897" spans="1:41" hidden="1" outlineLevel="2" x14ac:dyDescent="0.25">
      <c r="A897" s="45"/>
      <c r="B897" s="54"/>
      <c r="C897" s="47">
        <f t="shared" si="273"/>
        <v>3</v>
      </c>
      <c r="D897" s="73"/>
      <c r="E897" s="70"/>
      <c r="F897" s="70" t="s">
        <v>1586</v>
      </c>
      <c r="G897" s="73"/>
      <c r="H897" s="76" t="s">
        <v>2153</v>
      </c>
      <c r="I897" s="96" t="s">
        <v>497</v>
      </c>
      <c r="J897" s="96"/>
      <c r="K897" s="76"/>
      <c r="L897" s="76"/>
      <c r="M897" s="76"/>
      <c r="N897" s="76"/>
      <c r="O897" s="76"/>
      <c r="P897" s="76"/>
      <c r="Q897" s="76"/>
      <c r="R897" s="76"/>
      <c r="S897" s="76"/>
      <c r="T897" s="76"/>
      <c r="U897" s="76"/>
      <c r="V897" s="76"/>
      <c r="W897" s="76"/>
      <c r="X897" s="76"/>
      <c r="Y897" s="76"/>
      <c r="Z897" s="76"/>
      <c r="AA897" s="76"/>
      <c r="AB897" s="76"/>
      <c r="AC897" s="76"/>
      <c r="AD897" s="76"/>
      <c r="AE897" s="76"/>
      <c r="AF897" s="76"/>
      <c r="AG897" s="76"/>
      <c r="AH897" s="76"/>
      <c r="AI897" s="76">
        <v>1</v>
      </c>
      <c r="AJ897" s="76">
        <v>1</v>
      </c>
      <c r="AK897" s="73"/>
      <c r="AL897" s="57"/>
      <c r="AM897" s="45"/>
      <c r="AN897" s="45"/>
      <c r="AO897" s="45"/>
    </row>
    <row r="898" spans="1:41" hidden="1" outlineLevel="2" x14ac:dyDescent="0.25">
      <c r="A898" s="45"/>
      <c r="B898" s="54"/>
      <c r="C898" s="47">
        <f t="shared" si="273"/>
        <v>3</v>
      </c>
      <c r="D898" s="73"/>
      <c r="E898" s="70"/>
      <c r="F898" s="70" t="s">
        <v>1588</v>
      </c>
      <c r="G898" s="73"/>
      <c r="H898" s="76" t="s">
        <v>1468</v>
      </c>
      <c r="I898" s="96" t="s">
        <v>497</v>
      </c>
      <c r="J898" s="96"/>
      <c r="K898" s="76"/>
      <c r="L898" s="76"/>
      <c r="M898" s="76"/>
      <c r="N898" s="76"/>
      <c r="O898" s="76"/>
      <c r="P898" s="76"/>
      <c r="Q898" s="76"/>
      <c r="R898" s="76"/>
      <c r="S898" s="76"/>
      <c r="T898" s="76"/>
      <c r="U898" s="76"/>
      <c r="V898" s="76"/>
      <c r="W898" s="76"/>
      <c r="X898" s="76"/>
      <c r="Y898" s="76"/>
      <c r="Z898" s="76"/>
      <c r="AA898" s="76"/>
      <c r="AB898" s="76"/>
      <c r="AC898" s="76"/>
      <c r="AD898" s="76"/>
      <c r="AE898" s="76"/>
      <c r="AF898" s="76"/>
      <c r="AG898" s="76"/>
      <c r="AH898" s="76"/>
      <c r="AI898" s="76">
        <v>1</v>
      </c>
      <c r="AJ898" s="76">
        <v>1</v>
      </c>
      <c r="AK898" s="73"/>
      <c r="AL898" s="57"/>
      <c r="AM898" s="45"/>
      <c r="AN898" s="45"/>
      <c r="AO898" s="45"/>
    </row>
    <row r="899" spans="1:41" hidden="1" outlineLevel="2" x14ac:dyDescent="0.25">
      <c r="A899" s="45"/>
      <c r="B899" s="54"/>
      <c r="C899" s="47">
        <f t="shared" si="273"/>
        <v>3</v>
      </c>
      <c r="D899" s="73"/>
      <c r="E899" s="70"/>
      <c r="F899" s="70" t="s">
        <v>1589</v>
      </c>
      <c r="G899" s="73"/>
      <c r="H899" s="76" t="s">
        <v>1470</v>
      </c>
      <c r="I899" s="96" t="s">
        <v>497</v>
      </c>
      <c r="J899" s="96"/>
      <c r="K899" s="76"/>
      <c r="L899" s="76"/>
      <c r="M899" s="76"/>
      <c r="N899" s="76"/>
      <c r="O899" s="76"/>
      <c r="P899" s="76"/>
      <c r="Q899" s="76"/>
      <c r="R899" s="76"/>
      <c r="S899" s="76"/>
      <c r="T899" s="76"/>
      <c r="U899" s="76"/>
      <c r="V899" s="76"/>
      <c r="W899" s="76"/>
      <c r="X899" s="76"/>
      <c r="Y899" s="76"/>
      <c r="Z899" s="76"/>
      <c r="AA899" s="76"/>
      <c r="AB899" s="76"/>
      <c r="AC899" s="76"/>
      <c r="AD899" s="76"/>
      <c r="AE899" s="76"/>
      <c r="AF899" s="76"/>
      <c r="AG899" s="76"/>
      <c r="AH899" s="76"/>
      <c r="AI899" s="76">
        <v>1</v>
      </c>
      <c r="AJ899" s="76">
        <v>1</v>
      </c>
      <c r="AK899" s="73"/>
      <c r="AL899" s="57"/>
      <c r="AM899" s="45"/>
      <c r="AN899" s="45"/>
      <c r="AO899" s="45"/>
    </row>
    <row r="900" spans="1:41" hidden="1" outlineLevel="2" x14ac:dyDescent="0.25">
      <c r="A900" s="45"/>
      <c r="B900" s="54"/>
      <c r="C900" s="47">
        <f t="shared" si="273"/>
        <v>3</v>
      </c>
      <c r="D900" s="73"/>
      <c r="E900" s="70"/>
      <c r="F900" s="70" t="s">
        <v>1590</v>
      </c>
      <c r="G900" s="73"/>
      <c r="H900" s="76" t="s">
        <v>1472</v>
      </c>
      <c r="I900" s="96" t="s">
        <v>497</v>
      </c>
      <c r="J900" s="96"/>
      <c r="K900" s="76"/>
      <c r="L900" s="76"/>
      <c r="M900" s="76"/>
      <c r="N900" s="76"/>
      <c r="O900" s="76"/>
      <c r="P900" s="76"/>
      <c r="Q900" s="76"/>
      <c r="R900" s="76"/>
      <c r="S900" s="76"/>
      <c r="T900" s="76"/>
      <c r="U900" s="76"/>
      <c r="V900" s="76"/>
      <c r="W900" s="76"/>
      <c r="X900" s="76"/>
      <c r="Y900" s="76"/>
      <c r="Z900" s="76"/>
      <c r="AA900" s="76"/>
      <c r="AB900" s="76"/>
      <c r="AC900" s="76"/>
      <c r="AD900" s="76"/>
      <c r="AE900" s="76"/>
      <c r="AF900" s="76"/>
      <c r="AG900" s="76"/>
      <c r="AH900" s="76"/>
      <c r="AI900" s="76">
        <v>1</v>
      </c>
      <c r="AJ900" s="76">
        <v>1</v>
      </c>
      <c r="AK900" s="73"/>
      <c r="AL900" s="57"/>
      <c r="AM900" s="45"/>
      <c r="AN900" s="45"/>
      <c r="AO900" s="45"/>
    </row>
    <row r="901" spans="1:41" hidden="1" outlineLevel="2" x14ac:dyDescent="0.25">
      <c r="A901" s="45"/>
      <c r="B901" s="54"/>
      <c r="C901" s="47">
        <f t="shared" si="273"/>
        <v>3</v>
      </c>
      <c r="D901" s="73"/>
      <c r="E901" s="70"/>
      <c r="F901" s="70" t="s">
        <v>1591</v>
      </c>
      <c r="G901" s="73"/>
      <c r="H901" s="76" t="s">
        <v>1592</v>
      </c>
      <c r="I901" s="96" t="s">
        <v>497</v>
      </c>
      <c r="J901" s="96"/>
      <c r="K901" s="76"/>
      <c r="L901" s="76"/>
      <c r="M901" s="76"/>
      <c r="N901" s="76"/>
      <c r="O901" s="76"/>
      <c r="P901" s="76"/>
      <c r="Q901" s="76"/>
      <c r="R901" s="76"/>
      <c r="S901" s="76"/>
      <c r="T901" s="76"/>
      <c r="U901" s="76"/>
      <c r="V901" s="76"/>
      <c r="W901" s="76"/>
      <c r="X901" s="76"/>
      <c r="Y901" s="76"/>
      <c r="Z901" s="76"/>
      <c r="AA901" s="76"/>
      <c r="AB901" s="76"/>
      <c r="AC901" s="76"/>
      <c r="AD901" s="76"/>
      <c r="AE901" s="76"/>
      <c r="AF901" s="76"/>
      <c r="AG901" s="76"/>
      <c r="AH901" s="76"/>
      <c r="AI901" s="76">
        <v>1</v>
      </c>
      <c r="AJ901" s="76">
        <v>1</v>
      </c>
      <c r="AK901" s="73"/>
      <c r="AL901" s="57"/>
      <c r="AM901" s="45"/>
      <c r="AN901" s="45"/>
      <c r="AO901" s="45"/>
    </row>
    <row r="902" spans="1:41" hidden="1" outlineLevel="2" x14ac:dyDescent="0.25">
      <c r="A902" s="45"/>
      <c r="B902" s="54"/>
      <c r="C902" s="47">
        <f t="shared" si="273"/>
        <v>3</v>
      </c>
      <c r="D902" s="73"/>
      <c r="E902" s="70"/>
      <c r="F902" s="70" t="s">
        <v>1593</v>
      </c>
      <c r="G902" s="73"/>
      <c r="H902" s="76" t="s">
        <v>1594</v>
      </c>
      <c r="I902" s="96" t="s">
        <v>497</v>
      </c>
      <c r="J902" s="96"/>
      <c r="K902" s="76"/>
      <c r="L902" s="76"/>
      <c r="M902" s="76"/>
      <c r="N902" s="76"/>
      <c r="O902" s="76"/>
      <c r="P902" s="76"/>
      <c r="Q902" s="76"/>
      <c r="R902" s="76"/>
      <c r="S902" s="76"/>
      <c r="T902" s="76"/>
      <c r="U902" s="76"/>
      <c r="V902" s="76"/>
      <c r="W902" s="76"/>
      <c r="X902" s="76"/>
      <c r="Y902" s="76"/>
      <c r="Z902" s="76"/>
      <c r="AA902" s="76"/>
      <c r="AB902" s="76"/>
      <c r="AC902" s="76"/>
      <c r="AD902" s="76"/>
      <c r="AE902" s="76"/>
      <c r="AF902" s="76"/>
      <c r="AG902" s="76"/>
      <c r="AH902" s="76"/>
      <c r="AI902" s="76">
        <v>1</v>
      </c>
      <c r="AJ902" s="76">
        <v>1</v>
      </c>
      <c r="AK902" s="73"/>
      <c r="AL902" s="57"/>
      <c r="AM902" s="45"/>
      <c r="AN902" s="45"/>
      <c r="AO902" s="45"/>
    </row>
    <row r="903" spans="1:41" hidden="1" outlineLevel="2" x14ac:dyDescent="0.25">
      <c r="A903" s="45"/>
      <c r="B903" s="54"/>
      <c r="C903" s="47">
        <f t="shared" si="273"/>
        <v>3</v>
      </c>
      <c r="D903" s="73"/>
      <c r="E903" s="70"/>
      <c r="F903" s="70" t="s">
        <v>1595</v>
      </c>
      <c r="G903" s="73"/>
      <c r="H903" s="76" t="s">
        <v>1596</v>
      </c>
      <c r="I903" s="96" t="s">
        <v>497</v>
      </c>
      <c r="J903" s="96"/>
      <c r="K903" s="76"/>
      <c r="L903" s="76"/>
      <c r="M903" s="76"/>
      <c r="N903" s="76"/>
      <c r="O903" s="76"/>
      <c r="P903" s="76"/>
      <c r="Q903" s="76"/>
      <c r="R903" s="76"/>
      <c r="S903" s="76"/>
      <c r="T903" s="76"/>
      <c r="U903" s="76"/>
      <c r="V903" s="76"/>
      <c r="W903" s="76"/>
      <c r="X903" s="76"/>
      <c r="Y903" s="76"/>
      <c r="Z903" s="76"/>
      <c r="AA903" s="76"/>
      <c r="AB903" s="76"/>
      <c r="AC903" s="76"/>
      <c r="AD903" s="76"/>
      <c r="AE903" s="76"/>
      <c r="AF903" s="76"/>
      <c r="AG903" s="76"/>
      <c r="AH903" s="76"/>
      <c r="AI903" s="76">
        <v>1</v>
      </c>
      <c r="AJ903" s="76">
        <v>1</v>
      </c>
      <c r="AK903" s="73"/>
      <c r="AL903" s="57"/>
      <c r="AM903" s="45"/>
      <c r="AN903" s="45"/>
      <c r="AO903" s="45"/>
    </row>
    <row r="904" spans="1:41" hidden="1" outlineLevel="2" collapsed="1" x14ac:dyDescent="0.25">
      <c r="A904" s="45"/>
      <c r="B904" s="54"/>
      <c r="C904" s="47">
        <f t="shared" si="273"/>
        <v>3</v>
      </c>
      <c r="D904" s="73"/>
      <c r="E904" s="70"/>
      <c r="F904" s="70" t="s">
        <v>1597</v>
      </c>
      <c r="G904" s="73"/>
      <c r="H904" s="76" t="s">
        <v>1598</v>
      </c>
      <c r="I904" s="96" t="s">
        <v>497</v>
      </c>
      <c r="J904" s="96"/>
      <c r="K904" s="76"/>
      <c r="L904" s="76"/>
      <c r="M904" s="76"/>
      <c r="N904" s="76"/>
      <c r="O904" s="76"/>
      <c r="P904" s="76"/>
      <c r="Q904" s="76"/>
      <c r="R904" s="76"/>
      <c r="S904" s="76"/>
      <c r="T904" s="76"/>
      <c r="U904" s="76"/>
      <c r="V904" s="76"/>
      <c r="W904" s="76"/>
      <c r="X904" s="76"/>
      <c r="Y904" s="76"/>
      <c r="Z904" s="76"/>
      <c r="AA904" s="76"/>
      <c r="AB904" s="76"/>
      <c r="AC904" s="76"/>
      <c r="AD904" s="76"/>
      <c r="AE904" s="76"/>
      <c r="AF904" s="76"/>
      <c r="AG904" s="76"/>
      <c r="AH904" s="76"/>
      <c r="AI904" s="76">
        <v>1</v>
      </c>
      <c r="AJ904" s="76">
        <v>1</v>
      </c>
      <c r="AK904" s="73"/>
      <c r="AL904" s="57"/>
      <c r="AM904" s="45"/>
      <c r="AN904" s="45"/>
      <c r="AO904" s="45"/>
    </row>
    <row r="905" spans="1:41" hidden="1" outlineLevel="3" x14ac:dyDescent="0.25">
      <c r="A905" s="45"/>
      <c r="B905" s="54"/>
      <c r="C905" s="47">
        <f t="shared" si="273"/>
        <v>3</v>
      </c>
      <c r="D905" s="73"/>
      <c r="E905" s="70"/>
      <c r="F905" s="70" t="s">
        <v>1599</v>
      </c>
      <c r="G905" s="73"/>
      <c r="H905" s="76" t="s">
        <v>1466</v>
      </c>
      <c r="I905" s="96" t="s">
        <v>497</v>
      </c>
      <c r="J905" s="96"/>
      <c r="K905" s="76"/>
      <c r="L905" s="76"/>
      <c r="M905" s="76"/>
      <c r="N905" s="76"/>
      <c r="O905" s="76"/>
      <c r="P905" s="76"/>
      <c r="Q905" s="76"/>
      <c r="R905" s="76"/>
      <c r="S905" s="76"/>
      <c r="T905" s="76"/>
      <c r="U905" s="76"/>
      <c r="V905" s="76"/>
      <c r="W905" s="76"/>
      <c r="X905" s="76"/>
      <c r="Y905" s="76"/>
      <c r="Z905" s="76"/>
      <c r="AA905" s="76"/>
      <c r="AB905" s="76"/>
      <c r="AC905" s="76"/>
      <c r="AD905" s="76"/>
      <c r="AE905" s="76"/>
      <c r="AF905" s="76"/>
      <c r="AG905" s="76"/>
      <c r="AH905" s="76"/>
      <c r="AI905" s="76">
        <v>1</v>
      </c>
      <c r="AJ905" s="76">
        <v>1</v>
      </c>
      <c r="AK905" s="73"/>
      <c r="AL905" s="57"/>
      <c r="AM905" s="45"/>
      <c r="AN905" s="45"/>
      <c r="AO905" s="45"/>
    </row>
    <row r="906" spans="1:41" hidden="1" outlineLevel="3" x14ac:dyDescent="0.25">
      <c r="A906" s="45"/>
      <c r="B906" s="54"/>
      <c r="C906" s="47">
        <f t="shared" si="273"/>
        <v>3</v>
      </c>
      <c r="D906" s="73"/>
      <c r="E906" s="70"/>
      <c r="F906" s="70" t="s">
        <v>1600</v>
      </c>
      <c r="G906" s="73"/>
      <c r="H906" s="76" t="s">
        <v>1468</v>
      </c>
      <c r="I906" s="96" t="s">
        <v>497</v>
      </c>
      <c r="J906" s="96"/>
      <c r="K906" s="76"/>
      <c r="L906" s="76"/>
      <c r="M906" s="76"/>
      <c r="N906" s="76"/>
      <c r="O906" s="76"/>
      <c r="P906" s="76"/>
      <c r="Q906" s="76"/>
      <c r="R906" s="76"/>
      <c r="S906" s="76"/>
      <c r="T906" s="76"/>
      <c r="U906" s="76"/>
      <c r="V906" s="76"/>
      <c r="W906" s="76"/>
      <c r="X906" s="76"/>
      <c r="Y906" s="76"/>
      <c r="Z906" s="76"/>
      <c r="AA906" s="76"/>
      <c r="AB906" s="76"/>
      <c r="AC906" s="76"/>
      <c r="AD906" s="76"/>
      <c r="AE906" s="76"/>
      <c r="AF906" s="76"/>
      <c r="AG906" s="76"/>
      <c r="AH906" s="76"/>
      <c r="AI906" s="76">
        <v>1</v>
      </c>
      <c r="AJ906" s="76">
        <v>1</v>
      </c>
      <c r="AK906" s="73"/>
      <c r="AL906" s="57"/>
      <c r="AM906" s="45"/>
      <c r="AN906" s="45"/>
      <c r="AO906" s="45"/>
    </row>
    <row r="907" spans="1:41" hidden="1" outlineLevel="3" x14ac:dyDescent="0.25">
      <c r="A907" s="45"/>
      <c r="B907" s="54"/>
      <c r="C907" s="47">
        <f t="shared" si="273"/>
        <v>3</v>
      </c>
      <c r="D907" s="73"/>
      <c r="E907" s="70"/>
      <c r="F907" s="70" t="s">
        <v>1601</v>
      </c>
      <c r="G907" s="73"/>
      <c r="H907" s="76" t="s">
        <v>1470</v>
      </c>
      <c r="I907" s="96" t="s">
        <v>497</v>
      </c>
      <c r="J907" s="96"/>
      <c r="K907" s="76"/>
      <c r="L907" s="76"/>
      <c r="M907" s="76"/>
      <c r="N907" s="76"/>
      <c r="O907" s="76"/>
      <c r="P907" s="76"/>
      <c r="Q907" s="76"/>
      <c r="R907" s="76"/>
      <c r="S907" s="76"/>
      <c r="T907" s="76"/>
      <c r="U907" s="76"/>
      <c r="V907" s="76"/>
      <c r="W907" s="76"/>
      <c r="X907" s="76"/>
      <c r="Y907" s="76"/>
      <c r="Z907" s="76"/>
      <c r="AA907" s="76"/>
      <c r="AB907" s="76"/>
      <c r="AC907" s="76"/>
      <c r="AD907" s="76"/>
      <c r="AE907" s="76"/>
      <c r="AF907" s="76"/>
      <c r="AG907" s="76"/>
      <c r="AH907" s="76"/>
      <c r="AI907" s="76">
        <v>1</v>
      </c>
      <c r="AJ907" s="76">
        <v>1</v>
      </c>
      <c r="AK907" s="73"/>
      <c r="AL907" s="57"/>
      <c r="AM907" s="45"/>
      <c r="AN907" s="45"/>
      <c r="AO907" s="45"/>
    </row>
    <row r="908" spans="1:41" hidden="1" outlineLevel="3" x14ac:dyDescent="0.25">
      <c r="A908" s="45"/>
      <c r="B908" s="54"/>
      <c r="C908" s="47">
        <f t="shared" si="273"/>
        <v>3</v>
      </c>
      <c r="D908" s="73"/>
      <c r="E908" s="70"/>
      <c r="F908" s="70" t="s">
        <v>1602</v>
      </c>
      <c r="G908" s="73"/>
      <c r="H908" s="76" t="s">
        <v>1472</v>
      </c>
      <c r="I908" s="96" t="s">
        <v>497</v>
      </c>
      <c r="J908" s="96"/>
      <c r="K908" s="76"/>
      <c r="L908" s="76"/>
      <c r="M908" s="76"/>
      <c r="N908" s="76"/>
      <c r="O908" s="76"/>
      <c r="P908" s="76"/>
      <c r="Q908" s="76"/>
      <c r="R908" s="76"/>
      <c r="S908" s="76"/>
      <c r="T908" s="76"/>
      <c r="U908" s="76"/>
      <c r="V908" s="76"/>
      <c r="W908" s="76"/>
      <c r="X908" s="76"/>
      <c r="Y908" s="76"/>
      <c r="Z908" s="76"/>
      <c r="AA908" s="76"/>
      <c r="AB908" s="76"/>
      <c r="AC908" s="76"/>
      <c r="AD908" s="76"/>
      <c r="AE908" s="76"/>
      <c r="AF908" s="76"/>
      <c r="AG908" s="76"/>
      <c r="AH908" s="76"/>
      <c r="AI908" s="76">
        <v>1</v>
      </c>
      <c r="AJ908" s="76">
        <v>1</v>
      </c>
      <c r="AK908" s="73"/>
      <c r="AL908" s="57"/>
      <c r="AM908" s="45"/>
      <c r="AN908" s="45"/>
      <c r="AO908" s="45"/>
    </row>
    <row r="909" spans="1:41" hidden="1" outlineLevel="3" x14ac:dyDescent="0.25">
      <c r="A909" s="45"/>
      <c r="B909" s="54"/>
      <c r="C909" s="47">
        <f t="shared" si="273"/>
        <v>3</v>
      </c>
      <c r="D909" s="73"/>
      <c r="E909" s="70"/>
      <c r="F909" s="70" t="s">
        <v>2477</v>
      </c>
      <c r="G909" s="73"/>
      <c r="H909" s="76" t="s">
        <v>1466</v>
      </c>
      <c r="I909" s="96" t="s">
        <v>497</v>
      </c>
      <c r="J909" s="96"/>
      <c r="K909" s="76"/>
      <c r="L909" s="76"/>
      <c r="M909" s="76"/>
      <c r="N909" s="76"/>
      <c r="O909" s="76"/>
      <c r="P909" s="76"/>
      <c r="Q909" s="76"/>
      <c r="R909" s="76"/>
      <c r="S909" s="76"/>
      <c r="T909" s="76"/>
      <c r="U909" s="76"/>
      <c r="V909" s="76"/>
      <c r="W909" s="76"/>
      <c r="X909" s="76"/>
      <c r="Y909" s="76"/>
      <c r="Z909" s="76"/>
      <c r="AA909" s="76"/>
      <c r="AB909" s="76"/>
      <c r="AC909" s="76"/>
      <c r="AD909" s="76"/>
      <c r="AE909" s="76"/>
      <c r="AF909" s="76"/>
      <c r="AG909" s="76"/>
      <c r="AH909" s="76"/>
      <c r="AI909" s="76">
        <v>1</v>
      </c>
      <c r="AJ909" s="76">
        <v>1</v>
      </c>
      <c r="AK909" s="73"/>
      <c r="AL909" s="57"/>
      <c r="AM909" s="45"/>
      <c r="AN909" s="45"/>
      <c r="AO909" s="45"/>
    </row>
    <row r="910" spans="1:41" hidden="1" outlineLevel="3" x14ac:dyDescent="0.25">
      <c r="A910" s="45"/>
      <c r="B910" s="54"/>
      <c r="C910" s="47">
        <f t="shared" si="273"/>
        <v>3</v>
      </c>
      <c r="D910" s="73"/>
      <c r="E910" s="70"/>
      <c r="F910" s="70" t="s">
        <v>2478</v>
      </c>
      <c r="G910" s="73"/>
      <c r="H910" s="76" t="s">
        <v>1468</v>
      </c>
      <c r="I910" s="96" t="s">
        <v>497</v>
      </c>
      <c r="J910" s="96"/>
      <c r="K910" s="76"/>
      <c r="L910" s="76"/>
      <c r="M910" s="76"/>
      <c r="N910" s="76"/>
      <c r="O910" s="76"/>
      <c r="P910" s="76"/>
      <c r="Q910" s="76"/>
      <c r="R910" s="76"/>
      <c r="S910" s="76"/>
      <c r="T910" s="76"/>
      <c r="U910" s="76"/>
      <c r="V910" s="76"/>
      <c r="W910" s="76"/>
      <c r="X910" s="76"/>
      <c r="Y910" s="76"/>
      <c r="Z910" s="76"/>
      <c r="AA910" s="76"/>
      <c r="AB910" s="76"/>
      <c r="AC910" s="76"/>
      <c r="AD910" s="76"/>
      <c r="AE910" s="76"/>
      <c r="AF910" s="76"/>
      <c r="AG910" s="76"/>
      <c r="AH910" s="76"/>
      <c r="AI910" s="76">
        <v>1</v>
      </c>
      <c r="AJ910" s="76">
        <v>1</v>
      </c>
      <c r="AK910" s="73"/>
      <c r="AL910" s="57"/>
      <c r="AM910" s="45"/>
      <c r="AN910" s="45"/>
      <c r="AO910" s="45"/>
    </row>
    <row r="911" spans="1:41" hidden="1" outlineLevel="3" x14ac:dyDescent="0.25">
      <c r="A911" s="45"/>
      <c r="B911" s="54"/>
      <c r="C911" s="47">
        <f t="shared" si="273"/>
        <v>3</v>
      </c>
      <c r="D911" s="73"/>
      <c r="E911" s="70"/>
      <c r="F911" s="70" t="s">
        <v>2479</v>
      </c>
      <c r="G911" s="73"/>
      <c r="H911" s="76" t="s">
        <v>1470</v>
      </c>
      <c r="I911" s="96" t="s">
        <v>497</v>
      </c>
      <c r="J911" s="96"/>
      <c r="K911" s="76"/>
      <c r="L911" s="76"/>
      <c r="M911" s="76"/>
      <c r="N911" s="76"/>
      <c r="O911" s="76"/>
      <c r="P911" s="76"/>
      <c r="Q911" s="76"/>
      <c r="R911" s="76"/>
      <c r="S911" s="76"/>
      <c r="T911" s="76"/>
      <c r="U911" s="76"/>
      <c r="V911" s="76"/>
      <c r="W911" s="76"/>
      <c r="X911" s="76"/>
      <c r="Y911" s="76"/>
      <c r="Z911" s="76"/>
      <c r="AA911" s="76"/>
      <c r="AB911" s="76"/>
      <c r="AC911" s="76"/>
      <c r="AD911" s="76"/>
      <c r="AE911" s="76"/>
      <c r="AF911" s="76"/>
      <c r="AG911" s="76"/>
      <c r="AH911" s="76"/>
      <c r="AI911" s="76">
        <v>1</v>
      </c>
      <c r="AJ911" s="76">
        <v>1</v>
      </c>
      <c r="AK911" s="73"/>
      <c r="AL911" s="57"/>
      <c r="AM911" s="45"/>
      <c r="AN911" s="45"/>
      <c r="AO911" s="45"/>
    </row>
    <row r="912" spans="1:41" hidden="1" outlineLevel="3" x14ac:dyDescent="0.25">
      <c r="A912" s="45"/>
      <c r="B912" s="54"/>
      <c r="C912" s="47">
        <f t="shared" si="273"/>
        <v>3</v>
      </c>
      <c r="D912" s="73"/>
      <c r="E912" s="70"/>
      <c r="F912" s="70" t="s">
        <v>2480</v>
      </c>
      <c r="G912" s="73"/>
      <c r="H912" s="76" t="s">
        <v>1472</v>
      </c>
      <c r="I912" s="96" t="s">
        <v>497</v>
      </c>
      <c r="J912" s="96"/>
      <c r="K912" s="76"/>
      <c r="L912" s="76"/>
      <c r="M912" s="76"/>
      <c r="N912" s="76"/>
      <c r="O912" s="76"/>
      <c r="P912" s="76"/>
      <c r="Q912" s="76"/>
      <c r="R912" s="76"/>
      <c r="S912" s="76"/>
      <c r="T912" s="76"/>
      <c r="U912" s="76"/>
      <c r="V912" s="76"/>
      <c r="W912" s="76"/>
      <c r="X912" s="76"/>
      <c r="Y912" s="76"/>
      <c r="Z912" s="76"/>
      <c r="AA912" s="76"/>
      <c r="AB912" s="76"/>
      <c r="AC912" s="76"/>
      <c r="AD912" s="76"/>
      <c r="AE912" s="76"/>
      <c r="AF912" s="76"/>
      <c r="AG912" s="76"/>
      <c r="AH912" s="76"/>
      <c r="AI912" s="76">
        <v>1</v>
      </c>
      <c r="AJ912" s="76">
        <v>1</v>
      </c>
      <c r="AK912" s="73"/>
      <c r="AL912" s="57"/>
      <c r="AM912" s="45"/>
      <c r="AN912" s="45"/>
      <c r="AO912" s="45"/>
    </row>
    <row r="913" spans="1:41" hidden="1" outlineLevel="3" x14ac:dyDescent="0.25">
      <c r="A913" s="45"/>
      <c r="B913" s="54"/>
      <c r="C913" s="47">
        <f t="shared" si="273"/>
        <v>3</v>
      </c>
      <c r="D913" s="73"/>
      <c r="E913" s="70"/>
      <c r="F913" s="70" t="s">
        <v>2481</v>
      </c>
      <c r="G913" s="73"/>
      <c r="H913" s="76" t="s">
        <v>1466</v>
      </c>
      <c r="I913" s="96" t="s">
        <v>497</v>
      </c>
      <c r="J913" s="96"/>
      <c r="K913" s="76"/>
      <c r="L913" s="76"/>
      <c r="M913" s="76"/>
      <c r="N913" s="76"/>
      <c r="O913" s="76"/>
      <c r="P913" s="76"/>
      <c r="Q913" s="76"/>
      <c r="R913" s="76"/>
      <c r="S913" s="76"/>
      <c r="T913" s="76"/>
      <c r="U913" s="76"/>
      <c r="V913" s="76"/>
      <c r="W913" s="76"/>
      <c r="X913" s="76"/>
      <c r="Y913" s="76"/>
      <c r="Z913" s="76"/>
      <c r="AA913" s="76"/>
      <c r="AB913" s="76"/>
      <c r="AC913" s="76"/>
      <c r="AD913" s="76"/>
      <c r="AE913" s="76"/>
      <c r="AF913" s="76"/>
      <c r="AG913" s="76"/>
      <c r="AH913" s="76"/>
      <c r="AI913" s="76">
        <v>1</v>
      </c>
      <c r="AJ913" s="76">
        <v>1</v>
      </c>
      <c r="AK913" s="73"/>
      <c r="AL913" s="57"/>
      <c r="AM913" s="45"/>
      <c r="AN913" s="45"/>
      <c r="AO913" s="45"/>
    </row>
    <row r="914" spans="1:41" hidden="1" outlineLevel="3" x14ac:dyDescent="0.25">
      <c r="A914" s="45"/>
      <c r="B914" s="54"/>
      <c r="C914" s="47">
        <f t="shared" si="273"/>
        <v>3</v>
      </c>
      <c r="D914" s="73"/>
      <c r="E914" s="70"/>
      <c r="F914" s="70" t="s">
        <v>2482</v>
      </c>
      <c r="G914" s="73"/>
      <c r="H914" s="76" t="s">
        <v>1468</v>
      </c>
      <c r="I914" s="96" t="s">
        <v>497</v>
      </c>
      <c r="J914" s="96"/>
      <c r="K914" s="76"/>
      <c r="L914" s="76"/>
      <c r="M914" s="76"/>
      <c r="N914" s="76"/>
      <c r="O914" s="76"/>
      <c r="P914" s="76"/>
      <c r="Q914" s="76"/>
      <c r="R914" s="76"/>
      <c r="S914" s="76"/>
      <c r="T914" s="76"/>
      <c r="U914" s="76"/>
      <c r="V914" s="76"/>
      <c r="W914" s="76"/>
      <c r="X914" s="76"/>
      <c r="Y914" s="76"/>
      <c r="Z914" s="76"/>
      <c r="AA914" s="76"/>
      <c r="AB914" s="76"/>
      <c r="AC914" s="76"/>
      <c r="AD914" s="76"/>
      <c r="AE914" s="76"/>
      <c r="AF914" s="76"/>
      <c r="AG914" s="76"/>
      <c r="AH914" s="76"/>
      <c r="AI914" s="76">
        <v>1</v>
      </c>
      <c r="AJ914" s="76">
        <v>1</v>
      </c>
      <c r="AK914" s="73"/>
      <c r="AL914" s="57"/>
      <c r="AM914" s="45"/>
      <c r="AN914" s="45"/>
      <c r="AO914" s="45"/>
    </row>
    <row r="915" spans="1:41" hidden="1" outlineLevel="3" x14ac:dyDescent="0.25">
      <c r="A915" s="45"/>
      <c r="B915" s="54"/>
      <c r="C915" s="47">
        <f t="shared" si="273"/>
        <v>3</v>
      </c>
      <c r="D915" s="73"/>
      <c r="E915" s="70"/>
      <c r="F915" s="70" t="s">
        <v>2483</v>
      </c>
      <c r="G915" s="73"/>
      <c r="H915" s="76" t="s">
        <v>1470</v>
      </c>
      <c r="I915" s="96" t="s">
        <v>497</v>
      </c>
      <c r="J915" s="96"/>
      <c r="K915" s="76"/>
      <c r="L915" s="76"/>
      <c r="M915" s="76"/>
      <c r="N915" s="76"/>
      <c r="O915" s="76"/>
      <c r="P915" s="76"/>
      <c r="Q915" s="76"/>
      <c r="R915" s="76"/>
      <c r="S915" s="76"/>
      <c r="T915" s="76"/>
      <c r="U915" s="76"/>
      <c r="V915" s="76"/>
      <c r="W915" s="76"/>
      <c r="X915" s="76"/>
      <c r="Y915" s="76"/>
      <c r="Z915" s="76"/>
      <c r="AA915" s="76"/>
      <c r="AB915" s="76"/>
      <c r="AC915" s="76"/>
      <c r="AD915" s="76"/>
      <c r="AE915" s="76"/>
      <c r="AF915" s="76"/>
      <c r="AG915" s="76"/>
      <c r="AH915" s="76"/>
      <c r="AI915" s="76">
        <v>1</v>
      </c>
      <c r="AJ915" s="76">
        <v>1</v>
      </c>
      <c r="AK915" s="73"/>
      <c r="AL915" s="57"/>
      <c r="AM915" s="45"/>
      <c r="AN915" s="45"/>
      <c r="AO915" s="45"/>
    </row>
    <row r="916" spans="1:41" hidden="1" outlineLevel="3" x14ac:dyDescent="0.25">
      <c r="A916" s="45"/>
      <c r="B916" s="54"/>
      <c r="C916" s="47">
        <f t="shared" si="273"/>
        <v>3</v>
      </c>
      <c r="D916" s="73"/>
      <c r="E916" s="70"/>
      <c r="F916" s="70" t="s">
        <v>2484</v>
      </c>
      <c r="G916" s="73"/>
      <c r="H916" s="76" t="s">
        <v>1472</v>
      </c>
      <c r="I916" s="96" t="s">
        <v>497</v>
      </c>
      <c r="J916" s="96"/>
      <c r="K916" s="76"/>
      <c r="L916" s="76"/>
      <c r="M916" s="76"/>
      <c r="N916" s="76"/>
      <c r="O916" s="76"/>
      <c r="P916" s="76"/>
      <c r="Q916" s="76"/>
      <c r="R916" s="76"/>
      <c r="S916" s="76"/>
      <c r="T916" s="76"/>
      <c r="U916" s="76"/>
      <c r="V916" s="76"/>
      <c r="W916" s="76"/>
      <c r="X916" s="76"/>
      <c r="Y916" s="76"/>
      <c r="Z916" s="76"/>
      <c r="AA916" s="76"/>
      <c r="AB916" s="76"/>
      <c r="AC916" s="76"/>
      <c r="AD916" s="76"/>
      <c r="AE916" s="76"/>
      <c r="AF916" s="76"/>
      <c r="AG916" s="76"/>
      <c r="AH916" s="76"/>
      <c r="AI916" s="76">
        <v>1</v>
      </c>
      <c r="AJ916" s="76">
        <v>1</v>
      </c>
      <c r="AK916" s="73"/>
      <c r="AL916" s="57"/>
      <c r="AM916" s="45"/>
      <c r="AN916" s="45"/>
      <c r="AO916" s="45"/>
    </row>
    <row r="917" spans="1:41" hidden="1" outlineLevel="2" x14ac:dyDescent="0.25">
      <c r="A917" s="45"/>
      <c r="B917" s="54"/>
      <c r="C917" s="47">
        <f t="shared" si="273"/>
        <v>3</v>
      </c>
      <c r="D917" s="73"/>
      <c r="E917" s="70"/>
      <c r="F917" s="70" t="s">
        <v>2485</v>
      </c>
      <c r="G917" s="73"/>
      <c r="H917" s="76" t="s">
        <v>2684</v>
      </c>
      <c r="I917" s="96" t="s">
        <v>497</v>
      </c>
      <c r="J917" s="96"/>
      <c r="K917" s="76"/>
      <c r="L917" s="76"/>
      <c r="M917" s="76"/>
      <c r="N917" s="76"/>
      <c r="O917" s="76"/>
      <c r="P917" s="76"/>
      <c r="Q917" s="76"/>
      <c r="R917" s="76"/>
      <c r="S917" s="76"/>
      <c r="T917" s="76"/>
      <c r="U917" s="76">
        <v>0</v>
      </c>
      <c r="V917" s="76">
        <v>0</v>
      </c>
      <c r="W917" s="76">
        <v>0</v>
      </c>
      <c r="X917" s="76">
        <v>0</v>
      </c>
      <c r="Y917" s="76">
        <v>0</v>
      </c>
      <c r="Z917" s="76">
        <v>0</v>
      </c>
      <c r="AA917" s="76">
        <v>0</v>
      </c>
      <c r="AB917" s="76">
        <v>0</v>
      </c>
      <c r="AC917" s="76">
        <v>0</v>
      </c>
      <c r="AD917" s="76">
        <v>0</v>
      </c>
      <c r="AE917" s="76">
        <v>0</v>
      </c>
      <c r="AF917" s="76"/>
      <c r="AG917" s="76"/>
      <c r="AH917" s="76"/>
      <c r="AI917" s="76">
        <v>1</v>
      </c>
      <c r="AJ917" s="76">
        <v>1</v>
      </c>
      <c r="AK917" s="73"/>
      <c r="AL917" s="57"/>
      <c r="AM917" s="45"/>
      <c r="AN917" s="45"/>
      <c r="AO917" s="45"/>
    </row>
    <row r="918" spans="1:41" hidden="1" outlineLevel="2" x14ac:dyDescent="0.25">
      <c r="A918" s="45"/>
      <c r="B918" s="54"/>
      <c r="C918" s="47">
        <f t="shared" si="273"/>
        <v>3</v>
      </c>
      <c r="D918" s="73"/>
      <c r="E918" s="70"/>
      <c r="F918" s="70" t="s">
        <v>2486</v>
      </c>
      <c r="G918" s="73"/>
      <c r="H918" s="76" t="s">
        <v>2686</v>
      </c>
      <c r="I918" s="96" t="s">
        <v>497</v>
      </c>
      <c r="J918" s="96"/>
      <c r="K918" s="76"/>
      <c r="L918" s="76"/>
      <c r="M918" s="76"/>
      <c r="N918" s="76"/>
      <c r="O918" s="76"/>
      <c r="P918" s="76"/>
      <c r="Q918" s="76"/>
      <c r="R918" s="76"/>
      <c r="S918" s="76"/>
      <c r="T918" s="76"/>
      <c r="U918" s="97">
        <v>0</v>
      </c>
      <c r="V918" s="97">
        <v>0</v>
      </c>
      <c r="W918" s="97">
        <v>0</v>
      </c>
      <c r="X918" s="97">
        <v>0</v>
      </c>
      <c r="Y918" s="97">
        <v>0</v>
      </c>
      <c r="Z918" s="97">
        <v>0</v>
      </c>
      <c r="AA918" s="97">
        <v>0</v>
      </c>
      <c r="AB918" s="255">
        <f t="shared" ref="AB918:AE921" si="281">AA918</f>
        <v>0</v>
      </c>
      <c r="AC918" s="255">
        <f t="shared" si="281"/>
        <v>0</v>
      </c>
      <c r="AD918" s="255">
        <f t="shared" si="281"/>
        <v>0</v>
      </c>
      <c r="AE918" s="255">
        <f t="shared" si="281"/>
        <v>0</v>
      </c>
      <c r="AF918" s="76"/>
      <c r="AG918" s="76"/>
      <c r="AH918" s="76"/>
      <c r="AI918" s="76">
        <v>1</v>
      </c>
      <c r="AJ918" s="76">
        <v>1</v>
      </c>
      <c r="AK918" s="73"/>
      <c r="AL918" s="57"/>
      <c r="AM918" s="45"/>
      <c r="AN918" s="45"/>
      <c r="AO918" s="45"/>
    </row>
    <row r="919" spans="1:41" hidden="1" outlineLevel="2" x14ac:dyDescent="0.25">
      <c r="A919" s="45"/>
      <c r="B919" s="54"/>
      <c r="C919" s="47">
        <f t="shared" si="273"/>
        <v>3</v>
      </c>
      <c r="D919" s="73"/>
      <c r="E919" s="70"/>
      <c r="F919" s="70" t="s">
        <v>2487</v>
      </c>
      <c r="G919" s="73"/>
      <c r="H919" s="76" t="s">
        <v>2685</v>
      </c>
      <c r="I919" s="96" t="s">
        <v>497</v>
      </c>
      <c r="J919" s="96"/>
      <c r="K919" s="76"/>
      <c r="L919" s="76"/>
      <c r="M919" s="76"/>
      <c r="N919" s="76"/>
      <c r="O919" s="76"/>
      <c r="P919" s="76"/>
      <c r="Q919" s="76"/>
      <c r="R919" s="76"/>
      <c r="S919" s="76"/>
      <c r="T919" s="76"/>
      <c r="U919" s="97">
        <v>0</v>
      </c>
      <c r="V919" s="97">
        <v>0</v>
      </c>
      <c r="W919" s="97">
        <v>0</v>
      </c>
      <c r="X919" s="97">
        <v>0</v>
      </c>
      <c r="Y919" s="97">
        <v>0</v>
      </c>
      <c r="Z919" s="97">
        <v>0</v>
      </c>
      <c r="AA919" s="97">
        <v>0</v>
      </c>
      <c r="AB919" s="255">
        <f t="shared" si="281"/>
        <v>0</v>
      </c>
      <c r="AC919" s="255">
        <f t="shared" si="281"/>
        <v>0</v>
      </c>
      <c r="AD919" s="255">
        <f t="shared" si="281"/>
        <v>0</v>
      </c>
      <c r="AE919" s="255">
        <f t="shared" si="281"/>
        <v>0</v>
      </c>
      <c r="AF919" s="76"/>
      <c r="AG919" s="76"/>
      <c r="AH919" s="76"/>
      <c r="AI919" s="76">
        <v>1</v>
      </c>
      <c r="AJ919" s="76">
        <v>1</v>
      </c>
      <c r="AK919" s="73"/>
      <c r="AL919" s="57"/>
      <c r="AM919" s="45"/>
      <c r="AN919" s="45"/>
      <c r="AO919" s="45"/>
    </row>
    <row r="920" spans="1:41" hidden="1" outlineLevel="2" x14ac:dyDescent="0.25">
      <c r="A920" s="45"/>
      <c r="B920" s="54"/>
      <c r="C920" s="47">
        <f t="shared" si="273"/>
        <v>3</v>
      </c>
      <c r="D920" s="73"/>
      <c r="E920" s="70"/>
      <c r="F920" s="70" t="s">
        <v>2488</v>
      </c>
      <c r="G920" s="73"/>
      <c r="H920" s="76" t="s">
        <v>2687</v>
      </c>
      <c r="I920" s="96" t="s">
        <v>497</v>
      </c>
      <c r="J920" s="96"/>
      <c r="K920" s="76"/>
      <c r="L920" s="76"/>
      <c r="M920" s="76"/>
      <c r="N920" s="76"/>
      <c r="O920" s="76"/>
      <c r="P920" s="76"/>
      <c r="Q920" s="76"/>
      <c r="R920" s="76"/>
      <c r="S920" s="76"/>
      <c r="T920" s="76"/>
      <c r="U920" s="97">
        <v>0</v>
      </c>
      <c r="V920" s="97">
        <v>0</v>
      </c>
      <c r="W920" s="97">
        <v>0</v>
      </c>
      <c r="X920" s="97">
        <v>0</v>
      </c>
      <c r="Y920" s="97">
        <v>0</v>
      </c>
      <c r="Z920" s="97">
        <v>0</v>
      </c>
      <c r="AA920" s="97">
        <v>0</v>
      </c>
      <c r="AB920" s="255">
        <f t="shared" si="281"/>
        <v>0</v>
      </c>
      <c r="AC920" s="255">
        <f t="shared" si="281"/>
        <v>0</v>
      </c>
      <c r="AD920" s="255">
        <f t="shared" si="281"/>
        <v>0</v>
      </c>
      <c r="AE920" s="255">
        <f t="shared" si="281"/>
        <v>0</v>
      </c>
      <c r="AF920" s="76"/>
      <c r="AG920" s="76"/>
      <c r="AH920" s="76"/>
      <c r="AI920" s="76">
        <v>1</v>
      </c>
      <c r="AJ920" s="76">
        <v>1</v>
      </c>
      <c r="AK920" s="73"/>
      <c r="AL920" s="57"/>
      <c r="AM920" s="45"/>
      <c r="AN920" s="45"/>
      <c r="AO920" s="45"/>
    </row>
    <row r="921" spans="1:41" hidden="1" outlineLevel="2" x14ac:dyDescent="0.25">
      <c r="A921" s="45"/>
      <c r="B921" s="54"/>
      <c r="C921" s="47">
        <f t="shared" si="273"/>
        <v>3</v>
      </c>
      <c r="D921" s="73"/>
      <c r="E921" s="70"/>
      <c r="F921" s="70" t="s">
        <v>2489</v>
      </c>
      <c r="G921" s="73"/>
      <c r="H921" s="76" t="s">
        <v>2737</v>
      </c>
      <c r="I921" s="96" t="s">
        <v>497</v>
      </c>
      <c r="J921" s="96"/>
      <c r="K921" s="76"/>
      <c r="L921" s="76"/>
      <c r="M921" s="76"/>
      <c r="N921" s="76"/>
      <c r="O921" s="76"/>
      <c r="P921" s="76"/>
      <c r="Q921" s="76"/>
      <c r="R921" s="76"/>
      <c r="S921" s="76"/>
      <c r="T921" s="76"/>
      <c r="U921" s="97">
        <v>-100</v>
      </c>
      <c r="V921" s="255">
        <f t="shared" ref="V921" si="282">U921</f>
        <v>-100</v>
      </c>
      <c r="W921" s="255">
        <f t="shared" ref="W921" si="283">U921</f>
        <v>-100</v>
      </c>
      <c r="X921" s="255">
        <f t="shared" ref="X921" si="284">V921</f>
        <v>-100</v>
      </c>
      <c r="Y921" s="255">
        <f t="shared" ref="Y921" si="285">W921</f>
        <v>-100</v>
      </c>
      <c r="Z921" s="255">
        <f t="shared" ref="Z921" si="286">X921</f>
        <v>-100</v>
      </c>
      <c r="AA921" s="255">
        <f t="shared" ref="AA921" si="287">Y921</f>
        <v>-100</v>
      </c>
      <c r="AB921" s="255">
        <f t="shared" si="281"/>
        <v>-100</v>
      </c>
      <c r="AC921" s="255">
        <f t="shared" si="281"/>
        <v>-100</v>
      </c>
      <c r="AD921" s="255">
        <f t="shared" si="281"/>
        <v>-100</v>
      </c>
      <c r="AE921" s="255">
        <f t="shared" si="281"/>
        <v>-100</v>
      </c>
      <c r="AF921" s="76"/>
      <c r="AG921" s="76" t="s">
        <v>2748</v>
      </c>
      <c r="AH921" s="76"/>
      <c r="AI921" s="76">
        <v>1</v>
      </c>
      <c r="AJ921" s="76">
        <v>1</v>
      </c>
      <c r="AK921" s="73"/>
      <c r="AL921" s="57"/>
      <c r="AM921" s="45"/>
      <c r="AN921" s="45"/>
      <c r="AO921" s="45"/>
    </row>
    <row r="922" spans="1:41" hidden="1" outlineLevel="2" x14ac:dyDescent="0.25">
      <c r="A922" s="45"/>
      <c r="B922" s="54"/>
      <c r="C922" s="47">
        <f t="shared" si="273"/>
        <v>3</v>
      </c>
      <c r="D922" s="73"/>
      <c r="E922" s="70"/>
      <c r="F922" s="70" t="s">
        <v>2490</v>
      </c>
      <c r="G922" s="73"/>
      <c r="H922" s="76" t="s">
        <v>2686</v>
      </c>
      <c r="I922" s="96" t="s">
        <v>497</v>
      </c>
      <c r="J922" s="96"/>
      <c r="K922" s="76"/>
      <c r="L922" s="76"/>
      <c r="M922" s="76"/>
      <c r="N922" s="76"/>
      <c r="O922" s="76"/>
      <c r="P922" s="76"/>
      <c r="Q922" s="76"/>
      <c r="R922" s="76"/>
      <c r="S922" s="76"/>
      <c r="T922" s="76"/>
      <c r="U922" s="97">
        <f>AB922-(-0.4)</f>
        <v>0</v>
      </c>
      <c r="V922" s="255">
        <f>U922</f>
        <v>0</v>
      </c>
      <c r="W922" s="255">
        <f t="shared" ref="W922:X924" si="288">U922</f>
        <v>0</v>
      </c>
      <c r="X922" s="255">
        <f t="shared" si="288"/>
        <v>0</v>
      </c>
      <c r="Y922" s="255">
        <f t="shared" ref="Y922:Y924" si="289">W922</f>
        <v>0</v>
      </c>
      <c r="Z922" s="255">
        <f t="shared" ref="Z922:Z924" si="290">X922</f>
        <v>0</v>
      </c>
      <c r="AA922" s="255">
        <f t="shared" ref="AA922:AA924" si="291">Y922</f>
        <v>0</v>
      </c>
      <c r="AB922" s="97">
        <f>-(0.4)</f>
        <v>-0.4</v>
      </c>
      <c r="AC922" s="255">
        <f t="shared" ref="AC922:AE924" si="292">AB922</f>
        <v>-0.4</v>
      </c>
      <c r="AD922" s="255">
        <f t="shared" si="292"/>
        <v>-0.4</v>
      </c>
      <c r="AE922" s="255">
        <f t="shared" si="292"/>
        <v>-0.4</v>
      </c>
      <c r="AF922" s="76"/>
      <c r="AG922" s="97" t="s">
        <v>2787</v>
      </c>
      <c r="AH922" s="76"/>
      <c r="AI922" s="97">
        <v>1</v>
      </c>
      <c r="AJ922" s="97">
        <v>1</v>
      </c>
      <c r="AK922" s="73"/>
      <c r="AL922" s="57"/>
      <c r="AM922" s="45"/>
      <c r="AN922" s="45"/>
      <c r="AO922" s="45"/>
    </row>
    <row r="923" spans="1:41" hidden="1" outlineLevel="2" x14ac:dyDescent="0.25">
      <c r="A923" s="45"/>
      <c r="B923" s="54"/>
      <c r="C923" s="47">
        <f t="shared" si="273"/>
        <v>3</v>
      </c>
      <c r="D923" s="73"/>
      <c r="E923" s="70"/>
      <c r="F923" s="70" t="s">
        <v>2491</v>
      </c>
      <c r="G923" s="73"/>
      <c r="H923" s="76" t="s">
        <v>2685</v>
      </c>
      <c r="I923" s="96" t="s">
        <v>497</v>
      </c>
      <c r="J923" s="96"/>
      <c r="K923" s="76"/>
      <c r="L923" s="76"/>
      <c r="M923" s="76"/>
      <c r="N923" s="76"/>
      <c r="O923" s="76"/>
      <c r="P923" s="76"/>
      <c r="Q923" s="76"/>
      <c r="R923" s="76"/>
      <c r="S923" s="76"/>
      <c r="T923" s="76"/>
      <c r="U923" s="97">
        <f>AB923-(-0.55)</f>
        <v>0.55000000000000004</v>
      </c>
      <c r="V923" s="255">
        <f>U923</f>
        <v>0.55000000000000004</v>
      </c>
      <c r="W923" s="255">
        <f t="shared" si="288"/>
        <v>0.55000000000000004</v>
      </c>
      <c r="X923" s="255">
        <f t="shared" si="288"/>
        <v>0.55000000000000004</v>
      </c>
      <c r="Y923" s="255">
        <f t="shared" si="289"/>
        <v>0.55000000000000004</v>
      </c>
      <c r="Z923" s="255">
        <f t="shared" si="290"/>
        <v>0.55000000000000004</v>
      </c>
      <c r="AA923" s="255">
        <f t="shared" si="291"/>
        <v>0.55000000000000004</v>
      </c>
      <c r="AB923" s="97">
        <v>0</v>
      </c>
      <c r="AC923" s="255">
        <f t="shared" si="292"/>
        <v>0</v>
      </c>
      <c r="AD923" s="255">
        <f t="shared" si="292"/>
        <v>0</v>
      </c>
      <c r="AE923" s="255">
        <f t="shared" si="292"/>
        <v>0</v>
      </c>
      <c r="AF923" s="76"/>
      <c r="AG923" s="76"/>
      <c r="AH923" s="76"/>
      <c r="AI923" s="97">
        <v>1</v>
      </c>
      <c r="AJ923" s="97">
        <v>1</v>
      </c>
      <c r="AK923" s="73"/>
      <c r="AL923" s="57"/>
      <c r="AM923" s="45"/>
      <c r="AN923" s="45"/>
      <c r="AO923" s="45"/>
    </row>
    <row r="924" spans="1:41" hidden="1" outlineLevel="2" x14ac:dyDescent="0.25">
      <c r="A924" s="45"/>
      <c r="B924" s="54"/>
      <c r="C924" s="47">
        <f t="shared" si="273"/>
        <v>3</v>
      </c>
      <c r="D924" s="73"/>
      <c r="E924" s="70"/>
      <c r="F924" s="70" t="s">
        <v>2492</v>
      </c>
      <c r="G924" s="73"/>
      <c r="H924" s="76" t="s">
        <v>2687</v>
      </c>
      <c r="I924" s="96" t="s">
        <v>497</v>
      </c>
      <c r="J924" s="96"/>
      <c r="K924" s="76"/>
      <c r="L924" s="76"/>
      <c r="M924" s="76"/>
      <c r="N924" s="76"/>
      <c r="O924" s="76"/>
      <c r="P924" s="76"/>
      <c r="Q924" s="76"/>
      <c r="R924" s="76"/>
      <c r="S924" s="76"/>
      <c r="T924" s="76"/>
      <c r="U924" s="97">
        <f>AB924-(-1.1573)</f>
        <v>1.8119000000000001</v>
      </c>
      <c r="V924" s="255">
        <f>U924</f>
        <v>1.8119000000000001</v>
      </c>
      <c r="W924" s="255">
        <f t="shared" si="288"/>
        <v>1.8119000000000001</v>
      </c>
      <c r="X924" s="255">
        <f t="shared" si="288"/>
        <v>1.8119000000000001</v>
      </c>
      <c r="Y924" s="255">
        <f t="shared" si="289"/>
        <v>1.8119000000000001</v>
      </c>
      <c r="Z924" s="255">
        <f t="shared" si="290"/>
        <v>1.8119000000000001</v>
      </c>
      <c r="AA924" s="255">
        <f t="shared" si="291"/>
        <v>1.8119000000000001</v>
      </c>
      <c r="AB924" s="97">
        <f>-(-0.6546)</f>
        <v>0.65459999999999996</v>
      </c>
      <c r="AC924" s="255">
        <f t="shared" si="292"/>
        <v>0.65459999999999996</v>
      </c>
      <c r="AD924" s="255">
        <f t="shared" si="292"/>
        <v>0.65459999999999996</v>
      </c>
      <c r="AE924" s="255">
        <f t="shared" si="292"/>
        <v>0.65459999999999996</v>
      </c>
      <c r="AF924" s="76"/>
      <c r="AG924" s="76"/>
      <c r="AH924" s="76"/>
      <c r="AI924" s="97">
        <v>1</v>
      </c>
      <c r="AJ924" s="97">
        <v>1</v>
      </c>
      <c r="AK924" s="73"/>
      <c r="AL924" s="57"/>
      <c r="AM924" s="45"/>
      <c r="AN924" s="45"/>
      <c r="AO924" s="45"/>
    </row>
    <row r="925" spans="1:41" hidden="1" outlineLevel="2" x14ac:dyDescent="0.25">
      <c r="A925" s="45"/>
      <c r="B925" s="54"/>
      <c r="C925" s="47">
        <f t="shared" si="273"/>
        <v>3</v>
      </c>
      <c r="D925" s="73"/>
      <c r="E925" s="70"/>
      <c r="F925" s="70" t="s">
        <v>2493</v>
      </c>
      <c r="G925" s="73"/>
      <c r="H925" s="76" t="s">
        <v>2501</v>
      </c>
      <c r="I925" s="96" t="s">
        <v>497</v>
      </c>
      <c r="J925" s="96"/>
      <c r="K925" s="76"/>
      <c r="L925" s="76"/>
      <c r="M925" s="76"/>
      <c r="N925" s="76"/>
      <c r="O925" s="76"/>
      <c r="P925" s="76"/>
      <c r="Q925" s="76"/>
      <c r="R925" s="76"/>
      <c r="S925" s="76"/>
      <c r="T925" s="76" t="s">
        <v>3273</v>
      </c>
      <c r="U925" s="76">
        <v>0</v>
      </c>
      <c r="V925" s="76">
        <v>0</v>
      </c>
      <c r="W925" s="76">
        <v>0</v>
      </c>
      <c r="X925" s="76">
        <v>0</v>
      </c>
      <c r="Y925" s="76">
        <v>0</v>
      </c>
      <c r="Z925" s="76">
        <v>0</v>
      </c>
      <c r="AA925" s="76">
        <v>0</v>
      </c>
      <c r="AB925" s="76">
        <v>0</v>
      </c>
      <c r="AC925" s="76">
        <v>0</v>
      </c>
      <c r="AD925" s="76">
        <v>0</v>
      </c>
      <c r="AE925" s="76">
        <v>0</v>
      </c>
      <c r="AF925" s="76"/>
      <c r="AG925" s="264" t="s">
        <v>2508</v>
      </c>
      <c r="AH925" s="76"/>
      <c r="AI925" s="76">
        <v>1</v>
      </c>
      <c r="AJ925" s="76">
        <v>1</v>
      </c>
      <c r="AK925" s="73"/>
      <c r="AL925" s="57"/>
      <c r="AM925" s="45"/>
      <c r="AN925" s="45"/>
      <c r="AO925" s="45"/>
    </row>
    <row r="926" spans="1:41" hidden="1" outlineLevel="2" x14ac:dyDescent="0.25">
      <c r="A926" s="45"/>
      <c r="B926" s="54"/>
      <c r="C926" s="47">
        <f t="shared" si="273"/>
        <v>3</v>
      </c>
      <c r="D926" s="73"/>
      <c r="E926" s="70"/>
      <c r="F926" s="70" t="s">
        <v>2494</v>
      </c>
      <c r="G926" s="73"/>
      <c r="H926" s="76" t="s">
        <v>1477</v>
      </c>
      <c r="I926" s="96" t="s">
        <v>497</v>
      </c>
      <c r="J926" s="96"/>
      <c r="K926" s="76"/>
      <c r="L926" s="76"/>
      <c r="M926" s="76"/>
      <c r="N926" s="76"/>
      <c r="O926" s="76"/>
      <c r="P926" s="76"/>
      <c r="Q926" s="76"/>
      <c r="R926" s="76"/>
      <c r="S926" s="76"/>
      <c r="T926" s="76" t="s">
        <v>3273</v>
      </c>
      <c r="U926" s="97">
        <v>2.2589999999999999</v>
      </c>
      <c r="V926" s="255">
        <f t="shared" ref="V926:V936" si="293">U926</f>
        <v>2.2589999999999999</v>
      </c>
      <c r="W926" s="255">
        <f t="shared" ref="W926:X928" si="294">U926</f>
        <v>2.2589999999999999</v>
      </c>
      <c r="X926" s="255">
        <f t="shared" si="294"/>
        <v>2.2589999999999999</v>
      </c>
      <c r="Y926" s="255">
        <f t="shared" ref="Y926:Y928" si="295">W926</f>
        <v>2.2589999999999999</v>
      </c>
      <c r="Z926" s="255">
        <f t="shared" ref="Z926:Z928" si="296">X926</f>
        <v>2.2589999999999999</v>
      </c>
      <c r="AA926" s="255">
        <f t="shared" ref="AA926:AA928" si="297">Y926</f>
        <v>2.2589999999999999</v>
      </c>
      <c r="AB926" s="97">
        <v>1.962</v>
      </c>
      <c r="AC926" s="255">
        <f t="shared" ref="AC926:AE936" si="298">AB926</f>
        <v>1.962</v>
      </c>
      <c r="AD926" s="255">
        <f t="shared" si="298"/>
        <v>1.962</v>
      </c>
      <c r="AE926" s="255">
        <f t="shared" si="298"/>
        <v>1.962</v>
      </c>
      <c r="AF926" s="76"/>
      <c r="AG926" s="97" t="s">
        <v>2505</v>
      </c>
      <c r="AH926" s="76"/>
      <c r="AI926" s="97">
        <v>1</v>
      </c>
      <c r="AJ926" s="97">
        <v>1</v>
      </c>
      <c r="AK926" s="73"/>
      <c r="AL926" s="57"/>
      <c r="AM926" s="45"/>
      <c r="AN926" s="45"/>
      <c r="AO926" s="45"/>
    </row>
    <row r="927" spans="1:41" hidden="1" outlineLevel="2" x14ac:dyDescent="0.25">
      <c r="A927" s="45"/>
      <c r="B927" s="54"/>
      <c r="C927" s="47">
        <f t="shared" si="273"/>
        <v>3</v>
      </c>
      <c r="D927" s="73"/>
      <c r="E927" s="70"/>
      <c r="F927" s="70" t="s">
        <v>2495</v>
      </c>
      <c r="G927" s="73"/>
      <c r="H927" s="76" t="s">
        <v>1480</v>
      </c>
      <c r="I927" s="96" t="s">
        <v>497</v>
      </c>
      <c r="J927" s="96"/>
      <c r="K927" s="76"/>
      <c r="L927" s="76"/>
      <c r="M927" s="76"/>
      <c r="N927" s="76"/>
      <c r="O927" s="76"/>
      <c r="P927" s="76"/>
      <c r="Q927" s="76"/>
      <c r="R927" s="76"/>
      <c r="S927" s="76"/>
      <c r="T927" s="76"/>
      <c r="U927" s="97">
        <v>6.5</v>
      </c>
      <c r="V927" s="255">
        <f t="shared" si="293"/>
        <v>6.5</v>
      </c>
      <c r="W927" s="255">
        <f t="shared" si="294"/>
        <v>6.5</v>
      </c>
      <c r="X927" s="255">
        <f t="shared" si="294"/>
        <v>6.5</v>
      </c>
      <c r="Y927" s="255">
        <f t="shared" si="295"/>
        <v>6.5</v>
      </c>
      <c r="Z927" s="255">
        <f t="shared" si="296"/>
        <v>6.5</v>
      </c>
      <c r="AA927" s="255">
        <f t="shared" si="297"/>
        <v>6.5</v>
      </c>
      <c r="AB927" s="97">
        <v>5.6980000000000004</v>
      </c>
      <c r="AC927" s="255">
        <f t="shared" si="298"/>
        <v>5.6980000000000004</v>
      </c>
      <c r="AD927" s="255">
        <f t="shared" si="298"/>
        <v>5.6980000000000004</v>
      </c>
      <c r="AE927" s="255">
        <f t="shared" si="298"/>
        <v>5.6980000000000004</v>
      </c>
      <c r="AF927" s="76"/>
      <c r="AG927" s="76"/>
      <c r="AH927" s="76"/>
      <c r="AI927" s="97">
        <v>1</v>
      </c>
      <c r="AJ927" s="97">
        <v>1</v>
      </c>
      <c r="AK927" s="73"/>
      <c r="AL927" s="57"/>
      <c r="AM927" s="45"/>
      <c r="AN927" s="45"/>
      <c r="AO927" s="45"/>
    </row>
    <row r="928" spans="1:41" hidden="1" outlineLevel="2" x14ac:dyDescent="0.25">
      <c r="A928" s="45"/>
      <c r="B928" s="54"/>
      <c r="C928" s="47">
        <f t="shared" si="273"/>
        <v>3</v>
      </c>
      <c r="D928" s="73"/>
      <c r="E928" s="70"/>
      <c r="F928" s="70" t="s">
        <v>2496</v>
      </c>
      <c r="G928" s="73"/>
      <c r="H928" s="76" t="s">
        <v>1482</v>
      </c>
      <c r="I928" s="96" t="s">
        <v>497</v>
      </c>
      <c r="J928" s="96"/>
      <c r="K928" s="76"/>
      <c r="L928" s="76"/>
      <c r="M928" s="76"/>
      <c r="N928" s="76"/>
      <c r="O928" s="76"/>
      <c r="P928" s="76"/>
      <c r="Q928" s="76"/>
      <c r="R928" s="76"/>
      <c r="S928" s="76"/>
      <c r="T928" s="76"/>
      <c r="U928" s="97">
        <v>100</v>
      </c>
      <c r="V928" s="255">
        <f t="shared" ref="V928" si="299">U928</f>
        <v>100</v>
      </c>
      <c r="W928" s="255">
        <f t="shared" si="294"/>
        <v>100</v>
      </c>
      <c r="X928" s="255">
        <f t="shared" si="294"/>
        <v>100</v>
      </c>
      <c r="Y928" s="255">
        <f t="shared" si="295"/>
        <v>100</v>
      </c>
      <c r="Z928" s="255">
        <f t="shared" si="296"/>
        <v>100</v>
      </c>
      <c r="AA928" s="255">
        <f t="shared" si="297"/>
        <v>100</v>
      </c>
      <c r="AB928" s="255">
        <f t="shared" ref="AB928" si="300">AA928</f>
        <v>100</v>
      </c>
      <c r="AC928" s="255">
        <f t="shared" ref="AC928" si="301">AB928</f>
        <v>100</v>
      </c>
      <c r="AD928" s="255">
        <f t="shared" ref="AD928" si="302">AC928</f>
        <v>100</v>
      </c>
      <c r="AE928" s="255">
        <f t="shared" ref="AE928" si="303">AD928</f>
        <v>100</v>
      </c>
      <c r="AF928" s="76"/>
      <c r="AG928" s="264" t="s">
        <v>2507</v>
      </c>
      <c r="AH928" s="76"/>
      <c r="AI928" s="76">
        <v>1</v>
      </c>
      <c r="AJ928" s="76">
        <v>1</v>
      </c>
      <c r="AK928" s="73"/>
      <c r="AL928" s="57"/>
      <c r="AM928" s="45"/>
      <c r="AN928" s="45"/>
      <c r="AO928" s="45"/>
    </row>
    <row r="929" spans="1:41" hidden="1" outlineLevel="2" x14ac:dyDescent="0.25">
      <c r="A929" s="45"/>
      <c r="B929" s="54"/>
      <c r="C929" s="47">
        <f t="shared" si="273"/>
        <v>3</v>
      </c>
      <c r="D929" s="73"/>
      <c r="E929" s="70"/>
      <c r="F929" s="70" t="s">
        <v>2497</v>
      </c>
      <c r="G929" s="73"/>
      <c r="H929" s="76" t="s">
        <v>3776</v>
      </c>
      <c r="I929" s="96" t="s">
        <v>497</v>
      </c>
      <c r="J929" s="96"/>
      <c r="K929" s="76"/>
      <c r="L929" s="76"/>
      <c r="M929" s="76"/>
      <c r="N929" s="76"/>
      <c r="O929" s="76"/>
      <c r="P929" s="76"/>
      <c r="Q929" s="76"/>
      <c r="R929" s="76"/>
      <c r="S929" s="76"/>
      <c r="T929" s="76" t="s">
        <v>3273</v>
      </c>
      <c r="U929" s="97">
        <v>0</v>
      </c>
      <c r="V929" s="255">
        <f>U929</f>
        <v>0</v>
      </c>
      <c r="W929" s="255">
        <f t="shared" ref="W929:X929" si="304">V929</f>
        <v>0</v>
      </c>
      <c r="X929" s="255">
        <f t="shared" si="304"/>
        <v>0</v>
      </c>
      <c r="Y929" s="255">
        <f t="shared" ref="Y929" si="305">X929</f>
        <v>0</v>
      </c>
      <c r="Z929" s="255">
        <f t="shared" ref="Z929:AA929" si="306">Y929</f>
        <v>0</v>
      </c>
      <c r="AA929" s="255">
        <f t="shared" si="306"/>
        <v>0</v>
      </c>
      <c r="AB929" s="97">
        <v>0</v>
      </c>
      <c r="AC929" s="255">
        <f t="shared" ref="AC929:AC932" si="307">AB929</f>
        <v>0</v>
      </c>
      <c r="AD929" s="255">
        <f t="shared" ref="AD929:AE932" si="308">AC929</f>
        <v>0</v>
      </c>
      <c r="AE929" s="255">
        <f t="shared" si="308"/>
        <v>0</v>
      </c>
      <c r="AF929" s="76"/>
      <c r="AG929" s="97" t="s">
        <v>3781</v>
      </c>
      <c r="AH929" s="76"/>
      <c r="AI929" s="76">
        <v>1</v>
      </c>
      <c r="AJ929" s="76">
        <v>1</v>
      </c>
      <c r="AK929" s="73"/>
      <c r="AL929" s="57"/>
      <c r="AM929" s="45"/>
      <c r="AN929" s="45"/>
      <c r="AO929" s="45"/>
    </row>
    <row r="930" spans="1:41" hidden="1" outlineLevel="2" x14ac:dyDescent="0.25">
      <c r="A930" s="45"/>
      <c r="B930" s="54"/>
      <c r="C930" s="47">
        <f t="shared" si="273"/>
        <v>3</v>
      </c>
      <c r="D930" s="73"/>
      <c r="E930" s="70"/>
      <c r="F930" s="70" t="s">
        <v>2498</v>
      </c>
      <c r="G930" s="73"/>
      <c r="H930" s="76" t="s">
        <v>2502</v>
      </c>
      <c r="I930" s="96" t="s">
        <v>497</v>
      </c>
      <c r="J930" s="96"/>
      <c r="K930" s="76"/>
      <c r="L930" s="76"/>
      <c r="M930" s="76"/>
      <c r="N930" s="76"/>
      <c r="O930" s="76"/>
      <c r="P930" s="76"/>
      <c r="Q930" s="76"/>
      <c r="R930" s="76"/>
      <c r="S930" s="76"/>
      <c r="T930" s="76" t="s">
        <v>3273</v>
      </c>
      <c r="U930" s="97">
        <v>3.8858999999999999</v>
      </c>
      <c r="V930" s="255">
        <f>U930</f>
        <v>3.8858999999999999</v>
      </c>
      <c r="W930" s="255">
        <f t="shared" ref="W930:X930" si="309">V930</f>
        <v>3.8858999999999999</v>
      </c>
      <c r="X930" s="255">
        <f t="shared" si="309"/>
        <v>3.8858999999999999</v>
      </c>
      <c r="Y930" s="255">
        <f t="shared" ref="Y930" si="310">X930</f>
        <v>3.8858999999999999</v>
      </c>
      <c r="Z930" s="255">
        <f t="shared" ref="Z930:AA930" si="311">Y930</f>
        <v>3.8858999999999999</v>
      </c>
      <c r="AA930" s="255">
        <f t="shared" si="311"/>
        <v>3.8858999999999999</v>
      </c>
      <c r="AB930" s="97">
        <f>$U930</f>
        <v>3.8858999999999999</v>
      </c>
      <c r="AC930" s="255">
        <f t="shared" si="307"/>
        <v>3.8858999999999999</v>
      </c>
      <c r="AD930" s="255">
        <f t="shared" si="308"/>
        <v>3.8858999999999999</v>
      </c>
      <c r="AE930" s="255">
        <f t="shared" si="308"/>
        <v>3.8858999999999999</v>
      </c>
      <c r="AF930" s="76"/>
      <c r="AG930" s="97" t="s">
        <v>3778</v>
      </c>
      <c r="AH930" s="76"/>
      <c r="AI930" s="97">
        <v>1</v>
      </c>
      <c r="AJ930" s="97">
        <v>1</v>
      </c>
      <c r="AK930" s="73"/>
      <c r="AL930" s="57"/>
      <c r="AM930" s="45"/>
      <c r="AN930" s="45"/>
      <c r="AO930" s="45"/>
    </row>
    <row r="931" spans="1:41" hidden="1" outlineLevel="2" x14ac:dyDescent="0.25">
      <c r="A931" s="45"/>
      <c r="B931" s="54"/>
      <c r="C931" s="47">
        <f t="shared" si="273"/>
        <v>3</v>
      </c>
      <c r="D931" s="73"/>
      <c r="E931" s="70"/>
      <c r="F931" s="70" t="s">
        <v>2499</v>
      </c>
      <c r="G931" s="73"/>
      <c r="H931" s="76" t="s">
        <v>2503</v>
      </c>
      <c r="I931" s="96" t="s">
        <v>497</v>
      </c>
      <c r="J931" s="96"/>
      <c r="K931" s="76"/>
      <c r="L931" s="76"/>
      <c r="M931" s="76"/>
      <c r="N931" s="76"/>
      <c r="O931" s="76"/>
      <c r="P931" s="76"/>
      <c r="Q931" s="76"/>
      <c r="R931" s="76"/>
      <c r="S931" s="76"/>
      <c r="T931" s="76"/>
      <c r="U931" s="97">
        <v>10</v>
      </c>
      <c r="V931" s="255">
        <f>U931</f>
        <v>10</v>
      </c>
      <c r="W931" s="255">
        <f t="shared" ref="W931:X931" si="312">V931</f>
        <v>10</v>
      </c>
      <c r="X931" s="255">
        <f t="shared" si="312"/>
        <v>10</v>
      </c>
      <c r="Y931" s="255">
        <f t="shared" ref="Y931" si="313">X931</f>
        <v>10</v>
      </c>
      <c r="Z931" s="255">
        <f t="shared" ref="Z931:AA931" si="314">Y931</f>
        <v>10</v>
      </c>
      <c r="AA931" s="255">
        <f t="shared" si="314"/>
        <v>10</v>
      </c>
      <c r="AB931" s="97">
        <f>$U931</f>
        <v>10</v>
      </c>
      <c r="AC931" s="255">
        <f t="shared" si="307"/>
        <v>10</v>
      </c>
      <c r="AD931" s="255">
        <f t="shared" si="308"/>
        <v>10</v>
      </c>
      <c r="AE931" s="255">
        <f t="shared" si="308"/>
        <v>10</v>
      </c>
      <c r="AF931" s="76"/>
      <c r="AG931" s="97" t="s">
        <v>3777</v>
      </c>
      <c r="AH931" s="76"/>
      <c r="AI931" s="97">
        <v>1</v>
      </c>
      <c r="AJ931" s="97">
        <v>1</v>
      </c>
      <c r="AK931" s="73"/>
      <c r="AL931" s="57"/>
      <c r="AM931" s="45"/>
      <c r="AN931" s="45"/>
      <c r="AO931" s="45"/>
    </row>
    <row r="932" spans="1:41" hidden="1" outlineLevel="2" x14ac:dyDescent="0.25">
      <c r="A932" s="45"/>
      <c r="B932" s="54"/>
      <c r="C932" s="47">
        <f t="shared" si="273"/>
        <v>3</v>
      </c>
      <c r="D932" s="73"/>
      <c r="E932" s="70"/>
      <c r="F932" s="70" t="s">
        <v>2500</v>
      </c>
      <c r="G932" s="73"/>
      <c r="H932" s="76" t="s">
        <v>2504</v>
      </c>
      <c r="I932" s="96" t="s">
        <v>497</v>
      </c>
      <c r="J932" s="96"/>
      <c r="K932" s="76"/>
      <c r="L932" s="76"/>
      <c r="M932" s="76"/>
      <c r="N932" s="76"/>
      <c r="O932" s="76"/>
      <c r="P932" s="76"/>
      <c r="Q932" s="76"/>
      <c r="R932" s="76"/>
      <c r="S932" s="76"/>
      <c r="T932" s="76"/>
      <c r="U932" s="97">
        <v>100</v>
      </c>
      <c r="V932" s="255">
        <f t="shared" ref="V932" si="315">U932</f>
        <v>100</v>
      </c>
      <c r="W932" s="255">
        <f t="shared" ref="W932" si="316">U932</f>
        <v>100</v>
      </c>
      <c r="X932" s="255">
        <f t="shared" ref="X932" si="317">V932</f>
        <v>100</v>
      </c>
      <c r="Y932" s="255">
        <f t="shared" ref="Y932" si="318">W932</f>
        <v>100</v>
      </c>
      <c r="Z932" s="255">
        <f t="shared" ref="Z932" si="319">X932</f>
        <v>100</v>
      </c>
      <c r="AA932" s="255">
        <f t="shared" ref="AA932" si="320">Y932</f>
        <v>100</v>
      </c>
      <c r="AB932" s="255">
        <f t="shared" ref="AB932" si="321">AA932</f>
        <v>100</v>
      </c>
      <c r="AC932" s="255">
        <f t="shared" si="307"/>
        <v>100</v>
      </c>
      <c r="AD932" s="255">
        <f t="shared" si="308"/>
        <v>100</v>
      </c>
      <c r="AE932" s="255">
        <f t="shared" si="308"/>
        <v>100</v>
      </c>
      <c r="AF932" s="76"/>
      <c r="AG932" s="264" t="s">
        <v>2507</v>
      </c>
      <c r="AH932" s="76"/>
      <c r="AI932" s="76">
        <v>1</v>
      </c>
      <c r="AJ932" s="76">
        <v>1</v>
      </c>
      <c r="AK932" s="73"/>
      <c r="AL932" s="57"/>
      <c r="AM932" s="45"/>
      <c r="AN932" s="45"/>
      <c r="AO932" s="45"/>
    </row>
    <row r="933" spans="1:41" hidden="1" outlineLevel="2" x14ac:dyDescent="0.25">
      <c r="A933" s="45"/>
      <c r="B933" s="54"/>
      <c r="C933" s="47">
        <f t="shared" si="273"/>
        <v>3</v>
      </c>
      <c r="D933" s="73"/>
      <c r="E933" s="70"/>
      <c r="F933" s="70" t="s">
        <v>3304</v>
      </c>
      <c r="G933" s="73"/>
      <c r="H933" s="76" t="s">
        <v>3775</v>
      </c>
      <c r="I933" s="96" t="s">
        <v>497</v>
      </c>
      <c r="J933" s="96"/>
      <c r="K933" s="76"/>
      <c r="L933" s="76"/>
      <c r="M933" s="76"/>
      <c r="N933" s="76"/>
      <c r="O933" s="76"/>
      <c r="P933" s="76"/>
      <c r="Q933" s="76"/>
      <c r="R933" s="76"/>
      <c r="S933" s="76"/>
      <c r="T933" s="76" t="s">
        <v>3273</v>
      </c>
      <c r="U933" s="97">
        <v>1.302</v>
      </c>
      <c r="V933" s="255">
        <f t="shared" si="293"/>
        <v>1.302</v>
      </c>
      <c r="W933" s="97">
        <f t="shared" ref="W933:W934" si="322">V933</f>
        <v>1.302</v>
      </c>
      <c r="X933" s="97">
        <f t="shared" ref="X933:X934" si="323">W933</f>
        <v>1.302</v>
      </c>
      <c r="Y933" s="97">
        <f t="shared" ref="Y933:Y934" si="324">X933</f>
        <v>1.302</v>
      </c>
      <c r="Z933" s="97">
        <f t="shared" ref="Z933:AA934" si="325">Y933</f>
        <v>1.302</v>
      </c>
      <c r="AA933" s="97">
        <f t="shared" si="325"/>
        <v>1.302</v>
      </c>
      <c r="AB933" s="97">
        <v>0.64400000000000002</v>
      </c>
      <c r="AC933" s="255">
        <f t="shared" si="298"/>
        <v>0.64400000000000002</v>
      </c>
      <c r="AD933" s="255">
        <f t="shared" si="298"/>
        <v>0.64400000000000002</v>
      </c>
      <c r="AE933" s="255">
        <f t="shared" si="298"/>
        <v>0.64400000000000002</v>
      </c>
      <c r="AF933" s="76"/>
      <c r="AG933" s="97" t="s">
        <v>2719</v>
      </c>
      <c r="AH933" s="76"/>
      <c r="AI933" s="76">
        <v>1</v>
      </c>
      <c r="AJ933" s="76">
        <v>1</v>
      </c>
      <c r="AK933" s="73"/>
      <c r="AL933" s="57"/>
      <c r="AM933" s="45"/>
      <c r="AN933" s="45"/>
      <c r="AO933" s="45"/>
    </row>
    <row r="934" spans="1:41" hidden="1" outlineLevel="2" x14ac:dyDescent="0.25">
      <c r="A934" s="45"/>
      <c r="B934" s="54"/>
      <c r="C934" s="47">
        <f t="shared" si="273"/>
        <v>3</v>
      </c>
      <c r="D934" s="73"/>
      <c r="E934" s="70"/>
      <c r="F934" s="70" t="s">
        <v>3305</v>
      </c>
      <c r="G934" s="73"/>
      <c r="H934" s="76" t="s">
        <v>2502</v>
      </c>
      <c r="I934" s="96" t="s">
        <v>497</v>
      </c>
      <c r="J934" s="96"/>
      <c r="K934" s="76"/>
      <c r="L934" s="76"/>
      <c r="M934" s="76"/>
      <c r="N934" s="76"/>
      <c r="O934" s="76"/>
      <c r="P934" s="76"/>
      <c r="Q934" s="76"/>
      <c r="R934" s="76"/>
      <c r="S934" s="76"/>
      <c r="T934" s="76" t="s">
        <v>3273</v>
      </c>
      <c r="U934" s="97">
        <v>4.9800000000000004</v>
      </c>
      <c r="V934" s="255">
        <f t="shared" si="293"/>
        <v>4.9800000000000004</v>
      </c>
      <c r="W934" s="97">
        <f t="shared" si="322"/>
        <v>4.9800000000000004</v>
      </c>
      <c r="X934" s="97">
        <f t="shared" si="323"/>
        <v>4.9800000000000004</v>
      </c>
      <c r="Y934" s="97">
        <f t="shared" si="324"/>
        <v>4.9800000000000004</v>
      </c>
      <c r="Z934" s="97">
        <f t="shared" si="325"/>
        <v>4.9800000000000004</v>
      </c>
      <c r="AA934" s="97">
        <f t="shared" si="325"/>
        <v>4.9800000000000004</v>
      </c>
      <c r="AB934" s="97">
        <v>3.1459999999999999</v>
      </c>
      <c r="AC934" s="255">
        <f t="shared" si="298"/>
        <v>3.1459999999999999</v>
      </c>
      <c r="AD934" s="255">
        <f t="shared" si="298"/>
        <v>3.1459999999999999</v>
      </c>
      <c r="AE934" s="255">
        <f t="shared" si="298"/>
        <v>3.1459999999999999</v>
      </c>
      <c r="AF934" s="76"/>
      <c r="AG934" s="76"/>
      <c r="AH934" s="76"/>
      <c r="AI934" s="97">
        <v>1</v>
      </c>
      <c r="AJ934" s="97">
        <v>1</v>
      </c>
      <c r="AK934" s="73"/>
      <c r="AL934" s="57"/>
      <c r="AM934" s="45"/>
      <c r="AN934" s="45"/>
      <c r="AO934" s="45"/>
    </row>
    <row r="935" spans="1:41" hidden="1" outlineLevel="2" x14ac:dyDescent="0.25">
      <c r="A935" s="45"/>
      <c r="B935" s="54"/>
      <c r="C935" s="47">
        <f t="shared" si="273"/>
        <v>3</v>
      </c>
      <c r="D935" s="73"/>
      <c r="E935" s="70"/>
      <c r="F935" s="70" t="s">
        <v>3306</v>
      </c>
      <c r="G935" s="73"/>
      <c r="H935" s="76" t="s">
        <v>2503</v>
      </c>
      <c r="I935" s="96" t="s">
        <v>497</v>
      </c>
      <c r="J935" s="96"/>
      <c r="K935" s="76"/>
      <c r="L935" s="76"/>
      <c r="M935" s="76"/>
      <c r="N935" s="76"/>
      <c r="O935" s="76"/>
      <c r="P935" s="76"/>
      <c r="Q935" s="76"/>
      <c r="R935" s="76"/>
      <c r="S935" s="76"/>
      <c r="T935" s="76"/>
      <c r="U935" s="97">
        <v>7.9349999999999996</v>
      </c>
      <c r="V935" s="255">
        <f t="shared" si="293"/>
        <v>7.9349999999999996</v>
      </c>
      <c r="W935" s="255">
        <f t="shared" ref="W935:Y936" si="326">U935</f>
        <v>7.9349999999999996</v>
      </c>
      <c r="X935" s="255">
        <f t="shared" si="326"/>
        <v>7.9349999999999996</v>
      </c>
      <c r="Y935" s="255">
        <f t="shared" si="326"/>
        <v>7.9349999999999996</v>
      </c>
      <c r="Z935" s="255">
        <f t="shared" ref="Z935:AA950" si="327">X935</f>
        <v>7.9349999999999996</v>
      </c>
      <c r="AA935" s="255">
        <f t="shared" si="327"/>
        <v>7.9349999999999996</v>
      </c>
      <c r="AB935" s="97">
        <v>6.0309999999999997</v>
      </c>
      <c r="AC935" s="255">
        <f t="shared" si="298"/>
        <v>6.0309999999999997</v>
      </c>
      <c r="AD935" s="255">
        <f t="shared" si="298"/>
        <v>6.0309999999999997</v>
      </c>
      <c r="AE935" s="255">
        <f t="shared" si="298"/>
        <v>6.0309999999999997</v>
      </c>
      <c r="AF935" s="76"/>
      <c r="AG935" s="97" t="s">
        <v>2751</v>
      </c>
      <c r="AH935" s="76"/>
      <c r="AI935" s="97">
        <v>1</v>
      </c>
      <c r="AJ935" s="97">
        <v>1</v>
      </c>
      <c r="AK935" s="73"/>
      <c r="AL935" s="57"/>
      <c r="AM935" s="45"/>
      <c r="AN935" s="45"/>
      <c r="AO935" s="45"/>
    </row>
    <row r="936" spans="1:41" hidden="1" outlineLevel="2" x14ac:dyDescent="0.25">
      <c r="A936" s="45"/>
      <c r="B936" s="54"/>
      <c r="C936" s="47">
        <f t="shared" si="273"/>
        <v>3</v>
      </c>
      <c r="D936" s="73"/>
      <c r="E936" s="70"/>
      <c r="F936" s="70" t="s">
        <v>3307</v>
      </c>
      <c r="G936" s="73"/>
      <c r="H936" s="76" t="s">
        <v>2504</v>
      </c>
      <c r="I936" s="96" t="s">
        <v>497</v>
      </c>
      <c r="J936" s="96"/>
      <c r="K936" s="76"/>
      <c r="L936" s="76"/>
      <c r="M936" s="76"/>
      <c r="N936" s="76"/>
      <c r="O936" s="76"/>
      <c r="P936" s="76"/>
      <c r="Q936" s="76"/>
      <c r="R936" s="76"/>
      <c r="S936" s="76"/>
      <c r="T936" s="76"/>
      <c r="U936" s="97">
        <v>100</v>
      </c>
      <c r="V936" s="255">
        <f t="shared" si="293"/>
        <v>100</v>
      </c>
      <c r="W936" s="255">
        <f t="shared" si="326"/>
        <v>100</v>
      </c>
      <c r="X936" s="255">
        <f t="shared" si="326"/>
        <v>100</v>
      </c>
      <c r="Y936" s="255">
        <f t="shared" si="326"/>
        <v>100</v>
      </c>
      <c r="Z936" s="255">
        <f t="shared" ref="Z936" si="328">X936</f>
        <v>100</v>
      </c>
      <c r="AA936" s="255">
        <f t="shared" ref="AA936" si="329">Y936</f>
        <v>100</v>
      </c>
      <c r="AB936" s="255">
        <f t="shared" ref="AB936" si="330">AA936</f>
        <v>100</v>
      </c>
      <c r="AC936" s="255">
        <f t="shared" si="298"/>
        <v>100</v>
      </c>
      <c r="AD936" s="255">
        <f t="shared" si="298"/>
        <v>100</v>
      </c>
      <c r="AE936" s="255">
        <f t="shared" si="298"/>
        <v>100</v>
      </c>
      <c r="AF936" s="76"/>
      <c r="AG936" s="264" t="s">
        <v>2507</v>
      </c>
      <c r="AH936" s="76"/>
      <c r="AI936" s="76">
        <v>1</v>
      </c>
      <c r="AJ936" s="76">
        <v>1</v>
      </c>
      <c r="AK936" s="73"/>
      <c r="AL936" s="57"/>
      <c r="AM936" s="45"/>
      <c r="AN936" s="45"/>
      <c r="AO936" s="45"/>
    </row>
    <row r="937" spans="1:41" hidden="1" outlineLevel="2" x14ac:dyDescent="0.25">
      <c r="A937" s="45"/>
      <c r="B937" s="54"/>
      <c r="C937" s="47">
        <f t="shared" si="273"/>
        <v>3</v>
      </c>
      <c r="D937" s="73"/>
      <c r="E937" s="70"/>
      <c r="F937" s="70" t="s">
        <v>3354</v>
      </c>
      <c r="G937" s="73"/>
      <c r="H937" s="76" t="s">
        <v>3727</v>
      </c>
      <c r="I937" s="96" t="s">
        <v>497</v>
      </c>
      <c r="J937" s="96"/>
      <c r="K937" s="76"/>
      <c r="L937" s="76"/>
      <c r="M937" s="76"/>
      <c r="N937" s="76"/>
      <c r="O937" s="76"/>
      <c r="P937" s="76"/>
      <c r="Q937" s="76"/>
      <c r="R937" s="76"/>
      <c r="S937" s="76"/>
      <c r="T937" s="76"/>
      <c r="U937" s="97">
        <v>0</v>
      </c>
      <c r="V937" s="255">
        <f t="shared" ref="V937:V939" si="331">U937</f>
        <v>0</v>
      </c>
      <c r="W937" s="255">
        <f t="shared" ref="W937:W938" si="332">U937</f>
        <v>0</v>
      </c>
      <c r="X937" s="255">
        <f t="shared" ref="X937:X938" si="333">V937</f>
        <v>0</v>
      </c>
      <c r="Y937" s="255">
        <f t="shared" ref="Y937:Y938" si="334">W937</f>
        <v>0</v>
      </c>
      <c r="Z937" s="255">
        <f t="shared" si="327"/>
        <v>0</v>
      </c>
      <c r="AA937" s="255">
        <f t="shared" si="327"/>
        <v>0</v>
      </c>
      <c r="AB937" s="255">
        <f t="shared" ref="AB937:AB939" si="335">AA937</f>
        <v>0</v>
      </c>
      <c r="AC937" s="255">
        <f t="shared" ref="AC937:AC939" si="336">AB937</f>
        <v>0</v>
      </c>
      <c r="AD937" s="255">
        <f t="shared" ref="AD937:AD939" si="337">AC937</f>
        <v>0</v>
      </c>
      <c r="AE937" s="255">
        <f t="shared" ref="AE937:AE967" si="338">AD937</f>
        <v>0</v>
      </c>
      <c r="AF937" s="76"/>
      <c r="AG937" s="97" t="s">
        <v>3353</v>
      </c>
      <c r="AH937" s="76"/>
      <c r="AI937" s="76">
        <v>1</v>
      </c>
      <c r="AJ937" s="76">
        <v>1</v>
      </c>
      <c r="AK937" s="73"/>
      <c r="AL937" s="57"/>
      <c r="AM937" s="45"/>
      <c r="AN937" s="45"/>
      <c r="AO937" s="45"/>
    </row>
    <row r="938" spans="1:41" hidden="1" outlineLevel="2" x14ac:dyDescent="0.25">
      <c r="A938" s="45"/>
      <c r="B938" s="54"/>
      <c r="C938" s="47">
        <f t="shared" si="273"/>
        <v>3</v>
      </c>
      <c r="D938" s="73"/>
      <c r="E938" s="70"/>
      <c r="F938" s="70" t="s">
        <v>3355</v>
      </c>
      <c r="G938" s="73"/>
      <c r="H938" s="76" t="s">
        <v>2502</v>
      </c>
      <c r="I938" s="96" t="s">
        <v>497</v>
      </c>
      <c r="J938" s="96"/>
      <c r="K938" s="76"/>
      <c r="L938" s="76"/>
      <c r="M938" s="76"/>
      <c r="N938" s="76"/>
      <c r="O938" s="76"/>
      <c r="P938" s="76"/>
      <c r="Q938" s="76"/>
      <c r="R938" s="76"/>
      <c r="S938" s="76"/>
      <c r="T938" s="76"/>
      <c r="U938" s="97">
        <v>0</v>
      </c>
      <c r="V938" s="255">
        <f t="shared" si="331"/>
        <v>0</v>
      </c>
      <c r="W938" s="255">
        <f t="shared" si="332"/>
        <v>0</v>
      </c>
      <c r="X938" s="255">
        <f t="shared" si="333"/>
        <v>0</v>
      </c>
      <c r="Y938" s="255">
        <f t="shared" si="334"/>
        <v>0</v>
      </c>
      <c r="Z938" s="255">
        <f t="shared" si="327"/>
        <v>0</v>
      </c>
      <c r="AA938" s="255">
        <f t="shared" si="327"/>
        <v>0</v>
      </c>
      <c r="AB938" s="255">
        <f t="shared" si="335"/>
        <v>0</v>
      </c>
      <c r="AC938" s="255">
        <f t="shared" si="336"/>
        <v>0</v>
      </c>
      <c r="AD938" s="255">
        <f t="shared" si="337"/>
        <v>0</v>
      </c>
      <c r="AE938" s="255">
        <f t="shared" si="338"/>
        <v>0</v>
      </c>
      <c r="AF938" s="76"/>
      <c r="AG938" s="97" t="s">
        <v>3732</v>
      </c>
      <c r="AH938" s="76"/>
      <c r="AI938" s="97">
        <v>1</v>
      </c>
      <c r="AJ938" s="97">
        <v>1</v>
      </c>
      <c r="AK938" s="73"/>
      <c r="AL938" s="57"/>
      <c r="AM938" s="45"/>
      <c r="AN938" s="45"/>
      <c r="AO938" s="45"/>
    </row>
    <row r="939" spans="1:41" hidden="1" outlineLevel="2" x14ac:dyDescent="0.25">
      <c r="A939" s="45"/>
      <c r="B939" s="54"/>
      <c r="C939" s="47">
        <f t="shared" si="273"/>
        <v>3</v>
      </c>
      <c r="D939" s="73"/>
      <c r="E939" s="70"/>
      <c r="F939" s="70" t="s">
        <v>3356</v>
      </c>
      <c r="G939" s="73"/>
      <c r="H939" s="76" t="s">
        <v>2503</v>
      </c>
      <c r="I939" s="96" t="s">
        <v>497</v>
      </c>
      <c r="J939" s="96"/>
      <c r="K939" s="76"/>
      <c r="L939" s="76"/>
      <c r="M939" s="76"/>
      <c r="N939" s="76"/>
      <c r="O939" s="76"/>
      <c r="P939" s="76"/>
      <c r="Q939" s="76"/>
      <c r="R939" s="76"/>
      <c r="S939" s="76"/>
      <c r="T939" s="76"/>
      <c r="U939" s="97">
        <v>-3.3000000000000002E-2</v>
      </c>
      <c r="V939" s="255">
        <f t="shared" si="331"/>
        <v>-3.3000000000000002E-2</v>
      </c>
      <c r="W939" s="255">
        <f t="shared" ref="W939:Y939" si="339">U939</f>
        <v>-3.3000000000000002E-2</v>
      </c>
      <c r="X939" s="255">
        <f t="shared" si="339"/>
        <v>-3.3000000000000002E-2</v>
      </c>
      <c r="Y939" s="255">
        <f t="shared" si="339"/>
        <v>-3.3000000000000002E-2</v>
      </c>
      <c r="Z939" s="255">
        <f t="shared" si="327"/>
        <v>-3.3000000000000002E-2</v>
      </c>
      <c r="AA939" s="255">
        <f t="shared" si="327"/>
        <v>-3.3000000000000002E-2</v>
      </c>
      <c r="AB939" s="255">
        <f t="shared" si="335"/>
        <v>-3.3000000000000002E-2</v>
      </c>
      <c r="AC939" s="255">
        <f t="shared" si="336"/>
        <v>-3.3000000000000002E-2</v>
      </c>
      <c r="AD939" s="255">
        <f t="shared" si="337"/>
        <v>-3.3000000000000002E-2</v>
      </c>
      <c r="AE939" s="255">
        <f t="shared" si="338"/>
        <v>-3.3000000000000002E-2</v>
      </c>
      <c r="AF939" s="76"/>
      <c r="AG939" s="97"/>
      <c r="AH939" s="76"/>
      <c r="AI939" s="97">
        <v>1</v>
      </c>
      <c r="AJ939" s="97">
        <v>1</v>
      </c>
      <c r="AK939" s="73"/>
      <c r="AL939" s="57"/>
      <c r="AM939" s="45"/>
      <c r="AN939" s="45"/>
      <c r="AO939" s="45"/>
    </row>
    <row r="940" spans="1:41" hidden="1" outlineLevel="2" x14ac:dyDescent="0.25">
      <c r="A940" s="45"/>
      <c r="B940" s="54"/>
      <c r="C940" s="47">
        <f t="shared" si="273"/>
        <v>3</v>
      </c>
      <c r="D940" s="73"/>
      <c r="E940" s="70"/>
      <c r="F940" s="70" t="s">
        <v>3357</v>
      </c>
      <c r="G940" s="73"/>
      <c r="H940" s="76" t="s">
        <v>2504</v>
      </c>
      <c r="I940" s="96" t="s">
        <v>497</v>
      </c>
      <c r="J940" s="96"/>
      <c r="K940" s="76"/>
      <c r="L940" s="76"/>
      <c r="M940" s="76"/>
      <c r="N940" s="76"/>
      <c r="O940" s="76"/>
      <c r="P940" s="76"/>
      <c r="Q940" s="76"/>
      <c r="R940" s="76"/>
      <c r="S940" s="76"/>
      <c r="T940" s="76"/>
      <c r="U940" s="253">
        <f>U939</f>
        <v>-3.3000000000000002E-2</v>
      </c>
      <c r="V940" s="253">
        <f t="shared" ref="V940:AE940" si="340">V939</f>
        <v>-3.3000000000000002E-2</v>
      </c>
      <c r="W940" s="253">
        <f t="shared" si="340"/>
        <v>-3.3000000000000002E-2</v>
      </c>
      <c r="X940" s="253">
        <f t="shared" si="340"/>
        <v>-3.3000000000000002E-2</v>
      </c>
      <c r="Y940" s="253">
        <f t="shared" si="340"/>
        <v>-3.3000000000000002E-2</v>
      </c>
      <c r="Z940" s="253">
        <f t="shared" si="340"/>
        <v>-3.3000000000000002E-2</v>
      </c>
      <c r="AA940" s="253">
        <f t="shared" si="340"/>
        <v>-3.3000000000000002E-2</v>
      </c>
      <c r="AB940" s="253">
        <f t="shared" si="340"/>
        <v>-3.3000000000000002E-2</v>
      </c>
      <c r="AC940" s="253">
        <f t="shared" si="340"/>
        <v>-3.3000000000000002E-2</v>
      </c>
      <c r="AD940" s="253">
        <f t="shared" si="340"/>
        <v>-3.3000000000000002E-2</v>
      </c>
      <c r="AE940" s="253">
        <f t="shared" si="340"/>
        <v>-3.3000000000000002E-2</v>
      </c>
      <c r="AF940" s="76"/>
      <c r="AG940" s="264" t="s">
        <v>3352</v>
      </c>
      <c r="AH940" s="76"/>
      <c r="AI940" s="76">
        <v>1</v>
      </c>
      <c r="AJ940" s="76">
        <v>1</v>
      </c>
      <c r="AK940" s="73"/>
      <c r="AL940" s="57"/>
      <c r="AM940" s="45"/>
      <c r="AN940" s="45"/>
      <c r="AO940" s="45"/>
    </row>
    <row r="941" spans="1:41" hidden="1" outlineLevel="2" x14ac:dyDescent="0.25">
      <c r="A941" s="45"/>
      <c r="B941" s="54"/>
      <c r="C941" s="47">
        <f t="shared" si="273"/>
        <v>3</v>
      </c>
      <c r="D941" s="73"/>
      <c r="E941" s="70"/>
      <c r="F941" s="70" t="s">
        <v>3358</v>
      </c>
      <c r="G941" s="73"/>
      <c r="H941" s="76" t="s">
        <v>3728</v>
      </c>
      <c r="I941" s="96" t="s">
        <v>497</v>
      </c>
      <c r="J941" s="96"/>
      <c r="K941" s="76"/>
      <c r="L941" s="76"/>
      <c r="M941" s="76"/>
      <c r="N941" s="76"/>
      <c r="O941" s="76"/>
      <c r="P941" s="76"/>
      <c r="Q941" s="76"/>
      <c r="R941" s="76"/>
      <c r="S941" s="76"/>
      <c r="T941" s="76"/>
      <c r="U941" s="97">
        <v>0</v>
      </c>
      <c r="V941" s="255">
        <f t="shared" ref="V941:V943" si="341">U941</f>
        <v>0</v>
      </c>
      <c r="W941" s="255">
        <f t="shared" ref="W941:W942" si="342">U941</f>
        <v>0</v>
      </c>
      <c r="X941" s="255">
        <f t="shared" ref="X941:X942" si="343">V941</f>
        <v>0</v>
      </c>
      <c r="Y941" s="255">
        <f t="shared" ref="Y941:Y942" si="344">W941</f>
        <v>0</v>
      </c>
      <c r="Z941" s="255">
        <f t="shared" si="327"/>
        <v>0</v>
      </c>
      <c r="AA941" s="255">
        <f t="shared" si="327"/>
        <v>0</v>
      </c>
      <c r="AB941" s="255">
        <f t="shared" ref="AB941:AB943" si="345">AA941</f>
        <v>0</v>
      </c>
      <c r="AC941" s="255">
        <f t="shared" ref="AC941:AC943" si="346">AB941</f>
        <v>0</v>
      </c>
      <c r="AD941" s="255">
        <f t="shared" ref="AD941:AD943" si="347">AC941</f>
        <v>0</v>
      </c>
      <c r="AE941" s="255">
        <f t="shared" si="338"/>
        <v>0</v>
      </c>
      <c r="AF941" s="76"/>
      <c r="AG941" s="97" t="s">
        <v>3353</v>
      </c>
      <c r="AH941" s="76"/>
      <c r="AI941" s="76">
        <v>1</v>
      </c>
      <c r="AJ941" s="76">
        <v>1</v>
      </c>
      <c r="AK941" s="73"/>
      <c r="AL941" s="57"/>
      <c r="AM941" s="45"/>
      <c r="AN941" s="45"/>
      <c r="AO941" s="45"/>
    </row>
    <row r="942" spans="1:41" hidden="1" outlineLevel="2" x14ac:dyDescent="0.25">
      <c r="A942" s="45"/>
      <c r="B942" s="54"/>
      <c r="C942" s="47">
        <f t="shared" si="273"/>
        <v>3</v>
      </c>
      <c r="D942" s="73"/>
      <c r="E942" s="70"/>
      <c r="F942" s="70" t="s">
        <v>3359</v>
      </c>
      <c r="G942" s="73"/>
      <c r="H942" s="76" t="s">
        <v>2502</v>
      </c>
      <c r="I942" s="96" t="s">
        <v>497</v>
      </c>
      <c r="J942" s="96"/>
      <c r="K942" s="76"/>
      <c r="L942" s="76"/>
      <c r="M942" s="76"/>
      <c r="N942" s="76"/>
      <c r="O942" s="76"/>
      <c r="P942" s="76"/>
      <c r="Q942" s="76"/>
      <c r="R942" s="76"/>
      <c r="S942" s="76"/>
      <c r="T942" s="76"/>
      <c r="U942" s="97">
        <v>0</v>
      </c>
      <c r="V942" s="255">
        <f t="shared" si="341"/>
        <v>0</v>
      </c>
      <c r="W942" s="255">
        <f t="shared" si="342"/>
        <v>0</v>
      </c>
      <c r="X942" s="255">
        <f t="shared" si="343"/>
        <v>0</v>
      </c>
      <c r="Y942" s="255">
        <f t="shared" si="344"/>
        <v>0</v>
      </c>
      <c r="Z942" s="255">
        <f t="shared" si="327"/>
        <v>0</v>
      </c>
      <c r="AA942" s="255">
        <f t="shared" si="327"/>
        <v>0</v>
      </c>
      <c r="AB942" s="255">
        <f t="shared" si="345"/>
        <v>0</v>
      </c>
      <c r="AC942" s="255">
        <f t="shared" si="346"/>
        <v>0</v>
      </c>
      <c r="AD942" s="255">
        <f t="shared" si="347"/>
        <v>0</v>
      </c>
      <c r="AE942" s="255">
        <f t="shared" si="338"/>
        <v>0</v>
      </c>
      <c r="AF942" s="76"/>
      <c r="AG942" s="97" t="s">
        <v>3732</v>
      </c>
      <c r="AH942" s="76"/>
      <c r="AI942" s="97">
        <v>1</v>
      </c>
      <c r="AJ942" s="97">
        <v>1</v>
      </c>
      <c r="AK942" s="73"/>
      <c r="AL942" s="57"/>
      <c r="AM942" s="45"/>
      <c r="AN942" s="45"/>
      <c r="AO942" s="45"/>
    </row>
    <row r="943" spans="1:41" hidden="1" outlineLevel="2" x14ac:dyDescent="0.25">
      <c r="A943" s="45"/>
      <c r="B943" s="54"/>
      <c r="C943" s="47">
        <f t="shared" si="273"/>
        <v>3</v>
      </c>
      <c r="D943" s="73"/>
      <c r="E943" s="70"/>
      <c r="F943" s="70" t="s">
        <v>3360</v>
      </c>
      <c r="G943" s="73"/>
      <c r="H943" s="76" t="s">
        <v>2503</v>
      </c>
      <c r="I943" s="96" t="s">
        <v>497</v>
      </c>
      <c r="J943" s="96"/>
      <c r="K943" s="76"/>
      <c r="L943" s="76"/>
      <c r="M943" s="76"/>
      <c r="N943" s="76"/>
      <c r="O943" s="76"/>
      <c r="P943" s="76"/>
      <c r="Q943" s="76"/>
      <c r="R943" s="76"/>
      <c r="S943" s="76"/>
      <c r="T943" s="76"/>
      <c r="U943" s="97">
        <v>1.0269999999999999E-3</v>
      </c>
      <c r="V943" s="255">
        <f t="shared" si="341"/>
        <v>1.0269999999999999E-3</v>
      </c>
      <c r="W943" s="255">
        <f t="shared" ref="W943:Y943" si="348">U943</f>
        <v>1.0269999999999999E-3</v>
      </c>
      <c r="X943" s="255">
        <f t="shared" si="348"/>
        <v>1.0269999999999999E-3</v>
      </c>
      <c r="Y943" s="255">
        <f t="shared" si="348"/>
        <v>1.0269999999999999E-3</v>
      </c>
      <c r="Z943" s="255">
        <f t="shared" si="327"/>
        <v>1.0269999999999999E-3</v>
      </c>
      <c r="AA943" s="255">
        <f t="shared" si="327"/>
        <v>1.0269999999999999E-3</v>
      </c>
      <c r="AB943" s="255">
        <f t="shared" si="345"/>
        <v>1.0269999999999999E-3</v>
      </c>
      <c r="AC943" s="255">
        <f t="shared" si="346"/>
        <v>1.0269999999999999E-3</v>
      </c>
      <c r="AD943" s="255">
        <f t="shared" si="347"/>
        <v>1.0269999999999999E-3</v>
      </c>
      <c r="AE943" s="255">
        <f t="shared" si="338"/>
        <v>1.0269999999999999E-3</v>
      </c>
      <c r="AF943" s="76"/>
      <c r="AG943" s="97"/>
      <c r="AH943" s="76"/>
      <c r="AI943" s="97">
        <v>1</v>
      </c>
      <c r="AJ943" s="97">
        <v>1</v>
      </c>
      <c r="AK943" s="73"/>
      <c r="AL943" s="57"/>
      <c r="AM943" s="45"/>
      <c r="AN943" s="45"/>
      <c r="AO943" s="45"/>
    </row>
    <row r="944" spans="1:41" hidden="1" outlineLevel="2" x14ac:dyDescent="0.25">
      <c r="A944" s="45"/>
      <c r="B944" s="54"/>
      <c r="C944" s="47">
        <f t="shared" si="273"/>
        <v>3</v>
      </c>
      <c r="D944" s="73"/>
      <c r="E944" s="70"/>
      <c r="F944" s="70" t="s">
        <v>3361</v>
      </c>
      <c r="G944" s="73"/>
      <c r="H944" s="76" t="s">
        <v>2504</v>
      </c>
      <c r="I944" s="96" t="s">
        <v>497</v>
      </c>
      <c r="J944" s="96"/>
      <c r="K944" s="76"/>
      <c r="L944" s="76"/>
      <c r="M944" s="76"/>
      <c r="N944" s="76"/>
      <c r="O944" s="76"/>
      <c r="P944" s="76"/>
      <c r="Q944" s="76"/>
      <c r="R944" s="76"/>
      <c r="S944" s="76"/>
      <c r="T944" s="76"/>
      <c r="U944" s="253">
        <f>U943</f>
        <v>1.0269999999999999E-3</v>
      </c>
      <c r="V944" s="253">
        <f t="shared" ref="V944:AE944" si="349">V943</f>
        <v>1.0269999999999999E-3</v>
      </c>
      <c r="W944" s="253">
        <f t="shared" si="349"/>
        <v>1.0269999999999999E-3</v>
      </c>
      <c r="X944" s="253">
        <f t="shared" si="349"/>
        <v>1.0269999999999999E-3</v>
      </c>
      <c r="Y944" s="253">
        <f t="shared" si="349"/>
        <v>1.0269999999999999E-3</v>
      </c>
      <c r="Z944" s="253">
        <f t="shared" si="349"/>
        <v>1.0269999999999999E-3</v>
      </c>
      <c r="AA944" s="253">
        <f t="shared" si="349"/>
        <v>1.0269999999999999E-3</v>
      </c>
      <c r="AB944" s="253">
        <f t="shared" si="349"/>
        <v>1.0269999999999999E-3</v>
      </c>
      <c r="AC944" s="253">
        <f t="shared" si="349"/>
        <v>1.0269999999999999E-3</v>
      </c>
      <c r="AD944" s="253">
        <f t="shared" si="349"/>
        <v>1.0269999999999999E-3</v>
      </c>
      <c r="AE944" s="253">
        <f t="shared" si="349"/>
        <v>1.0269999999999999E-3</v>
      </c>
      <c r="AF944" s="76"/>
      <c r="AG944" s="264" t="s">
        <v>3352</v>
      </c>
      <c r="AH944" s="76"/>
      <c r="AI944" s="76">
        <v>1</v>
      </c>
      <c r="AJ944" s="76">
        <v>1</v>
      </c>
      <c r="AK944" s="73"/>
      <c r="AL944" s="57"/>
      <c r="AM944" s="45"/>
      <c r="AN944" s="45"/>
      <c r="AO944" s="45"/>
    </row>
    <row r="945" spans="1:41" hidden="1" outlineLevel="2" x14ac:dyDescent="0.25">
      <c r="A945" s="45"/>
      <c r="B945" s="54"/>
      <c r="C945" s="47">
        <f t="shared" si="273"/>
        <v>3</v>
      </c>
      <c r="D945" s="73"/>
      <c r="E945" s="70"/>
      <c r="F945" s="70" t="s">
        <v>3362</v>
      </c>
      <c r="G945" s="73"/>
      <c r="H945" s="76" t="s">
        <v>3729</v>
      </c>
      <c r="I945" s="96" t="s">
        <v>497</v>
      </c>
      <c r="J945" s="96"/>
      <c r="K945" s="76"/>
      <c r="L945" s="76"/>
      <c r="M945" s="76"/>
      <c r="N945" s="76"/>
      <c r="O945" s="76"/>
      <c r="P945" s="76"/>
      <c r="Q945" s="76"/>
      <c r="R945" s="76"/>
      <c r="S945" s="76"/>
      <c r="T945" s="76"/>
      <c r="U945" s="97">
        <v>0</v>
      </c>
      <c r="V945" s="255">
        <f t="shared" ref="V945:V947" si="350">U945</f>
        <v>0</v>
      </c>
      <c r="W945" s="255">
        <f t="shared" ref="W945:W946" si="351">U945</f>
        <v>0</v>
      </c>
      <c r="X945" s="255">
        <f t="shared" ref="X945:X946" si="352">V945</f>
        <v>0</v>
      </c>
      <c r="Y945" s="255">
        <f t="shared" ref="Y945:Y946" si="353">W945</f>
        <v>0</v>
      </c>
      <c r="Z945" s="255">
        <f t="shared" si="327"/>
        <v>0</v>
      </c>
      <c r="AA945" s="255">
        <f t="shared" si="327"/>
        <v>0</v>
      </c>
      <c r="AB945" s="255">
        <f t="shared" ref="AB945:AB947" si="354">AA945</f>
        <v>0</v>
      </c>
      <c r="AC945" s="255">
        <f t="shared" ref="AC945:AC947" si="355">AB945</f>
        <v>0</v>
      </c>
      <c r="AD945" s="255">
        <f t="shared" ref="AD945:AD947" si="356">AC945</f>
        <v>0</v>
      </c>
      <c r="AE945" s="255">
        <f t="shared" si="338"/>
        <v>0</v>
      </c>
      <c r="AF945" s="76"/>
      <c r="AG945" s="97" t="s">
        <v>3353</v>
      </c>
      <c r="AH945" s="76"/>
      <c r="AI945" s="76">
        <v>1</v>
      </c>
      <c r="AJ945" s="76">
        <v>1</v>
      </c>
      <c r="AK945" s="73"/>
      <c r="AL945" s="57"/>
      <c r="AM945" s="45"/>
      <c r="AN945" s="45"/>
      <c r="AO945" s="45"/>
    </row>
    <row r="946" spans="1:41" hidden="1" outlineLevel="2" x14ac:dyDescent="0.25">
      <c r="A946" s="45"/>
      <c r="B946" s="54"/>
      <c r="C946" s="47">
        <f t="shared" si="273"/>
        <v>3</v>
      </c>
      <c r="D946" s="73"/>
      <c r="E946" s="70"/>
      <c r="F946" s="70" t="s">
        <v>3363</v>
      </c>
      <c r="G946" s="73"/>
      <c r="H946" s="76" t="s">
        <v>2502</v>
      </c>
      <c r="I946" s="96" t="s">
        <v>497</v>
      </c>
      <c r="J946" s="96"/>
      <c r="K946" s="76"/>
      <c r="L946" s="76"/>
      <c r="M946" s="76"/>
      <c r="N946" s="76"/>
      <c r="O946" s="76"/>
      <c r="P946" s="76"/>
      <c r="Q946" s="76"/>
      <c r="R946" s="76"/>
      <c r="S946" s="76"/>
      <c r="T946" s="76"/>
      <c r="U946" s="97">
        <v>0</v>
      </c>
      <c r="V946" s="255">
        <f t="shared" si="350"/>
        <v>0</v>
      </c>
      <c r="W946" s="255">
        <f t="shared" si="351"/>
        <v>0</v>
      </c>
      <c r="X946" s="255">
        <f t="shared" si="352"/>
        <v>0</v>
      </c>
      <c r="Y946" s="255">
        <f t="shared" si="353"/>
        <v>0</v>
      </c>
      <c r="Z946" s="255">
        <f t="shared" si="327"/>
        <v>0</v>
      </c>
      <c r="AA946" s="255">
        <f t="shared" si="327"/>
        <v>0</v>
      </c>
      <c r="AB946" s="255">
        <f t="shared" si="354"/>
        <v>0</v>
      </c>
      <c r="AC946" s="255">
        <f t="shared" si="355"/>
        <v>0</v>
      </c>
      <c r="AD946" s="255">
        <f t="shared" si="356"/>
        <v>0</v>
      </c>
      <c r="AE946" s="255">
        <f t="shared" si="338"/>
        <v>0</v>
      </c>
      <c r="AF946" s="76"/>
      <c r="AG946" s="97" t="s">
        <v>3732</v>
      </c>
      <c r="AH946" s="76"/>
      <c r="AI946" s="97">
        <v>1</v>
      </c>
      <c r="AJ946" s="97">
        <v>1</v>
      </c>
      <c r="AK946" s="73"/>
      <c r="AL946" s="57"/>
      <c r="AM946" s="45"/>
      <c r="AN946" s="45"/>
      <c r="AO946" s="45"/>
    </row>
    <row r="947" spans="1:41" hidden="1" outlineLevel="2" x14ac:dyDescent="0.25">
      <c r="A947" s="45"/>
      <c r="B947" s="54"/>
      <c r="C947" s="47">
        <f t="shared" si="273"/>
        <v>3</v>
      </c>
      <c r="D947" s="73"/>
      <c r="E947" s="70"/>
      <c r="F947" s="70" t="s">
        <v>3364</v>
      </c>
      <c r="G947" s="73"/>
      <c r="H947" s="76" t="s">
        <v>2503</v>
      </c>
      <c r="I947" s="96" t="s">
        <v>497</v>
      </c>
      <c r="J947" s="96"/>
      <c r="K947" s="76"/>
      <c r="L947" s="76"/>
      <c r="M947" s="76"/>
      <c r="N947" s="76"/>
      <c r="O947" s="76"/>
      <c r="P947" s="76"/>
      <c r="Q947" s="76"/>
      <c r="R947" s="76"/>
      <c r="S947" s="76"/>
      <c r="T947" s="76"/>
      <c r="U947" s="97">
        <v>7.0199999999999999E-2</v>
      </c>
      <c r="V947" s="255">
        <f t="shared" si="350"/>
        <v>7.0199999999999999E-2</v>
      </c>
      <c r="W947" s="255">
        <f t="shared" ref="W947:Y947" si="357">U947</f>
        <v>7.0199999999999999E-2</v>
      </c>
      <c r="X947" s="255">
        <f t="shared" si="357"/>
        <v>7.0199999999999999E-2</v>
      </c>
      <c r="Y947" s="255">
        <f t="shared" si="357"/>
        <v>7.0199999999999999E-2</v>
      </c>
      <c r="Z947" s="255">
        <f t="shared" si="327"/>
        <v>7.0199999999999999E-2</v>
      </c>
      <c r="AA947" s="255">
        <f t="shared" si="327"/>
        <v>7.0199999999999999E-2</v>
      </c>
      <c r="AB947" s="255">
        <f t="shared" si="354"/>
        <v>7.0199999999999999E-2</v>
      </c>
      <c r="AC947" s="255">
        <f t="shared" si="355"/>
        <v>7.0199999999999999E-2</v>
      </c>
      <c r="AD947" s="255">
        <f t="shared" si="356"/>
        <v>7.0199999999999999E-2</v>
      </c>
      <c r="AE947" s="255">
        <f t="shared" si="338"/>
        <v>7.0199999999999999E-2</v>
      </c>
      <c r="AF947" s="76"/>
      <c r="AG947" s="97"/>
      <c r="AH947" s="76"/>
      <c r="AI947" s="97">
        <v>1</v>
      </c>
      <c r="AJ947" s="97">
        <v>1</v>
      </c>
      <c r="AK947" s="73"/>
      <c r="AL947" s="57"/>
      <c r="AM947" s="45"/>
      <c r="AN947" s="45"/>
      <c r="AO947" s="45"/>
    </row>
    <row r="948" spans="1:41" hidden="1" outlineLevel="2" x14ac:dyDescent="0.25">
      <c r="A948" s="45"/>
      <c r="B948" s="54"/>
      <c r="C948" s="47">
        <f t="shared" si="273"/>
        <v>3</v>
      </c>
      <c r="D948" s="73"/>
      <c r="E948" s="70"/>
      <c r="F948" s="70" t="s">
        <v>3365</v>
      </c>
      <c r="G948" s="73"/>
      <c r="H948" s="76" t="s">
        <v>2504</v>
      </c>
      <c r="I948" s="96" t="s">
        <v>497</v>
      </c>
      <c r="J948" s="96"/>
      <c r="K948" s="76"/>
      <c r="L948" s="76"/>
      <c r="M948" s="76"/>
      <c r="N948" s="76"/>
      <c r="O948" s="76"/>
      <c r="P948" s="76"/>
      <c r="Q948" s="76"/>
      <c r="R948" s="76"/>
      <c r="S948" s="76"/>
      <c r="T948" s="76"/>
      <c r="U948" s="253">
        <f>U947</f>
        <v>7.0199999999999999E-2</v>
      </c>
      <c r="V948" s="253">
        <f t="shared" ref="V948:AE948" si="358">V947</f>
        <v>7.0199999999999999E-2</v>
      </c>
      <c r="W948" s="253">
        <f t="shared" si="358"/>
        <v>7.0199999999999999E-2</v>
      </c>
      <c r="X948" s="253">
        <f t="shared" si="358"/>
        <v>7.0199999999999999E-2</v>
      </c>
      <c r="Y948" s="253">
        <f t="shared" si="358"/>
        <v>7.0199999999999999E-2</v>
      </c>
      <c r="Z948" s="253">
        <f t="shared" si="358"/>
        <v>7.0199999999999999E-2</v>
      </c>
      <c r="AA948" s="253">
        <f t="shared" si="358"/>
        <v>7.0199999999999999E-2</v>
      </c>
      <c r="AB948" s="253">
        <f t="shared" si="358"/>
        <v>7.0199999999999999E-2</v>
      </c>
      <c r="AC948" s="253">
        <f t="shared" si="358"/>
        <v>7.0199999999999999E-2</v>
      </c>
      <c r="AD948" s="253">
        <f t="shared" si="358"/>
        <v>7.0199999999999999E-2</v>
      </c>
      <c r="AE948" s="253">
        <f t="shared" si="358"/>
        <v>7.0199999999999999E-2</v>
      </c>
      <c r="AF948" s="76"/>
      <c r="AG948" s="264" t="s">
        <v>3352</v>
      </c>
      <c r="AH948" s="76"/>
      <c r="AI948" s="76">
        <v>1</v>
      </c>
      <c r="AJ948" s="76">
        <v>1</v>
      </c>
      <c r="AK948" s="73"/>
      <c r="AL948" s="57"/>
      <c r="AM948" s="45"/>
      <c r="AN948" s="45"/>
      <c r="AO948" s="45"/>
    </row>
    <row r="949" spans="1:41" hidden="1" outlineLevel="2" x14ac:dyDescent="0.25">
      <c r="A949" s="45"/>
      <c r="B949" s="54"/>
      <c r="C949" s="47">
        <f t="shared" si="273"/>
        <v>3</v>
      </c>
      <c r="D949" s="73"/>
      <c r="E949" s="70"/>
      <c r="F949" s="70" t="s">
        <v>3366</v>
      </c>
      <c r="G949" s="73"/>
      <c r="H949" s="76" t="s">
        <v>3730</v>
      </c>
      <c r="I949" s="96" t="s">
        <v>497</v>
      </c>
      <c r="J949" s="96"/>
      <c r="K949" s="76"/>
      <c r="L949" s="76"/>
      <c r="M949" s="76"/>
      <c r="N949" s="76"/>
      <c r="O949" s="76"/>
      <c r="P949" s="76"/>
      <c r="Q949" s="76"/>
      <c r="R949" s="76"/>
      <c r="S949" s="76"/>
      <c r="T949" s="76"/>
      <c r="U949" s="97">
        <v>0</v>
      </c>
      <c r="V949" s="255">
        <f t="shared" ref="V949:V951" si="359">U949</f>
        <v>0</v>
      </c>
      <c r="W949" s="255">
        <f t="shared" ref="W949:W950" si="360">U949</f>
        <v>0</v>
      </c>
      <c r="X949" s="255">
        <f t="shared" ref="X949:X950" si="361">V949</f>
        <v>0</v>
      </c>
      <c r="Y949" s="255">
        <f t="shared" ref="Y949:Y950" si="362">W949</f>
        <v>0</v>
      </c>
      <c r="Z949" s="255">
        <f t="shared" si="327"/>
        <v>0</v>
      </c>
      <c r="AA949" s="255">
        <f t="shared" si="327"/>
        <v>0</v>
      </c>
      <c r="AB949" s="255">
        <f t="shared" ref="AB949:AB951" si="363">AA949</f>
        <v>0</v>
      </c>
      <c r="AC949" s="255">
        <f t="shared" ref="AC949:AC951" si="364">AB949</f>
        <v>0</v>
      </c>
      <c r="AD949" s="255">
        <f t="shared" ref="AD949:AD951" si="365">AC949</f>
        <v>0</v>
      </c>
      <c r="AE949" s="255">
        <f t="shared" si="338"/>
        <v>0</v>
      </c>
      <c r="AF949" s="76"/>
      <c r="AG949" s="97" t="s">
        <v>3353</v>
      </c>
      <c r="AH949" s="76"/>
      <c r="AI949" s="76">
        <v>1</v>
      </c>
      <c r="AJ949" s="76">
        <v>1</v>
      </c>
      <c r="AK949" s="73"/>
      <c r="AL949" s="57"/>
      <c r="AM949" s="45"/>
      <c r="AN949" s="45"/>
      <c r="AO949" s="45"/>
    </row>
    <row r="950" spans="1:41" hidden="1" outlineLevel="2" x14ac:dyDescent="0.25">
      <c r="A950" s="45"/>
      <c r="B950" s="54"/>
      <c r="C950" s="47">
        <f t="shared" si="273"/>
        <v>3</v>
      </c>
      <c r="D950" s="73"/>
      <c r="E950" s="70"/>
      <c r="F950" s="70" t="s">
        <v>3367</v>
      </c>
      <c r="G950" s="73"/>
      <c r="H950" s="76" t="s">
        <v>2502</v>
      </c>
      <c r="I950" s="96" t="s">
        <v>497</v>
      </c>
      <c r="J950" s="96"/>
      <c r="K950" s="76"/>
      <c r="L950" s="76"/>
      <c r="M950" s="76"/>
      <c r="N950" s="76"/>
      <c r="O950" s="76"/>
      <c r="P950" s="76"/>
      <c r="Q950" s="76"/>
      <c r="R950" s="76"/>
      <c r="S950" s="76"/>
      <c r="T950" s="76"/>
      <c r="U950" s="97">
        <v>0</v>
      </c>
      <c r="V950" s="255">
        <f t="shared" si="359"/>
        <v>0</v>
      </c>
      <c r="W950" s="255">
        <f t="shared" si="360"/>
        <v>0</v>
      </c>
      <c r="X950" s="255">
        <f t="shared" si="361"/>
        <v>0</v>
      </c>
      <c r="Y950" s="255">
        <f t="shared" si="362"/>
        <v>0</v>
      </c>
      <c r="Z950" s="255">
        <f t="shared" si="327"/>
        <v>0</v>
      </c>
      <c r="AA950" s="255">
        <f t="shared" si="327"/>
        <v>0</v>
      </c>
      <c r="AB950" s="255">
        <f t="shared" si="363"/>
        <v>0</v>
      </c>
      <c r="AC950" s="255">
        <f t="shared" si="364"/>
        <v>0</v>
      </c>
      <c r="AD950" s="255">
        <f t="shared" si="365"/>
        <v>0</v>
      </c>
      <c r="AE950" s="255">
        <f t="shared" si="338"/>
        <v>0</v>
      </c>
      <c r="AF950" s="76"/>
      <c r="AG950" s="97" t="s">
        <v>3732</v>
      </c>
      <c r="AH950" s="76"/>
      <c r="AI950" s="97">
        <v>1</v>
      </c>
      <c r="AJ950" s="97">
        <v>1</v>
      </c>
      <c r="AK950" s="73"/>
      <c r="AL950" s="57"/>
      <c r="AM950" s="45"/>
      <c r="AN950" s="45"/>
      <c r="AO950" s="45"/>
    </row>
    <row r="951" spans="1:41" hidden="1" outlineLevel="2" x14ac:dyDescent="0.25">
      <c r="A951" s="45"/>
      <c r="B951" s="54"/>
      <c r="C951" s="47">
        <f t="shared" si="273"/>
        <v>3</v>
      </c>
      <c r="D951" s="73"/>
      <c r="E951" s="70"/>
      <c r="F951" s="70" t="s">
        <v>3368</v>
      </c>
      <c r="G951" s="73"/>
      <c r="H951" s="76" t="s">
        <v>2503</v>
      </c>
      <c r="I951" s="96" t="s">
        <v>497</v>
      </c>
      <c r="J951" s="96"/>
      <c r="K951" s="76"/>
      <c r="L951" s="76"/>
      <c r="M951" s="76"/>
      <c r="N951" s="76"/>
      <c r="O951" s="76"/>
      <c r="P951" s="76"/>
      <c r="Q951" s="76"/>
      <c r="R951" s="76"/>
      <c r="S951" s="76"/>
      <c r="T951" s="76"/>
      <c r="U951" s="97">
        <v>4.4400000000000002E-2</v>
      </c>
      <c r="V951" s="255">
        <f t="shared" si="359"/>
        <v>4.4400000000000002E-2</v>
      </c>
      <c r="W951" s="255">
        <f t="shared" ref="W951:Y951" si="366">U951</f>
        <v>4.4400000000000002E-2</v>
      </c>
      <c r="X951" s="255">
        <f t="shared" si="366"/>
        <v>4.4400000000000002E-2</v>
      </c>
      <c r="Y951" s="255">
        <f t="shared" si="366"/>
        <v>4.4400000000000002E-2</v>
      </c>
      <c r="Z951" s="255">
        <f t="shared" ref="Z951:AA966" si="367">X951</f>
        <v>4.4400000000000002E-2</v>
      </c>
      <c r="AA951" s="255">
        <f t="shared" si="367"/>
        <v>4.4400000000000002E-2</v>
      </c>
      <c r="AB951" s="255">
        <f t="shared" si="363"/>
        <v>4.4400000000000002E-2</v>
      </c>
      <c r="AC951" s="255">
        <f t="shared" si="364"/>
        <v>4.4400000000000002E-2</v>
      </c>
      <c r="AD951" s="255">
        <f t="shared" si="365"/>
        <v>4.4400000000000002E-2</v>
      </c>
      <c r="AE951" s="255">
        <f t="shared" si="338"/>
        <v>4.4400000000000002E-2</v>
      </c>
      <c r="AF951" s="76"/>
      <c r="AG951" s="97"/>
      <c r="AH951" s="76"/>
      <c r="AI951" s="97">
        <v>1</v>
      </c>
      <c r="AJ951" s="97">
        <v>1</v>
      </c>
      <c r="AK951" s="73"/>
      <c r="AL951" s="57"/>
      <c r="AM951" s="45"/>
      <c r="AN951" s="45"/>
      <c r="AO951" s="45"/>
    </row>
    <row r="952" spans="1:41" hidden="1" outlineLevel="2" x14ac:dyDescent="0.25">
      <c r="A952" s="45"/>
      <c r="B952" s="54"/>
      <c r="C952" s="47">
        <f t="shared" si="273"/>
        <v>3</v>
      </c>
      <c r="D952" s="73"/>
      <c r="E952" s="70"/>
      <c r="F952" s="70" t="s">
        <v>3369</v>
      </c>
      <c r="G952" s="73"/>
      <c r="H952" s="76" t="s">
        <v>2504</v>
      </c>
      <c r="I952" s="96" t="s">
        <v>497</v>
      </c>
      <c r="J952" s="96"/>
      <c r="K952" s="76"/>
      <c r="L952" s="76"/>
      <c r="M952" s="76"/>
      <c r="N952" s="76"/>
      <c r="O952" s="76"/>
      <c r="P952" s="76"/>
      <c r="Q952" s="76"/>
      <c r="R952" s="76"/>
      <c r="S952" s="76"/>
      <c r="T952" s="76"/>
      <c r="U952" s="253">
        <f>U951</f>
        <v>4.4400000000000002E-2</v>
      </c>
      <c r="V952" s="253">
        <f t="shared" ref="V952:AE952" si="368">V951</f>
        <v>4.4400000000000002E-2</v>
      </c>
      <c r="W952" s="253">
        <f t="shared" si="368"/>
        <v>4.4400000000000002E-2</v>
      </c>
      <c r="X952" s="253">
        <f t="shared" si="368"/>
        <v>4.4400000000000002E-2</v>
      </c>
      <c r="Y952" s="253">
        <f t="shared" si="368"/>
        <v>4.4400000000000002E-2</v>
      </c>
      <c r="Z952" s="253">
        <f t="shared" si="368"/>
        <v>4.4400000000000002E-2</v>
      </c>
      <c r="AA952" s="253">
        <f t="shared" si="368"/>
        <v>4.4400000000000002E-2</v>
      </c>
      <c r="AB952" s="253">
        <f t="shared" si="368"/>
        <v>4.4400000000000002E-2</v>
      </c>
      <c r="AC952" s="253">
        <f t="shared" si="368"/>
        <v>4.4400000000000002E-2</v>
      </c>
      <c r="AD952" s="253">
        <f t="shared" si="368"/>
        <v>4.4400000000000002E-2</v>
      </c>
      <c r="AE952" s="253">
        <f t="shared" si="368"/>
        <v>4.4400000000000002E-2</v>
      </c>
      <c r="AF952" s="76"/>
      <c r="AG952" s="264" t="s">
        <v>3352</v>
      </c>
      <c r="AH952" s="76"/>
      <c r="AI952" s="76">
        <v>1</v>
      </c>
      <c r="AJ952" s="76">
        <v>1</v>
      </c>
      <c r="AK952" s="73"/>
      <c r="AL952" s="57"/>
      <c r="AM952" s="45"/>
      <c r="AN952" s="45"/>
      <c r="AO952" s="45"/>
    </row>
    <row r="953" spans="1:41" hidden="1" outlineLevel="2" x14ac:dyDescent="0.25">
      <c r="A953" s="45"/>
      <c r="B953" s="54"/>
      <c r="C953" s="47">
        <f t="shared" si="273"/>
        <v>3</v>
      </c>
      <c r="D953" s="73"/>
      <c r="E953" s="70"/>
      <c r="F953" s="70" t="s">
        <v>3371</v>
      </c>
      <c r="G953" s="73"/>
      <c r="H953" s="76" t="s">
        <v>3731</v>
      </c>
      <c r="I953" s="96" t="s">
        <v>497</v>
      </c>
      <c r="J953" s="96"/>
      <c r="K953" s="76"/>
      <c r="L953" s="76"/>
      <c r="M953" s="76"/>
      <c r="N953" s="76"/>
      <c r="O953" s="76"/>
      <c r="P953" s="76"/>
      <c r="Q953" s="76"/>
      <c r="R953" s="76"/>
      <c r="S953" s="76"/>
      <c r="T953" s="76"/>
      <c r="U953" s="97">
        <v>0</v>
      </c>
      <c r="V953" s="255">
        <f t="shared" ref="V953:V955" si="369">U953</f>
        <v>0</v>
      </c>
      <c r="W953" s="255">
        <f t="shared" ref="W953:W954" si="370">U953</f>
        <v>0</v>
      </c>
      <c r="X953" s="255">
        <f t="shared" ref="X953:X954" si="371">V953</f>
        <v>0</v>
      </c>
      <c r="Y953" s="255">
        <f t="shared" ref="Y953:Y954" si="372">W953</f>
        <v>0</v>
      </c>
      <c r="Z953" s="255">
        <f t="shared" si="367"/>
        <v>0</v>
      </c>
      <c r="AA953" s="255">
        <f t="shared" si="367"/>
        <v>0</v>
      </c>
      <c r="AB953" s="255">
        <f t="shared" ref="AB953:AB955" si="373">AA953</f>
        <v>0</v>
      </c>
      <c r="AC953" s="255">
        <f t="shared" ref="AC953:AC955" si="374">AB953</f>
        <v>0</v>
      </c>
      <c r="AD953" s="255">
        <f t="shared" ref="AD953:AD955" si="375">AC953</f>
        <v>0</v>
      </c>
      <c r="AE953" s="255">
        <f t="shared" si="338"/>
        <v>0</v>
      </c>
      <c r="AF953" s="76"/>
      <c r="AG953" s="97" t="s">
        <v>3353</v>
      </c>
      <c r="AH953" s="76"/>
      <c r="AI953" s="76">
        <v>1</v>
      </c>
      <c r="AJ953" s="76">
        <v>1</v>
      </c>
      <c r="AK953" s="73"/>
      <c r="AL953" s="57"/>
      <c r="AM953" s="45"/>
      <c r="AN953" s="45"/>
      <c r="AO953" s="45"/>
    </row>
    <row r="954" spans="1:41" hidden="1" outlineLevel="2" x14ac:dyDescent="0.25">
      <c r="A954" s="45"/>
      <c r="B954" s="54"/>
      <c r="C954" s="47">
        <f t="shared" ref="C954:C992" si="376">INT($C$29)+2</f>
        <v>3</v>
      </c>
      <c r="D954" s="73"/>
      <c r="E954" s="70"/>
      <c r="F954" s="70" t="s">
        <v>3372</v>
      </c>
      <c r="G954" s="73"/>
      <c r="H954" s="76" t="s">
        <v>2502</v>
      </c>
      <c r="I954" s="96" t="s">
        <v>497</v>
      </c>
      <c r="J954" s="96"/>
      <c r="K954" s="76"/>
      <c r="L954" s="76"/>
      <c r="M954" s="76"/>
      <c r="N954" s="76"/>
      <c r="O954" s="76"/>
      <c r="P954" s="76"/>
      <c r="Q954" s="76"/>
      <c r="R954" s="76"/>
      <c r="S954" s="76"/>
      <c r="T954" s="76"/>
      <c r="U954" s="97">
        <v>0</v>
      </c>
      <c r="V954" s="255">
        <f t="shared" si="369"/>
        <v>0</v>
      </c>
      <c r="W954" s="255">
        <f t="shared" si="370"/>
        <v>0</v>
      </c>
      <c r="X954" s="255">
        <f t="shared" si="371"/>
        <v>0</v>
      </c>
      <c r="Y954" s="255">
        <f t="shared" si="372"/>
        <v>0</v>
      </c>
      <c r="Z954" s="255">
        <f t="shared" si="367"/>
        <v>0</v>
      </c>
      <c r="AA954" s="255">
        <f t="shared" si="367"/>
        <v>0</v>
      </c>
      <c r="AB954" s="255">
        <f t="shared" si="373"/>
        <v>0</v>
      </c>
      <c r="AC954" s="255">
        <f t="shared" si="374"/>
        <v>0</v>
      </c>
      <c r="AD954" s="255">
        <f t="shared" si="375"/>
        <v>0</v>
      </c>
      <c r="AE954" s="255">
        <f t="shared" si="338"/>
        <v>0</v>
      </c>
      <c r="AF954" s="76"/>
      <c r="AG954" s="97" t="s">
        <v>3732</v>
      </c>
      <c r="AH954" s="76"/>
      <c r="AI954" s="97">
        <v>1</v>
      </c>
      <c r="AJ954" s="97">
        <v>1</v>
      </c>
      <c r="AK954" s="73"/>
      <c r="AL954" s="57"/>
      <c r="AM954" s="45"/>
      <c r="AN954" s="45"/>
      <c r="AO954" s="45"/>
    </row>
    <row r="955" spans="1:41" hidden="1" outlineLevel="2" x14ac:dyDescent="0.25">
      <c r="A955" s="45"/>
      <c r="B955" s="54"/>
      <c r="C955" s="47">
        <f t="shared" si="376"/>
        <v>3</v>
      </c>
      <c r="D955" s="73"/>
      <c r="E955" s="70"/>
      <c r="F955" s="70" t="s">
        <v>3373</v>
      </c>
      <c r="G955" s="73"/>
      <c r="H955" s="76" t="s">
        <v>2503</v>
      </c>
      <c r="I955" s="96" t="s">
        <v>497</v>
      </c>
      <c r="J955" s="96"/>
      <c r="K955" s="76"/>
      <c r="L955" s="76"/>
      <c r="M955" s="76"/>
      <c r="N955" s="76"/>
      <c r="O955" s="76"/>
      <c r="P955" s="76"/>
      <c r="Q955" s="76"/>
      <c r="R955" s="76"/>
      <c r="S955" s="76"/>
      <c r="T955" s="76"/>
      <c r="U955" s="97">
        <v>0.95</v>
      </c>
      <c r="V955" s="255">
        <f t="shared" si="369"/>
        <v>0.95</v>
      </c>
      <c r="W955" s="255">
        <f t="shared" ref="W955:Y955" si="377">U955</f>
        <v>0.95</v>
      </c>
      <c r="X955" s="255">
        <f t="shared" si="377"/>
        <v>0.95</v>
      </c>
      <c r="Y955" s="255">
        <f t="shared" si="377"/>
        <v>0.95</v>
      </c>
      <c r="Z955" s="255">
        <f t="shared" si="367"/>
        <v>0.95</v>
      </c>
      <c r="AA955" s="255">
        <f t="shared" si="367"/>
        <v>0.95</v>
      </c>
      <c r="AB955" s="255">
        <f t="shared" si="373"/>
        <v>0.95</v>
      </c>
      <c r="AC955" s="255">
        <f t="shared" si="374"/>
        <v>0.95</v>
      </c>
      <c r="AD955" s="255">
        <f t="shared" si="375"/>
        <v>0.95</v>
      </c>
      <c r="AE955" s="255">
        <f t="shared" si="338"/>
        <v>0.95</v>
      </c>
      <c r="AF955" s="76"/>
      <c r="AG955" s="97"/>
      <c r="AH955" s="76"/>
      <c r="AI955" s="97">
        <v>1</v>
      </c>
      <c r="AJ955" s="97">
        <v>1</v>
      </c>
      <c r="AK955" s="73"/>
      <c r="AL955" s="57"/>
      <c r="AM955" s="45"/>
      <c r="AN955" s="45"/>
      <c r="AO955" s="45"/>
    </row>
    <row r="956" spans="1:41" hidden="1" outlineLevel="2" x14ac:dyDescent="0.25">
      <c r="A956" s="45"/>
      <c r="B956" s="54"/>
      <c r="C956" s="47">
        <f t="shared" si="376"/>
        <v>3</v>
      </c>
      <c r="D956" s="73"/>
      <c r="E956" s="70"/>
      <c r="F956" s="70" t="s">
        <v>3374</v>
      </c>
      <c r="G956" s="73"/>
      <c r="H956" s="76" t="s">
        <v>2504</v>
      </c>
      <c r="I956" s="96" t="s">
        <v>497</v>
      </c>
      <c r="J956" s="96"/>
      <c r="K956" s="76"/>
      <c r="L956" s="76"/>
      <c r="M956" s="76"/>
      <c r="N956" s="76"/>
      <c r="O956" s="76"/>
      <c r="P956" s="76"/>
      <c r="Q956" s="76"/>
      <c r="R956" s="76"/>
      <c r="S956" s="76"/>
      <c r="T956" s="76"/>
      <c r="U956" s="97">
        <v>1.6046</v>
      </c>
      <c r="V956" s="255">
        <f t="shared" ref="V956" si="378">U956</f>
        <v>1.6046</v>
      </c>
      <c r="W956" s="255">
        <f t="shared" ref="W956" si="379">U956</f>
        <v>1.6046</v>
      </c>
      <c r="X956" s="255">
        <f t="shared" ref="X956" si="380">V956</f>
        <v>1.6046</v>
      </c>
      <c r="Y956" s="255">
        <f t="shared" ref="Y956" si="381">W956</f>
        <v>1.6046</v>
      </c>
      <c r="Z956" s="255">
        <f t="shared" ref="Z956" si="382">X956</f>
        <v>1.6046</v>
      </c>
      <c r="AA956" s="255">
        <f t="shared" ref="AA956" si="383">Y956</f>
        <v>1.6046</v>
      </c>
      <c r="AB956" s="255">
        <f t="shared" ref="AB956" si="384">AA956</f>
        <v>1.6046</v>
      </c>
      <c r="AC956" s="255">
        <f t="shared" ref="AC956" si="385">AB956</f>
        <v>1.6046</v>
      </c>
      <c r="AD956" s="255">
        <f t="shared" ref="AD956" si="386">AC956</f>
        <v>1.6046</v>
      </c>
      <c r="AE956" s="255">
        <f t="shared" ref="AE956" si="387">AD956</f>
        <v>1.6046</v>
      </c>
      <c r="AF956" s="76"/>
      <c r="AG956" s="264"/>
      <c r="AH956" s="76"/>
      <c r="AI956" s="76">
        <v>1</v>
      </c>
      <c r="AJ956" s="76">
        <v>1</v>
      </c>
      <c r="AK956" s="73"/>
      <c r="AL956" s="57"/>
      <c r="AM956" s="45"/>
      <c r="AN956" s="45"/>
      <c r="AO956" s="45"/>
    </row>
    <row r="957" spans="1:41" hidden="1" outlineLevel="2" x14ac:dyDescent="0.25">
      <c r="A957" s="45"/>
      <c r="B957" s="54"/>
      <c r="C957" s="47">
        <f t="shared" si="376"/>
        <v>3</v>
      </c>
      <c r="D957" s="73"/>
      <c r="E957" s="70"/>
      <c r="F957" s="70" t="s">
        <v>3375</v>
      </c>
      <c r="G957" s="73"/>
      <c r="H957" s="76" t="s">
        <v>3734</v>
      </c>
      <c r="I957" s="96" t="s">
        <v>497</v>
      </c>
      <c r="J957" s="96"/>
      <c r="K957" s="76"/>
      <c r="L957" s="76"/>
      <c r="M957" s="76"/>
      <c r="N957" s="76"/>
      <c r="O957" s="76"/>
      <c r="P957" s="76"/>
      <c r="Q957" s="76"/>
      <c r="R957" s="76"/>
      <c r="S957" s="76"/>
      <c r="T957" s="76"/>
      <c r="U957" s="97">
        <v>0</v>
      </c>
      <c r="V957" s="255">
        <f t="shared" ref="V957:V959" si="388">U957</f>
        <v>0</v>
      </c>
      <c r="W957" s="255">
        <f t="shared" ref="W957:W958" si="389">U957</f>
        <v>0</v>
      </c>
      <c r="X957" s="255">
        <f t="shared" ref="X957:X958" si="390">V957</f>
        <v>0</v>
      </c>
      <c r="Y957" s="255">
        <f t="shared" ref="Y957:Y958" si="391">W957</f>
        <v>0</v>
      </c>
      <c r="Z957" s="255">
        <f t="shared" si="367"/>
        <v>0</v>
      </c>
      <c r="AA957" s="255">
        <f t="shared" si="367"/>
        <v>0</v>
      </c>
      <c r="AB957" s="255">
        <f t="shared" ref="AB957:AB959" si="392">AA957</f>
        <v>0</v>
      </c>
      <c r="AC957" s="255">
        <f t="shared" ref="AC957:AC959" si="393">AB957</f>
        <v>0</v>
      </c>
      <c r="AD957" s="255">
        <f t="shared" ref="AD957:AD959" si="394">AC957</f>
        <v>0</v>
      </c>
      <c r="AE957" s="255">
        <f t="shared" si="338"/>
        <v>0</v>
      </c>
      <c r="AF957" s="76"/>
      <c r="AG957" s="97" t="s">
        <v>3353</v>
      </c>
      <c r="AH957" s="76"/>
      <c r="AI957" s="76">
        <v>1</v>
      </c>
      <c r="AJ957" s="76">
        <v>1</v>
      </c>
      <c r="AK957" s="73"/>
      <c r="AL957" s="57"/>
      <c r="AM957" s="45"/>
      <c r="AN957" s="45"/>
      <c r="AO957" s="45"/>
    </row>
    <row r="958" spans="1:41" hidden="1" outlineLevel="2" x14ac:dyDescent="0.25">
      <c r="A958" s="45"/>
      <c r="B958" s="54"/>
      <c r="C958" s="47">
        <f t="shared" si="376"/>
        <v>3</v>
      </c>
      <c r="D958" s="73"/>
      <c r="E958" s="70"/>
      <c r="F958" s="70" t="s">
        <v>3376</v>
      </c>
      <c r="G958" s="73"/>
      <c r="H958" s="76" t="s">
        <v>2502</v>
      </c>
      <c r="I958" s="96" t="s">
        <v>497</v>
      </c>
      <c r="J958" s="96"/>
      <c r="K958" s="76"/>
      <c r="L958" s="76"/>
      <c r="M958" s="76"/>
      <c r="N958" s="76"/>
      <c r="O958" s="76"/>
      <c r="P958" s="76"/>
      <c r="Q958" s="76"/>
      <c r="R958" s="76"/>
      <c r="S958" s="76"/>
      <c r="T958" s="76"/>
      <c r="U958" s="97">
        <v>0</v>
      </c>
      <c r="V958" s="255">
        <f t="shared" si="388"/>
        <v>0</v>
      </c>
      <c r="W958" s="255">
        <f t="shared" si="389"/>
        <v>0</v>
      </c>
      <c r="X958" s="255">
        <f t="shared" si="390"/>
        <v>0</v>
      </c>
      <c r="Y958" s="255">
        <f t="shared" si="391"/>
        <v>0</v>
      </c>
      <c r="Z958" s="255">
        <f t="shared" si="367"/>
        <v>0</v>
      </c>
      <c r="AA958" s="255">
        <f t="shared" si="367"/>
        <v>0</v>
      </c>
      <c r="AB958" s="255">
        <f t="shared" si="392"/>
        <v>0</v>
      </c>
      <c r="AC958" s="255">
        <f t="shared" si="393"/>
        <v>0</v>
      </c>
      <c r="AD958" s="255">
        <f t="shared" si="394"/>
        <v>0</v>
      </c>
      <c r="AE958" s="255">
        <f t="shared" si="338"/>
        <v>0</v>
      </c>
      <c r="AF958" s="76"/>
      <c r="AG958" s="97" t="s">
        <v>3370</v>
      </c>
      <c r="AH958" s="76"/>
      <c r="AI958" s="97">
        <v>1</v>
      </c>
      <c r="AJ958" s="97">
        <v>1</v>
      </c>
      <c r="AK958" s="73"/>
      <c r="AL958" s="57"/>
      <c r="AM958" s="45"/>
      <c r="AN958" s="45"/>
      <c r="AO958" s="45"/>
    </row>
    <row r="959" spans="1:41" hidden="1" outlineLevel="2" x14ac:dyDescent="0.25">
      <c r="A959" s="45"/>
      <c r="B959" s="54"/>
      <c r="C959" s="47">
        <f t="shared" si="376"/>
        <v>3</v>
      </c>
      <c r="D959" s="73"/>
      <c r="E959" s="70"/>
      <c r="F959" s="70" t="s">
        <v>3377</v>
      </c>
      <c r="G959" s="73"/>
      <c r="H959" s="76" t="s">
        <v>2503</v>
      </c>
      <c r="I959" s="96" t="s">
        <v>497</v>
      </c>
      <c r="J959" s="96"/>
      <c r="K959" s="76"/>
      <c r="L959" s="76"/>
      <c r="M959" s="76"/>
      <c r="N959" s="76"/>
      <c r="O959" s="76"/>
      <c r="P959" s="76"/>
      <c r="Q959" s="76"/>
      <c r="R959" s="76"/>
      <c r="S959" s="76"/>
      <c r="T959" s="76"/>
      <c r="U959" s="97">
        <v>0.1779</v>
      </c>
      <c r="V959" s="255">
        <f t="shared" si="388"/>
        <v>0.1779</v>
      </c>
      <c r="W959" s="255">
        <f t="shared" ref="W959:Y959" si="395">U959</f>
        <v>0.1779</v>
      </c>
      <c r="X959" s="255">
        <f t="shared" si="395"/>
        <v>0.1779</v>
      </c>
      <c r="Y959" s="255">
        <f t="shared" si="395"/>
        <v>0.1779</v>
      </c>
      <c r="Z959" s="255">
        <f t="shared" si="367"/>
        <v>0.1779</v>
      </c>
      <c r="AA959" s="255">
        <f t="shared" si="367"/>
        <v>0.1779</v>
      </c>
      <c r="AB959" s="255">
        <f t="shared" si="392"/>
        <v>0.1779</v>
      </c>
      <c r="AC959" s="255">
        <f t="shared" si="393"/>
        <v>0.1779</v>
      </c>
      <c r="AD959" s="255">
        <f t="shared" si="394"/>
        <v>0.1779</v>
      </c>
      <c r="AE959" s="255">
        <f t="shared" si="338"/>
        <v>0.1779</v>
      </c>
      <c r="AF959" s="76"/>
      <c r="AG959" s="97"/>
      <c r="AH959" s="76"/>
      <c r="AI959" s="97">
        <v>1</v>
      </c>
      <c r="AJ959" s="97">
        <v>1</v>
      </c>
      <c r="AK959" s="73"/>
      <c r="AL959" s="57"/>
      <c r="AM959" s="45"/>
      <c r="AN959" s="45"/>
      <c r="AO959" s="45"/>
    </row>
    <row r="960" spans="1:41" hidden="1" outlineLevel="2" x14ac:dyDescent="0.25">
      <c r="A960" s="45"/>
      <c r="B960" s="54"/>
      <c r="C960" s="47">
        <f t="shared" si="376"/>
        <v>3</v>
      </c>
      <c r="D960" s="73"/>
      <c r="E960" s="70"/>
      <c r="F960" s="70" t="s">
        <v>3378</v>
      </c>
      <c r="G960" s="73"/>
      <c r="H960" s="76" t="s">
        <v>2504</v>
      </c>
      <c r="I960" s="96" t="s">
        <v>497</v>
      </c>
      <c r="J960" s="96"/>
      <c r="K960" s="76"/>
      <c r="L960" s="76"/>
      <c r="M960" s="76"/>
      <c r="N960" s="76"/>
      <c r="O960" s="76"/>
      <c r="P960" s="76"/>
      <c r="Q960" s="76"/>
      <c r="R960" s="76"/>
      <c r="S960" s="76"/>
      <c r="T960" s="76"/>
      <c r="U960" s="253">
        <f>U959</f>
        <v>0.1779</v>
      </c>
      <c r="V960" s="253">
        <f t="shared" ref="V960:AE960" si="396">V959</f>
        <v>0.1779</v>
      </c>
      <c r="W960" s="253">
        <f t="shared" si="396"/>
        <v>0.1779</v>
      </c>
      <c r="X960" s="253">
        <f t="shared" si="396"/>
        <v>0.1779</v>
      </c>
      <c r="Y960" s="253">
        <f t="shared" si="396"/>
        <v>0.1779</v>
      </c>
      <c r="Z960" s="253">
        <f t="shared" si="396"/>
        <v>0.1779</v>
      </c>
      <c r="AA960" s="253">
        <f t="shared" si="396"/>
        <v>0.1779</v>
      </c>
      <c r="AB960" s="253">
        <f t="shared" si="396"/>
        <v>0.1779</v>
      </c>
      <c r="AC960" s="253">
        <f t="shared" si="396"/>
        <v>0.1779</v>
      </c>
      <c r="AD960" s="253">
        <f t="shared" si="396"/>
        <v>0.1779</v>
      </c>
      <c r="AE960" s="253">
        <f t="shared" si="396"/>
        <v>0.1779</v>
      </c>
      <c r="AF960" s="76"/>
      <c r="AG960" s="264" t="s">
        <v>3352</v>
      </c>
      <c r="AH960" s="76"/>
      <c r="AI960" s="76">
        <v>1</v>
      </c>
      <c r="AJ960" s="76">
        <v>1</v>
      </c>
      <c r="AK960" s="73"/>
      <c r="AL960" s="57"/>
      <c r="AM960" s="45"/>
      <c r="AN960" s="45"/>
      <c r="AO960" s="45"/>
    </row>
    <row r="961" spans="1:41" hidden="1" outlineLevel="2" x14ac:dyDescent="0.25">
      <c r="A961" s="45"/>
      <c r="B961" s="54"/>
      <c r="C961" s="47">
        <f t="shared" si="376"/>
        <v>3</v>
      </c>
      <c r="D961" s="73"/>
      <c r="E961" s="70"/>
      <c r="F961" s="70" t="s">
        <v>3379</v>
      </c>
      <c r="G961" s="73"/>
      <c r="H961" s="76" t="s">
        <v>3735</v>
      </c>
      <c r="I961" s="96" t="s">
        <v>497</v>
      </c>
      <c r="J961" s="96"/>
      <c r="K961" s="76"/>
      <c r="L961" s="76"/>
      <c r="M961" s="76"/>
      <c r="N961" s="76"/>
      <c r="O961" s="76"/>
      <c r="P961" s="76"/>
      <c r="Q961" s="76"/>
      <c r="R961" s="76"/>
      <c r="S961" s="76"/>
      <c r="T961" s="76"/>
      <c r="U961" s="97">
        <v>0</v>
      </c>
      <c r="V961" s="255">
        <f t="shared" ref="V961:V975" si="397">U961</f>
        <v>0</v>
      </c>
      <c r="W961" s="255">
        <f t="shared" ref="W961:W962" si="398">U961</f>
        <v>0</v>
      </c>
      <c r="X961" s="255">
        <f t="shared" ref="X961:X962" si="399">V961</f>
        <v>0</v>
      </c>
      <c r="Y961" s="255">
        <f t="shared" ref="Y961:Y962" si="400">W961</f>
        <v>0</v>
      </c>
      <c r="Z961" s="255">
        <f t="shared" si="367"/>
        <v>0</v>
      </c>
      <c r="AA961" s="255">
        <f t="shared" si="367"/>
        <v>0</v>
      </c>
      <c r="AB961" s="255">
        <f t="shared" ref="AB961:AB975" si="401">AA961</f>
        <v>0</v>
      </c>
      <c r="AC961" s="255">
        <f t="shared" ref="AC961:AC975" si="402">AB961</f>
        <v>0</v>
      </c>
      <c r="AD961" s="255">
        <f t="shared" ref="AD961:AD975" si="403">AC961</f>
        <v>0</v>
      </c>
      <c r="AE961" s="255">
        <f t="shared" si="338"/>
        <v>0</v>
      </c>
      <c r="AF961" s="76"/>
      <c r="AG961" s="97" t="s">
        <v>3353</v>
      </c>
      <c r="AH961" s="76"/>
      <c r="AI961" s="76">
        <v>1</v>
      </c>
      <c r="AJ961" s="76">
        <v>1</v>
      </c>
      <c r="AK961" s="73"/>
      <c r="AL961" s="57"/>
      <c r="AM961" s="45"/>
      <c r="AN961" s="45"/>
      <c r="AO961" s="45"/>
    </row>
    <row r="962" spans="1:41" hidden="1" outlineLevel="2" x14ac:dyDescent="0.25">
      <c r="A962" s="45"/>
      <c r="B962" s="54"/>
      <c r="C962" s="47">
        <f t="shared" si="376"/>
        <v>3</v>
      </c>
      <c r="D962" s="73"/>
      <c r="E962" s="70"/>
      <c r="F962" s="70" t="s">
        <v>3380</v>
      </c>
      <c r="G962" s="73"/>
      <c r="H962" s="76" t="s">
        <v>2502</v>
      </c>
      <c r="I962" s="96" t="s">
        <v>497</v>
      </c>
      <c r="J962" s="96"/>
      <c r="K962" s="76"/>
      <c r="L962" s="76"/>
      <c r="M962" s="76"/>
      <c r="N962" s="76"/>
      <c r="O962" s="76"/>
      <c r="P962" s="76"/>
      <c r="Q962" s="76"/>
      <c r="R962" s="76"/>
      <c r="S962" s="76"/>
      <c r="T962" s="76"/>
      <c r="U962" s="97">
        <v>0</v>
      </c>
      <c r="V962" s="255">
        <f t="shared" si="397"/>
        <v>0</v>
      </c>
      <c r="W962" s="255">
        <f t="shared" si="398"/>
        <v>0</v>
      </c>
      <c r="X962" s="255">
        <f t="shared" si="399"/>
        <v>0</v>
      </c>
      <c r="Y962" s="255">
        <f t="shared" si="400"/>
        <v>0</v>
      </c>
      <c r="Z962" s="255">
        <f t="shared" si="367"/>
        <v>0</v>
      </c>
      <c r="AA962" s="255">
        <f t="shared" si="367"/>
        <v>0</v>
      </c>
      <c r="AB962" s="255">
        <f t="shared" si="401"/>
        <v>0</v>
      </c>
      <c r="AC962" s="255">
        <f t="shared" si="402"/>
        <v>0</v>
      </c>
      <c r="AD962" s="255">
        <f t="shared" si="403"/>
        <v>0</v>
      </c>
      <c r="AE962" s="255">
        <f t="shared" si="338"/>
        <v>0</v>
      </c>
      <c r="AF962" s="76"/>
      <c r="AG962" s="97" t="s">
        <v>3370</v>
      </c>
      <c r="AH962" s="76"/>
      <c r="AI962" s="97">
        <v>1</v>
      </c>
      <c r="AJ962" s="97">
        <v>1</v>
      </c>
      <c r="AK962" s="73"/>
      <c r="AL962" s="57"/>
      <c r="AM962" s="45"/>
      <c r="AN962" s="45"/>
      <c r="AO962" s="45"/>
    </row>
    <row r="963" spans="1:41" hidden="1" outlineLevel="2" x14ac:dyDescent="0.25">
      <c r="A963" s="45"/>
      <c r="B963" s="54"/>
      <c r="C963" s="47">
        <f t="shared" si="376"/>
        <v>3</v>
      </c>
      <c r="D963" s="73"/>
      <c r="E963" s="70"/>
      <c r="F963" s="70" t="s">
        <v>3381</v>
      </c>
      <c r="G963" s="73"/>
      <c r="H963" s="76" t="s">
        <v>2503</v>
      </c>
      <c r="I963" s="96" t="s">
        <v>497</v>
      </c>
      <c r="J963" s="96"/>
      <c r="K963" s="76"/>
      <c r="L963" s="76"/>
      <c r="M963" s="76"/>
      <c r="N963" s="76"/>
      <c r="O963" s="76"/>
      <c r="P963" s="76"/>
      <c r="Q963" s="76"/>
      <c r="R963" s="76"/>
      <c r="S963" s="76"/>
      <c r="T963" s="76"/>
      <c r="U963" s="97">
        <v>-1.312E-3</v>
      </c>
      <c r="V963" s="255">
        <f t="shared" si="397"/>
        <v>-1.312E-3</v>
      </c>
      <c r="W963" s="255">
        <f t="shared" ref="W963:Y963" si="404">U963</f>
        <v>-1.312E-3</v>
      </c>
      <c r="X963" s="255">
        <f t="shared" si="404"/>
        <v>-1.312E-3</v>
      </c>
      <c r="Y963" s="255">
        <f t="shared" si="404"/>
        <v>-1.312E-3</v>
      </c>
      <c r="Z963" s="255">
        <f t="shared" si="367"/>
        <v>-1.312E-3</v>
      </c>
      <c r="AA963" s="255">
        <f t="shared" si="367"/>
        <v>-1.312E-3</v>
      </c>
      <c r="AB963" s="255">
        <f t="shared" si="401"/>
        <v>-1.312E-3</v>
      </c>
      <c r="AC963" s="255">
        <f t="shared" si="402"/>
        <v>-1.312E-3</v>
      </c>
      <c r="AD963" s="255">
        <f t="shared" si="403"/>
        <v>-1.312E-3</v>
      </c>
      <c r="AE963" s="255">
        <f t="shared" si="338"/>
        <v>-1.312E-3</v>
      </c>
      <c r="AF963" s="76"/>
      <c r="AG963" s="97"/>
      <c r="AH963" s="76"/>
      <c r="AI963" s="97">
        <v>1</v>
      </c>
      <c r="AJ963" s="97">
        <v>1</v>
      </c>
      <c r="AK963" s="73"/>
      <c r="AL963" s="57"/>
      <c r="AM963" s="45"/>
      <c r="AN963" s="45"/>
      <c r="AO963" s="45"/>
    </row>
    <row r="964" spans="1:41" hidden="1" outlineLevel="2" x14ac:dyDescent="0.25">
      <c r="A964" s="45"/>
      <c r="B964" s="54"/>
      <c r="C964" s="47">
        <f t="shared" si="376"/>
        <v>3</v>
      </c>
      <c r="D964" s="73"/>
      <c r="E964" s="70"/>
      <c r="F964" s="70" t="s">
        <v>3382</v>
      </c>
      <c r="G964" s="73"/>
      <c r="H964" s="76" t="s">
        <v>2504</v>
      </c>
      <c r="I964" s="96" t="s">
        <v>497</v>
      </c>
      <c r="J964" s="96"/>
      <c r="K964" s="76"/>
      <c r="L964" s="76"/>
      <c r="M964" s="76"/>
      <c r="N964" s="76"/>
      <c r="O964" s="76"/>
      <c r="P964" s="76"/>
      <c r="Q964" s="76"/>
      <c r="R964" s="76"/>
      <c r="S964" s="76"/>
      <c r="T964" s="76"/>
      <c r="U964" s="253">
        <f>U963</f>
        <v>-1.312E-3</v>
      </c>
      <c r="V964" s="253">
        <f t="shared" ref="V964:AE964" si="405">V963</f>
        <v>-1.312E-3</v>
      </c>
      <c r="W964" s="253">
        <f t="shared" si="405"/>
        <v>-1.312E-3</v>
      </c>
      <c r="X964" s="253">
        <f t="shared" si="405"/>
        <v>-1.312E-3</v>
      </c>
      <c r="Y964" s="253">
        <f t="shared" si="405"/>
        <v>-1.312E-3</v>
      </c>
      <c r="Z964" s="253">
        <f t="shared" si="405"/>
        <v>-1.312E-3</v>
      </c>
      <c r="AA964" s="253">
        <f t="shared" si="405"/>
        <v>-1.312E-3</v>
      </c>
      <c r="AB964" s="253">
        <f t="shared" si="405"/>
        <v>-1.312E-3</v>
      </c>
      <c r="AC964" s="253">
        <f t="shared" si="405"/>
        <v>-1.312E-3</v>
      </c>
      <c r="AD964" s="253">
        <f t="shared" si="405"/>
        <v>-1.312E-3</v>
      </c>
      <c r="AE964" s="253">
        <f t="shared" si="405"/>
        <v>-1.312E-3</v>
      </c>
      <c r="AF964" s="76"/>
      <c r="AG964" s="264" t="s">
        <v>3352</v>
      </c>
      <c r="AH964" s="76"/>
      <c r="AI964" s="76">
        <v>1</v>
      </c>
      <c r="AJ964" s="76">
        <v>1</v>
      </c>
      <c r="AK964" s="73"/>
      <c r="AL964" s="57"/>
      <c r="AM964" s="45"/>
      <c r="AN964" s="45"/>
      <c r="AO964" s="45"/>
    </row>
    <row r="965" spans="1:41" hidden="1" outlineLevel="2" x14ac:dyDescent="0.25">
      <c r="A965" s="45"/>
      <c r="B965" s="54"/>
      <c r="C965" s="47">
        <f t="shared" si="376"/>
        <v>3</v>
      </c>
      <c r="D965" s="73"/>
      <c r="E965" s="70"/>
      <c r="F965" s="70" t="s">
        <v>3383</v>
      </c>
      <c r="G965" s="73"/>
      <c r="H965" s="76" t="s">
        <v>3736</v>
      </c>
      <c r="I965" s="96" t="s">
        <v>497</v>
      </c>
      <c r="J965" s="96"/>
      <c r="K965" s="76"/>
      <c r="L965" s="76"/>
      <c r="M965" s="76"/>
      <c r="N965" s="76"/>
      <c r="O965" s="76"/>
      <c r="P965" s="76"/>
      <c r="Q965" s="76"/>
      <c r="R965" s="76"/>
      <c r="S965" s="76"/>
      <c r="T965" s="76"/>
      <c r="U965" s="97">
        <v>0</v>
      </c>
      <c r="V965" s="255">
        <f t="shared" si="397"/>
        <v>0</v>
      </c>
      <c r="W965" s="255">
        <f t="shared" ref="W965:W966" si="406">U965</f>
        <v>0</v>
      </c>
      <c r="X965" s="255">
        <f t="shared" ref="X965:X966" si="407">V965</f>
        <v>0</v>
      </c>
      <c r="Y965" s="255">
        <f t="shared" ref="Y965:Y966" si="408">W965</f>
        <v>0</v>
      </c>
      <c r="Z965" s="255">
        <f t="shared" si="367"/>
        <v>0</v>
      </c>
      <c r="AA965" s="255">
        <f t="shared" si="367"/>
        <v>0</v>
      </c>
      <c r="AB965" s="255">
        <f t="shared" si="401"/>
        <v>0</v>
      </c>
      <c r="AC965" s="255">
        <f t="shared" si="402"/>
        <v>0</v>
      </c>
      <c r="AD965" s="255">
        <f t="shared" si="403"/>
        <v>0</v>
      </c>
      <c r="AE965" s="255">
        <f t="shared" si="338"/>
        <v>0</v>
      </c>
      <c r="AF965" s="76"/>
      <c r="AG965" s="97" t="s">
        <v>3353</v>
      </c>
      <c r="AH965" s="76"/>
      <c r="AI965" s="76">
        <v>1</v>
      </c>
      <c r="AJ965" s="76">
        <v>1</v>
      </c>
      <c r="AK965" s="73"/>
      <c r="AL965" s="57"/>
      <c r="AM965" s="45"/>
      <c r="AN965" s="45"/>
      <c r="AO965" s="45"/>
    </row>
    <row r="966" spans="1:41" hidden="1" outlineLevel="2" x14ac:dyDescent="0.25">
      <c r="A966" s="45"/>
      <c r="B966" s="54"/>
      <c r="C966" s="47">
        <f t="shared" si="376"/>
        <v>3</v>
      </c>
      <c r="D966" s="73"/>
      <c r="E966" s="70"/>
      <c r="F966" s="70" t="s">
        <v>3384</v>
      </c>
      <c r="G966" s="73"/>
      <c r="H966" s="76" t="s">
        <v>2502</v>
      </c>
      <c r="I966" s="96" t="s">
        <v>497</v>
      </c>
      <c r="J966" s="96"/>
      <c r="K966" s="76"/>
      <c r="L966" s="76"/>
      <c r="M966" s="76"/>
      <c r="N966" s="76"/>
      <c r="O966" s="76"/>
      <c r="P966" s="76"/>
      <c r="Q966" s="76"/>
      <c r="R966" s="76"/>
      <c r="S966" s="76"/>
      <c r="T966" s="76"/>
      <c r="U966" s="97">
        <v>0</v>
      </c>
      <c r="V966" s="255">
        <f t="shared" si="397"/>
        <v>0</v>
      </c>
      <c r="W966" s="255">
        <f t="shared" si="406"/>
        <v>0</v>
      </c>
      <c r="X966" s="255">
        <f t="shared" si="407"/>
        <v>0</v>
      </c>
      <c r="Y966" s="255">
        <f t="shared" si="408"/>
        <v>0</v>
      </c>
      <c r="Z966" s="255">
        <f t="shared" si="367"/>
        <v>0</v>
      </c>
      <c r="AA966" s="255">
        <f t="shared" si="367"/>
        <v>0</v>
      </c>
      <c r="AB966" s="255">
        <f t="shared" si="401"/>
        <v>0</v>
      </c>
      <c r="AC966" s="255">
        <f t="shared" si="402"/>
        <v>0</v>
      </c>
      <c r="AD966" s="255">
        <f t="shared" si="403"/>
        <v>0</v>
      </c>
      <c r="AE966" s="255">
        <f t="shared" si="338"/>
        <v>0</v>
      </c>
      <c r="AF966" s="76"/>
      <c r="AG966" s="97" t="s">
        <v>3370</v>
      </c>
      <c r="AH966" s="76"/>
      <c r="AI966" s="97">
        <v>1</v>
      </c>
      <c r="AJ966" s="97">
        <v>1</v>
      </c>
      <c r="AK966" s="73"/>
      <c r="AL966" s="57"/>
      <c r="AM966" s="45"/>
      <c r="AN966" s="45"/>
      <c r="AO966" s="45"/>
    </row>
    <row r="967" spans="1:41" hidden="1" outlineLevel="2" x14ac:dyDescent="0.25">
      <c r="A967" s="45"/>
      <c r="B967" s="54"/>
      <c r="C967" s="47">
        <f t="shared" si="376"/>
        <v>3</v>
      </c>
      <c r="D967" s="73"/>
      <c r="E967" s="70"/>
      <c r="F967" s="70" t="s">
        <v>3385</v>
      </c>
      <c r="G967" s="73"/>
      <c r="H967" s="76" t="s">
        <v>2503</v>
      </c>
      <c r="I967" s="96" t="s">
        <v>497</v>
      </c>
      <c r="J967" s="96"/>
      <c r="K967" s="76"/>
      <c r="L967" s="76"/>
      <c r="M967" s="76"/>
      <c r="N967" s="76"/>
      <c r="O967" s="76"/>
      <c r="P967" s="76"/>
      <c r="Q967" s="76"/>
      <c r="R967" s="76"/>
      <c r="S967" s="76"/>
      <c r="T967" s="76"/>
      <c r="U967" s="97">
        <v>-5.5010000000000003E-2</v>
      </c>
      <c r="V967" s="255">
        <f t="shared" si="397"/>
        <v>-5.5010000000000003E-2</v>
      </c>
      <c r="W967" s="255">
        <f t="shared" ref="W967:Y967" si="409">U967</f>
        <v>-5.5010000000000003E-2</v>
      </c>
      <c r="X967" s="255">
        <f t="shared" si="409"/>
        <v>-5.5010000000000003E-2</v>
      </c>
      <c r="Y967" s="255">
        <f t="shared" si="409"/>
        <v>-5.5010000000000003E-2</v>
      </c>
      <c r="Z967" s="255">
        <f t="shared" ref="Z967:AA982" si="410">X967</f>
        <v>-5.5010000000000003E-2</v>
      </c>
      <c r="AA967" s="255">
        <f t="shared" si="410"/>
        <v>-5.5010000000000003E-2</v>
      </c>
      <c r="AB967" s="255">
        <f t="shared" si="401"/>
        <v>-5.5010000000000003E-2</v>
      </c>
      <c r="AC967" s="255">
        <f t="shared" si="402"/>
        <v>-5.5010000000000003E-2</v>
      </c>
      <c r="AD967" s="255">
        <f t="shared" si="403"/>
        <v>-5.5010000000000003E-2</v>
      </c>
      <c r="AE967" s="255">
        <f t="shared" si="338"/>
        <v>-5.5010000000000003E-2</v>
      </c>
      <c r="AF967" s="76"/>
      <c r="AG967" s="97"/>
      <c r="AH967" s="76"/>
      <c r="AI967" s="97">
        <v>1</v>
      </c>
      <c r="AJ967" s="97">
        <v>1</v>
      </c>
      <c r="AK967" s="73"/>
      <c r="AL967" s="57"/>
      <c r="AM967" s="45"/>
      <c r="AN967" s="45"/>
      <c r="AO967" s="45"/>
    </row>
    <row r="968" spans="1:41" hidden="1" outlineLevel="2" x14ac:dyDescent="0.25">
      <c r="A968" s="45"/>
      <c r="B968" s="54"/>
      <c r="C968" s="47">
        <f t="shared" si="376"/>
        <v>3</v>
      </c>
      <c r="D968" s="73"/>
      <c r="E968" s="70"/>
      <c r="F968" s="70" t="s">
        <v>3386</v>
      </c>
      <c r="G968" s="73"/>
      <c r="H968" s="76" t="s">
        <v>2504</v>
      </c>
      <c r="I968" s="96" t="s">
        <v>497</v>
      </c>
      <c r="J968" s="96"/>
      <c r="K968" s="76"/>
      <c r="L968" s="76"/>
      <c r="M968" s="76"/>
      <c r="N968" s="76"/>
      <c r="O968" s="76"/>
      <c r="P968" s="76"/>
      <c r="Q968" s="76"/>
      <c r="R968" s="76"/>
      <c r="S968" s="76"/>
      <c r="T968" s="76"/>
      <c r="U968" s="253">
        <f>U967</f>
        <v>-5.5010000000000003E-2</v>
      </c>
      <c r="V968" s="253">
        <f t="shared" ref="V968:AE968" si="411">V967</f>
        <v>-5.5010000000000003E-2</v>
      </c>
      <c r="W968" s="253">
        <f t="shared" si="411"/>
        <v>-5.5010000000000003E-2</v>
      </c>
      <c r="X968" s="253">
        <f t="shared" si="411"/>
        <v>-5.5010000000000003E-2</v>
      </c>
      <c r="Y968" s="253">
        <f t="shared" si="411"/>
        <v>-5.5010000000000003E-2</v>
      </c>
      <c r="Z968" s="253">
        <f t="shared" si="411"/>
        <v>-5.5010000000000003E-2</v>
      </c>
      <c r="AA968" s="253">
        <f t="shared" si="411"/>
        <v>-5.5010000000000003E-2</v>
      </c>
      <c r="AB968" s="253">
        <f t="shared" si="411"/>
        <v>-5.5010000000000003E-2</v>
      </c>
      <c r="AC968" s="253">
        <f t="shared" si="411"/>
        <v>-5.5010000000000003E-2</v>
      </c>
      <c r="AD968" s="253">
        <f t="shared" si="411"/>
        <v>-5.5010000000000003E-2</v>
      </c>
      <c r="AE968" s="253">
        <f t="shared" si="411"/>
        <v>-5.5010000000000003E-2</v>
      </c>
      <c r="AF968" s="76"/>
      <c r="AG968" s="264" t="s">
        <v>3352</v>
      </c>
      <c r="AH968" s="76"/>
      <c r="AI968" s="76">
        <v>1</v>
      </c>
      <c r="AJ968" s="76">
        <v>1</v>
      </c>
      <c r="AK968" s="73"/>
      <c r="AL968" s="57"/>
      <c r="AM968" s="45"/>
      <c r="AN968" s="45"/>
      <c r="AO968" s="45"/>
    </row>
    <row r="969" spans="1:41" hidden="1" outlineLevel="2" x14ac:dyDescent="0.25">
      <c r="A969" s="45"/>
      <c r="B969" s="54"/>
      <c r="C969" s="47">
        <f t="shared" si="376"/>
        <v>3</v>
      </c>
      <c r="D969" s="73"/>
      <c r="E969" s="70"/>
      <c r="F969" s="70" t="s">
        <v>3387</v>
      </c>
      <c r="G969" s="73"/>
      <c r="H969" s="76" t="s">
        <v>3737</v>
      </c>
      <c r="I969" s="96" t="s">
        <v>497</v>
      </c>
      <c r="J969" s="96"/>
      <c r="K969" s="76"/>
      <c r="L969" s="76"/>
      <c r="M969" s="76"/>
      <c r="N969" s="76"/>
      <c r="O969" s="76"/>
      <c r="P969" s="76"/>
      <c r="Q969" s="76"/>
      <c r="R969" s="76"/>
      <c r="S969" s="76"/>
      <c r="T969" s="76"/>
      <c r="U969" s="97">
        <v>0</v>
      </c>
      <c r="V969" s="255">
        <f t="shared" ref="V969:V971" si="412">U969</f>
        <v>0</v>
      </c>
      <c r="W969" s="255">
        <f t="shared" ref="W969:W970" si="413">U969</f>
        <v>0</v>
      </c>
      <c r="X969" s="255">
        <f t="shared" ref="X969:X970" si="414">V969</f>
        <v>0</v>
      </c>
      <c r="Y969" s="255">
        <f t="shared" ref="Y969:Y970" si="415">W969</f>
        <v>0</v>
      </c>
      <c r="Z969" s="255">
        <f t="shared" si="410"/>
        <v>0</v>
      </c>
      <c r="AA969" s="255">
        <f t="shared" si="410"/>
        <v>0</v>
      </c>
      <c r="AB969" s="255">
        <f t="shared" ref="AB969:AB971" si="416">AA969</f>
        <v>0</v>
      </c>
      <c r="AC969" s="255">
        <f t="shared" ref="AC969:AC971" si="417">AB969</f>
        <v>0</v>
      </c>
      <c r="AD969" s="255">
        <f t="shared" ref="AD969:AD971" si="418">AC969</f>
        <v>0</v>
      </c>
      <c r="AE969" s="255">
        <f t="shared" ref="AE969:AE991" si="419">AD969</f>
        <v>0</v>
      </c>
      <c r="AF969" s="76"/>
      <c r="AG969" s="97" t="s">
        <v>3353</v>
      </c>
      <c r="AH969" s="76"/>
      <c r="AI969" s="76">
        <v>1</v>
      </c>
      <c r="AJ969" s="76">
        <v>1</v>
      </c>
      <c r="AK969" s="73"/>
      <c r="AL969" s="57"/>
      <c r="AM969" s="45"/>
      <c r="AN969" s="45"/>
      <c r="AO969" s="45"/>
    </row>
    <row r="970" spans="1:41" hidden="1" outlineLevel="2" x14ac:dyDescent="0.25">
      <c r="A970" s="45"/>
      <c r="B970" s="54"/>
      <c r="C970" s="47">
        <f t="shared" si="376"/>
        <v>3</v>
      </c>
      <c r="D970" s="73"/>
      <c r="E970" s="70"/>
      <c r="F970" s="70" t="s">
        <v>3388</v>
      </c>
      <c r="G970" s="73"/>
      <c r="H970" s="76" t="s">
        <v>2502</v>
      </c>
      <c r="I970" s="96" t="s">
        <v>497</v>
      </c>
      <c r="J970" s="96"/>
      <c r="K970" s="76"/>
      <c r="L970" s="76"/>
      <c r="M970" s="76"/>
      <c r="N970" s="76"/>
      <c r="O970" s="76"/>
      <c r="P970" s="76"/>
      <c r="Q970" s="76"/>
      <c r="R970" s="76"/>
      <c r="S970" s="76"/>
      <c r="T970" s="76"/>
      <c r="U970" s="97">
        <v>0</v>
      </c>
      <c r="V970" s="255">
        <f t="shared" si="412"/>
        <v>0</v>
      </c>
      <c r="W970" s="255">
        <f t="shared" si="413"/>
        <v>0</v>
      </c>
      <c r="X970" s="255">
        <f t="shared" si="414"/>
        <v>0</v>
      </c>
      <c r="Y970" s="255">
        <f t="shared" si="415"/>
        <v>0</v>
      </c>
      <c r="Z970" s="255">
        <f t="shared" si="410"/>
        <v>0</v>
      </c>
      <c r="AA970" s="255">
        <f t="shared" si="410"/>
        <v>0</v>
      </c>
      <c r="AB970" s="255">
        <f t="shared" si="416"/>
        <v>0</v>
      </c>
      <c r="AC970" s="255">
        <f t="shared" si="417"/>
        <v>0</v>
      </c>
      <c r="AD970" s="255">
        <f t="shared" si="418"/>
        <v>0</v>
      </c>
      <c r="AE970" s="255">
        <f t="shared" si="419"/>
        <v>0</v>
      </c>
      <c r="AF970" s="76"/>
      <c r="AG970" s="97" t="s">
        <v>3370</v>
      </c>
      <c r="AH970" s="76"/>
      <c r="AI970" s="97">
        <v>1</v>
      </c>
      <c r="AJ970" s="97">
        <v>1</v>
      </c>
      <c r="AK970" s="73"/>
      <c r="AL970" s="57"/>
      <c r="AM970" s="45"/>
      <c r="AN970" s="45"/>
      <c r="AO970" s="45"/>
    </row>
    <row r="971" spans="1:41" hidden="1" outlineLevel="2" x14ac:dyDescent="0.25">
      <c r="A971" s="45"/>
      <c r="B971" s="54"/>
      <c r="C971" s="47">
        <f t="shared" si="376"/>
        <v>3</v>
      </c>
      <c r="D971" s="73"/>
      <c r="E971" s="70"/>
      <c r="F971" s="70" t="s">
        <v>3389</v>
      </c>
      <c r="G971" s="73"/>
      <c r="H971" s="76" t="s">
        <v>2503</v>
      </c>
      <c r="I971" s="96" t="s">
        <v>497</v>
      </c>
      <c r="J971" s="96"/>
      <c r="K971" s="76"/>
      <c r="L971" s="76"/>
      <c r="M971" s="76"/>
      <c r="N971" s="76"/>
      <c r="O971" s="76"/>
      <c r="P971" s="76"/>
      <c r="Q971" s="76"/>
      <c r="R971" s="76"/>
      <c r="S971" s="76"/>
      <c r="T971" s="76"/>
      <c r="U971" s="97">
        <v>0</v>
      </c>
      <c r="V971" s="255">
        <f t="shared" si="412"/>
        <v>0</v>
      </c>
      <c r="W971" s="255">
        <f t="shared" ref="W971:Y971" si="420">U971</f>
        <v>0</v>
      </c>
      <c r="X971" s="255">
        <f t="shared" si="420"/>
        <v>0</v>
      </c>
      <c r="Y971" s="255">
        <f t="shared" si="420"/>
        <v>0</v>
      </c>
      <c r="Z971" s="255">
        <f t="shared" si="410"/>
        <v>0</v>
      </c>
      <c r="AA971" s="255">
        <f t="shared" si="410"/>
        <v>0</v>
      </c>
      <c r="AB971" s="255">
        <f t="shared" si="416"/>
        <v>0</v>
      </c>
      <c r="AC971" s="255">
        <f t="shared" si="417"/>
        <v>0</v>
      </c>
      <c r="AD971" s="255">
        <f t="shared" si="418"/>
        <v>0</v>
      </c>
      <c r="AE971" s="255">
        <f t="shared" si="419"/>
        <v>0</v>
      </c>
      <c r="AF971" s="76"/>
      <c r="AG971" s="97"/>
      <c r="AH971" s="76"/>
      <c r="AI971" s="97">
        <v>1</v>
      </c>
      <c r="AJ971" s="97">
        <v>1</v>
      </c>
      <c r="AK971" s="73"/>
      <c r="AL971" s="57"/>
      <c r="AM971" s="45"/>
      <c r="AN971" s="45"/>
      <c r="AO971" s="45"/>
    </row>
    <row r="972" spans="1:41" hidden="1" outlineLevel="2" x14ac:dyDescent="0.25">
      <c r="A972" s="45"/>
      <c r="B972" s="54"/>
      <c r="C972" s="47">
        <f t="shared" si="376"/>
        <v>3</v>
      </c>
      <c r="D972" s="73"/>
      <c r="E972" s="70"/>
      <c r="F972" s="70" t="s">
        <v>3390</v>
      </c>
      <c r="G972" s="73"/>
      <c r="H972" s="76" t="s">
        <v>2504</v>
      </c>
      <c r="I972" s="96" t="s">
        <v>497</v>
      </c>
      <c r="J972" s="96"/>
      <c r="K972" s="76"/>
      <c r="L972" s="76"/>
      <c r="M972" s="76"/>
      <c r="N972" s="76"/>
      <c r="O972" s="76"/>
      <c r="P972" s="76"/>
      <c r="Q972" s="76"/>
      <c r="R972" s="76"/>
      <c r="S972" s="76"/>
      <c r="T972" s="76"/>
      <c r="U972" s="253">
        <f>U971</f>
        <v>0</v>
      </c>
      <c r="V972" s="253">
        <f t="shared" ref="V972:AE972" si="421">V971</f>
        <v>0</v>
      </c>
      <c r="W972" s="253">
        <f t="shared" si="421"/>
        <v>0</v>
      </c>
      <c r="X972" s="253">
        <f t="shared" si="421"/>
        <v>0</v>
      </c>
      <c r="Y972" s="253">
        <f t="shared" si="421"/>
        <v>0</v>
      </c>
      <c r="Z972" s="253">
        <f t="shared" si="421"/>
        <v>0</v>
      </c>
      <c r="AA972" s="253">
        <f t="shared" si="421"/>
        <v>0</v>
      </c>
      <c r="AB972" s="253">
        <f t="shared" si="421"/>
        <v>0</v>
      </c>
      <c r="AC972" s="253">
        <f t="shared" si="421"/>
        <v>0</v>
      </c>
      <c r="AD972" s="253">
        <f t="shared" si="421"/>
        <v>0</v>
      </c>
      <c r="AE972" s="253">
        <f t="shared" si="421"/>
        <v>0</v>
      </c>
      <c r="AF972" s="76"/>
      <c r="AG972" s="264" t="s">
        <v>3352</v>
      </c>
      <c r="AH972" s="76"/>
      <c r="AI972" s="76">
        <v>1</v>
      </c>
      <c r="AJ972" s="76">
        <v>1</v>
      </c>
      <c r="AK972" s="73"/>
      <c r="AL972" s="57"/>
      <c r="AM972" s="45"/>
      <c r="AN972" s="45"/>
      <c r="AO972" s="45"/>
    </row>
    <row r="973" spans="1:41" hidden="1" outlineLevel="2" x14ac:dyDescent="0.25">
      <c r="A973" s="45"/>
      <c r="B973" s="54"/>
      <c r="C973" s="47">
        <f t="shared" si="376"/>
        <v>3</v>
      </c>
      <c r="D973" s="73"/>
      <c r="E973" s="70"/>
      <c r="F973" s="70" t="s">
        <v>3391</v>
      </c>
      <c r="G973" s="73"/>
      <c r="H973" s="76" t="s">
        <v>3738</v>
      </c>
      <c r="I973" s="96" t="s">
        <v>497</v>
      </c>
      <c r="J973" s="96"/>
      <c r="K973" s="76"/>
      <c r="L973" s="76"/>
      <c r="M973" s="76"/>
      <c r="N973" s="76"/>
      <c r="O973" s="76"/>
      <c r="P973" s="76"/>
      <c r="Q973" s="76"/>
      <c r="R973" s="76"/>
      <c r="S973" s="76"/>
      <c r="T973" s="76"/>
      <c r="U973" s="97">
        <v>0</v>
      </c>
      <c r="V973" s="255">
        <f t="shared" si="397"/>
        <v>0</v>
      </c>
      <c r="W973" s="255">
        <f t="shared" ref="W973:W974" si="422">U973</f>
        <v>0</v>
      </c>
      <c r="X973" s="255">
        <f t="shared" ref="X973:X974" si="423">V973</f>
        <v>0</v>
      </c>
      <c r="Y973" s="255">
        <f t="shared" ref="Y973:Y974" si="424">W973</f>
        <v>0</v>
      </c>
      <c r="Z973" s="255">
        <f t="shared" si="410"/>
        <v>0</v>
      </c>
      <c r="AA973" s="255">
        <f t="shared" si="410"/>
        <v>0</v>
      </c>
      <c r="AB973" s="255">
        <f t="shared" si="401"/>
        <v>0</v>
      </c>
      <c r="AC973" s="255">
        <f t="shared" si="402"/>
        <v>0</v>
      </c>
      <c r="AD973" s="255">
        <f t="shared" si="403"/>
        <v>0</v>
      </c>
      <c r="AE973" s="255">
        <f t="shared" si="419"/>
        <v>0</v>
      </c>
      <c r="AF973" s="76"/>
      <c r="AG973" s="97" t="s">
        <v>3353</v>
      </c>
      <c r="AH973" s="76"/>
      <c r="AI973" s="76">
        <v>1</v>
      </c>
      <c r="AJ973" s="76">
        <v>1</v>
      </c>
      <c r="AK973" s="73"/>
      <c r="AL973" s="57"/>
      <c r="AM973" s="45"/>
      <c r="AN973" s="45"/>
      <c r="AO973" s="45"/>
    </row>
    <row r="974" spans="1:41" hidden="1" outlineLevel="2" x14ac:dyDescent="0.25">
      <c r="A974" s="45"/>
      <c r="B974" s="54"/>
      <c r="C974" s="47">
        <f t="shared" si="376"/>
        <v>3</v>
      </c>
      <c r="D974" s="73"/>
      <c r="E974" s="70"/>
      <c r="F974" s="70" t="s">
        <v>3392</v>
      </c>
      <c r="G974" s="73"/>
      <c r="H974" s="76" t="s">
        <v>2502</v>
      </c>
      <c r="I974" s="96" t="s">
        <v>497</v>
      </c>
      <c r="J974" s="96"/>
      <c r="K974" s="76"/>
      <c r="L974" s="76"/>
      <c r="M974" s="76"/>
      <c r="N974" s="76"/>
      <c r="O974" s="76"/>
      <c r="P974" s="76"/>
      <c r="Q974" s="76"/>
      <c r="R974" s="76"/>
      <c r="S974" s="76"/>
      <c r="T974" s="76"/>
      <c r="U974" s="97">
        <v>0</v>
      </c>
      <c r="V974" s="255">
        <f t="shared" si="397"/>
        <v>0</v>
      </c>
      <c r="W974" s="255">
        <f t="shared" si="422"/>
        <v>0</v>
      </c>
      <c r="X974" s="255">
        <f t="shared" si="423"/>
        <v>0</v>
      </c>
      <c r="Y974" s="255">
        <f t="shared" si="424"/>
        <v>0</v>
      </c>
      <c r="Z974" s="255">
        <f t="shared" si="410"/>
        <v>0</v>
      </c>
      <c r="AA974" s="255">
        <f t="shared" si="410"/>
        <v>0</v>
      </c>
      <c r="AB974" s="255">
        <f t="shared" si="401"/>
        <v>0</v>
      </c>
      <c r="AC974" s="255">
        <f t="shared" si="402"/>
        <v>0</v>
      </c>
      <c r="AD974" s="255">
        <f t="shared" si="403"/>
        <v>0</v>
      </c>
      <c r="AE974" s="255">
        <f t="shared" si="419"/>
        <v>0</v>
      </c>
      <c r="AF974" s="76"/>
      <c r="AG974" s="97" t="s">
        <v>3370</v>
      </c>
      <c r="AH974" s="76"/>
      <c r="AI974" s="97">
        <v>1</v>
      </c>
      <c r="AJ974" s="97">
        <v>1</v>
      </c>
      <c r="AK974" s="73"/>
      <c r="AL974" s="57"/>
      <c r="AM974" s="45"/>
      <c r="AN974" s="45"/>
      <c r="AO974" s="45"/>
    </row>
    <row r="975" spans="1:41" hidden="1" outlineLevel="2" x14ac:dyDescent="0.25">
      <c r="A975" s="45"/>
      <c r="B975" s="54"/>
      <c r="C975" s="47">
        <f t="shared" si="376"/>
        <v>3</v>
      </c>
      <c r="D975" s="73"/>
      <c r="E975" s="70"/>
      <c r="F975" s="70" t="s">
        <v>3393</v>
      </c>
      <c r="G975" s="73"/>
      <c r="H975" s="76" t="s">
        <v>2503</v>
      </c>
      <c r="I975" s="96" t="s">
        <v>497</v>
      </c>
      <c r="J975" s="96"/>
      <c r="K975" s="76"/>
      <c r="L975" s="76"/>
      <c r="M975" s="76"/>
      <c r="N975" s="76"/>
      <c r="O975" s="76"/>
      <c r="P975" s="76"/>
      <c r="Q975" s="76"/>
      <c r="R975" s="76"/>
      <c r="S975" s="76"/>
      <c r="T975" s="76"/>
      <c r="U975" s="97">
        <v>9.2600000000000002E-2</v>
      </c>
      <c r="V975" s="255">
        <f t="shared" si="397"/>
        <v>9.2600000000000002E-2</v>
      </c>
      <c r="W975" s="255">
        <f t="shared" ref="W975:Y975" si="425">U975</f>
        <v>9.2600000000000002E-2</v>
      </c>
      <c r="X975" s="255">
        <f t="shared" si="425"/>
        <v>9.2600000000000002E-2</v>
      </c>
      <c r="Y975" s="255">
        <f t="shared" si="425"/>
        <v>9.2600000000000002E-2</v>
      </c>
      <c r="Z975" s="255">
        <f t="shared" si="410"/>
        <v>9.2600000000000002E-2</v>
      </c>
      <c r="AA975" s="255">
        <f t="shared" si="410"/>
        <v>9.2600000000000002E-2</v>
      </c>
      <c r="AB975" s="255">
        <f t="shared" si="401"/>
        <v>9.2600000000000002E-2</v>
      </c>
      <c r="AC975" s="255">
        <f t="shared" si="402"/>
        <v>9.2600000000000002E-2</v>
      </c>
      <c r="AD975" s="255">
        <f t="shared" si="403"/>
        <v>9.2600000000000002E-2</v>
      </c>
      <c r="AE975" s="255">
        <f t="shared" si="419"/>
        <v>9.2600000000000002E-2</v>
      </c>
      <c r="AF975" s="76"/>
      <c r="AG975" s="97"/>
      <c r="AH975" s="76"/>
      <c r="AI975" s="97">
        <v>1</v>
      </c>
      <c r="AJ975" s="97">
        <v>1</v>
      </c>
      <c r="AK975" s="73"/>
      <c r="AL975" s="57"/>
      <c r="AM975" s="45"/>
      <c r="AN975" s="45"/>
      <c r="AO975" s="45"/>
    </row>
    <row r="976" spans="1:41" hidden="1" outlineLevel="2" x14ac:dyDescent="0.25">
      <c r="A976" s="45"/>
      <c r="B976" s="54"/>
      <c r="C976" s="47">
        <f t="shared" si="376"/>
        <v>3</v>
      </c>
      <c r="D976" s="73"/>
      <c r="E976" s="70"/>
      <c r="F976" s="70" t="s">
        <v>3394</v>
      </c>
      <c r="G976" s="73"/>
      <c r="H976" s="76" t="s">
        <v>2504</v>
      </c>
      <c r="I976" s="96" t="s">
        <v>497</v>
      </c>
      <c r="J976" s="96"/>
      <c r="K976" s="76"/>
      <c r="L976" s="76"/>
      <c r="M976" s="76"/>
      <c r="N976" s="76"/>
      <c r="O976" s="76"/>
      <c r="P976" s="76"/>
      <c r="Q976" s="76"/>
      <c r="R976" s="76"/>
      <c r="S976" s="76"/>
      <c r="T976" s="76"/>
      <c r="U976" s="253">
        <f>U975</f>
        <v>9.2600000000000002E-2</v>
      </c>
      <c r="V976" s="253">
        <f t="shared" ref="V976:AE976" si="426">V975</f>
        <v>9.2600000000000002E-2</v>
      </c>
      <c r="W976" s="253">
        <f t="shared" si="426"/>
        <v>9.2600000000000002E-2</v>
      </c>
      <c r="X976" s="253">
        <f t="shared" si="426"/>
        <v>9.2600000000000002E-2</v>
      </c>
      <c r="Y976" s="253">
        <f t="shared" si="426"/>
        <v>9.2600000000000002E-2</v>
      </c>
      <c r="Z976" s="253">
        <f t="shared" si="426"/>
        <v>9.2600000000000002E-2</v>
      </c>
      <c r="AA976" s="253">
        <f t="shared" si="426"/>
        <v>9.2600000000000002E-2</v>
      </c>
      <c r="AB976" s="253">
        <f t="shared" si="426"/>
        <v>9.2600000000000002E-2</v>
      </c>
      <c r="AC976" s="253">
        <f t="shared" si="426"/>
        <v>9.2600000000000002E-2</v>
      </c>
      <c r="AD976" s="253">
        <f t="shared" si="426"/>
        <v>9.2600000000000002E-2</v>
      </c>
      <c r="AE976" s="253">
        <f t="shared" si="426"/>
        <v>9.2600000000000002E-2</v>
      </c>
      <c r="AF976" s="76"/>
      <c r="AG976" s="264" t="s">
        <v>3352</v>
      </c>
      <c r="AH976" s="76"/>
      <c r="AI976" s="76">
        <v>1</v>
      </c>
      <c r="AJ976" s="76">
        <v>1</v>
      </c>
      <c r="AK976" s="73"/>
      <c r="AL976" s="57"/>
      <c r="AM976" s="45"/>
      <c r="AN976" s="45"/>
      <c r="AO976" s="45"/>
    </row>
    <row r="977" spans="1:41" hidden="1" outlineLevel="2" x14ac:dyDescent="0.25">
      <c r="A977" s="45"/>
      <c r="B977" s="54"/>
      <c r="C977" s="47">
        <f t="shared" si="376"/>
        <v>3</v>
      </c>
      <c r="D977" s="73"/>
      <c r="E977" s="70"/>
      <c r="F977" s="70" t="s">
        <v>3395</v>
      </c>
      <c r="G977" s="73"/>
      <c r="H977" s="76" t="s">
        <v>3739</v>
      </c>
      <c r="I977" s="96" t="s">
        <v>497</v>
      </c>
      <c r="J977" s="96"/>
      <c r="K977" s="76"/>
      <c r="L977" s="76"/>
      <c r="M977" s="76"/>
      <c r="N977" s="76"/>
      <c r="O977" s="76"/>
      <c r="P977" s="76"/>
      <c r="Q977" s="76"/>
      <c r="R977" s="76"/>
      <c r="S977" s="76"/>
      <c r="T977" s="76"/>
      <c r="U977" s="97">
        <v>0</v>
      </c>
      <c r="V977" s="255">
        <f t="shared" ref="V977:V983" si="427">U977</f>
        <v>0</v>
      </c>
      <c r="W977" s="255">
        <f t="shared" ref="W977:W978" si="428">U977</f>
        <v>0</v>
      </c>
      <c r="X977" s="255">
        <f t="shared" ref="X977:X978" si="429">V977</f>
        <v>0</v>
      </c>
      <c r="Y977" s="255">
        <f t="shared" ref="Y977:Y978" si="430">W977</f>
        <v>0</v>
      </c>
      <c r="Z977" s="255">
        <f t="shared" si="410"/>
        <v>0</v>
      </c>
      <c r="AA977" s="255">
        <f t="shared" si="410"/>
        <v>0</v>
      </c>
      <c r="AB977" s="255">
        <f t="shared" ref="AB977:AB983" si="431">AA977</f>
        <v>0</v>
      </c>
      <c r="AC977" s="255">
        <f t="shared" ref="AC977:AC983" si="432">AB977</f>
        <v>0</v>
      </c>
      <c r="AD977" s="255">
        <f t="shared" ref="AD977:AD983" si="433">AC977</f>
        <v>0</v>
      </c>
      <c r="AE977" s="255">
        <f t="shared" si="419"/>
        <v>0</v>
      </c>
      <c r="AF977" s="76"/>
      <c r="AG977" s="97" t="s">
        <v>3353</v>
      </c>
      <c r="AH977" s="76"/>
      <c r="AI977" s="76">
        <v>1</v>
      </c>
      <c r="AJ977" s="76">
        <v>1</v>
      </c>
      <c r="AK977" s="73"/>
      <c r="AL977" s="57"/>
      <c r="AM977" s="45"/>
      <c r="AN977" s="45"/>
      <c r="AO977" s="45"/>
    </row>
    <row r="978" spans="1:41" hidden="1" outlineLevel="2" x14ac:dyDescent="0.25">
      <c r="A978" s="45"/>
      <c r="B978" s="54"/>
      <c r="C978" s="47">
        <f t="shared" si="376"/>
        <v>3</v>
      </c>
      <c r="D978" s="73"/>
      <c r="E978" s="70"/>
      <c r="F978" s="70" t="s">
        <v>3396</v>
      </c>
      <c r="G978" s="73"/>
      <c r="H978" s="76" t="s">
        <v>2502</v>
      </c>
      <c r="I978" s="96" t="s">
        <v>497</v>
      </c>
      <c r="J978" s="96"/>
      <c r="K978" s="76"/>
      <c r="L978" s="76"/>
      <c r="M978" s="76"/>
      <c r="N978" s="76"/>
      <c r="O978" s="76"/>
      <c r="P978" s="76"/>
      <c r="Q978" s="76"/>
      <c r="R978" s="76"/>
      <c r="S978" s="76"/>
      <c r="T978" s="76"/>
      <c r="U978" s="97">
        <v>0</v>
      </c>
      <c r="V978" s="255">
        <f t="shared" si="427"/>
        <v>0</v>
      </c>
      <c r="W978" s="255">
        <f t="shared" si="428"/>
        <v>0</v>
      </c>
      <c r="X978" s="255">
        <f t="shared" si="429"/>
        <v>0</v>
      </c>
      <c r="Y978" s="255">
        <f t="shared" si="430"/>
        <v>0</v>
      </c>
      <c r="Z978" s="255">
        <f t="shared" si="410"/>
        <v>0</v>
      </c>
      <c r="AA978" s="255">
        <f t="shared" si="410"/>
        <v>0</v>
      </c>
      <c r="AB978" s="255">
        <f t="shared" si="431"/>
        <v>0</v>
      </c>
      <c r="AC978" s="255">
        <f t="shared" si="432"/>
        <v>0</v>
      </c>
      <c r="AD978" s="255">
        <f t="shared" si="433"/>
        <v>0</v>
      </c>
      <c r="AE978" s="255">
        <f t="shared" si="419"/>
        <v>0</v>
      </c>
      <c r="AF978" s="76"/>
      <c r="AG978" s="97" t="s">
        <v>3370</v>
      </c>
      <c r="AH978" s="76"/>
      <c r="AI978" s="97">
        <v>1</v>
      </c>
      <c r="AJ978" s="97">
        <v>1</v>
      </c>
      <c r="AK978" s="73"/>
      <c r="AL978" s="57"/>
      <c r="AM978" s="45"/>
      <c r="AN978" s="45"/>
      <c r="AO978" s="45"/>
    </row>
    <row r="979" spans="1:41" hidden="1" outlineLevel="2" x14ac:dyDescent="0.25">
      <c r="A979" s="45"/>
      <c r="B979" s="54"/>
      <c r="C979" s="47">
        <f t="shared" si="376"/>
        <v>3</v>
      </c>
      <c r="D979" s="73"/>
      <c r="E979" s="70"/>
      <c r="F979" s="70" t="s">
        <v>3397</v>
      </c>
      <c r="G979" s="73"/>
      <c r="H979" s="76" t="s">
        <v>2503</v>
      </c>
      <c r="I979" s="96" t="s">
        <v>497</v>
      </c>
      <c r="J979" s="96"/>
      <c r="K979" s="76"/>
      <c r="L979" s="76"/>
      <c r="M979" s="76"/>
      <c r="N979" s="76"/>
      <c r="O979" s="76"/>
      <c r="P979" s="76"/>
      <c r="Q979" s="76"/>
      <c r="R979" s="76"/>
      <c r="S979" s="76"/>
      <c r="T979" s="76"/>
      <c r="U979" s="97">
        <v>-2.2100000000000001E-4</v>
      </c>
      <c r="V979" s="255">
        <f t="shared" si="427"/>
        <v>-2.2100000000000001E-4</v>
      </c>
      <c r="W979" s="255">
        <f t="shared" ref="W979:Y979" si="434">U979</f>
        <v>-2.2100000000000001E-4</v>
      </c>
      <c r="X979" s="255">
        <f t="shared" si="434"/>
        <v>-2.2100000000000001E-4</v>
      </c>
      <c r="Y979" s="255">
        <f t="shared" si="434"/>
        <v>-2.2100000000000001E-4</v>
      </c>
      <c r="Z979" s="255">
        <f t="shared" si="410"/>
        <v>-2.2100000000000001E-4</v>
      </c>
      <c r="AA979" s="255">
        <f t="shared" si="410"/>
        <v>-2.2100000000000001E-4</v>
      </c>
      <c r="AB979" s="255">
        <f t="shared" si="431"/>
        <v>-2.2100000000000001E-4</v>
      </c>
      <c r="AC979" s="255">
        <f t="shared" si="432"/>
        <v>-2.2100000000000001E-4</v>
      </c>
      <c r="AD979" s="255">
        <f t="shared" si="433"/>
        <v>-2.2100000000000001E-4</v>
      </c>
      <c r="AE979" s="255">
        <f t="shared" si="419"/>
        <v>-2.2100000000000001E-4</v>
      </c>
      <c r="AF979" s="76"/>
      <c r="AG979" s="97"/>
      <c r="AH979" s="76"/>
      <c r="AI979" s="97">
        <v>1</v>
      </c>
      <c r="AJ979" s="97">
        <v>1</v>
      </c>
      <c r="AK979" s="73"/>
      <c r="AL979" s="57"/>
      <c r="AM979" s="45"/>
      <c r="AN979" s="45"/>
      <c r="AO979" s="45"/>
    </row>
    <row r="980" spans="1:41" hidden="1" outlineLevel="2" x14ac:dyDescent="0.25">
      <c r="A980" s="45"/>
      <c r="B980" s="54"/>
      <c r="C980" s="47">
        <f t="shared" si="376"/>
        <v>3</v>
      </c>
      <c r="D980" s="73"/>
      <c r="E980" s="70"/>
      <c r="F980" s="70" t="s">
        <v>3398</v>
      </c>
      <c r="G980" s="73"/>
      <c r="H980" s="76" t="s">
        <v>2504</v>
      </c>
      <c r="I980" s="96" t="s">
        <v>497</v>
      </c>
      <c r="J980" s="96"/>
      <c r="K980" s="76"/>
      <c r="L980" s="76"/>
      <c r="M980" s="76"/>
      <c r="N980" s="76"/>
      <c r="O980" s="76"/>
      <c r="P980" s="76"/>
      <c r="Q980" s="76"/>
      <c r="R980" s="76"/>
      <c r="S980" s="76"/>
      <c r="T980" s="76"/>
      <c r="U980" s="253">
        <f>U979</f>
        <v>-2.2100000000000001E-4</v>
      </c>
      <c r="V980" s="253">
        <f t="shared" ref="V980:AE980" si="435">V979</f>
        <v>-2.2100000000000001E-4</v>
      </c>
      <c r="W980" s="253">
        <f t="shared" si="435"/>
        <v>-2.2100000000000001E-4</v>
      </c>
      <c r="X980" s="253">
        <f t="shared" si="435"/>
        <v>-2.2100000000000001E-4</v>
      </c>
      <c r="Y980" s="253">
        <f t="shared" si="435"/>
        <v>-2.2100000000000001E-4</v>
      </c>
      <c r="Z980" s="253">
        <f t="shared" si="435"/>
        <v>-2.2100000000000001E-4</v>
      </c>
      <c r="AA980" s="253">
        <f t="shared" si="435"/>
        <v>-2.2100000000000001E-4</v>
      </c>
      <c r="AB980" s="253">
        <f t="shared" si="435"/>
        <v>-2.2100000000000001E-4</v>
      </c>
      <c r="AC980" s="253">
        <f t="shared" si="435"/>
        <v>-2.2100000000000001E-4</v>
      </c>
      <c r="AD980" s="253">
        <f t="shared" si="435"/>
        <v>-2.2100000000000001E-4</v>
      </c>
      <c r="AE980" s="253">
        <f t="shared" si="435"/>
        <v>-2.2100000000000001E-4</v>
      </c>
      <c r="AF980" s="76"/>
      <c r="AG980" s="264" t="s">
        <v>3352</v>
      </c>
      <c r="AH980" s="76"/>
      <c r="AI980" s="76">
        <v>1</v>
      </c>
      <c r="AJ980" s="76">
        <v>1</v>
      </c>
      <c r="AK980" s="73"/>
      <c r="AL980" s="57"/>
      <c r="AM980" s="45"/>
      <c r="AN980" s="45"/>
      <c r="AO980" s="45"/>
    </row>
    <row r="981" spans="1:41" hidden="1" outlineLevel="2" x14ac:dyDescent="0.25">
      <c r="A981" s="45"/>
      <c r="B981" s="54"/>
      <c r="C981" s="47">
        <f t="shared" si="376"/>
        <v>3</v>
      </c>
      <c r="D981" s="73"/>
      <c r="E981" s="70"/>
      <c r="F981" s="70" t="s">
        <v>3718</v>
      </c>
      <c r="G981" s="73"/>
      <c r="H981" s="76" t="s">
        <v>3740</v>
      </c>
      <c r="I981" s="96" t="s">
        <v>497</v>
      </c>
      <c r="J981" s="96"/>
      <c r="K981" s="76"/>
      <c r="L981" s="76"/>
      <c r="M981" s="76"/>
      <c r="N981" s="76"/>
      <c r="O981" s="76"/>
      <c r="P981" s="76"/>
      <c r="Q981" s="76"/>
      <c r="R981" s="76"/>
      <c r="S981" s="76"/>
      <c r="T981" s="76"/>
      <c r="U981" s="97">
        <v>0</v>
      </c>
      <c r="V981" s="255">
        <f t="shared" si="427"/>
        <v>0</v>
      </c>
      <c r="W981" s="255">
        <f t="shared" ref="W981:W982" si="436">U981</f>
        <v>0</v>
      </c>
      <c r="X981" s="255">
        <f t="shared" ref="X981:X982" si="437">V981</f>
        <v>0</v>
      </c>
      <c r="Y981" s="255">
        <f t="shared" ref="Y981:Y982" si="438">W981</f>
        <v>0</v>
      </c>
      <c r="Z981" s="255">
        <f t="shared" si="410"/>
        <v>0</v>
      </c>
      <c r="AA981" s="255">
        <f t="shared" si="410"/>
        <v>0</v>
      </c>
      <c r="AB981" s="255">
        <f t="shared" si="431"/>
        <v>0</v>
      </c>
      <c r="AC981" s="255">
        <f t="shared" si="432"/>
        <v>0</v>
      </c>
      <c r="AD981" s="255">
        <f t="shared" si="433"/>
        <v>0</v>
      </c>
      <c r="AE981" s="255">
        <f t="shared" si="419"/>
        <v>0</v>
      </c>
      <c r="AF981" s="76"/>
      <c r="AG981" s="97" t="s">
        <v>3353</v>
      </c>
      <c r="AH981" s="76"/>
      <c r="AI981" s="76">
        <v>1</v>
      </c>
      <c r="AJ981" s="76">
        <v>1</v>
      </c>
      <c r="AK981" s="73"/>
      <c r="AL981" s="57"/>
      <c r="AM981" s="45"/>
      <c r="AN981" s="45"/>
      <c r="AO981" s="45"/>
    </row>
    <row r="982" spans="1:41" hidden="1" outlineLevel="2" x14ac:dyDescent="0.25">
      <c r="A982" s="45"/>
      <c r="B982" s="54"/>
      <c r="C982" s="47">
        <f t="shared" si="376"/>
        <v>3</v>
      </c>
      <c r="D982" s="73"/>
      <c r="E982" s="70"/>
      <c r="F982" s="70" t="s">
        <v>3719</v>
      </c>
      <c r="G982" s="73"/>
      <c r="H982" s="76" t="s">
        <v>2502</v>
      </c>
      <c r="I982" s="96" t="s">
        <v>497</v>
      </c>
      <c r="J982" s="96"/>
      <c r="K982" s="76"/>
      <c r="L982" s="76"/>
      <c r="M982" s="76"/>
      <c r="N982" s="76"/>
      <c r="O982" s="76"/>
      <c r="P982" s="76"/>
      <c r="Q982" s="76"/>
      <c r="R982" s="76"/>
      <c r="S982" s="76"/>
      <c r="T982" s="76"/>
      <c r="U982" s="97">
        <v>0</v>
      </c>
      <c r="V982" s="255">
        <f t="shared" si="427"/>
        <v>0</v>
      </c>
      <c r="W982" s="255">
        <f t="shared" si="436"/>
        <v>0</v>
      </c>
      <c r="X982" s="255">
        <f t="shared" si="437"/>
        <v>0</v>
      </c>
      <c r="Y982" s="255">
        <f t="shared" si="438"/>
        <v>0</v>
      </c>
      <c r="Z982" s="255">
        <f t="shared" si="410"/>
        <v>0</v>
      </c>
      <c r="AA982" s="255">
        <f t="shared" si="410"/>
        <v>0</v>
      </c>
      <c r="AB982" s="255">
        <f t="shared" si="431"/>
        <v>0</v>
      </c>
      <c r="AC982" s="255">
        <f t="shared" si="432"/>
        <v>0</v>
      </c>
      <c r="AD982" s="255">
        <f t="shared" si="433"/>
        <v>0</v>
      </c>
      <c r="AE982" s="255">
        <f t="shared" si="419"/>
        <v>0</v>
      </c>
      <c r="AF982" s="76"/>
      <c r="AG982" s="97" t="s">
        <v>3370</v>
      </c>
      <c r="AH982" s="76"/>
      <c r="AI982" s="97">
        <v>1</v>
      </c>
      <c r="AJ982" s="97">
        <v>1</v>
      </c>
      <c r="AK982" s="73"/>
      <c r="AL982" s="57"/>
      <c r="AM982" s="45"/>
      <c r="AN982" s="45"/>
      <c r="AO982" s="45"/>
    </row>
    <row r="983" spans="1:41" hidden="1" outlineLevel="2" x14ac:dyDescent="0.25">
      <c r="A983" s="45"/>
      <c r="B983" s="54"/>
      <c r="C983" s="47">
        <f t="shared" si="376"/>
        <v>3</v>
      </c>
      <c r="D983" s="73"/>
      <c r="E983" s="70"/>
      <c r="F983" s="70" t="s">
        <v>3720</v>
      </c>
      <c r="G983" s="73"/>
      <c r="H983" s="76" t="s">
        <v>2503</v>
      </c>
      <c r="I983" s="96" t="s">
        <v>497</v>
      </c>
      <c r="J983" s="96"/>
      <c r="K983" s="76"/>
      <c r="L983" s="76"/>
      <c r="M983" s="76"/>
      <c r="N983" s="76"/>
      <c r="O983" s="76"/>
      <c r="P983" s="76"/>
      <c r="Q983" s="76"/>
      <c r="R983" s="76"/>
      <c r="S983" s="76"/>
      <c r="T983" s="76"/>
      <c r="U983" s="97">
        <v>-6.34</v>
      </c>
      <c r="V983" s="255">
        <f t="shared" si="427"/>
        <v>-6.34</v>
      </c>
      <c r="W983" s="255">
        <f t="shared" ref="W983:Y983" si="439">U983</f>
        <v>-6.34</v>
      </c>
      <c r="X983" s="255">
        <f t="shared" si="439"/>
        <v>-6.34</v>
      </c>
      <c r="Y983" s="255">
        <f t="shared" si="439"/>
        <v>-6.34</v>
      </c>
      <c r="Z983" s="255">
        <f t="shared" ref="Z983:AA991" si="440">X983</f>
        <v>-6.34</v>
      </c>
      <c r="AA983" s="255">
        <f t="shared" si="440"/>
        <v>-6.34</v>
      </c>
      <c r="AB983" s="255">
        <f t="shared" si="431"/>
        <v>-6.34</v>
      </c>
      <c r="AC983" s="255">
        <f t="shared" si="432"/>
        <v>-6.34</v>
      </c>
      <c r="AD983" s="255">
        <f t="shared" si="433"/>
        <v>-6.34</v>
      </c>
      <c r="AE983" s="255">
        <f t="shared" si="419"/>
        <v>-6.34</v>
      </c>
      <c r="AF983" s="76"/>
      <c r="AG983" s="97"/>
      <c r="AH983" s="76"/>
      <c r="AI983" s="97">
        <v>1</v>
      </c>
      <c r="AJ983" s="97">
        <v>1</v>
      </c>
      <c r="AK983" s="73"/>
      <c r="AL983" s="57"/>
      <c r="AM983" s="45"/>
      <c r="AN983" s="45"/>
      <c r="AO983" s="45"/>
    </row>
    <row r="984" spans="1:41" hidden="1" outlineLevel="2" x14ac:dyDescent="0.25">
      <c r="A984" s="45"/>
      <c r="B984" s="54"/>
      <c r="C984" s="47">
        <f t="shared" si="376"/>
        <v>3</v>
      </c>
      <c r="D984" s="73"/>
      <c r="E984" s="70"/>
      <c r="F984" s="70" t="s">
        <v>3721</v>
      </c>
      <c r="G984" s="73"/>
      <c r="H984" s="76" t="s">
        <v>2504</v>
      </c>
      <c r="I984" s="96" t="s">
        <v>497</v>
      </c>
      <c r="J984" s="96"/>
      <c r="K984" s="76"/>
      <c r="L984" s="76"/>
      <c r="M984" s="76"/>
      <c r="N984" s="76"/>
      <c r="O984" s="76"/>
      <c r="P984" s="76"/>
      <c r="Q984" s="76"/>
      <c r="R984" s="76"/>
      <c r="S984" s="76"/>
      <c r="T984" s="76"/>
      <c r="U984" s="253">
        <f>U983</f>
        <v>-6.34</v>
      </c>
      <c r="V984" s="253">
        <f t="shared" ref="V984:AE984" si="441">V983</f>
        <v>-6.34</v>
      </c>
      <c r="W984" s="253">
        <f t="shared" si="441"/>
        <v>-6.34</v>
      </c>
      <c r="X984" s="253">
        <f t="shared" si="441"/>
        <v>-6.34</v>
      </c>
      <c r="Y984" s="253">
        <f t="shared" si="441"/>
        <v>-6.34</v>
      </c>
      <c r="Z984" s="253">
        <f t="shared" si="441"/>
        <v>-6.34</v>
      </c>
      <c r="AA984" s="253">
        <f t="shared" si="441"/>
        <v>-6.34</v>
      </c>
      <c r="AB984" s="253">
        <f t="shared" si="441"/>
        <v>-6.34</v>
      </c>
      <c r="AC984" s="253">
        <f t="shared" si="441"/>
        <v>-6.34</v>
      </c>
      <c r="AD984" s="253">
        <f t="shared" si="441"/>
        <v>-6.34</v>
      </c>
      <c r="AE984" s="253">
        <f t="shared" si="441"/>
        <v>-6.34</v>
      </c>
      <c r="AF984" s="76"/>
      <c r="AG984" s="264" t="s">
        <v>3352</v>
      </c>
      <c r="AH984" s="76"/>
      <c r="AI984" s="76">
        <v>1</v>
      </c>
      <c r="AJ984" s="76">
        <v>1</v>
      </c>
      <c r="AK984" s="73"/>
      <c r="AL984" s="57"/>
      <c r="AM984" s="45"/>
      <c r="AN984" s="45"/>
      <c r="AO984" s="45"/>
    </row>
    <row r="985" spans="1:41" hidden="1" outlineLevel="2" x14ac:dyDescent="0.25">
      <c r="A985" s="45"/>
      <c r="B985" s="54"/>
      <c r="C985" s="47">
        <f t="shared" si="376"/>
        <v>3</v>
      </c>
      <c r="D985" s="73"/>
      <c r="E985" s="70"/>
      <c r="F985" s="70" t="s">
        <v>3741</v>
      </c>
      <c r="G985" s="73"/>
      <c r="H985" s="76" t="s">
        <v>3751</v>
      </c>
      <c r="I985" s="96" t="s">
        <v>497</v>
      </c>
      <c r="J985" s="96"/>
      <c r="K985" s="76"/>
      <c r="L985" s="76"/>
      <c r="M985" s="76"/>
      <c r="N985" s="76"/>
      <c r="O985" s="76"/>
      <c r="P985" s="76"/>
      <c r="Q985" s="76"/>
      <c r="R985" s="76"/>
      <c r="S985" s="76"/>
      <c r="T985" s="76"/>
      <c r="U985" s="97">
        <v>0</v>
      </c>
      <c r="V985" s="255">
        <f t="shared" ref="V985:V987" si="442">U985</f>
        <v>0</v>
      </c>
      <c r="W985" s="255">
        <f t="shared" ref="W985:W986" si="443">U985</f>
        <v>0</v>
      </c>
      <c r="X985" s="255">
        <f t="shared" ref="X985:X986" si="444">V985</f>
        <v>0</v>
      </c>
      <c r="Y985" s="255">
        <f t="shared" ref="Y985:Y986" si="445">W985</f>
        <v>0</v>
      </c>
      <c r="Z985" s="255">
        <f t="shared" si="440"/>
        <v>0</v>
      </c>
      <c r="AA985" s="255">
        <f t="shared" si="440"/>
        <v>0</v>
      </c>
      <c r="AB985" s="255">
        <f t="shared" ref="AB985:AB987" si="446">AA985</f>
        <v>0</v>
      </c>
      <c r="AC985" s="255">
        <f t="shared" ref="AC985:AC987" si="447">AB985</f>
        <v>0</v>
      </c>
      <c r="AD985" s="255">
        <f t="shared" ref="AD985:AD987" si="448">AC985</f>
        <v>0</v>
      </c>
      <c r="AE985" s="255">
        <f t="shared" si="419"/>
        <v>0</v>
      </c>
      <c r="AF985" s="76"/>
      <c r="AG985" s="97" t="s">
        <v>3749</v>
      </c>
      <c r="AH985" s="76"/>
      <c r="AI985" s="76">
        <v>1</v>
      </c>
      <c r="AJ985" s="76">
        <v>1</v>
      </c>
      <c r="AK985" s="73"/>
      <c r="AL985" s="57"/>
      <c r="AM985" s="45"/>
      <c r="AN985" s="45"/>
      <c r="AO985" s="45"/>
    </row>
    <row r="986" spans="1:41" hidden="1" outlineLevel="2" x14ac:dyDescent="0.25">
      <c r="A986" s="45"/>
      <c r="B986" s="54"/>
      <c r="C986" s="47">
        <f t="shared" si="376"/>
        <v>3</v>
      </c>
      <c r="D986" s="73"/>
      <c r="E986" s="70"/>
      <c r="F986" s="70" t="s">
        <v>3742</v>
      </c>
      <c r="G986" s="73"/>
      <c r="H986" s="76" t="s">
        <v>2502</v>
      </c>
      <c r="I986" s="96" t="s">
        <v>497</v>
      </c>
      <c r="J986" s="96"/>
      <c r="K986" s="76"/>
      <c r="L986" s="76"/>
      <c r="M986" s="76"/>
      <c r="N986" s="76"/>
      <c r="O986" s="76"/>
      <c r="P986" s="76"/>
      <c r="Q986" s="76"/>
      <c r="R986" s="76"/>
      <c r="S986" s="76"/>
      <c r="T986" s="76"/>
      <c r="U986" s="97">
        <v>0</v>
      </c>
      <c r="V986" s="255">
        <f t="shared" si="442"/>
        <v>0</v>
      </c>
      <c r="W986" s="255">
        <f t="shared" si="443"/>
        <v>0</v>
      </c>
      <c r="X986" s="255">
        <f t="shared" si="444"/>
        <v>0</v>
      </c>
      <c r="Y986" s="255">
        <f t="shared" si="445"/>
        <v>0</v>
      </c>
      <c r="Z986" s="255">
        <f t="shared" si="440"/>
        <v>0</v>
      </c>
      <c r="AA986" s="255">
        <f t="shared" si="440"/>
        <v>0</v>
      </c>
      <c r="AB986" s="255">
        <f t="shared" si="446"/>
        <v>0</v>
      </c>
      <c r="AC986" s="255">
        <f t="shared" si="447"/>
        <v>0</v>
      </c>
      <c r="AD986" s="255">
        <f t="shared" si="448"/>
        <v>0</v>
      </c>
      <c r="AE986" s="255">
        <f t="shared" si="419"/>
        <v>0</v>
      </c>
      <c r="AF986" s="76"/>
      <c r="AG986" s="97" t="s">
        <v>3750</v>
      </c>
      <c r="AH986" s="76"/>
      <c r="AI986" s="97">
        <v>1</v>
      </c>
      <c r="AJ986" s="97">
        <v>1</v>
      </c>
      <c r="AK986" s="73"/>
      <c r="AL986" s="57"/>
      <c r="AM986" s="45"/>
      <c r="AN986" s="45"/>
      <c r="AO986" s="45"/>
    </row>
    <row r="987" spans="1:41" hidden="1" outlineLevel="2" x14ac:dyDescent="0.25">
      <c r="A987" s="45"/>
      <c r="B987" s="54"/>
      <c r="C987" s="47">
        <f t="shared" si="376"/>
        <v>3</v>
      </c>
      <c r="D987" s="73"/>
      <c r="E987" s="70"/>
      <c r="F987" s="70" t="s">
        <v>3743</v>
      </c>
      <c r="G987" s="73"/>
      <c r="H987" s="76" t="s">
        <v>2503</v>
      </c>
      <c r="I987" s="96" t="s">
        <v>497</v>
      </c>
      <c r="J987" s="96"/>
      <c r="K987" s="76"/>
      <c r="L987" s="76"/>
      <c r="M987" s="76"/>
      <c r="N987" s="76"/>
      <c r="O987" s="76"/>
      <c r="P987" s="76"/>
      <c r="Q987" s="76"/>
      <c r="R987" s="76"/>
      <c r="S987" s="76"/>
      <c r="T987" s="76"/>
      <c r="U987" s="97">
        <v>4.3999999999999997E-2</v>
      </c>
      <c r="V987" s="255">
        <f t="shared" si="442"/>
        <v>4.3999999999999997E-2</v>
      </c>
      <c r="W987" s="255">
        <f t="shared" ref="W987:Y987" si="449">U987</f>
        <v>4.3999999999999997E-2</v>
      </c>
      <c r="X987" s="255">
        <f t="shared" si="449"/>
        <v>4.3999999999999997E-2</v>
      </c>
      <c r="Y987" s="255">
        <f t="shared" si="449"/>
        <v>4.3999999999999997E-2</v>
      </c>
      <c r="Z987" s="255">
        <f t="shared" si="440"/>
        <v>4.3999999999999997E-2</v>
      </c>
      <c r="AA987" s="255">
        <f t="shared" si="440"/>
        <v>4.3999999999999997E-2</v>
      </c>
      <c r="AB987" s="255">
        <f t="shared" si="446"/>
        <v>4.3999999999999997E-2</v>
      </c>
      <c r="AC987" s="255">
        <f t="shared" si="447"/>
        <v>4.3999999999999997E-2</v>
      </c>
      <c r="AD987" s="255">
        <f t="shared" si="448"/>
        <v>4.3999999999999997E-2</v>
      </c>
      <c r="AE987" s="255">
        <f t="shared" si="419"/>
        <v>4.3999999999999997E-2</v>
      </c>
      <c r="AF987" s="76"/>
      <c r="AG987" s="97"/>
      <c r="AH987" s="76"/>
      <c r="AI987" s="97">
        <v>1</v>
      </c>
      <c r="AJ987" s="97">
        <v>1</v>
      </c>
      <c r="AK987" s="73"/>
      <c r="AL987" s="57"/>
      <c r="AM987" s="45"/>
      <c r="AN987" s="45"/>
      <c r="AO987" s="45"/>
    </row>
    <row r="988" spans="1:41" hidden="1" outlineLevel="2" x14ac:dyDescent="0.25">
      <c r="A988" s="45"/>
      <c r="B988" s="54"/>
      <c r="C988" s="47">
        <f t="shared" si="376"/>
        <v>3</v>
      </c>
      <c r="D988" s="73"/>
      <c r="E988" s="70"/>
      <c r="F988" s="70" t="s">
        <v>3744</v>
      </c>
      <c r="G988" s="73"/>
      <c r="H988" s="76" t="s">
        <v>2504</v>
      </c>
      <c r="I988" s="96" t="s">
        <v>497</v>
      </c>
      <c r="J988" s="96"/>
      <c r="K988" s="76"/>
      <c r="L988" s="76"/>
      <c r="M988" s="76"/>
      <c r="N988" s="76"/>
      <c r="O988" s="76"/>
      <c r="P988" s="76"/>
      <c r="Q988" s="76"/>
      <c r="R988" s="76"/>
      <c r="S988" s="76"/>
      <c r="T988" s="76"/>
      <c r="U988" s="253">
        <f>U987</f>
        <v>4.3999999999999997E-2</v>
      </c>
      <c r="V988" s="253">
        <f t="shared" ref="V988:AE988" si="450">V987</f>
        <v>4.3999999999999997E-2</v>
      </c>
      <c r="W988" s="253">
        <f t="shared" si="450"/>
        <v>4.3999999999999997E-2</v>
      </c>
      <c r="X988" s="253">
        <f t="shared" si="450"/>
        <v>4.3999999999999997E-2</v>
      </c>
      <c r="Y988" s="253">
        <f t="shared" si="450"/>
        <v>4.3999999999999997E-2</v>
      </c>
      <c r="Z988" s="253">
        <f t="shared" si="450"/>
        <v>4.3999999999999997E-2</v>
      </c>
      <c r="AA988" s="253">
        <f t="shared" si="450"/>
        <v>4.3999999999999997E-2</v>
      </c>
      <c r="AB988" s="253">
        <f t="shared" si="450"/>
        <v>4.3999999999999997E-2</v>
      </c>
      <c r="AC988" s="253">
        <f t="shared" si="450"/>
        <v>4.3999999999999997E-2</v>
      </c>
      <c r="AD988" s="253">
        <f t="shared" si="450"/>
        <v>4.3999999999999997E-2</v>
      </c>
      <c r="AE988" s="253">
        <f t="shared" si="450"/>
        <v>4.3999999999999997E-2</v>
      </c>
      <c r="AF988" s="76"/>
      <c r="AG988" s="264" t="s">
        <v>3352</v>
      </c>
      <c r="AH988" s="76"/>
      <c r="AI988" s="76">
        <v>1</v>
      </c>
      <c r="AJ988" s="76">
        <v>1</v>
      </c>
      <c r="AK988" s="73"/>
      <c r="AL988" s="57"/>
      <c r="AM988" s="45"/>
      <c r="AN988" s="45"/>
      <c r="AO988" s="45"/>
    </row>
    <row r="989" spans="1:41" hidden="1" outlineLevel="2" x14ac:dyDescent="0.25">
      <c r="A989" s="45"/>
      <c r="B989" s="54"/>
      <c r="C989" s="47">
        <f t="shared" si="376"/>
        <v>3</v>
      </c>
      <c r="D989" s="73"/>
      <c r="E989" s="70"/>
      <c r="F989" s="70" t="s">
        <v>3745</v>
      </c>
      <c r="G989" s="73"/>
      <c r="H989" s="76" t="s">
        <v>3752</v>
      </c>
      <c r="I989" s="96" t="s">
        <v>497</v>
      </c>
      <c r="J989" s="96"/>
      <c r="K989" s="76"/>
      <c r="L989" s="76"/>
      <c r="M989" s="76"/>
      <c r="N989" s="76"/>
      <c r="O989" s="76"/>
      <c r="P989" s="76"/>
      <c r="Q989" s="76"/>
      <c r="R989" s="76"/>
      <c r="S989" s="76"/>
      <c r="T989" s="76"/>
      <c r="U989" s="97">
        <v>1</v>
      </c>
      <c r="V989" s="255">
        <f t="shared" ref="V989:V991" si="451">U989</f>
        <v>1</v>
      </c>
      <c r="W989" s="255">
        <f t="shared" ref="W989:W990" si="452">U989</f>
        <v>1</v>
      </c>
      <c r="X989" s="255">
        <f t="shared" ref="X989:X990" si="453">V989</f>
        <v>1</v>
      </c>
      <c r="Y989" s="255">
        <f t="shared" ref="Y989:Y990" si="454">W989</f>
        <v>1</v>
      </c>
      <c r="Z989" s="255">
        <f t="shared" si="440"/>
        <v>1</v>
      </c>
      <c r="AA989" s="255">
        <f t="shared" si="440"/>
        <v>1</v>
      </c>
      <c r="AB989" s="255">
        <f t="shared" ref="AB989:AB991" si="455">AA989</f>
        <v>1</v>
      </c>
      <c r="AC989" s="255">
        <f t="shared" ref="AC989:AC991" si="456">AB989</f>
        <v>1</v>
      </c>
      <c r="AD989" s="255">
        <f t="shared" ref="AD989:AD991" si="457">AC989</f>
        <v>1</v>
      </c>
      <c r="AE989" s="255">
        <f t="shared" si="419"/>
        <v>1</v>
      </c>
      <c r="AF989" s="76"/>
      <c r="AG989" s="97" t="s">
        <v>3749</v>
      </c>
      <c r="AH989" s="76"/>
      <c r="AI989" s="76">
        <v>1</v>
      </c>
      <c r="AJ989" s="76">
        <v>1</v>
      </c>
      <c r="AK989" s="73"/>
      <c r="AL989" s="57"/>
      <c r="AM989" s="45"/>
      <c r="AN989" s="45"/>
      <c r="AO989" s="45"/>
    </row>
    <row r="990" spans="1:41" hidden="1" outlineLevel="2" x14ac:dyDescent="0.25">
      <c r="A990" s="45"/>
      <c r="B990" s="54"/>
      <c r="C990" s="47">
        <f t="shared" si="376"/>
        <v>3</v>
      </c>
      <c r="D990" s="73"/>
      <c r="E990" s="70"/>
      <c r="F990" s="70" t="s">
        <v>3746</v>
      </c>
      <c r="G990" s="73"/>
      <c r="H990" s="76" t="s">
        <v>2502</v>
      </c>
      <c r="I990" s="96" t="s">
        <v>497</v>
      </c>
      <c r="J990" s="96"/>
      <c r="K990" s="76"/>
      <c r="L990" s="76"/>
      <c r="M990" s="76"/>
      <c r="N990" s="76"/>
      <c r="O990" s="76"/>
      <c r="P990" s="76"/>
      <c r="Q990" s="76"/>
      <c r="R990" s="76"/>
      <c r="S990" s="76"/>
      <c r="T990" s="76"/>
      <c r="U990" s="97">
        <v>1</v>
      </c>
      <c r="V990" s="255">
        <f t="shared" si="451"/>
        <v>1</v>
      </c>
      <c r="W990" s="255">
        <f t="shared" si="452"/>
        <v>1</v>
      </c>
      <c r="X990" s="255">
        <f t="shared" si="453"/>
        <v>1</v>
      </c>
      <c r="Y990" s="255">
        <f t="shared" si="454"/>
        <v>1</v>
      </c>
      <c r="Z990" s="255">
        <f t="shared" si="440"/>
        <v>1</v>
      </c>
      <c r="AA990" s="255">
        <f t="shared" si="440"/>
        <v>1</v>
      </c>
      <c r="AB990" s="255">
        <f t="shared" si="455"/>
        <v>1</v>
      </c>
      <c r="AC990" s="255">
        <f t="shared" si="456"/>
        <v>1</v>
      </c>
      <c r="AD990" s="255">
        <f t="shared" si="457"/>
        <v>1</v>
      </c>
      <c r="AE990" s="255">
        <f t="shared" si="419"/>
        <v>1</v>
      </c>
      <c r="AF990" s="76"/>
      <c r="AG990" s="97" t="s">
        <v>3750</v>
      </c>
      <c r="AH990" s="76"/>
      <c r="AI990" s="97">
        <v>1</v>
      </c>
      <c r="AJ990" s="97">
        <v>1</v>
      </c>
      <c r="AK990" s="73"/>
      <c r="AL990" s="57"/>
      <c r="AM990" s="45"/>
      <c r="AN990" s="45"/>
      <c r="AO990" s="45"/>
    </row>
    <row r="991" spans="1:41" hidden="1" outlineLevel="2" x14ac:dyDescent="0.25">
      <c r="A991" s="45"/>
      <c r="B991" s="54"/>
      <c r="C991" s="47">
        <f t="shared" si="376"/>
        <v>3</v>
      </c>
      <c r="D991" s="73"/>
      <c r="E991" s="70"/>
      <c r="F991" s="70" t="s">
        <v>3747</v>
      </c>
      <c r="G991" s="73"/>
      <c r="H991" s="76" t="s">
        <v>2503</v>
      </c>
      <c r="I991" s="96" t="s">
        <v>497</v>
      </c>
      <c r="J991" s="96"/>
      <c r="K991" s="76"/>
      <c r="L991" s="76"/>
      <c r="M991" s="76"/>
      <c r="N991" s="76"/>
      <c r="O991" s="76"/>
      <c r="P991" s="76"/>
      <c r="Q991" s="76"/>
      <c r="R991" s="76"/>
      <c r="S991" s="76"/>
      <c r="T991" s="76"/>
      <c r="U991" s="97">
        <v>0.75</v>
      </c>
      <c r="V991" s="255">
        <f t="shared" si="451"/>
        <v>0.75</v>
      </c>
      <c r="W991" s="255">
        <f t="shared" ref="W991:Y991" si="458">U991</f>
        <v>0.75</v>
      </c>
      <c r="X991" s="255">
        <f t="shared" si="458"/>
        <v>0.75</v>
      </c>
      <c r="Y991" s="255">
        <f t="shared" si="458"/>
        <v>0.75</v>
      </c>
      <c r="Z991" s="255">
        <f t="shared" si="440"/>
        <v>0.75</v>
      </c>
      <c r="AA991" s="255">
        <f t="shared" si="440"/>
        <v>0.75</v>
      </c>
      <c r="AB991" s="255">
        <f t="shared" si="455"/>
        <v>0.75</v>
      </c>
      <c r="AC991" s="255">
        <f t="shared" si="456"/>
        <v>0.75</v>
      </c>
      <c r="AD991" s="255">
        <f t="shared" si="457"/>
        <v>0.75</v>
      </c>
      <c r="AE991" s="255">
        <f t="shared" si="419"/>
        <v>0.75</v>
      </c>
      <c r="AF991" s="76"/>
      <c r="AG991" s="97"/>
      <c r="AH991" s="76"/>
      <c r="AI991" s="97">
        <v>1</v>
      </c>
      <c r="AJ991" s="97">
        <v>1</v>
      </c>
      <c r="AK991" s="73"/>
      <c r="AL991" s="57"/>
      <c r="AM991" s="45"/>
      <c r="AN991" s="45"/>
      <c r="AO991" s="45"/>
    </row>
    <row r="992" spans="1:41" hidden="1" outlineLevel="2" x14ac:dyDescent="0.25">
      <c r="A992" s="45"/>
      <c r="B992" s="54"/>
      <c r="C992" s="47">
        <f t="shared" si="376"/>
        <v>3</v>
      </c>
      <c r="D992" s="73"/>
      <c r="E992" s="70"/>
      <c r="F992" s="70" t="s">
        <v>3748</v>
      </c>
      <c r="G992" s="73"/>
      <c r="H992" s="76" t="s">
        <v>2504</v>
      </c>
      <c r="I992" s="96" t="s">
        <v>497</v>
      </c>
      <c r="J992" s="96"/>
      <c r="K992" s="76"/>
      <c r="L992" s="76"/>
      <c r="M992" s="76"/>
      <c r="N992" s="76"/>
      <c r="O992" s="76"/>
      <c r="P992" s="76"/>
      <c r="Q992" s="76"/>
      <c r="R992" s="76"/>
      <c r="S992" s="76"/>
      <c r="T992" s="76"/>
      <c r="U992" s="253">
        <f>U991</f>
        <v>0.75</v>
      </c>
      <c r="V992" s="253">
        <f t="shared" ref="V992:AE992" si="459">V991</f>
        <v>0.75</v>
      </c>
      <c r="W992" s="253">
        <f t="shared" si="459"/>
        <v>0.75</v>
      </c>
      <c r="X992" s="253">
        <f t="shared" si="459"/>
        <v>0.75</v>
      </c>
      <c r="Y992" s="253">
        <f t="shared" si="459"/>
        <v>0.75</v>
      </c>
      <c r="Z992" s="253">
        <f t="shared" si="459"/>
        <v>0.75</v>
      </c>
      <c r="AA992" s="253">
        <f t="shared" si="459"/>
        <v>0.75</v>
      </c>
      <c r="AB992" s="253">
        <f t="shared" si="459"/>
        <v>0.75</v>
      </c>
      <c r="AC992" s="253">
        <f t="shared" si="459"/>
        <v>0.75</v>
      </c>
      <c r="AD992" s="253">
        <f t="shared" si="459"/>
        <v>0.75</v>
      </c>
      <c r="AE992" s="253">
        <f t="shared" si="459"/>
        <v>0.75</v>
      </c>
      <c r="AF992" s="76"/>
      <c r="AG992" s="264" t="s">
        <v>3352</v>
      </c>
      <c r="AH992" s="76"/>
      <c r="AI992" s="76">
        <v>1</v>
      </c>
      <c r="AJ992" s="76">
        <v>1</v>
      </c>
      <c r="AK992" s="73"/>
      <c r="AL992" s="57"/>
      <c r="AM992" s="45"/>
      <c r="AN992" s="45"/>
      <c r="AO992" s="45"/>
    </row>
    <row r="993" spans="1:41" outlineLevel="1" collapsed="1" x14ac:dyDescent="0.25">
      <c r="A993" s="45"/>
      <c r="B993" s="54"/>
      <c r="C993" s="47">
        <f>INT($C$29)+1</f>
        <v>2</v>
      </c>
      <c r="D993" s="73"/>
      <c r="E993" s="70"/>
      <c r="F993" s="265" t="s">
        <v>1603</v>
      </c>
      <c r="G993" s="73"/>
      <c r="H993" s="246" t="s">
        <v>1604</v>
      </c>
      <c r="I993" s="129"/>
      <c r="J993" s="129" t="s">
        <v>1038</v>
      </c>
      <c r="K993" s="79">
        <v>41</v>
      </c>
      <c r="L993" s="79">
        <v>4</v>
      </c>
      <c r="M993" s="79">
        <v>-12</v>
      </c>
      <c r="N993" s="76"/>
      <c r="O993" s="76"/>
      <c r="P993" s="76"/>
      <c r="Q993" s="76"/>
      <c r="R993" s="76"/>
      <c r="S993" s="76"/>
      <c r="T993" s="76"/>
      <c r="U993" s="76"/>
      <c r="V993" s="76"/>
      <c r="W993" s="76"/>
      <c r="X993" s="76"/>
      <c r="Y993" s="76"/>
      <c r="Z993" s="76"/>
      <c r="AA993" s="76"/>
      <c r="AB993" s="76"/>
      <c r="AC993" s="76"/>
      <c r="AD993" s="76"/>
      <c r="AE993" s="76"/>
      <c r="AF993" s="76"/>
      <c r="AG993" s="76"/>
      <c r="AH993" s="76"/>
      <c r="AI993" s="76"/>
      <c r="AJ993" s="76"/>
      <c r="AK993" s="73"/>
      <c r="AL993" s="57"/>
      <c r="AM993" s="45"/>
      <c r="AN993" s="45"/>
      <c r="AO993" s="45"/>
    </row>
    <row r="994" spans="1:41" hidden="1" outlineLevel="2" x14ac:dyDescent="0.25">
      <c r="A994" s="45"/>
      <c r="B994" s="54"/>
      <c r="C994" s="47">
        <f>INT($C$29)+2</f>
        <v>3</v>
      </c>
      <c r="D994" s="73"/>
      <c r="E994" s="70" t="s">
        <v>785</v>
      </c>
      <c r="F994" s="70" t="s">
        <v>1605</v>
      </c>
      <c r="G994" s="73"/>
      <c r="H994" s="76" t="s">
        <v>1606</v>
      </c>
      <c r="I994" s="96" t="s">
        <v>660</v>
      </c>
      <c r="J994" s="96"/>
      <c r="K994" s="76"/>
      <c r="L994" s="76"/>
      <c r="M994" s="76"/>
      <c r="N994" s="76"/>
      <c r="O994" s="76"/>
      <c r="P994" s="76"/>
      <c r="Q994" s="76"/>
      <c r="R994" s="76" t="s">
        <v>667</v>
      </c>
      <c r="S994" s="76" t="s">
        <v>789</v>
      </c>
      <c r="T994" s="76"/>
      <c r="U994" s="76">
        <v>0</v>
      </c>
      <c r="V994" s="76">
        <v>0</v>
      </c>
      <c r="W994" s="76">
        <v>0</v>
      </c>
      <c r="X994" s="76">
        <v>0</v>
      </c>
      <c r="Y994" s="76">
        <v>0</v>
      </c>
      <c r="Z994" s="76">
        <v>0</v>
      </c>
      <c r="AA994" s="76">
        <v>0</v>
      </c>
      <c r="AB994" s="76">
        <v>0</v>
      </c>
      <c r="AC994" s="76">
        <v>0</v>
      </c>
      <c r="AD994" s="76">
        <v>0</v>
      </c>
      <c r="AE994" s="76">
        <v>0</v>
      </c>
      <c r="AF994" s="76"/>
      <c r="AG994" s="264" t="s">
        <v>1607</v>
      </c>
      <c r="AH994" s="76"/>
      <c r="AI994" s="76">
        <v>1</v>
      </c>
      <c r="AJ994" s="76">
        <v>1</v>
      </c>
      <c r="AK994" s="73"/>
      <c r="AL994" s="57"/>
      <c r="AM994" s="45"/>
      <c r="AN994" s="45"/>
      <c r="AO994" s="45"/>
    </row>
    <row r="995" spans="1:41" hidden="1" outlineLevel="2" x14ac:dyDescent="0.25">
      <c r="A995" s="45"/>
      <c r="B995" s="54"/>
      <c r="C995" s="47">
        <f>INT($C$29)+2</f>
        <v>3</v>
      </c>
      <c r="D995" s="73"/>
      <c r="E995" s="70"/>
      <c r="F995" s="70" t="s">
        <v>1608</v>
      </c>
      <c r="G995" s="73"/>
      <c r="H995" s="76" t="s">
        <v>1609</v>
      </c>
      <c r="I995" s="96" t="s">
        <v>660</v>
      </c>
      <c r="J995" s="96"/>
      <c r="K995" s="97">
        <v>0.38900000000000001</v>
      </c>
      <c r="L995" s="97">
        <v>0.48599999999999999</v>
      </c>
      <c r="M995" s="97">
        <v>0.375</v>
      </c>
      <c r="N995" s="97">
        <v>0.375</v>
      </c>
      <c r="O995" s="97">
        <v>0.375</v>
      </c>
      <c r="P995" s="97">
        <v>0.5</v>
      </c>
      <c r="Q995" s="76"/>
      <c r="R995" s="76" t="s">
        <v>667</v>
      </c>
      <c r="S995" s="76" t="s">
        <v>789</v>
      </c>
      <c r="T995" s="76"/>
      <c r="U995" s="253">
        <f t="shared" ref="U995:AE997" si="460">INDEX($K995:$Q995,1,U$43)</f>
        <v>0.38900000000000001</v>
      </c>
      <c r="V995" s="253">
        <f t="shared" si="460"/>
        <v>0.38900000000000001</v>
      </c>
      <c r="W995" s="253">
        <f t="shared" si="460"/>
        <v>0.38900000000000001</v>
      </c>
      <c r="X995" s="253">
        <f t="shared" si="460"/>
        <v>0.38900000000000001</v>
      </c>
      <c r="Y995" s="253">
        <f t="shared" si="460"/>
        <v>0.38900000000000001</v>
      </c>
      <c r="Z995" s="253">
        <f t="shared" si="460"/>
        <v>0.38900000000000001</v>
      </c>
      <c r="AA995" s="253">
        <f t="shared" si="460"/>
        <v>0.38900000000000001</v>
      </c>
      <c r="AB995" s="253">
        <f t="shared" si="460"/>
        <v>0.48599999999999999</v>
      </c>
      <c r="AC995" s="253">
        <f t="shared" si="460"/>
        <v>0.48599999999999999</v>
      </c>
      <c r="AD995" s="253">
        <f t="shared" si="460"/>
        <v>0.48599999999999999</v>
      </c>
      <c r="AE995" s="253">
        <f t="shared" si="460"/>
        <v>0.48599999999999999</v>
      </c>
      <c r="AF995" s="76"/>
      <c r="AG995" s="76"/>
      <c r="AH995" s="76"/>
      <c r="AI995" s="97">
        <v>1</v>
      </c>
      <c r="AJ995" s="97">
        <v>1</v>
      </c>
      <c r="AK995" s="73"/>
      <c r="AL995" s="57"/>
      <c r="AM995" s="45"/>
      <c r="AN995" s="45"/>
      <c r="AO995" s="45"/>
    </row>
    <row r="996" spans="1:41" hidden="1" outlineLevel="2" x14ac:dyDescent="0.25">
      <c r="A996" s="45"/>
      <c r="B996" s="54"/>
      <c r="C996" s="47">
        <f>INT($C$29)+2</f>
        <v>3</v>
      </c>
      <c r="D996" s="73"/>
      <c r="E996" s="70"/>
      <c r="F996" s="70" t="s">
        <v>1605</v>
      </c>
      <c r="G996" s="73"/>
      <c r="H996" s="76" t="s">
        <v>1610</v>
      </c>
      <c r="I996" s="96" t="s">
        <v>660</v>
      </c>
      <c r="J996" s="96"/>
      <c r="K996" s="97">
        <v>0.622</v>
      </c>
      <c r="L996" s="97">
        <v>0.77800000000000002</v>
      </c>
      <c r="M996" s="76"/>
      <c r="N996" s="76"/>
      <c r="O996" s="76"/>
      <c r="P996" s="76"/>
      <c r="Q996" s="76"/>
      <c r="R996" s="76" t="s">
        <v>667</v>
      </c>
      <c r="S996" s="76" t="s">
        <v>789</v>
      </c>
      <c r="T996" s="76"/>
      <c r="U996" s="253">
        <f t="shared" si="460"/>
        <v>0.622</v>
      </c>
      <c r="V996" s="253">
        <f t="shared" si="460"/>
        <v>0.622</v>
      </c>
      <c r="W996" s="253">
        <f t="shared" si="460"/>
        <v>0.622</v>
      </c>
      <c r="X996" s="253">
        <f t="shared" si="460"/>
        <v>0.622</v>
      </c>
      <c r="Y996" s="253">
        <f t="shared" si="460"/>
        <v>0.622</v>
      </c>
      <c r="Z996" s="253">
        <f t="shared" si="460"/>
        <v>0.622</v>
      </c>
      <c r="AA996" s="253">
        <f t="shared" si="460"/>
        <v>0.622</v>
      </c>
      <c r="AB996" s="253">
        <f t="shared" si="460"/>
        <v>0.77800000000000002</v>
      </c>
      <c r="AC996" s="253">
        <f t="shared" si="460"/>
        <v>0.77800000000000002</v>
      </c>
      <c r="AD996" s="253">
        <f t="shared" si="460"/>
        <v>0.77800000000000002</v>
      </c>
      <c r="AE996" s="253">
        <f t="shared" si="460"/>
        <v>0.77800000000000002</v>
      </c>
      <c r="AF996" s="76"/>
      <c r="AG996" s="76"/>
      <c r="AH996" s="76"/>
      <c r="AI996" s="97">
        <v>1</v>
      </c>
      <c r="AJ996" s="97">
        <v>1</v>
      </c>
      <c r="AK996" s="73"/>
      <c r="AL996" s="57"/>
      <c r="AM996" s="45"/>
      <c r="AN996" s="45"/>
      <c r="AO996" s="45"/>
    </row>
    <row r="997" spans="1:41" hidden="1" outlineLevel="2" collapsed="1" x14ac:dyDescent="0.25">
      <c r="A997" s="45"/>
      <c r="B997" s="54"/>
      <c r="C997" s="47">
        <f>INT($C$29)+2</f>
        <v>3</v>
      </c>
      <c r="D997" s="73"/>
      <c r="E997" s="70"/>
      <c r="F997" s="70" t="s">
        <v>1611</v>
      </c>
      <c r="G997" s="73"/>
      <c r="H997" s="76" t="s">
        <v>1612</v>
      </c>
      <c r="I997" s="96" t="s">
        <v>660</v>
      </c>
      <c r="J997" s="96"/>
      <c r="K997" s="97">
        <v>0.746</v>
      </c>
      <c r="L997" s="97">
        <v>0.93400000000000005</v>
      </c>
      <c r="M997" s="76"/>
      <c r="N997" s="76"/>
      <c r="O997" s="76"/>
      <c r="P997" s="76"/>
      <c r="Q997" s="76"/>
      <c r="R997" s="76" t="s">
        <v>667</v>
      </c>
      <c r="S997" s="76" t="s">
        <v>789</v>
      </c>
      <c r="T997" s="76"/>
      <c r="U997" s="253">
        <f t="shared" si="460"/>
        <v>0.746</v>
      </c>
      <c r="V997" s="253">
        <f t="shared" si="460"/>
        <v>0.746</v>
      </c>
      <c r="W997" s="253">
        <f t="shared" si="460"/>
        <v>0.746</v>
      </c>
      <c r="X997" s="253">
        <f t="shared" si="460"/>
        <v>0.746</v>
      </c>
      <c r="Y997" s="253">
        <f t="shared" si="460"/>
        <v>0.746</v>
      </c>
      <c r="Z997" s="253">
        <f t="shared" si="460"/>
        <v>0.746</v>
      </c>
      <c r="AA997" s="253">
        <f t="shared" si="460"/>
        <v>0.746</v>
      </c>
      <c r="AB997" s="253">
        <f t="shared" si="460"/>
        <v>0.93400000000000005</v>
      </c>
      <c r="AC997" s="253">
        <f t="shared" si="460"/>
        <v>0.93400000000000005</v>
      </c>
      <c r="AD997" s="253">
        <f t="shared" si="460"/>
        <v>0.93400000000000005</v>
      </c>
      <c r="AE997" s="253">
        <f t="shared" si="460"/>
        <v>0.93400000000000005</v>
      </c>
      <c r="AF997" s="76"/>
      <c r="AG997" s="76"/>
      <c r="AH997" s="76"/>
      <c r="AI997" s="97">
        <v>1</v>
      </c>
      <c r="AJ997" s="97">
        <v>1</v>
      </c>
      <c r="AK997" s="73"/>
      <c r="AL997" s="57"/>
      <c r="AM997" s="45"/>
      <c r="AN997" s="45"/>
      <c r="AO997" s="45"/>
    </row>
    <row r="998" spans="1:41" hidden="1" outlineLevel="3" x14ac:dyDescent="0.25">
      <c r="A998" s="45"/>
      <c r="B998" s="54"/>
      <c r="C998" s="47">
        <f t="shared" ref="C998:C1029" si="461">INT($C$29)+3</f>
        <v>4</v>
      </c>
      <c r="D998" s="73"/>
      <c r="E998" s="70"/>
      <c r="F998" s="70" t="s">
        <v>1613</v>
      </c>
      <c r="G998" s="73"/>
      <c r="H998" s="76" t="s">
        <v>1466</v>
      </c>
      <c r="I998" s="96" t="s">
        <v>497</v>
      </c>
      <c r="J998" s="96"/>
      <c r="K998" s="76"/>
      <c r="L998" s="76"/>
      <c r="M998" s="76"/>
      <c r="N998" s="76"/>
      <c r="O998" s="76"/>
      <c r="P998" s="76"/>
      <c r="Q998" s="76"/>
      <c r="R998" s="76"/>
      <c r="S998" s="76"/>
      <c r="T998" s="76"/>
      <c r="U998" s="76"/>
      <c r="V998" s="76"/>
      <c r="W998" s="76"/>
      <c r="X998" s="76"/>
      <c r="Y998" s="76"/>
      <c r="Z998" s="76"/>
      <c r="AA998" s="76"/>
      <c r="AB998" s="76"/>
      <c r="AC998" s="76"/>
      <c r="AD998" s="76"/>
      <c r="AE998" s="76"/>
      <c r="AF998" s="76"/>
      <c r="AG998" s="76"/>
      <c r="AH998" s="76"/>
      <c r="AI998" s="76">
        <v>1</v>
      </c>
      <c r="AJ998" s="76">
        <v>1</v>
      </c>
      <c r="AK998" s="73"/>
      <c r="AL998" s="57"/>
      <c r="AM998" s="45"/>
      <c r="AN998" s="45"/>
      <c r="AO998" s="45"/>
    </row>
    <row r="999" spans="1:41" hidden="1" outlineLevel="3" x14ac:dyDescent="0.25">
      <c r="A999" s="45"/>
      <c r="B999" s="54"/>
      <c r="C999" s="47">
        <f t="shared" si="461"/>
        <v>4</v>
      </c>
      <c r="D999" s="73"/>
      <c r="E999" s="70"/>
      <c r="F999" s="70" t="s">
        <v>1614</v>
      </c>
      <c r="G999" s="73"/>
      <c r="H999" s="76" t="s">
        <v>1468</v>
      </c>
      <c r="I999" s="96" t="s">
        <v>497</v>
      </c>
      <c r="J999" s="96"/>
      <c r="K999" s="76"/>
      <c r="L999" s="76"/>
      <c r="M999" s="76"/>
      <c r="N999" s="76"/>
      <c r="O999" s="76"/>
      <c r="P999" s="76"/>
      <c r="Q999" s="76"/>
      <c r="R999" s="76"/>
      <c r="S999" s="76"/>
      <c r="T999" s="76"/>
      <c r="U999" s="76"/>
      <c r="V999" s="76"/>
      <c r="W999" s="76"/>
      <c r="X999" s="76"/>
      <c r="Y999" s="76"/>
      <c r="Z999" s="76"/>
      <c r="AA999" s="76"/>
      <c r="AB999" s="76"/>
      <c r="AC999" s="76"/>
      <c r="AD999" s="76"/>
      <c r="AE999" s="76"/>
      <c r="AF999" s="76"/>
      <c r="AG999" s="76"/>
      <c r="AH999" s="76"/>
      <c r="AI999" s="76">
        <v>1</v>
      </c>
      <c r="AJ999" s="76">
        <v>1</v>
      </c>
      <c r="AK999" s="73"/>
      <c r="AL999" s="57"/>
      <c r="AM999" s="45"/>
      <c r="AN999" s="45"/>
      <c r="AO999" s="45"/>
    </row>
    <row r="1000" spans="1:41" hidden="1" outlineLevel="3" x14ac:dyDescent="0.25">
      <c r="A1000" s="45"/>
      <c r="B1000" s="54"/>
      <c r="C1000" s="47">
        <f t="shared" si="461"/>
        <v>4</v>
      </c>
      <c r="D1000" s="73"/>
      <c r="E1000" s="70"/>
      <c r="F1000" s="70" t="s">
        <v>1615</v>
      </c>
      <c r="G1000" s="73"/>
      <c r="H1000" s="76" t="s">
        <v>1470</v>
      </c>
      <c r="I1000" s="96" t="s">
        <v>497</v>
      </c>
      <c r="J1000" s="96"/>
      <c r="K1000" s="76"/>
      <c r="L1000" s="76"/>
      <c r="M1000" s="76"/>
      <c r="N1000" s="76"/>
      <c r="O1000" s="76"/>
      <c r="P1000" s="76"/>
      <c r="Q1000" s="76"/>
      <c r="R1000" s="76"/>
      <c r="S1000" s="76"/>
      <c r="T1000" s="76"/>
      <c r="U1000" s="76"/>
      <c r="V1000" s="76"/>
      <c r="W1000" s="76"/>
      <c r="X1000" s="76"/>
      <c r="Y1000" s="76"/>
      <c r="Z1000" s="76"/>
      <c r="AA1000" s="76"/>
      <c r="AB1000" s="76"/>
      <c r="AC1000" s="76"/>
      <c r="AD1000" s="76"/>
      <c r="AE1000" s="76"/>
      <c r="AF1000" s="76"/>
      <c r="AG1000" s="76"/>
      <c r="AH1000" s="76"/>
      <c r="AI1000" s="76">
        <v>1</v>
      </c>
      <c r="AJ1000" s="76">
        <v>1</v>
      </c>
      <c r="AK1000" s="73"/>
      <c r="AL1000" s="57"/>
      <c r="AM1000" s="45"/>
      <c r="AN1000" s="45"/>
      <c r="AO1000" s="45"/>
    </row>
    <row r="1001" spans="1:41" hidden="1" outlineLevel="3" x14ac:dyDescent="0.25">
      <c r="A1001" s="45"/>
      <c r="B1001" s="54"/>
      <c r="C1001" s="47">
        <f t="shared" si="461"/>
        <v>4</v>
      </c>
      <c r="D1001" s="73"/>
      <c r="E1001" s="70"/>
      <c r="F1001" s="70" t="s">
        <v>1616</v>
      </c>
      <c r="G1001" s="73"/>
      <c r="H1001" s="76" t="s">
        <v>1472</v>
      </c>
      <c r="I1001" s="96" t="s">
        <v>497</v>
      </c>
      <c r="J1001" s="96"/>
      <c r="K1001" s="76"/>
      <c r="L1001" s="76"/>
      <c r="M1001" s="76"/>
      <c r="N1001" s="76"/>
      <c r="O1001" s="76"/>
      <c r="P1001" s="76"/>
      <c r="Q1001" s="76"/>
      <c r="R1001" s="76"/>
      <c r="S1001" s="76"/>
      <c r="T1001" s="76"/>
      <c r="U1001" s="76"/>
      <c r="V1001" s="76"/>
      <c r="W1001" s="76"/>
      <c r="X1001" s="76"/>
      <c r="Y1001" s="76"/>
      <c r="Z1001" s="76"/>
      <c r="AA1001" s="76"/>
      <c r="AB1001" s="76"/>
      <c r="AC1001" s="76"/>
      <c r="AD1001" s="76"/>
      <c r="AE1001" s="76"/>
      <c r="AF1001" s="76"/>
      <c r="AG1001" s="76"/>
      <c r="AH1001" s="76"/>
      <c r="AI1001" s="76">
        <v>1</v>
      </c>
      <c r="AJ1001" s="76">
        <v>1</v>
      </c>
      <c r="AK1001" s="73"/>
      <c r="AL1001" s="57"/>
      <c r="AM1001" s="45"/>
      <c r="AN1001" s="45"/>
      <c r="AO1001" s="45"/>
    </row>
    <row r="1002" spans="1:41" hidden="1" outlineLevel="3" x14ac:dyDescent="0.25">
      <c r="A1002" s="45"/>
      <c r="B1002" s="54"/>
      <c r="C1002" s="47">
        <f t="shared" si="461"/>
        <v>4</v>
      </c>
      <c r="D1002" s="73"/>
      <c r="E1002" s="70"/>
      <c r="F1002" s="70" t="s">
        <v>1617</v>
      </c>
      <c r="G1002" s="73"/>
      <c r="H1002" s="76" t="s">
        <v>1466</v>
      </c>
      <c r="I1002" s="96" t="s">
        <v>497</v>
      </c>
      <c r="J1002" s="96"/>
      <c r="K1002" s="76"/>
      <c r="L1002" s="76"/>
      <c r="M1002" s="76"/>
      <c r="N1002" s="76"/>
      <c r="O1002" s="76"/>
      <c r="P1002" s="76"/>
      <c r="Q1002" s="76"/>
      <c r="R1002" s="76"/>
      <c r="S1002" s="76"/>
      <c r="T1002" s="76"/>
      <c r="U1002" s="76"/>
      <c r="V1002" s="76"/>
      <c r="W1002" s="76"/>
      <c r="X1002" s="76"/>
      <c r="Y1002" s="76"/>
      <c r="Z1002" s="76"/>
      <c r="AA1002" s="76"/>
      <c r="AB1002" s="76"/>
      <c r="AC1002" s="76"/>
      <c r="AD1002" s="76"/>
      <c r="AE1002" s="76"/>
      <c r="AF1002" s="76"/>
      <c r="AG1002" s="76"/>
      <c r="AH1002" s="76"/>
      <c r="AI1002" s="76">
        <v>1</v>
      </c>
      <c r="AJ1002" s="76">
        <v>1</v>
      </c>
      <c r="AK1002" s="73"/>
      <c r="AL1002" s="57"/>
      <c r="AM1002" s="45"/>
      <c r="AN1002" s="45"/>
      <c r="AO1002" s="45"/>
    </row>
    <row r="1003" spans="1:41" hidden="1" outlineLevel="3" x14ac:dyDescent="0.25">
      <c r="A1003" s="45"/>
      <c r="B1003" s="54"/>
      <c r="C1003" s="47">
        <f t="shared" si="461"/>
        <v>4</v>
      </c>
      <c r="D1003" s="73"/>
      <c r="E1003" s="70"/>
      <c r="F1003" s="70" t="s">
        <v>1618</v>
      </c>
      <c r="G1003" s="73"/>
      <c r="H1003" s="76" t="s">
        <v>1468</v>
      </c>
      <c r="I1003" s="96" t="s">
        <v>497</v>
      </c>
      <c r="J1003" s="96"/>
      <c r="K1003" s="76"/>
      <c r="L1003" s="76"/>
      <c r="M1003" s="76"/>
      <c r="N1003" s="76"/>
      <c r="O1003" s="76"/>
      <c r="P1003" s="76"/>
      <c r="Q1003" s="76"/>
      <c r="R1003" s="76"/>
      <c r="S1003" s="76"/>
      <c r="T1003" s="76"/>
      <c r="U1003" s="76"/>
      <c r="V1003" s="76"/>
      <c r="W1003" s="76"/>
      <c r="X1003" s="76"/>
      <c r="Y1003" s="76"/>
      <c r="Z1003" s="76"/>
      <c r="AA1003" s="76"/>
      <c r="AB1003" s="76"/>
      <c r="AC1003" s="76"/>
      <c r="AD1003" s="76"/>
      <c r="AE1003" s="76"/>
      <c r="AF1003" s="76"/>
      <c r="AG1003" s="76"/>
      <c r="AH1003" s="76"/>
      <c r="AI1003" s="76">
        <v>1</v>
      </c>
      <c r="AJ1003" s="76">
        <v>1</v>
      </c>
      <c r="AK1003" s="73"/>
      <c r="AL1003" s="57"/>
      <c r="AM1003" s="45"/>
      <c r="AN1003" s="45"/>
      <c r="AO1003" s="45"/>
    </row>
    <row r="1004" spans="1:41" hidden="1" outlineLevel="3" x14ac:dyDescent="0.25">
      <c r="A1004" s="45"/>
      <c r="B1004" s="54"/>
      <c r="C1004" s="47">
        <f t="shared" si="461"/>
        <v>4</v>
      </c>
      <c r="D1004" s="73"/>
      <c r="E1004" s="70"/>
      <c r="F1004" s="70" t="s">
        <v>1619</v>
      </c>
      <c r="G1004" s="73"/>
      <c r="H1004" s="76" t="s">
        <v>1470</v>
      </c>
      <c r="I1004" s="96" t="s">
        <v>497</v>
      </c>
      <c r="J1004" s="96"/>
      <c r="K1004" s="76"/>
      <c r="L1004" s="76"/>
      <c r="M1004" s="76"/>
      <c r="N1004" s="76"/>
      <c r="O1004" s="76"/>
      <c r="P1004" s="76"/>
      <c r="Q1004" s="76"/>
      <c r="R1004" s="76"/>
      <c r="S1004" s="76"/>
      <c r="T1004" s="76"/>
      <c r="U1004" s="76"/>
      <c r="V1004" s="76"/>
      <c r="W1004" s="76"/>
      <c r="X1004" s="76"/>
      <c r="Y1004" s="76"/>
      <c r="Z1004" s="76"/>
      <c r="AA1004" s="76"/>
      <c r="AB1004" s="76"/>
      <c r="AC1004" s="76"/>
      <c r="AD1004" s="76"/>
      <c r="AE1004" s="76"/>
      <c r="AF1004" s="76"/>
      <c r="AG1004" s="76"/>
      <c r="AH1004" s="76"/>
      <c r="AI1004" s="76">
        <v>1</v>
      </c>
      <c r="AJ1004" s="76">
        <v>1</v>
      </c>
      <c r="AK1004" s="73"/>
      <c r="AL1004" s="57"/>
      <c r="AM1004" s="45"/>
      <c r="AN1004" s="45"/>
      <c r="AO1004" s="45"/>
    </row>
    <row r="1005" spans="1:41" hidden="1" outlineLevel="3" x14ac:dyDescent="0.25">
      <c r="A1005" s="45"/>
      <c r="B1005" s="54"/>
      <c r="C1005" s="47">
        <f t="shared" si="461"/>
        <v>4</v>
      </c>
      <c r="D1005" s="73"/>
      <c r="E1005" s="70"/>
      <c r="F1005" s="70" t="s">
        <v>1620</v>
      </c>
      <c r="G1005" s="73"/>
      <c r="H1005" s="76" t="s">
        <v>1472</v>
      </c>
      <c r="I1005" s="96" t="s">
        <v>497</v>
      </c>
      <c r="J1005" s="96"/>
      <c r="K1005" s="76"/>
      <c r="L1005" s="76"/>
      <c r="M1005" s="76"/>
      <c r="N1005" s="76"/>
      <c r="O1005" s="76"/>
      <c r="P1005" s="76"/>
      <c r="Q1005" s="76"/>
      <c r="R1005" s="76"/>
      <c r="S1005" s="76"/>
      <c r="T1005" s="76"/>
      <c r="U1005" s="76"/>
      <c r="V1005" s="76"/>
      <c r="W1005" s="76"/>
      <c r="X1005" s="76"/>
      <c r="Y1005" s="76"/>
      <c r="Z1005" s="76"/>
      <c r="AA1005" s="76"/>
      <c r="AB1005" s="76"/>
      <c r="AC1005" s="76"/>
      <c r="AD1005" s="76"/>
      <c r="AE1005" s="76"/>
      <c r="AF1005" s="76"/>
      <c r="AG1005" s="76"/>
      <c r="AH1005" s="76"/>
      <c r="AI1005" s="76">
        <v>1</v>
      </c>
      <c r="AJ1005" s="76">
        <v>1</v>
      </c>
      <c r="AK1005" s="73"/>
      <c r="AL1005" s="57"/>
      <c r="AM1005" s="45"/>
      <c r="AN1005" s="45"/>
      <c r="AO1005" s="45"/>
    </row>
    <row r="1006" spans="1:41" hidden="1" outlineLevel="3" x14ac:dyDescent="0.25">
      <c r="A1006" s="45"/>
      <c r="B1006" s="54"/>
      <c r="C1006" s="47">
        <f t="shared" si="461"/>
        <v>4</v>
      </c>
      <c r="D1006" s="73"/>
      <c r="E1006" s="70"/>
      <c r="F1006" s="70" t="s">
        <v>1621</v>
      </c>
      <c r="G1006" s="73"/>
      <c r="H1006" s="76" t="s">
        <v>1466</v>
      </c>
      <c r="I1006" s="96" t="s">
        <v>497</v>
      </c>
      <c r="J1006" s="96"/>
      <c r="K1006" s="76"/>
      <c r="L1006" s="76"/>
      <c r="M1006" s="76"/>
      <c r="N1006" s="76"/>
      <c r="O1006" s="76"/>
      <c r="P1006" s="76"/>
      <c r="Q1006" s="76"/>
      <c r="R1006" s="76"/>
      <c r="S1006" s="76"/>
      <c r="T1006" s="76"/>
      <c r="U1006" s="76"/>
      <c r="V1006" s="76"/>
      <c r="W1006" s="76"/>
      <c r="X1006" s="76"/>
      <c r="Y1006" s="76"/>
      <c r="Z1006" s="76"/>
      <c r="AA1006" s="76"/>
      <c r="AB1006" s="76"/>
      <c r="AC1006" s="76"/>
      <c r="AD1006" s="76"/>
      <c r="AE1006" s="76"/>
      <c r="AF1006" s="76"/>
      <c r="AG1006" s="76"/>
      <c r="AH1006" s="76"/>
      <c r="AI1006" s="76">
        <v>1</v>
      </c>
      <c r="AJ1006" s="76">
        <v>1</v>
      </c>
      <c r="AK1006" s="73"/>
      <c r="AL1006" s="57"/>
      <c r="AM1006" s="45"/>
      <c r="AN1006" s="45"/>
      <c r="AO1006" s="45"/>
    </row>
    <row r="1007" spans="1:41" hidden="1" outlineLevel="3" x14ac:dyDescent="0.25">
      <c r="A1007" s="45"/>
      <c r="B1007" s="54"/>
      <c r="C1007" s="47">
        <f t="shared" si="461"/>
        <v>4</v>
      </c>
      <c r="D1007" s="73"/>
      <c r="E1007" s="70"/>
      <c r="F1007" s="70" t="s">
        <v>1622</v>
      </c>
      <c r="G1007" s="73"/>
      <c r="H1007" s="76" t="s">
        <v>1468</v>
      </c>
      <c r="I1007" s="96" t="s">
        <v>497</v>
      </c>
      <c r="J1007" s="96"/>
      <c r="K1007" s="76"/>
      <c r="L1007" s="76"/>
      <c r="M1007" s="76"/>
      <c r="N1007" s="76"/>
      <c r="O1007" s="76"/>
      <c r="P1007" s="76"/>
      <c r="Q1007" s="76"/>
      <c r="R1007" s="76"/>
      <c r="S1007" s="76"/>
      <c r="T1007" s="76"/>
      <c r="U1007" s="76"/>
      <c r="V1007" s="76"/>
      <c r="W1007" s="76"/>
      <c r="X1007" s="76"/>
      <c r="Y1007" s="76"/>
      <c r="Z1007" s="76"/>
      <c r="AA1007" s="76"/>
      <c r="AB1007" s="76"/>
      <c r="AC1007" s="76"/>
      <c r="AD1007" s="76"/>
      <c r="AE1007" s="76"/>
      <c r="AF1007" s="76"/>
      <c r="AG1007" s="76"/>
      <c r="AH1007" s="76"/>
      <c r="AI1007" s="76">
        <v>1</v>
      </c>
      <c r="AJ1007" s="76">
        <v>1</v>
      </c>
      <c r="AK1007" s="73"/>
      <c r="AL1007" s="57"/>
      <c r="AM1007" s="45"/>
      <c r="AN1007" s="45"/>
      <c r="AO1007" s="45"/>
    </row>
    <row r="1008" spans="1:41" hidden="1" outlineLevel="3" x14ac:dyDescent="0.25">
      <c r="A1008" s="45"/>
      <c r="B1008" s="54"/>
      <c r="C1008" s="47">
        <f t="shared" si="461"/>
        <v>4</v>
      </c>
      <c r="D1008" s="73"/>
      <c r="E1008" s="70"/>
      <c r="F1008" s="70" t="s">
        <v>1623</v>
      </c>
      <c r="G1008" s="73"/>
      <c r="H1008" s="76" t="s">
        <v>1470</v>
      </c>
      <c r="I1008" s="96" t="s">
        <v>497</v>
      </c>
      <c r="J1008" s="96"/>
      <c r="K1008" s="76"/>
      <c r="L1008" s="76"/>
      <c r="M1008" s="76"/>
      <c r="N1008" s="76"/>
      <c r="O1008" s="76"/>
      <c r="P1008" s="76"/>
      <c r="Q1008" s="76"/>
      <c r="R1008" s="76"/>
      <c r="S1008" s="76"/>
      <c r="T1008" s="76"/>
      <c r="U1008" s="76"/>
      <c r="V1008" s="76"/>
      <c r="W1008" s="76"/>
      <c r="X1008" s="76"/>
      <c r="Y1008" s="76"/>
      <c r="Z1008" s="76"/>
      <c r="AA1008" s="76"/>
      <c r="AB1008" s="76"/>
      <c r="AC1008" s="76"/>
      <c r="AD1008" s="76"/>
      <c r="AE1008" s="76"/>
      <c r="AF1008" s="76"/>
      <c r="AG1008" s="76"/>
      <c r="AH1008" s="76"/>
      <c r="AI1008" s="76">
        <v>1</v>
      </c>
      <c r="AJ1008" s="76">
        <v>1</v>
      </c>
      <c r="AK1008" s="73"/>
      <c r="AL1008" s="57"/>
      <c r="AM1008" s="45"/>
      <c r="AN1008" s="45"/>
      <c r="AO1008" s="45"/>
    </row>
    <row r="1009" spans="1:41" hidden="1" outlineLevel="3" x14ac:dyDescent="0.25">
      <c r="A1009" s="45"/>
      <c r="B1009" s="54"/>
      <c r="C1009" s="47">
        <f t="shared" si="461"/>
        <v>4</v>
      </c>
      <c r="D1009" s="73"/>
      <c r="E1009" s="70"/>
      <c r="F1009" s="70" t="s">
        <v>1624</v>
      </c>
      <c r="G1009" s="73"/>
      <c r="H1009" s="76" t="s">
        <v>1472</v>
      </c>
      <c r="I1009" s="96" t="s">
        <v>497</v>
      </c>
      <c r="J1009" s="96"/>
      <c r="K1009" s="76"/>
      <c r="L1009" s="76"/>
      <c r="M1009" s="76"/>
      <c r="N1009" s="76"/>
      <c r="O1009" s="76"/>
      <c r="P1009" s="76"/>
      <c r="Q1009" s="76"/>
      <c r="R1009" s="76"/>
      <c r="S1009" s="76"/>
      <c r="T1009" s="76"/>
      <c r="U1009" s="76"/>
      <c r="V1009" s="76"/>
      <c r="W1009" s="76"/>
      <c r="X1009" s="76"/>
      <c r="Y1009" s="76"/>
      <c r="Z1009" s="76"/>
      <c r="AA1009" s="76"/>
      <c r="AB1009" s="76"/>
      <c r="AC1009" s="76"/>
      <c r="AD1009" s="76"/>
      <c r="AE1009" s="76"/>
      <c r="AF1009" s="76"/>
      <c r="AG1009" s="76"/>
      <c r="AH1009" s="76"/>
      <c r="AI1009" s="76">
        <v>1</v>
      </c>
      <c r="AJ1009" s="76">
        <v>1</v>
      </c>
      <c r="AK1009" s="73"/>
      <c r="AL1009" s="57"/>
      <c r="AM1009" s="45"/>
      <c r="AN1009" s="45"/>
      <c r="AO1009" s="45"/>
    </row>
    <row r="1010" spans="1:41" hidden="1" outlineLevel="3" x14ac:dyDescent="0.25">
      <c r="A1010" s="45"/>
      <c r="B1010" s="54"/>
      <c r="C1010" s="47">
        <f t="shared" si="461"/>
        <v>4</v>
      </c>
      <c r="D1010" s="73"/>
      <c r="E1010" s="70"/>
      <c r="F1010" s="70" t="s">
        <v>1625</v>
      </c>
      <c r="G1010" s="73"/>
      <c r="H1010" s="76" t="s">
        <v>1466</v>
      </c>
      <c r="I1010" s="96" t="s">
        <v>497</v>
      </c>
      <c r="J1010" s="96"/>
      <c r="K1010" s="76"/>
      <c r="L1010" s="76"/>
      <c r="M1010" s="76"/>
      <c r="N1010" s="76"/>
      <c r="O1010" s="76"/>
      <c r="P1010" s="76"/>
      <c r="Q1010" s="76"/>
      <c r="R1010" s="76"/>
      <c r="S1010" s="76"/>
      <c r="T1010" s="76"/>
      <c r="U1010" s="76"/>
      <c r="V1010" s="76"/>
      <c r="W1010" s="76"/>
      <c r="X1010" s="76"/>
      <c r="Y1010" s="76"/>
      <c r="Z1010" s="76"/>
      <c r="AA1010" s="76"/>
      <c r="AB1010" s="76"/>
      <c r="AC1010" s="76"/>
      <c r="AD1010" s="76"/>
      <c r="AE1010" s="76"/>
      <c r="AF1010" s="76"/>
      <c r="AG1010" s="76"/>
      <c r="AH1010" s="76"/>
      <c r="AI1010" s="76">
        <v>1</v>
      </c>
      <c r="AJ1010" s="76">
        <v>1</v>
      </c>
      <c r="AK1010" s="73"/>
      <c r="AL1010" s="57"/>
      <c r="AM1010" s="45"/>
      <c r="AN1010" s="45"/>
      <c r="AO1010" s="45"/>
    </row>
    <row r="1011" spans="1:41" hidden="1" outlineLevel="3" x14ac:dyDescent="0.25">
      <c r="A1011" s="45"/>
      <c r="B1011" s="54"/>
      <c r="C1011" s="47">
        <f t="shared" si="461"/>
        <v>4</v>
      </c>
      <c r="D1011" s="73"/>
      <c r="E1011" s="70"/>
      <c r="F1011" s="70" t="s">
        <v>1626</v>
      </c>
      <c r="G1011" s="73"/>
      <c r="H1011" s="76" t="s">
        <v>1468</v>
      </c>
      <c r="I1011" s="96" t="s">
        <v>497</v>
      </c>
      <c r="J1011" s="96"/>
      <c r="K1011" s="76"/>
      <c r="L1011" s="76"/>
      <c r="M1011" s="76"/>
      <c r="N1011" s="76"/>
      <c r="O1011" s="76"/>
      <c r="P1011" s="76"/>
      <c r="Q1011" s="76"/>
      <c r="R1011" s="76"/>
      <c r="S1011" s="76"/>
      <c r="T1011" s="76"/>
      <c r="U1011" s="76"/>
      <c r="V1011" s="76"/>
      <c r="W1011" s="76"/>
      <c r="X1011" s="76"/>
      <c r="Y1011" s="76"/>
      <c r="Z1011" s="76"/>
      <c r="AA1011" s="76"/>
      <c r="AB1011" s="76"/>
      <c r="AC1011" s="76"/>
      <c r="AD1011" s="76"/>
      <c r="AE1011" s="76"/>
      <c r="AF1011" s="76"/>
      <c r="AG1011" s="76"/>
      <c r="AH1011" s="76"/>
      <c r="AI1011" s="76">
        <v>1</v>
      </c>
      <c r="AJ1011" s="76">
        <v>1</v>
      </c>
      <c r="AK1011" s="73"/>
      <c r="AL1011" s="57"/>
      <c r="AM1011" s="45"/>
      <c r="AN1011" s="45"/>
      <c r="AO1011" s="45"/>
    </row>
    <row r="1012" spans="1:41" hidden="1" outlineLevel="3" x14ac:dyDescent="0.25">
      <c r="A1012" s="45"/>
      <c r="B1012" s="54"/>
      <c r="C1012" s="47">
        <f t="shared" si="461"/>
        <v>4</v>
      </c>
      <c r="D1012" s="73"/>
      <c r="E1012" s="70"/>
      <c r="F1012" s="70" t="s">
        <v>1627</v>
      </c>
      <c r="G1012" s="73"/>
      <c r="H1012" s="76" t="s">
        <v>1470</v>
      </c>
      <c r="I1012" s="96" t="s">
        <v>497</v>
      </c>
      <c r="J1012" s="96"/>
      <c r="K1012" s="76"/>
      <c r="L1012" s="76"/>
      <c r="M1012" s="76"/>
      <c r="N1012" s="76"/>
      <c r="O1012" s="76"/>
      <c r="P1012" s="76"/>
      <c r="Q1012" s="76"/>
      <c r="R1012" s="76"/>
      <c r="S1012" s="76"/>
      <c r="T1012" s="76"/>
      <c r="U1012" s="76"/>
      <c r="V1012" s="76"/>
      <c r="W1012" s="76"/>
      <c r="X1012" s="76"/>
      <c r="Y1012" s="76"/>
      <c r="Z1012" s="76"/>
      <c r="AA1012" s="76"/>
      <c r="AB1012" s="76"/>
      <c r="AC1012" s="76"/>
      <c r="AD1012" s="76"/>
      <c r="AE1012" s="76"/>
      <c r="AF1012" s="76"/>
      <c r="AG1012" s="76"/>
      <c r="AH1012" s="76"/>
      <c r="AI1012" s="76">
        <v>1</v>
      </c>
      <c r="AJ1012" s="76">
        <v>1</v>
      </c>
      <c r="AK1012" s="73"/>
      <c r="AL1012" s="57"/>
      <c r="AM1012" s="45"/>
      <c r="AN1012" s="45"/>
      <c r="AO1012" s="45"/>
    </row>
    <row r="1013" spans="1:41" hidden="1" outlineLevel="3" x14ac:dyDescent="0.25">
      <c r="A1013" s="45"/>
      <c r="B1013" s="54"/>
      <c r="C1013" s="47">
        <f t="shared" si="461"/>
        <v>4</v>
      </c>
      <c r="D1013" s="73"/>
      <c r="E1013" s="70"/>
      <c r="F1013" s="70" t="s">
        <v>1628</v>
      </c>
      <c r="G1013" s="73"/>
      <c r="H1013" s="76" t="s">
        <v>1472</v>
      </c>
      <c r="I1013" s="96" t="s">
        <v>497</v>
      </c>
      <c r="J1013" s="96"/>
      <c r="K1013" s="76"/>
      <c r="L1013" s="76"/>
      <c r="M1013" s="76"/>
      <c r="N1013" s="76"/>
      <c r="O1013" s="76"/>
      <c r="P1013" s="76"/>
      <c r="Q1013" s="76"/>
      <c r="R1013" s="76"/>
      <c r="S1013" s="76"/>
      <c r="T1013" s="76"/>
      <c r="U1013" s="76"/>
      <c r="V1013" s="76"/>
      <c r="W1013" s="76"/>
      <c r="X1013" s="76"/>
      <c r="Y1013" s="76"/>
      <c r="Z1013" s="76"/>
      <c r="AA1013" s="76"/>
      <c r="AB1013" s="76"/>
      <c r="AC1013" s="76"/>
      <c r="AD1013" s="76"/>
      <c r="AE1013" s="76"/>
      <c r="AF1013" s="76"/>
      <c r="AG1013" s="76"/>
      <c r="AH1013" s="76"/>
      <c r="AI1013" s="76">
        <v>1</v>
      </c>
      <c r="AJ1013" s="76">
        <v>1</v>
      </c>
      <c r="AK1013" s="73"/>
      <c r="AL1013" s="57"/>
      <c r="AM1013" s="45"/>
      <c r="AN1013" s="45"/>
      <c r="AO1013" s="45"/>
    </row>
    <row r="1014" spans="1:41" hidden="1" outlineLevel="3" x14ac:dyDescent="0.25">
      <c r="A1014" s="45"/>
      <c r="B1014" s="54"/>
      <c r="C1014" s="47">
        <f t="shared" si="461"/>
        <v>4</v>
      </c>
      <c r="D1014" s="73"/>
      <c r="E1014" s="70"/>
      <c r="F1014" s="70" t="s">
        <v>1629</v>
      </c>
      <c r="G1014" s="73"/>
      <c r="H1014" s="76" t="s">
        <v>1466</v>
      </c>
      <c r="I1014" s="96" t="s">
        <v>497</v>
      </c>
      <c r="J1014" s="96"/>
      <c r="K1014" s="76"/>
      <c r="L1014" s="76"/>
      <c r="M1014" s="76"/>
      <c r="N1014" s="76"/>
      <c r="O1014" s="76"/>
      <c r="P1014" s="76"/>
      <c r="Q1014" s="76"/>
      <c r="R1014" s="76"/>
      <c r="S1014" s="76"/>
      <c r="T1014" s="76"/>
      <c r="U1014" s="76"/>
      <c r="V1014" s="76"/>
      <c r="W1014" s="76"/>
      <c r="X1014" s="76"/>
      <c r="Y1014" s="76"/>
      <c r="Z1014" s="76"/>
      <c r="AA1014" s="76"/>
      <c r="AB1014" s="76"/>
      <c r="AC1014" s="76"/>
      <c r="AD1014" s="76"/>
      <c r="AE1014" s="76"/>
      <c r="AF1014" s="76"/>
      <c r="AG1014" s="76"/>
      <c r="AH1014" s="76"/>
      <c r="AI1014" s="76">
        <v>1</v>
      </c>
      <c r="AJ1014" s="76">
        <v>1</v>
      </c>
      <c r="AK1014" s="73"/>
      <c r="AL1014" s="57"/>
      <c r="AM1014" s="45"/>
      <c r="AN1014" s="45"/>
      <c r="AO1014" s="45"/>
    </row>
    <row r="1015" spans="1:41" hidden="1" outlineLevel="3" x14ac:dyDescent="0.25">
      <c r="A1015" s="45"/>
      <c r="B1015" s="54"/>
      <c r="C1015" s="47">
        <f t="shared" si="461"/>
        <v>4</v>
      </c>
      <c r="D1015" s="73"/>
      <c r="E1015" s="70"/>
      <c r="F1015" s="70" t="s">
        <v>1630</v>
      </c>
      <c r="G1015" s="73"/>
      <c r="H1015" s="76" t="s">
        <v>1468</v>
      </c>
      <c r="I1015" s="96" t="s">
        <v>497</v>
      </c>
      <c r="J1015" s="96"/>
      <c r="K1015" s="76"/>
      <c r="L1015" s="76"/>
      <c r="M1015" s="76"/>
      <c r="N1015" s="76"/>
      <c r="O1015" s="76"/>
      <c r="P1015" s="76"/>
      <c r="Q1015" s="76"/>
      <c r="R1015" s="76"/>
      <c r="S1015" s="76"/>
      <c r="T1015" s="76"/>
      <c r="U1015" s="76"/>
      <c r="V1015" s="76"/>
      <c r="W1015" s="76"/>
      <c r="X1015" s="76"/>
      <c r="Y1015" s="76"/>
      <c r="Z1015" s="76"/>
      <c r="AA1015" s="76"/>
      <c r="AB1015" s="76"/>
      <c r="AC1015" s="76"/>
      <c r="AD1015" s="76"/>
      <c r="AE1015" s="76"/>
      <c r="AF1015" s="76"/>
      <c r="AG1015" s="76"/>
      <c r="AH1015" s="76"/>
      <c r="AI1015" s="76">
        <v>1</v>
      </c>
      <c r="AJ1015" s="76">
        <v>1</v>
      </c>
      <c r="AK1015" s="73"/>
      <c r="AL1015" s="57"/>
      <c r="AM1015" s="45"/>
      <c r="AN1015" s="45"/>
      <c r="AO1015" s="45"/>
    </row>
    <row r="1016" spans="1:41" hidden="1" outlineLevel="3" x14ac:dyDescent="0.25">
      <c r="A1016" s="45"/>
      <c r="B1016" s="54"/>
      <c r="C1016" s="47">
        <f t="shared" si="461"/>
        <v>4</v>
      </c>
      <c r="D1016" s="73"/>
      <c r="E1016" s="70"/>
      <c r="F1016" s="70" t="s">
        <v>1631</v>
      </c>
      <c r="G1016" s="73"/>
      <c r="H1016" s="76" t="s">
        <v>1470</v>
      </c>
      <c r="I1016" s="96" t="s">
        <v>497</v>
      </c>
      <c r="J1016" s="96"/>
      <c r="K1016" s="76"/>
      <c r="L1016" s="76"/>
      <c r="M1016" s="76"/>
      <c r="N1016" s="76"/>
      <c r="O1016" s="76"/>
      <c r="P1016" s="76"/>
      <c r="Q1016" s="76"/>
      <c r="R1016" s="76"/>
      <c r="S1016" s="76"/>
      <c r="T1016" s="76"/>
      <c r="U1016" s="76"/>
      <c r="V1016" s="76"/>
      <c r="W1016" s="76"/>
      <c r="X1016" s="76"/>
      <c r="Y1016" s="76"/>
      <c r="Z1016" s="76"/>
      <c r="AA1016" s="76"/>
      <c r="AB1016" s="76"/>
      <c r="AC1016" s="76"/>
      <c r="AD1016" s="76"/>
      <c r="AE1016" s="76"/>
      <c r="AF1016" s="76"/>
      <c r="AG1016" s="76"/>
      <c r="AH1016" s="76"/>
      <c r="AI1016" s="76">
        <v>1</v>
      </c>
      <c r="AJ1016" s="76">
        <v>1</v>
      </c>
      <c r="AK1016" s="73"/>
      <c r="AL1016" s="57"/>
      <c r="AM1016" s="45"/>
      <c r="AN1016" s="45"/>
      <c r="AO1016" s="45"/>
    </row>
    <row r="1017" spans="1:41" hidden="1" outlineLevel="3" x14ac:dyDescent="0.25">
      <c r="A1017" s="45"/>
      <c r="B1017" s="54"/>
      <c r="C1017" s="47">
        <f t="shared" si="461"/>
        <v>4</v>
      </c>
      <c r="D1017" s="73"/>
      <c r="E1017" s="70"/>
      <c r="F1017" s="70" t="s">
        <v>1632</v>
      </c>
      <c r="G1017" s="73"/>
      <c r="H1017" s="76" t="s">
        <v>1472</v>
      </c>
      <c r="I1017" s="96" t="s">
        <v>497</v>
      </c>
      <c r="J1017" s="96"/>
      <c r="K1017" s="76"/>
      <c r="L1017" s="76"/>
      <c r="M1017" s="76"/>
      <c r="N1017" s="76"/>
      <c r="O1017" s="76"/>
      <c r="P1017" s="76"/>
      <c r="Q1017" s="76"/>
      <c r="R1017" s="76"/>
      <c r="S1017" s="76"/>
      <c r="T1017" s="76"/>
      <c r="U1017" s="76"/>
      <c r="V1017" s="76"/>
      <c r="W1017" s="76"/>
      <c r="X1017" s="76"/>
      <c r="Y1017" s="76"/>
      <c r="Z1017" s="76"/>
      <c r="AA1017" s="76"/>
      <c r="AB1017" s="76"/>
      <c r="AC1017" s="76"/>
      <c r="AD1017" s="76"/>
      <c r="AE1017" s="76"/>
      <c r="AF1017" s="76"/>
      <c r="AG1017" s="76"/>
      <c r="AH1017" s="76"/>
      <c r="AI1017" s="76">
        <v>1</v>
      </c>
      <c r="AJ1017" s="76">
        <v>1</v>
      </c>
      <c r="AK1017" s="73"/>
      <c r="AL1017" s="57"/>
      <c r="AM1017" s="45"/>
      <c r="AN1017" s="45"/>
      <c r="AO1017" s="45"/>
    </row>
    <row r="1018" spans="1:41" hidden="1" outlineLevel="3" x14ac:dyDescent="0.25">
      <c r="A1018" s="45"/>
      <c r="B1018" s="54"/>
      <c r="C1018" s="47">
        <f t="shared" si="461"/>
        <v>4</v>
      </c>
      <c r="D1018" s="73"/>
      <c r="E1018" s="70"/>
      <c r="F1018" s="70" t="s">
        <v>1633</v>
      </c>
      <c r="G1018" s="73"/>
      <c r="H1018" s="76" t="s">
        <v>1466</v>
      </c>
      <c r="I1018" s="96" t="s">
        <v>497</v>
      </c>
      <c r="J1018" s="96"/>
      <c r="K1018" s="76"/>
      <c r="L1018" s="76"/>
      <c r="M1018" s="76"/>
      <c r="N1018" s="76"/>
      <c r="O1018" s="76"/>
      <c r="P1018" s="76"/>
      <c r="Q1018" s="76"/>
      <c r="R1018" s="76"/>
      <c r="S1018" s="76"/>
      <c r="T1018" s="76"/>
      <c r="U1018" s="76"/>
      <c r="V1018" s="76"/>
      <c r="W1018" s="76"/>
      <c r="X1018" s="76"/>
      <c r="Y1018" s="76"/>
      <c r="Z1018" s="76"/>
      <c r="AA1018" s="76"/>
      <c r="AB1018" s="76"/>
      <c r="AC1018" s="76"/>
      <c r="AD1018" s="76"/>
      <c r="AE1018" s="76"/>
      <c r="AF1018" s="76"/>
      <c r="AG1018" s="76"/>
      <c r="AH1018" s="76"/>
      <c r="AI1018" s="76">
        <v>1</v>
      </c>
      <c r="AJ1018" s="76">
        <v>1</v>
      </c>
      <c r="AK1018" s="73"/>
      <c r="AL1018" s="57"/>
      <c r="AM1018" s="45"/>
      <c r="AN1018" s="45"/>
      <c r="AO1018" s="45"/>
    </row>
    <row r="1019" spans="1:41" hidden="1" outlineLevel="3" x14ac:dyDescent="0.25">
      <c r="A1019" s="45"/>
      <c r="B1019" s="54"/>
      <c r="C1019" s="47">
        <f t="shared" si="461"/>
        <v>4</v>
      </c>
      <c r="D1019" s="73"/>
      <c r="E1019" s="70"/>
      <c r="F1019" s="70" t="s">
        <v>1634</v>
      </c>
      <c r="G1019" s="73"/>
      <c r="H1019" s="76" t="s">
        <v>1468</v>
      </c>
      <c r="I1019" s="96" t="s">
        <v>497</v>
      </c>
      <c r="J1019" s="96"/>
      <c r="K1019" s="76"/>
      <c r="L1019" s="76"/>
      <c r="M1019" s="76"/>
      <c r="N1019" s="76"/>
      <c r="O1019" s="76"/>
      <c r="P1019" s="76"/>
      <c r="Q1019" s="76"/>
      <c r="R1019" s="76"/>
      <c r="S1019" s="76"/>
      <c r="T1019" s="76"/>
      <c r="U1019" s="76"/>
      <c r="V1019" s="76"/>
      <c r="W1019" s="76"/>
      <c r="X1019" s="76"/>
      <c r="Y1019" s="76"/>
      <c r="Z1019" s="76"/>
      <c r="AA1019" s="76"/>
      <c r="AB1019" s="76"/>
      <c r="AC1019" s="76"/>
      <c r="AD1019" s="76"/>
      <c r="AE1019" s="76"/>
      <c r="AF1019" s="76"/>
      <c r="AG1019" s="76"/>
      <c r="AH1019" s="76"/>
      <c r="AI1019" s="76">
        <v>1</v>
      </c>
      <c r="AJ1019" s="76">
        <v>1</v>
      </c>
      <c r="AK1019" s="73"/>
      <c r="AL1019" s="57"/>
      <c r="AM1019" s="45"/>
      <c r="AN1019" s="45"/>
      <c r="AO1019" s="45"/>
    </row>
    <row r="1020" spans="1:41" hidden="1" outlineLevel="3" x14ac:dyDescent="0.25">
      <c r="A1020" s="45"/>
      <c r="B1020" s="54"/>
      <c r="C1020" s="47">
        <f t="shared" si="461"/>
        <v>4</v>
      </c>
      <c r="D1020" s="73"/>
      <c r="E1020" s="70"/>
      <c r="F1020" s="70" t="s">
        <v>1635</v>
      </c>
      <c r="G1020" s="73"/>
      <c r="H1020" s="76" t="s">
        <v>1470</v>
      </c>
      <c r="I1020" s="96" t="s">
        <v>497</v>
      </c>
      <c r="J1020" s="96"/>
      <c r="K1020" s="76"/>
      <c r="L1020" s="76"/>
      <c r="M1020" s="76"/>
      <c r="N1020" s="76"/>
      <c r="O1020" s="76"/>
      <c r="P1020" s="76"/>
      <c r="Q1020" s="76"/>
      <c r="R1020" s="76"/>
      <c r="S1020" s="76"/>
      <c r="T1020" s="76"/>
      <c r="U1020" s="76"/>
      <c r="V1020" s="76"/>
      <c r="W1020" s="76"/>
      <c r="X1020" s="76"/>
      <c r="Y1020" s="76"/>
      <c r="Z1020" s="76"/>
      <c r="AA1020" s="76"/>
      <c r="AB1020" s="76"/>
      <c r="AC1020" s="76"/>
      <c r="AD1020" s="76"/>
      <c r="AE1020" s="76"/>
      <c r="AF1020" s="76"/>
      <c r="AG1020" s="76"/>
      <c r="AH1020" s="76"/>
      <c r="AI1020" s="76">
        <v>1</v>
      </c>
      <c r="AJ1020" s="76">
        <v>1</v>
      </c>
      <c r="AK1020" s="73"/>
      <c r="AL1020" s="57"/>
      <c r="AM1020" s="45"/>
      <c r="AN1020" s="45"/>
      <c r="AO1020" s="45"/>
    </row>
    <row r="1021" spans="1:41" hidden="1" outlineLevel="3" x14ac:dyDescent="0.25">
      <c r="A1021" s="45"/>
      <c r="B1021" s="54"/>
      <c r="C1021" s="47">
        <f t="shared" si="461"/>
        <v>4</v>
      </c>
      <c r="D1021" s="73"/>
      <c r="E1021" s="70"/>
      <c r="F1021" s="70" t="s">
        <v>1636</v>
      </c>
      <c r="G1021" s="73"/>
      <c r="H1021" s="76" t="s">
        <v>1472</v>
      </c>
      <c r="I1021" s="96" t="s">
        <v>497</v>
      </c>
      <c r="J1021" s="96"/>
      <c r="K1021" s="76"/>
      <c r="L1021" s="76"/>
      <c r="M1021" s="76"/>
      <c r="N1021" s="76"/>
      <c r="O1021" s="76"/>
      <c r="P1021" s="76"/>
      <c r="Q1021" s="76"/>
      <c r="R1021" s="76"/>
      <c r="S1021" s="76"/>
      <c r="T1021" s="76"/>
      <c r="U1021" s="76"/>
      <c r="V1021" s="76"/>
      <c r="W1021" s="76"/>
      <c r="X1021" s="76"/>
      <c r="Y1021" s="76"/>
      <c r="Z1021" s="76"/>
      <c r="AA1021" s="76"/>
      <c r="AB1021" s="76"/>
      <c r="AC1021" s="76"/>
      <c r="AD1021" s="76"/>
      <c r="AE1021" s="76"/>
      <c r="AF1021" s="76"/>
      <c r="AG1021" s="76"/>
      <c r="AH1021" s="76"/>
      <c r="AI1021" s="76">
        <v>1</v>
      </c>
      <c r="AJ1021" s="76">
        <v>1</v>
      </c>
      <c r="AK1021" s="73"/>
      <c r="AL1021" s="57"/>
      <c r="AM1021" s="45"/>
      <c r="AN1021" s="45"/>
      <c r="AO1021" s="45"/>
    </row>
    <row r="1022" spans="1:41" hidden="1" outlineLevel="3" x14ac:dyDescent="0.25">
      <c r="A1022" s="45"/>
      <c r="B1022" s="54"/>
      <c r="C1022" s="47">
        <f t="shared" si="461"/>
        <v>4</v>
      </c>
      <c r="D1022" s="73"/>
      <c r="E1022" s="70"/>
      <c r="F1022" s="70" t="s">
        <v>1637</v>
      </c>
      <c r="G1022" s="73"/>
      <c r="H1022" s="76" t="s">
        <v>1466</v>
      </c>
      <c r="I1022" s="96" t="s">
        <v>497</v>
      </c>
      <c r="J1022" s="96"/>
      <c r="K1022" s="76"/>
      <c r="L1022" s="76"/>
      <c r="M1022" s="76"/>
      <c r="N1022" s="76"/>
      <c r="O1022" s="76"/>
      <c r="P1022" s="76"/>
      <c r="Q1022" s="76"/>
      <c r="R1022" s="76"/>
      <c r="S1022" s="76"/>
      <c r="T1022" s="76"/>
      <c r="U1022" s="76"/>
      <c r="V1022" s="76"/>
      <c r="W1022" s="76"/>
      <c r="X1022" s="76"/>
      <c r="Y1022" s="76"/>
      <c r="Z1022" s="76"/>
      <c r="AA1022" s="76"/>
      <c r="AB1022" s="76"/>
      <c r="AC1022" s="76"/>
      <c r="AD1022" s="76"/>
      <c r="AE1022" s="76"/>
      <c r="AF1022" s="76"/>
      <c r="AG1022" s="76"/>
      <c r="AH1022" s="76"/>
      <c r="AI1022" s="76">
        <v>1</v>
      </c>
      <c r="AJ1022" s="76">
        <v>1</v>
      </c>
      <c r="AK1022" s="73"/>
      <c r="AL1022" s="57"/>
      <c r="AM1022" s="45"/>
      <c r="AN1022" s="45"/>
      <c r="AO1022" s="45"/>
    </row>
    <row r="1023" spans="1:41" hidden="1" outlineLevel="3" x14ac:dyDescent="0.25">
      <c r="A1023" s="45"/>
      <c r="B1023" s="54"/>
      <c r="C1023" s="47">
        <f t="shared" si="461"/>
        <v>4</v>
      </c>
      <c r="D1023" s="73"/>
      <c r="E1023" s="70"/>
      <c r="F1023" s="70" t="s">
        <v>1638</v>
      </c>
      <c r="G1023" s="73"/>
      <c r="H1023" s="76" t="s">
        <v>1468</v>
      </c>
      <c r="I1023" s="96" t="s">
        <v>497</v>
      </c>
      <c r="J1023" s="96"/>
      <c r="K1023" s="76"/>
      <c r="L1023" s="76"/>
      <c r="M1023" s="76"/>
      <c r="N1023" s="76"/>
      <c r="O1023" s="76"/>
      <c r="P1023" s="76"/>
      <c r="Q1023" s="76"/>
      <c r="R1023" s="76"/>
      <c r="S1023" s="76"/>
      <c r="T1023" s="76"/>
      <c r="U1023" s="76"/>
      <c r="V1023" s="76"/>
      <c r="W1023" s="76"/>
      <c r="X1023" s="76"/>
      <c r="Y1023" s="76"/>
      <c r="Z1023" s="76"/>
      <c r="AA1023" s="76"/>
      <c r="AB1023" s="76"/>
      <c r="AC1023" s="76"/>
      <c r="AD1023" s="76"/>
      <c r="AE1023" s="76"/>
      <c r="AF1023" s="76"/>
      <c r="AG1023" s="76"/>
      <c r="AH1023" s="76"/>
      <c r="AI1023" s="76">
        <v>1</v>
      </c>
      <c r="AJ1023" s="76">
        <v>1</v>
      </c>
      <c r="AK1023" s="73"/>
      <c r="AL1023" s="57"/>
      <c r="AM1023" s="45"/>
      <c r="AN1023" s="45"/>
      <c r="AO1023" s="45"/>
    </row>
    <row r="1024" spans="1:41" hidden="1" outlineLevel="3" x14ac:dyDescent="0.25">
      <c r="A1024" s="45"/>
      <c r="B1024" s="54"/>
      <c r="C1024" s="47">
        <f t="shared" si="461"/>
        <v>4</v>
      </c>
      <c r="D1024" s="73"/>
      <c r="E1024" s="70"/>
      <c r="F1024" s="70" t="s">
        <v>1639</v>
      </c>
      <c r="G1024" s="73"/>
      <c r="H1024" s="76" t="s">
        <v>1470</v>
      </c>
      <c r="I1024" s="96" t="s">
        <v>497</v>
      </c>
      <c r="J1024" s="96"/>
      <c r="K1024" s="76"/>
      <c r="L1024" s="76"/>
      <c r="M1024" s="76"/>
      <c r="N1024" s="76"/>
      <c r="O1024" s="76"/>
      <c r="P1024" s="76"/>
      <c r="Q1024" s="76"/>
      <c r="R1024" s="76"/>
      <c r="S1024" s="76"/>
      <c r="T1024" s="76"/>
      <c r="U1024" s="76"/>
      <c r="V1024" s="76"/>
      <c r="W1024" s="76"/>
      <c r="X1024" s="76"/>
      <c r="Y1024" s="76"/>
      <c r="Z1024" s="76"/>
      <c r="AA1024" s="76"/>
      <c r="AB1024" s="76"/>
      <c r="AC1024" s="76"/>
      <c r="AD1024" s="76"/>
      <c r="AE1024" s="76"/>
      <c r="AF1024" s="76"/>
      <c r="AG1024" s="76"/>
      <c r="AH1024" s="76"/>
      <c r="AI1024" s="76">
        <v>1</v>
      </c>
      <c r="AJ1024" s="76">
        <v>1</v>
      </c>
      <c r="AK1024" s="73"/>
      <c r="AL1024" s="57"/>
      <c r="AM1024" s="45"/>
      <c r="AN1024" s="45"/>
      <c r="AO1024" s="45"/>
    </row>
    <row r="1025" spans="1:41" hidden="1" outlineLevel="3" x14ac:dyDescent="0.25">
      <c r="A1025" s="45"/>
      <c r="B1025" s="54"/>
      <c r="C1025" s="47">
        <f t="shared" si="461"/>
        <v>4</v>
      </c>
      <c r="D1025" s="73"/>
      <c r="E1025" s="70"/>
      <c r="F1025" s="70" t="s">
        <v>1640</v>
      </c>
      <c r="G1025" s="73"/>
      <c r="H1025" s="76" t="s">
        <v>1472</v>
      </c>
      <c r="I1025" s="96" t="s">
        <v>497</v>
      </c>
      <c r="J1025" s="96"/>
      <c r="K1025" s="76"/>
      <c r="L1025" s="76"/>
      <c r="M1025" s="76"/>
      <c r="N1025" s="76"/>
      <c r="O1025" s="76"/>
      <c r="P1025" s="76"/>
      <c r="Q1025" s="76"/>
      <c r="R1025" s="76"/>
      <c r="S1025" s="76"/>
      <c r="T1025" s="76"/>
      <c r="U1025" s="76"/>
      <c r="V1025" s="76"/>
      <c r="W1025" s="76"/>
      <c r="X1025" s="76"/>
      <c r="Y1025" s="76"/>
      <c r="Z1025" s="76"/>
      <c r="AA1025" s="76"/>
      <c r="AB1025" s="76"/>
      <c r="AC1025" s="76"/>
      <c r="AD1025" s="76"/>
      <c r="AE1025" s="76"/>
      <c r="AF1025" s="76"/>
      <c r="AG1025" s="76"/>
      <c r="AH1025" s="76"/>
      <c r="AI1025" s="76">
        <v>1</v>
      </c>
      <c r="AJ1025" s="76">
        <v>1</v>
      </c>
      <c r="AK1025" s="73"/>
      <c r="AL1025" s="57"/>
      <c r="AM1025" s="45"/>
      <c r="AN1025" s="45"/>
      <c r="AO1025" s="45"/>
    </row>
    <row r="1026" spans="1:41" hidden="1" outlineLevel="3" x14ac:dyDescent="0.25">
      <c r="A1026" s="45"/>
      <c r="B1026" s="54"/>
      <c r="C1026" s="47">
        <f t="shared" si="461"/>
        <v>4</v>
      </c>
      <c r="D1026" s="73"/>
      <c r="E1026" s="70"/>
      <c r="F1026" s="70" t="s">
        <v>1641</v>
      </c>
      <c r="G1026" s="73"/>
      <c r="H1026" s="76" t="s">
        <v>1466</v>
      </c>
      <c r="I1026" s="96" t="s">
        <v>497</v>
      </c>
      <c r="J1026" s="96"/>
      <c r="K1026" s="76"/>
      <c r="L1026" s="76"/>
      <c r="M1026" s="76"/>
      <c r="N1026" s="76"/>
      <c r="O1026" s="76"/>
      <c r="P1026" s="76"/>
      <c r="Q1026" s="76"/>
      <c r="R1026" s="76"/>
      <c r="S1026" s="76"/>
      <c r="T1026" s="76"/>
      <c r="U1026" s="76"/>
      <c r="V1026" s="76"/>
      <c r="W1026" s="76"/>
      <c r="X1026" s="76"/>
      <c r="Y1026" s="76"/>
      <c r="Z1026" s="76"/>
      <c r="AA1026" s="76"/>
      <c r="AB1026" s="76"/>
      <c r="AC1026" s="76"/>
      <c r="AD1026" s="76"/>
      <c r="AE1026" s="76"/>
      <c r="AF1026" s="76"/>
      <c r="AG1026" s="76"/>
      <c r="AH1026" s="76"/>
      <c r="AI1026" s="76">
        <v>1</v>
      </c>
      <c r="AJ1026" s="76">
        <v>1</v>
      </c>
      <c r="AK1026" s="73"/>
      <c r="AL1026" s="57"/>
      <c r="AM1026" s="45"/>
      <c r="AN1026" s="45"/>
      <c r="AO1026" s="45"/>
    </row>
    <row r="1027" spans="1:41" hidden="1" outlineLevel="3" x14ac:dyDescent="0.25">
      <c r="A1027" s="45"/>
      <c r="B1027" s="54"/>
      <c r="C1027" s="47">
        <f t="shared" si="461"/>
        <v>4</v>
      </c>
      <c r="D1027" s="73"/>
      <c r="E1027" s="70"/>
      <c r="F1027" s="70" t="s">
        <v>1642</v>
      </c>
      <c r="G1027" s="73"/>
      <c r="H1027" s="76" t="s">
        <v>1468</v>
      </c>
      <c r="I1027" s="96" t="s">
        <v>497</v>
      </c>
      <c r="J1027" s="96"/>
      <c r="K1027" s="76"/>
      <c r="L1027" s="76"/>
      <c r="M1027" s="76"/>
      <c r="N1027" s="76"/>
      <c r="O1027" s="76"/>
      <c r="P1027" s="76"/>
      <c r="Q1027" s="76"/>
      <c r="R1027" s="76"/>
      <c r="S1027" s="76"/>
      <c r="T1027" s="76"/>
      <c r="U1027" s="76"/>
      <c r="V1027" s="76"/>
      <c r="W1027" s="76"/>
      <c r="X1027" s="76"/>
      <c r="Y1027" s="76"/>
      <c r="Z1027" s="76"/>
      <c r="AA1027" s="76"/>
      <c r="AB1027" s="76"/>
      <c r="AC1027" s="76"/>
      <c r="AD1027" s="76"/>
      <c r="AE1027" s="76"/>
      <c r="AF1027" s="76"/>
      <c r="AG1027" s="76"/>
      <c r="AH1027" s="76"/>
      <c r="AI1027" s="76">
        <v>1</v>
      </c>
      <c r="AJ1027" s="76">
        <v>1</v>
      </c>
      <c r="AK1027" s="73"/>
      <c r="AL1027" s="57"/>
      <c r="AM1027" s="45"/>
      <c r="AN1027" s="45"/>
      <c r="AO1027" s="45"/>
    </row>
    <row r="1028" spans="1:41" hidden="1" outlineLevel="3" x14ac:dyDescent="0.25">
      <c r="A1028" s="45"/>
      <c r="B1028" s="54"/>
      <c r="C1028" s="47">
        <f t="shared" si="461"/>
        <v>4</v>
      </c>
      <c r="D1028" s="73"/>
      <c r="E1028" s="70"/>
      <c r="F1028" s="70" t="s">
        <v>1643</v>
      </c>
      <c r="G1028" s="73"/>
      <c r="H1028" s="76" t="s">
        <v>1470</v>
      </c>
      <c r="I1028" s="96" t="s">
        <v>497</v>
      </c>
      <c r="J1028" s="96"/>
      <c r="K1028" s="76"/>
      <c r="L1028" s="76"/>
      <c r="M1028" s="76"/>
      <c r="N1028" s="76"/>
      <c r="O1028" s="76"/>
      <c r="P1028" s="76"/>
      <c r="Q1028" s="76"/>
      <c r="R1028" s="76"/>
      <c r="S1028" s="76"/>
      <c r="T1028" s="76"/>
      <c r="U1028" s="76"/>
      <c r="V1028" s="76"/>
      <c r="W1028" s="76"/>
      <c r="X1028" s="76"/>
      <c r="Y1028" s="76"/>
      <c r="Z1028" s="76"/>
      <c r="AA1028" s="76"/>
      <c r="AB1028" s="76"/>
      <c r="AC1028" s="76"/>
      <c r="AD1028" s="76"/>
      <c r="AE1028" s="76"/>
      <c r="AF1028" s="76"/>
      <c r="AG1028" s="76"/>
      <c r="AH1028" s="76"/>
      <c r="AI1028" s="76">
        <v>1</v>
      </c>
      <c r="AJ1028" s="76">
        <v>1</v>
      </c>
      <c r="AK1028" s="73"/>
      <c r="AL1028" s="57"/>
      <c r="AM1028" s="45"/>
      <c r="AN1028" s="45"/>
      <c r="AO1028" s="45"/>
    </row>
    <row r="1029" spans="1:41" hidden="1" outlineLevel="3" x14ac:dyDescent="0.25">
      <c r="A1029" s="45"/>
      <c r="B1029" s="54"/>
      <c r="C1029" s="47">
        <f t="shared" si="461"/>
        <v>4</v>
      </c>
      <c r="D1029" s="73"/>
      <c r="E1029" s="70"/>
      <c r="F1029" s="70" t="s">
        <v>1644</v>
      </c>
      <c r="G1029" s="73"/>
      <c r="H1029" s="76" t="s">
        <v>1472</v>
      </c>
      <c r="I1029" s="96" t="s">
        <v>497</v>
      </c>
      <c r="J1029" s="96"/>
      <c r="K1029" s="76"/>
      <c r="L1029" s="76"/>
      <c r="M1029" s="76"/>
      <c r="N1029" s="76"/>
      <c r="O1029" s="76"/>
      <c r="P1029" s="76"/>
      <c r="Q1029" s="76"/>
      <c r="R1029" s="76"/>
      <c r="S1029" s="76"/>
      <c r="T1029" s="76"/>
      <c r="U1029" s="76"/>
      <c r="V1029" s="76"/>
      <c r="W1029" s="76"/>
      <c r="X1029" s="76"/>
      <c r="Y1029" s="76"/>
      <c r="Z1029" s="76"/>
      <c r="AA1029" s="76"/>
      <c r="AB1029" s="76"/>
      <c r="AC1029" s="76"/>
      <c r="AD1029" s="76"/>
      <c r="AE1029" s="76"/>
      <c r="AF1029" s="76"/>
      <c r="AG1029" s="76"/>
      <c r="AH1029" s="76"/>
      <c r="AI1029" s="76">
        <v>1</v>
      </c>
      <c r="AJ1029" s="76">
        <v>1</v>
      </c>
      <c r="AK1029" s="73"/>
      <c r="AL1029" s="57"/>
      <c r="AM1029" s="45"/>
      <c r="AN1029" s="45"/>
      <c r="AO1029" s="45"/>
    </row>
    <row r="1030" spans="1:41" hidden="1" outlineLevel="3" x14ac:dyDescent="0.25">
      <c r="A1030" s="45"/>
      <c r="B1030" s="54"/>
      <c r="C1030" s="47">
        <f t="shared" ref="C1030:C1061" si="462">INT($C$29)+3</f>
        <v>4</v>
      </c>
      <c r="D1030" s="73"/>
      <c r="E1030" s="70"/>
      <c r="F1030" s="70" t="s">
        <v>1645</v>
      </c>
      <c r="G1030" s="73"/>
      <c r="H1030" s="76" t="s">
        <v>1466</v>
      </c>
      <c r="I1030" s="96" t="s">
        <v>497</v>
      </c>
      <c r="J1030" s="96"/>
      <c r="K1030" s="76"/>
      <c r="L1030" s="76"/>
      <c r="M1030" s="76"/>
      <c r="N1030" s="76"/>
      <c r="O1030" s="76"/>
      <c r="P1030" s="76"/>
      <c r="Q1030" s="76"/>
      <c r="R1030" s="76"/>
      <c r="S1030" s="76"/>
      <c r="T1030" s="76"/>
      <c r="U1030" s="76"/>
      <c r="V1030" s="76"/>
      <c r="W1030" s="76"/>
      <c r="X1030" s="76"/>
      <c r="Y1030" s="76"/>
      <c r="Z1030" s="76"/>
      <c r="AA1030" s="76"/>
      <c r="AB1030" s="76"/>
      <c r="AC1030" s="76"/>
      <c r="AD1030" s="76"/>
      <c r="AE1030" s="76"/>
      <c r="AF1030" s="76"/>
      <c r="AG1030" s="76"/>
      <c r="AH1030" s="76"/>
      <c r="AI1030" s="76">
        <v>1</v>
      </c>
      <c r="AJ1030" s="76">
        <v>1</v>
      </c>
      <c r="AK1030" s="73"/>
      <c r="AL1030" s="57"/>
      <c r="AM1030" s="45"/>
      <c r="AN1030" s="45"/>
      <c r="AO1030" s="45"/>
    </row>
    <row r="1031" spans="1:41" hidden="1" outlineLevel="3" x14ac:dyDescent="0.25">
      <c r="A1031" s="45"/>
      <c r="B1031" s="54"/>
      <c r="C1031" s="47">
        <f t="shared" si="462"/>
        <v>4</v>
      </c>
      <c r="D1031" s="73"/>
      <c r="E1031" s="70"/>
      <c r="F1031" s="70" t="s">
        <v>1646</v>
      </c>
      <c r="G1031" s="73"/>
      <c r="H1031" s="76" t="s">
        <v>1468</v>
      </c>
      <c r="I1031" s="96" t="s">
        <v>497</v>
      </c>
      <c r="J1031" s="96"/>
      <c r="K1031" s="76"/>
      <c r="L1031" s="76"/>
      <c r="M1031" s="76"/>
      <c r="N1031" s="76"/>
      <c r="O1031" s="76"/>
      <c r="P1031" s="76"/>
      <c r="Q1031" s="76"/>
      <c r="R1031" s="76"/>
      <c r="S1031" s="76"/>
      <c r="T1031" s="76"/>
      <c r="U1031" s="76"/>
      <c r="V1031" s="76"/>
      <c r="W1031" s="76"/>
      <c r="X1031" s="76"/>
      <c r="Y1031" s="76"/>
      <c r="Z1031" s="76"/>
      <c r="AA1031" s="76"/>
      <c r="AB1031" s="76"/>
      <c r="AC1031" s="76"/>
      <c r="AD1031" s="76"/>
      <c r="AE1031" s="76"/>
      <c r="AF1031" s="76"/>
      <c r="AG1031" s="76"/>
      <c r="AH1031" s="76"/>
      <c r="AI1031" s="76">
        <v>1</v>
      </c>
      <c r="AJ1031" s="76">
        <v>1</v>
      </c>
      <c r="AK1031" s="73"/>
      <c r="AL1031" s="57"/>
      <c r="AM1031" s="45"/>
      <c r="AN1031" s="45"/>
      <c r="AO1031" s="45"/>
    </row>
    <row r="1032" spans="1:41" hidden="1" outlineLevel="3" x14ac:dyDescent="0.25">
      <c r="A1032" s="45"/>
      <c r="B1032" s="54"/>
      <c r="C1032" s="47">
        <f t="shared" si="462"/>
        <v>4</v>
      </c>
      <c r="D1032" s="73"/>
      <c r="E1032" s="70"/>
      <c r="F1032" s="70" t="s">
        <v>1647</v>
      </c>
      <c r="G1032" s="73"/>
      <c r="H1032" s="76" t="s">
        <v>1470</v>
      </c>
      <c r="I1032" s="96" t="s">
        <v>497</v>
      </c>
      <c r="J1032" s="96"/>
      <c r="K1032" s="76"/>
      <c r="L1032" s="76"/>
      <c r="M1032" s="76"/>
      <c r="N1032" s="76"/>
      <c r="O1032" s="76"/>
      <c r="P1032" s="76"/>
      <c r="Q1032" s="76"/>
      <c r="R1032" s="76"/>
      <c r="S1032" s="76"/>
      <c r="T1032" s="76"/>
      <c r="U1032" s="76"/>
      <c r="V1032" s="76"/>
      <c r="W1032" s="76"/>
      <c r="X1032" s="76"/>
      <c r="Y1032" s="76"/>
      <c r="Z1032" s="76"/>
      <c r="AA1032" s="76"/>
      <c r="AB1032" s="76"/>
      <c r="AC1032" s="76"/>
      <c r="AD1032" s="76"/>
      <c r="AE1032" s="76"/>
      <c r="AF1032" s="76"/>
      <c r="AG1032" s="76"/>
      <c r="AH1032" s="76"/>
      <c r="AI1032" s="76">
        <v>1</v>
      </c>
      <c r="AJ1032" s="76">
        <v>1</v>
      </c>
      <c r="AK1032" s="73"/>
      <c r="AL1032" s="57"/>
      <c r="AM1032" s="45"/>
      <c r="AN1032" s="45"/>
      <c r="AO1032" s="45"/>
    </row>
    <row r="1033" spans="1:41" hidden="1" outlineLevel="3" x14ac:dyDescent="0.25">
      <c r="A1033" s="45"/>
      <c r="B1033" s="54"/>
      <c r="C1033" s="47">
        <f t="shared" si="462"/>
        <v>4</v>
      </c>
      <c r="D1033" s="73"/>
      <c r="E1033" s="70"/>
      <c r="F1033" s="70" t="s">
        <v>1648</v>
      </c>
      <c r="G1033" s="73"/>
      <c r="H1033" s="76" t="s">
        <v>1472</v>
      </c>
      <c r="I1033" s="96" t="s">
        <v>497</v>
      </c>
      <c r="J1033" s="96"/>
      <c r="K1033" s="76"/>
      <c r="L1033" s="76"/>
      <c r="M1033" s="76"/>
      <c r="N1033" s="76"/>
      <c r="O1033" s="76"/>
      <c r="P1033" s="76"/>
      <c r="Q1033" s="76"/>
      <c r="R1033" s="76"/>
      <c r="S1033" s="76"/>
      <c r="T1033" s="76"/>
      <c r="U1033" s="76"/>
      <c r="V1033" s="76"/>
      <c r="W1033" s="76"/>
      <c r="X1033" s="76"/>
      <c r="Y1033" s="76"/>
      <c r="Z1033" s="76"/>
      <c r="AA1033" s="76"/>
      <c r="AB1033" s="76"/>
      <c r="AC1033" s="76"/>
      <c r="AD1033" s="76"/>
      <c r="AE1033" s="76"/>
      <c r="AF1033" s="76"/>
      <c r="AG1033" s="76"/>
      <c r="AH1033" s="76"/>
      <c r="AI1033" s="76">
        <v>1</v>
      </c>
      <c r="AJ1033" s="76">
        <v>1</v>
      </c>
      <c r="AK1033" s="73"/>
      <c r="AL1033" s="57"/>
      <c r="AM1033" s="45"/>
      <c r="AN1033" s="45"/>
      <c r="AO1033" s="45"/>
    </row>
    <row r="1034" spans="1:41" hidden="1" outlineLevel="3" x14ac:dyDescent="0.25">
      <c r="A1034" s="45"/>
      <c r="B1034" s="54"/>
      <c r="C1034" s="47">
        <f t="shared" si="462"/>
        <v>4</v>
      </c>
      <c r="D1034" s="73"/>
      <c r="E1034" s="70"/>
      <c r="F1034" s="70" t="s">
        <v>1649</v>
      </c>
      <c r="G1034" s="73"/>
      <c r="H1034" s="76" t="s">
        <v>1466</v>
      </c>
      <c r="I1034" s="96" t="s">
        <v>497</v>
      </c>
      <c r="J1034" s="96"/>
      <c r="K1034" s="76"/>
      <c r="L1034" s="76"/>
      <c r="M1034" s="76"/>
      <c r="N1034" s="76"/>
      <c r="O1034" s="76"/>
      <c r="P1034" s="76"/>
      <c r="Q1034" s="76"/>
      <c r="R1034" s="76"/>
      <c r="S1034" s="76"/>
      <c r="T1034" s="76"/>
      <c r="U1034" s="76"/>
      <c r="V1034" s="76"/>
      <c r="W1034" s="76"/>
      <c r="X1034" s="76"/>
      <c r="Y1034" s="76"/>
      <c r="Z1034" s="76"/>
      <c r="AA1034" s="76"/>
      <c r="AB1034" s="76"/>
      <c r="AC1034" s="76"/>
      <c r="AD1034" s="76"/>
      <c r="AE1034" s="76"/>
      <c r="AF1034" s="76"/>
      <c r="AG1034" s="76"/>
      <c r="AH1034" s="76"/>
      <c r="AI1034" s="76">
        <v>1</v>
      </c>
      <c r="AJ1034" s="76">
        <v>1</v>
      </c>
      <c r="AK1034" s="73"/>
      <c r="AL1034" s="57"/>
      <c r="AM1034" s="45"/>
      <c r="AN1034" s="45"/>
      <c r="AO1034" s="45"/>
    </row>
    <row r="1035" spans="1:41" hidden="1" outlineLevel="3" x14ac:dyDescent="0.25">
      <c r="A1035" s="45"/>
      <c r="B1035" s="54"/>
      <c r="C1035" s="47">
        <f t="shared" si="462"/>
        <v>4</v>
      </c>
      <c r="D1035" s="73"/>
      <c r="E1035" s="70"/>
      <c r="F1035" s="70" t="s">
        <v>1650</v>
      </c>
      <c r="G1035" s="73"/>
      <c r="H1035" s="76" t="s">
        <v>1468</v>
      </c>
      <c r="I1035" s="96" t="s">
        <v>497</v>
      </c>
      <c r="J1035" s="96"/>
      <c r="K1035" s="76"/>
      <c r="L1035" s="76"/>
      <c r="M1035" s="76"/>
      <c r="N1035" s="76"/>
      <c r="O1035" s="76"/>
      <c r="P1035" s="76"/>
      <c r="Q1035" s="76"/>
      <c r="R1035" s="76"/>
      <c r="S1035" s="76"/>
      <c r="T1035" s="76"/>
      <c r="U1035" s="76"/>
      <c r="V1035" s="76"/>
      <c r="W1035" s="76"/>
      <c r="X1035" s="76"/>
      <c r="Y1035" s="76"/>
      <c r="Z1035" s="76"/>
      <c r="AA1035" s="76"/>
      <c r="AB1035" s="76"/>
      <c r="AC1035" s="76"/>
      <c r="AD1035" s="76"/>
      <c r="AE1035" s="76"/>
      <c r="AF1035" s="76"/>
      <c r="AG1035" s="76"/>
      <c r="AH1035" s="76"/>
      <c r="AI1035" s="76">
        <v>1</v>
      </c>
      <c r="AJ1035" s="76">
        <v>1</v>
      </c>
      <c r="AK1035" s="73"/>
      <c r="AL1035" s="57"/>
      <c r="AM1035" s="45"/>
      <c r="AN1035" s="45"/>
      <c r="AO1035" s="45"/>
    </row>
    <row r="1036" spans="1:41" hidden="1" outlineLevel="3" x14ac:dyDescent="0.25">
      <c r="A1036" s="45"/>
      <c r="B1036" s="54"/>
      <c r="C1036" s="47">
        <f t="shared" si="462"/>
        <v>4</v>
      </c>
      <c r="D1036" s="73"/>
      <c r="E1036" s="70"/>
      <c r="F1036" s="70" t="s">
        <v>1651</v>
      </c>
      <c r="G1036" s="73"/>
      <c r="H1036" s="76" t="s">
        <v>1470</v>
      </c>
      <c r="I1036" s="96" t="s">
        <v>497</v>
      </c>
      <c r="J1036" s="96"/>
      <c r="K1036" s="76"/>
      <c r="L1036" s="76"/>
      <c r="M1036" s="76"/>
      <c r="N1036" s="76"/>
      <c r="O1036" s="76"/>
      <c r="P1036" s="76"/>
      <c r="Q1036" s="76"/>
      <c r="R1036" s="76"/>
      <c r="S1036" s="76"/>
      <c r="T1036" s="76"/>
      <c r="U1036" s="76"/>
      <c r="V1036" s="76"/>
      <c r="W1036" s="76"/>
      <c r="X1036" s="76"/>
      <c r="Y1036" s="76"/>
      <c r="Z1036" s="76"/>
      <c r="AA1036" s="76"/>
      <c r="AB1036" s="76"/>
      <c r="AC1036" s="76"/>
      <c r="AD1036" s="76"/>
      <c r="AE1036" s="76"/>
      <c r="AF1036" s="76"/>
      <c r="AG1036" s="76"/>
      <c r="AH1036" s="76"/>
      <c r="AI1036" s="76">
        <v>1</v>
      </c>
      <c r="AJ1036" s="76">
        <v>1</v>
      </c>
      <c r="AK1036" s="73"/>
      <c r="AL1036" s="57"/>
      <c r="AM1036" s="45"/>
      <c r="AN1036" s="45"/>
      <c r="AO1036" s="45"/>
    </row>
    <row r="1037" spans="1:41" hidden="1" outlineLevel="3" x14ac:dyDescent="0.25">
      <c r="A1037" s="45"/>
      <c r="B1037" s="54"/>
      <c r="C1037" s="47">
        <f t="shared" si="462"/>
        <v>4</v>
      </c>
      <c r="D1037" s="73"/>
      <c r="E1037" s="70"/>
      <c r="F1037" s="70" t="s">
        <v>1652</v>
      </c>
      <c r="G1037" s="73"/>
      <c r="H1037" s="76" t="s">
        <v>1472</v>
      </c>
      <c r="I1037" s="96" t="s">
        <v>497</v>
      </c>
      <c r="J1037" s="96"/>
      <c r="K1037" s="76"/>
      <c r="L1037" s="76"/>
      <c r="M1037" s="76"/>
      <c r="N1037" s="76"/>
      <c r="O1037" s="76"/>
      <c r="P1037" s="76"/>
      <c r="Q1037" s="76"/>
      <c r="R1037" s="76"/>
      <c r="S1037" s="76"/>
      <c r="T1037" s="76"/>
      <c r="U1037" s="76"/>
      <c r="V1037" s="76"/>
      <c r="W1037" s="76"/>
      <c r="X1037" s="76"/>
      <c r="Y1037" s="76"/>
      <c r="Z1037" s="76"/>
      <c r="AA1037" s="76"/>
      <c r="AB1037" s="76"/>
      <c r="AC1037" s="76"/>
      <c r="AD1037" s="76"/>
      <c r="AE1037" s="76"/>
      <c r="AF1037" s="76"/>
      <c r="AG1037" s="76"/>
      <c r="AH1037" s="76"/>
      <c r="AI1037" s="76">
        <v>1</v>
      </c>
      <c r="AJ1037" s="76">
        <v>1</v>
      </c>
      <c r="AK1037" s="73"/>
      <c r="AL1037" s="57"/>
      <c r="AM1037" s="45"/>
      <c r="AN1037" s="45"/>
      <c r="AO1037" s="45"/>
    </row>
    <row r="1038" spans="1:41" hidden="1" outlineLevel="2" x14ac:dyDescent="0.25">
      <c r="A1038" s="45"/>
      <c r="B1038" s="54"/>
      <c r="C1038" s="47">
        <f t="shared" si="462"/>
        <v>4</v>
      </c>
      <c r="D1038" s="73"/>
      <c r="E1038" s="70"/>
      <c r="F1038" s="70" t="s">
        <v>1653</v>
      </c>
      <c r="G1038" s="73"/>
      <c r="H1038" s="76" t="s">
        <v>3800</v>
      </c>
      <c r="I1038" s="96" t="s">
        <v>497</v>
      </c>
      <c r="J1038" s="96"/>
      <c r="K1038" s="76"/>
      <c r="L1038" s="76"/>
      <c r="M1038" s="76"/>
      <c r="N1038" s="76"/>
      <c r="O1038" s="76"/>
      <c r="P1038" s="76"/>
      <c r="Q1038" s="76"/>
      <c r="R1038" s="76"/>
      <c r="S1038" s="76"/>
      <c r="T1038" s="76"/>
      <c r="U1038" s="76"/>
      <c r="V1038" s="76"/>
      <c r="W1038" s="76"/>
      <c r="X1038" s="76"/>
      <c r="Y1038" s="76"/>
      <c r="Z1038" s="76"/>
      <c r="AA1038" s="76"/>
      <c r="AB1038" s="76"/>
      <c r="AC1038" s="76"/>
      <c r="AD1038" s="76"/>
      <c r="AE1038" s="76"/>
      <c r="AF1038" s="76"/>
      <c r="AG1038" s="76"/>
      <c r="AH1038" s="76"/>
      <c r="AI1038" s="76">
        <v>1</v>
      </c>
      <c r="AJ1038" s="76">
        <v>1</v>
      </c>
      <c r="AK1038" s="73"/>
      <c r="AL1038" s="57"/>
      <c r="AM1038" s="45"/>
      <c r="AN1038" s="45"/>
      <c r="AO1038" s="45"/>
    </row>
    <row r="1039" spans="1:41" hidden="1" outlineLevel="2" x14ac:dyDescent="0.25">
      <c r="A1039" s="45"/>
      <c r="B1039" s="54"/>
      <c r="C1039" s="47">
        <f t="shared" si="462"/>
        <v>4</v>
      </c>
      <c r="D1039" s="73"/>
      <c r="E1039" s="70"/>
      <c r="F1039" s="70" t="s">
        <v>1654</v>
      </c>
      <c r="G1039" s="73"/>
      <c r="H1039" s="76" t="s">
        <v>1468</v>
      </c>
      <c r="I1039" s="96" t="s">
        <v>497</v>
      </c>
      <c r="J1039" s="96"/>
      <c r="K1039" s="76"/>
      <c r="L1039" s="76"/>
      <c r="M1039" s="76"/>
      <c r="N1039" s="76"/>
      <c r="O1039" s="76"/>
      <c r="P1039" s="76"/>
      <c r="Q1039" s="76"/>
      <c r="R1039" s="76"/>
      <c r="S1039" s="76"/>
      <c r="T1039" s="76"/>
      <c r="U1039" s="76"/>
      <c r="V1039" s="76"/>
      <c r="W1039" s="76"/>
      <c r="X1039" s="76"/>
      <c r="Y1039" s="76"/>
      <c r="Z1039" s="76"/>
      <c r="AA1039" s="76"/>
      <c r="AB1039" s="76"/>
      <c r="AC1039" s="76"/>
      <c r="AD1039" s="76"/>
      <c r="AE1039" s="76"/>
      <c r="AF1039" s="76"/>
      <c r="AG1039" s="76"/>
      <c r="AH1039" s="76"/>
      <c r="AI1039" s="76">
        <v>1</v>
      </c>
      <c r="AJ1039" s="76">
        <v>1</v>
      </c>
      <c r="AK1039" s="73"/>
      <c r="AL1039" s="57"/>
      <c r="AM1039" s="45"/>
      <c r="AN1039" s="45"/>
      <c r="AO1039" s="45"/>
    </row>
    <row r="1040" spans="1:41" hidden="1" outlineLevel="2" x14ac:dyDescent="0.25">
      <c r="A1040" s="45"/>
      <c r="B1040" s="54"/>
      <c r="C1040" s="47">
        <f t="shared" si="462"/>
        <v>4</v>
      </c>
      <c r="D1040" s="73"/>
      <c r="E1040" s="70"/>
      <c r="F1040" s="70" t="s">
        <v>1655</v>
      </c>
      <c r="G1040" s="73"/>
      <c r="H1040" s="76" t="s">
        <v>1470</v>
      </c>
      <c r="I1040" s="96" t="s">
        <v>497</v>
      </c>
      <c r="J1040" s="96"/>
      <c r="K1040" s="76"/>
      <c r="L1040" s="76"/>
      <c r="M1040" s="76"/>
      <c r="N1040" s="76"/>
      <c r="O1040" s="76"/>
      <c r="P1040" s="76"/>
      <c r="Q1040" s="76"/>
      <c r="R1040" s="76"/>
      <c r="S1040" s="76"/>
      <c r="T1040" s="76"/>
      <c r="U1040" s="76"/>
      <c r="V1040" s="76"/>
      <c r="W1040" s="76"/>
      <c r="X1040" s="76"/>
      <c r="Y1040" s="76"/>
      <c r="Z1040" s="76"/>
      <c r="AA1040" s="76"/>
      <c r="AB1040" s="76"/>
      <c r="AC1040" s="76"/>
      <c r="AD1040" s="76"/>
      <c r="AE1040" s="76"/>
      <c r="AF1040" s="76"/>
      <c r="AG1040" s="76"/>
      <c r="AH1040" s="76"/>
      <c r="AI1040" s="76">
        <v>1</v>
      </c>
      <c r="AJ1040" s="76">
        <v>1</v>
      </c>
      <c r="AK1040" s="73"/>
      <c r="AL1040" s="57"/>
      <c r="AM1040" s="45"/>
      <c r="AN1040" s="45"/>
      <c r="AO1040" s="45"/>
    </row>
    <row r="1041" spans="1:41" hidden="1" outlineLevel="2" x14ac:dyDescent="0.25">
      <c r="A1041" s="45"/>
      <c r="B1041" s="54"/>
      <c r="C1041" s="47">
        <f t="shared" si="462"/>
        <v>4</v>
      </c>
      <c r="D1041" s="73"/>
      <c r="E1041" s="70"/>
      <c r="F1041" s="70" t="s">
        <v>1656</v>
      </c>
      <c r="G1041" s="73"/>
      <c r="H1041" s="76" t="s">
        <v>1472</v>
      </c>
      <c r="I1041" s="96" t="s">
        <v>497</v>
      </c>
      <c r="J1041" s="96"/>
      <c r="K1041" s="76"/>
      <c r="L1041" s="76"/>
      <c r="M1041" s="76"/>
      <c r="N1041" s="76"/>
      <c r="O1041" s="76"/>
      <c r="P1041" s="76"/>
      <c r="Q1041" s="76"/>
      <c r="R1041" s="76"/>
      <c r="S1041" s="76"/>
      <c r="T1041" s="76"/>
      <c r="U1041" s="76"/>
      <c r="V1041" s="76"/>
      <c r="W1041" s="76"/>
      <c r="X1041" s="76"/>
      <c r="Y1041" s="76"/>
      <c r="Z1041" s="76"/>
      <c r="AA1041" s="76"/>
      <c r="AB1041" s="76"/>
      <c r="AC1041" s="76"/>
      <c r="AD1041" s="76"/>
      <c r="AE1041" s="76"/>
      <c r="AF1041" s="76"/>
      <c r="AG1041" s="76"/>
      <c r="AH1041" s="76"/>
      <c r="AI1041" s="76">
        <v>1</v>
      </c>
      <c r="AJ1041" s="76">
        <v>1</v>
      </c>
      <c r="AK1041" s="73"/>
      <c r="AL1041" s="57"/>
      <c r="AM1041" s="45"/>
      <c r="AN1041" s="45"/>
      <c r="AO1041" s="45"/>
    </row>
    <row r="1042" spans="1:41" hidden="1" outlineLevel="2" x14ac:dyDescent="0.25">
      <c r="A1042" s="45"/>
      <c r="B1042" s="54"/>
      <c r="C1042" s="47">
        <f t="shared" si="462"/>
        <v>4</v>
      </c>
      <c r="D1042" s="73"/>
      <c r="E1042" s="70"/>
      <c r="F1042" s="70" t="s">
        <v>1657</v>
      </c>
      <c r="G1042" s="73"/>
      <c r="H1042" s="76" t="s">
        <v>1553</v>
      </c>
      <c r="I1042" s="96" t="s">
        <v>497</v>
      </c>
      <c r="J1042" s="96"/>
      <c r="K1042" s="76"/>
      <c r="L1042" s="76"/>
      <c r="M1042" s="76"/>
      <c r="N1042" s="76"/>
      <c r="O1042" s="76"/>
      <c r="P1042" s="76"/>
      <c r="Q1042" s="76"/>
      <c r="R1042" s="76"/>
      <c r="S1042" s="76"/>
      <c r="T1042" s="76"/>
      <c r="U1042" s="76"/>
      <c r="V1042" s="76"/>
      <c r="W1042" s="76"/>
      <c r="X1042" s="76"/>
      <c r="Y1042" s="76"/>
      <c r="Z1042" s="76"/>
      <c r="AA1042" s="76"/>
      <c r="AB1042" s="76"/>
      <c r="AC1042" s="76"/>
      <c r="AD1042" s="76"/>
      <c r="AE1042" s="76"/>
      <c r="AF1042" s="76"/>
      <c r="AG1042" s="76"/>
      <c r="AH1042" s="76"/>
      <c r="AI1042" s="76">
        <v>1</v>
      </c>
      <c r="AJ1042" s="76">
        <v>1</v>
      </c>
      <c r="AK1042" s="73"/>
      <c r="AL1042" s="57"/>
      <c r="AM1042" s="45"/>
      <c r="AN1042" s="45"/>
      <c r="AO1042" s="45"/>
    </row>
    <row r="1043" spans="1:41" hidden="1" outlineLevel="2" x14ac:dyDescent="0.25">
      <c r="A1043" s="45"/>
      <c r="B1043" s="54"/>
      <c r="C1043" s="47">
        <f t="shared" si="462"/>
        <v>4</v>
      </c>
      <c r="D1043" s="73"/>
      <c r="E1043" s="70"/>
      <c r="F1043" s="70" t="s">
        <v>1658</v>
      </c>
      <c r="G1043" s="73"/>
      <c r="H1043" s="76" t="s">
        <v>1468</v>
      </c>
      <c r="I1043" s="96" t="s">
        <v>497</v>
      </c>
      <c r="J1043" s="96"/>
      <c r="K1043" s="76"/>
      <c r="L1043" s="76"/>
      <c r="M1043" s="76"/>
      <c r="N1043" s="76"/>
      <c r="O1043" s="76"/>
      <c r="P1043" s="76"/>
      <c r="Q1043" s="76"/>
      <c r="R1043" s="76"/>
      <c r="S1043" s="76"/>
      <c r="T1043" s="76"/>
      <c r="U1043" s="76"/>
      <c r="V1043" s="76"/>
      <c r="W1043" s="76"/>
      <c r="X1043" s="76"/>
      <c r="Y1043" s="76"/>
      <c r="Z1043" s="76"/>
      <c r="AA1043" s="76"/>
      <c r="AB1043" s="76"/>
      <c r="AC1043" s="76"/>
      <c r="AD1043" s="76"/>
      <c r="AE1043" s="76"/>
      <c r="AF1043" s="76"/>
      <c r="AG1043" s="76"/>
      <c r="AH1043" s="76"/>
      <c r="AI1043" s="76">
        <v>1</v>
      </c>
      <c r="AJ1043" s="76">
        <v>1</v>
      </c>
      <c r="AK1043" s="73"/>
      <c r="AL1043" s="57"/>
      <c r="AM1043" s="45"/>
      <c r="AN1043" s="45"/>
      <c r="AO1043" s="45"/>
    </row>
    <row r="1044" spans="1:41" hidden="1" outlineLevel="2" x14ac:dyDescent="0.25">
      <c r="A1044" s="45"/>
      <c r="B1044" s="54"/>
      <c r="C1044" s="47">
        <f t="shared" si="462"/>
        <v>4</v>
      </c>
      <c r="D1044" s="73"/>
      <c r="E1044" s="70"/>
      <c r="F1044" s="70" t="s">
        <v>1659</v>
      </c>
      <c r="G1044" s="73"/>
      <c r="H1044" s="76" t="s">
        <v>1470</v>
      </c>
      <c r="I1044" s="96" t="s">
        <v>497</v>
      </c>
      <c r="J1044" s="96"/>
      <c r="K1044" s="76"/>
      <c r="L1044" s="76"/>
      <c r="M1044" s="76"/>
      <c r="N1044" s="76"/>
      <c r="O1044" s="76"/>
      <c r="P1044" s="76"/>
      <c r="Q1044" s="76"/>
      <c r="R1044" s="76"/>
      <c r="S1044" s="76"/>
      <c r="T1044" s="76"/>
      <c r="U1044" s="76"/>
      <c r="V1044" s="76"/>
      <c r="W1044" s="76"/>
      <c r="X1044" s="76"/>
      <c r="Y1044" s="76"/>
      <c r="Z1044" s="76"/>
      <c r="AA1044" s="76"/>
      <c r="AB1044" s="76"/>
      <c r="AC1044" s="76"/>
      <c r="AD1044" s="76"/>
      <c r="AE1044" s="76"/>
      <c r="AF1044" s="76"/>
      <c r="AG1044" s="76"/>
      <c r="AH1044" s="76"/>
      <c r="AI1044" s="76">
        <v>1</v>
      </c>
      <c r="AJ1044" s="76">
        <v>1</v>
      </c>
      <c r="AK1044" s="73"/>
      <c r="AL1044" s="57"/>
      <c r="AM1044" s="45"/>
      <c r="AN1044" s="45"/>
      <c r="AO1044" s="45"/>
    </row>
    <row r="1045" spans="1:41" hidden="1" outlineLevel="2" x14ac:dyDescent="0.25">
      <c r="A1045" s="45"/>
      <c r="B1045" s="54"/>
      <c r="C1045" s="47">
        <f t="shared" si="462"/>
        <v>4</v>
      </c>
      <c r="D1045" s="73"/>
      <c r="E1045" s="70"/>
      <c r="F1045" s="70" t="s">
        <v>1660</v>
      </c>
      <c r="G1045" s="73"/>
      <c r="H1045" s="76" t="s">
        <v>1472</v>
      </c>
      <c r="I1045" s="96" t="s">
        <v>497</v>
      </c>
      <c r="J1045" s="96"/>
      <c r="K1045" s="76"/>
      <c r="L1045" s="76"/>
      <c r="M1045" s="76"/>
      <c r="N1045" s="76"/>
      <c r="O1045" s="76"/>
      <c r="P1045" s="76"/>
      <c r="Q1045" s="76"/>
      <c r="R1045" s="76"/>
      <c r="S1045" s="76"/>
      <c r="T1045" s="76"/>
      <c r="U1045" s="76"/>
      <c r="V1045" s="76"/>
      <c r="W1045" s="76"/>
      <c r="X1045" s="76"/>
      <c r="Y1045" s="76"/>
      <c r="Z1045" s="76"/>
      <c r="AA1045" s="76"/>
      <c r="AB1045" s="76"/>
      <c r="AC1045" s="76"/>
      <c r="AD1045" s="76"/>
      <c r="AE1045" s="76"/>
      <c r="AF1045" s="76"/>
      <c r="AG1045" s="76"/>
      <c r="AH1045" s="76"/>
      <c r="AI1045" s="76">
        <v>1</v>
      </c>
      <c r="AJ1045" s="76">
        <v>1</v>
      </c>
      <c r="AK1045" s="73"/>
      <c r="AL1045" s="57"/>
      <c r="AM1045" s="45"/>
      <c r="AN1045" s="45"/>
      <c r="AO1045" s="45"/>
    </row>
    <row r="1046" spans="1:41" hidden="1" outlineLevel="2" x14ac:dyDescent="0.25">
      <c r="A1046" s="45"/>
      <c r="B1046" s="54"/>
      <c r="C1046" s="47">
        <f t="shared" si="462"/>
        <v>4</v>
      </c>
      <c r="D1046" s="73"/>
      <c r="E1046" s="70"/>
      <c r="F1046" s="70" t="s">
        <v>1661</v>
      </c>
      <c r="G1046" s="73"/>
      <c r="H1046" s="76" t="s">
        <v>1558</v>
      </c>
      <c r="I1046" s="96" t="s">
        <v>497</v>
      </c>
      <c r="J1046" s="96"/>
      <c r="K1046" s="76"/>
      <c r="L1046" s="76"/>
      <c r="M1046" s="76"/>
      <c r="N1046" s="76"/>
      <c r="O1046" s="76"/>
      <c r="P1046" s="76"/>
      <c r="Q1046" s="76"/>
      <c r="R1046" s="76"/>
      <c r="S1046" s="76"/>
      <c r="T1046" s="76"/>
      <c r="U1046" s="76"/>
      <c r="V1046" s="76"/>
      <c r="W1046" s="76"/>
      <c r="X1046" s="76"/>
      <c r="Y1046" s="76"/>
      <c r="Z1046" s="76"/>
      <c r="AA1046" s="76"/>
      <c r="AB1046" s="76"/>
      <c r="AC1046" s="76"/>
      <c r="AD1046" s="76"/>
      <c r="AE1046" s="76"/>
      <c r="AF1046" s="76"/>
      <c r="AG1046" s="76"/>
      <c r="AH1046" s="76"/>
      <c r="AI1046" s="76">
        <v>1</v>
      </c>
      <c r="AJ1046" s="76">
        <v>1</v>
      </c>
      <c r="AK1046" s="73"/>
      <c r="AL1046" s="57"/>
      <c r="AM1046" s="45"/>
      <c r="AN1046" s="45"/>
      <c r="AO1046" s="45"/>
    </row>
    <row r="1047" spans="1:41" hidden="1" outlineLevel="2" x14ac:dyDescent="0.25">
      <c r="A1047" s="45"/>
      <c r="B1047" s="54"/>
      <c r="C1047" s="47">
        <f t="shared" si="462"/>
        <v>4</v>
      </c>
      <c r="D1047" s="73"/>
      <c r="E1047" s="70"/>
      <c r="F1047" s="70" t="s">
        <v>1662</v>
      </c>
      <c r="G1047" s="73"/>
      <c r="H1047" s="76" t="s">
        <v>1468</v>
      </c>
      <c r="I1047" s="96" t="s">
        <v>497</v>
      </c>
      <c r="J1047" s="96"/>
      <c r="K1047" s="76"/>
      <c r="L1047" s="76"/>
      <c r="M1047" s="76"/>
      <c r="N1047" s="76"/>
      <c r="O1047" s="76"/>
      <c r="P1047" s="76"/>
      <c r="Q1047" s="76"/>
      <c r="R1047" s="76"/>
      <c r="S1047" s="76"/>
      <c r="T1047" s="76"/>
      <c r="U1047" s="76"/>
      <c r="V1047" s="76"/>
      <c r="W1047" s="76"/>
      <c r="X1047" s="76"/>
      <c r="Y1047" s="76"/>
      <c r="Z1047" s="76"/>
      <c r="AA1047" s="76"/>
      <c r="AB1047" s="76"/>
      <c r="AC1047" s="76"/>
      <c r="AD1047" s="76"/>
      <c r="AE1047" s="76"/>
      <c r="AF1047" s="76"/>
      <c r="AG1047" s="76"/>
      <c r="AH1047" s="76"/>
      <c r="AI1047" s="76">
        <v>1</v>
      </c>
      <c r="AJ1047" s="76">
        <v>1</v>
      </c>
      <c r="AK1047" s="73"/>
      <c r="AL1047" s="57"/>
      <c r="AM1047" s="45"/>
      <c r="AN1047" s="45"/>
      <c r="AO1047" s="45"/>
    </row>
    <row r="1048" spans="1:41" hidden="1" outlineLevel="2" x14ac:dyDescent="0.25">
      <c r="A1048" s="45"/>
      <c r="B1048" s="54"/>
      <c r="C1048" s="47">
        <f t="shared" si="462"/>
        <v>4</v>
      </c>
      <c r="D1048" s="73"/>
      <c r="E1048" s="70"/>
      <c r="F1048" s="70" t="s">
        <v>1663</v>
      </c>
      <c r="G1048" s="73"/>
      <c r="H1048" s="76" t="s">
        <v>1470</v>
      </c>
      <c r="I1048" s="96" t="s">
        <v>497</v>
      </c>
      <c r="J1048" s="96"/>
      <c r="K1048" s="76"/>
      <c r="L1048" s="76"/>
      <c r="M1048" s="76"/>
      <c r="N1048" s="76"/>
      <c r="O1048" s="76"/>
      <c r="P1048" s="76"/>
      <c r="Q1048" s="76"/>
      <c r="R1048" s="76"/>
      <c r="S1048" s="76"/>
      <c r="T1048" s="76"/>
      <c r="U1048" s="76"/>
      <c r="V1048" s="76"/>
      <c r="W1048" s="76"/>
      <c r="X1048" s="76"/>
      <c r="Y1048" s="76"/>
      <c r="Z1048" s="76"/>
      <c r="AA1048" s="76"/>
      <c r="AB1048" s="76"/>
      <c r="AC1048" s="76"/>
      <c r="AD1048" s="76"/>
      <c r="AE1048" s="76"/>
      <c r="AF1048" s="76"/>
      <c r="AG1048" s="76"/>
      <c r="AH1048" s="76"/>
      <c r="AI1048" s="76">
        <v>1</v>
      </c>
      <c r="AJ1048" s="76">
        <v>1</v>
      </c>
      <c r="AK1048" s="73"/>
      <c r="AL1048" s="57"/>
      <c r="AM1048" s="45"/>
      <c r="AN1048" s="45"/>
      <c r="AO1048" s="45"/>
    </row>
    <row r="1049" spans="1:41" hidden="1" outlineLevel="2" collapsed="1" x14ac:dyDescent="0.25">
      <c r="A1049" s="45"/>
      <c r="B1049" s="54"/>
      <c r="C1049" s="47">
        <f t="shared" si="462"/>
        <v>4</v>
      </c>
      <c r="D1049" s="73"/>
      <c r="E1049" s="70"/>
      <c r="F1049" s="70" t="s">
        <v>1664</v>
      </c>
      <c r="G1049" s="73"/>
      <c r="H1049" s="76" t="s">
        <v>1472</v>
      </c>
      <c r="I1049" s="96" t="s">
        <v>497</v>
      </c>
      <c r="J1049" s="96"/>
      <c r="K1049" s="76"/>
      <c r="L1049" s="76"/>
      <c r="M1049" s="76"/>
      <c r="N1049" s="76"/>
      <c r="O1049" s="76"/>
      <c r="P1049" s="76"/>
      <c r="Q1049" s="76"/>
      <c r="R1049" s="76"/>
      <c r="S1049" s="76"/>
      <c r="T1049" s="76"/>
      <c r="U1049" s="76"/>
      <c r="V1049" s="76"/>
      <c r="W1049" s="76"/>
      <c r="X1049" s="76"/>
      <c r="Y1049" s="76"/>
      <c r="Z1049" s="76"/>
      <c r="AA1049" s="76"/>
      <c r="AB1049" s="76"/>
      <c r="AC1049" s="76"/>
      <c r="AD1049" s="76"/>
      <c r="AE1049" s="76"/>
      <c r="AF1049" s="76"/>
      <c r="AG1049" s="76"/>
      <c r="AH1049" s="76"/>
      <c r="AI1049" s="76">
        <v>1</v>
      </c>
      <c r="AJ1049" s="76">
        <v>1</v>
      </c>
      <c r="AK1049" s="73"/>
      <c r="AL1049" s="57"/>
      <c r="AM1049" s="45"/>
      <c r="AN1049" s="45"/>
      <c r="AO1049" s="45"/>
    </row>
    <row r="1050" spans="1:41" hidden="1" outlineLevel="3" x14ac:dyDescent="0.25">
      <c r="A1050" s="45"/>
      <c r="B1050" s="54"/>
      <c r="C1050" s="47">
        <f t="shared" si="462"/>
        <v>4</v>
      </c>
      <c r="D1050" s="73"/>
      <c r="E1050" s="70"/>
      <c r="F1050" s="70" t="s">
        <v>1665</v>
      </c>
      <c r="G1050" s="73"/>
      <c r="H1050" s="76" t="s">
        <v>1466</v>
      </c>
      <c r="I1050" s="96" t="s">
        <v>497</v>
      </c>
      <c r="J1050" s="96"/>
      <c r="K1050" s="76"/>
      <c r="L1050" s="76"/>
      <c r="M1050" s="76"/>
      <c r="N1050" s="76"/>
      <c r="O1050" s="76"/>
      <c r="P1050" s="76"/>
      <c r="Q1050" s="76"/>
      <c r="R1050" s="76"/>
      <c r="S1050" s="76"/>
      <c r="T1050" s="76"/>
      <c r="U1050" s="76"/>
      <c r="V1050" s="76"/>
      <c r="W1050" s="76"/>
      <c r="X1050" s="76"/>
      <c r="Y1050" s="76"/>
      <c r="Z1050" s="76"/>
      <c r="AA1050" s="76"/>
      <c r="AB1050" s="76"/>
      <c r="AC1050" s="76"/>
      <c r="AD1050" s="76"/>
      <c r="AE1050" s="76"/>
      <c r="AF1050" s="76"/>
      <c r="AG1050" s="76"/>
      <c r="AH1050" s="76"/>
      <c r="AI1050" s="76">
        <v>1</v>
      </c>
      <c r="AJ1050" s="76">
        <v>1</v>
      </c>
      <c r="AK1050" s="73"/>
      <c r="AL1050" s="57"/>
      <c r="AM1050" s="45"/>
      <c r="AN1050" s="45"/>
      <c r="AO1050" s="45"/>
    </row>
    <row r="1051" spans="1:41" hidden="1" outlineLevel="3" x14ac:dyDescent="0.25">
      <c r="A1051" s="45"/>
      <c r="B1051" s="54"/>
      <c r="C1051" s="47">
        <f t="shared" si="462"/>
        <v>4</v>
      </c>
      <c r="D1051" s="73"/>
      <c r="E1051" s="70"/>
      <c r="F1051" s="70" t="s">
        <v>1666</v>
      </c>
      <c r="G1051" s="73"/>
      <c r="H1051" s="76" t="s">
        <v>1468</v>
      </c>
      <c r="I1051" s="96" t="s">
        <v>497</v>
      </c>
      <c r="J1051" s="96"/>
      <c r="K1051" s="76"/>
      <c r="L1051" s="76"/>
      <c r="M1051" s="76"/>
      <c r="N1051" s="76"/>
      <c r="O1051" s="76"/>
      <c r="P1051" s="76"/>
      <c r="Q1051" s="76"/>
      <c r="R1051" s="76"/>
      <c r="S1051" s="76"/>
      <c r="T1051" s="76"/>
      <c r="U1051" s="76"/>
      <c r="V1051" s="76"/>
      <c r="W1051" s="76"/>
      <c r="X1051" s="76"/>
      <c r="Y1051" s="76"/>
      <c r="Z1051" s="76"/>
      <c r="AA1051" s="76"/>
      <c r="AB1051" s="76"/>
      <c r="AC1051" s="76"/>
      <c r="AD1051" s="76"/>
      <c r="AE1051" s="76"/>
      <c r="AF1051" s="76"/>
      <c r="AG1051" s="76"/>
      <c r="AH1051" s="76"/>
      <c r="AI1051" s="76">
        <v>1</v>
      </c>
      <c r="AJ1051" s="76">
        <v>1</v>
      </c>
      <c r="AK1051" s="73"/>
      <c r="AL1051" s="57"/>
      <c r="AM1051" s="45"/>
      <c r="AN1051" s="45"/>
      <c r="AO1051" s="45"/>
    </row>
    <row r="1052" spans="1:41" hidden="1" outlineLevel="3" x14ac:dyDescent="0.25">
      <c r="A1052" s="45"/>
      <c r="B1052" s="54"/>
      <c r="C1052" s="47">
        <f t="shared" si="462"/>
        <v>4</v>
      </c>
      <c r="D1052" s="73"/>
      <c r="E1052" s="70"/>
      <c r="F1052" s="70" t="s">
        <v>1667</v>
      </c>
      <c r="G1052" s="73"/>
      <c r="H1052" s="76" t="s">
        <v>1470</v>
      </c>
      <c r="I1052" s="96" t="s">
        <v>497</v>
      </c>
      <c r="J1052" s="96"/>
      <c r="K1052" s="76"/>
      <c r="L1052" s="76"/>
      <c r="M1052" s="76"/>
      <c r="N1052" s="76"/>
      <c r="O1052" s="76"/>
      <c r="P1052" s="76"/>
      <c r="Q1052" s="76"/>
      <c r="R1052" s="76"/>
      <c r="S1052" s="76"/>
      <c r="T1052" s="76"/>
      <c r="U1052" s="76"/>
      <c r="V1052" s="76"/>
      <c r="W1052" s="76"/>
      <c r="X1052" s="76"/>
      <c r="Y1052" s="76"/>
      <c r="Z1052" s="76"/>
      <c r="AA1052" s="76"/>
      <c r="AB1052" s="76"/>
      <c r="AC1052" s="76"/>
      <c r="AD1052" s="76"/>
      <c r="AE1052" s="76"/>
      <c r="AF1052" s="76"/>
      <c r="AG1052" s="76"/>
      <c r="AH1052" s="76"/>
      <c r="AI1052" s="76">
        <v>1</v>
      </c>
      <c r="AJ1052" s="76">
        <v>1</v>
      </c>
      <c r="AK1052" s="73"/>
      <c r="AL1052" s="57"/>
      <c r="AM1052" s="45"/>
      <c r="AN1052" s="45"/>
      <c r="AO1052" s="45"/>
    </row>
    <row r="1053" spans="1:41" hidden="1" outlineLevel="3" x14ac:dyDescent="0.25">
      <c r="A1053" s="45"/>
      <c r="B1053" s="54"/>
      <c r="C1053" s="47">
        <f t="shared" si="462"/>
        <v>4</v>
      </c>
      <c r="D1053" s="73"/>
      <c r="E1053" s="70"/>
      <c r="F1053" s="70" t="s">
        <v>1668</v>
      </c>
      <c r="G1053" s="73"/>
      <c r="H1053" s="76" t="s">
        <v>1472</v>
      </c>
      <c r="I1053" s="96" t="s">
        <v>497</v>
      </c>
      <c r="J1053" s="96"/>
      <c r="K1053" s="76"/>
      <c r="L1053" s="76"/>
      <c r="M1053" s="76"/>
      <c r="N1053" s="76"/>
      <c r="O1053" s="76"/>
      <c r="P1053" s="76"/>
      <c r="Q1053" s="76"/>
      <c r="R1053" s="76"/>
      <c r="S1053" s="76"/>
      <c r="T1053" s="76"/>
      <c r="U1053" s="76"/>
      <c r="V1053" s="76"/>
      <c r="W1053" s="76"/>
      <c r="X1053" s="76"/>
      <c r="Y1053" s="76"/>
      <c r="Z1053" s="76"/>
      <c r="AA1053" s="76"/>
      <c r="AB1053" s="76"/>
      <c r="AC1053" s="76"/>
      <c r="AD1053" s="76"/>
      <c r="AE1053" s="76"/>
      <c r="AF1053" s="76"/>
      <c r="AG1053" s="76"/>
      <c r="AH1053" s="76"/>
      <c r="AI1053" s="76">
        <v>1</v>
      </c>
      <c r="AJ1053" s="76">
        <v>1</v>
      </c>
      <c r="AK1053" s="73"/>
      <c r="AL1053" s="57"/>
      <c r="AM1053" s="45"/>
      <c r="AN1053" s="45"/>
      <c r="AO1053" s="45"/>
    </row>
    <row r="1054" spans="1:41" hidden="1" outlineLevel="3" x14ac:dyDescent="0.25">
      <c r="A1054" s="45"/>
      <c r="B1054" s="54"/>
      <c r="C1054" s="47">
        <f t="shared" si="462"/>
        <v>4</v>
      </c>
      <c r="D1054" s="73"/>
      <c r="E1054" s="70"/>
      <c r="F1054" s="70" t="s">
        <v>1669</v>
      </c>
      <c r="G1054" s="73"/>
      <c r="H1054" s="76" t="s">
        <v>1466</v>
      </c>
      <c r="I1054" s="96" t="s">
        <v>497</v>
      </c>
      <c r="J1054" s="96"/>
      <c r="K1054" s="76"/>
      <c r="L1054" s="76"/>
      <c r="M1054" s="76"/>
      <c r="N1054" s="76"/>
      <c r="O1054" s="76"/>
      <c r="P1054" s="76"/>
      <c r="Q1054" s="76"/>
      <c r="R1054" s="76"/>
      <c r="S1054" s="76"/>
      <c r="T1054" s="76"/>
      <c r="U1054" s="76"/>
      <c r="V1054" s="76"/>
      <c r="W1054" s="76"/>
      <c r="X1054" s="76"/>
      <c r="Y1054" s="76"/>
      <c r="Z1054" s="76"/>
      <c r="AA1054" s="76"/>
      <c r="AB1054" s="76"/>
      <c r="AC1054" s="76"/>
      <c r="AD1054" s="76"/>
      <c r="AE1054" s="76"/>
      <c r="AF1054" s="76"/>
      <c r="AG1054" s="76"/>
      <c r="AH1054" s="76"/>
      <c r="AI1054" s="76">
        <v>1</v>
      </c>
      <c r="AJ1054" s="76">
        <v>1</v>
      </c>
      <c r="AK1054" s="73"/>
      <c r="AL1054" s="57"/>
      <c r="AM1054" s="45"/>
      <c r="AN1054" s="45"/>
      <c r="AO1054" s="45"/>
    </row>
    <row r="1055" spans="1:41" hidden="1" outlineLevel="3" x14ac:dyDescent="0.25">
      <c r="A1055" s="45"/>
      <c r="B1055" s="54"/>
      <c r="C1055" s="47">
        <f t="shared" si="462"/>
        <v>4</v>
      </c>
      <c r="D1055" s="73"/>
      <c r="E1055" s="70"/>
      <c r="F1055" s="70" t="s">
        <v>1670</v>
      </c>
      <c r="G1055" s="73"/>
      <c r="H1055" s="76" t="s">
        <v>1468</v>
      </c>
      <c r="I1055" s="96" t="s">
        <v>497</v>
      </c>
      <c r="J1055" s="96"/>
      <c r="K1055" s="76"/>
      <c r="L1055" s="76"/>
      <c r="M1055" s="76"/>
      <c r="N1055" s="76"/>
      <c r="O1055" s="76"/>
      <c r="P1055" s="76"/>
      <c r="Q1055" s="76"/>
      <c r="R1055" s="76"/>
      <c r="S1055" s="76"/>
      <c r="T1055" s="76"/>
      <c r="U1055" s="76"/>
      <c r="V1055" s="76"/>
      <c r="W1055" s="76"/>
      <c r="X1055" s="76"/>
      <c r="Y1055" s="76"/>
      <c r="Z1055" s="76"/>
      <c r="AA1055" s="76"/>
      <c r="AB1055" s="76"/>
      <c r="AC1055" s="76"/>
      <c r="AD1055" s="76"/>
      <c r="AE1055" s="76"/>
      <c r="AF1055" s="76"/>
      <c r="AG1055" s="76"/>
      <c r="AH1055" s="76"/>
      <c r="AI1055" s="76">
        <v>1</v>
      </c>
      <c r="AJ1055" s="76">
        <v>1</v>
      </c>
      <c r="AK1055" s="73"/>
      <c r="AL1055" s="57"/>
      <c r="AM1055" s="45"/>
      <c r="AN1055" s="45"/>
      <c r="AO1055" s="45"/>
    </row>
    <row r="1056" spans="1:41" hidden="1" outlineLevel="3" x14ac:dyDescent="0.25">
      <c r="A1056" s="45"/>
      <c r="B1056" s="54"/>
      <c r="C1056" s="47">
        <f t="shared" si="462"/>
        <v>4</v>
      </c>
      <c r="D1056" s="73"/>
      <c r="E1056" s="70"/>
      <c r="F1056" s="70" t="s">
        <v>1671</v>
      </c>
      <c r="G1056" s="73"/>
      <c r="H1056" s="76" t="s">
        <v>1470</v>
      </c>
      <c r="I1056" s="96" t="s">
        <v>497</v>
      </c>
      <c r="J1056" s="96"/>
      <c r="K1056" s="76"/>
      <c r="L1056" s="76"/>
      <c r="M1056" s="76"/>
      <c r="N1056" s="76"/>
      <c r="O1056" s="76"/>
      <c r="P1056" s="76"/>
      <c r="Q1056" s="76"/>
      <c r="R1056" s="76"/>
      <c r="S1056" s="76"/>
      <c r="T1056" s="76"/>
      <c r="U1056" s="76"/>
      <c r="V1056" s="76"/>
      <c r="W1056" s="76"/>
      <c r="X1056" s="76"/>
      <c r="Y1056" s="76"/>
      <c r="Z1056" s="76"/>
      <c r="AA1056" s="76"/>
      <c r="AB1056" s="76"/>
      <c r="AC1056" s="76"/>
      <c r="AD1056" s="76"/>
      <c r="AE1056" s="76"/>
      <c r="AF1056" s="76"/>
      <c r="AG1056" s="76"/>
      <c r="AH1056" s="76"/>
      <c r="AI1056" s="76">
        <v>1</v>
      </c>
      <c r="AJ1056" s="76">
        <v>1</v>
      </c>
      <c r="AK1056" s="73"/>
      <c r="AL1056" s="57"/>
      <c r="AM1056" s="45"/>
      <c r="AN1056" s="45"/>
      <c r="AO1056" s="45"/>
    </row>
    <row r="1057" spans="1:41" hidden="1" outlineLevel="3" x14ac:dyDescent="0.25">
      <c r="A1057" s="45"/>
      <c r="B1057" s="54"/>
      <c r="C1057" s="47">
        <f t="shared" si="462"/>
        <v>4</v>
      </c>
      <c r="D1057" s="73"/>
      <c r="E1057" s="70"/>
      <c r="F1057" s="70" t="s">
        <v>1672</v>
      </c>
      <c r="G1057" s="73"/>
      <c r="H1057" s="76" t="s">
        <v>1472</v>
      </c>
      <c r="I1057" s="96" t="s">
        <v>497</v>
      </c>
      <c r="J1057" s="96"/>
      <c r="K1057" s="76"/>
      <c r="L1057" s="76"/>
      <c r="M1057" s="76"/>
      <c r="N1057" s="76"/>
      <c r="O1057" s="76"/>
      <c r="P1057" s="76"/>
      <c r="Q1057" s="76"/>
      <c r="R1057" s="76"/>
      <c r="S1057" s="76"/>
      <c r="T1057" s="76"/>
      <c r="U1057" s="76"/>
      <c r="V1057" s="76"/>
      <c r="W1057" s="76"/>
      <c r="X1057" s="76"/>
      <c r="Y1057" s="76"/>
      <c r="Z1057" s="76"/>
      <c r="AA1057" s="76"/>
      <c r="AB1057" s="76"/>
      <c r="AC1057" s="76"/>
      <c r="AD1057" s="76"/>
      <c r="AE1057" s="76"/>
      <c r="AF1057" s="76"/>
      <c r="AG1057" s="76"/>
      <c r="AH1057" s="76"/>
      <c r="AI1057" s="76">
        <v>1</v>
      </c>
      <c r="AJ1057" s="76">
        <v>1</v>
      </c>
      <c r="AK1057" s="73"/>
      <c r="AL1057" s="57"/>
      <c r="AM1057" s="45"/>
      <c r="AN1057" s="45"/>
      <c r="AO1057" s="45"/>
    </row>
    <row r="1058" spans="1:41" hidden="1" outlineLevel="3" x14ac:dyDescent="0.25">
      <c r="A1058" s="45"/>
      <c r="B1058" s="54"/>
      <c r="C1058" s="47">
        <f t="shared" si="462"/>
        <v>4</v>
      </c>
      <c r="D1058" s="73"/>
      <c r="E1058" s="70"/>
      <c r="F1058" s="70" t="s">
        <v>1673</v>
      </c>
      <c r="G1058" s="73"/>
      <c r="H1058" s="76" t="s">
        <v>1466</v>
      </c>
      <c r="I1058" s="96" t="s">
        <v>497</v>
      </c>
      <c r="J1058" s="96"/>
      <c r="K1058" s="76"/>
      <c r="L1058" s="76"/>
      <c r="M1058" s="76"/>
      <c r="N1058" s="76"/>
      <c r="O1058" s="76"/>
      <c r="P1058" s="76"/>
      <c r="Q1058" s="76"/>
      <c r="R1058" s="76"/>
      <c r="S1058" s="76"/>
      <c r="T1058" s="76"/>
      <c r="U1058" s="76"/>
      <c r="V1058" s="76"/>
      <c r="W1058" s="76"/>
      <c r="X1058" s="76"/>
      <c r="Y1058" s="76"/>
      <c r="Z1058" s="76"/>
      <c r="AA1058" s="76"/>
      <c r="AB1058" s="76"/>
      <c r="AC1058" s="76"/>
      <c r="AD1058" s="76"/>
      <c r="AE1058" s="76"/>
      <c r="AF1058" s="76"/>
      <c r="AG1058" s="76"/>
      <c r="AH1058" s="76"/>
      <c r="AI1058" s="76">
        <v>1</v>
      </c>
      <c r="AJ1058" s="76">
        <v>1</v>
      </c>
      <c r="AK1058" s="73"/>
      <c r="AL1058" s="57"/>
      <c r="AM1058" s="45"/>
      <c r="AN1058" s="45"/>
      <c r="AO1058" s="45"/>
    </row>
    <row r="1059" spans="1:41" hidden="1" outlineLevel="3" x14ac:dyDescent="0.25">
      <c r="A1059" s="45"/>
      <c r="B1059" s="54"/>
      <c r="C1059" s="47">
        <f t="shared" si="462"/>
        <v>4</v>
      </c>
      <c r="D1059" s="73"/>
      <c r="E1059" s="70"/>
      <c r="F1059" s="70" t="s">
        <v>1674</v>
      </c>
      <c r="G1059" s="73"/>
      <c r="H1059" s="76" t="s">
        <v>1468</v>
      </c>
      <c r="I1059" s="96" t="s">
        <v>497</v>
      </c>
      <c r="J1059" s="96"/>
      <c r="K1059" s="76"/>
      <c r="L1059" s="76"/>
      <c r="M1059" s="76"/>
      <c r="N1059" s="76"/>
      <c r="O1059" s="76"/>
      <c r="P1059" s="76"/>
      <c r="Q1059" s="76"/>
      <c r="R1059" s="76"/>
      <c r="S1059" s="76"/>
      <c r="T1059" s="76"/>
      <c r="U1059" s="76"/>
      <c r="V1059" s="76"/>
      <c r="W1059" s="76"/>
      <c r="X1059" s="76"/>
      <c r="Y1059" s="76"/>
      <c r="Z1059" s="76"/>
      <c r="AA1059" s="76"/>
      <c r="AB1059" s="76"/>
      <c r="AC1059" s="76"/>
      <c r="AD1059" s="76"/>
      <c r="AE1059" s="76"/>
      <c r="AF1059" s="76"/>
      <c r="AG1059" s="76"/>
      <c r="AH1059" s="76"/>
      <c r="AI1059" s="76">
        <v>1</v>
      </c>
      <c r="AJ1059" s="76">
        <v>1</v>
      </c>
      <c r="AK1059" s="73"/>
      <c r="AL1059" s="57"/>
      <c r="AM1059" s="45"/>
      <c r="AN1059" s="45"/>
      <c r="AO1059" s="45"/>
    </row>
    <row r="1060" spans="1:41" hidden="1" outlineLevel="3" x14ac:dyDescent="0.25">
      <c r="A1060" s="45"/>
      <c r="B1060" s="54"/>
      <c r="C1060" s="47">
        <f t="shared" si="462"/>
        <v>4</v>
      </c>
      <c r="D1060" s="73"/>
      <c r="E1060" s="70"/>
      <c r="F1060" s="70" t="s">
        <v>1675</v>
      </c>
      <c r="G1060" s="73"/>
      <c r="H1060" s="76" t="s">
        <v>1470</v>
      </c>
      <c r="I1060" s="96" t="s">
        <v>497</v>
      </c>
      <c r="J1060" s="96"/>
      <c r="K1060" s="76"/>
      <c r="L1060" s="76"/>
      <c r="M1060" s="76"/>
      <c r="N1060" s="76"/>
      <c r="O1060" s="76"/>
      <c r="P1060" s="76"/>
      <c r="Q1060" s="76"/>
      <c r="R1060" s="76"/>
      <c r="S1060" s="76"/>
      <c r="T1060" s="76"/>
      <c r="U1060" s="76"/>
      <c r="V1060" s="76"/>
      <c r="W1060" s="76"/>
      <c r="X1060" s="76"/>
      <c r="Y1060" s="76"/>
      <c r="Z1060" s="76"/>
      <c r="AA1060" s="76"/>
      <c r="AB1060" s="76"/>
      <c r="AC1060" s="76"/>
      <c r="AD1060" s="76"/>
      <c r="AE1060" s="76"/>
      <c r="AF1060" s="76"/>
      <c r="AG1060" s="76"/>
      <c r="AH1060" s="76"/>
      <c r="AI1060" s="76">
        <v>1</v>
      </c>
      <c r="AJ1060" s="76">
        <v>1</v>
      </c>
      <c r="AK1060" s="73"/>
      <c r="AL1060" s="57"/>
      <c r="AM1060" s="45"/>
      <c r="AN1060" s="45"/>
      <c r="AO1060" s="45"/>
    </row>
    <row r="1061" spans="1:41" hidden="1" outlineLevel="3" x14ac:dyDescent="0.25">
      <c r="A1061" s="45"/>
      <c r="B1061" s="54"/>
      <c r="C1061" s="47">
        <f t="shared" si="462"/>
        <v>4</v>
      </c>
      <c r="D1061" s="73"/>
      <c r="E1061" s="70"/>
      <c r="F1061" s="70" t="s">
        <v>1676</v>
      </c>
      <c r="G1061" s="73"/>
      <c r="H1061" s="76" t="s">
        <v>1472</v>
      </c>
      <c r="I1061" s="96" t="s">
        <v>497</v>
      </c>
      <c r="J1061" s="96"/>
      <c r="K1061" s="76"/>
      <c r="L1061" s="76"/>
      <c r="M1061" s="76"/>
      <c r="N1061" s="76"/>
      <c r="O1061" s="76"/>
      <c r="P1061" s="76"/>
      <c r="Q1061" s="76"/>
      <c r="R1061" s="76"/>
      <c r="S1061" s="76"/>
      <c r="T1061" s="76"/>
      <c r="U1061" s="76"/>
      <c r="V1061" s="76"/>
      <c r="W1061" s="76"/>
      <c r="X1061" s="76"/>
      <c r="Y1061" s="76"/>
      <c r="Z1061" s="76"/>
      <c r="AA1061" s="76"/>
      <c r="AB1061" s="76"/>
      <c r="AC1061" s="76"/>
      <c r="AD1061" s="76"/>
      <c r="AE1061" s="76"/>
      <c r="AF1061" s="76"/>
      <c r="AG1061" s="76"/>
      <c r="AH1061" s="76"/>
      <c r="AI1061" s="76">
        <v>1</v>
      </c>
      <c r="AJ1061" s="76">
        <v>1</v>
      </c>
      <c r="AK1061" s="73"/>
      <c r="AL1061" s="57"/>
      <c r="AM1061" s="45"/>
      <c r="AN1061" s="45"/>
      <c r="AO1061" s="45"/>
    </row>
    <row r="1062" spans="1:41" hidden="1" outlineLevel="2" x14ac:dyDescent="0.25">
      <c r="A1062" s="45"/>
      <c r="B1062" s="54"/>
      <c r="C1062" s="47">
        <f t="shared" ref="C1062:C1069" si="463">INT($C$29)+3</f>
        <v>4</v>
      </c>
      <c r="D1062" s="73"/>
      <c r="E1062" s="70"/>
      <c r="F1062" s="70" t="s">
        <v>1677</v>
      </c>
      <c r="G1062" s="73"/>
      <c r="H1062" s="76" t="s">
        <v>1587</v>
      </c>
      <c r="I1062" s="96" t="s">
        <v>497</v>
      </c>
      <c r="J1062" s="96"/>
      <c r="K1062" s="76"/>
      <c r="L1062" s="76"/>
      <c r="M1062" s="76"/>
      <c r="N1062" s="76"/>
      <c r="O1062" s="76"/>
      <c r="P1062" s="76"/>
      <c r="Q1062" s="76"/>
      <c r="R1062" s="76"/>
      <c r="S1062" s="76"/>
      <c r="T1062" s="76"/>
      <c r="U1062" s="76"/>
      <c r="V1062" s="76"/>
      <c r="W1062" s="76"/>
      <c r="X1062" s="76"/>
      <c r="Y1062" s="76"/>
      <c r="Z1062" s="76"/>
      <c r="AA1062" s="76"/>
      <c r="AB1062" s="76"/>
      <c r="AC1062" s="76"/>
      <c r="AD1062" s="76"/>
      <c r="AE1062" s="76"/>
      <c r="AF1062" s="76"/>
      <c r="AG1062" s="76"/>
      <c r="AH1062" s="76"/>
      <c r="AI1062" s="76">
        <v>1</v>
      </c>
      <c r="AJ1062" s="76">
        <v>1</v>
      </c>
      <c r="AK1062" s="73"/>
      <c r="AL1062" s="57"/>
      <c r="AM1062" s="45"/>
      <c r="AN1062" s="45"/>
      <c r="AO1062" s="45"/>
    </row>
    <row r="1063" spans="1:41" hidden="1" outlineLevel="2" x14ac:dyDescent="0.25">
      <c r="A1063" s="45"/>
      <c r="B1063" s="54"/>
      <c r="C1063" s="47">
        <f t="shared" si="463"/>
        <v>4</v>
      </c>
      <c r="D1063" s="73"/>
      <c r="E1063" s="70"/>
      <c r="F1063" s="70" t="s">
        <v>1678</v>
      </c>
      <c r="G1063" s="73"/>
      <c r="H1063" s="76" t="s">
        <v>1468</v>
      </c>
      <c r="I1063" s="96" t="s">
        <v>497</v>
      </c>
      <c r="J1063" s="96"/>
      <c r="K1063" s="76"/>
      <c r="L1063" s="76"/>
      <c r="M1063" s="76"/>
      <c r="N1063" s="76"/>
      <c r="O1063" s="76"/>
      <c r="P1063" s="76"/>
      <c r="Q1063" s="76"/>
      <c r="R1063" s="76"/>
      <c r="S1063" s="76"/>
      <c r="T1063" s="76"/>
      <c r="U1063" s="76"/>
      <c r="V1063" s="76"/>
      <c r="W1063" s="76"/>
      <c r="X1063" s="76"/>
      <c r="Y1063" s="76"/>
      <c r="Z1063" s="76"/>
      <c r="AA1063" s="76"/>
      <c r="AB1063" s="76"/>
      <c r="AC1063" s="76"/>
      <c r="AD1063" s="76"/>
      <c r="AE1063" s="76"/>
      <c r="AF1063" s="76"/>
      <c r="AG1063" s="76"/>
      <c r="AH1063" s="76"/>
      <c r="AI1063" s="76">
        <v>1</v>
      </c>
      <c r="AJ1063" s="76">
        <v>1</v>
      </c>
      <c r="AK1063" s="73"/>
      <c r="AL1063" s="57"/>
      <c r="AM1063" s="45"/>
      <c r="AN1063" s="45"/>
      <c r="AO1063" s="45"/>
    </row>
    <row r="1064" spans="1:41" hidden="1" outlineLevel="2" x14ac:dyDescent="0.25">
      <c r="A1064" s="45"/>
      <c r="B1064" s="54"/>
      <c r="C1064" s="47">
        <f t="shared" si="463"/>
        <v>4</v>
      </c>
      <c r="D1064" s="73"/>
      <c r="E1064" s="70"/>
      <c r="F1064" s="70" t="s">
        <v>1679</v>
      </c>
      <c r="G1064" s="73"/>
      <c r="H1064" s="76" t="s">
        <v>1470</v>
      </c>
      <c r="I1064" s="96" t="s">
        <v>497</v>
      </c>
      <c r="J1064" s="96"/>
      <c r="K1064" s="76"/>
      <c r="L1064" s="76"/>
      <c r="M1064" s="76"/>
      <c r="N1064" s="76"/>
      <c r="O1064" s="76"/>
      <c r="P1064" s="76"/>
      <c r="Q1064" s="76"/>
      <c r="R1064" s="76"/>
      <c r="S1064" s="76"/>
      <c r="T1064" s="76"/>
      <c r="U1064" s="76"/>
      <c r="V1064" s="76"/>
      <c r="W1064" s="76"/>
      <c r="X1064" s="76"/>
      <c r="Y1064" s="76"/>
      <c r="Z1064" s="76"/>
      <c r="AA1064" s="76"/>
      <c r="AB1064" s="76"/>
      <c r="AC1064" s="76"/>
      <c r="AD1064" s="76"/>
      <c r="AE1064" s="76"/>
      <c r="AF1064" s="76"/>
      <c r="AG1064" s="76"/>
      <c r="AH1064" s="76"/>
      <c r="AI1064" s="76">
        <v>1</v>
      </c>
      <c r="AJ1064" s="76">
        <v>1</v>
      </c>
      <c r="AK1064" s="73"/>
      <c r="AL1064" s="57"/>
      <c r="AM1064" s="45"/>
      <c r="AN1064" s="45"/>
      <c r="AO1064" s="45"/>
    </row>
    <row r="1065" spans="1:41" hidden="1" outlineLevel="2" x14ac:dyDescent="0.25">
      <c r="A1065" s="45"/>
      <c r="B1065" s="54"/>
      <c r="C1065" s="47">
        <f t="shared" si="463"/>
        <v>4</v>
      </c>
      <c r="D1065" s="73"/>
      <c r="E1065" s="70"/>
      <c r="F1065" s="70" t="s">
        <v>1680</v>
      </c>
      <c r="G1065" s="73"/>
      <c r="H1065" s="76" t="s">
        <v>1472</v>
      </c>
      <c r="I1065" s="96" t="s">
        <v>497</v>
      </c>
      <c r="J1065" s="96"/>
      <c r="K1065" s="76"/>
      <c r="L1065" s="76"/>
      <c r="M1065" s="76"/>
      <c r="N1065" s="76"/>
      <c r="O1065" s="76"/>
      <c r="P1065" s="76"/>
      <c r="Q1065" s="76"/>
      <c r="R1065" s="76"/>
      <c r="S1065" s="76"/>
      <c r="T1065" s="76"/>
      <c r="U1065" s="76"/>
      <c r="V1065" s="76"/>
      <c r="W1065" s="76"/>
      <c r="X1065" s="76"/>
      <c r="Y1065" s="76"/>
      <c r="Z1065" s="76"/>
      <c r="AA1065" s="76"/>
      <c r="AB1065" s="76"/>
      <c r="AC1065" s="76"/>
      <c r="AD1065" s="76"/>
      <c r="AE1065" s="76"/>
      <c r="AF1065" s="76"/>
      <c r="AG1065" s="76"/>
      <c r="AH1065" s="76"/>
      <c r="AI1065" s="76">
        <v>1</v>
      </c>
      <c r="AJ1065" s="76">
        <v>1</v>
      </c>
      <c r="AK1065" s="73"/>
      <c r="AL1065" s="57"/>
      <c r="AM1065" s="45"/>
      <c r="AN1065" s="45"/>
      <c r="AO1065" s="45"/>
    </row>
    <row r="1066" spans="1:41" hidden="1" outlineLevel="2" x14ac:dyDescent="0.25">
      <c r="A1066" s="45"/>
      <c r="B1066" s="54"/>
      <c r="C1066" s="47">
        <f t="shared" si="463"/>
        <v>4</v>
      </c>
      <c r="D1066" s="73"/>
      <c r="E1066" s="70"/>
      <c r="F1066" s="70" t="s">
        <v>1681</v>
      </c>
      <c r="G1066" s="73"/>
      <c r="H1066" s="76" t="s">
        <v>1592</v>
      </c>
      <c r="I1066" s="96" t="s">
        <v>497</v>
      </c>
      <c r="J1066" s="96"/>
      <c r="K1066" s="76"/>
      <c r="L1066" s="76"/>
      <c r="M1066" s="76"/>
      <c r="N1066" s="76"/>
      <c r="O1066" s="76"/>
      <c r="P1066" s="76"/>
      <c r="Q1066" s="76"/>
      <c r="R1066" s="76"/>
      <c r="S1066" s="76"/>
      <c r="T1066" s="76"/>
      <c r="U1066" s="76"/>
      <c r="V1066" s="76"/>
      <c r="W1066" s="76"/>
      <c r="X1066" s="76"/>
      <c r="Y1066" s="76"/>
      <c r="Z1066" s="76"/>
      <c r="AA1066" s="76"/>
      <c r="AB1066" s="76"/>
      <c r="AC1066" s="76"/>
      <c r="AD1066" s="76"/>
      <c r="AE1066" s="76"/>
      <c r="AF1066" s="76"/>
      <c r="AG1066" s="76"/>
      <c r="AH1066" s="76"/>
      <c r="AI1066" s="76">
        <v>1</v>
      </c>
      <c r="AJ1066" s="76">
        <v>1</v>
      </c>
      <c r="AK1066" s="73"/>
      <c r="AL1066" s="57"/>
      <c r="AM1066" s="45"/>
      <c r="AN1066" s="45"/>
      <c r="AO1066" s="45"/>
    </row>
    <row r="1067" spans="1:41" hidden="1" outlineLevel="2" x14ac:dyDescent="0.25">
      <c r="A1067" s="45"/>
      <c r="B1067" s="54"/>
      <c r="C1067" s="47">
        <f t="shared" si="463"/>
        <v>4</v>
      </c>
      <c r="D1067" s="73"/>
      <c r="E1067" s="70"/>
      <c r="F1067" s="70" t="s">
        <v>1682</v>
      </c>
      <c r="G1067" s="73"/>
      <c r="H1067" s="76" t="s">
        <v>1594</v>
      </c>
      <c r="I1067" s="96" t="s">
        <v>497</v>
      </c>
      <c r="J1067" s="96"/>
      <c r="K1067" s="76"/>
      <c r="L1067" s="76"/>
      <c r="M1067" s="76"/>
      <c r="N1067" s="76"/>
      <c r="O1067" s="76"/>
      <c r="P1067" s="76"/>
      <c r="Q1067" s="76"/>
      <c r="R1067" s="76"/>
      <c r="S1067" s="76"/>
      <c r="T1067" s="76"/>
      <c r="U1067" s="76"/>
      <c r="V1067" s="76"/>
      <c r="W1067" s="76"/>
      <c r="X1067" s="76"/>
      <c r="Y1067" s="76"/>
      <c r="Z1067" s="76"/>
      <c r="AA1067" s="76"/>
      <c r="AB1067" s="76"/>
      <c r="AC1067" s="76"/>
      <c r="AD1067" s="76"/>
      <c r="AE1067" s="76"/>
      <c r="AF1067" s="76"/>
      <c r="AG1067" s="76"/>
      <c r="AH1067" s="76"/>
      <c r="AI1067" s="76">
        <v>1</v>
      </c>
      <c r="AJ1067" s="76">
        <v>1</v>
      </c>
      <c r="AK1067" s="73"/>
      <c r="AL1067" s="57"/>
      <c r="AM1067" s="45"/>
      <c r="AN1067" s="45"/>
      <c r="AO1067" s="45"/>
    </row>
    <row r="1068" spans="1:41" hidden="1" outlineLevel="2" x14ac:dyDescent="0.25">
      <c r="A1068" s="45"/>
      <c r="B1068" s="54"/>
      <c r="C1068" s="47">
        <f t="shared" si="463"/>
        <v>4</v>
      </c>
      <c r="D1068" s="73"/>
      <c r="E1068" s="70"/>
      <c r="F1068" s="70" t="s">
        <v>1683</v>
      </c>
      <c r="G1068" s="73"/>
      <c r="H1068" s="76" t="s">
        <v>1596</v>
      </c>
      <c r="I1068" s="96" t="s">
        <v>497</v>
      </c>
      <c r="J1068" s="96"/>
      <c r="K1068" s="76"/>
      <c r="L1068" s="76"/>
      <c r="M1068" s="76"/>
      <c r="N1068" s="76"/>
      <c r="O1068" s="76"/>
      <c r="P1068" s="76"/>
      <c r="Q1068" s="76"/>
      <c r="R1068" s="76"/>
      <c r="S1068" s="76"/>
      <c r="T1068" s="76"/>
      <c r="U1068" s="76"/>
      <c r="V1068" s="76"/>
      <c r="W1068" s="76"/>
      <c r="X1068" s="76"/>
      <c r="Y1068" s="76"/>
      <c r="Z1068" s="76"/>
      <c r="AA1068" s="76"/>
      <c r="AB1068" s="76"/>
      <c r="AC1068" s="76"/>
      <c r="AD1068" s="76"/>
      <c r="AE1068" s="76"/>
      <c r="AF1068" s="76"/>
      <c r="AG1068" s="76"/>
      <c r="AH1068" s="76"/>
      <c r="AI1068" s="76">
        <v>1</v>
      </c>
      <c r="AJ1068" s="76">
        <v>1</v>
      </c>
      <c r="AK1068" s="73"/>
      <c r="AL1068" s="57"/>
      <c r="AM1068" s="45"/>
      <c r="AN1068" s="45"/>
      <c r="AO1068" s="45"/>
    </row>
    <row r="1069" spans="1:41" hidden="1" outlineLevel="2" x14ac:dyDescent="0.25">
      <c r="A1069" s="45"/>
      <c r="B1069" s="54"/>
      <c r="C1069" s="47">
        <f t="shared" si="463"/>
        <v>4</v>
      </c>
      <c r="D1069" s="73"/>
      <c r="E1069" s="70"/>
      <c r="F1069" s="70" t="s">
        <v>1684</v>
      </c>
      <c r="G1069" s="73"/>
      <c r="H1069" s="76" t="s">
        <v>1598</v>
      </c>
      <c r="I1069" s="96" t="s">
        <v>497</v>
      </c>
      <c r="J1069" s="96"/>
      <c r="K1069" s="76"/>
      <c r="L1069" s="76"/>
      <c r="M1069" s="76"/>
      <c r="N1069" s="76"/>
      <c r="O1069" s="76"/>
      <c r="P1069" s="76"/>
      <c r="Q1069" s="76"/>
      <c r="R1069" s="76"/>
      <c r="S1069" s="76"/>
      <c r="T1069" s="76"/>
      <c r="U1069" s="76"/>
      <c r="V1069" s="76"/>
      <c r="W1069" s="76"/>
      <c r="X1069" s="76"/>
      <c r="Y1069" s="76"/>
      <c r="Z1069" s="76"/>
      <c r="AA1069" s="76"/>
      <c r="AB1069" s="76"/>
      <c r="AC1069" s="76"/>
      <c r="AD1069" s="76"/>
      <c r="AE1069" s="76"/>
      <c r="AF1069" s="76"/>
      <c r="AG1069" s="76"/>
      <c r="AH1069" s="76"/>
      <c r="AI1069" s="76">
        <v>1</v>
      </c>
      <c r="AJ1069" s="76">
        <v>1</v>
      </c>
      <c r="AK1069" s="73"/>
      <c r="AL1069" s="57"/>
      <c r="AM1069" s="45"/>
      <c r="AN1069" s="45"/>
      <c r="AO1069" s="45"/>
    </row>
    <row r="1070" spans="1:41" hidden="1" outlineLevel="2" x14ac:dyDescent="0.25">
      <c r="A1070" s="45"/>
      <c r="B1070" s="54"/>
      <c r="C1070" s="47">
        <f>INT($C$29)+2</f>
        <v>3</v>
      </c>
      <c r="D1070" s="73"/>
      <c r="E1070" s="70" t="s">
        <v>1685</v>
      </c>
      <c r="F1070" s="70" t="s">
        <v>1686</v>
      </c>
      <c r="G1070" s="73"/>
      <c r="H1070" s="76" t="s">
        <v>1687</v>
      </c>
      <c r="I1070" s="96" t="s">
        <v>497</v>
      </c>
      <c r="J1070" s="96"/>
      <c r="K1070" s="76"/>
      <c r="L1070" s="76"/>
      <c r="M1070" s="76"/>
      <c r="N1070" s="76"/>
      <c r="O1070" s="76"/>
      <c r="P1070" s="76"/>
      <c r="Q1070" s="76"/>
      <c r="R1070" s="76"/>
      <c r="S1070" s="76"/>
      <c r="T1070" s="76"/>
      <c r="U1070" s="76">
        <v>0</v>
      </c>
      <c r="V1070" s="76">
        <v>0</v>
      </c>
      <c r="W1070" s="76">
        <v>0</v>
      </c>
      <c r="X1070" s="76">
        <v>0</v>
      </c>
      <c r="Y1070" s="76">
        <v>0</v>
      </c>
      <c r="Z1070" s="76">
        <v>0</v>
      </c>
      <c r="AA1070" s="76">
        <v>0</v>
      </c>
      <c r="AB1070" s="76">
        <v>0</v>
      </c>
      <c r="AC1070" s="76">
        <v>0</v>
      </c>
      <c r="AD1070" s="76">
        <v>0</v>
      </c>
      <c r="AE1070" s="76">
        <v>0</v>
      </c>
      <c r="AF1070" s="76"/>
      <c r="AG1070" s="264" t="s">
        <v>1688</v>
      </c>
      <c r="AH1070" s="76"/>
      <c r="AI1070" s="76">
        <v>1</v>
      </c>
      <c r="AJ1070" s="76">
        <v>1</v>
      </c>
      <c r="AK1070" s="73"/>
      <c r="AL1070" s="57"/>
      <c r="AM1070" s="45"/>
      <c r="AN1070" s="45"/>
      <c r="AO1070" s="45"/>
    </row>
    <row r="1071" spans="1:41" hidden="1" outlineLevel="2" x14ac:dyDescent="0.25">
      <c r="A1071" s="45"/>
      <c r="B1071" s="54"/>
      <c r="C1071" s="47">
        <f>INT($C$29)+2</f>
        <v>3</v>
      </c>
      <c r="D1071" s="73"/>
      <c r="E1071" s="70"/>
      <c r="F1071" s="70" t="s">
        <v>1689</v>
      </c>
      <c r="G1071" s="73"/>
      <c r="H1071" s="76" t="s">
        <v>1690</v>
      </c>
      <c r="I1071" s="96" t="s">
        <v>497</v>
      </c>
      <c r="J1071" s="96"/>
      <c r="K1071" s="97">
        <v>0.52400000000000002</v>
      </c>
      <c r="L1071" s="97">
        <v>0.65500000000000003</v>
      </c>
      <c r="M1071" s="97">
        <v>0.41599999999999998</v>
      </c>
      <c r="N1071" s="97">
        <v>0.41599999999999998</v>
      </c>
      <c r="O1071" s="97">
        <v>0.41599999999999998</v>
      </c>
      <c r="P1071" s="97">
        <v>0.57699999999999996</v>
      </c>
      <c r="Q1071" s="76"/>
      <c r="R1071" s="76" t="s">
        <v>545</v>
      </c>
      <c r="S1071" s="76" t="s">
        <v>545</v>
      </c>
      <c r="T1071" s="76"/>
      <c r="U1071" s="253">
        <f t="shared" ref="U1071:AE1073" si="464">INDEX($K1071:$Q1071,1,U$43)</f>
        <v>0.52400000000000002</v>
      </c>
      <c r="V1071" s="253">
        <f t="shared" si="464"/>
        <v>0.52400000000000002</v>
      </c>
      <c r="W1071" s="253">
        <f t="shared" si="464"/>
        <v>0.52400000000000002</v>
      </c>
      <c r="X1071" s="253">
        <f t="shared" si="464"/>
        <v>0.52400000000000002</v>
      </c>
      <c r="Y1071" s="253">
        <f t="shared" si="464"/>
        <v>0.52400000000000002</v>
      </c>
      <c r="Z1071" s="253">
        <f t="shared" si="464"/>
        <v>0.52400000000000002</v>
      </c>
      <c r="AA1071" s="253">
        <f t="shared" si="464"/>
        <v>0.52400000000000002</v>
      </c>
      <c r="AB1071" s="253">
        <f t="shared" si="464"/>
        <v>0.65500000000000003</v>
      </c>
      <c r="AC1071" s="253">
        <f t="shared" si="464"/>
        <v>0.65500000000000003</v>
      </c>
      <c r="AD1071" s="253">
        <f t="shared" si="464"/>
        <v>0.65500000000000003</v>
      </c>
      <c r="AE1071" s="253">
        <f t="shared" si="464"/>
        <v>0.65500000000000003</v>
      </c>
      <c r="AF1071" s="76"/>
      <c r="AG1071" s="76"/>
      <c r="AH1071" s="76"/>
      <c r="AI1071" s="97">
        <v>1</v>
      </c>
      <c r="AJ1071" s="97">
        <v>1</v>
      </c>
      <c r="AK1071" s="73"/>
      <c r="AL1071" s="57"/>
      <c r="AM1071" s="45"/>
      <c r="AN1071" s="45"/>
      <c r="AO1071" s="45"/>
    </row>
    <row r="1072" spans="1:41" hidden="1" outlineLevel="2" x14ac:dyDescent="0.25">
      <c r="A1072" s="45"/>
      <c r="B1072" s="54"/>
      <c r="C1072" s="47">
        <f>INT($C$29)+2</f>
        <v>3</v>
      </c>
      <c r="D1072" s="73"/>
      <c r="E1072" s="70"/>
      <c r="F1072" s="70" t="s">
        <v>1691</v>
      </c>
      <c r="G1072" s="73"/>
      <c r="H1072" s="76" t="s">
        <v>1692</v>
      </c>
      <c r="I1072" s="96" t="s">
        <v>497</v>
      </c>
      <c r="J1072" s="96"/>
      <c r="K1072" s="97">
        <v>0.70699999999999996</v>
      </c>
      <c r="L1072" s="97">
        <v>0.88400000000000001</v>
      </c>
      <c r="M1072" s="76"/>
      <c r="N1072" s="76"/>
      <c r="O1072" s="76"/>
      <c r="P1072" s="76"/>
      <c r="Q1072" s="76"/>
      <c r="R1072" s="76" t="s">
        <v>545</v>
      </c>
      <c r="S1072" s="76"/>
      <c r="T1072" s="76"/>
      <c r="U1072" s="253">
        <f t="shared" si="464"/>
        <v>0.70699999999999996</v>
      </c>
      <c r="V1072" s="253">
        <f t="shared" si="464"/>
        <v>0.70699999999999996</v>
      </c>
      <c r="W1072" s="253">
        <f t="shared" si="464"/>
        <v>0.70699999999999996</v>
      </c>
      <c r="X1072" s="253">
        <f t="shared" si="464"/>
        <v>0.70699999999999996</v>
      </c>
      <c r="Y1072" s="253">
        <f t="shared" si="464"/>
        <v>0.70699999999999996</v>
      </c>
      <c r="Z1072" s="253">
        <f t="shared" si="464"/>
        <v>0.70699999999999996</v>
      </c>
      <c r="AA1072" s="253">
        <f t="shared" si="464"/>
        <v>0.70699999999999996</v>
      </c>
      <c r="AB1072" s="253">
        <f t="shared" si="464"/>
        <v>0.88400000000000001</v>
      </c>
      <c r="AC1072" s="253">
        <f t="shared" si="464"/>
        <v>0.88400000000000001</v>
      </c>
      <c r="AD1072" s="253">
        <f t="shared" si="464"/>
        <v>0.88400000000000001</v>
      </c>
      <c r="AE1072" s="253">
        <f t="shared" si="464"/>
        <v>0.88400000000000001</v>
      </c>
      <c r="AF1072" s="76"/>
      <c r="AG1072" s="76"/>
      <c r="AH1072" s="76"/>
      <c r="AI1072" s="97">
        <v>1</v>
      </c>
      <c r="AJ1072" s="97">
        <v>1</v>
      </c>
      <c r="AK1072" s="73"/>
      <c r="AL1072" s="57"/>
      <c r="AM1072" s="45"/>
      <c r="AN1072" s="45"/>
      <c r="AO1072" s="45"/>
    </row>
    <row r="1073" spans="1:41" hidden="1" outlineLevel="2" collapsed="1" x14ac:dyDescent="0.25">
      <c r="A1073" s="45"/>
      <c r="B1073" s="54"/>
      <c r="C1073" s="47">
        <f>INT($C$29)+2</f>
        <v>3</v>
      </c>
      <c r="D1073" s="73"/>
      <c r="E1073" s="70"/>
      <c r="F1073" s="70" t="s">
        <v>1693</v>
      </c>
      <c r="G1073" s="73"/>
      <c r="H1073" s="76" t="s">
        <v>1694</v>
      </c>
      <c r="I1073" s="96" t="s">
        <v>497</v>
      </c>
      <c r="J1073" s="96"/>
      <c r="K1073" s="97">
        <v>0.89100000000000001</v>
      </c>
      <c r="L1073" s="97">
        <v>1.1140000000000001</v>
      </c>
      <c r="M1073" s="76"/>
      <c r="N1073" s="76"/>
      <c r="O1073" s="76"/>
      <c r="P1073" s="76"/>
      <c r="Q1073" s="76"/>
      <c r="R1073" s="76" t="s">
        <v>545</v>
      </c>
      <c r="S1073" s="76"/>
      <c r="T1073" s="76"/>
      <c r="U1073" s="253">
        <f t="shared" si="464"/>
        <v>0.89100000000000001</v>
      </c>
      <c r="V1073" s="253">
        <f t="shared" si="464"/>
        <v>0.89100000000000001</v>
      </c>
      <c r="W1073" s="253">
        <f t="shared" si="464"/>
        <v>0.89100000000000001</v>
      </c>
      <c r="X1073" s="253">
        <f t="shared" si="464"/>
        <v>0.89100000000000001</v>
      </c>
      <c r="Y1073" s="253">
        <f t="shared" si="464"/>
        <v>0.89100000000000001</v>
      </c>
      <c r="Z1073" s="253">
        <f t="shared" si="464"/>
        <v>0.89100000000000001</v>
      </c>
      <c r="AA1073" s="253">
        <f t="shared" si="464"/>
        <v>0.89100000000000001</v>
      </c>
      <c r="AB1073" s="253">
        <f t="shared" si="464"/>
        <v>1.1140000000000001</v>
      </c>
      <c r="AC1073" s="253">
        <f t="shared" si="464"/>
        <v>1.1140000000000001</v>
      </c>
      <c r="AD1073" s="253">
        <f t="shared" si="464"/>
        <v>1.1140000000000001</v>
      </c>
      <c r="AE1073" s="253">
        <f t="shared" si="464"/>
        <v>1.1140000000000001</v>
      </c>
      <c r="AF1073" s="76"/>
      <c r="AG1073" s="76"/>
      <c r="AH1073" s="76"/>
      <c r="AI1073" s="97">
        <v>1</v>
      </c>
      <c r="AJ1073" s="97">
        <v>1</v>
      </c>
      <c r="AK1073" s="73"/>
      <c r="AL1073" s="57"/>
      <c r="AM1073" s="45"/>
      <c r="AN1073" s="45"/>
      <c r="AO1073" s="45"/>
    </row>
    <row r="1074" spans="1:41" hidden="1" outlineLevel="3" x14ac:dyDescent="0.25">
      <c r="A1074" s="45"/>
      <c r="B1074" s="54"/>
      <c r="C1074" s="47">
        <f t="shared" ref="C1074:C1137" si="465">INT($C$29)+3</f>
        <v>4</v>
      </c>
      <c r="D1074" s="73"/>
      <c r="E1074" s="70"/>
      <c r="F1074" s="70" t="s">
        <v>2510</v>
      </c>
      <c r="G1074" s="73"/>
      <c r="H1074" s="76" t="s">
        <v>1466</v>
      </c>
      <c r="I1074" s="96" t="s">
        <v>497</v>
      </c>
      <c r="J1074" s="96"/>
      <c r="K1074" s="76"/>
      <c r="L1074" s="76"/>
      <c r="M1074" s="76"/>
      <c r="N1074" s="76"/>
      <c r="O1074" s="76"/>
      <c r="P1074" s="76"/>
      <c r="Q1074" s="76"/>
      <c r="R1074" s="76"/>
      <c r="S1074" s="76"/>
      <c r="T1074" s="76"/>
      <c r="U1074" s="76"/>
      <c r="V1074" s="76"/>
      <c r="W1074" s="76"/>
      <c r="X1074" s="76"/>
      <c r="Y1074" s="76"/>
      <c r="Z1074" s="76"/>
      <c r="AA1074" s="76"/>
      <c r="AB1074" s="76"/>
      <c r="AC1074" s="76"/>
      <c r="AD1074" s="76"/>
      <c r="AE1074" s="76"/>
      <c r="AF1074" s="76"/>
      <c r="AG1074" s="76"/>
      <c r="AH1074" s="76"/>
      <c r="AI1074" s="76">
        <v>1</v>
      </c>
      <c r="AJ1074" s="76">
        <v>1</v>
      </c>
      <c r="AK1074" s="73"/>
      <c r="AL1074" s="57"/>
      <c r="AM1074" s="45"/>
      <c r="AN1074" s="45"/>
      <c r="AO1074" s="45"/>
    </row>
    <row r="1075" spans="1:41" hidden="1" outlineLevel="3" x14ac:dyDescent="0.25">
      <c r="A1075" s="45"/>
      <c r="B1075" s="54"/>
      <c r="C1075" s="47">
        <f t="shared" si="465"/>
        <v>4</v>
      </c>
      <c r="D1075" s="73"/>
      <c r="E1075" s="70"/>
      <c r="F1075" s="70" t="s">
        <v>2511</v>
      </c>
      <c r="G1075" s="73"/>
      <c r="H1075" s="76" t="s">
        <v>1468</v>
      </c>
      <c r="I1075" s="96" t="s">
        <v>497</v>
      </c>
      <c r="J1075" s="96"/>
      <c r="K1075" s="76"/>
      <c r="L1075" s="76"/>
      <c r="M1075" s="76"/>
      <c r="N1075" s="76"/>
      <c r="O1075" s="76"/>
      <c r="P1075" s="76"/>
      <c r="Q1075" s="76"/>
      <c r="R1075" s="76"/>
      <c r="S1075" s="76"/>
      <c r="T1075" s="76"/>
      <c r="U1075" s="76"/>
      <c r="V1075" s="76"/>
      <c r="W1075" s="76"/>
      <c r="X1075" s="76"/>
      <c r="Y1075" s="76"/>
      <c r="Z1075" s="76"/>
      <c r="AA1075" s="76"/>
      <c r="AB1075" s="76"/>
      <c r="AC1075" s="76"/>
      <c r="AD1075" s="76"/>
      <c r="AE1075" s="76"/>
      <c r="AF1075" s="76"/>
      <c r="AG1075" s="76"/>
      <c r="AH1075" s="76"/>
      <c r="AI1075" s="76">
        <v>1</v>
      </c>
      <c r="AJ1075" s="76">
        <v>1</v>
      </c>
      <c r="AK1075" s="73"/>
      <c r="AL1075" s="57"/>
      <c r="AM1075" s="45"/>
      <c r="AN1075" s="45"/>
      <c r="AO1075" s="45"/>
    </row>
    <row r="1076" spans="1:41" hidden="1" outlineLevel="3" x14ac:dyDescent="0.25">
      <c r="A1076" s="45"/>
      <c r="B1076" s="54"/>
      <c r="C1076" s="47">
        <f t="shared" si="465"/>
        <v>4</v>
      </c>
      <c r="D1076" s="73"/>
      <c r="E1076" s="70"/>
      <c r="F1076" s="70" t="s">
        <v>2512</v>
      </c>
      <c r="G1076" s="73"/>
      <c r="H1076" s="76" t="s">
        <v>1470</v>
      </c>
      <c r="I1076" s="96" t="s">
        <v>497</v>
      </c>
      <c r="J1076" s="96"/>
      <c r="K1076" s="76"/>
      <c r="L1076" s="76"/>
      <c r="M1076" s="76"/>
      <c r="N1076" s="76"/>
      <c r="O1076" s="76"/>
      <c r="P1076" s="76"/>
      <c r="Q1076" s="76"/>
      <c r="R1076" s="76"/>
      <c r="S1076" s="76"/>
      <c r="T1076" s="76"/>
      <c r="U1076" s="76"/>
      <c r="V1076" s="76"/>
      <c r="W1076" s="76"/>
      <c r="X1076" s="76"/>
      <c r="Y1076" s="76"/>
      <c r="Z1076" s="76"/>
      <c r="AA1076" s="76"/>
      <c r="AB1076" s="76"/>
      <c r="AC1076" s="76"/>
      <c r="AD1076" s="76"/>
      <c r="AE1076" s="76"/>
      <c r="AF1076" s="76"/>
      <c r="AG1076" s="76"/>
      <c r="AH1076" s="76"/>
      <c r="AI1076" s="76">
        <v>1</v>
      </c>
      <c r="AJ1076" s="76">
        <v>1</v>
      </c>
      <c r="AK1076" s="73"/>
      <c r="AL1076" s="57"/>
      <c r="AM1076" s="45"/>
      <c r="AN1076" s="45"/>
      <c r="AO1076" s="45"/>
    </row>
    <row r="1077" spans="1:41" hidden="1" outlineLevel="3" x14ac:dyDescent="0.25">
      <c r="A1077" s="45"/>
      <c r="B1077" s="54"/>
      <c r="C1077" s="47">
        <f t="shared" si="465"/>
        <v>4</v>
      </c>
      <c r="D1077" s="73"/>
      <c r="E1077" s="70"/>
      <c r="F1077" s="70" t="s">
        <v>2513</v>
      </c>
      <c r="G1077" s="73"/>
      <c r="H1077" s="76" t="s">
        <v>1472</v>
      </c>
      <c r="I1077" s="96" t="s">
        <v>497</v>
      </c>
      <c r="J1077" s="96"/>
      <c r="K1077" s="76"/>
      <c r="L1077" s="76"/>
      <c r="M1077" s="76"/>
      <c r="N1077" s="76"/>
      <c r="O1077" s="76"/>
      <c r="P1077" s="76"/>
      <c r="Q1077" s="76"/>
      <c r="R1077" s="76"/>
      <c r="S1077" s="76"/>
      <c r="T1077" s="76"/>
      <c r="U1077" s="76"/>
      <c r="V1077" s="76"/>
      <c r="W1077" s="76"/>
      <c r="X1077" s="76"/>
      <c r="Y1077" s="76"/>
      <c r="Z1077" s="76"/>
      <c r="AA1077" s="76"/>
      <c r="AB1077" s="76"/>
      <c r="AC1077" s="76"/>
      <c r="AD1077" s="76"/>
      <c r="AE1077" s="76"/>
      <c r="AF1077" s="76"/>
      <c r="AG1077" s="76"/>
      <c r="AH1077" s="76"/>
      <c r="AI1077" s="76">
        <v>1</v>
      </c>
      <c r="AJ1077" s="76">
        <v>1</v>
      </c>
      <c r="AK1077" s="73"/>
      <c r="AL1077" s="57"/>
      <c r="AM1077" s="45"/>
      <c r="AN1077" s="45"/>
      <c r="AO1077" s="45"/>
    </row>
    <row r="1078" spans="1:41" hidden="1" outlineLevel="3" x14ac:dyDescent="0.25">
      <c r="A1078" s="45"/>
      <c r="B1078" s="54"/>
      <c r="C1078" s="47">
        <f t="shared" si="465"/>
        <v>4</v>
      </c>
      <c r="D1078" s="73"/>
      <c r="E1078" s="70"/>
      <c r="F1078" s="70" t="s">
        <v>2514</v>
      </c>
      <c r="G1078" s="73"/>
      <c r="H1078" s="76" t="s">
        <v>1466</v>
      </c>
      <c r="I1078" s="96" t="s">
        <v>497</v>
      </c>
      <c r="J1078" s="96"/>
      <c r="K1078" s="76"/>
      <c r="L1078" s="76"/>
      <c r="M1078" s="76"/>
      <c r="N1078" s="76"/>
      <c r="O1078" s="76"/>
      <c r="P1078" s="76"/>
      <c r="Q1078" s="76"/>
      <c r="R1078" s="76"/>
      <c r="S1078" s="76"/>
      <c r="T1078" s="76"/>
      <c r="U1078" s="76"/>
      <c r="V1078" s="76"/>
      <c r="W1078" s="76"/>
      <c r="X1078" s="76"/>
      <c r="Y1078" s="76"/>
      <c r="Z1078" s="76"/>
      <c r="AA1078" s="76"/>
      <c r="AB1078" s="76"/>
      <c r="AC1078" s="76"/>
      <c r="AD1078" s="76"/>
      <c r="AE1078" s="76"/>
      <c r="AF1078" s="76"/>
      <c r="AG1078" s="76"/>
      <c r="AH1078" s="76"/>
      <c r="AI1078" s="76">
        <v>1</v>
      </c>
      <c r="AJ1078" s="76">
        <v>1</v>
      </c>
      <c r="AK1078" s="73"/>
      <c r="AL1078" s="57"/>
      <c r="AM1078" s="45"/>
      <c r="AN1078" s="45"/>
      <c r="AO1078" s="45"/>
    </row>
    <row r="1079" spans="1:41" hidden="1" outlineLevel="3" x14ac:dyDescent="0.25">
      <c r="A1079" s="45"/>
      <c r="B1079" s="54"/>
      <c r="C1079" s="47">
        <f t="shared" si="465"/>
        <v>4</v>
      </c>
      <c r="D1079" s="73"/>
      <c r="E1079" s="70"/>
      <c r="F1079" s="70" t="s">
        <v>2515</v>
      </c>
      <c r="G1079" s="73"/>
      <c r="H1079" s="76" t="s">
        <v>1468</v>
      </c>
      <c r="I1079" s="96" t="s">
        <v>497</v>
      </c>
      <c r="J1079" s="96"/>
      <c r="K1079" s="76"/>
      <c r="L1079" s="76"/>
      <c r="M1079" s="76"/>
      <c r="N1079" s="76"/>
      <c r="O1079" s="76"/>
      <c r="P1079" s="76"/>
      <c r="Q1079" s="76"/>
      <c r="R1079" s="76"/>
      <c r="S1079" s="76"/>
      <c r="T1079" s="76"/>
      <c r="U1079" s="76"/>
      <c r="V1079" s="76"/>
      <c r="W1079" s="76"/>
      <c r="X1079" s="76"/>
      <c r="Y1079" s="76"/>
      <c r="Z1079" s="76"/>
      <c r="AA1079" s="76"/>
      <c r="AB1079" s="76"/>
      <c r="AC1079" s="76"/>
      <c r="AD1079" s="76"/>
      <c r="AE1079" s="76"/>
      <c r="AF1079" s="76"/>
      <c r="AG1079" s="76"/>
      <c r="AH1079" s="76"/>
      <c r="AI1079" s="76">
        <v>1</v>
      </c>
      <c r="AJ1079" s="76">
        <v>1</v>
      </c>
      <c r="AK1079" s="73"/>
      <c r="AL1079" s="57"/>
      <c r="AM1079" s="45"/>
      <c r="AN1079" s="45"/>
      <c r="AO1079" s="45"/>
    </row>
    <row r="1080" spans="1:41" hidden="1" outlineLevel="3" x14ac:dyDescent="0.25">
      <c r="A1080" s="45"/>
      <c r="B1080" s="54"/>
      <c r="C1080" s="47">
        <f t="shared" si="465"/>
        <v>4</v>
      </c>
      <c r="D1080" s="73"/>
      <c r="E1080" s="70"/>
      <c r="F1080" s="70" t="s">
        <v>2516</v>
      </c>
      <c r="G1080" s="73"/>
      <c r="H1080" s="76" t="s">
        <v>1470</v>
      </c>
      <c r="I1080" s="96" t="s">
        <v>497</v>
      </c>
      <c r="J1080" s="96"/>
      <c r="K1080" s="76"/>
      <c r="L1080" s="76"/>
      <c r="M1080" s="76"/>
      <c r="N1080" s="76"/>
      <c r="O1080" s="76"/>
      <c r="P1080" s="76"/>
      <c r="Q1080" s="76"/>
      <c r="R1080" s="76"/>
      <c r="S1080" s="76"/>
      <c r="T1080" s="76"/>
      <c r="U1080" s="76"/>
      <c r="V1080" s="76"/>
      <c r="W1080" s="76"/>
      <c r="X1080" s="76"/>
      <c r="Y1080" s="76"/>
      <c r="Z1080" s="76"/>
      <c r="AA1080" s="76"/>
      <c r="AB1080" s="76"/>
      <c r="AC1080" s="76"/>
      <c r="AD1080" s="76"/>
      <c r="AE1080" s="76"/>
      <c r="AF1080" s="76"/>
      <c r="AG1080" s="76"/>
      <c r="AH1080" s="76"/>
      <c r="AI1080" s="76">
        <v>1</v>
      </c>
      <c r="AJ1080" s="76">
        <v>1</v>
      </c>
      <c r="AK1080" s="73"/>
      <c r="AL1080" s="57"/>
      <c r="AM1080" s="45"/>
      <c r="AN1080" s="45"/>
      <c r="AO1080" s="45"/>
    </row>
    <row r="1081" spans="1:41" hidden="1" outlineLevel="3" x14ac:dyDescent="0.25">
      <c r="A1081" s="45"/>
      <c r="B1081" s="54"/>
      <c r="C1081" s="47">
        <f t="shared" si="465"/>
        <v>4</v>
      </c>
      <c r="D1081" s="73"/>
      <c r="E1081" s="70"/>
      <c r="F1081" s="70" t="s">
        <v>2517</v>
      </c>
      <c r="G1081" s="73"/>
      <c r="H1081" s="76" t="s">
        <v>1472</v>
      </c>
      <c r="I1081" s="96" t="s">
        <v>497</v>
      </c>
      <c r="J1081" s="96"/>
      <c r="K1081" s="76"/>
      <c r="L1081" s="76"/>
      <c r="M1081" s="76"/>
      <c r="N1081" s="76"/>
      <c r="O1081" s="76"/>
      <c r="P1081" s="76"/>
      <c r="Q1081" s="76"/>
      <c r="R1081" s="76"/>
      <c r="S1081" s="76"/>
      <c r="T1081" s="76"/>
      <c r="U1081" s="76"/>
      <c r="V1081" s="76"/>
      <c r="W1081" s="76"/>
      <c r="X1081" s="76"/>
      <c r="Y1081" s="76"/>
      <c r="Z1081" s="76"/>
      <c r="AA1081" s="76"/>
      <c r="AB1081" s="76"/>
      <c r="AC1081" s="76"/>
      <c r="AD1081" s="76"/>
      <c r="AE1081" s="76"/>
      <c r="AF1081" s="76"/>
      <c r="AG1081" s="76"/>
      <c r="AH1081" s="76"/>
      <c r="AI1081" s="76">
        <v>1</v>
      </c>
      <c r="AJ1081" s="76">
        <v>1</v>
      </c>
      <c r="AK1081" s="73"/>
      <c r="AL1081" s="57"/>
      <c r="AM1081" s="45"/>
      <c r="AN1081" s="45"/>
      <c r="AO1081" s="45"/>
    </row>
    <row r="1082" spans="1:41" hidden="1" outlineLevel="3" x14ac:dyDescent="0.25">
      <c r="A1082" s="45"/>
      <c r="B1082" s="54"/>
      <c r="C1082" s="47">
        <f t="shared" si="465"/>
        <v>4</v>
      </c>
      <c r="D1082" s="73"/>
      <c r="E1082" s="70"/>
      <c r="F1082" s="70" t="s">
        <v>2518</v>
      </c>
      <c r="G1082" s="73"/>
      <c r="H1082" s="76" t="s">
        <v>1466</v>
      </c>
      <c r="I1082" s="96" t="s">
        <v>497</v>
      </c>
      <c r="J1082" s="96"/>
      <c r="K1082" s="76"/>
      <c r="L1082" s="76"/>
      <c r="M1082" s="76"/>
      <c r="N1082" s="76"/>
      <c r="O1082" s="76"/>
      <c r="P1082" s="76"/>
      <c r="Q1082" s="76"/>
      <c r="R1082" s="76"/>
      <c r="S1082" s="76"/>
      <c r="T1082" s="76"/>
      <c r="U1082" s="76"/>
      <c r="V1082" s="76"/>
      <c r="W1082" s="76"/>
      <c r="X1082" s="76"/>
      <c r="Y1082" s="76"/>
      <c r="Z1082" s="76"/>
      <c r="AA1082" s="76"/>
      <c r="AB1082" s="76"/>
      <c r="AC1082" s="76"/>
      <c r="AD1082" s="76"/>
      <c r="AE1082" s="76"/>
      <c r="AF1082" s="76"/>
      <c r="AG1082" s="76"/>
      <c r="AH1082" s="76"/>
      <c r="AI1082" s="76">
        <v>1</v>
      </c>
      <c r="AJ1082" s="76">
        <v>1</v>
      </c>
      <c r="AK1082" s="73"/>
      <c r="AL1082" s="57"/>
      <c r="AM1082" s="45"/>
      <c r="AN1082" s="45"/>
      <c r="AO1082" s="45"/>
    </row>
    <row r="1083" spans="1:41" hidden="1" outlineLevel="3" x14ac:dyDescent="0.25">
      <c r="A1083" s="45"/>
      <c r="B1083" s="54"/>
      <c r="C1083" s="47">
        <f t="shared" si="465"/>
        <v>4</v>
      </c>
      <c r="D1083" s="73"/>
      <c r="E1083" s="70"/>
      <c r="F1083" s="70" t="s">
        <v>2519</v>
      </c>
      <c r="G1083" s="73"/>
      <c r="H1083" s="76" t="s">
        <v>1468</v>
      </c>
      <c r="I1083" s="96" t="s">
        <v>497</v>
      </c>
      <c r="J1083" s="96"/>
      <c r="K1083" s="76"/>
      <c r="L1083" s="76"/>
      <c r="M1083" s="76"/>
      <c r="N1083" s="76"/>
      <c r="O1083" s="76"/>
      <c r="P1083" s="76"/>
      <c r="Q1083" s="76"/>
      <c r="R1083" s="76"/>
      <c r="S1083" s="76"/>
      <c r="T1083" s="76"/>
      <c r="U1083" s="76"/>
      <c r="V1083" s="76"/>
      <c r="W1083" s="76"/>
      <c r="X1083" s="76"/>
      <c r="Y1083" s="76"/>
      <c r="Z1083" s="76"/>
      <c r="AA1083" s="76"/>
      <c r="AB1083" s="76"/>
      <c r="AC1083" s="76"/>
      <c r="AD1083" s="76"/>
      <c r="AE1083" s="76"/>
      <c r="AF1083" s="76"/>
      <c r="AG1083" s="76"/>
      <c r="AH1083" s="76"/>
      <c r="AI1083" s="76">
        <v>1</v>
      </c>
      <c r="AJ1083" s="76">
        <v>1</v>
      </c>
      <c r="AK1083" s="73"/>
      <c r="AL1083" s="57"/>
      <c r="AM1083" s="45"/>
      <c r="AN1083" s="45"/>
      <c r="AO1083" s="45"/>
    </row>
    <row r="1084" spans="1:41" hidden="1" outlineLevel="3" x14ac:dyDescent="0.25">
      <c r="A1084" s="45"/>
      <c r="B1084" s="54"/>
      <c r="C1084" s="47">
        <f t="shared" si="465"/>
        <v>4</v>
      </c>
      <c r="D1084" s="73"/>
      <c r="E1084" s="70"/>
      <c r="F1084" s="70" t="s">
        <v>2520</v>
      </c>
      <c r="G1084" s="73"/>
      <c r="H1084" s="76" t="s">
        <v>1470</v>
      </c>
      <c r="I1084" s="96" t="s">
        <v>497</v>
      </c>
      <c r="J1084" s="96"/>
      <c r="K1084" s="76"/>
      <c r="L1084" s="76"/>
      <c r="M1084" s="76"/>
      <c r="N1084" s="76"/>
      <c r="O1084" s="76"/>
      <c r="P1084" s="76"/>
      <c r="Q1084" s="76"/>
      <c r="R1084" s="76"/>
      <c r="S1084" s="76"/>
      <c r="T1084" s="76"/>
      <c r="U1084" s="76"/>
      <c r="V1084" s="76"/>
      <c r="W1084" s="76"/>
      <c r="X1084" s="76"/>
      <c r="Y1084" s="76"/>
      <c r="Z1084" s="76"/>
      <c r="AA1084" s="76"/>
      <c r="AB1084" s="76"/>
      <c r="AC1084" s="76"/>
      <c r="AD1084" s="76"/>
      <c r="AE1084" s="76"/>
      <c r="AF1084" s="76"/>
      <c r="AG1084" s="76"/>
      <c r="AH1084" s="76"/>
      <c r="AI1084" s="76">
        <v>1</v>
      </c>
      <c r="AJ1084" s="76">
        <v>1</v>
      </c>
      <c r="AK1084" s="73"/>
      <c r="AL1084" s="57"/>
      <c r="AM1084" s="45"/>
      <c r="AN1084" s="45"/>
      <c r="AO1084" s="45"/>
    </row>
    <row r="1085" spans="1:41" hidden="1" outlineLevel="3" x14ac:dyDescent="0.25">
      <c r="A1085" s="45"/>
      <c r="B1085" s="54"/>
      <c r="C1085" s="47">
        <f t="shared" si="465"/>
        <v>4</v>
      </c>
      <c r="D1085" s="73"/>
      <c r="E1085" s="70"/>
      <c r="F1085" s="70" t="s">
        <v>2521</v>
      </c>
      <c r="G1085" s="73"/>
      <c r="H1085" s="76" t="s">
        <v>1472</v>
      </c>
      <c r="I1085" s="96" t="s">
        <v>497</v>
      </c>
      <c r="J1085" s="96"/>
      <c r="K1085" s="76"/>
      <c r="L1085" s="76"/>
      <c r="M1085" s="76"/>
      <c r="N1085" s="76"/>
      <c r="O1085" s="76"/>
      <c r="P1085" s="76"/>
      <c r="Q1085" s="76"/>
      <c r="R1085" s="76"/>
      <c r="S1085" s="76"/>
      <c r="T1085" s="76"/>
      <c r="U1085" s="76"/>
      <c r="V1085" s="76"/>
      <c r="W1085" s="76"/>
      <c r="X1085" s="76"/>
      <c r="Y1085" s="76"/>
      <c r="Z1085" s="76"/>
      <c r="AA1085" s="76"/>
      <c r="AB1085" s="76"/>
      <c r="AC1085" s="76"/>
      <c r="AD1085" s="76"/>
      <c r="AE1085" s="76"/>
      <c r="AF1085" s="76"/>
      <c r="AG1085" s="76"/>
      <c r="AH1085" s="76"/>
      <c r="AI1085" s="76">
        <v>1</v>
      </c>
      <c r="AJ1085" s="76">
        <v>1</v>
      </c>
      <c r="AK1085" s="73"/>
      <c r="AL1085" s="57"/>
      <c r="AM1085" s="45"/>
      <c r="AN1085" s="45"/>
      <c r="AO1085" s="45"/>
    </row>
    <row r="1086" spans="1:41" hidden="1" outlineLevel="3" x14ac:dyDescent="0.25">
      <c r="A1086" s="45"/>
      <c r="B1086" s="54"/>
      <c r="C1086" s="47">
        <f t="shared" si="465"/>
        <v>4</v>
      </c>
      <c r="D1086" s="73"/>
      <c r="E1086" s="70"/>
      <c r="F1086" s="70" t="s">
        <v>2522</v>
      </c>
      <c r="G1086" s="73"/>
      <c r="H1086" s="76" t="s">
        <v>1466</v>
      </c>
      <c r="I1086" s="96" t="s">
        <v>497</v>
      </c>
      <c r="J1086" s="96"/>
      <c r="K1086" s="76"/>
      <c r="L1086" s="76"/>
      <c r="M1086" s="76"/>
      <c r="N1086" s="76"/>
      <c r="O1086" s="76"/>
      <c r="P1086" s="76"/>
      <c r="Q1086" s="76"/>
      <c r="R1086" s="76"/>
      <c r="S1086" s="76"/>
      <c r="T1086" s="76"/>
      <c r="U1086" s="76"/>
      <c r="V1086" s="76"/>
      <c r="W1086" s="76"/>
      <c r="X1086" s="76"/>
      <c r="Y1086" s="76"/>
      <c r="Z1086" s="76"/>
      <c r="AA1086" s="76"/>
      <c r="AB1086" s="76"/>
      <c r="AC1086" s="76"/>
      <c r="AD1086" s="76"/>
      <c r="AE1086" s="76"/>
      <c r="AF1086" s="76"/>
      <c r="AG1086" s="76"/>
      <c r="AH1086" s="76"/>
      <c r="AI1086" s="76">
        <v>1</v>
      </c>
      <c r="AJ1086" s="76">
        <v>1</v>
      </c>
      <c r="AK1086" s="73"/>
      <c r="AL1086" s="57"/>
      <c r="AM1086" s="45"/>
      <c r="AN1086" s="45"/>
      <c r="AO1086" s="45"/>
    </row>
    <row r="1087" spans="1:41" hidden="1" outlineLevel="3" x14ac:dyDescent="0.25">
      <c r="A1087" s="45"/>
      <c r="B1087" s="54"/>
      <c r="C1087" s="47">
        <f t="shared" si="465"/>
        <v>4</v>
      </c>
      <c r="D1087" s="73"/>
      <c r="E1087" s="70"/>
      <c r="F1087" s="70" t="s">
        <v>2523</v>
      </c>
      <c r="G1087" s="73"/>
      <c r="H1087" s="76" t="s">
        <v>1468</v>
      </c>
      <c r="I1087" s="96" t="s">
        <v>497</v>
      </c>
      <c r="J1087" s="96"/>
      <c r="K1087" s="76"/>
      <c r="L1087" s="76"/>
      <c r="M1087" s="76"/>
      <c r="N1087" s="76"/>
      <c r="O1087" s="76"/>
      <c r="P1087" s="76"/>
      <c r="Q1087" s="76"/>
      <c r="R1087" s="76"/>
      <c r="S1087" s="76"/>
      <c r="T1087" s="76"/>
      <c r="U1087" s="76"/>
      <c r="V1087" s="76"/>
      <c r="W1087" s="76"/>
      <c r="X1087" s="76"/>
      <c r="Y1087" s="76"/>
      <c r="Z1087" s="76"/>
      <c r="AA1087" s="76"/>
      <c r="AB1087" s="76"/>
      <c r="AC1087" s="76"/>
      <c r="AD1087" s="76"/>
      <c r="AE1087" s="76"/>
      <c r="AF1087" s="76"/>
      <c r="AG1087" s="76"/>
      <c r="AH1087" s="76"/>
      <c r="AI1087" s="76">
        <v>1</v>
      </c>
      <c r="AJ1087" s="76">
        <v>1</v>
      </c>
      <c r="AK1087" s="73"/>
      <c r="AL1087" s="57"/>
      <c r="AM1087" s="45"/>
      <c r="AN1087" s="45"/>
      <c r="AO1087" s="45"/>
    </row>
    <row r="1088" spans="1:41" hidden="1" outlineLevel="3" x14ac:dyDescent="0.25">
      <c r="A1088" s="45"/>
      <c r="B1088" s="54"/>
      <c r="C1088" s="47">
        <f t="shared" si="465"/>
        <v>4</v>
      </c>
      <c r="D1088" s="73"/>
      <c r="E1088" s="70"/>
      <c r="F1088" s="70" t="s">
        <v>2524</v>
      </c>
      <c r="G1088" s="73"/>
      <c r="H1088" s="76" t="s">
        <v>1470</v>
      </c>
      <c r="I1088" s="96" t="s">
        <v>497</v>
      </c>
      <c r="J1088" s="96"/>
      <c r="K1088" s="76"/>
      <c r="L1088" s="76"/>
      <c r="M1088" s="76"/>
      <c r="N1088" s="76"/>
      <c r="O1088" s="76"/>
      <c r="P1088" s="76"/>
      <c r="Q1088" s="76"/>
      <c r="R1088" s="76"/>
      <c r="S1088" s="76"/>
      <c r="T1088" s="76"/>
      <c r="U1088" s="76"/>
      <c r="V1088" s="76"/>
      <c r="W1088" s="76"/>
      <c r="X1088" s="76"/>
      <c r="Y1088" s="76"/>
      <c r="Z1088" s="76"/>
      <c r="AA1088" s="76"/>
      <c r="AB1088" s="76"/>
      <c r="AC1088" s="76"/>
      <c r="AD1088" s="76"/>
      <c r="AE1088" s="76"/>
      <c r="AF1088" s="76"/>
      <c r="AG1088" s="76"/>
      <c r="AH1088" s="76"/>
      <c r="AI1088" s="76">
        <v>1</v>
      </c>
      <c r="AJ1088" s="76">
        <v>1</v>
      </c>
      <c r="AK1088" s="73"/>
      <c r="AL1088" s="57"/>
      <c r="AM1088" s="45"/>
      <c r="AN1088" s="45"/>
      <c r="AO1088" s="45"/>
    </row>
    <row r="1089" spans="1:41" hidden="1" outlineLevel="3" x14ac:dyDescent="0.25">
      <c r="A1089" s="45"/>
      <c r="B1089" s="54"/>
      <c r="C1089" s="47">
        <f t="shared" si="465"/>
        <v>4</v>
      </c>
      <c r="D1089" s="73"/>
      <c r="E1089" s="70"/>
      <c r="F1089" s="70" t="s">
        <v>2525</v>
      </c>
      <c r="G1089" s="73"/>
      <c r="H1089" s="76" t="s">
        <v>1472</v>
      </c>
      <c r="I1089" s="96" t="s">
        <v>497</v>
      </c>
      <c r="J1089" s="96"/>
      <c r="K1089" s="76"/>
      <c r="L1089" s="76"/>
      <c r="M1089" s="76"/>
      <c r="N1089" s="76"/>
      <c r="O1089" s="76"/>
      <c r="P1089" s="76"/>
      <c r="Q1089" s="76"/>
      <c r="R1089" s="76"/>
      <c r="S1089" s="76"/>
      <c r="T1089" s="76"/>
      <c r="U1089" s="76"/>
      <c r="V1089" s="76"/>
      <c r="W1089" s="76"/>
      <c r="X1089" s="76"/>
      <c r="Y1089" s="76"/>
      <c r="Z1089" s="76"/>
      <c r="AA1089" s="76"/>
      <c r="AB1089" s="76"/>
      <c r="AC1089" s="76"/>
      <c r="AD1089" s="76"/>
      <c r="AE1089" s="76"/>
      <c r="AF1089" s="76"/>
      <c r="AG1089" s="76"/>
      <c r="AH1089" s="76"/>
      <c r="AI1089" s="76">
        <v>1</v>
      </c>
      <c r="AJ1089" s="76">
        <v>1</v>
      </c>
      <c r="AK1089" s="73"/>
      <c r="AL1089" s="57"/>
      <c r="AM1089" s="45"/>
      <c r="AN1089" s="45"/>
      <c r="AO1089" s="45"/>
    </row>
    <row r="1090" spans="1:41" hidden="1" outlineLevel="3" x14ac:dyDescent="0.25">
      <c r="A1090" s="45"/>
      <c r="B1090" s="54"/>
      <c r="C1090" s="47">
        <f t="shared" si="465"/>
        <v>4</v>
      </c>
      <c r="D1090" s="73"/>
      <c r="E1090" s="70"/>
      <c r="F1090" s="70" t="s">
        <v>2526</v>
      </c>
      <c r="G1090" s="73"/>
      <c r="H1090" s="76" t="s">
        <v>1466</v>
      </c>
      <c r="I1090" s="96" t="s">
        <v>497</v>
      </c>
      <c r="J1090" s="96"/>
      <c r="K1090" s="76"/>
      <c r="L1090" s="76"/>
      <c r="M1090" s="76"/>
      <c r="N1090" s="76"/>
      <c r="O1090" s="76"/>
      <c r="P1090" s="76"/>
      <c r="Q1090" s="76"/>
      <c r="R1090" s="76"/>
      <c r="S1090" s="76"/>
      <c r="T1090" s="76"/>
      <c r="U1090" s="76"/>
      <c r="V1090" s="76"/>
      <c r="W1090" s="76"/>
      <c r="X1090" s="76"/>
      <c r="Y1090" s="76"/>
      <c r="Z1090" s="76"/>
      <c r="AA1090" s="76"/>
      <c r="AB1090" s="76"/>
      <c r="AC1090" s="76"/>
      <c r="AD1090" s="76"/>
      <c r="AE1090" s="76"/>
      <c r="AF1090" s="76"/>
      <c r="AG1090" s="76"/>
      <c r="AH1090" s="76"/>
      <c r="AI1090" s="76">
        <v>1</v>
      </c>
      <c r="AJ1090" s="76">
        <v>1</v>
      </c>
      <c r="AK1090" s="73"/>
      <c r="AL1090" s="57"/>
      <c r="AM1090" s="45"/>
      <c r="AN1090" s="45"/>
      <c r="AO1090" s="45"/>
    </row>
    <row r="1091" spans="1:41" hidden="1" outlineLevel="3" x14ac:dyDescent="0.25">
      <c r="A1091" s="45"/>
      <c r="B1091" s="54"/>
      <c r="C1091" s="47">
        <f t="shared" si="465"/>
        <v>4</v>
      </c>
      <c r="D1091" s="73"/>
      <c r="E1091" s="70"/>
      <c r="F1091" s="70" t="s">
        <v>2527</v>
      </c>
      <c r="G1091" s="73"/>
      <c r="H1091" s="76" t="s">
        <v>1468</v>
      </c>
      <c r="I1091" s="96" t="s">
        <v>497</v>
      </c>
      <c r="J1091" s="96"/>
      <c r="K1091" s="76"/>
      <c r="L1091" s="76"/>
      <c r="M1091" s="76"/>
      <c r="N1091" s="76"/>
      <c r="O1091" s="76"/>
      <c r="P1091" s="76"/>
      <c r="Q1091" s="76"/>
      <c r="R1091" s="76"/>
      <c r="S1091" s="76"/>
      <c r="T1091" s="76"/>
      <c r="U1091" s="76"/>
      <c r="V1091" s="76"/>
      <c r="W1091" s="76"/>
      <c r="X1091" s="76"/>
      <c r="Y1091" s="76"/>
      <c r="Z1091" s="76"/>
      <c r="AA1091" s="76"/>
      <c r="AB1091" s="76"/>
      <c r="AC1091" s="76"/>
      <c r="AD1091" s="76"/>
      <c r="AE1091" s="76"/>
      <c r="AF1091" s="76"/>
      <c r="AG1091" s="76"/>
      <c r="AH1091" s="76"/>
      <c r="AI1091" s="76">
        <v>1</v>
      </c>
      <c r="AJ1091" s="76">
        <v>1</v>
      </c>
      <c r="AK1091" s="73"/>
      <c r="AL1091" s="57"/>
      <c r="AM1091" s="45"/>
      <c r="AN1091" s="45"/>
      <c r="AO1091" s="45"/>
    </row>
    <row r="1092" spans="1:41" hidden="1" outlineLevel="3" x14ac:dyDescent="0.25">
      <c r="A1092" s="45"/>
      <c r="B1092" s="54"/>
      <c r="C1092" s="47">
        <f t="shared" si="465"/>
        <v>4</v>
      </c>
      <c r="D1092" s="73"/>
      <c r="E1092" s="70"/>
      <c r="F1092" s="70" t="s">
        <v>2528</v>
      </c>
      <c r="G1092" s="73"/>
      <c r="H1092" s="76" t="s">
        <v>1470</v>
      </c>
      <c r="I1092" s="96" t="s">
        <v>497</v>
      </c>
      <c r="J1092" s="96"/>
      <c r="K1092" s="76"/>
      <c r="L1092" s="76"/>
      <c r="M1092" s="76"/>
      <c r="N1092" s="76"/>
      <c r="O1092" s="76"/>
      <c r="P1092" s="76"/>
      <c r="Q1092" s="76"/>
      <c r="R1092" s="76"/>
      <c r="S1092" s="76"/>
      <c r="T1092" s="76"/>
      <c r="U1092" s="76"/>
      <c r="V1092" s="76"/>
      <c r="W1092" s="76"/>
      <c r="X1092" s="76"/>
      <c r="Y1092" s="76"/>
      <c r="Z1092" s="76"/>
      <c r="AA1092" s="76"/>
      <c r="AB1092" s="76"/>
      <c r="AC1092" s="76"/>
      <c r="AD1092" s="76"/>
      <c r="AE1092" s="76"/>
      <c r="AF1092" s="76"/>
      <c r="AG1092" s="76"/>
      <c r="AH1092" s="76"/>
      <c r="AI1092" s="76">
        <v>1</v>
      </c>
      <c r="AJ1092" s="76">
        <v>1</v>
      </c>
      <c r="AK1092" s="73"/>
      <c r="AL1092" s="57"/>
      <c r="AM1092" s="45"/>
      <c r="AN1092" s="45"/>
      <c r="AO1092" s="45"/>
    </row>
    <row r="1093" spans="1:41" hidden="1" outlineLevel="3" x14ac:dyDescent="0.25">
      <c r="A1093" s="45"/>
      <c r="B1093" s="54"/>
      <c r="C1093" s="47">
        <f t="shared" si="465"/>
        <v>4</v>
      </c>
      <c r="D1093" s="73"/>
      <c r="E1093" s="70"/>
      <c r="F1093" s="70" t="s">
        <v>2529</v>
      </c>
      <c r="G1093" s="73"/>
      <c r="H1093" s="76" t="s">
        <v>1472</v>
      </c>
      <c r="I1093" s="96" t="s">
        <v>497</v>
      </c>
      <c r="J1093" s="96"/>
      <c r="K1093" s="76"/>
      <c r="L1093" s="76"/>
      <c r="M1093" s="76"/>
      <c r="N1093" s="76"/>
      <c r="O1093" s="76"/>
      <c r="P1093" s="76"/>
      <c r="Q1093" s="76"/>
      <c r="R1093" s="76"/>
      <c r="S1093" s="76"/>
      <c r="T1093" s="76"/>
      <c r="U1093" s="76"/>
      <c r="V1093" s="76"/>
      <c r="W1093" s="76"/>
      <c r="X1093" s="76"/>
      <c r="Y1093" s="76"/>
      <c r="Z1093" s="76"/>
      <c r="AA1093" s="76"/>
      <c r="AB1093" s="76"/>
      <c r="AC1093" s="76"/>
      <c r="AD1093" s="76"/>
      <c r="AE1093" s="76"/>
      <c r="AF1093" s="76"/>
      <c r="AG1093" s="76"/>
      <c r="AH1093" s="76"/>
      <c r="AI1093" s="76">
        <v>1</v>
      </c>
      <c r="AJ1093" s="76">
        <v>1</v>
      </c>
      <c r="AK1093" s="73"/>
      <c r="AL1093" s="57"/>
      <c r="AM1093" s="45"/>
      <c r="AN1093" s="45"/>
      <c r="AO1093" s="45"/>
    </row>
    <row r="1094" spans="1:41" hidden="1" outlineLevel="3" x14ac:dyDescent="0.25">
      <c r="A1094" s="45"/>
      <c r="B1094" s="54"/>
      <c r="C1094" s="47">
        <f t="shared" si="465"/>
        <v>4</v>
      </c>
      <c r="D1094" s="73"/>
      <c r="E1094" s="70"/>
      <c r="F1094" s="70" t="s">
        <v>2530</v>
      </c>
      <c r="G1094" s="73"/>
      <c r="H1094" s="76" t="s">
        <v>1466</v>
      </c>
      <c r="I1094" s="96" t="s">
        <v>497</v>
      </c>
      <c r="J1094" s="96"/>
      <c r="K1094" s="76"/>
      <c r="L1094" s="76"/>
      <c r="M1094" s="76"/>
      <c r="N1094" s="76"/>
      <c r="O1094" s="76"/>
      <c r="P1094" s="76"/>
      <c r="Q1094" s="76"/>
      <c r="R1094" s="76"/>
      <c r="S1094" s="76"/>
      <c r="T1094" s="76"/>
      <c r="U1094" s="76"/>
      <c r="V1094" s="76"/>
      <c r="W1094" s="76"/>
      <c r="X1094" s="76"/>
      <c r="Y1094" s="76"/>
      <c r="Z1094" s="76"/>
      <c r="AA1094" s="76"/>
      <c r="AB1094" s="76"/>
      <c r="AC1094" s="76"/>
      <c r="AD1094" s="76"/>
      <c r="AE1094" s="76"/>
      <c r="AF1094" s="76"/>
      <c r="AG1094" s="76"/>
      <c r="AH1094" s="76"/>
      <c r="AI1094" s="76">
        <v>1</v>
      </c>
      <c r="AJ1094" s="76">
        <v>1</v>
      </c>
      <c r="AK1094" s="73"/>
      <c r="AL1094" s="57"/>
      <c r="AM1094" s="45"/>
      <c r="AN1094" s="45"/>
      <c r="AO1094" s="45"/>
    </row>
    <row r="1095" spans="1:41" hidden="1" outlineLevel="3" x14ac:dyDescent="0.25">
      <c r="A1095" s="45"/>
      <c r="B1095" s="54"/>
      <c r="C1095" s="47">
        <f t="shared" si="465"/>
        <v>4</v>
      </c>
      <c r="D1095" s="73"/>
      <c r="E1095" s="70"/>
      <c r="F1095" s="70" t="s">
        <v>2531</v>
      </c>
      <c r="G1095" s="73"/>
      <c r="H1095" s="76" t="s">
        <v>1468</v>
      </c>
      <c r="I1095" s="96" t="s">
        <v>497</v>
      </c>
      <c r="J1095" s="96"/>
      <c r="K1095" s="76"/>
      <c r="L1095" s="76"/>
      <c r="M1095" s="76"/>
      <c r="N1095" s="76"/>
      <c r="O1095" s="76"/>
      <c r="P1095" s="76"/>
      <c r="Q1095" s="76"/>
      <c r="R1095" s="76"/>
      <c r="S1095" s="76"/>
      <c r="T1095" s="76"/>
      <c r="U1095" s="76"/>
      <c r="V1095" s="76"/>
      <c r="W1095" s="76"/>
      <c r="X1095" s="76"/>
      <c r="Y1095" s="76"/>
      <c r="Z1095" s="76"/>
      <c r="AA1095" s="76"/>
      <c r="AB1095" s="76"/>
      <c r="AC1095" s="76"/>
      <c r="AD1095" s="76"/>
      <c r="AE1095" s="76"/>
      <c r="AF1095" s="76"/>
      <c r="AG1095" s="76"/>
      <c r="AH1095" s="76"/>
      <c r="AI1095" s="76">
        <v>1</v>
      </c>
      <c r="AJ1095" s="76">
        <v>1</v>
      </c>
      <c r="AK1095" s="73"/>
      <c r="AL1095" s="57"/>
      <c r="AM1095" s="45"/>
      <c r="AN1095" s="45"/>
      <c r="AO1095" s="45"/>
    </row>
    <row r="1096" spans="1:41" hidden="1" outlineLevel="3" x14ac:dyDescent="0.25">
      <c r="A1096" s="45"/>
      <c r="B1096" s="54"/>
      <c r="C1096" s="47">
        <f t="shared" si="465"/>
        <v>4</v>
      </c>
      <c r="D1096" s="73"/>
      <c r="E1096" s="70"/>
      <c r="F1096" s="70" t="s">
        <v>2532</v>
      </c>
      <c r="G1096" s="73"/>
      <c r="H1096" s="76" t="s">
        <v>1470</v>
      </c>
      <c r="I1096" s="96" t="s">
        <v>497</v>
      </c>
      <c r="J1096" s="96"/>
      <c r="K1096" s="76"/>
      <c r="L1096" s="76"/>
      <c r="M1096" s="76"/>
      <c r="N1096" s="76"/>
      <c r="O1096" s="76"/>
      <c r="P1096" s="76"/>
      <c r="Q1096" s="76"/>
      <c r="R1096" s="76"/>
      <c r="S1096" s="76"/>
      <c r="T1096" s="76"/>
      <c r="U1096" s="76"/>
      <c r="V1096" s="76"/>
      <c r="W1096" s="76"/>
      <c r="X1096" s="76"/>
      <c r="Y1096" s="76"/>
      <c r="Z1096" s="76"/>
      <c r="AA1096" s="76"/>
      <c r="AB1096" s="76"/>
      <c r="AC1096" s="76"/>
      <c r="AD1096" s="76"/>
      <c r="AE1096" s="76"/>
      <c r="AF1096" s="76"/>
      <c r="AG1096" s="76"/>
      <c r="AH1096" s="76"/>
      <c r="AI1096" s="76">
        <v>1</v>
      </c>
      <c r="AJ1096" s="76">
        <v>1</v>
      </c>
      <c r="AK1096" s="73"/>
      <c r="AL1096" s="57"/>
      <c r="AM1096" s="45"/>
      <c r="AN1096" s="45"/>
      <c r="AO1096" s="45"/>
    </row>
    <row r="1097" spans="1:41" hidden="1" outlineLevel="3" x14ac:dyDescent="0.25">
      <c r="A1097" s="45"/>
      <c r="B1097" s="54"/>
      <c r="C1097" s="47">
        <f t="shared" si="465"/>
        <v>4</v>
      </c>
      <c r="D1097" s="73"/>
      <c r="E1097" s="70"/>
      <c r="F1097" s="70" t="s">
        <v>2533</v>
      </c>
      <c r="G1097" s="73"/>
      <c r="H1097" s="76" t="s">
        <v>1472</v>
      </c>
      <c r="I1097" s="96" t="s">
        <v>497</v>
      </c>
      <c r="J1097" s="96"/>
      <c r="K1097" s="76"/>
      <c r="L1097" s="76"/>
      <c r="M1097" s="76"/>
      <c r="N1097" s="76"/>
      <c r="O1097" s="76"/>
      <c r="P1097" s="76"/>
      <c r="Q1097" s="76"/>
      <c r="R1097" s="76"/>
      <c r="S1097" s="76"/>
      <c r="T1097" s="76"/>
      <c r="U1097" s="76"/>
      <c r="V1097" s="76"/>
      <c r="W1097" s="76"/>
      <c r="X1097" s="76"/>
      <c r="Y1097" s="76"/>
      <c r="Z1097" s="76"/>
      <c r="AA1097" s="76"/>
      <c r="AB1097" s="76"/>
      <c r="AC1097" s="76"/>
      <c r="AD1097" s="76"/>
      <c r="AE1097" s="76"/>
      <c r="AF1097" s="76"/>
      <c r="AG1097" s="76"/>
      <c r="AH1097" s="76"/>
      <c r="AI1097" s="76">
        <v>1</v>
      </c>
      <c r="AJ1097" s="76">
        <v>1</v>
      </c>
      <c r="AK1097" s="73"/>
      <c r="AL1097" s="57"/>
      <c r="AM1097" s="45"/>
      <c r="AN1097" s="45"/>
      <c r="AO1097" s="45"/>
    </row>
    <row r="1098" spans="1:41" hidden="1" outlineLevel="3" x14ac:dyDescent="0.25">
      <c r="A1098" s="45"/>
      <c r="B1098" s="54"/>
      <c r="C1098" s="47">
        <f t="shared" si="465"/>
        <v>4</v>
      </c>
      <c r="D1098" s="73"/>
      <c r="E1098" s="70"/>
      <c r="F1098" s="70" t="s">
        <v>3300</v>
      </c>
      <c r="G1098" s="73"/>
      <c r="H1098" s="76" t="s">
        <v>1466</v>
      </c>
      <c r="I1098" s="96" t="s">
        <v>497</v>
      </c>
      <c r="J1098" s="96"/>
      <c r="K1098" s="76"/>
      <c r="L1098" s="76"/>
      <c r="M1098" s="76"/>
      <c r="N1098" s="76"/>
      <c r="O1098" s="76"/>
      <c r="P1098" s="76"/>
      <c r="Q1098" s="76"/>
      <c r="R1098" s="76"/>
      <c r="S1098" s="76"/>
      <c r="T1098" s="76"/>
      <c r="U1098" s="76"/>
      <c r="V1098" s="76"/>
      <c r="W1098" s="76"/>
      <c r="X1098" s="76"/>
      <c r="Y1098" s="76"/>
      <c r="Z1098" s="76"/>
      <c r="AA1098" s="76"/>
      <c r="AB1098" s="76"/>
      <c r="AC1098" s="76"/>
      <c r="AD1098" s="76"/>
      <c r="AE1098" s="76"/>
      <c r="AF1098" s="76"/>
      <c r="AG1098" s="76"/>
      <c r="AH1098" s="76"/>
      <c r="AI1098" s="76">
        <v>1</v>
      </c>
      <c r="AJ1098" s="76">
        <v>1</v>
      </c>
      <c r="AK1098" s="73"/>
      <c r="AL1098" s="57"/>
      <c r="AM1098" s="45"/>
      <c r="AN1098" s="45"/>
      <c r="AO1098" s="45"/>
    </row>
    <row r="1099" spans="1:41" hidden="1" outlineLevel="3" x14ac:dyDescent="0.25">
      <c r="A1099" s="45"/>
      <c r="B1099" s="54"/>
      <c r="C1099" s="47">
        <f t="shared" si="465"/>
        <v>4</v>
      </c>
      <c r="D1099" s="73"/>
      <c r="E1099" s="70"/>
      <c r="F1099" s="70" t="s">
        <v>3301</v>
      </c>
      <c r="G1099" s="73"/>
      <c r="H1099" s="76" t="s">
        <v>1468</v>
      </c>
      <c r="I1099" s="96" t="s">
        <v>497</v>
      </c>
      <c r="J1099" s="96"/>
      <c r="K1099" s="76"/>
      <c r="L1099" s="76"/>
      <c r="M1099" s="76"/>
      <c r="N1099" s="76"/>
      <c r="O1099" s="76"/>
      <c r="P1099" s="76"/>
      <c r="Q1099" s="76"/>
      <c r="R1099" s="76"/>
      <c r="S1099" s="76"/>
      <c r="T1099" s="76"/>
      <c r="U1099" s="76"/>
      <c r="V1099" s="76"/>
      <c r="W1099" s="76"/>
      <c r="X1099" s="76"/>
      <c r="Y1099" s="76"/>
      <c r="Z1099" s="76"/>
      <c r="AA1099" s="76"/>
      <c r="AB1099" s="76"/>
      <c r="AC1099" s="76"/>
      <c r="AD1099" s="76"/>
      <c r="AE1099" s="76"/>
      <c r="AF1099" s="76"/>
      <c r="AG1099" s="76"/>
      <c r="AH1099" s="76"/>
      <c r="AI1099" s="76">
        <v>1</v>
      </c>
      <c r="AJ1099" s="76">
        <v>1</v>
      </c>
      <c r="AK1099" s="73"/>
      <c r="AL1099" s="57"/>
      <c r="AM1099" s="45"/>
      <c r="AN1099" s="45"/>
      <c r="AO1099" s="45"/>
    </row>
    <row r="1100" spans="1:41" hidden="1" outlineLevel="3" x14ac:dyDescent="0.25">
      <c r="A1100" s="45"/>
      <c r="B1100" s="54"/>
      <c r="C1100" s="47">
        <f t="shared" si="465"/>
        <v>4</v>
      </c>
      <c r="D1100" s="73"/>
      <c r="E1100" s="70"/>
      <c r="F1100" s="70" t="s">
        <v>3302</v>
      </c>
      <c r="G1100" s="73"/>
      <c r="H1100" s="76" t="s">
        <v>1470</v>
      </c>
      <c r="I1100" s="96" t="s">
        <v>497</v>
      </c>
      <c r="J1100" s="96"/>
      <c r="K1100" s="76"/>
      <c r="L1100" s="76"/>
      <c r="M1100" s="76"/>
      <c r="N1100" s="76"/>
      <c r="O1100" s="76"/>
      <c r="P1100" s="76"/>
      <c r="Q1100" s="76"/>
      <c r="R1100" s="76"/>
      <c r="S1100" s="76"/>
      <c r="T1100" s="76"/>
      <c r="U1100" s="76"/>
      <c r="V1100" s="76"/>
      <c r="W1100" s="76"/>
      <c r="X1100" s="76"/>
      <c r="Y1100" s="76"/>
      <c r="Z1100" s="76"/>
      <c r="AA1100" s="76"/>
      <c r="AB1100" s="76"/>
      <c r="AC1100" s="76"/>
      <c r="AD1100" s="76"/>
      <c r="AE1100" s="76"/>
      <c r="AF1100" s="76"/>
      <c r="AG1100" s="76"/>
      <c r="AH1100" s="76"/>
      <c r="AI1100" s="76">
        <v>1</v>
      </c>
      <c r="AJ1100" s="76">
        <v>1</v>
      </c>
      <c r="AK1100" s="73"/>
      <c r="AL1100" s="57"/>
      <c r="AM1100" s="45"/>
      <c r="AN1100" s="45"/>
      <c r="AO1100" s="45"/>
    </row>
    <row r="1101" spans="1:41" hidden="1" outlineLevel="3" x14ac:dyDescent="0.25">
      <c r="A1101" s="45"/>
      <c r="B1101" s="54"/>
      <c r="C1101" s="47">
        <f t="shared" si="465"/>
        <v>4</v>
      </c>
      <c r="D1101" s="73"/>
      <c r="E1101" s="70"/>
      <c r="F1101" s="70" t="s">
        <v>3303</v>
      </c>
      <c r="G1101" s="73"/>
      <c r="H1101" s="76" t="s">
        <v>1472</v>
      </c>
      <c r="I1101" s="96" t="s">
        <v>497</v>
      </c>
      <c r="J1101" s="96"/>
      <c r="K1101" s="76"/>
      <c r="L1101" s="76"/>
      <c r="M1101" s="76"/>
      <c r="N1101" s="76"/>
      <c r="O1101" s="76"/>
      <c r="P1101" s="76"/>
      <c r="Q1101" s="76"/>
      <c r="R1101" s="76"/>
      <c r="S1101" s="76"/>
      <c r="T1101" s="76"/>
      <c r="U1101" s="76"/>
      <c r="V1101" s="76"/>
      <c r="W1101" s="76"/>
      <c r="X1101" s="76"/>
      <c r="Y1101" s="76"/>
      <c r="Z1101" s="76"/>
      <c r="AA1101" s="76"/>
      <c r="AB1101" s="76"/>
      <c r="AC1101" s="76"/>
      <c r="AD1101" s="76"/>
      <c r="AE1101" s="76"/>
      <c r="AF1101" s="76"/>
      <c r="AG1101" s="76"/>
      <c r="AH1101" s="76"/>
      <c r="AI1101" s="76">
        <v>1</v>
      </c>
      <c r="AJ1101" s="76">
        <v>1</v>
      </c>
      <c r="AK1101" s="73"/>
      <c r="AL1101" s="57"/>
      <c r="AM1101" s="45"/>
      <c r="AN1101" s="45"/>
      <c r="AO1101" s="45"/>
    </row>
    <row r="1102" spans="1:41" hidden="1" outlineLevel="3" x14ac:dyDescent="0.25">
      <c r="A1102" s="45"/>
      <c r="B1102" s="54"/>
      <c r="C1102" s="47">
        <f t="shared" si="465"/>
        <v>4</v>
      </c>
      <c r="D1102" s="73"/>
      <c r="E1102" s="70"/>
      <c r="F1102" s="70" t="s">
        <v>3399</v>
      </c>
      <c r="G1102" s="73"/>
      <c r="H1102" s="76" t="s">
        <v>1466</v>
      </c>
      <c r="I1102" s="96" t="s">
        <v>497</v>
      </c>
      <c r="J1102" s="96"/>
      <c r="K1102" s="76"/>
      <c r="L1102" s="76"/>
      <c r="M1102" s="76"/>
      <c r="N1102" s="76"/>
      <c r="O1102" s="76"/>
      <c r="P1102" s="76"/>
      <c r="Q1102" s="76"/>
      <c r="R1102" s="76"/>
      <c r="S1102" s="76"/>
      <c r="T1102" s="76"/>
      <c r="U1102" s="76"/>
      <c r="V1102" s="76"/>
      <c r="W1102" s="76"/>
      <c r="X1102" s="76"/>
      <c r="Y1102" s="76"/>
      <c r="Z1102" s="76"/>
      <c r="AA1102" s="76"/>
      <c r="AB1102" s="76"/>
      <c r="AC1102" s="76"/>
      <c r="AD1102" s="76"/>
      <c r="AE1102" s="76"/>
      <c r="AF1102" s="76"/>
      <c r="AG1102" s="76"/>
      <c r="AH1102" s="76"/>
      <c r="AI1102" s="76">
        <v>1</v>
      </c>
      <c r="AJ1102" s="76">
        <v>1</v>
      </c>
      <c r="AK1102" s="73"/>
      <c r="AL1102" s="57"/>
      <c r="AM1102" s="45"/>
      <c r="AN1102" s="45"/>
      <c r="AO1102" s="45"/>
    </row>
    <row r="1103" spans="1:41" hidden="1" outlineLevel="3" x14ac:dyDescent="0.25">
      <c r="A1103" s="45"/>
      <c r="B1103" s="54"/>
      <c r="C1103" s="47">
        <f t="shared" si="465"/>
        <v>4</v>
      </c>
      <c r="D1103" s="73"/>
      <c r="E1103" s="70"/>
      <c r="F1103" s="70" t="s">
        <v>3400</v>
      </c>
      <c r="G1103" s="73"/>
      <c r="H1103" s="76" t="s">
        <v>1468</v>
      </c>
      <c r="I1103" s="96" t="s">
        <v>497</v>
      </c>
      <c r="J1103" s="96"/>
      <c r="K1103" s="76"/>
      <c r="L1103" s="76"/>
      <c r="M1103" s="76"/>
      <c r="N1103" s="76"/>
      <c r="O1103" s="76"/>
      <c r="P1103" s="76"/>
      <c r="Q1103" s="76"/>
      <c r="R1103" s="76"/>
      <c r="S1103" s="76"/>
      <c r="T1103" s="76"/>
      <c r="U1103" s="76"/>
      <c r="V1103" s="76"/>
      <c r="W1103" s="76"/>
      <c r="X1103" s="76"/>
      <c r="Y1103" s="76"/>
      <c r="Z1103" s="76"/>
      <c r="AA1103" s="76"/>
      <c r="AB1103" s="76"/>
      <c r="AC1103" s="76"/>
      <c r="AD1103" s="76"/>
      <c r="AE1103" s="76"/>
      <c r="AF1103" s="76"/>
      <c r="AG1103" s="76"/>
      <c r="AH1103" s="76"/>
      <c r="AI1103" s="76">
        <v>1</v>
      </c>
      <c r="AJ1103" s="76">
        <v>1</v>
      </c>
      <c r="AK1103" s="73"/>
      <c r="AL1103" s="57"/>
      <c r="AM1103" s="45"/>
      <c r="AN1103" s="45"/>
      <c r="AO1103" s="45"/>
    </row>
    <row r="1104" spans="1:41" hidden="1" outlineLevel="3" x14ac:dyDescent="0.25">
      <c r="A1104" s="45"/>
      <c r="B1104" s="54"/>
      <c r="C1104" s="47">
        <f t="shared" si="465"/>
        <v>4</v>
      </c>
      <c r="D1104" s="73"/>
      <c r="E1104" s="70"/>
      <c r="F1104" s="70" t="s">
        <v>3401</v>
      </c>
      <c r="G1104" s="73"/>
      <c r="H1104" s="76" t="s">
        <v>1470</v>
      </c>
      <c r="I1104" s="96" t="s">
        <v>497</v>
      </c>
      <c r="J1104" s="96"/>
      <c r="K1104" s="76"/>
      <c r="L1104" s="76"/>
      <c r="M1104" s="76"/>
      <c r="N1104" s="76"/>
      <c r="O1104" s="76"/>
      <c r="P1104" s="76"/>
      <c r="Q1104" s="76"/>
      <c r="R1104" s="76"/>
      <c r="S1104" s="76"/>
      <c r="T1104" s="76"/>
      <c r="U1104" s="76"/>
      <c r="V1104" s="76"/>
      <c r="W1104" s="76"/>
      <c r="X1104" s="76"/>
      <c r="Y1104" s="76"/>
      <c r="Z1104" s="76"/>
      <c r="AA1104" s="76"/>
      <c r="AB1104" s="76"/>
      <c r="AC1104" s="76"/>
      <c r="AD1104" s="76"/>
      <c r="AE1104" s="76"/>
      <c r="AF1104" s="76"/>
      <c r="AG1104" s="76"/>
      <c r="AH1104" s="76"/>
      <c r="AI1104" s="76">
        <v>1</v>
      </c>
      <c r="AJ1104" s="76">
        <v>1</v>
      </c>
      <c r="AK1104" s="73"/>
      <c r="AL1104" s="57"/>
      <c r="AM1104" s="45"/>
      <c r="AN1104" s="45"/>
      <c r="AO1104" s="45"/>
    </row>
    <row r="1105" spans="1:41" hidden="1" outlineLevel="3" x14ac:dyDescent="0.25">
      <c r="A1105" s="45"/>
      <c r="B1105" s="54"/>
      <c r="C1105" s="47">
        <f t="shared" si="465"/>
        <v>4</v>
      </c>
      <c r="D1105" s="73"/>
      <c r="E1105" s="70"/>
      <c r="F1105" s="70" t="s">
        <v>3402</v>
      </c>
      <c r="G1105" s="73"/>
      <c r="H1105" s="76" t="s">
        <v>1472</v>
      </c>
      <c r="I1105" s="96" t="s">
        <v>497</v>
      </c>
      <c r="J1105" s="96"/>
      <c r="K1105" s="76"/>
      <c r="L1105" s="76"/>
      <c r="M1105" s="76"/>
      <c r="N1105" s="76"/>
      <c r="O1105" s="76"/>
      <c r="P1105" s="76"/>
      <c r="Q1105" s="76"/>
      <c r="R1105" s="76"/>
      <c r="S1105" s="76"/>
      <c r="T1105" s="76"/>
      <c r="U1105" s="76"/>
      <c r="V1105" s="76"/>
      <c r="W1105" s="76"/>
      <c r="X1105" s="76"/>
      <c r="Y1105" s="76"/>
      <c r="Z1105" s="76"/>
      <c r="AA1105" s="76"/>
      <c r="AB1105" s="76"/>
      <c r="AC1105" s="76"/>
      <c r="AD1105" s="76"/>
      <c r="AE1105" s="76"/>
      <c r="AF1105" s="76"/>
      <c r="AG1105" s="76"/>
      <c r="AH1105" s="76"/>
      <c r="AI1105" s="76">
        <v>1</v>
      </c>
      <c r="AJ1105" s="76">
        <v>1</v>
      </c>
      <c r="AK1105" s="73"/>
      <c r="AL1105" s="57"/>
      <c r="AM1105" s="45"/>
      <c r="AN1105" s="45"/>
      <c r="AO1105" s="45"/>
    </row>
    <row r="1106" spans="1:41" hidden="1" outlineLevel="3" x14ac:dyDescent="0.25">
      <c r="A1106" s="45"/>
      <c r="B1106" s="54"/>
      <c r="C1106" s="47">
        <f t="shared" si="465"/>
        <v>4</v>
      </c>
      <c r="D1106" s="73"/>
      <c r="E1106" s="70"/>
      <c r="F1106" s="70" t="s">
        <v>3403</v>
      </c>
      <c r="G1106" s="73"/>
      <c r="H1106" s="76" t="s">
        <v>1466</v>
      </c>
      <c r="I1106" s="96" t="s">
        <v>497</v>
      </c>
      <c r="J1106" s="96"/>
      <c r="K1106" s="76"/>
      <c r="L1106" s="76"/>
      <c r="M1106" s="76"/>
      <c r="N1106" s="76"/>
      <c r="O1106" s="76"/>
      <c r="P1106" s="76"/>
      <c r="Q1106" s="76"/>
      <c r="R1106" s="76"/>
      <c r="S1106" s="76"/>
      <c r="T1106" s="76"/>
      <c r="U1106" s="76"/>
      <c r="V1106" s="76"/>
      <c r="W1106" s="76"/>
      <c r="X1106" s="76"/>
      <c r="Y1106" s="76"/>
      <c r="Z1106" s="76"/>
      <c r="AA1106" s="76"/>
      <c r="AB1106" s="76"/>
      <c r="AC1106" s="76"/>
      <c r="AD1106" s="76"/>
      <c r="AE1106" s="76"/>
      <c r="AF1106" s="76"/>
      <c r="AG1106" s="76"/>
      <c r="AH1106" s="76"/>
      <c r="AI1106" s="76">
        <v>1</v>
      </c>
      <c r="AJ1106" s="76">
        <v>1</v>
      </c>
      <c r="AK1106" s="73"/>
      <c r="AL1106" s="57"/>
      <c r="AM1106" s="45"/>
      <c r="AN1106" s="45"/>
      <c r="AO1106" s="45"/>
    </row>
    <row r="1107" spans="1:41" hidden="1" outlineLevel="3" x14ac:dyDescent="0.25">
      <c r="A1107" s="45"/>
      <c r="B1107" s="54"/>
      <c r="C1107" s="47">
        <f t="shared" si="465"/>
        <v>4</v>
      </c>
      <c r="D1107" s="73"/>
      <c r="E1107" s="70"/>
      <c r="F1107" s="70" t="s">
        <v>3404</v>
      </c>
      <c r="G1107" s="73"/>
      <c r="H1107" s="76" t="s">
        <v>1468</v>
      </c>
      <c r="I1107" s="96" t="s">
        <v>497</v>
      </c>
      <c r="J1107" s="96"/>
      <c r="K1107" s="76"/>
      <c r="L1107" s="76"/>
      <c r="M1107" s="76"/>
      <c r="N1107" s="76"/>
      <c r="O1107" s="76"/>
      <c r="P1107" s="76"/>
      <c r="Q1107" s="76"/>
      <c r="R1107" s="76"/>
      <c r="S1107" s="76"/>
      <c r="T1107" s="76"/>
      <c r="U1107" s="76"/>
      <c r="V1107" s="76"/>
      <c r="W1107" s="76"/>
      <c r="X1107" s="76"/>
      <c r="Y1107" s="76"/>
      <c r="Z1107" s="76"/>
      <c r="AA1107" s="76"/>
      <c r="AB1107" s="76"/>
      <c r="AC1107" s="76"/>
      <c r="AD1107" s="76"/>
      <c r="AE1107" s="76"/>
      <c r="AF1107" s="76"/>
      <c r="AG1107" s="76"/>
      <c r="AH1107" s="76"/>
      <c r="AI1107" s="76">
        <v>1</v>
      </c>
      <c r="AJ1107" s="76">
        <v>1</v>
      </c>
      <c r="AK1107" s="73"/>
      <c r="AL1107" s="57"/>
      <c r="AM1107" s="45"/>
      <c r="AN1107" s="45"/>
      <c r="AO1107" s="45"/>
    </row>
    <row r="1108" spans="1:41" hidden="1" outlineLevel="3" x14ac:dyDescent="0.25">
      <c r="A1108" s="45"/>
      <c r="B1108" s="54"/>
      <c r="C1108" s="47">
        <f t="shared" si="465"/>
        <v>4</v>
      </c>
      <c r="D1108" s="73"/>
      <c r="E1108" s="70"/>
      <c r="F1108" s="70" t="s">
        <v>3405</v>
      </c>
      <c r="G1108" s="73"/>
      <c r="H1108" s="76" t="s">
        <v>1470</v>
      </c>
      <c r="I1108" s="96" t="s">
        <v>497</v>
      </c>
      <c r="J1108" s="96"/>
      <c r="K1108" s="76"/>
      <c r="L1108" s="76"/>
      <c r="M1108" s="76"/>
      <c r="N1108" s="76"/>
      <c r="O1108" s="76"/>
      <c r="P1108" s="76"/>
      <c r="Q1108" s="76"/>
      <c r="R1108" s="76"/>
      <c r="S1108" s="76"/>
      <c r="T1108" s="76"/>
      <c r="U1108" s="76"/>
      <c r="V1108" s="76"/>
      <c r="W1108" s="76"/>
      <c r="X1108" s="76"/>
      <c r="Y1108" s="76"/>
      <c r="Z1108" s="76"/>
      <c r="AA1108" s="76"/>
      <c r="AB1108" s="76"/>
      <c r="AC1108" s="76"/>
      <c r="AD1108" s="76"/>
      <c r="AE1108" s="76"/>
      <c r="AF1108" s="76"/>
      <c r="AG1108" s="76"/>
      <c r="AH1108" s="76"/>
      <c r="AI1108" s="76">
        <v>1</v>
      </c>
      <c r="AJ1108" s="76">
        <v>1</v>
      </c>
      <c r="AK1108" s="73"/>
      <c r="AL1108" s="57"/>
      <c r="AM1108" s="45"/>
      <c r="AN1108" s="45"/>
      <c r="AO1108" s="45"/>
    </row>
    <row r="1109" spans="1:41" hidden="1" outlineLevel="3" x14ac:dyDescent="0.25">
      <c r="A1109" s="45"/>
      <c r="B1109" s="54"/>
      <c r="C1109" s="47">
        <f t="shared" si="465"/>
        <v>4</v>
      </c>
      <c r="D1109" s="73"/>
      <c r="E1109" s="70"/>
      <c r="F1109" s="70" t="s">
        <v>3406</v>
      </c>
      <c r="G1109" s="73"/>
      <c r="H1109" s="76" t="s">
        <v>1472</v>
      </c>
      <c r="I1109" s="96" t="s">
        <v>497</v>
      </c>
      <c r="J1109" s="96"/>
      <c r="K1109" s="76"/>
      <c r="L1109" s="76"/>
      <c r="M1109" s="76"/>
      <c r="N1109" s="76"/>
      <c r="O1109" s="76"/>
      <c r="P1109" s="76"/>
      <c r="Q1109" s="76"/>
      <c r="R1109" s="76"/>
      <c r="S1109" s="76"/>
      <c r="T1109" s="76"/>
      <c r="U1109" s="76"/>
      <c r="V1109" s="76"/>
      <c r="W1109" s="76"/>
      <c r="X1109" s="76"/>
      <c r="Y1109" s="76"/>
      <c r="Z1109" s="76"/>
      <c r="AA1109" s="76"/>
      <c r="AB1109" s="76"/>
      <c r="AC1109" s="76"/>
      <c r="AD1109" s="76"/>
      <c r="AE1109" s="76"/>
      <c r="AF1109" s="76"/>
      <c r="AG1109" s="76"/>
      <c r="AH1109" s="76"/>
      <c r="AI1109" s="76">
        <v>1</v>
      </c>
      <c r="AJ1109" s="76">
        <v>1</v>
      </c>
      <c r="AK1109" s="73"/>
      <c r="AL1109" s="57"/>
      <c r="AM1109" s="45"/>
      <c r="AN1109" s="45"/>
      <c r="AO1109" s="45"/>
    </row>
    <row r="1110" spans="1:41" hidden="1" outlineLevel="3" x14ac:dyDescent="0.25">
      <c r="A1110" s="45"/>
      <c r="B1110" s="54"/>
      <c r="C1110" s="47">
        <f t="shared" si="465"/>
        <v>4</v>
      </c>
      <c r="D1110" s="73"/>
      <c r="E1110" s="70"/>
      <c r="F1110" s="70" t="s">
        <v>3407</v>
      </c>
      <c r="G1110" s="73"/>
      <c r="H1110" s="76" t="s">
        <v>1466</v>
      </c>
      <c r="I1110" s="96" t="s">
        <v>497</v>
      </c>
      <c r="J1110" s="96"/>
      <c r="K1110" s="76"/>
      <c r="L1110" s="76"/>
      <c r="M1110" s="76"/>
      <c r="N1110" s="76"/>
      <c r="O1110" s="76"/>
      <c r="P1110" s="76"/>
      <c r="Q1110" s="76"/>
      <c r="R1110" s="76"/>
      <c r="S1110" s="76"/>
      <c r="T1110" s="76"/>
      <c r="U1110" s="76"/>
      <c r="V1110" s="76"/>
      <c r="W1110" s="76"/>
      <c r="X1110" s="76"/>
      <c r="Y1110" s="76"/>
      <c r="Z1110" s="76"/>
      <c r="AA1110" s="76"/>
      <c r="AB1110" s="76"/>
      <c r="AC1110" s="76"/>
      <c r="AD1110" s="76"/>
      <c r="AE1110" s="76"/>
      <c r="AF1110" s="76"/>
      <c r="AG1110" s="76"/>
      <c r="AH1110" s="76"/>
      <c r="AI1110" s="76">
        <v>1</v>
      </c>
      <c r="AJ1110" s="76">
        <v>1</v>
      </c>
      <c r="AK1110" s="73"/>
      <c r="AL1110" s="57"/>
      <c r="AM1110" s="45"/>
      <c r="AN1110" s="45"/>
      <c r="AO1110" s="45"/>
    </row>
    <row r="1111" spans="1:41" hidden="1" outlineLevel="3" x14ac:dyDescent="0.25">
      <c r="A1111" s="45"/>
      <c r="B1111" s="54"/>
      <c r="C1111" s="47">
        <f t="shared" si="465"/>
        <v>4</v>
      </c>
      <c r="D1111" s="73"/>
      <c r="E1111" s="70"/>
      <c r="F1111" s="70" t="s">
        <v>3408</v>
      </c>
      <c r="G1111" s="73"/>
      <c r="H1111" s="76" t="s">
        <v>1468</v>
      </c>
      <c r="I1111" s="96" t="s">
        <v>497</v>
      </c>
      <c r="J1111" s="96"/>
      <c r="K1111" s="76"/>
      <c r="L1111" s="76"/>
      <c r="M1111" s="76"/>
      <c r="N1111" s="76"/>
      <c r="O1111" s="76"/>
      <c r="P1111" s="76"/>
      <c r="Q1111" s="76"/>
      <c r="R1111" s="76"/>
      <c r="S1111" s="76"/>
      <c r="T1111" s="76"/>
      <c r="U1111" s="76"/>
      <c r="V1111" s="76"/>
      <c r="W1111" s="76"/>
      <c r="X1111" s="76"/>
      <c r="Y1111" s="76"/>
      <c r="Z1111" s="76"/>
      <c r="AA1111" s="76"/>
      <c r="AB1111" s="76"/>
      <c r="AC1111" s="76"/>
      <c r="AD1111" s="76"/>
      <c r="AE1111" s="76"/>
      <c r="AF1111" s="76"/>
      <c r="AG1111" s="76"/>
      <c r="AH1111" s="76"/>
      <c r="AI1111" s="76">
        <v>1</v>
      </c>
      <c r="AJ1111" s="76">
        <v>1</v>
      </c>
      <c r="AK1111" s="73"/>
      <c r="AL1111" s="57"/>
      <c r="AM1111" s="45"/>
      <c r="AN1111" s="45"/>
      <c r="AO1111" s="45"/>
    </row>
    <row r="1112" spans="1:41" hidden="1" outlineLevel="3" x14ac:dyDescent="0.25">
      <c r="A1112" s="45"/>
      <c r="B1112" s="54"/>
      <c r="C1112" s="47">
        <f t="shared" si="465"/>
        <v>4</v>
      </c>
      <c r="D1112" s="73"/>
      <c r="E1112" s="70"/>
      <c r="F1112" s="70" t="s">
        <v>3409</v>
      </c>
      <c r="G1112" s="73"/>
      <c r="H1112" s="76" t="s">
        <v>1470</v>
      </c>
      <c r="I1112" s="96" t="s">
        <v>497</v>
      </c>
      <c r="J1112" s="96"/>
      <c r="K1112" s="76"/>
      <c r="L1112" s="76"/>
      <c r="M1112" s="76"/>
      <c r="N1112" s="76"/>
      <c r="O1112" s="76"/>
      <c r="P1112" s="76"/>
      <c r="Q1112" s="76"/>
      <c r="R1112" s="76"/>
      <c r="S1112" s="76"/>
      <c r="T1112" s="76"/>
      <c r="U1112" s="76"/>
      <c r="V1112" s="76"/>
      <c r="W1112" s="76"/>
      <c r="X1112" s="76"/>
      <c r="Y1112" s="76"/>
      <c r="Z1112" s="76"/>
      <c r="AA1112" s="76"/>
      <c r="AB1112" s="76"/>
      <c r="AC1112" s="76"/>
      <c r="AD1112" s="76"/>
      <c r="AE1112" s="76"/>
      <c r="AF1112" s="76"/>
      <c r="AG1112" s="76"/>
      <c r="AH1112" s="76"/>
      <c r="AI1112" s="76">
        <v>1</v>
      </c>
      <c r="AJ1112" s="76">
        <v>1</v>
      </c>
      <c r="AK1112" s="73"/>
      <c r="AL1112" s="57"/>
      <c r="AM1112" s="45"/>
      <c r="AN1112" s="45"/>
      <c r="AO1112" s="45"/>
    </row>
    <row r="1113" spans="1:41" hidden="1" outlineLevel="3" x14ac:dyDescent="0.25">
      <c r="A1113" s="45"/>
      <c r="B1113" s="54"/>
      <c r="C1113" s="47">
        <f t="shared" si="465"/>
        <v>4</v>
      </c>
      <c r="D1113" s="73"/>
      <c r="E1113" s="70"/>
      <c r="F1113" s="70" t="s">
        <v>3410</v>
      </c>
      <c r="G1113" s="73"/>
      <c r="H1113" s="76" t="s">
        <v>1472</v>
      </c>
      <c r="I1113" s="96" t="s">
        <v>497</v>
      </c>
      <c r="J1113" s="96"/>
      <c r="K1113" s="76"/>
      <c r="L1113" s="76"/>
      <c r="M1113" s="76"/>
      <c r="N1113" s="76"/>
      <c r="O1113" s="76"/>
      <c r="P1113" s="76"/>
      <c r="Q1113" s="76"/>
      <c r="R1113" s="76"/>
      <c r="S1113" s="76"/>
      <c r="T1113" s="76"/>
      <c r="U1113" s="76"/>
      <c r="V1113" s="76"/>
      <c r="W1113" s="76"/>
      <c r="X1113" s="76"/>
      <c r="Y1113" s="76"/>
      <c r="Z1113" s="76"/>
      <c r="AA1113" s="76"/>
      <c r="AB1113" s="76"/>
      <c r="AC1113" s="76"/>
      <c r="AD1113" s="76"/>
      <c r="AE1113" s="76"/>
      <c r="AF1113" s="76"/>
      <c r="AG1113" s="76"/>
      <c r="AH1113" s="76"/>
      <c r="AI1113" s="76">
        <v>1</v>
      </c>
      <c r="AJ1113" s="76">
        <v>1</v>
      </c>
      <c r="AK1113" s="73"/>
      <c r="AL1113" s="57"/>
      <c r="AM1113" s="45"/>
      <c r="AN1113" s="45"/>
      <c r="AO1113" s="45"/>
    </row>
    <row r="1114" spans="1:41" hidden="1" outlineLevel="3" x14ac:dyDescent="0.25">
      <c r="A1114" s="45"/>
      <c r="B1114" s="54"/>
      <c r="C1114" s="47">
        <f t="shared" si="465"/>
        <v>4</v>
      </c>
      <c r="D1114" s="73"/>
      <c r="E1114" s="70"/>
      <c r="F1114" s="70" t="s">
        <v>3411</v>
      </c>
      <c r="G1114" s="73"/>
      <c r="H1114" s="76" t="s">
        <v>1466</v>
      </c>
      <c r="I1114" s="96" t="s">
        <v>497</v>
      </c>
      <c r="J1114" s="96"/>
      <c r="K1114" s="76"/>
      <c r="L1114" s="76"/>
      <c r="M1114" s="76"/>
      <c r="N1114" s="76"/>
      <c r="O1114" s="76"/>
      <c r="P1114" s="76"/>
      <c r="Q1114" s="76"/>
      <c r="R1114" s="76"/>
      <c r="S1114" s="76"/>
      <c r="T1114" s="76"/>
      <c r="U1114" s="76"/>
      <c r="V1114" s="76"/>
      <c r="W1114" s="76"/>
      <c r="X1114" s="76"/>
      <c r="Y1114" s="76"/>
      <c r="Z1114" s="76"/>
      <c r="AA1114" s="76"/>
      <c r="AB1114" s="76"/>
      <c r="AC1114" s="76"/>
      <c r="AD1114" s="76"/>
      <c r="AE1114" s="76"/>
      <c r="AF1114" s="76"/>
      <c r="AG1114" s="76"/>
      <c r="AH1114" s="76"/>
      <c r="AI1114" s="76">
        <v>1</v>
      </c>
      <c r="AJ1114" s="76">
        <v>1</v>
      </c>
      <c r="AK1114" s="73"/>
      <c r="AL1114" s="57"/>
      <c r="AM1114" s="45"/>
      <c r="AN1114" s="45"/>
      <c r="AO1114" s="45"/>
    </row>
    <row r="1115" spans="1:41" hidden="1" outlineLevel="3" x14ac:dyDescent="0.25">
      <c r="A1115" s="45"/>
      <c r="B1115" s="54"/>
      <c r="C1115" s="47">
        <f t="shared" si="465"/>
        <v>4</v>
      </c>
      <c r="D1115" s="73"/>
      <c r="E1115" s="70"/>
      <c r="F1115" s="70" t="s">
        <v>3412</v>
      </c>
      <c r="G1115" s="73"/>
      <c r="H1115" s="76" t="s">
        <v>1468</v>
      </c>
      <c r="I1115" s="96" t="s">
        <v>497</v>
      </c>
      <c r="J1115" s="96"/>
      <c r="K1115" s="76"/>
      <c r="L1115" s="76"/>
      <c r="M1115" s="76"/>
      <c r="N1115" s="76"/>
      <c r="O1115" s="76"/>
      <c r="P1115" s="76"/>
      <c r="Q1115" s="76"/>
      <c r="R1115" s="76"/>
      <c r="S1115" s="76"/>
      <c r="T1115" s="76"/>
      <c r="U1115" s="76"/>
      <c r="V1115" s="76"/>
      <c r="W1115" s="76"/>
      <c r="X1115" s="76"/>
      <c r="Y1115" s="76"/>
      <c r="Z1115" s="76"/>
      <c r="AA1115" s="76"/>
      <c r="AB1115" s="76"/>
      <c r="AC1115" s="76"/>
      <c r="AD1115" s="76"/>
      <c r="AE1115" s="76"/>
      <c r="AF1115" s="76"/>
      <c r="AG1115" s="76"/>
      <c r="AH1115" s="76"/>
      <c r="AI1115" s="76">
        <v>1</v>
      </c>
      <c r="AJ1115" s="76">
        <v>1</v>
      </c>
      <c r="AK1115" s="73"/>
      <c r="AL1115" s="57"/>
      <c r="AM1115" s="45"/>
      <c r="AN1115" s="45"/>
      <c r="AO1115" s="45"/>
    </row>
    <row r="1116" spans="1:41" hidden="1" outlineLevel="3" x14ac:dyDescent="0.25">
      <c r="A1116" s="45"/>
      <c r="B1116" s="54"/>
      <c r="C1116" s="47">
        <f t="shared" si="465"/>
        <v>4</v>
      </c>
      <c r="D1116" s="73"/>
      <c r="E1116" s="70"/>
      <c r="F1116" s="70" t="s">
        <v>3413</v>
      </c>
      <c r="G1116" s="73"/>
      <c r="H1116" s="76" t="s">
        <v>1470</v>
      </c>
      <c r="I1116" s="96" t="s">
        <v>497</v>
      </c>
      <c r="J1116" s="96"/>
      <c r="K1116" s="76"/>
      <c r="L1116" s="76"/>
      <c r="M1116" s="76"/>
      <c r="N1116" s="76"/>
      <c r="O1116" s="76"/>
      <c r="P1116" s="76"/>
      <c r="Q1116" s="76"/>
      <c r="R1116" s="76"/>
      <c r="S1116" s="76"/>
      <c r="T1116" s="76"/>
      <c r="U1116" s="76"/>
      <c r="V1116" s="76"/>
      <c r="W1116" s="76"/>
      <c r="X1116" s="76"/>
      <c r="Y1116" s="76"/>
      <c r="Z1116" s="76"/>
      <c r="AA1116" s="76"/>
      <c r="AB1116" s="76"/>
      <c r="AC1116" s="76"/>
      <c r="AD1116" s="76"/>
      <c r="AE1116" s="76"/>
      <c r="AF1116" s="76"/>
      <c r="AG1116" s="76"/>
      <c r="AH1116" s="76"/>
      <c r="AI1116" s="76">
        <v>1</v>
      </c>
      <c r="AJ1116" s="76">
        <v>1</v>
      </c>
      <c r="AK1116" s="73"/>
      <c r="AL1116" s="57"/>
      <c r="AM1116" s="45"/>
      <c r="AN1116" s="45"/>
      <c r="AO1116" s="45"/>
    </row>
    <row r="1117" spans="1:41" hidden="1" outlineLevel="3" x14ac:dyDescent="0.25">
      <c r="A1117" s="45"/>
      <c r="B1117" s="54"/>
      <c r="C1117" s="47">
        <f t="shared" si="465"/>
        <v>4</v>
      </c>
      <c r="D1117" s="73"/>
      <c r="E1117" s="70"/>
      <c r="F1117" s="70" t="s">
        <v>3414</v>
      </c>
      <c r="G1117" s="73"/>
      <c r="H1117" s="76" t="s">
        <v>1472</v>
      </c>
      <c r="I1117" s="96" t="s">
        <v>497</v>
      </c>
      <c r="J1117" s="96"/>
      <c r="K1117" s="76"/>
      <c r="L1117" s="76"/>
      <c r="M1117" s="76"/>
      <c r="N1117" s="76"/>
      <c r="O1117" s="76"/>
      <c r="P1117" s="76"/>
      <c r="Q1117" s="76"/>
      <c r="R1117" s="76"/>
      <c r="S1117" s="76"/>
      <c r="T1117" s="76"/>
      <c r="U1117" s="76"/>
      <c r="V1117" s="76"/>
      <c r="W1117" s="76"/>
      <c r="X1117" s="76"/>
      <c r="Y1117" s="76"/>
      <c r="Z1117" s="76"/>
      <c r="AA1117" s="76"/>
      <c r="AB1117" s="76"/>
      <c r="AC1117" s="76"/>
      <c r="AD1117" s="76"/>
      <c r="AE1117" s="76"/>
      <c r="AF1117" s="76"/>
      <c r="AG1117" s="76"/>
      <c r="AH1117" s="76"/>
      <c r="AI1117" s="76">
        <v>1</v>
      </c>
      <c r="AJ1117" s="76">
        <v>1</v>
      </c>
      <c r="AK1117" s="73"/>
      <c r="AL1117" s="57"/>
      <c r="AM1117" s="45"/>
      <c r="AN1117" s="45"/>
      <c r="AO1117" s="45"/>
    </row>
    <row r="1118" spans="1:41" hidden="1" outlineLevel="3" x14ac:dyDescent="0.25">
      <c r="A1118" s="45"/>
      <c r="B1118" s="54"/>
      <c r="C1118" s="47">
        <f t="shared" si="465"/>
        <v>4</v>
      </c>
      <c r="D1118" s="73"/>
      <c r="E1118" s="70"/>
      <c r="F1118" s="70" t="s">
        <v>3415</v>
      </c>
      <c r="G1118" s="73"/>
      <c r="H1118" s="76" t="s">
        <v>1466</v>
      </c>
      <c r="I1118" s="96" t="s">
        <v>497</v>
      </c>
      <c r="J1118" s="96"/>
      <c r="K1118" s="76"/>
      <c r="L1118" s="76"/>
      <c r="M1118" s="76"/>
      <c r="N1118" s="76"/>
      <c r="O1118" s="76"/>
      <c r="P1118" s="76"/>
      <c r="Q1118" s="76"/>
      <c r="R1118" s="76"/>
      <c r="S1118" s="76"/>
      <c r="T1118" s="76"/>
      <c r="U1118" s="76"/>
      <c r="V1118" s="76"/>
      <c r="W1118" s="76"/>
      <c r="X1118" s="76"/>
      <c r="Y1118" s="76"/>
      <c r="Z1118" s="76"/>
      <c r="AA1118" s="76"/>
      <c r="AB1118" s="76"/>
      <c r="AC1118" s="76"/>
      <c r="AD1118" s="76"/>
      <c r="AE1118" s="76"/>
      <c r="AF1118" s="76"/>
      <c r="AG1118" s="76"/>
      <c r="AH1118" s="76"/>
      <c r="AI1118" s="76">
        <v>1</v>
      </c>
      <c r="AJ1118" s="76">
        <v>1</v>
      </c>
      <c r="AK1118" s="73"/>
      <c r="AL1118" s="57"/>
      <c r="AM1118" s="45"/>
      <c r="AN1118" s="45"/>
      <c r="AO1118" s="45"/>
    </row>
    <row r="1119" spans="1:41" hidden="1" outlineLevel="3" x14ac:dyDescent="0.25">
      <c r="A1119" s="45"/>
      <c r="B1119" s="54"/>
      <c r="C1119" s="47">
        <f t="shared" si="465"/>
        <v>4</v>
      </c>
      <c r="D1119" s="73"/>
      <c r="E1119" s="70"/>
      <c r="F1119" s="70" t="s">
        <v>3416</v>
      </c>
      <c r="G1119" s="73"/>
      <c r="H1119" s="76" t="s">
        <v>1468</v>
      </c>
      <c r="I1119" s="96" t="s">
        <v>497</v>
      </c>
      <c r="J1119" s="96"/>
      <c r="K1119" s="76"/>
      <c r="L1119" s="76"/>
      <c r="M1119" s="76"/>
      <c r="N1119" s="76"/>
      <c r="O1119" s="76"/>
      <c r="P1119" s="76"/>
      <c r="Q1119" s="76"/>
      <c r="R1119" s="76"/>
      <c r="S1119" s="76"/>
      <c r="T1119" s="76"/>
      <c r="U1119" s="76"/>
      <c r="V1119" s="76"/>
      <c r="W1119" s="76"/>
      <c r="X1119" s="76"/>
      <c r="Y1119" s="76"/>
      <c r="Z1119" s="76"/>
      <c r="AA1119" s="76"/>
      <c r="AB1119" s="76"/>
      <c r="AC1119" s="76"/>
      <c r="AD1119" s="76"/>
      <c r="AE1119" s="76"/>
      <c r="AF1119" s="76"/>
      <c r="AG1119" s="76"/>
      <c r="AH1119" s="76"/>
      <c r="AI1119" s="76">
        <v>1</v>
      </c>
      <c r="AJ1119" s="76">
        <v>1</v>
      </c>
      <c r="AK1119" s="73"/>
      <c r="AL1119" s="57"/>
      <c r="AM1119" s="45"/>
      <c r="AN1119" s="45"/>
      <c r="AO1119" s="45"/>
    </row>
    <row r="1120" spans="1:41" hidden="1" outlineLevel="3" x14ac:dyDescent="0.25">
      <c r="A1120" s="45"/>
      <c r="B1120" s="54"/>
      <c r="C1120" s="47">
        <f t="shared" si="465"/>
        <v>4</v>
      </c>
      <c r="D1120" s="73"/>
      <c r="E1120" s="70"/>
      <c r="F1120" s="70" t="s">
        <v>3417</v>
      </c>
      <c r="G1120" s="73"/>
      <c r="H1120" s="76" t="s">
        <v>1470</v>
      </c>
      <c r="I1120" s="96" t="s">
        <v>497</v>
      </c>
      <c r="J1120" s="96"/>
      <c r="K1120" s="76"/>
      <c r="L1120" s="76"/>
      <c r="M1120" s="76"/>
      <c r="N1120" s="76"/>
      <c r="O1120" s="76"/>
      <c r="P1120" s="76"/>
      <c r="Q1120" s="76"/>
      <c r="R1120" s="76"/>
      <c r="S1120" s="76"/>
      <c r="T1120" s="76"/>
      <c r="U1120" s="76"/>
      <c r="V1120" s="76"/>
      <c r="W1120" s="76"/>
      <c r="X1120" s="76"/>
      <c r="Y1120" s="76"/>
      <c r="Z1120" s="76"/>
      <c r="AA1120" s="76"/>
      <c r="AB1120" s="76"/>
      <c r="AC1120" s="76"/>
      <c r="AD1120" s="76"/>
      <c r="AE1120" s="76"/>
      <c r="AF1120" s="76"/>
      <c r="AG1120" s="76"/>
      <c r="AH1120" s="76"/>
      <c r="AI1120" s="76">
        <v>1</v>
      </c>
      <c r="AJ1120" s="76">
        <v>1</v>
      </c>
      <c r="AK1120" s="73"/>
      <c r="AL1120" s="57"/>
      <c r="AM1120" s="45"/>
      <c r="AN1120" s="45"/>
      <c r="AO1120" s="45"/>
    </row>
    <row r="1121" spans="1:41" hidden="1" outlineLevel="3" x14ac:dyDescent="0.25">
      <c r="A1121" s="45"/>
      <c r="B1121" s="54"/>
      <c r="C1121" s="47">
        <f t="shared" si="465"/>
        <v>4</v>
      </c>
      <c r="D1121" s="73"/>
      <c r="E1121" s="70"/>
      <c r="F1121" s="70" t="s">
        <v>3418</v>
      </c>
      <c r="G1121" s="73"/>
      <c r="H1121" s="76" t="s">
        <v>1472</v>
      </c>
      <c r="I1121" s="96" t="s">
        <v>497</v>
      </c>
      <c r="J1121" s="96"/>
      <c r="K1121" s="76"/>
      <c r="L1121" s="76"/>
      <c r="M1121" s="76"/>
      <c r="N1121" s="76"/>
      <c r="O1121" s="76"/>
      <c r="P1121" s="76"/>
      <c r="Q1121" s="76"/>
      <c r="R1121" s="76"/>
      <c r="S1121" s="76"/>
      <c r="T1121" s="76"/>
      <c r="U1121" s="76"/>
      <c r="V1121" s="76"/>
      <c r="W1121" s="76"/>
      <c r="X1121" s="76"/>
      <c r="Y1121" s="76"/>
      <c r="Z1121" s="76"/>
      <c r="AA1121" s="76"/>
      <c r="AB1121" s="76"/>
      <c r="AC1121" s="76"/>
      <c r="AD1121" s="76"/>
      <c r="AE1121" s="76"/>
      <c r="AF1121" s="76"/>
      <c r="AG1121" s="76"/>
      <c r="AH1121" s="76"/>
      <c r="AI1121" s="76">
        <v>1</v>
      </c>
      <c r="AJ1121" s="76">
        <v>1</v>
      </c>
      <c r="AK1121" s="73"/>
      <c r="AL1121" s="57"/>
      <c r="AM1121" s="45"/>
      <c r="AN1121" s="45"/>
      <c r="AO1121" s="45"/>
    </row>
    <row r="1122" spans="1:41" hidden="1" outlineLevel="3" x14ac:dyDescent="0.25">
      <c r="A1122" s="45"/>
      <c r="B1122" s="54"/>
      <c r="C1122" s="47">
        <f t="shared" si="465"/>
        <v>4</v>
      </c>
      <c r="D1122" s="73"/>
      <c r="E1122" s="70"/>
      <c r="F1122" s="70" t="s">
        <v>3419</v>
      </c>
      <c r="G1122" s="73"/>
      <c r="H1122" s="76" t="s">
        <v>1466</v>
      </c>
      <c r="I1122" s="96" t="s">
        <v>497</v>
      </c>
      <c r="J1122" s="96"/>
      <c r="K1122" s="76"/>
      <c r="L1122" s="76"/>
      <c r="M1122" s="76"/>
      <c r="N1122" s="76"/>
      <c r="O1122" s="76"/>
      <c r="P1122" s="76"/>
      <c r="Q1122" s="76"/>
      <c r="R1122" s="76"/>
      <c r="S1122" s="76"/>
      <c r="T1122" s="76"/>
      <c r="U1122" s="76"/>
      <c r="V1122" s="76"/>
      <c r="W1122" s="76"/>
      <c r="X1122" s="76"/>
      <c r="Y1122" s="76"/>
      <c r="Z1122" s="76"/>
      <c r="AA1122" s="76"/>
      <c r="AB1122" s="76"/>
      <c r="AC1122" s="76"/>
      <c r="AD1122" s="76"/>
      <c r="AE1122" s="76"/>
      <c r="AF1122" s="76"/>
      <c r="AG1122" s="76"/>
      <c r="AH1122" s="76"/>
      <c r="AI1122" s="76">
        <v>1</v>
      </c>
      <c r="AJ1122" s="76">
        <v>1</v>
      </c>
      <c r="AK1122" s="73"/>
      <c r="AL1122" s="57"/>
      <c r="AM1122" s="45"/>
      <c r="AN1122" s="45"/>
      <c r="AO1122" s="45"/>
    </row>
    <row r="1123" spans="1:41" hidden="1" outlineLevel="3" x14ac:dyDescent="0.25">
      <c r="A1123" s="45"/>
      <c r="B1123" s="54"/>
      <c r="C1123" s="47">
        <f t="shared" si="465"/>
        <v>4</v>
      </c>
      <c r="D1123" s="73"/>
      <c r="E1123" s="70"/>
      <c r="F1123" s="70" t="s">
        <v>3420</v>
      </c>
      <c r="G1123" s="73"/>
      <c r="H1123" s="76" t="s">
        <v>1468</v>
      </c>
      <c r="I1123" s="96" t="s">
        <v>497</v>
      </c>
      <c r="J1123" s="96"/>
      <c r="K1123" s="76"/>
      <c r="L1123" s="76"/>
      <c r="M1123" s="76"/>
      <c r="N1123" s="76"/>
      <c r="O1123" s="76"/>
      <c r="P1123" s="76"/>
      <c r="Q1123" s="76"/>
      <c r="R1123" s="76"/>
      <c r="S1123" s="76"/>
      <c r="T1123" s="76"/>
      <c r="U1123" s="76"/>
      <c r="V1123" s="76"/>
      <c r="W1123" s="76"/>
      <c r="X1123" s="76"/>
      <c r="Y1123" s="76"/>
      <c r="Z1123" s="76"/>
      <c r="AA1123" s="76"/>
      <c r="AB1123" s="76"/>
      <c r="AC1123" s="76"/>
      <c r="AD1123" s="76"/>
      <c r="AE1123" s="76"/>
      <c r="AF1123" s="76"/>
      <c r="AG1123" s="76"/>
      <c r="AH1123" s="76"/>
      <c r="AI1123" s="76">
        <v>1</v>
      </c>
      <c r="AJ1123" s="76">
        <v>1</v>
      </c>
      <c r="AK1123" s="73"/>
      <c r="AL1123" s="57"/>
      <c r="AM1123" s="45"/>
      <c r="AN1123" s="45"/>
      <c r="AO1123" s="45"/>
    </row>
    <row r="1124" spans="1:41" hidden="1" outlineLevel="3" x14ac:dyDescent="0.25">
      <c r="A1124" s="45"/>
      <c r="B1124" s="54"/>
      <c r="C1124" s="47">
        <f t="shared" si="465"/>
        <v>4</v>
      </c>
      <c r="D1124" s="73"/>
      <c r="E1124" s="70"/>
      <c r="F1124" s="70" t="s">
        <v>3421</v>
      </c>
      <c r="G1124" s="73"/>
      <c r="H1124" s="76" t="s">
        <v>1470</v>
      </c>
      <c r="I1124" s="96" t="s">
        <v>497</v>
      </c>
      <c r="J1124" s="96"/>
      <c r="K1124" s="76"/>
      <c r="L1124" s="76"/>
      <c r="M1124" s="76"/>
      <c r="N1124" s="76"/>
      <c r="O1124" s="76"/>
      <c r="P1124" s="76"/>
      <c r="Q1124" s="76"/>
      <c r="R1124" s="76"/>
      <c r="S1124" s="76"/>
      <c r="T1124" s="76"/>
      <c r="U1124" s="76"/>
      <c r="V1124" s="76"/>
      <c r="W1124" s="76"/>
      <c r="X1124" s="76"/>
      <c r="Y1124" s="76"/>
      <c r="Z1124" s="76"/>
      <c r="AA1124" s="76"/>
      <c r="AB1124" s="76"/>
      <c r="AC1124" s="76"/>
      <c r="AD1124" s="76"/>
      <c r="AE1124" s="76"/>
      <c r="AF1124" s="76"/>
      <c r="AG1124" s="76"/>
      <c r="AH1124" s="76"/>
      <c r="AI1124" s="76">
        <v>1</v>
      </c>
      <c r="AJ1124" s="76">
        <v>1</v>
      </c>
      <c r="AK1124" s="73"/>
      <c r="AL1124" s="57"/>
      <c r="AM1124" s="45"/>
      <c r="AN1124" s="45"/>
      <c r="AO1124" s="45"/>
    </row>
    <row r="1125" spans="1:41" hidden="1" outlineLevel="3" x14ac:dyDescent="0.25">
      <c r="A1125" s="45"/>
      <c r="B1125" s="54"/>
      <c r="C1125" s="47">
        <f t="shared" si="465"/>
        <v>4</v>
      </c>
      <c r="D1125" s="73"/>
      <c r="E1125" s="70"/>
      <c r="F1125" s="70" t="s">
        <v>3422</v>
      </c>
      <c r="G1125" s="73"/>
      <c r="H1125" s="76" t="s">
        <v>1472</v>
      </c>
      <c r="I1125" s="96" t="s">
        <v>497</v>
      </c>
      <c r="J1125" s="96"/>
      <c r="K1125" s="76"/>
      <c r="L1125" s="76"/>
      <c r="M1125" s="76"/>
      <c r="N1125" s="76"/>
      <c r="O1125" s="76"/>
      <c r="P1125" s="76"/>
      <c r="Q1125" s="76"/>
      <c r="R1125" s="76"/>
      <c r="S1125" s="76"/>
      <c r="T1125" s="76"/>
      <c r="U1125" s="76"/>
      <c r="V1125" s="76"/>
      <c r="W1125" s="76"/>
      <c r="X1125" s="76"/>
      <c r="Y1125" s="76"/>
      <c r="Z1125" s="76"/>
      <c r="AA1125" s="76"/>
      <c r="AB1125" s="76"/>
      <c r="AC1125" s="76"/>
      <c r="AD1125" s="76"/>
      <c r="AE1125" s="76"/>
      <c r="AF1125" s="76"/>
      <c r="AG1125" s="76"/>
      <c r="AH1125" s="76"/>
      <c r="AI1125" s="76">
        <v>1</v>
      </c>
      <c r="AJ1125" s="76">
        <v>1</v>
      </c>
      <c r="AK1125" s="73"/>
      <c r="AL1125" s="57"/>
      <c r="AM1125" s="45"/>
      <c r="AN1125" s="45"/>
      <c r="AO1125" s="45"/>
    </row>
    <row r="1126" spans="1:41" hidden="1" outlineLevel="3" x14ac:dyDescent="0.25">
      <c r="A1126" s="45"/>
      <c r="B1126" s="54"/>
      <c r="C1126" s="47">
        <f t="shared" si="465"/>
        <v>4</v>
      </c>
      <c r="D1126" s="73"/>
      <c r="E1126" s="70"/>
      <c r="F1126" s="70" t="s">
        <v>3423</v>
      </c>
      <c r="G1126" s="73"/>
      <c r="H1126" s="76" t="s">
        <v>1466</v>
      </c>
      <c r="I1126" s="96" t="s">
        <v>497</v>
      </c>
      <c r="J1126" s="96"/>
      <c r="K1126" s="76"/>
      <c r="L1126" s="76"/>
      <c r="M1126" s="76"/>
      <c r="N1126" s="76"/>
      <c r="O1126" s="76"/>
      <c r="P1126" s="76"/>
      <c r="Q1126" s="76"/>
      <c r="R1126" s="76"/>
      <c r="S1126" s="76"/>
      <c r="T1126" s="76"/>
      <c r="U1126" s="76"/>
      <c r="V1126" s="76"/>
      <c r="W1126" s="76"/>
      <c r="X1126" s="76"/>
      <c r="Y1126" s="76"/>
      <c r="Z1126" s="76"/>
      <c r="AA1126" s="76"/>
      <c r="AB1126" s="76"/>
      <c r="AC1126" s="76"/>
      <c r="AD1126" s="76"/>
      <c r="AE1126" s="76"/>
      <c r="AF1126" s="76"/>
      <c r="AG1126" s="76"/>
      <c r="AH1126" s="76"/>
      <c r="AI1126" s="76">
        <v>1</v>
      </c>
      <c r="AJ1126" s="76">
        <v>1</v>
      </c>
      <c r="AK1126" s="73"/>
      <c r="AL1126" s="57"/>
      <c r="AM1126" s="45"/>
      <c r="AN1126" s="45"/>
      <c r="AO1126" s="45"/>
    </row>
    <row r="1127" spans="1:41" hidden="1" outlineLevel="3" x14ac:dyDescent="0.25">
      <c r="A1127" s="45"/>
      <c r="B1127" s="54"/>
      <c r="C1127" s="47">
        <f t="shared" si="465"/>
        <v>4</v>
      </c>
      <c r="D1127" s="73"/>
      <c r="E1127" s="70"/>
      <c r="F1127" s="70" t="s">
        <v>3424</v>
      </c>
      <c r="G1127" s="73"/>
      <c r="H1127" s="76" t="s">
        <v>1468</v>
      </c>
      <c r="I1127" s="96" t="s">
        <v>497</v>
      </c>
      <c r="J1127" s="96"/>
      <c r="K1127" s="76"/>
      <c r="L1127" s="76"/>
      <c r="M1127" s="76"/>
      <c r="N1127" s="76"/>
      <c r="O1127" s="76"/>
      <c r="P1127" s="76"/>
      <c r="Q1127" s="76"/>
      <c r="R1127" s="76"/>
      <c r="S1127" s="76"/>
      <c r="T1127" s="76"/>
      <c r="U1127" s="76"/>
      <c r="V1127" s="76"/>
      <c r="W1127" s="76"/>
      <c r="X1127" s="76"/>
      <c r="Y1127" s="76"/>
      <c r="Z1127" s="76"/>
      <c r="AA1127" s="76"/>
      <c r="AB1127" s="76"/>
      <c r="AC1127" s="76"/>
      <c r="AD1127" s="76"/>
      <c r="AE1127" s="76"/>
      <c r="AF1127" s="76"/>
      <c r="AG1127" s="76"/>
      <c r="AH1127" s="76"/>
      <c r="AI1127" s="76">
        <v>1</v>
      </c>
      <c r="AJ1127" s="76">
        <v>1</v>
      </c>
      <c r="AK1127" s="73"/>
      <c r="AL1127" s="57"/>
      <c r="AM1127" s="45"/>
      <c r="AN1127" s="45"/>
      <c r="AO1127" s="45"/>
    </row>
    <row r="1128" spans="1:41" hidden="1" outlineLevel="3" x14ac:dyDescent="0.25">
      <c r="A1128" s="45"/>
      <c r="B1128" s="54"/>
      <c r="C1128" s="47">
        <f t="shared" si="465"/>
        <v>4</v>
      </c>
      <c r="D1128" s="73"/>
      <c r="E1128" s="70"/>
      <c r="F1128" s="70" t="s">
        <v>3425</v>
      </c>
      <c r="G1128" s="73"/>
      <c r="H1128" s="76" t="s">
        <v>1470</v>
      </c>
      <c r="I1128" s="96" t="s">
        <v>497</v>
      </c>
      <c r="J1128" s="96"/>
      <c r="K1128" s="76"/>
      <c r="L1128" s="76"/>
      <c r="M1128" s="76"/>
      <c r="N1128" s="76"/>
      <c r="O1128" s="76"/>
      <c r="P1128" s="76"/>
      <c r="Q1128" s="76"/>
      <c r="R1128" s="76"/>
      <c r="S1128" s="76"/>
      <c r="T1128" s="76"/>
      <c r="U1128" s="76"/>
      <c r="V1128" s="76"/>
      <c r="W1128" s="76"/>
      <c r="X1128" s="76"/>
      <c r="Y1128" s="76"/>
      <c r="Z1128" s="76"/>
      <c r="AA1128" s="76"/>
      <c r="AB1128" s="76"/>
      <c r="AC1128" s="76"/>
      <c r="AD1128" s="76"/>
      <c r="AE1128" s="76"/>
      <c r="AF1128" s="76"/>
      <c r="AG1128" s="76"/>
      <c r="AH1128" s="76"/>
      <c r="AI1128" s="76">
        <v>1</v>
      </c>
      <c r="AJ1128" s="76">
        <v>1</v>
      </c>
      <c r="AK1128" s="73"/>
      <c r="AL1128" s="57"/>
      <c r="AM1128" s="45"/>
      <c r="AN1128" s="45"/>
      <c r="AO1128" s="45"/>
    </row>
    <row r="1129" spans="1:41" hidden="1" outlineLevel="3" x14ac:dyDescent="0.25">
      <c r="A1129" s="45"/>
      <c r="B1129" s="54"/>
      <c r="C1129" s="47">
        <f t="shared" si="465"/>
        <v>4</v>
      </c>
      <c r="D1129" s="73"/>
      <c r="E1129" s="70"/>
      <c r="F1129" s="70" t="s">
        <v>3426</v>
      </c>
      <c r="G1129" s="73"/>
      <c r="H1129" s="76" t="s">
        <v>1472</v>
      </c>
      <c r="I1129" s="96" t="s">
        <v>497</v>
      </c>
      <c r="J1129" s="96"/>
      <c r="K1129" s="76"/>
      <c r="L1129" s="76"/>
      <c r="M1129" s="76"/>
      <c r="N1129" s="76"/>
      <c r="O1129" s="76"/>
      <c r="P1129" s="76"/>
      <c r="Q1129" s="76"/>
      <c r="R1129" s="76"/>
      <c r="S1129" s="76"/>
      <c r="T1129" s="76"/>
      <c r="U1129" s="76"/>
      <c r="V1129" s="76"/>
      <c r="W1129" s="76"/>
      <c r="X1129" s="76"/>
      <c r="Y1129" s="76"/>
      <c r="Z1129" s="76"/>
      <c r="AA1129" s="76"/>
      <c r="AB1129" s="76"/>
      <c r="AC1129" s="76"/>
      <c r="AD1129" s="76"/>
      <c r="AE1129" s="76"/>
      <c r="AF1129" s="76"/>
      <c r="AG1129" s="76"/>
      <c r="AH1129" s="76"/>
      <c r="AI1129" s="76">
        <v>1</v>
      </c>
      <c r="AJ1129" s="76">
        <v>1</v>
      </c>
      <c r="AK1129" s="73"/>
      <c r="AL1129" s="57"/>
      <c r="AM1129" s="45"/>
      <c r="AN1129" s="45"/>
      <c r="AO1129" s="45"/>
    </row>
    <row r="1130" spans="1:41" hidden="1" outlineLevel="3" x14ac:dyDescent="0.25">
      <c r="A1130" s="45"/>
      <c r="B1130" s="54"/>
      <c r="C1130" s="47">
        <f t="shared" si="465"/>
        <v>4</v>
      </c>
      <c r="D1130" s="73"/>
      <c r="E1130" s="70"/>
      <c r="F1130" s="70" t="s">
        <v>3427</v>
      </c>
      <c r="G1130" s="73"/>
      <c r="H1130" s="76" t="s">
        <v>1466</v>
      </c>
      <c r="I1130" s="96" t="s">
        <v>497</v>
      </c>
      <c r="J1130" s="96"/>
      <c r="K1130" s="76"/>
      <c r="L1130" s="76"/>
      <c r="M1130" s="76"/>
      <c r="N1130" s="76"/>
      <c r="O1130" s="76"/>
      <c r="P1130" s="76"/>
      <c r="Q1130" s="76"/>
      <c r="R1130" s="76"/>
      <c r="S1130" s="76"/>
      <c r="T1130" s="76"/>
      <c r="U1130" s="76"/>
      <c r="V1130" s="76"/>
      <c r="W1130" s="76"/>
      <c r="X1130" s="76"/>
      <c r="Y1130" s="76"/>
      <c r="Z1130" s="76"/>
      <c r="AA1130" s="76"/>
      <c r="AB1130" s="76"/>
      <c r="AC1130" s="76"/>
      <c r="AD1130" s="76"/>
      <c r="AE1130" s="76"/>
      <c r="AF1130" s="76"/>
      <c r="AG1130" s="76"/>
      <c r="AH1130" s="76"/>
      <c r="AI1130" s="76">
        <v>1</v>
      </c>
      <c r="AJ1130" s="76">
        <v>1</v>
      </c>
      <c r="AK1130" s="73"/>
      <c r="AL1130" s="57"/>
      <c r="AM1130" s="45"/>
      <c r="AN1130" s="45"/>
      <c r="AO1130" s="45"/>
    </row>
    <row r="1131" spans="1:41" hidden="1" outlineLevel="3" x14ac:dyDescent="0.25">
      <c r="A1131" s="45"/>
      <c r="B1131" s="54"/>
      <c r="C1131" s="47">
        <f t="shared" si="465"/>
        <v>4</v>
      </c>
      <c r="D1131" s="73"/>
      <c r="E1131" s="70"/>
      <c r="F1131" s="70" t="s">
        <v>3428</v>
      </c>
      <c r="G1131" s="73"/>
      <c r="H1131" s="76" t="s">
        <v>1468</v>
      </c>
      <c r="I1131" s="96" t="s">
        <v>497</v>
      </c>
      <c r="J1131" s="96"/>
      <c r="K1131" s="76"/>
      <c r="L1131" s="76"/>
      <c r="M1131" s="76"/>
      <c r="N1131" s="76"/>
      <c r="O1131" s="76"/>
      <c r="P1131" s="76"/>
      <c r="Q1131" s="76"/>
      <c r="R1131" s="76"/>
      <c r="S1131" s="76"/>
      <c r="T1131" s="76"/>
      <c r="U1131" s="76"/>
      <c r="V1131" s="76"/>
      <c r="W1131" s="76"/>
      <c r="X1131" s="76"/>
      <c r="Y1131" s="76"/>
      <c r="Z1131" s="76"/>
      <c r="AA1131" s="76"/>
      <c r="AB1131" s="76"/>
      <c r="AC1131" s="76"/>
      <c r="AD1131" s="76"/>
      <c r="AE1131" s="76"/>
      <c r="AF1131" s="76"/>
      <c r="AG1131" s="76"/>
      <c r="AH1131" s="76"/>
      <c r="AI1131" s="76">
        <v>1</v>
      </c>
      <c r="AJ1131" s="76">
        <v>1</v>
      </c>
      <c r="AK1131" s="73"/>
      <c r="AL1131" s="57"/>
      <c r="AM1131" s="45"/>
      <c r="AN1131" s="45"/>
      <c r="AO1131" s="45"/>
    </row>
    <row r="1132" spans="1:41" hidden="1" outlineLevel="3" x14ac:dyDescent="0.25">
      <c r="A1132" s="45"/>
      <c r="B1132" s="54"/>
      <c r="C1132" s="47">
        <f t="shared" si="465"/>
        <v>4</v>
      </c>
      <c r="D1132" s="73"/>
      <c r="E1132" s="70"/>
      <c r="F1132" s="70" t="s">
        <v>3429</v>
      </c>
      <c r="G1132" s="73"/>
      <c r="H1132" s="76" t="s">
        <v>1470</v>
      </c>
      <c r="I1132" s="96" t="s">
        <v>497</v>
      </c>
      <c r="J1132" s="96"/>
      <c r="K1132" s="76"/>
      <c r="L1132" s="76"/>
      <c r="M1132" s="76"/>
      <c r="N1132" s="76"/>
      <c r="O1132" s="76"/>
      <c r="P1132" s="76"/>
      <c r="Q1132" s="76"/>
      <c r="R1132" s="76"/>
      <c r="S1132" s="76"/>
      <c r="T1132" s="76"/>
      <c r="U1132" s="76"/>
      <c r="V1132" s="76"/>
      <c r="W1132" s="76"/>
      <c r="X1132" s="76"/>
      <c r="Y1132" s="76"/>
      <c r="Z1132" s="76"/>
      <c r="AA1132" s="76"/>
      <c r="AB1132" s="76"/>
      <c r="AC1132" s="76"/>
      <c r="AD1132" s="76"/>
      <c r="AE1132" s="76"/>
      <c r="AF1132" s="76"/>
      <c r="AG1132" s="76"/>
      <c r="AH1132" s="76"/>
      <c r="AI1132" s="76">
        <v>1</v>
      </c>
      <c r="AJ1132" s="76">
        <v>1</v>
      </c>
      <c r="AK1132" s="73"/>
      <c r="AL1132" s="57"/>
      <c r="AM1132" s="45"/>
      <c r="AN1132" s="45"/>
      <c r="AO1132" s="45"/>
    </row>
    <row r="1133" spans="1:41" hidden="1" outlineLevel="3" x14ac:dyDescent="0.25">
      <c r="A1133" s="45"/>
      <c r="B1133" s="54"/>
      <c r="C1133" s="47">
        <f t="shared" si="465"/>
        <v>4</v>
      </c>
      <c r="D1133" s="73"/>
      <c r="E1133" s="70"/>
      <c r="F1133" s="70" t="s">
        <v>3430</v>
      </c>
      <c r="G1133" s="73"/>
      <c r="H1133" s="76" t="s">
        <v>1472</v>
      </c>
      <c r="I1133" s="96" t="s">
        <v>497</v>
      </c>
      <c r="J1133" s="96"/>
      <c r="K1133" s="76"/>
      <c r="L1133" s="76"/>
      <c r="M1133" s="76"/>
      <c r="N1133" s="76"/>
      <c r="O1133" s="76"/>
      <c r="P1133" s="76"/>
      <c r="Q1133" s="76"/>
      <c r="R1133" s="76"/>
      <c r="S1133" s="76"/>
      <c r="T1133" s="76"/>
      <c r="U1133" s="76"/>
      <c r="V1133" s="76"/>
      <c r="W1133" s="76"/>
      <c r="X1133" s="76"/>
      <c r="Y1133" s="76"/>
      <c r="Z1133" s="76"/>
      <c r="AA1133" s="76"/>
      <c r="AB1133" s="76"/>
      <c r="AC1133" s="76"/>
      <c r="AD1133" s="76"/>
      <c r="AE1133" s="76"/>
      <c r="AF1133" s="76"/>
      <c r="AG1133" s="76"/>
      <c r="AH1133" s="76"/>
      <c r="AI1133" s="76">
        <v>1</v>
      </c>
      <c r="AJ1133" s="76">
        <v>1</v>
      </c>
      <c r="AK1133" s="73"/>
      <c r="AL1133" s="57"/>
      <c r="AM1133" s="45"/>
      <c r="AN1133" s="45"/>
      <c r="AO1133" s="45"/>
    </row>
    <row r="1134" spans="1:41" hidden="1" outlineLevel="3" x14ac:dyDescent="0.25">
      <c r="A1134" s="45"/>
      <c r="B1134" s="54"/>
      <c r="C1134" s="47">
        <f t="shared" si="465"/>
        <v>4</v>
      </c>
      <c r="D1134" s="73"/>
      <c r="E1134" s="70"/>
      <c r="F1134" s="70" t="s">
        <v>3431</v>
      </c>
      <c r="G1134" s="73"/>
      <c r="H1134" s="76" t="s">
        <v>1466</v>
      </c>
      <c r="I1134" s="96" t="s">
        <v>497</v>
      </c>
      <c r="J1134" s="96"/>
      <c r="K1134" s="76"/>
      <c r="L1134" s="76"/>
      <c r="M1134" s="76"/>
      <c r="N1134" s="76"/>
      <c r="O1134" s="76"/>
      <c r="P1134" s="76"/>
      <c r="Q1134" s="76"/>
      <c r="R1134" s="76"/>
      <c r="S1134" s="76"/>
      <c r="T1134" s="76"/>
      <c r="U1134" s="76"/>
      <c r="V1134" s="76"/>
      <c r="W1134" s="76"/>
      <c r="X1134" s="76"/>
      <c r="Y1134" s="76"/>
      <c r="Z1134" s="76"/>
      <c r="AA1134" s="76"/>
      <c r="AB1134" s="76"/>
      <c r="AC1134" s="76"/>
      <c r="AD1134" s="76"/>
      <c r="AE1134" s="76"/>
      <c r="AF1134" s="76"/>
      <c r="AG1134" s="76"/>
      <c r="AH1134" s="76"/>
      <c r="AI1134" s="76">
        <v>1</v>
      </c>
      <c r="AJ1134" s="76">
        <v>1</v>
      </c>
      <c r="AK1134" s="73"/>
      <c r="AL1134" s="57"/>
      <c r="AM1134" s="45"/>
      <c r="AN1134" s="45"/>
      <c r="AO1134" s="45"/>
    </row>
    <row r="1135" spans="1:41" hidden="1" outlineLevel="3" x14ac:dyDescent="0.25">
      <c r="A1135" s="45"/>
      <c r="B1135" s="54"/>
      <c r="C1135" s="47">
        <f t="shared" si="465"/>
        <v>4</v>
      </c>
      <c r="D1135" s="73"/>
      <c r="E1135" s="70"/>
      <c r="F1135" s="70" t="s">
        <v>3432</v>
      </c>
      <c r="G1135" s="73"/>
      <c r="H1135" s="76" t="s">
        <v>1468</v>
      </c>
      <c r="I1135" s="96" t="s">
        <v>497</v>
      </c>
      <c r="J1135" s="96"/>
      <c r="K1135" s="76"/>
      <c r="L1135" s="76"/>
      <c r="M1135" s="76"/>
      <c r="N1135" s="76"/>
      <c r="O1135" s="76"/>
      <c r="P1135" s="76"/>
      <c r="Q1135" s="76"/>
      <c r="R1135" s="76"/>
      <c r="S1135" s="76"/>
      <c r="T1135" s="76"/>
      <c r="U1135" s="76"/>
      <c r="V1135" s="76"/>
      <c r="W1135" s="76"/>
      <c r="X1135" s="76"/>
      <c r="Y1135" s="76"/>
      <c r="Z1135" s="76"/>
      <c r="AA1135" s="76"/>
      <c r="AB1135" s="76"/>
      <c r="AC1135" s="76"/>
      <c r="AD1135" s="76"/>
      <c r="AE1135" s="76"/>
      <c r="AF1135" s="76"/>
      <c r="AG1135" s="76"/>
      <c r="AH1135" s="76"/>
      <c r="AI1135" s="76">
        <v>1</v>
      </c>
      <c r="AJ1135" s="76">
        <v>1</v>
      </c>
      <c r="AK1135" s="73"/>
      <c r="AL1135" s="57"/>
      <c r="AM1135" s="45"/>
      <c r="AN1135" s="45"/>
      <c r="AO1135" s="45"/>
    </row>
    <row r="1136" spans="1:41" hidden="1" outlineLevel="3" x14ac:dyDescent="0.25">
      <c r="A1136" s="45"/>
      <c r="B1136" s="54"/>
      <c r="C1136" s="47">
        <f t="shared" si="465"/>
        <v>4</v>
      </c>
      <c r="D1136" s="73"/>
      <c r="E1136" s="70"/>
      <c r="F1136" s="70" t="s">
        <v>3433</v>
      </c>
      <c r="G1136" s="73"/>
      <c r="H1136" s="76" t="s">
        <v>1470</v>
      </c>
      <c r="I1136" s="96" t="s">
        <v>497</v>
      </c>
      <c r="J1136" s="96"/>
      <c r="K1136" s="76"/>
      <c r="L1136" s="76"/>
      <c r="M1136" s="76"/>
      <c r="N1136" s="76"/>
      <c r="O1136" s="76"/>
      <c r="P1136" s="76"/>
      <c r="Q1136" s="76"/>
      <c r="R1136" s="76"/>
      <c r="S1136" s="76"/>
      <c r="T1136" s="76"/>
      <c r="U1136" s="76"/>
      <c r="V1136" s="76"/>
      <c r="W1136" s="76"/>
      <c r="X1136" s="76"/>
      <c r="Y1136" s="76"/>
      <c r="Z1136" s="76"/>
      <c r="AA1136" s="76"/>
      <c r="AB1136" s="76"/>
      <c r="AC1136" s="76"/>
      <c r="AD1136" s="76"/>
      <c r="AE1136" s="76"/>
      <c r="AF1136" s="76"/>
      <c r="AG1136" s="76"/>
      <c r="AH1136" s="76"/>
      <c r="AI1136" s="76">
        <v>1</v>
      </c>
      <c r="AJ1136" s="76">
        <v>1</v>
      </c>
      <c r="AK1136" s="73"/>
      <c r="AL1136" s="57"/>
      <c r="AM1136" s="45"/>
      <c r="AN1136" s="45"/>
      <c r="AO1136" s="45"/>
    </row>
    <row r="1137" spans="1:41" hidden="1" outlineLevel="3" x14ac:dyDescent="0.25">
      <c r="A1137" s="45"/>
      <c r="B1137" s="54"/>
      <c r="C1137" s="47">
        <f t="shared" si="465"/>
        <v>4</v>
      </c>
      <c r="D1137" s="73"/>
      <c r="E1137" s="70"/>
      <c r="F1137" s="70" t="s">
        <v>3434</v>
      </c>
      <c r="G1137" s="73"/>
      <c r="H1137" s="76" t="s">
        <v>1472</v>
      </c>
      <c r="I1137" s="96" t="s">
        <v>497</v>
      </c>
      <c r="J1137" s="96"/>
      <c r="K1137" s="76"/>
      <c r="L1137" s="76"/>
      <c r="M1137" s="76"/>
      <c r="N1137" s="76"/>
      <c r="O1137" s="76"/>
      <c r="P1137" s="76"/>
      <c r="Q1137" s="76"/>
      <c r="R1137" s="76"/>
      <c r="S1137" s="76"/>
      <c r="T1137" s="76"/>
      <c r="U1137" s="76"/>
      <c r="V1137" s="76"/>
      <c r="W1137" s="76"/>
      <c r="X1137" s="76"/>
      <c r="Y1137" s="76"/>
      <c r="Z1137" s="76"/>
      <c r="AA1137" s="76"/>
      <c r="AB1137" s="76"/>
      <c r="AC1137" s="76"/>
      <c r="AD1137" s="76"/>
      <c r="AE1137" s="76"/>
      <c r="AF1137" s="76"/>
      <c r="AG1137" s="76"/>
      <c r="AH1137" s="76"/>
      <c r="AI1137" s="76">
        <v>1</v>
      </c>
      <c r="AJ1137" s="76">
        <v>1</v>
      </c>
      <c r="AK1137" s="73"/>
      <c r="AL1137" s="57"/>
      <c r="AM1137" s="45"/>
      <c r="AN1137" s="45"/>
      <c r="AO1137" s="45"/>
    </row>
    <row r="1138" spans="1:41" hidden="1" outlineLevel="3" x14ac:dyDescent="0.25">
      <c r="A1138" s="45"/>
      <c r="B1138" s="54"/>
      <c r="C1138" s="47">
        <f t="shared" ref="C1138:C1157" si="466">INT($C$29)+3</f>
        <v>4</v>
      </c>
      <c r="D1138" s="73"/>
      <c r="E1138" s="70"/>
      <c r="F1138" s="70" t="s">
        <v>3435</v>
      </c>
      <c r="G1138" s="73"/>
      <c r="H1138" s="76" t="s">
        <v>1466</v>
      </c>
      <c r="I1138" s="96" t="s">
        <v>497</v>
      </c>
      <c r="J1138" s="96"/>
      <c r="K1138" s="76"/>
      <c r="L1138" s="76"/>
      <c r="M1138" s="76"/>
      <c r="N1138" s="76"/>
      <c r="O1138" s="76"/>
      <c r="P1138" s="76"/>
      <c r="Q1138" s="76"/>
      <c r="R1138" s="76"/>
      <c r="S1138" s="76"/>
      <c r="T1138" s="76"/>
      <c r="U1138" s="76"/>
      <c r="V1138" s="76"/>
      <c r="W1138" s="76"/>
      <c r="X1138" s="76"/>
      <c r="Y1138" s="76"/>
      <c r="Z1138" s="76"/>
      <c r="AA1138" s="76"/>
      <c r="AB1138" s="76"/>
      <c r="AC1138" s="76"/>
      <c r="AD1138" s="76"/>
      <c r="AE1138" s="76"/>
      <c r="AF1138" s="76"/>
      <c r="AG1138" s="76"/>
      <c r="AH1138" s="76"/>
      <c r="AI1138" s="76">
        <v>1</v>
      </c>
      <c r="AJ1138" s="76">
        <v>1</v>
      </c>
      <c r="AK1138" s="73"/>
      <c r="AL1138" s="57"/>
      <c r="AM1138" s="45"/>
      <c r="AN1138" s="45"/>
      <c r="AO1138" s="45"/>
    </row>
    <row r="1139" spans="1:41" hidden="1" outlineLevel="3" x14ac:dyDescent="0.25">
      <c r="A1139" s="45"/>
      <c r="B1139" s="54"/>
      <c r="C1139" s="47">
        <f t="shared" si="466"/>
        <v>4</v>
      </c>
      <c r="D1139" s="73"/>
      <c r="E1139" s="70"/>
      <c r="F1139" s="70" t="s">
        <v>3436</v>
      </c>
      <c r="G1139" s="73"/>
      <c r="H1139" s="76" t="s">
        <v>1468</v>
      </c>
      <c r="I1139" s="96" t="s">
        <v>497</v>
      </c>
      <c r="J1139" s="96"/>
      <c r="K1139" s="76"/>
      <c r="L1139" s="76"/>
      <c r="M1139" s="76"/>
      <c r="N1139" s="76"/>
      <c r="O1139" s="76"/>
      <c r="P1139" s="76"/>
      <c r="Q1139" s="76"/>
      <c r="R1139" s="76"/>
      <c r="S1139" s="76"/>
      <c r="T1139" s="76"/>
      <c r="U1139" s="76"/>
      <c r="V1139" s="76"/>
      <c r="W1139" s="76"/>
      <c r="X1139" s="76"/>
      <c r="Y1139" s="76"/>
      <c r="Z1139" s="76"/>
      <c r="AA1139" s="76"/>
      <c r="AB1139" s="76"/>
      <c r="AC1139" s="76"/>
      <c r="AD1139" s="76"/>
      <c r="AE1139" s="76"/>
      <c r="AF1139" s="76"/>
      <c r="AG1139" s="76"/>
      <c r="AH1139" s="76"/>
      <c r="AI1139" s="76">
        <v>1</v>
      </c>
      <c r="AJ1139" s="76">
        <v>1</v>
      </c>
      <c r="AK1139" s="73"/>
      <c r="AL1139" s="57"/>
      <c r="AM1139" s="45"/>
      <c r="AN1139" s="45"/>
      <c r="AO1139" s="45"/>
    </row>
    <row r="1140" spans="1:41" hidden="1" outlineLevel="3" x14ac:dyDescent="0.25">
      <c r="A1140" s="45"/>
      <c r="B1140" s="54"/>
      <c r="C1140" s="47">
        <f t="shared" si="466"/>
        <v>4</v>
      </c>
      <c r="D1140" s="73"/>
      <c r="E1140" s="70"/>
      <c r="F1140" s="70" t="s">
        <v>3437</v>
      </c>
      <c r="G1140" s="73"/>
      <c r="H1140" s="76" t="s">
        <v>1470</v>
      </c>
      <c r="I1140" s="96" t="s">
        <v>497</v>
      </c>
      <c r="J1140" s="96"/>
      <c r="K1140" s="76"/>
      <c r="L1140" s="76"/>
      <c r="M1140" s="76"/>
      <c r="N1140" s="76"/>
      <c r="O1140" s="76"/>
      <c r="P1140" s="76"/>
      <c r="Q1140" s="76"/>
      <c r="R1140" s="76"/>
      <c r="S1140" s="76"/>
      <c r="T1140" s="76"/>
      <c r="U1140" s="76"/>
      <c r="V1140" s="76"/>
      <c r="W1140" s="76"/>
      <c r="X1140" s="76"/>
      <c r="Y1140" s="76"/>
      <c r="Z1140" s="76"/>
      <c r="AA1140" s="76"/>
      <c r="AB1140" s="76"/>
      <c r="AC1140" s="76"/>
      <c r="AD1140" s="76"/>
      <c r="AE1140" s="76"/>
      <c r="AF1140" s="76"/>
      <c r="AG1140" s="76"/>
      <c r="AH1140" s="76"/>
      <c r="AI1140" s="76">
        <v>1</v>
      </c>
      <c r="AJ1140" s="76">
        <v>1</v>
      </c>
      <c r="AK1140" s="73"/>
      <c r="AL1140" s="57"/>
      <c r="AM1140" s="45"/>
      <c r="AN1140" s="45"/>
      <c r="AO1140" s="45"/>
    </row>
    <row r="1141" spans="1:41" hidden="1" outlineLevel="3" x14ac:dyDescent="0.25">
      <c r="A1141" s="45"/>
      <c r="B1141" s="54"/>
      <c r="C1141" s="47">
        <f t="shared" si="466"/>
        <v>4</v>
      </c>
      <c r="D1141" s="73"/>
      <c r="E1141" s="70"/>
      <c r="F1141" s="70" t="s">
        <v>3438</v>
      </c>
      <c r="G1141" s="73"/>
      <c r="H1141" s="76" t="s">
        <v>1472</v>
      </c>
      <c r="I1141" s="96" t="s">
        <v>497</v>
      </c>
      <c r="J1141" s="96"/>
      <c r="K1141" s="76"/>
      <c r="L1141" s="76"/>
      <c r="M1141" s="76"/>
      <c r="N1141" s="76"/>
      <c r="O1141" s="76"/>
      <c r="P1141" s="76"/>
      <c r="Q1141" s="76"/>
      <c r="R1141" s="76"/>
      <c r="S1141" s="76"/>
      <c r="T1141" s="76"/>
      <c r="U1141" s="76"/>
      <c r="V1141" s="76"/>
      <c r="W1141" s="76"/>
      <c r="X1141" s="76"/>
      <c r="Y1141" s="76"/>
      <c r="Z1141" s="76"/>
      <c r="AA1141" s="76"/>
      <c r="AB1141" s="76"/>
      <c r="AC1141" s="76"/>
      <c r="AD1141" s="76"/>
      <c r="AE1141" s="76"/>
      <c r="AF1141" s="76"/>
      <c r="AG1141" s="76"/>
      <c r="AH1141" s="76"/>
      <c r="AI1141" s="76">
        <v>1</v>
      </c>
      <c r="AJ1141" s="76">
        <v>1</v>
      </c>
      <c r="AK1141" s="73"/>
      <c r="AL1141" s="57"/>
      <c r="AM1141" s="45"/>
      <c r="AN1141" s="45"/>
      <c r="AO1141" s="45"/>
    </row>
    <row r="1142" spans="1:41" hidden="1" outlineLevel="3" x14ac:dyDescent="0.25">
      <c r="A1142" s="45"/>
      <c r="B1142" s="54"/>
      <c r="C1142" s="47">
        <f t="shared" si="466"/>
        <v>4</v>
      </c>
      <c r="D1142" s="73"/>
      <c r="E1142" s="70"/>
      <c r="F1142" s="70" t="s">
        <v>3439</v>
      </c>
      <c r="G1142" s="73"/>
      <c r="H1142" s="76" t="s">
        <v>1466</v>
      </c>
      <c r="I1142" s="96" t="s">
        <v>497</v>
      </c>
      <c r="J1142" s="96"/>
      <c r="K1142" s="76"/>
      <c r="L1142" s="76"/>
      <c r="M1142" s="76"/>
      <c r="N1142" s="76"/>
      <c r="O1142" s="76"/>
      <c r="P1142" s="76"/>
      <c r="Q1142" s="76"/>
      <c r="R1142" s="76"/>
      <c r="S1142" s="76"/>
      <c r="T1142" s="76"/>
      <c r="U1142" s="76"/>
      <c r="V1142" s="76"/>
      <c r="W1142" s="76"/>
      <c r="X1142" s="76"/>
      <c r="Y1142" s="76"/>
      <c r="Z1142" s="76"/>
      <c r="AA1142" s="76"/>
      <c r="AB1142" s="76"/>
      <c r="AC1142" s="76"/>
      <c r="AD1142" s="76"/>
      <c r="AE1142" s="76"/>
      <c r="AF1142" s="76"/>
      <c r="AG1142" s="76"/>
      <c r="AH1142" s="76"/>
      <c r="AI1142" s="76">
        <v>1</v>
      </c>
      <c r="AJ1142" s="76">
        <v>1</v>
      </c>
      <c r="AK1142" s="73"/>
      <c r="AL1142" s="57"/>
      <c r="AM1142" s="45"/>
      <c r="AN1142" s="45"/>
      <c r="AO1142" s="45"/>
    </row>
    <row r="1143" spans="1:41" hidden="1" outlineLevel="3" x14ac:dyDescent="0.25">
      <c r="A1143" s="45"/>
      <c r="B1143" s="54"/>
      <c r="C1143" s="47">
        <f t="shared" si="466"/>
        <v>4</v>
      </c>
      <c r="D1143" s="73"/>
      <c r="E1143" s="70"/>
      <c r="F1143" s="70" t="s">
        <v>3440</v>
      </c>
      <c r="G1143" s="73"/>
      <c r="H1143" s="76" t="s">
        <v>1468</v>
      </c>
      <c r="I1143" s="96" t="s">
        <v>497</v>
      </c>
      <c r="J1143" s="96"/>
      <c r="K1143" s="76"/>
      <c r="L1143" s="76"/>
      <c r="M1143" s="76"/>
      <c r="N1143" s="76"/>
      <c r="O1143" s="76"/>
      <c r="P1143" s="76"/>
      <c r="Q1143" s="76"/>
      <c r="R1143" s="76"/>
      <c r="S1143" s="76"/>
      <c r="T1143" s="76"/>
      <c r="U1143" s="76"/>
      <c r="V1143" s="76"/>
      <c r="W1143" s="76"/>
      <c r="X1143" s="76"/>
      <c r="Y1143" s="76"/>
      <c r="Z1143" s="76"/>
      <c r="AA1143" s="76"/>
      <c r="AB1143" s="76"/>
      <c r="AC1143" s="76"/>
      <c r="AD1143" s="76"/>
      <c r="AE1143" s="76"/>
      <c r="AF1143" s="76"/>
      <c r="AG1143" s="76"/>
      <c r="AH1143" s="76"/>
      <c r="AI1143" s="76">
        <v>1</v>
      </c>
      <c r="AJ1143" s="76">
        <v>1</v>
      </c>
      <c r="AK1143" s="73"/>
      <c r="AL1143" s="57"/>
      <c r="AM1143" s="45"/>
      <c r="AN1143" s="45"/>
      <c r="AO1143" s="45"/>
    </row>
    <row r="1144" spans="1:41" hidden="1" outlineLevel="3" x14ac:dyDescent="0.25">
      <c r="A1144" s="45"/>
      <c r="B1144" s="54"/>
      <c r="C1144" s="47">
        <f t="shared" si="466"/>
        <v>4</v>
      </c>
      <c r="D1144" s="73"/>
      <c r="E1144" s="70"/>
      <c r="F1144" s="70" t="s">
        <v>3441</v>
      </c>
      <c r="G1144" s="73"/>
      <c r="H1144" s="76" t="s">
        <v>1470</v>
      </c>
      <c r="I1144" s="96" t="s">
        <v>497</v>
      </c>
      <c r="J1144" s="96"/>
      <c r="K1144" s="76"/>
      <c r="L1144" s="76"/>
      <c r="M1144" s="76"/>
      <c r="N1144" s="76"/>
      <c r="O1144" s="76"/>
      <c r="P1144" s="76"/>
      <c r="Q1144" s="76"/>
      <c r="R1144" s="76"/>
      <c r="S1144" s="76"/>
      <c r="T1144" s="76"/>
      <c r="U1144" s="76"/>
      <c r="V1144" s="76"/>
      <c r="W1144" s="76"/>
      <c r="X1144" s="76"/>
      <c r="Y1144" s="76"/>
      <c r="Z1144" s="76"/>
      <c r="AA1144" s="76"/>
      <c r="AB1144" s="76"/>
      <c r="AC1144" s="76"/>
      <c r="AD1144" s="76"/>
      <c r="AE1144" s="76"/>
      <c r="AF1144" s="76"/>
      <c r="AG1144" s="76"/>
      <c r="AH1144" s="76"/>
      <c r="AI1144" s="76">
        <v>1</v>
      </c>
      <c r="AJ1144" s="76">
        <v>1</v>
      </c>
      <c r="AK1144" s="73"/>
      <c r="AL1144" s="57"/>
      <c r="AM1144" s="45"/>
      <c r="AN1144" s="45"/>
      <c r="AO1144" s="45"/>
    </row>
    <row r="1145" spans="1:41" hidden="1" outlineLevel="3" x14ac:dyDescent="0.25">
      <c r="A1145" s="45"/>
      <c r="B1145" s="54"/>
      <c r="C1145" s="47">
        <f t="shared" si="466"/>
        <v>4</v>
      </c>
      <c r="D1145" s="73"/>
      <c r="E1145" s="70"/>
      <c r="F1145" s="70" t="s">
        <v>3442</v>
      </c>
      <c r="G1145" s="73"/>
      <c r="H1145" s="76" t="s">
        <v>1472</v>
      </c>
      <c r="I1145" s="96" t="s">
        <v>497</v>
      </c>
      <c r="J1145" s="96"/>
      <c r="K1145" s="76"/>
      <c r="L1145" s="76"/>
      <c r="M1145" s="76"/>
      <c r="N1145" s="76"/>
      <c r="O1145" s="76"/>
      <c r="P1145" s="76"/>
      <c r="Q1145" s="76"/>
      <c r="R1145" s="76"/>
      <c r="S1145" s="76"/>
      <c r="T1145" s="76"/>
      <c r="U1145" s="76"/>
      <c r="V1145" s="76"/>
      <c r="W1145" s="76"/>
      <c r="X1145" s="76"/>
      <c r="Y1145" s="76"/>
      <c r="Z1145" s="76"/>
      <c r="AA1145" s="76"/>
      <c r="AB1145" s="76"/>
      <c r="AC1145" s="76"/>
      <c r="AD1145" s="76"/>
      <c r="AE1145" s="76"/>
      <c r="AF1145" s="76"/>
      <c r="AG1145" s="76"/>
      <c r="AH1145" s="76"/>
      <c r="AI1145" s="76">
        <v>1</v>
      </c>
      <c r="AJ1145" s="76">
        <v>1</v>
      </c>
      <c r="AK1145" s="73"/>
      <c r="AL1145" s="57"/>
      <c r="AM1145" s="45"/>
      <c r="AN1145" s="45"/>
      <c r="AO1145" s="45"/>
    </row>
    <row r="1146" spans="1:41" hidden="1" outlineLevel="3" x14ac:dyDescent="0.25">
      <c r="A1146" s="45"/>
      <c r="B1146" s="54"/>
      <c r="C1146" s="47">
        <f t="shared" si="466"/>
        <v>4</v>
      </c>
      <c r="D1146" s="73"/>
      <c r="E1146" s="70"/>
      <c r="F1146" s="70" t="s">
        <v>3722</v>
      </c>
      <c r="G1146" s="73"/>
      <c r="H1146" s="76" t="s">
        <v>1466</v>
      </c>
      <c r="I1146" s="96" t="s">
        <v>497</v>
      </c>
      <c r="J1146" s="96"/>
      <c r="K1146" s="76"/>
      <c r="L1146" s="76"/>
      <c r="M1146" s="76"/>
      <c r="N1146" s="76"/>
      <c r="O1146" s="76"/>
      <c r="P1146" s="76"/>
      <c r="Q1146" s="76"/>
      <c r="R1146" s="76"/>
      <c r="S1146" s="76"/>
      <c r="T1146" s="76"/>
      <c r="U1146" s="76"/>
      <c r="V1146" s="76"/>
      <c r="W1146" s="76"/>
      <c r="X1146" s="76"/>
      <c r="Y1146" s="76"/>
      <c r="Z1146" s="76"/>
      <c r="AA1146" s="76"/>
      <c r="AB1146" s="76"/>
      <c r="AC1146" s="76"/>
      <c r="AD1146" s="76"/>
      <c r="AE1146" s="76"/>
      <c r="AF1146" s="76"/>
      <c r="AG1146" s="76"/>
      <c r="AH1146" s="76"/>
      <c r="AI1146" s="76">
        <v>1</v>
      </c>
      <c r="AJ1146" s="76">
        <v>1</v>
      </c>
      <c r="AK1146" s="73"/>
      <c r="AL1146" s="57"/>
      <c r="AM1146" s="45"/>
      <c r="AN1146" s="45"/>
      <c r="AO1146" s="45"/>
    </row>
    <row r="1147" spans="1:41" hidden="1" outlineLevel="3" x14ac:dyDescent="0.25">
      <c r="A1147" s="45"/>
      <c r="B1147" s="54"/>
      <c r="C1147" s="47">
        <f t="shared" si="466"/>
        <v>4</v>
      </c>
      <c r="D1147" s="73"/>
      <c r="E1147" s="70"/>
      <c r="F1147" s="70" t="s">
        <v>3723</v>
      </c>
      <c r="G1147" s="73"/>
      <c r="H1147" s="76" t="s">
        <v>1468</v>
      </c>
      <c r="I1147" s="96" t="s">
        <v>497</v>
      </c>
      <c r="J1147" s="96"/>
      <c r="K1147" s="76"/>
      <c r="L1147" s="76"/>
      <c r="M1147" s="76"/>
      <c r="N1147" s="76"/>
      <c r="O1147" s="76"/>
      <c r="P1147" s="76"/>
      <c r="Q1147" s="76"/>
      <c r="R1147" s="76"/>
      <c r="S1147" s="76"/>
      <c r="T1147" s="76"/>
      <c r="U1147" s="76"/>
      <c r="V1147" s="76"/>
      <c r="W1147" s="76"/>
      <c r="X1147" s="76"/>
      <c r="Y1147" s="76"/>
      <c r="Z1147" s="76"/>
      <c r="AA1147" s="76"/>
      <c r="AB1147" s="76"/>
      <c r="AC1147" s="76"/>
      <c r="AD1147" s="76"/>
      <c r="AE1147" s="76"/>
      <c r="AF1147" s="76"/>
      <c r="AG1147" s="76"/>
      <c r="AH1147" s="76"/>
      <c r="AI1147" s="76">
        <v>1</v>
      </c>
      <c r="AJ1147" s="76">
        <v>1</v>
      </c>
      <c r="AK1147" s="73"/>
      <c r="AL1147" s="57"/>
      <c r="AM1147" s="45"/>
      <c r="AN1147" s="45"/>
      <c r="AO1147" s="45"/>
    </row>
    <row r="1148" spans="1:41" hidden="1" outlineLevel="3" x14ac:dyDescent="0.25">
      <c r="A1148" s="45"/>
      <c r="B1148" s="54"/>
      <c r="C1148" s="47">
        <f t="shared" si="466"/>
        <v>4</v>
      </c>
      <c r="D1148" s="73"/>
      <c r="E1148" s="70"/>
      <c r="F1148" s="70" t="s">
        <v>3724</v>
      </c>
      <c r="G1148" s="73"/>
      <c r="H1148" s="76" t="s">
        <v>1470</v>
      </c>
      <c r="I1148" s="96" t="s">
        <v>497</v>
      </c>
      <c r="J1148" s="96"/>
      <c r="K1148" s="76"/>
      <c r="L1148" s="76"/>
      <c r="M1148" s="76"/>
      <c r="N1148" s="76"/>
      <c r="O1148" s="76"/>
      <c r="P1148" s="76"/>
      <c r="Q1148" s="76"/>
      <c r="R1148" s="76"/>
      <c r="S1148" s="76"/>
      <c r="T1148" s="76"/>
      <c r="U1148" s="76"/>
      <c r="V1148" s="76"/>
      <c r="W1148" s="76"/>
      <c r="X1148" s="76"/>
      <c r="Y1148" s="76"/>
      <c r="Z1148" s="76"/>
      <c r="AA1148" s="76"/>
      <c r="AB1148" s="76"/>
      <c r="AC1148" s="76"/>
      <c r="AD1148" s="76"/>
      <c r="AE1148" s="76"/>
      <c r="AF1148" s="76"/>
      <c r="AG1148" s="76"/>
      <c r="AH1148" s="76"/>
      <c r="AI1148" s="76">
        <v>1</v>
      </c>
      <c r="AJ1148" s="76">
        <v>1</v>
      </c>
      <c r="AK1148" s="73"/>
      <c r="AL1148" s="57"/>
      <c r="AM1148" s="45"/>
      <c r="AN1148" s="45"/>
      <c r="AO1148" s="45"/>
    </row>
    <row r="1149" spans="1:41" hidden="1" outlineLevel="3" x14ac:dyDescent="0.25">
      <c r="A1149" s="45"/>
      <c r="B1149" s="54"/>
      <c r="C1149" s="47">
        <f t="shared" si="466"/>
        <v>4</v>
      </c>
      <c r="D1149" s="73"/>
      <c r="E1149" s="70"/>
      <c r="F1149" s="70" t="s">
        <v>3725</v>
      </c>
      <c r="G1149" s="73"/>
      <c r="H1149" s="76" t="s">
        <v>1472</v>
      </c>
      <c r="I1149" s="96" t="s">
        <v>497</v>
      </c>
      <c r="J1149" s="96"/>
      <c r="K1149" s="76"/>
      <c r="L1149" s="76"/>
      <c r="M1149" s="76"/>
      <c r="N1149" s="76"/>
      <c r="O1149" s="76"/>
      <c r="P1149" s="76"/>
      <c r="Q1149" s="76"/>
      <c r="R1149" s="76"/>
      <c r="S1149" s="76"/>
      <c r="T1149" s="76"/>
      <c r="U1149" s="76"/>
      <c r="V1149" s="76"/>
      <c r="W1149" s="76"/>
      <c r="X1149" s="76"/>
      <c r="Y1149" s="76"/>
      <c r="Z1149" s="76"/>
      <c r="AA1149" s="76"/>
      <c r="AB1149" s="76"/>
      <c r="AC1149" s="76"/>
      <c r="AD1149" s="76"/>
      <c r="AE1149" s="76"/>
      <c r="AF1149" s="76"/>
      <c r="AG1149" s="76"/>
      <c r="AH1149" s="76"/>
      <c r="AI1149" s="76">
        <v>1</v>
      </c>
      <c r="AJ1149" s="76">
        <v>1</v>
      </c>
      <c r="AK1149" s="73"/>
      <c r="AL1149" s="57"/>
      <c r="AM1149" s="45"/>
      <c r="AN1149" s="45"/>
      <c r="AO1149" s="45"/>
    </row>
    <row r="1150" spans="1:41" hidden="1" outlineLevel="3" x14ac:dyDescent="0.25">
      <c r="A1150" s="45"/>
      <c r="B1150" s="54"/>
      <c r="C1150" s="47">
        <f t="shared" si="466"/>
        <v>4</v>
      </c>
      <c r="D1150" s="73"/>
      <c r="E1150" s="70"/>
      <c r="F1150" s="70" t="s">
        <v>3757</v>
      </c>
      <c r="G1150" s="73"/>
      <c r="H1150" s="76" t="s">
        <v>1466</v>
      </c>
      <c r="I1150" s="96" t="s">
        <v>497</v>
      </c>
      <c r="J1150" s="96"/>
      <c r="K1150" s="76"/>
      <c r="L1150" s="76"/>
      <c r="M1150" s="76"/>
      <c r="N1150" s="76"/>
      <c r="O1150" s="76"/>
      <c r="P1150" s="76"/>
      <c r="Q1150" s="76"/>
      <c r="R1150" s="76"/>
      <c r="S1150" s="76"/>
      <c r="T1150" s="76"/>
      <c r="U1150" s="76"/>
      <c r="V1150" s="76"/>
      <c r="W1150" s="76"/>
      <c r="X1150" s="76"/>
      <c r="Y1150" s="76"/>
      <c r="Z1150" s="76"/>
      <c r="AA1150" s="76"/>
      <c r="AB1150" s="76"/>
      <c r="AC1150" s="76"/>
      <c r="AD1150" s="76"/>
      <c r="AE1150" s="76"/>
      <c r="AF1150" s="76"/>
      <c r="AG1150" s="76"/>
      <c r="AH1150" s="76"/>
      <c r="AI1150" s="76">
        <v>1</v>
      </c>
      <c r="AJ1150" s="76">
        <v>1</v>
      </c>
      <c r="AK1150" s="73"/>
      <c r="AL1150" s="57"/>
      <c r="AM1150" s="45"/>
      <c r="AN1150" s="45"/>
      <c r="AO1150" s="45"/>
    </row>
    <row r="1151" spans="1:41" hidden="1" outlineLevel="3" x14ac:dyDescent="0.25">
      <c r="A1151" s="45"/>
      <c r="B1151" s="54"/>
      <c r="C1151" s="47">
        <f t="shared" si="466"/>
        <v>4</v>
      </c>
      <c r="D1151" s="73"/>
      <c r="E1151" s="70"/>
      <c r="F1151" s="70" t="s">
        <v>3758</v>
      </c>
      <c r="G1151" s="73"/>
      <c r="H1151" s="76" t="s">
        <v>1468</v>
      </c>
      <c r="I1151" s="96" t="s">
        <v>497</v>
      </c>
      <c r="J1151" s="96"/>
      <c r="K1151" s="76"/>
      <c r="L1151" s="76"/>
      <c r="M1151" s="76"/>
      <c r="N1151" s="76"/>
      <c r="O1151" s="76"/>
      <c r="P1151" s="76"/>
      <c r="Q1151" s="76"/>
      <c r="R1151" s="76"/>
      <c r="S1151" s="76"/>
      <c r="T1151" s="76"/>
      <c r="U1151" s="76"/>
      <c r="V1151" s="76"/>
      <c r="W1151" s="76"/>
      <c r="X1151" s="76"/>
      <c r="Y1151" s="76"/>
      <c r="Z1151" s="76"/>
      <c r="AA1151" s="76"/>
      <c r="AB1151" s="76"/>
      <c r="AC1151" s="76"/>
      <c r="AD1151" s="76"/>
      <c r="AE1151" s="76"/>
      <c r="AF1151" s="76"/>
      <c r="AG1151" s="76"/>
      <c r="AH1151" s="76"/>
      <c r="AI1151" s="76">
        <v>1</v>
      </c>
      <c r="AJ1151" s="76">
        <v>1</v>
      </c>
      <c r="AK1151" s="73"/>
      <c r="AL1151" s="57"/>
      <c r="AM1151" s="45"/>
      <c r="AN1151" s="45"/>
      <c r="AO1151" s="45"/>
    </row>
    <row r="1152" spans="1:41" hidden="1" outlineLevel="3" x14ac:dyDescent="0.25">
      <c r="A1152" s="45"/>
      <c r="B1152" s="54"/>
      <c r="C1152" s="47">
        <f t="shared" si="466"/>
        <v>4</v>
      </c>
      <c r="D1152" s="73"/>
      <c r="E1152" s="70"/>
      <c r="F1152" s="70" t="s">
        <v>3759</v>
      </c>
      <c r="G1152" s="73"/>
      <c r="H1152" s="76" t="s">
        <v>1470</v>
      </c>
      <c r="I1152" s="96" t="s">
        <v>497</v>
      </c>
      <c r="J1152" s="96"/>
      <c r="K1152" s="76"/>
      <c r="L1152" s="76"/>
      <c r="M1152" s="76"/>
      <c r="N1152" s="76"/>
      <c r="O1152" s="76"/>
      <c r="P1152" s="76"/>
      <c r="Q1152" s="76"/>
      <c r="R1152" s="76"/>
      <c r="S1152" s="76"/>
      <c r="T1152" s="76"/>
      <c r="U1152" s="76"/>
      <c r="V1152" s="76"/>
      <c r="W1152" s="76"/>
      <c r="X1152" s="76"/>
      <c r="Y1152" s="76"/>
      <c r="Z1152" s="76"/>
      <c r="AA1152" s="76"/>
      <c r="AB1152" s="76"/>
      <c r="AC1152" s="76"/>
      <c r="AD1152" s="76"/>
      <c r="AE1152" s="76"/>
      <c r="AF1152" s="76"/>
      <c r="AG1152" s="76"/>
      <c r="AH1152" s="76"/>
      <c r="AI1152" s="76">
        <v>1</v>
      </c>
      <c r="AJ1152" s="76">
        <v>1</v>
      </c>
      <c r="AK1152" s="73"/>
      <c r="AL1152" s="57"/>
      <c r="AM1152" s="45"/>
      <c r="AN1152" s="45"/>
      <c r="AO1152" s="45"/>
    </row>
    <row r="1153" spans="1:41" hidden="1" outlineLevel="3" x14ac:dyDescent="0.25">
      <c r="A1153" s="45"/>
      <c r="B1153" s="54"/>
      <c r="C1153" s="47">
        <f t="shared" si="466"/>
        <v>4</v>
      </c>
      <c r="D1153" s="73"/>
      <c r="E1153" s="70"/>
      <c r="F1153" s="70" t="s">
        <v>3760</v>
      </c>
      <c r="G1153" s="73"/>
      <c r="H1153" s="76" t="s">
        <v>1472</v>
      </c>
      <c r="I1153" s="96" t="s">
        <v>497</v>
      </c>
      <c r="J1153" s="96"/>
      <c r="K1153" s="76"/>
      <c r="L1153" s="76"/>
      <c r="M1153" s="76"/>
      <c r="N1153" s="76"/>
      <c r="O1153" s="76"/>
      <c r="P1153" s="76"/>
      <c r="Q1153" s="76"/>
      <c r="R1153" s="76"/>
      <c r="S1153" s="76"/>
      <c r="T1153" s="76"/>
      <c r="U1153" s="76"/>
      <c r="V1153" s="76"/>
      <c r="W1153" s="76"/>
      <c r="X1153" s="76"/>
      <c r="Y1153" s="76"/>
      <c r="Z1153" s="76"/>
      <c r="AA1153" s="76"/>
      <c r="AB1153" s="76"/>
      <c r="AC1153" s="76"/>
      <c r="AD1153" s="76"/>
      <c r="AE1153" s="76"/>
      <c r="AF1153" s="76"/>
      <c r="AG1153" s="76"/>
      <c r="AH1153" s="76"/>
      <c r="AI1153" s="76">
        <v>1</v>
      </c>
      <c r="AJ1153" s="76">
        <v>1</v>
      </c>
      <c r="AK1153" s="73"/>
      <c r="AL1153" s="57"/>
      <c r="AM1153" s="45"/>
      <c r="AN1153" s="45"/>
      <c r="AO1153" s="45"/>
    </row>
    <row r="1154" spans="1:41" hidden="1" outlineLevel="3" x14ac:dyDescent="0.25">
      <c r="A1154" s="45"/>
      <c r="B1154" s="54"/>
      <c r="C1154" s="47">
        <f t="shared" si="466"/>
        <v>4</v>
      </c>
      <c r="D1154" s="73"/>
      <c r="E1154" s="70"/>
      <c r="F1154" s="70" t="s">
        <v>3753</v>
      </c>
      <c r="G1154" s="73"/>
      <c r="H1154" s="76" t="s">
        <v>1466</v>
      </c>
      <c r="I1154" s="96" t="s">
        <v>497</v>
      </c>
      <c r="J1154" s="96"/>
      <c r="K1154" s="76"/>
      <c r="L1154" s="76"/>
      <c r="M1154" s="76"/>
      <c r="N1154" s="76"/>
      <c r="O1154" s="76"/>
      <c r="P1154" s="76"/>
      <c r="Q1154" s="76"/>
      <c r="R1154" s="76"/>
      <c r="S1154" s="76"/>
      <c r="T1154" s="76"/>
      <c r="U1154" s="76"/>
      <c r="V1154" s="76"/>
      <c r="W1154" s="76"/>
      <c r="X1154" s="76"/>
      <c r="Y1154" s="76"/>
      <c r="Z1154" s="76"/>
      <c r="AA1154" s="76"/>
      <c r="AB1154" s="76"/>
      <c r="AC1154" s="76"/>
      <c r="AD1154" s="76"/>
      <c r="AE1154" s="76"/>
      <c r="AF1154" s="76"/>
      <c r="AG1154" s="76"/>
      <c r="AH1154" s="76"/>
      <c r="AI1154" s="76">
        <v>1</v>
      </c>
      <c r="AJ1154" s="76">
        <v>1</v>
      </c>
      <c r="AK1154" s="73"/>
      <c r="AL1154" s="57"/>
      <c r="AM1154" s="45"/>
      <c r="AN1154" s="45"/>
      <c r="AO1154" s="45"/>
    </row>
    <row r="1155" spans="1:41" hidden="1" outlineLevel="3" x14ac:dyDescent="0.25">
      <c r="A1155" s="45"/>
      <c r="B1155" s="54"/>
      <c r="C1155" s="47">
        <f t="shared" si="466"/>
        <v>4</v>
      </c>
      <c r="D1155" s="73"/>
      <c r="E1155" s="70"/>
      <c r="F1155" s="70" t="s">
        <v>3754</v>
      </c>
      <c r="G1155" s="73"/>
      <c r="H1155" s="76" t="s">
        <v>1468</v>
      </c>
      <c r="I1155" s="96" t="s">
        <v>497</v>
      </c>
      <c r="J1155" s="96"/>
      <c r="K1155" s="76"/>
      <c r="L1155" s="76"/>
      <c r="M1155" s="76"/>
      <c r="N1155" s="76"/>
      <c r="O1155" s="76"/>
      <c r="P1155" s="76"/>
      <c r="Q1155" s="76"/>
      <c r="R1155" s="76"/>
      <c r="S1155" s="76"/>
      <c r="T1155" s="76"/>
      <c r="U1155" s="76"/>
      <c r="V1155" s="76"/>
      <c r="W1155" s="76"/>
      <c r="X1155" s="76"/>
      <c r="Y1155" s="76"/>
      <c r="Z1155" s="76"/>
      <c r="AA1155" s="76"/>
      <c r="AB1155" s="76"/>
      <c r="AC1155" s="76"/>
      <c r="AD1155" s="76"/>
      <c r="AE1155" s="76"/>
      <c r="AF1155" s="76"/>
      <c r="AG1155" s="76"/>
      <c r="AH1155" s="76"/>
      <c r="AI1155" s="76">
        <v>1</v>
      </c>
      <c r="AJ1155" s="76">
        <v>1</v>
      </c>
      <c r="AK1155" s="73"/>
      <c r="AL1155" s="57"/>
      <c r="AM1155" s="45"/>
      <c r="AN1155" s="45"/>
      <c r="AO1155" s="45"/>
    </row>
    <row r="1156" spans="1:41" hidden="1" outlineLevel="3" x14ac:dyDescent="0.25">
      <c r="A1156" s="45"/>
      <c r="B1156" s="54"/>
      <c r="C1156" s="47">
        <f t="shared" si="466"/>
        <v>4</v>
      </c>
      <c r="D1156" s="73"/>
      <c r="E1156" s="70"/>
      <c r="F1156" s="70" t="s">
        <v>3755</v>
      </c>
      <c r="G1156" s="73"/>
      <c r="H1156" s="76" t="s">
        <v>1470</v>
      </c>
      <c r="I1156" s="96" t="s">
        <v>497</v>
      </c>
      <c r="J1156" s="96"/>
      <c r="K1156" s="76"/>
      <c r="L1156" s="76"/>
      <c r="M1156" s="76"/>
      <c r="N1156" s="76"/>
      <c r="O1156" s="76"/>
      <c r="P1156" s="76"/>
      <c r="Q1156" s="76"/>
      <c r="R1156" s="76"/>
      <c r="S1156" s="76"/>
      <c r="T1156" s="76"/>
      <c r="U1156" s="76"/>
      <c r="V1156" s="76"/>
      <c r="W1156" s="76"/>
      <c r="X1156" s="76"/>
      <c r="Y1156" s="76"/>
      <c r="Z1156" s="76"/>
      <c r="AA1156" s="76"/>
      <c r="AB1156" s="76"/>
      <c r="AC1156" s="76"/>
      <c r="AD1156" s="76"/>
      <c r="AE1156" s="76"/>
      <c r="AF1156" s="76"/>
      <c r="AG1156" s="76"/>
      <c r="AH1156" s="76"/>
      <c r="AI1156" s="76">
        <v>1</v>
      </c>
      <c r="AJ1156" s="76">
        <v>1</v>
      </c>
      <c r="AK1156" s="73"/>
      <c r="AL1156" s="57"/>
      <c r="AM1156" s="45"/>
      <c r="AN1156" s="45"/>
      <c r="AO1156" s="45"/>
    </row>
    <row r="1157" spans="1:41" hidden="1" outlineLevel="3" x14ac:dyDescent="0.25">
      <c r="A1157" s="45"/>
      <c r="B1157" s="54"/>
      <c r="C1157" s="47">
        <f t="shared" si="466"/>
        <v>4</v>
      </c>
      <c r="D1157" s="73"/>
      <c r="E1157" s="70"/>
      <c r="F1157" s="70" t="s">
        <v>3756</v>
      </c>
      <c r="G1157" s="73"/>
      <c r="H1157" s="76" t="s">
        <v>1472</v>
      </c>
      <c r="I1157" s="96" t="s">
        <v>497</v>
      </c>
      <c r="J1157" s="96"/>
      <c r="K1157" s="76"/>
      <c r="L1157" s="76"/>
      <c r="M1157" s="76"/>
      <c r="N1157" s="76"/>
      <c r="O1157" s="76"/>
      <c r="P1157" s="76"/>
      <c r="Q1157" s="76"/>
      <c r="R1157" s="76"/>
      <c r="S1157" s="76"/>
      <c r="T1157" s="76"/>
      <c r="U1157" s="76"/>
      <c r="V1157" s="76"/>
      <c r="W1157" s="76"/>
      <c r="X1157" s="76"/>
      <c r="Y1157" s="76"/>
      <c r="Z1157" s="76"/>
      <c r="AA1157" s="76"/>
      <c r="AB1157" s="76"/>
      <c r="AC1157" s="76"/>
      <c r="AD1157" s="76"/>
      <c r="AE1157" s="76"/>
      <c r="AF1157" s="76"/>
      <c r="AG1157" s="76"/>
      <c r="AH1157" s="76"/>
      <c r="AI1157" s="76">
        <v>1</v>
      </c>
      <c r="AJ1157" s="76">
        <v>1</v>
      </c>
      <c r="AK1157" s="73"/>
      <c r="AL1157" s="57"/>
      <c r="AM1157" s="45"/>
      <c r="AN1157" s="45"/>
      <c r="AO1157" s="45"/>
    </row>
    <row r="1158" spans="1:41" outlineLevel="1" collapsed="1" x14ac:dyDescent="0.25">
      <c r="A1158" s="45"/>
      <c r="B1158" s="54"/>
      <c r="C1158" s="47">
        <f>INT($C$29)+1</f>
        <v>2</v>
      </c>
      <c r="D1158" s="73"/>
      <c r="E1158" s="70"/>
      <c r="F1158" s="265" t="s">
        <v>1695</v>
      </c>
      <c r="G1158" s="73"/>
      <c r="H1158" s="246" t="s">
        <v>1696</v>
      </c>
      <c r="I1158" s="96"/>
      <c r="J1158" s="96" t="s">
        <v>514</v>
      </c>
      <c r="K1158" s="79">
        <v>5</v>
      </c>
      <c r="L1158" s="76"/>
      <c r="M1158" s="79">
        <v>0</v>
      </c>
      <c r="N1158" s="76"/>
      <c r="O1158" s="76"/>
      <c r="P1158" s="76"/>
      <c r="Q1158" s="76"/>
      <c r="R1158" s="76"/>
      <c r="S1158" s="76"/>
      <c r="T1158" s="76"/>
      <c r="U1158" s="76"/>
      <c r="V1158" s="76"/>
      <c r="W1158" s="76"/>
      <c r="X1158" s="76"/>
      <c r="Y1158" s="76"/>
      <c r="Z1158" s="76"/>
      <c r="AA1158" s="76"/>
      <c r="AB1158" s="76"/>
      <c r="AC1158" s="76"/>
      <c r="AD1158" s="76"/>
      <c r="AE1158" s="76"/>
      <c r="AF1158" s="76"/>
      <c r="AG1158" s="76"/>
      <c r="AH1158" s="76"/>
      <c r="AI1158" s="76"/>
      <c r="AJ1158" s="76"/>
      <c r="AK1158" s="73"/>
      <c r="AL1158" s="57"/>
      <c r="AM1158" s="45"/>
      <c r="AN1158" s="45"/>
      <c r="AO1158" s="45"/>
    </row>
    <row r="1159" spans="1:41" hidden="1" outlineLevel="2" x14ac:dyDescent="0.25">
      <c r="A1159" s="45"/>
      <c r="B1159" s="54"/>
      <c r="C1159" s="47">
        <f>INT($C$29)+2</f>
        <v>3</v>
      </c>
      <c r="D1159" s="73"/>
      <c r="E1159" s="70" t="s">
        <v>1697</v>
      </c>
      <c r="F1159" s="70" t="s">
        <v>1698</v>
      </c>
      <c r="G1159" s="73"/>
      <c r="H1159" s="76" t="s">
        <v>1699</v>
      </c>
      <c r="I1159" s="76"/>
      <c r="J1159" s="76"/>
      <c r="K1159" s="97">
        <v>0.99704199999999998</v>
      </c>
      <c r="L1159" s="97">
        <v>0.99704199999999998</v>
      </c>
      <c r="M1159" s="76"/>
      <c r="N1159" s="76"/>
      <c r="O1159" s="76"/>
      <c r="P1159" s="76"/>
      <c r="Q1159" s="76"/>
      <c r="R1159" s="76"/>
      <c r="S1159" s="76"/>
      <c r="T1159" s="76"/>
      <c r="U1159" s="253">
        <f t="shared" ref="U1159:AE1159" si="467">INDEX($K1159:$Q1159,1,U$43)</f>
        <v>0.99704199999999998</v>
      </c>
      <c r="V1159" s="253">
        <f t="shared" si="467"/>
        <v>0.99704199999999998</v>
      </c>
      <c r="W1159" s="253">
        <f t="shared" si="467"/>
        <v>0.99704199999999998</v>
      </c>
      <c r="X1159" s="253">
        <f t="shared" si="467"/>
        <v>0.99704199999999998</v>
      </c>
      <c r="Y1159" s="253">
        <f t="shared" si="467"/>
        <v>0.99704199999999998</v>
      </c>
      <c r="Z1159" s="253">
        <f t="shared" si="467"/>
        <v>0.99704199999999998</v>
      </c>
      <c r="AA1159" s="253">
        <f t="shared" si="467"/>
        <v>0.99704199999999998</v>
      </c>
      <c r="AB1159" s="253">
        <f t="shared" si="467"/>
        <v>0.99704199999999998</v>
      </c>
      <c r="AC1159" s="253">
        <f t="shared" si="467"/>
        <v>0.99704199999999998</v>
      </c>
      <c r="AD1159" s="253">
        <f t="shared" si="467"/>
        <v>0.99704199999999998</v>
      </c>
      <c r="AE1159" s="253">
        <f t="shared" si="467"/>
        <v>0.99704199999999998</v>
      </c>
      <c r="AF1159" s="76"/>
      <c r="AG1159" s="76"/>
      <c r="AH1159" s="76"/>
      <c r="AI1159" s="97">
        <v>1</v>
      </c>
      <c r="AJ1159" s="97">
        <v>1</v>
      </c>
      <c r="AK1159" s="73"/>
      <c r="AL1159" s="57"/>
      <c r="AM1159" s="45"/>
      <c r="AN1159" s="45"/>
      <c r="AO1159" s="45"/>
    </row>
    <row r="1160" spans="1:41" hidden="1" outlineLevel="2" x14ac:dyDescent="0.25">
      <c r="A1160" s="45"/>
      <c r="B1160" s="54"/>
      <c r="C1160" s="47">
        <f>INT($C$29)+2</f>
        <v>3</v>
      </c>
      <c r="D1160" s="73"/>
      <c r="E1160" s="70"/>
      <c r="F1160" s="70" t="s">
        <v>1700</v>
      </c>
      <c r="G1160" s="73"/>
      <c r="H1160" s="129" t="s">
        <v>2750</v>
      </c>
      <c r="I1160" s="96"/>
      <c r="J1160" s="96"/>
      <c r="K1160" s="76"/>
      <c r="L1160" s="76"/>
      <c r="M1160" s="76"/>
      <c r="N1160" s="76"/>
      <c r="O1160" s="76"/>
      <c r="P1160" s="76"/>
      <c r="Q1160" s="76"/>
      <c r="R1160" s="76"/>
      <c r="S1160" s="76"/>
      <c r="T1160" s="76"/>
      <c r="U1160" s="266">
        <v>0.19</v>
      </c>
      <c r="V1160" s="266">
        <v>0.19</v>
      </c>
      <c r="W1160" s="266">
        <v>0.19</v>
      </c>
      <c r="X1160" s="266">
        <v>0.19</v>
      </c>
      <c r="Y1160" s="266">
        <v>0.19</v>
      </c>
      <c r="Z1160" s="266">
        <v>0.19</v>
      </c>
      <c r="AA1160" s="266">
        <v>0.19</v>
      </c>
      <c r="AB1160" s="266">
        <v>0.25</v>
      </c>
      <c r="AC1160" s="266">
        <v>0.25</v>
      </c>
      <c r="AD1160" s="266">
        <v>0.25</v>
      </c>
      <c r="AE1160" s="266">
        <v>0.25</v>
      </c>
      <c r="AF1160" s="76"/>
      <c r="AG1160" s="97" t="s">
        <v>1702</v>
      </c>
      <c r="AH1160" s="76"/>
      <c r="AI1160" s="97">
        <v>1</v>
      </c>
      <c r="AJ1160" s="97">
        <v>1</v>
      </c>
      <c r="AK1160" s="73"/>
      <c r="AL1160" s="57"/>
      <c r="AM1160" s="45"/>
      <c r="AN1160" s="45"/>
      <c r="AO1160" s="45"/>
    </row>
    <row r="1161" spans="1:41" hidden="1" outlineLevel="2" x14ac:dyDescent="0.25">
      <c r="A1161" s="45"/>
      <c r="B1161" s="54"/>
      <c r="C1161" s="47">
        <f>INT($C$29)+2</f>
        <v>3</v>
      </c>
      <c r="D1161" s="73"/>
      <c r="E1161" s="70"/>
      <c r="F1161" s="70" t="s">
        <v>1703</v>
      </c>
      <c r="G1161" s="73"/>
      <c r="H1161" s="76" t="s">
        <v>1704</v>
      </c>
      <c r="I1161" s="76"/>
      <c r="J1161" s="76"/>
      <c r="K1161" s="76"/>
      <c r="L1161" s="76"/>
      <c r="M1161" s="76"/>
      <c r="N1161" s="76"/>
      <c r="O1161" s="76"/>
      <c r="P1161" s="76"/>
      <c r="Q1161" s="76"/>
      <c r="R1161" s="76"/>
      <c r="S1161" s="76"/>
      <c r="T1161" s="76"/>
      <c r="U1161" s="97">
        <v>0.13739999999999999</v>
      </c>
      <c r="V1161" s="97">
        <v>0.13739999999999999</v>
      </c>
      <c r="W1161" s="97">
        <v>0.13739999999999999</v>
      </c>
      <c r="X1161" s="97">
        <v>0.13739999999999999</v>
      </c>
      <c r="Y1161" s="97">
        <v>0.13739999999999999</v>
      </c>
      <c r="Z1161" s="97">
        <v>0.13739999999999999</v>
      </c>
      <c r="AA1161" s="97">
        <v>0.13739999999999999</v>
      </c>
      <c r="AB1161" s="255">
        <f t="shared" ref="AB1161:AE1163" si="468">AA1161</f>
        <v>0.13739999999999999</v>
      </c>
      <c r="AC1161" s="255">
        <f t="shared" si="468"/>
        <v>0.13739999999999999</v>
      </c>
      <c r="AD1161" s="255">
        <f t="shared" si="468"/>
        <v>0.13739999999999999</v>
      </c>
      <c r="AE1161" s="255">
        <f t="shared" si="468"/>
        <v>0.13739999999999999</v>
      </c>
      <c r="AF1161" s="76"/>
      <c r="AG1161" s="76"/>
      <c r="AH1161" s="76"/>
      <c r="AI1161" s="97">
        <v>1</v>
      </c>
      <c r="AJ1161" s="97">
        <v>1</v>
      </c>
      <c r="AK1161" s="73"/>
      <c r="AL1161" s="57"/>
      <c r="AM1161" s="45"/>
      <c r="AN1161" s="45"/>
      <c r="AO1161" s="45"/>
    </row>
    <row r="1162" spans="1:41" hidden="1" outlineLevel="2" x14ac:dyDescent="0.25">
      <c r="A1162" s="45"/>
      <c r="B1162" s="54"/>
      <c r="C1162" s="47">
        <f>INT($C$29)+2</f>
        <v>3</v>
      </c>
      <c r="D1162" s="73"/>
      <c r="E1162" s="70"/>
      <c r="F1162" s="70" t="s">
        <v>1705</v>
      </c>
      <c r="G1162" s="73"/>
      <c r="H1162" s="76" t="s">
        <v>1706</v>
      </c>
      <c r="I1162" s="76"/>
      <c r="J1162" s="76"/>
      <c r="K1162" s="76"/>
      <c r="L1162" s="76"/>
      <c r="M1162" s="76"/>
      <c r="N1162" s="76"/>
      <c r="O1162" s="76"/>
      <c r="P1162" s="76"/>
      <c r="Q1162" s="76"/>
      <c r="R1162" s="76"/>
      <c r="S1162" s="76"/>
      <c r="T1162" s="76"/>
      <c r="U1162" s="97">
        <v>0.16700000000000001</v>
      </c>
      <c r="V1162" s="97">
        <v>0.16700000000000001</v>
      </c>
      <c r="W1162" s="97">
        <v>0.16700000000000001</v>
      </c>
      <c r="X1162" s="97">
        <v>0.16700000000000001</v>
      </c>
      <c r="Y1162" s="97">
        <v>0.16700000000000001</v>
      </c>
      <c r="Z1162" s="97">
        <v>0.16700000000000001</v>
      </c>
      <c r="AA1162" s="97">
        <v>0.16700000000000001</v>
      </c>
      <c r="AB1162" s="255">
        <f t="shared" si="468"/>
        <v>0.16700000000000001</v>
      </c>
      <c r="AC1162" s="255">
        <f t="shared" si="468"/>
        <v>0.16700000000000001</v>
      </c>
      <c r="AD1162" s="255">
        <f t="shared" si="468"/>
        <v>0.16700000000000001</v>
      </c>
      <c r="AE1162" s="255">
        <f t="shared" si="468"/>
        <v>0.16700000000000001</v>
      </c>
      <c r="AF1162" s="76"/>
      <c r="AG1162" s="76"/>
      <c r="AH1162" s="76"/>
      <c r="AI1162" s="97">
        <v>1</v>
      </c>
      <c r="AJ1162" s="97">
        <v>1</v>
      </c>
      <c r="AK1162" s="73"/>
      <c r="AL1162" s="57"/>
      <c r="AM1162" s="45"/>
      <c r="AN1162" s="45"/>
      <c r="AO1162" s="45"/>
    </row>
    <row r="1163" spans="1:41" hidden="1" outlineLevel="2" x14ac:dyDescent="0.25">
      <c r="A1163" s="45"/>
      <c r="B1163" s="54"/>
      <c r="C1163" s="47">
        <f>INT($C$29)+2</f>
        <v>3</v>
      </c>
      <c r="D1163" s="73"/>
      <c r="E1163" s="70"/>
      <c r="F1163" s="70" t="s">
        <v>1707</v>
      </c>
      <c r="G1163" s="73"/>
      <c r="H1163" s="76" t="s">
        <v>1708</v>
      </c>
      <c r="I1163" s="76"/>
      <c r="J1163" s="76"/>
      <c r="K1163" s="76"/>
      <c r="L1163" s="76"/>
      <c r="M1163" s="76"/>
      <c r="N1163" s="76"/>
      <c r="O1163" s="76"/>
      <c r="P1163" s="76"/>
      <c r="Q1163" s="76"/>
      <c r="R1163" s="76"/>
      <c r="S1163" s="76"/>
      <c r="T1163" s="76"/>
      <c r="U1163" s="97">
        <v>0.08</v>
      </c>
      <c r="V1163" s="97">
        <v>0.08</v>
      </c>
      <c r="W1163" s="97">
        <v>0.08</v>
      </c>
      <c r="X1163" s="97">
        <v>0.08</v>
      </c>
      <c r="Y1163" s="97">
        <v>0.08</v>
      </c>
      <c r="Z1163" s="97">
        <v>0.08</v>
      </c>
      <c r="AA1163" s="97">
        <v>0.08</v>
      </c>
      <c r="AB1163" s="255">
        <f t="shared" si="468"/>
        <v>0.08</v>
      </c>
      <c r="AC1163" s="255">
        <f t="shared" si="468"/>
        <v>0.08</v>
      </c>
      <c r="AD1163" s="255">
        <f t="shared" si="468"/>
        <v>0.08</v>
      </c>
      <c r="AE1163" s="255">
        <f t="shared" si="468"/>
        <v>0.08</v>
      </c>
      <c r="AF1163" s="76"/>
      <c r="AG1163" s="76"/>
      <c r="AH1163" s="76"/>
      <c r="AI1163" s="97">
        <v>1</v>
      </c>
      <c r="AJ1163" s="97">
        <v>1</v>
      </c>
      <c r="AK1163" s="73"/>
      <c r="AL1163" s="57"/>
      <c r="AM1163" s="45"/>
      <c r="AN1163" s="45"/>
      <c r="AO1163" s="45"/>
    </row>
    <row r="1164" spans="1:41" outlineLevel="1" collapsed="1" x14ac:dyDescent="0.25">
      <c r="A1164" s="45"/>
      <c r="B1164" s="54"/>
      <c r="C1164" s="47">
        <f>INT($C$29)+1</f>
        <v>2</v>
      </c>
      <c r="D1164" s="73"/>
      <c r="E1164" s="70"/>
      <c r="F1164" s="265" t="s">
        <v>1695</v>
      </c>
      <c r="G1164" s="73"/>
      <c r="H1164" s="267" t="s">
        <v>1709</v>
      </c>
      <c r="I1164" s="129"/>
      <c r="J1164" s="129" t="s">
        <v>1038</v>
      </c>
      <c r="K1164" s="79">
        <v>20</v>
      </c>
      <c r="L1164" s="79">
        <v>8</v>
      </c>
      <c r="M1164" s="79">
        <v>0</v>
      </c>
      <c r="N1164" s="76"/>
      <c r="O1164" s="76"/>
      <c r="P1164" s="76"/>
      <c r="Q1164" s="76"/>
      <c r="R1164" s="76"/>
      <c r="S1164" s="76"/>
      <c r="T1164" s="76"/>
      <c r="U1164" s="76"/>
      <c r="V1164" s="76"/>
      <c r="W1164" s="76"/>
      <c r="X1164" s="76"/>
      <c r="Y1164" s="76"/>
      <c r="Z1164" s="76"/>
      <c r="AA1164" s="76"/>
      <c r="AB1164" s="76"/>
      <c r="AC1164" s="76"/>
      <c r="AD1164" s="76"/>
      <c r="AE1164" s="76"/>
      <c r="AF1164" s="76"/>
      <c r="AG1164" s="76"/>
      <c r="AH1164" s="76"/>
      <c r="AI1164" s="76"/>
      <c r="AJ1164" s="76"/>
      <c r="AK1164" s="73"/>
      <c r="AL1164" s="57"/>
      <c r="AM1164" s="45"/>
      <c r="AN1164" s="45"/>
      <c r="AO1164" s="45"/>
    </row>
    <row r="1165" spans="1:41" hidden="1" outlineLevel="2" collapsed="1" x14ac:dyDescent="0.25">
      <c r="A1165" s="45"/>
      <c r="B1165" s="54"/>
      <c r="C1165" s="47">
        <f t="shared" ref="C1165:C1172" si="469">INT($C$29)+2</f>
        <v>3</v>
      </c>
      <c r="D1165" s="73"/>
      <c r="E1165" s="70"/>
      <c r="F1165" s="70" t="s">
        <v>1710</v>
      </c>
      <c r="G1165" s="73"/>
      <c r="H1165" s="76" t="s">
        <v>3468</v>
      </c>
      <c r="I1165" s="76"/>
      <c r="J1165" s="76"/>
      <c r="K1165" s="76"/>
      <c r="L1165" s="76"/>
      <c r="M1165" s="76"/>
      <c r="N1165" s="76"/>
      <c r="O1165" s="76"/>
      <c r="P1165" s="76"/>
      <c r="Q1165" s="76"/>
      <c r="R1165" s="76"/>
      <c r="S1165" s="76"/>
      <c r="T1165" s="76"/>
      <c r="U1165" s="76"/>
      <c r="V1165" s="76"/>
      <c r="W1165" s="76"/>
      <c r="X1165" s="76"/>
      <c r="Y1165" s="76"/>
      <c r="Z1165" s="76"/>
      <c r="AA1165" s="76"/>
      <c r="AB1165" s="76"/>
      <c r="AC1165" s="76"/>
      <c r="AD1165" s="76"/>
      <c r="AE1165" s="76"/>
      <c r="AF1165" s="76"/>
      <c r="AG1165" s="76"/>
      <c r="AH1165" s="76"/>
      <c r="AI1165" s="76">
        <v>1</v>
      </c>
      <c r="AJ1165" s="76">
        <v>1</v>
      </c>
      <c r="AK1165" s="73"/>
      <c r="AL1165" s="57"/>
      <c r="AM1165" s="45"/>
      <c r="AN1165" s="45"/>
      <c r="AO1165" s="45"/>
    </row>
    <row r="1166" spans="1:41" hidden="1" outlineLevel="3" x14ac:dyDescent="0.25">
      <c r="A1166" s="45"/>
      <c r="B1166" s="54"/>
      <c r="C1166" s="47">
        <f t="shared" si="469"/>
        <v>3</v>
      </c>
      <c r="D1166" s="73"/>
      <c r="E1166" s="70"/>
      <c r="F1166" s="70" t="s">
        <v>3478</v>
      </c>
      <c r="G1166" s="73"/>
      <c r="H1166" s="76" t="s">
        <v>3474</v>
      </c>
      <c r="I1166" s="76"/>
      <c r="J1166" s="76"/>
      <c r="K1166" s="76"/>
      <c r="L1166" s="76"/>
      <c r="M1166" s="76"/>
      <c r="N1166" s="76"/>
      <c r="O1166" s="76"/>
      <c r="P1166" s="76"/>
      <c r="Q1166" s="76"/>
      <c r="R1166" s="76"/>
      <c r="S1166" s="76"/>
      <c r="T1166" s="76"/>
      <c r="U1166" s="76"/>
      <c r="V1166" s="76"/>
      <c r="W1166" s="76"/>
      <c r="X1166" s="76"/>
      <c r="Y1166" s="76"/>
      <c r="Z1166" s="76"/>
      <c r="AA1166" s="76"/>
      <c r="AB1166" s="76"/>
      <c r="AC1166" s="76"/>
      <c r="AD1166" s="76"/>
      <c r="AE1166" s="76"/>
      <c r="AF1166" s="76"/>
      <c r="AG1166" s="76"/>
      <c r="AH1166" s="76"/>
      <c r="AI1166" s="76">
        <v>1</v>
      </c>
      <c r="AJ1166" s="76">
        <v>1</v>
      </c>
      <c r="AK1166" s="73"/>
      <c r="AL1166" s="57"/>
      <c r="AM1166" s="45"/>
      <c r="AN1166" s="45"/>
      <c r="AO1166" s="45"/>
    </row>
    <row r="1167" spans="1:41" hidden="1" outlineLevel="3" x14ac:dyDescent="0.25">
      <c r="A1167" s="45"/>
      <c r="B1167" s="54"/>
      <c r="C1167" s="47">
        <f t="shared" si="469"/>
        <v>3</v>
      </c>
      <c r="D1167" s="73"/>
      <c r="E1167" s="70"/>
      <c r="F1167" s="70" t="s">
        <v>1711</v>
      </c>
      <c r="G1167" s="73"/>
      <c r="H1167" s="76" t="s">
        <v>3475</v>
      </c>
      <c r="I1167" s="76"/>
      <c r="J1167" s="76"/>
      <c r="K1167" s="76"/>
      <c r="L1167" s="76"/>
      <c r="M1167" s="76"/>
      <c r="N1167" s="76"/>
      <c r="O1167" s="76"/>
      <c r="P1167" s="76"/>
      <c r="Q1167" s="76"/>
      <c r="R1167" s="76"/>
      <c r="S1167" s="76"/>
      <c r="T1167" s="76"/>
      <c r="U1167" s="76"/>
      <c r="V1167" s="76"/>
      <c r="W1167" s="76"/>
      <c r="X1167" s="76"/>
      <c r="Y1167" s="76"/>
      <c r="Z1167" s="76"/>
      <c r="AA1167" s="76"/>
      <c r="AB1167" s="76"/>
      <c r="AC1167" s="76"/>
      <c r="AD1167" s="76"/>
      <c r="AE1167" s="76"/>
      <c r="AF1167" s="76"/>
      <c r="AG1167" s="76"/>
      <c r="AH1167" s="76"/>
      <c r="AI1167" s="76">
        <v>1</v>
      </c>
      <c r="AJ1167" s="76">
        <v>1</v>
      </c>
      <c r="AK1167" s="73"/>
      <c r="AL1167" s="57"/>
      <c r="AM1167" s="45"/>
      <c r="AN1167" s="45"/>
      <c r="AO1167" s="45"/>
    </row>
    <row r="1168" spans="1:41" hidden="1" outlineLevel="3" x14ac:dyDescent="0.25">
      <c r="A1168" s="45"/>
      <c r="B1168" s="54"/>
      <c r="C1168" s="47">
        <f t="shared" si="469"/>
        <v>3</v>
      </c>
      <c r="D1168" s="73"/>
      <c r="E1168" s="70"/>
      <c r="F1168" s="70" t="s">
        <v>3479</v>
      </c>
      <c r="G1168" s="73"/>
      <c r="H1168" s="76" t="s">
        <v>3476</v>
      </c>
      <c r="I1168" s="76"/>
      <c r="J1168" s="76"/>
      <c r="K1168" s="76"/>
      <c r="L1168" s="76"/>
      <c r="M1168" s="76"/>
      <c r="N1168" s="76"/>
      <c r="O1168" s="76"/>
      <c r="P1168" s="76"/>
      <c r="Q1168" s="76"/>
      <c r="R1168" s="76"/>
      <c r="S1168" s="76"/>
      <c r="T1168" s="76"/>
      <c r="U1168" s="76"/>
      <c r="V1168" s="76"/>
      <c r="W1168" s="76"/>
      <c r="X1168" s="76"/>
      <c r="Y1168" s="76"/>
      <c r="Z1168" s="76"/>
      <c r="AA1168" s="76"/>
      <c r="AB1168" s="76"/>
      <c r="AC1168" s="76"/>
      <c r="AD1168" s="76"/>
      <c r="AE1168" s="76"/>
      <c r="AF1168" s="76"/>
      <c r="AG1168" s="76"/>
      <c r="AH1168" s="76"/>
      <c r="AI1168" s="76">
        <v>1</v>
      </c>
      <c r="AJ1168" s="76">
        <v>1</v>
      </c>
      <c r="AK1168" s="73"/>
      <c r="AL1168" s="57"/>
      <c r="AM1168" s="45"/>
      <c r="AN1168" s="45"/>
      <c r="AO1168" s="45"/>
    </row>
    <row r="1169" spans="1:41" hidden="1" outlineLevel="3" x14ac:dyDescent="0.25">
      <c r="A1169" s="45"/>
      <c r="B1169" s="54"/>
      <c r="C1169" s="47">
        <f t="shared" si="469"/>
        <v>3</v>
      </c>
      <c r="D1169" s="73"/>
      <c r="E1169" s="70"/>
      <c r="F1169" s="70" t="s">
        <v>1714</v>
      </c>
      <c r="G1169" s="73"/>
      <c r="H1169" s="76" t="s">
        <v>3477</v>
      </c>
      <c r="I1169" s="76"/>
      <c r="J1169" s="76"/>
      <c r="K1169" s="76"/>
      <c r="L1169" s="76"/>
      <c r="M1169" s="76"/>
      <c r="N1169" s="76"/>
      <c r="O1169" s="76"/>
      <c r="P1169" s="76"/>
      <c r="Q1169" s="76"/>
      <c r="R1169" s="76"/>
      <c r="S1169" s="76"/>
      <c r="T1169" s="76"/>
      <c r="U1169" s="76"/>
      <c r="V1169" s="76"/>
      <c r="W1169" s="76"/>
      <c r="X1169" s="76"/>
      <c r="Y1169" s="76"/>
      <c r="Z1169" s="76"/>
      <c r="AA1169" s="76"/>
      <c r="AB1169" s="76"/>
      <c r="AC1169" s="76"/>
      <c r="AD1169" s="76"/>
      <c r="AE1169" s="76"/>
      <c r="AF1169" s="76"/>
      <c r="AG1169" s="76"/>
      <c r="AH1169" s="76"/>
      <c r="AI1169" s="76">
        <v>1</v>
      </c>
      <c r="AJ1169" s="76">
        <v>1</v>
      </c>
      <c r="AK1169" s="73"/>
      <c r="AL1169" s="57"/>
      <c r="AM1169" s="45"/>
      <c r="AN1169" s="45"/>
      <c r="AO1169" s="45"/>
    </row>
    <row r="1170" spans="1:41" hidden="1" outlineLevel="3" x14ac:dyDescent="0.25">
      <c r="A1170" s="45"/>
      <c r="B1170" s="54"/>
      <c r="C1170" s="47">
        <f t="shared" si="469"/>
        <v>3</v>
      </c>
      <c r="D1170" s="73"/>
      <c r="E1170" s="70"/>
      <c r="F1170" s="70" t="s">
        <v>3480</v>
      </c>
      <c r="G1170" s="73"/>
      <c r="H1170" s="76" t="s">
        <v>1716</v>
      </c>
      <c r="I1170" s="76"/>
      <c r="J1170" s="76"/>
      <c r="K1170" s="76"/>
      <c r="L1170" s="76"/>
      <c r="M1170" s="76"/>
      <c r="N1170" s="76"/>
      <c r="O1170" s="76"/>
      <c r="P1170" s="76"/>
      <c r="Q1170" s="76"/>
      <c r="R1170" s="76"/>
      <c r="S1170" s="76"/>
      <c r="T1170" s="76"/>
      <c r="U1170" s="76"/>
      <c r="V1170" s="76"/>
      <c r="W1170" s="76"/>
      <c r="X1170" s="76"/>
      <c r="Y1170" s="76"/>
      <c r="Z1170" s="76"/>
      <c r="AA1170" s="76"/>
      <c r="AB1170" s="76"/>
      <c r="AC1170" s="76"/>
      <c r="AD1170" s="76"/>
      <c r="AE1170" s="76"/>
      <c r="AF1170" s="76"/>
      <c r="AG1170" s="76"/>
      <c r="AH1170" s="76"/>
      <c r="AI1170" s="76">
        <v>1</v>
      </c>
      <c r="AJ1170" s="76">
        <v>1</v>
      </c>
      <c r="AK1170" s="73"/>
      <c r="AL1170" s="57"/>
      <c r="AM1170" s="45"/>
      <c r="AN1170" s="45"/>
      <c r="AO1170" s="45"/>
    </row>
    <row r="1171" spans="1:41" hidden="1" outlineLevel="3" x14ac:dyDescent="0.25">
      <c r="A1171" s="45"/>
      <c r="B1171" s="54"/>
      <c r="C1171" s="47">
        <f t="shared" si="469"/>
        <v>3</v>
      </c>
      <c r="D1171" s="73"/>
      <c r="E1171" s="70"/>
      <c r="F1171" s="70" t="s">
        <v>1717</v>
      </c>
      <c r="G1171" s="73"/>
      <c r="H1171" s="76" t="s">
        <v>1718</v>
      </c>
      <c r="I1171" s="76"/>
      <c r="J1171" s="76"/>
      <c r="K1171" s="76"/>
      <c r="L1171" s="76"/>
      <c r="M1171" s="76"/>
      <c r="N1171" s="76"/>
      <c r="O1171" s="76"/>
      <c r="P1171" s="76"/>
      <c r="Q1171" s="76"/>
      <c r="R1171" s="76"/>
      <c r="S1171" s="76"/>
      <c r="T1171" s="76"/>
      <c r="U1171" s="76"/>
      <c r="V1171" s="76"/>
      <c r="W1171" s="76"/>
      <c r="X1171" s="76"/>
      <c r="Y1171" s="76"/>
      <c r="Z1171" s="76"/>
      <c r="AA1171" s="76"/>
      <c r="AB1171" s="76"/>
      <c r="AC1171" s="76"/>
      <c r="AD1171" s="76"/>
      <c r="AE1171" s="76"/>
      <c r="AF1171" s="76"/>
      <c r="AG1171" s="76"/>
      <c r="AH1171" s="76"/>
      <c r="AI1171" s="76">
        <v>1</v>
      </c>
      <c r="AJ1171" s="76">
        <v>1</v>
      </c>
      <c r="AK1171" s="73"/>
      <c r="AL1171" s="57"/>
      <c r="AM1171" s="45"/>
      <c r="AN1171" s="45"/>
      <c r="AO1171" s="45"/>
    </row>
    <row r="1172" spans="1:41" hidden="1" outlineLevel="3" x14ac:dyDescent="0.25">
      <c r="A1172" s="45"/>
      <c r="B1172" s="54"/>
      <c r="C1172" s="47">
        <f t="shared" si="469"/>
        <v>3</v>
      </c>
      <c r="D1172" s="73"/>
      <c r="E1172" s="70"/>
      <c r="F1172" s="70" t="s">
        <v>1719</v>
      </c>
      <c r="G1172" s="73"/>
      <c r="H1172" s="76" t="s">
        <v>1720</v>
      </c>
      <c r="I1172" s="76"/>
      <c r="J1172" s="76"/>
      <c r="K1172" s="76"/>
      <c r="L1172" s="76"/>
      <c r="M1172" s="76"/>
      <c r="N1172" s="76"/>
      <c r="O1172" s="76"/>
      <c r="P1172" s="76"/>
      <c r="Q1172" s="76"/>
      <c r="R1172" s="76"/>
      <c r="S1172" s="76"/>
      <c r="T1172" s="76"/>
      <c r="U1172" s="76"/>
      <c r="V1172" s="76"/>
      <c r="W1172" s="76"/>
      <c r="X1172" s="76"/>
      <c r="Y1172" s="76"/>
      <c r="Z1172" s="76"/>
      <c r="AA1172" s="76"/>
      <c r="AB1172" s="76"/>
      <c r="AC1172" s="76"/>
      <c r="AD1172" s="76"/>
      <c r="AE1172" s="76"/>
      <c r="AF1172" s="76"/>
      <c r="AG1172" s="76"/>
      <c r="AH1172" s="76"/>
      <c r="AI1172" s="76">
        <v>1</v>
      </c>
      <c r="AJ1172" s="76">
        <v>1</v>
      </c>
      <c r="AK1172" s="73"/>
      <c r="AL1172" s="57"/>
      <c r="AM1172" s="45"/>
      <c r="AN1172" s="45"/>
      <c r="AO1172" s="45"/>
    </row>
    <row r="1173" spans="1:41" hidden="1" outlineLevel="3" x14ac:dyDescent="0.25">
      <c r="A1173" s="45"/>
      <c r="B1173" s="54"/>
      <c r="C1173" s="47">
        <f t="shared" ref="C1173:C1204" si="470">INT($C$29)+3</f>
        <v>4</v>
      </c>
      <c r="D1173" s="73"/>
      <c r="E1173" s="70"/>
      <c r="F1173" s="70" t="s">
        <v>1721</v>
      </c>
      <c r="G1173" s="73"/>
      <c r="H1173" s="76" t="s">
        <v>599</v>
      </c>
      <c r="I1173" s="76"/>
      <c r="J1173" s="76"/>
      <c r="K1173" s="76"/>
      <c r="L1173" s="76"/>
      <c r="M1173" s="76"/>
      <c r="N1173" s="76"/>
      <c r="O1173" s="76"/>
      <c r="P1173" s="76"/>
      <c r="Q1173" s="76"/>
      <c r="R1173" s="76"/>
      <c r="S1173" s="76"/>
      <c r="T1173" s="76"/>
      <c r="U1173" s="76"/>
      <c r="V1173" s="76"/>
      <c r="W1173" s="76"/>
      <c r="X1173" s="76"/>
      <c r="Y1173" s="76"/>
      <c r="Z1173" s="76"/>
      <c r="AA1173" s="76"/>
      <c r="AB1173" s="76"/>
      <c r="AC1173" s="76"/>
      <c r="AD1173" s="76"/>
      <c r="AE1173" s="76"/>
      <c r="AF1173" s="76"/>
      <c r="AG1173" s="76"/>
      <c r="AH1173" s="76"/>
      <c r="AI1173" s="76">
        <v>1</v>
      </c>
      <c r="AJ1173" s="76">
        <v>1</v>
      </c>
      <c r="AK1173" s="73"/>
      <c r="AL1173" s="57"/>
      <c r="AM1173" s="45"/>
      <c r="AN1173" s="45"/>
      <c r="AO1173" s="45"/>
    </row>
    <row r="1174" spans="1:41" hidden="1" outlineLevel="3" x14ac:dyDescent="0.25">
      <c r="A1174" s="45"/>
      <c r="B1174" s="54"/>
      <c r="C1174" s="47">
        <f t="shared" si="470"/>
        <v>4</v>
      </c>
      <c r="D1174" s="73"/>
      <c r="E1174" s="70"/>
      <c r="F1174" s="70" t="s">
        <v>1722</v>
      </c>
      <c r="G1174" s="73"/>
      <c r="H1174" s="76"/>
      <c r="I1174" s="76"/>
      <c r="J1174" s="76"/>
      <c r="K1174" s="76"/>
      <c r="L1174" s="76"/>
      <c r="M1174" s="76"/>
      <c r="N1174" s="76"/>
      <c r="O1174" s="76"/>
      <c r="P1174" s="76"/>
      <c r="Q1174" s="76"/>
      <c r="R1174" s="76"/>
      <c r="S1174" s="76"/>
      <c r="T1174" s="76"/>
      <c r="U1174" s="76"/>
      <c r="V1174" s="76"/>
      <c r="W1174" s="76"/>
      <c r="X1174" s="76"/>
      <c r="Y1174" s="76"/>
      <c r="Z1174" s="76"/>
      <c r="AA1174" s="76"/>
      <c r="AB1174" s="76"/>
      <c r="AC1174" s="76"/>
      <c r="AD1174" s="76"/>
      <c r="AE1174" s="76"/>
      <c r="AF1174" s="76"/>
      <c r="AG1174" s="76"/>
      <c r="AH1174" s="76"/>
      <c r="AI1174" s="76">
        <v>1</v>
      </c>
      <c r="AJ1174" s="76">
        <v>1</v>
      </c>
      <c r="AK1174" s="73"/>
      <c r="AL1174" s="57"/>
      <c r="AM1174" s="45"/>
      <c r="AN1174" s="45"/>
      <c r="AO1174" s="45"/>
    </row>
    <row r="1175" spans="1:41" hidden="1" outlineLevel="3" x14ac:dyDescent="0.25">
      <c r="A1175" s="45"/>
      <c r="B1175" s="54"/>
      <c r="C1175" s="47">
        <f t="shared" si="470"/>
        <v>4</v>
      </c>
      <c r="D1175" s="73"/>
      <c r="E1175" s="70"/>
      <c r="F1175" s="70" t="s">
        <v>1723</v>
      </c>
      <c r="G1175" s="73"/>
      <c r="H1175" s="76"/>
      <c r="I1175" s="76"/>
      <c r="J1175" s="76"/>
      <c r="K1175" s="76"/>
      <c r="L1175" s="76"/>
      <c r="M1175" s="76"/>
      <c r="N1175" s="76"/>
      <c r="O1175" s="76"/>
      <c r="P1175" s="76"/>
      <c r="Q1175" s="76"/>
      <c r="R1175" s="76"/>
      <c r="S1175" s="76"/>
      <c r="T1175" s="76"/>
      <c r="U1175" s="76"/>
      <c r="V1175" s="76"/>
      <c r="W1175" s="76"/>
      <c r="X1175" s="76"/>
      <c r="Y1175" s="76"/>
      <c r="Z1175" s="76"/>
      <c r="AA1175" s="76"/>
      <c r="AB1175" s="76"/>
      <c r="AC1175" s="76"/>
      <c r="AD1175" s="76"/>
      <c r="AE1175" s="76"/>
      <c r="AF1175" s="76"/>
      <c r="AG1175" s="76"/>
      <c r="AH1175" s="76"/>
      <c r="AI1175" s="76">
        <v>1</v>
      </c>
      <c r="AJ1175" s="76">
        <v>1</v>
      </c>
      <c r="AK1175" s="73"/>
      <c r="AL1175" s="57"/>
      <c r="AM1175" s="45"/>
      <c r="AN1175" s="45"/>
      <c r="AO1175" s="45"/>
    </row>
    <row r="1176" spans="1:41" hidden="1" outlineLevel="3" x14ac:dyDescent="0.25">
      <c r="A1176" s="45"/>
      <c r="B1176" s="54"/>
      <c r="C1176" s="47">
        <f t="shared" si="470"/>
        <v>4</v>
      </c>
      <c r="D1176" s="73"/>
      <c r="E1176" s="70"/>
      <c r="F1176" s="70" t="s">
        <v>1724</v>
      </c>
      <c r="G1176" s="73"/>
      <c r="H1176" s="76"/>
      <c r="I1176" s="76"/>
      <c r="J1176" s="76"/>
      <c r="K1176" s="76"/>
      <c r="L1176" s="76"/>
      <c r="M1176" s="76"/>
      <c r="N1176" s="76"/>
      <c r="O1176" s="76"/>
      <c r="P1176" s="76"/>
      <c r="Q1176" s="76"/>
      <c r="R1176" s="76"/>
      <c r="S1176" s="76"/>
      <c r="T1176" s="76"/>
      <c r="U1176" s="76"/>
      <c r="V1176" s="76"/>
      <c r="W1176" s="76"/>
      <c r="X1176" s="76"/>
      <c r="Y1176" s="76"/>
      <c r="Z1176" s="76"/>
      <c r="AA1176" s="76"/>
      <c r="AB1176" s="76"/>
      <c r="AC1176" s="76"/>
      <c r="AD1176" s="76"/>
      <c r="AE1176" s="76"/>
      <c r="AF1176" s="76"/>
      <c r="AG1176" s="76"/>
      <c r="AH1176" s="76"/>
      <c r="AI1176" s="76">
        <v>1</v>
      </c>
      <c r="AJ1176" s="76">
        <v>1</v>
      </c>
      <c r="AK1176" s="73"/>
      <c r="AL1176" s="57"/>
      <c r="AM1176" s="45"/>
      <c r="AN1176" s="45"/>
      <c r="AO1176" s="45"/>
    </row>
    <row r="1177" spans="1:41" hidden="1" outlineLevel="3" x14ac:dyDescent="0.25">
      <c r="A1177" s="45"/>
      <c r="B1177" s="54"/>
      <c r="C1177" s="47">
        <f t="shared" si="470"/>
        <v>4</v>
      </c>
      <c r="D1177" s="73"/>
      <c r="E1177" s="70"/>
      <c r="F1177" s="70" t="s">
        <v>1725</v>
      </c>
      <c r="G1177" s="73"/>
      <c r="H1177" s="76"/>
      <c r="I1177" s="76"/>
      <c r="J1177" s="76"/>
      <c r="K1177" s="76"/>
      <c r="L1177" s="76"/>
      <c r="M1177" s="76"/>
      <c r="N1177" s="76"/>
      <c r="O1177" s="76"/>
      <c r="P1177" s="76"/>
      <c r="Q1177" s="76"/>
      <c r="R1177" s="76"/>
      <c r="S1177" s="76"/>
      <c r="T1177" s="76"/>
      <c r="U1177" s="76"/>
      <c r="V1177" s="76"/>
      <c r="W1177" s="76"/>
      <c r="X1177" s="76"/>
      <c r="Y1177" s="76"/>
      <c r="Z1177" s="76"/>
      <c r="AA1177" s="76"/>
      <c r="AB1177" s="76"/>
      <c r="AC1177" s="76"/>
      <c r="AD1177" s="76"/>
      <c r="AE1177" s="76"/>
      <c r="AF1177" s="76"/>
      <c r="AG1177" s="76"/>
      <c r="AH1177" s="76"/>
      <c r="AI1177" s="76">
        <v>1</v>
      </c>
      <c r="AJ1177" s="76">
        <v>1</v>
      </c>
      <c r="AK1177" s="73"/>
      <c r="AL1177" s="57"/>
      <c r="AM1177" s="45"/>
      <c r="AN1177" s="45"/>
      <c r="AO1177" s="45"/>
    </row>
    <row r="1178" spans="1:41" hidden="1" outlineLevel="3" x14ac:dyDescent="0.25">
      <c r="A1178" s="45"/>
      <c r="B1178" s="54"/>
      <c r="C1178" s="47">
        <f t="shared" si="470"/>
        <v>4</v>
      </c>
      <c r="D1178" s="73"/>
      <c r="E1178" s="70"/>
      <c r="F1178" s="70" t="s">
        <v>1726</v>
      </c>
      <c r="G1178" s="73"/>
      <c r="H1178" s="76"/>
      <c r="I1178" s="76"/>
      <c r="J1178" s="76"/>
      <c r="K1178" s="76"/>
      <c r="L1178" s="76"/>
      <c r="M1178" s="76"/>
      <c r="N1178" s="76"/>
      <c r="O1178" s="76"/>
      <c r="P1178" s="76"/>
      <c r="Q1178" s="76"/>
      <c r="R1178" s="76"/>
      <c r="S1178" s="76"/>
      <c r="T1178" s="76"/>
      <c r="U1178" s="76"/>
      <c r="V1178" s="76"/>
      <c r="W1178" s="76"/>
      <c r="X1178" s="76"/>
      <c r="Y1178" s="76"/>
      <c r="Z1178" s="76"/>
      <c r="AA1178" s="76"/>
      <c r="AB1178" s="76"/>
      <c r="AC1178" s="76"/>
      <c r="AD1178" s="76"/>
      <c r="AE1178" s="76"/>
      <c r="AF1178" s="76"/>
      <c r="AG1178" s="76"/>
      <c r="AH1178" s="76"/>
      <c r="AI1178" s="76">
        <v>1</v>
      </c>
      <c r="AJ1178" s="76">
        <v>1</v>
      </c>
      <c r="AK1178" s="73"/>
      <c r="AL1178" s="57"/>
      <c r="AM1178" s="45"/>
      <c r="AN1178" s="45"/>
      <c r="AO1178" s="45"/>
    </row>
    <row r="1179" spans="1:41" hidden="1" outlineLevel="3" x14ac:dyDescent="0.25">
      <c r="A1179" s="45"/>
      <c r="B1179" s="54"/>
      <c r="C1179" s="47">
        <f t="shared" si="470"/>
        <v>4</v>
      </c>
      <c r="D1179" s="73"/>
      <c r="E1179" s="70"/>
      <c r="F1179" s="70" t="s">
        <v>1727</v>
      </c>
      <c r="G1179" s="73"/>
      <c r="H1179" s="76"/>
      <c r="I1179" s="76"/>
      <c r="J1179" s="76"/>
      <c r="K1179" s="76"/>
      <c r="L1179" s="76"/>
      <c r="M1179" s="76"/>
      <c r="N1179" s="76"/>
      <c r="O1179" s="76"/>
      <c r="P1179" s="76"/>
      <c r="Q1179" s="76"/>
      <c r="R1179" s="76"/>
      <c r="S1179" s="76"/>
      <c r="T1179" s="76"/>
      <c r="U1179" s="76"/>
      <c r="V1179" s="76"/>
      <c r="W1179" s="76"/>
      <c r="X1179" s="76"/>
      <c r="Y1179" s="76"/>
      <c r="Z1179" s="76"/>
      <c r="AA1179" s="76"/>
      <c r="AB1179" s="76"/>
      <c r="AC1179" s="76"/>
      <c r="AD1179" s="76"/>
      <c r="AE1179" s="76"/>
      <c r="AF1179" s="76"/>
      <c r="AG1179" s="76"/>
      <c r="AH1179" s="76"/>
      <c r="AI1179" s="76">
        <v>1</v>
      </c>
      <c r="AJ1179" s="76">
        <v>1</v>
      </c>
      <c r="AK1179" s="73"/>
      <c r="AL1179" s="57"/>
      <c r="AM1179" s="45"/>
      <c r="AN1179" s="45"/>
      <c r="AO1179" s="45"/>
    </row>
    <row r="1180" spans="1:41" hidden="1" outlineLevel="3" x14ac:dyDescent="0.25">
      <c r="A1180" s="45"/>
      <c r="B1180" s="54"/>
      <c r="C1180" s="47">
        <f t="shared" si="470"/>
        <v>4</v>
      </c>
      <c r="D1180" s="73"/>
      <c r="E1180" s="70"/>
      <c r="F1180" s="70" t="s">
        <v>1728</v>
      </c>
      <c r="G1180" s="73"/>
      <c r="H1180" s="76"/>
      <c r="I1180" s="76"/>
      <c r="J1180" s="76"/>
      <c r="K1180" s="76"/>
      <c r="L1180" s="76"/>
      <c r="M1180" s="76"/>
      <c r="N1180" s="76"/>
      <c r="O1180" s="76"/>
      <c r="P1180" s="76"/>
      <c r="Q1180" s="76"/>
      <c r="R1180" s="76"/>
      <c r="S1180" s="76"/>
      <c r="T1180" s="76"/>
      <c r="U1180" s="76"/>
      <c r="V1180" s="76"/>
      <c r="W1180" s="76"/>
      <c r="X1180" s="76"/>
      <c r="Y1180" s="76"/>
      <c r="Z1180" s="76"/>
      <c r="AA1180" s="76"/>
      <c r="AB1180" s="76"/>
      <c r="AC1180" s="76"/>
      <c r="AD1180" s="76"/>
      <c r="AE1180" s="76"/>
      <c r="AF1180" s="76"/>
      <c r="AG1180" s="76"/>
      <c r="AH1180" s="76"/>
      <c r="AI1180" s="76">
        <v>1</v>
      </c>
      <c r="AJ1180" s="76">
        <v>1</v>
      </c>
      <c r="AK1180" s="73"/>
      <c r="AL1180" s="57"/>
      <c r="AM1180" s="45"/>
      <c r="AN1180" s="45"/>
      <c r="AO1180" s="45"/>
    </row>
    <row r="1181" spans="1:41" hidden="1" outlineLevel="3" x14ac:dyDescent="0.25">
      <c r="A1181" s="45"/>
      <c r="B1181" s="54"/>
      <c r="C1181" s="47">
        <f t="shared" si="470"/>
        <v>4</v>
      </c>
      <c r="D1181" s="73"/>
      <c r="E1181" s="70"/>
      <c r="F1181" s="70" t="s">
        <v>1729</v>
      </c>
      <c r="G1181" s="73"/>
      <c r="H1181" s="76" t="s">
        <v>599</v>
      </c>
      <c r="I1181" s="76"/>
      <c r="J1181" s="76"/>
      <c r="K1181" s="76"/>
      <c r="L1181" s="76"/>
      <c r="M1181" s="76"/>
      <c r="N1181" s="76"/>
      <c r="O1181" s="76"/>
      <c r="P1181" s="76"/>
      <c r="Q1181" s="76"/>
      <c r="R1181" s="76"/>
      <c r="S1181" s="76"/>
      <c r="T1181" s="76"/>
      <c r="U1181" s="76"/>
      <c r="V1181" s="76"/>
      <c r="W1181" s="76"/>
      <c r="X1181" s="76"/>
      <c r="Y1181" s="76"/>
      <c r="Z1181" s="76"/>
      <c r="AA1181" s="76"/>
      <c r="AB1181" s="76"/>
      <c r="AC1181" s="76"/>
      <c r="AD1181" s="76"/>
      <c r="AE1181" s="76"/>
      <c r="AF1181" s="76"/>
      <c r="AG1181" s="76"/>
      <c r="AH1181" s="76"/>
      <c r="AI1181" s="76">
        <v>1</v>
      </c>
      <c r="AJ1181" s="76">
        <v>1</v>
      </c>
      <c r="AK1181" s="73"/>
      <c r="AL1181" s="57"/>
      <c r="AM1181" s="45"/>
      <c r="AN1181" s="45"/>
      <c r="AO1181" s="45"/>
    </row>
    <row r="1182" spans="1:41" hidden="1" outlineLevel="3" x14ac:dyDescent="0.25">
      <c r="A1182" s="45"/>
      <c r="B1182" s="54"/>
      <c r="C1182" s="47">
        <f t="shared" si="470"/>
        <v>4</v>
      </c>
      <c r="D1182" s="73"/>
      <c r="E1182" s="70"/>
      <c r="F1182" s="70" t="s">
        <v>1730</v>
      </c>
      <c r="G1182" s="73"/>
      <c r="H1182" s="76"/>
      <c r="I1182" s="76"/>
      <c r="J1182" s="76"/>
      <c r="K1182" s="76"/>
      <c r="L1182" s="76"/>
      <c r="M1182" s="76"/>
      <c r="N1182" s="76"/>
      <c r="O1182" s="76"/>
      <c r="P1182" s="76"/>
      <c r="Q1182" s="76"/>
      <c r="R1182" s="76"/>
      <c r="S1182" s="76"/>
      <c r="T1182" s="76"/>
      <c r="U1182" s="76"/>
      <c r="V1182" s="76"/>
      <c r="W1182" s="76"/>
      <c r="X1182" s="76"/>
      <c r="Y1182" s="76"/>
      <c r="Z1182" s="76"/>
      <c r="AA1182" s="76"/>
      <c r="AB1182" s="76"/>
      <c r="AC1182" s="76"/>
      <c r="AD1182" s="76"/>
      <c r="AE1182" s="76"/>
      <c r="AF1182" s="76"/>
      <c r="AG1182" s="76"/>
      <c r="AH1182" s="76"/>
      <c r="AI1182" s="76">
        <v>1</v>
      </c>
      <c r="AJ1182" s="76">
        <v>1</v>
      </c>
      <c r="AK1182" s="73"/>
      <c r="AL1182" s="57"/>
      <c r="AM1182" s="45"/>
      <c r="AN1182" s="45"/>
      <c r="AO1182" s="45"/>
    </row>
    <row r="1183" spans="1:41" hidden="1" outlineLevel="3" x14ac:dyDescent="0.25">
      <c r="A1183" s="45"/>
      <c r="B1183" s="54"/>
      <c r="C1183" s="47">
        <f t="shared" si="470"/>
        <v>4</v>
      </c>
      <c r="D1183" s="73"/>
      <c r="E1183" s="70"/>
      <c r="F1183" s="70" t="s">
        <v>1731</v>
      </c>
      <c r="G1183" s="73"/>
      <c r="H1183" s="76"/>
      <c r="I1183" s="76"/>
      <c r="J1183" s="76"/>
      <c r="K1183" s="76"/>
      <c r="L1183" s="76"/>
      <c r="M1183" s="76"/>
      <c r="N1183" s="76"/>
      <c r="O1183" s="76"/>
      <c r="P1183" s="76"/>
      <c r="Q1183" s="76"/>
      <c r="R1183" s="76"/>
      <c r="S1183" s="76"/>
      <c r="T1183" s="76"/>
      <c r="U1183" s="76"/>
      <c r="V1183" s="76"/>
      <c r="W1183" s="76"/>
      <c r="X1183" s="76"/>
      <c r="Y1183" s="76"/>
      <c r="Z1183" s="76"/>
      <c r="AA1183" s="76"/>
      <c r="AB1183" s="76"/>
      <c r="AC1183" s="76"/>
      <c r="AD1183" s="76"/>
      <c r="AE1183" s="76"/>
      <c r="AF1183" s="76"/>
      <c r="AG1183" s="76"/>
      <c r="AH1183" s="76"/>
      <c r="AI1183" s="76">
        <v>1</v>
      </c>
      <c r="AJ1183" s="76">
        <v>1</v>
      </c>
      <c r="AK1183" s="73"/>
      <c r="AL1183" s="57"/>
      <c r="AM1183" s="45"/>
      <c r="AN1183" s="45"/>
      <c r="AO1183" s="45"/>
    </row>
    <row r="1184" spans="1:41" hidden="1" outlineLevel="3" x14ac:dyDescent="0.25">
      <c r="A1184" s="45"/>
      <c r="B1184" s="54"/>
      <c r="C1184" s="47">
        <f t="shared" si="470"/>
        <v>4</v>
      </c>
      <c r="D1184" s="73"/>
      <c r="E1184" s="70"/>
      <c r="F1184" s="70" t="s">
        <v>1732</v>
      </c>
      <c r="G1184" s="73"/>
      <c r="H1184" s="76"/>
      <c r="I1184" s="76"/>
      <c r="J1184" s="76"/>
      <c r="K1184" s="76"/>
      <c r="L1184" s="76"/>
      <c r="M1184" s="76"/>
      <c r="N1184" s="76"/>
      <c r="O1184" s="76"/>
      <c r="P1184" s="76"/>
      <c r="Q1184" s="76"/>
      <c r="R1184" s="76"/>
      <c r="S1184" s="76"/>
      <c r="T1184" s="76"/>
      <c r="U1184" s="76"/>
      <c r="V1184" s="76"/>
      <c r="W1184" s="76"/>
      <c r="X1184" s="76"/>
      <c r="Y1184" s="76"/>
      <c r="Z1184" s="76"/>
      <c r="AA1184" s="76"/>
      <c r="AB1184" s="76"/>
      <c r="AC1184" s="76"/>
      <c r="AD1184" s="76"/>
      <c r="AE1184" s="76"/>
      <c r="AF1184" s="76"/>
      <c r="AG1184" s="76"/>
      <c r="AH1184" s="76"/>
      <c r="AI1184" s="76">
        <v>1</v>
      </c>
      <c r="AJ1184" s="76">
        <v>1</v>
      </c>
      <c r="AK1184" s="73"/>
      <c r="AL1184" s="57"/>
      <c r="AM1184" s="45"/>
      <c r="AN1184" s="45"/>
      <c r="AO1184" s="45"/>
    </row>
    <row r="1185" spans="1:41" hidden="1" outlineLevel="3" x14ac:dyDescent="0.25">
      <c r="A1185" s="45"/>
      <c r="B1185" s="54"/>
      <c r="C1185" s="47">
        <f t="shared" si="470"/>
        <v>4</v>
      </c>
      <c r="D1185" s="73"/>
      <c r="E1185" s="70"/>
      <c r="F1185" s="70" t="s">
        <v>1733</v>
      </c>
      <c r="G1185" s="73"/>
      <c r="H1185" s="76"/>
      <c r="I1185" s="76"/>
      <c r="J1185" s="76"/>
      <c r="K1185" s="76"/>
      <c r="L1185" s="76"/>
      <c r="M1185" s="76"/>
      <c r="N1185" s="76"/>
      <c r="O1185" s="76"/>
      <c r="P1185" s="76"/>
      <c r="Q1185" s="76"/>
      <c r="R1185" s="76"/>
      <c r="S1185" s="76"/>
      <c r="T1185" s="76"/>
      <c r="U1185" s="76"/>
      <c r="V1185" s="76"/>
      <c r="W1185" s="76"/>
      <c r="X1185" s="76"/>
      <c r="Y1185" s="76"/>
      <c r="Z1185" s="76"/>
      <c r="AA1185" s="76"/>
      <c r="AB1185" s="76"/>
      <c r="AC1185" s="76"/>
      <c r="AD1185" s="76"/>
      <c r="AE1185" s="76"/>
      <c r="AF1185" s="76"/>
      <c r="AG1185" s="76"/>
      <c r="AH1185" s="76"/>
      <c r="AI1185" s="76">
        <v>1</v>
      </c>
      <c r="AJ1185" s="76">
        <v>1</v>
      </c>
      <c r="AK1185" s="73"/>
      <c r="AL1185" s="57"/>
      <c r="AM1185" s="45"/>
      <c r="AN1185" s="45"/>
      <c r="AO1185" s="45"/>
    </row>
    <row r="1186" spans="1:41" hidden="1" outlineLevel="3" x14ac:dyDescent="0.25">
      <c r="A1186" s="45"/>
      <c r="B1186" s="54"/>
      <c r="C1186" s="47">
        <f t="shared" si="470"/>
        <v>4</v>
      </c>
      <c r="D1186" s="73"/>
      <c r="E1186" s="70"/>
      <c r="F1186" s="70" t="s">
        <v>1734</v>
      </c>
      <c r="G1186" s="73"/>
      <c r="H1186" s="76"/>
      <c r="I1186" s="76"/>
      <c r="J1186" s="76"/>
      <c r="K1186" s="76"/>
      <c r="L1186" s="76"/>
      <c r="M1186" s="76"/>
      <c r="N1186" s="76"/>
      <c r="O1186" s="76"/>
      <c r="P1186" s="76"/>
      <c r="Q1186" s="76"/>
      <c r="R1186" s="76"/>
      <c r="S1186" s="76"/>
      <c r="T1186" s="76"/>
      <c r="U1186" s="76"/>
      <c r="V1186" s="76"/>
      <c r="W1186" s="76"/>
      <c r="X1186" s="76"/>
      <c r="Y1186" s="76"/>
      <c r="Z1186" s="76"/>
      <c r="AA1186" s="76"/>
      <c r="AB1186" s="76"/>
      <c r="AC1186" s="76"/>
      <c r="AD1186" s="76"/>
      <c r="AE1186" s="76"/>
      <c r="AF1186" s="76"/>
      <c r="AG1186" s="76"/>
      <c r="AH1186" s="76"/>
      <c r="AI1186" s="76">
        <v>1</v>
      </c>
      <c r="AJ1186" s="76">
        <v>1</v>
      </c>
      <c r="AK1186" s="73"/>
      <c r="AL1186" s="57"/>
      <c r="AM1186" s="45"/>
      <c r="AN1186" s="45"/>
      <c r="AO1186" s="45"/>
    </row>
    <row r="1187" spans="1:41" hidden="1" outlineLevel="3" x14ac:dyDescent="0.25">
      <c r="A1187" s="45"/>
      <c r="B1187" s="54"/>
      <c r="C1187" s="47">
        <f t="shared" si="470"/>
        <v>4</v>
      </c>
      <c r="D1187" s="73"/>
      <c r="E1187" s="70"/>
      <c r="F1187" s="70" t="s">
        <v>1735</v>
      </c>
      <c r="G1187" s="73"/>
      <c r="H1187" s="76"/>
      <c r="I1187" s="76"/>
      <c r="J1187" s="76"/>
      <c r="K1187" s="76"/>
      <c r="L1187" s="76"/>
      <c r="M1187" s="76"/>
      <c r="N1187" s="76"/>
      <c r="O1187" s="76"/>
      <c r="P1187" s="76"/>
      <c r="Q1187" s="76"/>
      <c r="R1187" s="76"/>
      <c r="S1187" s="76"/>
      <c r="T1187" s="76"/>
      <c r="U1187" s="76"/>
      <c r="V1187" s="76"/>
      <c r="W1187" s="76"/>
      <c r="X1187" s="76"/>
      <c r="Y1187" s="76"/>
      <c r="Z1187" s="76"/>
      <c r="AA1187" s="76"/>
      <c r="AB1187" s="76"/>
      <c r="AC1187" s="76"/>
      <c r="AD1187" s="76"/>
      <c r="AE1187" s="76"/>
      <c r="AF1187" s="76"/>
      <c r="AG1187" s="76"/>
      <c r="AH1187" s="76"/>
      <c r="AI1187" s="76">
        <v>1</v>
      </c>
      <c r="AJ1187" s="76">
        <v>1</v>
      </c>
      <c r="AK1187" s="73"/>
      <c r="AL1187" s="57"/>
      <c r="AM1187" s="45"/>
      <c r="AN1187" s="45"/>
      <c r="AO1187" s="45"/>
    </row>
    <row r="1188" spans="1:41" hidden="1" outlineLevel="3" x14ac:dyDescent="0.25">
      <c r="A1188" s="45"/>
      <c r="B1188" s="54"/>
      <c r="C1188" s="47">
        <f t="shared" si="470"/>
        <v>4</v>
      </c>
      <c r="D1188" s="73"/>
      <c r="E1188" s="70"/>
      <c r="F1188" s="70" t="s">
        <v>1736</v>
      </c>
      <c r="G1188" s="73"/>
      <c r="H1188" s="76"/>
      <c r="I1188" s="76"/>
      <c r="J1188" s="76"/>
      <c r="K1188" s="76"/>
      <c r="L1188" s="76"/>
      <c r="M1188" s="76"/>
      <c r="N1188" s="76"/>
      <c r="O1188" s="76"/>
      <c r="P1188" s="76"/>
      <c r="Q1188" s="76"/>
      <c r="R1188" s="76"/>
      <c r="S1188" s="76"/>
      <c r="T1188" s="76"/>
      <c r="U1188" s="76"/>
      <c r="V1188" s="76"/>
      <c r="W1188" s="76"/>
      <c r="X1188" s="76"/>
      <c r="Y1188" s="76"/>
      <c r="Z1188" s="76"/>
      <c r="AA1188" s="76"/>
      <c r="AB1188" s="76"/>
      <c r="AC1188" s="76"/>
      <c r="AD1188" s="76"/>
      <c r="AE1188" s="76"/>
      <c r="AF1188" s="76"/>
      <c r="AG1188" s="76"/>
      <c r="AH1188" s="76"/>
      <c r="AI1188" s="76">
        <v>1</v>
      </c>
      <c r="AJ1188" s="76">
        <v>1</v>
      </c>
      <c r="AK1188" s="73"/>
      <c r="AL1188" s="57"/>
      <c r="AM1188" s="45"/>
      <c r="AN1188" s="45"/>
      <c r="AO1188" s="45"/>
    </row>
    <row r="1189" spans="1:41" hidden="1" outlineLevel="3" x14ac:dyDescent="0.25">
      <c r="A1189" s="45"/>
      <c r="B1189" s="54"/>
      <c r="C1189" s="47">
        <f t="shared" si="470"/>
        <v>4</v>
      </c>
      <c r="D1189" s="73"/>
      <c r="E1189" s="70"/>
      <c r="F1189" s="70" t="s">
        <v>1737</v>
      </c>
      <c r="G1189" s="73"/>
      <c r="H1189" s="76" t="s">
        <v>599</v>
      </c>
      <c r="I1189" s="76"/>
      <c r="J1189" s="76"/>
      <c r="K1189" s="76"/>
      <c r="L1189" s="76"/>
      <c r="M1189" s="76"/>
      <c r="N1189" s="76"/>
      <c r="O1189" s="76"/>
      <c r="P1189" s="76"/>
      <c r="Q1189" s="76"/>
      <c r="R1189" s="76"/>
      <c r="S1189" s="76"/>
      <c r="T1189" s="76"/>
      <c r="U1189" s="76"/>
      <c r="V1189" s="76"/>
      <c r="W1189" s="76"/>
      <c r="X1189" s="76"/>
      <c r="Y1189" s="76"/>
      <c r="Z1189" s="76"/>
      <c r="AA1189" s="76"/>
      <c r="AB1189" s="76"/>
      <c r="AC1189" s="76"/>
      <c r="AD1189" s="76"/>
      <c r="AE1189" s="76"/>
      <c r="AF1189" s="76"/>
      <c r="AG1189" s="76"/>
      <c r="AH1189" s="76"/>
      <c r="AI1189" s="76">
        <v>1</v>
      </c>
      <c r="AJ1189" s="76">
        <v>1</v>
      </c>
      <c r="AK1189" s="73"/>
      <c r="AL1189" s="57"/>
      <c r="AM1189" s="45"/>
      <c r="AN1189" s="45"/>
      <c r="AO1189" s="45"/>
    </row>
    <row r="1190" spans="1:41" hidden="1" outlineLevel="3" x14ac:dyDescent="0.25">
      <c r="A1190" s="45"/>
      <c r="B1190" s="54"/>
      <c r="C1190" s="47">
        <f t="shared" si="470"/>
        <v>4</v>
      </c>
      <c r="D1190" s="73"/>
      <c r="E1190" s="70"/>
      <c r="F1190" s="70" t="s">
        <v>1738</v>
      </c>
      <c r="G1190" s="73"/>
      <c r="H1190" s="76"/>
      <c r="I1190" s="76"/>
      <c r="J1190" s="76"/>
      <c r="K1190" s="76"/>
      <c r="L1190" s="76"/>
      <c r="M1190" s="76"/>
      <c r="N1190" s="76"/>
      <c r="O1190" s="76"/>
      <c r="P1190" s="76"/>
      <c r="Q1190" s="76"/>
      <c r="R1190" s="76"/>
      <c r="S1190" s="76"/>
      <c r="T1190" s="76"/>
      <c r="U1190" s="76"/>
      <c r="V1190" s="76"/>
      <c r="W1190" s="76"/>
      <c r="X1190" s="76"/>
      <c r="Y1190" s="76"/>
      <c r="Z1190" s="76"/>
      <c r="AA1190" s="76"/>
      <c r="AB1190" s="76"/>
      <c r="AC1190" s="76"/>
      <c r="AD1190" s="76"/>
      <c r="AE1190" s="76"/>
      <c r="AF1190" s="76"/>
      <c r="AG1190" s="76"/>
      <c r="AH1190" s="76"/>
      <c r="AI1190" s="76">
        <v>1</v>
      </c>
      <c r="AJ1190" s="76">
        <v>1</v>
      </c>
      <c r="AK1190" s="73"/>
      <c r="AL1190" s="57"/>
      <c r="AM1190" s="45"/>
      <c r="AN1190" s="45"/>
      <c r="AO1190" s="45"/>
    </row>
    <row r="1191" spans="1:41" hidden="1" outlineLevel="3" x14ac:dyDescent="0.25">
      <c r="A1191" s="45"/>
      <c r="B1191" s="54"/>
      <c r="C1191" s="47">
        <f t="shared" si="470"/>
        <v>4</v>
      </c>
      <c r="D1191" s="73"/>
      <c r="E1191" s="70"/>
      <c r="F1191" s="70" t="s">
        <v>1739</v>
      </c>
      <c r="G1191" s="73"/>
      <c r="H1191" s="76"/>
      <c r="I1191" s="76"/>
      <c r="J1191" s="76"/>
      <c r="K1191" s="76"/>
      <c r="L1191" s="76"/>
      <c r="M1191" s="76"/>
      <c r="N1191" s="76"/>
      <c r="O1191" s="76"/>
      <c r="P1191" s="76"/>
      <c r="Q1191" s="76"/>
      <c r="R1191" s="76"/>
      <c r="S1191" s="76"/>
      <c r="T1191" s="76"/>
      <c r="U1191" s="76"/>
      <c r="V1191" s="76"/>
      <c r="W1191" s="76"/>
      <c r="X1191" s="76"/>
      <c r="Y1191" s="76"/>
      <c r="Z1191" s="76"/>
      <c r="AA1191" s="76"/>
      <c r="AB1191" s="76"/>
      <c r="AC1191" s="76"/>
      <c r="AD1191" s="76"/>
      <c r="AE1191" s="76"/>
      <c r="AF1191" s="76"/>
      <c r="AG1191" s="76"/>
      <c r="AH1191" s="76"/>
      <c r="AI1191" s="76">
        <v>1</v>
      </c>
      <c r="AJ1191" s="76">
        <v>1</v>
      </c>
      <c r="AK1191" s="73"/>
      <c r="AL1191" s="57"/>
      <c r="AM1191" s="45"/>
      <c r="AN1191" s="45"/>
      <c r="AO1191" s="45"/>
    </row>
    <row r="1192" spans="1:41" hidden="1" outlineLevel="3" x14ac:dyDescent="0.25">
      <c r="A1192" s="45"/>
      <c r="B1192" s="54"/>
      <c r="C1192" s="47">
        <f t="shared" si="470"/>
        <v>4</v>
      </c>
      <c r="D1192" s="73"/>
      <c r="E1192" s="70"/>
      <c r="F1192" s="70" t="s">
        <v>1740</v>
      </c>
      <c r="G1192" s="73"/>
      <c r="H1192" s="76"/>
      <c r="I1192" s="76"/>
      <c r="J1192" s="76"/>
      <c r="K1192" s="76"/>
      <c r="L1192" s="76"/>
      <c r="M1192" s="76"/>
      <c r="N1192" s="76"/>
      <c r="O1192" s="76"/>
      <c r="P1192" s="76"/>
      <c r="Q1192" s="76"/>
      <c r="R1192" s="76"/>
      <c r="S1192" s="76"/>
      <c r="T1192" s="76"/>
      <c r="U1192" s="76"/>
      <c r="V1192" s="76"/>
      <c r="W1192" s="76"/>
      <c r="X1192" s="76"/>
      <c r="Y1192" s="76"/>
      <c r="Z1192" s="76"/>
      <c r="AA1192" s="76"/>
      <c r="AB1192" s="76"/>
      <c r="AC1192" s="76"/>
      <c r="AD1192" s="76"/>
      <c r="AE1192" s="76"/>
      <c r="AF1192" s="76"/>
      <c r="AG1192" s="76"/>
      <c r="AH1192" s="76"/>
      <c r="AI1192" s="76">
        <v>1</v>
      </c>
      <c r="AJ1192" s="76">
        <v>1</v>
      </c>
      <c r="AK1192" s="73"/>
      <c r="AL1192" s="57"/>
      <c r="AM1192" s="45"/>
      <c r="AN1192" s="45"/>
      <c r="AO1192" s="45"/>
    </row>
    <row r="1193" spans="1:41" hidden="1" outlineLevel="3" x14ac:dyDescent="0.25">
      <c r="A1193" s="45"/>
      <c r="B1193" s="54"/>
      <c r="C1193" s="47">
        <f t="shared" si="470"/>
        <v>4</v>
      </c>
      <c r="D1193" s="73"/>
      <c r="E1193" s="70"/>
      <c r="F1193" s="70" t="s">
        <v>1741</v>
      </c>
      <c r="G1193" s="73"/>
      <c r="H1193" s="76"/>
      <c r="I1193" s="76"/>
      <c r="J1193" s="76"/>
      <c r="K1193" s="76"/>
      <c r="L1193" s="76"/>
      <c r="M1193" s="76"/>
      <c r="N1193" s="76"/>
      <c r="O1193" s="76"/>
      <c r="P1193" s="76"/>
      <c r="Q1193" s="76"/>
      <c r="R1193" s="76"/>
      <c r="S1193" s="76"/>
      <c r="T1193" s="76"/>
      <c r="U1193" s="76"/>
      <c r="V1193" s="76"/>
      <c r="W1193" s="76"/>
      <c r="X1193" s="76"/>
      <c r="Y1193" s="76"/>
      <c r="Z1193" s="76"/>
      <c r="AA1193" s="76"/>
      <c r="AB1193" s="76"/>
      <c r="AC1193" s="76"/>
      <c r="AD1193" s="76"/>
      <c r="AE1193" s="76"/>
      <c r="AF1193" s="76"/>
      <c r="AG1193" s="76"/>
      <c r="AH1193" s="76"/>
      <c r="AI1193" s="76">
        <v>1</v>
      </c>
      <c r="AJ1193" s="76">
        <v>1</v>
      </c>
      <c r="AK1193" s="73"/>
      <c r="AL1193" s="57"/>
      <c r="AM1193" s="45"/>
      <c r="AN1193" s="45"/>
      <c r="AO1193" s="45"/>
    </row>
    <row r="1194" spans="1:41" hidden="1" outlineLevel="3" x14ac:dyDescent="0.25">
      <c r="A1194" s="45"/>
      <c r="B1194" s="54"/>
      <c r="C1194" s="47">
        <f t="shared" si="470"/>
        <v>4</v>
      </c>
      <c r="D1194" s="73"/>
      <c r="E1194" s="70"/>
      <c r="F1194" s="70" t="s">
        <v>1742</v>
      </c>
      <c r="G1194" s="73"/>
      <c r="H1194" s="76"/>
      <c r="I1194" s="76"/>
      <c r="J1194" s="76"/>
      <c r="K1194" s="76"/>
      <c r="L1194" s="76"/>
      <c r="M1194" s="76"/>
      <c r="N1194" s="76"/>
      <c r="O1194" s="76"/>
      <c r="P1194" s="76"/>
      <c r="Q1194" s="76"/>
      <c r="R1194" s="76"/>
      <c r="S1194" s="76"/>
      <c r="T1194" s="76"/>
      <c r="U1194" s="76"/>
      <c r="V1194" s="76"/>
      <c r="W1194" s="76"/>
      <c r="X1194" s="76"/>
      <c r="Y1194" s="76"/>
      <c r="Z1194" s="76"/>
      <c r="AA1194" s="76"/>
      <c r="AB1194" s="76"/>
      <c r="AC1194" s="76"/>
      <c r="AD1194" s="76"/>
      <c r="AE1194" s="76"/>
      <c r="AF1194" s="76"/>
      <c r="AG1194" s="76"/>
      <c r="AH1194" s="76"/>
      <c r="AI1194" s="76">
        <v>1</v>
      </c>
      <c r="AJ1194" s="76">
        <v>1</v>
      </c>
      <c r="AK1194" s="73"/>
      <c r="AL1194" s="57"/>
      <c r="AM1194" s="45"/>
      <c r="AN1194" s="45"/>
      <c r="AO1194" s="45"/>
    </row>
    <row r="1195" spans="1:41" hidden="1" outlineLevel="3" x14ac:dyDescent="0.25">
      <c r="A1195" s="45"/>
      <c r="B1195" s="54"/>
      <c r="C1195" s="47">
        <f t="shared" si="470"/>
        <v>4</v>
      </c>
      <c r="D1195" s="73"/>
      <c r="E1195" s="70"/>
      <c r="F1195" s="70" t="s">
        <v>1743</v>
      </c>
      <c r="G1195" s="73"/>
      <c r="H1195" s="76"/>
      <c r="I1195" s="76"/>
      <c r="J1195" s="76"/>
      <c r="K1195" s="76"/>
      <c r="L1195" s="76"/>
      <c r="M1195" s="76"/>
      <c r="N1195" s="76"/>
      <c r="O1195" s="76"/>
      <c r="P1195" s="76"/>
      <c r="Q1195" s="76"/>
      <c r="R1195" s="76"/>
      <c r="S1195" s="76"/>
      <c r="T1195" s="76"/>
      <c r="U1195" s="76"/>
      <c r="V1195" s="76"/>
      <c r="W1195" s="76"/>
      <c r="X1195" s="76"/>
      <c r="Y1195" s="76"/>
      <c r="Z1195" s="76"/>
      <c r="AA1195" s="76"/>
      <c r="AB1195" s="76"/>
      <c r="AC1195" s="76"/>
      <c r="AD1195" s="76"/>
      <c r="AE1195" s="76"/>
      <c r="AF1195" s="76"/>
      <c r="AG1195" s="76"/>
      <c r="AH1195" s="76"/>
      <c r="AI1195" s="76">
        <v>1</v>
      </c>
      <c r="AJ1195" s="76">
        <v>1</v>
      </c>
      <c r="AK1195" s="73"/>
      <c r="AL1195" s="57"/>
      <c r="AM1195" s="45"/>
      <c r="AN1195" s="45"/>
      <c r="AO1195" s="45"/>
    </row>
    <row r="1196" spans="1:41" hidden="1" outlineLevel="3" x14ac:dyDescent="0.25">
      <c r="A1196" s="45"/>
      <c r="B1196" s="54"/>
      <c r="C1196" s="47">
        <f t="shared" si="470"/>
        <v>4</v>
      </c>
      <c r="D1196" s="73"/>
      <c r="E1196" s="70"/>
      <c r="F1196" s="70" t="s">
        <v>1744</v>
      </c>
      <c r="G1196" s="73"/>
      <c r="H1196" s="76"/>
      <c r="I1196" s="76"/>
      <c r="J1196" s="76"/>
      <c r="K1196" s="76"/>
      <c r="L1196" s="76"/>
      <c r="M1196" s="76"/>
      <c r="N1196" s="76"/>
      <c r="O1196" s="76"/>
      <c r="P1196" s="76"/>
      <c r="Q1196" s="76"/>
      <c r="R1196" s="76"/>
      <c r="S1196" s="76"/>
      <c r="T1196" s="76"/>
      <c r="U1196" s="76"/>
      <c r="V1196" s="76"/>
      <c r="W1196" s="76"/>
      <c r="X1196" s="76"/>
      <c r="Y1196" s="76"/>
      <c r="Z1196" s="76"/>
      <c r="AA1196" s="76"/>
      <c r="AB1196" s="76"/>
      <c r="AC1196" s="76"/>
      <c r="AD1196" s="76"/>
      <c r="AE1196" s="76"/>
      <c r="AF1196" s="76"/>
      <c r="AG1196" s="76"/>
      <c r="AH1196" s="76"/>
      <c r="AI1196" s="76">
        <v>1</v>
      </c>
      <c r="AJ1196" s="76">
        <v>1</v>
      </c>
      <c r="AK1196" s="73"/>
      <c r="AL1196" s="57"/>
      <c r="AM1196" s="45"/>
      <c r="AN1196" s="45"/>
      <c r="AO1196" s="45"/>
    </row>
    <row r="1197" spans="1:41" hidden="1" outlineLevel="3" x14ac:dyDescent="0.25">
      <c r="A1197" s="45"/>
      <c r="B1197" s="54"/>
      <c r="C1197" s="47">
        <f t="shared" si="470"/>
        <v>4</v>
      </c>
      <c r="D1197" s="73"/>
      <c r="E1197" s="70"/>
      <c r="F1197" s="70" t="s">
        <v>1745</v>
      </c>
      <c r="G1197" s="73"/>
      <c r="H1197" s="76" t="s">
        <v>599</v>
      </c>
      <c r="I1197" s="76"/>
      <c r="J1197" s="76"/>
      <c r="K1197" s="76"/>
      <c r="L1197" s="76"/>
      <c r="M1197" s="76"/>
      <c r="N1197" s="76"/>
      <c r="O1197" s="76"/>
      <c r="P1197" s="76"/>
      <c r="Q1197" s="76"/>
      <c r="R1197" s="76"/>
      <c r="S1197" s="76"/>
      <c r="T1197" s="76"/>
      <c r="U1197" s="76"/>
      <c r="V1197" s="76"/>
      <c r="W1197" s="76"/>
      <c r="X1197" s="76"/>
      <c r="Y1197" s="76"/>
      <c r="Z1197" s="76"/>
      <c r="AA1197" s="76"/>
      <c r="AB1197" s="76"/>
      <c r="AC1197" s="76"/>
      <c r="AD1197" s="76"/>
      <c r="AE1197" s="76"/>
      <c r="AF1197" s="76"/>
      <c r="AG1197" s="76"/>
      <c r="AH1197" s="76"/>
      <c r="AI1197" s="76">
        <v>1</v>
      </c>
      <c r="AJ1197" s="76">
        <v>1</v>
      </c>
      <c r="AK1197" s="73"/>
      <c r="AL1197" s="57"/>
      <c r="AM1197" s="45"/>
      <c r="AN1197" s="45"/>
      <c r="AO1197" s="45"/>
    </row>
    <row r="1198" spans="1:41" hidden="1" outlineLevel="3" x14ac:dyDescent="0.25">
      <c r="A1198" s="45"/>
      <c r="B1198" s="54"/>
      <c r="C1198" s="47">
        <f t="shared" si="470"/>
        <v>4</v>
      </c>
      <c r="D1198" s="73"/>
      <c r="E1198" s="70"/>
      <c r="F1198" s="70" t="s">
        <v>1746</v>
      </c>
      <c r="G1198" s="73"/>
      <c r="H1198" s="76"/>
      <c r="I1198" s="76"/>
      <c r="J1198" s="76"/>
      <c r="K1198" s="76"/>
      <c r="L1198" s="76"/>
      <c r="M1198" s="76"/>
      <c r="N1198" s="76"/>
      <c r="O1198" s="76"/>
      <c r="P1198" s="76"/>
      <c r="Q1198" s="76"/>
      <c r="R1198" s="76"/>
      <c r="S1198" s="76"/>
      <c r="T1198" s="76"/>
      <c r="U1198" s="76"/>
      <c r="V1198" s="76"/>
      <c r="W1198" s="76"/>
      <c r="X1198" s="76"/>
      <c r="Y1198" s="76"/>
      <c r="Z1198" s="76"/>
      <c r="AA1198" s="76"/>
      <c r="AB1198" s="76"/>
      <c r="AC1198" s="76"/>
      <c r="AD1198" s="76"/>
      <c r="AE1198" s="76"/>
      <c r="AF1198" s="76"/>
      <c r="AG1198" s="76"/>
      <c r="AH1198" s="76"/>
      <c r="AI1198" s="76">
        <v>1</v>
      </c>
      <c r="AJ1198" s="76">
        <v>1</v>
      </c>
      <c r="AK1198" s="73"/>
      <c r="AL1198" s="57"/>
      <c r="AM1198" s="45"/>
      <c r="AN1198" s="45"/>
      <c r="AO1198" s="45"/>
    </row>
    <row r="1199" spans="1:41" hidden="1" outlineLevel="3" x14ac:dyDescent="0.25">
      <c r="A1199" s="45"/>
      <c r="B1199" s="54"/>
      <c r="C1199" s="47">
        <f t="shared" si="470"/>
        <v>4</v>
      </c>
      <c r="D1199" s="73"/>
      <c r="E1199" s="70"/>
      <c r="F1199" s="70" t="s">
        <v>1747</v>
      </c>
      <c r="G1199" s="73"/>
      <c r="H1199" s="76"/>
      <c r="I1199" s="76"/>
      <c r="J1199" s="76"/>
      <c r="K1199" s="76"/>
      <c r="L1199" s="76"/>
      <c r="M1199" s="76"/>
      <c r="N1199" s="76"/>
      <c r="O1199" s="76"/>
      <c r="P1199" s="76"/>
      <c r="Q1199" s="76"/>
      <c r="R1199" s="76"/>
      <c r="S1199" s="76"/>
      <c r="T1199" s="76"/>
      <c r="U1199" s="76"/>
      <c r="V1199" s="76"/>
      <c r="W1199" s="76"/>
      <c r="X1199" s="76"/>
      <c r="Y1199" s="76"/>
      <c r="Z1199" s="76"/>
      <c r="AA1199" s="76"/>
      <c r="AB1199" s="76"/>
      <c r="AC1199" s="76"/>
      <c r="AD1199" s="76"/>
      <c r="AE1199" s="76"/>
      <c r="AF1199" s="76"/>
      <c r="AG1199" s="76"/>
      <c r="AH1199" s="76"/>
      <c r="AI1199" s="76">
        <v>1</v>
      </c>
      <c r="AJ1199" s="76">
        <v>1</v>
      </c>
      <c r="AK1199" s="73"/>
      <c r="AL1199" s="57"/>
      <c r="AM1199" s="45"/>
      <c r="AN1199" s="45"/>
      <c r="AO1199" s="45"/>
    </row>
    <row r="1200" spans="1:41" hidden="1" outlineLevel="3" x14ac:dyDescent="0.25">
      <c r="A1200" s="45"/>
      <c r="B1200" s="54"/>
      <c r="C1200" s="47">
        <f t="shared" si="470"/>
        <v>4</v>
      </c>
      <c r="D1200" s="73"/>
      <c r="E1200" s="70"/>
      <c r="F1200" s="70" t="s">
        <v>1748</v>
      </c>
      <c r="G1200" s="73"/>
      <c r="H1200" s="76"/>
      <c r="I1200" s="76"/>
      <c r="J1200" s="76"/>
      <c r="K1200" s="76"/>
      <c r="L1200" s="76"/>
      <c r="M1200" s="76"/>
      <c r="N1200" s="76"/>
      <c r="O1200" s="76"/>
      <c r="P1200" s="76"/>
      <c r="Q1200" s="76"/>
      <c r="R1200" s="76"/>
      <c r="S1200" s="76"/>
      <c r="T1200" s="76"/>
      <c r="U1200" s="76"/>
      <c r="V1200" s="76"/>
      <c r="W1200" s="76"/>
      <c r="X1200" s="76"/>
      <c r="Y1200" s="76"/>
      <c r="Z1200" s="76"/>
      <c r="AA1200" s="76"/>
      <c r="AB1200" s="76"/>
      <c r="AC1200" s="76"/>
      <c r="AD1200" s="76"/>
      <c r="AE1200" s="76"/>
      <c r="AF1200" s="76"/>
      <c r="AG1200" s="76"/>
      <c r="AH1200" s="76"/>
      <c r="AI1200" s="76">
        <v>1</v>
      </c>
      <c r="AJ1200" s="76">
        <v>1</v>
      </c>
      <c r="AK1200" s="73"/>
      <c r="AL1200" s="57"/>
      <c r="AM1200" s="45"/>
      <c r="AN1200" s="45"/>
      <c r="AO1200" s="45"/>
    </row>
    <row r="1201" spans="1:41" hidden="1" outlineLevel="3" x14ac:dyDescent="0.25">
      <c r="A1201" s="45"/>
      <c r="B1201" s="54"/>
      <c r="C1201" s="47">
        <f t="shared" si="470"/>
        <v>4</v>
      </c>
      <c r="D1201" s="73"/>
      <c r="E1201" s="70"/>
      <c r="F1201" s="70" t="s">
        <v>1749</v>
      </c>
      <c r="G1201" s="73"/>
      <c r="H1201" s="76"/>
      <c r="I1201" s="76"/>
      <c r="J1201" s="76"/>
      <c r="K1201" s="76"/>
      <c r="L1201" s="76"/>
      <c r="M1201" s="76"/>
      <c r="N1201" s="76"/>
      <c r="O1201" s="76"/>
      <c r="P1201" s="76"/>
      <c r="Q1201" s="76"/>
      <c r="R1201" s="76"/>
      <c r="S1201" s="76"/>
      <c r="T1201" s="76"/>
      <c r="U1201" s="76"/>
      <c r="V1201" s="76"/>
      <c r="W1201" s="76"/>
      <c r="X1201" s="76"/>
      <c r="Y1201" s="76"/>
      <c r="Z1201" s="76"/>
      <c r="AA1201" s="76"/>
      <c r="AB1201" s="76"/>
      <c r="AC1201" s="76"/>
      <c r="AD1201" s="76"/>
      <c r="AE1201" s="76"/>
      <c r="AF1201" s="76"/>
      <c r="AG1201" s="76"/>
      <c r="AH1201" s="76"/>
      <c r="AI1201" s="76">
        <v>1</v>
      </c>
      <c r="AJ1201" s="76">
        <v>1</v>
      </c>
      <c r="AK1201" s="73"/>
      <c r="AL1201" s="57"/>
      <c r="AM1201" s="45"/>
      <c r="AN1201" s="45"/>
      <c r="AO1201" s="45"/>
    </row>
    <row r="1202" spans="1:41" hidden="1" outlineLevel="3" x14ac:dyDescent="0.25">
      <c r="A1202" s="45"/>
      <c r="B1202" s="54"/>
      <c r="C1202" s="47">
        <f t="shared" si="470"/>
        <v>4</v>
      </c>
      <c r="D1202" s="73"/>
      <c r="E1202" s="70"/>
      <c r="F1202" s="70" t="s">
        <v>1750</v>
      </c>
      <c r="G1202" s="73"/>
      <c r="H1202" s="76"/>
      <c r="I1202" s="76"/>
      <c r="J1202" s="76"/>
      <c r="K1202" s="76"/>
      <c r="L1202" s="76"/>
      <c r="M1202" s="76"/>
      <c r="N1202" s="76"/>
      <c r="O1202" s="76"/>
      <c r="P1202" s="76"/>
      <c r="Q1202" s="76"/>
      <c r="R1202" s="76"/>
      <c r="S1202" s="76"/>
      <c r="T1202" s="76"/>
      <c r="U1202" s="76"/>
      <c r="V1202" s="76"/>
      <c r="W1202" s="76"/>
      <c r="X1202" s="76"/>
      <c r="Y1202" s="76"/>
      <c r="Z1202" s="76"/>
      <c r="AA1202" s="76"/>
      <c r="AB1202" s="76"/>
      <c r="AC1202" s="76"/>
      <c r="AD1202" s="76"/>
      <c r="AE1202" s="76"/>
      <c r="AF1202" s="76"/>
      <c r="AG1202" s="76"/>
      <c r="AH1202" s="76"/>
      <c r="AI1202" s="76">
        <v>1</v>
      </c>
      <c r="AJ1202" s="76">
        <v>1</v>
      </c>
      <c r="AK1202" s="73"/>
      <c r="AL1202" s="57"/>
      <c r="AM1202" s="45"/>
      <c r="AN1202" s="45"/>
      <c r="AO1202" s="45"/>
    </row>
    <row r="1203" spans="1:41" hidden="1" outlineLevel="3" x14ac:dyDescent="0.25">
      <c r="A1203" s="45"/>
      <c r="B1203" s="54"/>
      <c r="C1203" s="47">
        <f t="shared" si="470"/>
        <v>4</v>
      </c>
      <c r="D1203" s="73"/>
      <c r="E1203" s="70"/>
      <c r="F1203" s="70" t="s">
        <v>1751</v>
      </c>
      <c r="G1203" s="73"/>
      <c r="H1203" s="76"/>
      <c r="I1203" s="76"/>
      <c r="J1203" s="76"/>
      <c r="K1203" s="76"/>
      <c r="L1203" s="76"/>
      <c r="M1203" s="76"/>
      <c r="N1203" s="76"/>
      <c r="O1203" s="76"/>
      <c r="P1203" s="76"/>
      <c r="Q1203" s="76"/>
      <c r="R1203" s="76"/>
      <c r="S1203" s="76"/>
      <c r="T1203" s="76"/>
      <c r="U1203" s="76"/>
      <c r="V1203" s="76"/>
      <c r="W1203" s="76"/>
      <c r="X1203" s="76"/>
      <c r="Y1203" s="76"/>
      <c r="Z1203" s="76"/>
      <c r="AA1203" s="76"/>
      <c r="AB1203" s="76"/>
      <c r="AC1203" s="76"/>
      <c r="AD1203" s="76"/>
      <c r="AE1203" s="76"/>
      <c r="AF1203" s="76"/>
      <c r="AG1203" s="76"/>
      <c r="AH1203" s="76"/>
      <c r="AI1203" s="76">
        <v>1</v>
      </c>
      <c r="AJ1203" s="76">
        <v>1</v>
      </c>
      <c r="AK1203" s="73"/>
      <c r="AL1203" s="57"/>
      <c r="AM1203" s="45"/>
      <c r="AN1203" s="45"/>
      <c r="AO1203" s="45"/>
    </row>
    <row r="1204" spans="1:41" hidden="1" outlineLevel="3" x14ac:dyDescent="0.25">
      <c r="A1204" s="45"/>
      <c r="B1204" s="54"/>
      <c r="C1204" s="47">
        <f t="shared" si="470"/>
        <v>4</v>
      </c>
      <c r="D1204" s="73"/>
      <c r="E1204" s="70"/>
      <c r="F1204" s="70" t="s">
        <v>1752</v>
      </c>
      <c r="G1204" s="73"/>
      <c r="H1204" s="76"/>
      <c r="I1204" s="76"/>
      <c r="J1204" s="76"/>
      <c r="K1204" s="76"/>
      <c r="L1204" s="76"/>
      <c r="M1204" s="76"/>
      <c r="N1204" s="76"/>
      <c r="O1204" s="76"/>
      <c r="P1204" s="76"/>
      <c r="Q1204" s="76"/>
      <c r="R1204" s="76"/>
      <c r="S1204" s="76"/>
      <c r="T1204" s="76"/>
      <c r="U1204" s="76"/>
      <c r="V1204" s="76"/>
      <c r="W1204" s="76"/>
      <c r="X1204" s="76"/>
      <c r="Y1204" s="76"/>
      <c r="Z1204" s="76"/>
      <c r="AA1204" s="76"/>
      <c r="AB1204" s="76"/>
      <c r="AC1204" s="76"/>
      <c r="AD1204" s="76"/>
      <c r="AE1204" s="76"/>
      <c r="AF1204" s="76"/>
      <c r="AG1204" s="76"/>
      <c r="AH1204" s="76"/>
      <c r="AI1204" s="76">
        <v>1</v>
      </c>
      <c r="AJ1204" s="76">
        <v>1</v>
      </c>
      <c r="AK1204" s="73"/>
      <c r="AL1204" s="57"/>
      <c r="AM1204" s="45"/>
      <c r="AN1204" s="45"/>
      <c r="AO1204" s="45"/>
    </row>
    <row r="1205" spans="1:41" hidden="1" outlineLevel="3" x14ac:dyDescent="0.25">
      <c r="A1205" s="45"/>
      <c r="B1205" s="54"/>
      <c r="C1205" s="47">
        <f t="shared" ref="C1205:C1236" si="471">INT($C$29)+3</f>
        <v>4</v>
      </c>
      <c r="D1205" s="73"/>
      <c r="E1205" s="70"/>
      <c r="F1205" s="70" t="s">
        <v>1753</v>
      </c>
      <c r="G1205" s="73"/>
      <c r="H1205" s="76" t="s">
        <v>599</v>
      </c>
      <c r="I1205" s="76"/>
      <c r="J1205" s="76"/>
      <c r="K1205" s="76"/>
      <c r="L1205" s="76"/>
      <c r="M1205" s="76"/>
      <c r="N1205" s="76"/>
      <c r="O1205" s="76"/>
      <c r="P1205" s="76"/>
      <c r="Q1205" s="76"/>
      <c r="R1205" s="76"/>
      <c r="S1205" s="76"/>
      <c r="T1205" s="76"/>
      <c r="U1205" s="76"/>
      <c r="V1205" s="76"/>
      <c r="W1205" s="76"/>
      <c r="X1205" s="76"/>
      <c r="Y1205" s="76"/>
      <c r="Z1205" s="76"/>
      <c r="AA1205" s="76"/>
      <c r="AB1205" s="76"/>
      <c r="AC1205" s="76"/>
      <c r="AD1205" s="76"/>
      <c r="AE1205" s="76"/>
      <c r="AF1205" s="76"/>
      <c r="AG1205" s="76"/>
      <c r="AH1205" s="76"/>
      <c r="AI1205" s="76">
        <v>1</v>
      </c>
      <c r="AJ1205" s="76">
        <v>1</v>
      </c>
      <c r="AK1205" s="73"/>
      <c r="AL1205" s="57"/>
      <c r="AM1205" s="45"/>
      <c r="AN1205" s="45"/>
      <c r="AO1205" s="45"/>
    </row>
    <row r="1206" spans="1:41" hidden="1" outlineLevel="3" x14ac:dyDescent="0.25">
      <c r="A1206" s="45"/>
      <c r="B1206" s="54"/>
      <c r="C1206" s="47">
        <f t="shared" si="471"/>
        <v>4</v>
      </c>
      <c r="D1206" s="73"/>
      <c r="E1206" s="70"/>
      <c r="F1206" s="70" t="s">
        <v>1754</v>
      </c>
      <c r="G1206" s="73"/>
      <c r="H1206" s="76"/>
      <c r="I1206" s="76"/>
      <c r="J1206" s="76"/>
      <c r="K1206" s="76"/>
      <c r="L1206" s="76"/>
      <c r="M1206" s="76"/>
      <c r="N1206" s="76"/>
      <c r="O1206" s="76"/>
      <c r="P1206" s="76"/>
      <c r="Q1206" s="76"/>
      <c r="R1206" s="76"/>
      <c r="S1206" s="76"/>
      <c r="T1206" s="76"/>
      <c r="U1206" s="76"/>
      <c r="V1206" s="76"/>
      <c r="W1206" s="76"/>
      <c r="X1206" s="76"/>
      <c r="Y1206" s="76"/>
      <c r="Z1206" s="76"/>
      <c r="AA1206" s="76"/>
      <c r="AB1206" s="76"/>
      <c r="AC1206" s="76"/>
      <c r="AD1206" s="76"/>
      <c r="AE1206" s="76"/>
      <c r="AF1206" s="76"/>
      <c r="AG1206" s="76"/>
      <c r="AH1206" s="76"/>
      <c r="AI1206" s="76">
        <v>1</v>
      </c>
      <c r="AJ1206" s="76">
        <v>1</v>
      </c>
      <c r="AK1206" s="73"/>
      <c r="AL1206" s="57"/>
      <c r="AM1206" s="45"/>
      <c r="AN1206" s="45"/>
      <c r="AO1206" s="45"/>
    </row>
    <row r="1207" spans="1:41" hidden="1" outlineLevel="3" x14ac:dyDescent="0.25">
      <c r="A1207" s="45"/>
      <c r="B1207" s="54"/>
      <c r="C1207" s="47">
        <f t="shared" si="471"/>
        <v>4</v>
      </c>
      <c r="D1207" s="73"/>
      <c r="E1207" s="70"/>
      <c r="F1207" s="70" t="s">
        <v>1755</v>
      </c>
      <c r="G1207" s="73"/>
      <c r="H1207" s="76"/>
      <c r="I1207" s="76"/>
      <c r="J1207" s="76"/>
      <c r="K1207" s="76"/>
      <c r="L1207" s="76"/>
      <c r="M1207" s="76"/>
      <c r="N1207" s="76"/>
      <c r="O1207" s="76"/>
      <c r="P1207" s="76"/>
      <c r="Q1207" s="76"/>
      <c r="R1207" s="76"/>
      <c r="S1207" s="76"/>
      <c r="T1207" s="76"/>
      <c r="U1207" s="76"/>
      <c r="V1207" s="76"/>
      <c r="W1207" s="76"/>
      <c r="X1207" s="76"/>
      <c r="Y1207" s="76"/>
      <c r="Z1207" s="76"/>
      <c r="AA1207" s="76"/>
      <c r="AB1207" s="76"/>
      <c r="AC1207" s="76"/>
      <c r="AD1207" s="76"/>
      <c r="AE1207" s="76"/>
      <c r="AF1207" s="76"/>
      <c r="AG1207" s="76"/>
      <c r="AH1207" s="76"/>
      <c r="AI1207" s="76">
        <v>1</v>
      </c>
      <c r="AJ1207" s="76">
        <v>1</v>
      </c>
      <c r="AK1207" s="73"/>
      <c r="AL1207" s="57"/>
      <c r="AM1207" s="45"/>
      <c r="AN1207" s="45"/>
      <c r="AO1207" s="45"/>
    </row>
    <row r="1208" spans="1:41" hidden="1" outlineLevel="3" x14ac:dyDescent="0.25">
      <c r="A1208" s="45"/>
      <c r="B1208" s="54"/>
      <c r="C1208" s="47">
        <f t="shared" si="471"/>
        <v>4</v>
      </c>
      <c r="D1208" s="73"/>
      <c r="E1208" s="70"/>
      <c r="F1208" s="70" t="s">
        <v>1756</v>
      </c>
      <c r="G1208" s="73"/>
      <c r="H1208" s="76"/>
      <c r="I1208" s="76"/>
      <c r="J1208" s="76"/>
      <c r="K1208" s="76"/>
      <c r="L1208" s="76"/>
      <c r="M1208" s="76"/>
      <c r="N1208" s="76"/>
      <c r="O1208" s="76"/>
      <c r="P1208" s="76"/>
      <c r="Q1208" s="76"/>
      <c r="R1208" s="76"/>
      <c r="S1208" s="76"/>
      <c r="T1208" s="76"/>
      <c r="U1208" s="76"/>
      <c r="V1208" s="76"/>
      <c r="W1208" s="76"/>
      <c r="X1208" s="76"/>
      <c r="Y1208" s="76"/>
      <c r="Z1208" s="76"/>
      <c r="AA1208" s="76"/>
      <c r="AB1208" s="76"/>
      <c r="AC1208" s="76"/>
      <c r="AD1208" s="76"/>
      <c r="AE1208" s="76"/>
      <c r="AF1208" s="76"/>
      <c r="AG1208" s="76"/>
      <c r="AH1208" s="76"/>
      <c r="AI1208" s="76">
        <v>1</v>
      </c>
      <c r="AJ1208" s="76">
        <v>1</v>
      </c>
      <c r="AK1208" s="73"/>
      <c r="AL1208" s="57"/>
      <c r="AM1208" s="45"/>
      <c r="AN1208" s="45"/>
      <c r="AO1208" s="45"/>
    </row>
    <row r="1209" spans="1:41" hidden="1" outlineLevel="3" x14ac:dyDescent="0.25">
      <c r="A1209" s="45"/>
      <c r="B1209" s="54"/>
      <c r="C1209" s="47">
        <f t="shared" si="471"/>
        <v>4</v>
      </c>
      <c r="D1209" s="73"/>
      <c r="E1209" s="70"/>
      <c r="F1209" s="70" t="s">
        <v>1757</v>
      </c>
      <c r="G1209" s="73"/>
      <c r="H1209" s="76"/>
      <c r="I1209" s="76"/>
      <c r="J1209" s="76"/>
      <c r="K1209" s="76"/>
      <c r="L1209" s="76"/>
      <c r="M1209" s="76"/>
      <c r="N1209" s="76"/>
      <c r="O1209" s="76"/>
      <c r="P1209" s="76"/>
      <c r="Q1209" s="76"/>
      <c r="R1209" s="76"/>
      <c r="S1209" s="76"/>
      <c r="T1209" s="76"/>
      <c r="U1209" s="76"/>
      <c r="V1209" s="76"/>
      <c r="W1209" s="76"/>
      <c r="X1209" s="76"/>
      <c r="Y1209" s="76"/>
      <c r="Z1209" s="76"/>
      <c r="AA1209" s="76"/>
      <c r="AB1209" s="76"/>
      <c r="AC1209" s="76"/>
      <c r="AD1209" s="76"/>
      <c r="AE1209" s="76"/>
      <c r="AF1209" s="76"/>
      <c r="AG1209" s="76"/>
      <c r="AH1209" s="76"/>
      <c r="AI1209" s="76">
        <v>1</v>
      </c>
      <c r="AJ1209" s="76">
        <v>1</v>
      </c>
      <c r="AK1209" s="73"/>
      <c r="AL1209" s="57"/>
      <c r="AM1209" s="45"/>
      <c r="AN1209" s="45"/>
      <c r="AO1209" s="45"/>
    </row>
    <row r="1210" spans="1:41" hidden="1" outlineLevel="3" x14ac:dyDescent="0.25">
      <c r="A1210" s="45"/>
      <c r="B1210" s="54"/>
      <c r="C1210" s="47">
        <f t="shared" si="471"/>
        <v>4</v>
      </c>
      <c r="D1210" s="73"/>
      <c r="E1210" s="70"/>
      <c r="F1210" s="70" t="s">
        <v>1758</v>
      </c>
      <c r="G1210" s="73"/>
      <c r="H1210" s="76"/>
      <c r="I1210" s="76"/>
      <c r="J1210" s="76"/>
      <c r="K1210" s="76"/>
      <c r="L1210" s="76"/>
      <c r="M1210" s="76"/>
      <c r="N1210" s="76"/>
      <c r="O1210" s="76"/>
      <c r="P1210" s="76"/>
      <c r="Q1210" s="76"/>
      <c r="R1210" s="76"/>
      <c r="S1210" s="76"/>
      <c r="T1210" s="76"/>
      <c r="U1210" s="76"/>
      <c r="V1210" s="76"/>
      <c r="W1210" s="76"/>
      <c r="X1210" s="76"/>
      <c r="Y1210" s="76"/>
      <c r="Z1210" s="76"/>
      <c r="AA1210" s="76"/>
      <c r="AB1210" s="76"/>
      <c r="AC1210" s="76"/>
      <c r="AD1210" s="76"/>
      <c r="AE1210" s="76"/>
      <c r="AF1210" s="76"/>
      <c r="AG1210" s="76"/>
      <c r="AH1210" s="76"/>
      <c r="AI1210" s="76">
        <v>1</v>
      </c>
      <c r="AJ1210" s="76">
        <v>1</v>
      </c>
      <c r="AK1210" s="73"/>
      <c r="AL1210" s="57"/>
      <c r="AM1210" s="45"/>
      <c r="AN1210" s="45"/>
      <c r="AO1210" s="45"/>
    </row>
    <row r="1211" spans="1:41" hidden="1" outlineLevel="3" x14ac:dyDescent="0.25">
      <c r="A1211" s="45"/>
      <c r="B1211" s="54"/>
      <c r="C1211" s="47">
        <f t="shared" si="471"/>
        <v>4</v>
      </c>
      <c r="D1211" s="73"/>
      <c r="E1211" s="70"/>
      <c r="F1211" s="70" t="s">
        <v>1759</v>
      </c>
      <c r="G1211" s="73"/>
      <c r="H1211" s="76"/>
      <c r="I1211" s="76"/>
      <c r="J1211" s="76"/>
      <c r="K1211" s="76"/>
      <c r="L1211" s="76"/>
      <c r="M1211" s="76"/>
      <c r="N1211" s="76"/>
      <c r="O1211" s="76"/>
      <c r="P1211" s="76"/>
      <c r="Q1211" s="76"/>
      <c r="R1211" s="76"/>
      <c r="S1211" s="76"/>
      <c r="T1211" s="76"/>
      <c r="U1211" s="76"/>
      <c r="V1211" s="76"/>
      <c r="W1211" s="76"/>
      <c r="X1211" s="76"/>
      <c r="Y1211" s="76"/>
      <c r="Z1211" s="76"/>
      <c r="AA1211" s="76"/>
      <c r="AB1211" s="76"/>
      <c r="AC1211" s="76"/>
      <c r="AD1211" s="76"/>
      <c r="AE1211" s="76"/>
      <c r="AF1211" s="76"/>
      <c r="AG1211" s="76"/>
      <c r="AH1211" s="76"/>
      <c r="AI1211" s="76">
        <v>1</v>
      </c>
      <c r="AJ1211" s="76">
        <v>1</v>
      </c>
      <c r="AK1211" s="73"/>
      <c r="AL1211" s="57"/>
      <c r="AM1211" s="45"/>
      <c r="AN1211" s="45"/>
      <c r="AO1211" s="45"/>
    </row>
    <row r="1212" spans="1:41" hidden="1" outlineLevel="3" x14ac:dyDescent="0.25">
      <c r="A1212" s="45"/>
      <c r="B1212" s="54"/>
      <c r="C1212" s="47">
        <f t="shared" si="471"/>
        <v>4</v>
      </c>
      <c r="D1212" s="73"/>
      <c r="E1212" s="70"/>
      <c r="F1212" s="70" t="s">
        <v>1760</v>
      </c>
      <c r="G1212" s="73"/>
      <c r="H1212" s="76"/>
      <c r="I1212" s="76"/>
      <c r="J1212" s="76"/>
      <c r="K1212" s="76"/>
      <c r="L1212" s="76"/>
      <c r="M1212" s="76"/>
      <c r="N1212" s="76"/>
      <c r="O1212" s="76"/>
      <c r="P1212" s="76"/>
      <c r="Q1212" s="76"/>
      <c r="R1212" s="76"/>
      <c r="S1212" s="76"/>
      <c r="T1212" s="76"/>
      <c r="U1212" s="76"/>
      <c r="V1212" s="76"/>
      <c r="W1212" s="76"/>
      <c r="X1212" s="76"/>
      <c r="Y1212" s="76"/>
      <c r="Z1212" s="76"/>
      <c r="AA1212" s="76"/>
      <c r="AB1212" s="76"/>
      <c r="AC1212" s="76"/>
      <c r="AD1212" s="76"/>
      <c r="AE1212" s="76"/>
      <c r="AF1212" s="76"/>
      <c r="AG1212" s="76"/>
      <c r="AH1212" s="76"/>
      <c r="AI1212" s="76">
        <v>1</v>
      </c>
      <c r="AJ1212" s="76">
        <v>1</v>
      </c>
      <c r="AK1212" s="73"/>
      <c r="AL1212" s="57"/>
      <c r="AM1212" s="45"/>
      <c r="AN1212" s="45"/>
      <c r="AO1212" s="45"/>
    </row>
    <row r="1213" spans="1:41" hidden="1" outlineLevel="3" x14ac:dyDescent="0.25">
      <c r="A1213" s="45"/>
      <c r="B1213" s="54"/>
      <c r="C1213" s="47">
        <f t="shared" si="471"/>
        <v>4</v>
      </c>
      <c r="D1213" s="73"/>
      <c r="E1213" s="70"/>
      <c r="F1213" s="70" t="s">
        <v>1761</v>
      </c>
      <c r="G1213" s="73"/>
      <c r="H1213" s="76" t="s">
        <v>599</v>
      </c>
      <c r="I1213" s="76"/>
      <c r="J1213" s="76"/>
      <c r="K1213" s="76"/>
      <c r="L1213" s="76"/>
      <c r="M1213" s="76"/>
      <c r="N1213" s="76"/>
      <c r="O1213" s="76"/>
      <c r="P1213" s="76"/>
      <c r="Q1213" s="76"/>
      <c r="R1213" s="76"/>
      <c r="S1213" s="76"/>
      <c r="T1213" s="76"/>
      <c r="U1213" s="76"/>
      <c r="V1213" s="76"/>
      <c r="W1213" s="76"/>
      <c r="X1213" s="76"/>
      <c r="Y1213" s="76"/>
      <c r="Z1213" s="76"/>
      <c r="AA1213" s="76"/>
      <c r="AB1213" s="76"/>
      <c r="AC1213" s="76"/>
      <c r="AD1213" s="76"/>
      <c r="AE1213" s="76"/>
      <c r="AF1213" s="76"/>
      <c r="AG1213" s="76"/>
      <c r="AH1213" s="76"/>
      <c r="AI1213" s="76">
        <v>1</v>
      </c>
      <c r="AJ1213" s="76">
        <v>1</v>
      </c>
      <c r="AK1213" s="73"/>
      <c r="AL1213" s="57"/>
      <c r="AM1213" s="45"/>
      <c r="AN1213" s="45"/>
      <c r="AO1213" s="45"/>
    </row>
    <row r="1214" spans="1:41" hidden="1" outlineLevel="3" x14ac:dyDescent="0.25">
      <c r="A1214" s="45"/>
      <c r="B1214" s="54"/>
      <c r="C1214" s="47">
        <f t="shared" si="471"/>
        <v>4</v>
      </c>
      <c r="D1214" s="73"/>
      <c r="E1214" s="70"/>
      <c r="F1214" s="70" t="s">
        <v>1762</v>
      </c>
      <c r="G1214" s="73"/>
      <c r="H1214" s="76"/>
      <c r="I1214" s="76"/>
      <c r="J1214" s="76"/>
      <c r="K1214" s="76"/>
      <c r="L1214" s="76"/>
      <c r="M1214" s="76"/>
      <c r="N1214" s="76"/>
      <c r="O1214" s="76"/>
      <c r="P1214" s="76"/>
      <c r="Q1214" s="76"/>
      <c r="R1214" s="76"/>
      <c r="S1214" s="76"/>
      <c r="T1214" s="76"/>
      <c r="U1214" s="76"/>
      <c r="V1214" s="76"/>
      <c r="W1214" s="76"/>
      <c r="X1214" s="76"/>
      <c r="Y1214" s="76"/>
      <c r="Z1214" s="76"/>
      <c r="AA1214" s="76"/>
      <c r="AB1214" s="76"/>
      <c r="AC1214" s="76"/>
      <c r="AD1214" s="76"/>
      <c r="AE1214" s="76"/>
      <c r="AF1214" s="76"/>
      <c r="AG1214" s="76"/>
      <c r="AH1214" s="76"/>
      <c r="AI1214" s="76">
        <v>1</v>
      </c>
      <c r="AJ1214" s="76">
        <v>1</v>
      </c>
      <c r="AK1214" s="73"/>
      <c r="AL1214" s="57"/>
      <c r="AM1214" s="45"/>
      <c r="AN1214" s="45"/>
      <c r="AO1214" s="45"/>
    </row>
    <row r="1215" spans="1:41" hidden="1" outlineLevel="3" x14ac:dyDescent="0.25">
      <c r="A1215" s="45"/>
      <c r="B1215" s="54"/>
      <c r="C1215" s="47">
        <f t="shared" si="471"/>
        <v>4</v>
      </c>
      <c r="D1215" s="73"/>
      <c r="E1215" s="70"/>
      <c r="F1215" s="70" t="s">
        <v>1763</v>
      </c>
      <c r="G1215" s="73"/>
      <c r="H1215" s="76"/>
      <c r="I1215" s="76"/>
      <c r="J1215" s="76"/>
      <c r="K1215" s="76"/>
      <c r="L1215" s="76"/>
      <c r="M1215" s="76"/>
      <c r="N1215" s="76"/>
      <c r="O1215" s="76"/>
      <c r="P1215" s="76"/>
      <c r="Q1215" s="76"/>
      <c r="R1215" s="76"/>
      <c r="S1215" s="76"/>
      <c r="T1215" s="76"/>
      <c r="U1215" s="76"/>
      <c r="V1215" s="76"/>
      <c r="W1215" s="76"/>
      <c r="X1215" s="76"/>
      <c r="Y1215" s="76"/>
      <c r="Z1215" s="76"/>
      <c r="AA1215" s="76"/>
      <c r="AB1215" s="76"/>
      <c r="AC1215" s="76"/>
      <c r="AD1215" s="76"/>
      <c r="AE1215" s="76"/>
      <c r="AF1215" s="76"/>
      <c r="AG1215" s="76"/>
      <c r="AH1215" s="76"/>
      <c r="AI1215" s="76">
        <v>1</v>
      </c>
      <c r="AJ1215" s="76">
        <v>1</v>
      </c>
      <c r="AK1215" s="73"/>
      <c r="AL1215" s="57"/>
      <c r="AM1215" s="45"/>
      <c r="AN1215" s="45"/>
      <c r="AO1215" s="45"/>
    </row>
    <row r="1216" spans="1:41" hidden="1" outlineLevel="3" x14ac:dyDescent="0.25">
      <c r="A1216" s="45"/>
      <c r="B1216" s="54"/>
      <c r="C1216" s="47">
        <f t="shared" si="471"/>
        <v>4</v>
      </c>
      <c r="D1216" s="73"/>
      <c r="E1216" s="70"/>
      <c r="F1216" s="70" t="s">
        <v>1764</v>
      </c>
      <c r="G1216" s="73"/>
      <c r="H1216" s="76"/>
      <c r="I1216" s="76"/>
      <c r="J1216" s="76"/>
      <c r="K1216" s="76"/>
      <c r="L1216" s="76"/>
      <c r="M1216" s="76"/>
      <c r="N1216" s="76"/>
      <c r="O1216" s="76"/>
      <c r="P1216" s="76"/>
      <c r="Q1216" s="76"/>
      <c r="R1216" s="76"/>
      <c r="S1216" s="76"/>
      <c r="T1216" s="76"/>
      <c r="U1216" s="76"/>
      <c r="V1216" s="76"/>
      <c r="W1216" s="76"/>
      <c r="X1216" s="76"/>
      <c r="Y1216" s="76"/>
      <c r="Z1216" s="76"/>
      <c r="AA1216" s="76"/>
      <c r="AB1216" s="76"/>
      <c r="AC1216" s="76"/>
      <c r="AD1216" s="76"/>
      <c r="AE1216" s="76"/>
      <c r="AF1216" s="76"/>
      <c r="AG1216" s="76"/>
      <c r="AH1216" s="76"/>
      <c r="AI1216" s="76">
        <v>1</v>
      </c>
      <c r="AJ1216" s="76">
        <v>1</v>
      </c>
      <c r="AK1216" s="73"/>
      <c r="AL1216" s="57"/>
      <c r="AM1216" s="45"/>
      <c r="AN1216" s="45"/>
      <c r="AO1216" s="45"/>
    </row>
    <row r="1217" spans="1:41" hidden="1" outlineLevel="3" x14ac:dyDescent="0.25">
      <c r="A1217" s="45"/>
      <c r="B1217" s="54"/>
      <c r="C1217" s="47">
        <f t="shared" si="471"/>
        <v>4</v>
      </c>
      <c r="D1217" s="73"/>
      <c r="E1217" s="70"/>
      <c r="F1217" s="70" t="s">
        <v>1765</v>
      </c>
      <c r="G1217" s="73"/>
      <c r="H1217" s="76"/>
      <c r="I1217" s="76"/>
      <c r="J1217" s="76"/>
      <c r="K1217" s="76"/>
      <c r="L1217" s="76"/>
      <c r="M1217" s="76"/>
      <c r="N1217" s="76"/>
      <c r="O1217" s="76"/>
      <c r="P1217" s="76"/>
      <c r="Q1217" s="76"/>
      <c r="R1217" s="76"/>
      <c r="S1217" s="76"/>
      <c r="T1217" s="76"/>
      <c r="U1217" s="76"/>
      <c r="V1217" s="76"/>
      <c r="W1217" s="76"/>
      <c r="X1217" s="76"/>
      <c r="Y1217" s="76"/>
      <c r="Z1217" s="76"/>
      <c r="AA1217" s="76"/>
      <c r="AB1217" s="76"/>
      <c r="AC1217" s="76"/>
      <c r="AD1217" s="76"/>
      <c r="AE1217" s="76"/>
      <c r="AF1217" s="76"/>
      <c r="AG1217" s="76"/>
      <c r="AH1217" s="76"/>
      <c r="AI1217" s="76">
        <v>1</v>
      </c>
      <c r="AJ1217" s="76">
        <v>1</v>
      </c>
      <c r="AK1217" s="73"/>
      <c r="AL1217" s="57"/>
      <c r="AM1217" s="45"/>
      <c r="AN1217" s="45"/>
      <c r="AO1217" s="45"/>
    </row>
    <row r="1218" spans="1:41" hidden="1" outlineLevel="3" x14ac:dyDescent="0.25">
      <c r="A1218" s="45"/>
      <c r="B1218" s="54"/>
      <c r="C1218" s="47">
        <f t="shared" si="471"/>
        <v>4</v>
      </c>
      <c r="D1218" s="73"/>
      <c r="E1218" s="70"/>
      <c r="F1218" s="70" t="s">
        <v>1766</v>
      </c>
      <c r="G1218" s="73"/>
      <c r="H1218" s="76"/>
      <c r="I1218" s="76"/>
      <c r="J1218" s="76"/>
      <c r="K1218" s="76"/>
      <c r="L1218" s="76"/>
      <c r="M1218" s="76"/>
      <c r="N1218" s="76"/>
      <c r="O1218" s="76"/>
      <c r="P1218" s="76"/>
      <c r="Q1218" s="76"/>
      <c r="R1218" s="76"/>
      <c r="S1218" s="76"/>
      <c r="T1218" s="76"/>
      <c r="U1218" s="76"/>
      <c r="V1218" s="76"/>
      <c r="W1218" s="76"/>
      <c r="X1218" s="76"/>
      <c r="Y1218" s="76"/>
      <c r="Z1218" s="76"/>
      <c r="AA1218" s="76"/>
      <c r="AB1218" s="76"/>
      <c r="AC1218" s="76"/>
      <c r="AD1218" s="76"/>
      <c r="AE1218" s="76"/>
      <c r="AF1218" s="76"/>
      <c r="AG1218" s="76"/>
      <c r="AH1218" s="76"/>
      <c r="AI1218" s="76">
        <v>1</v>
      </c>
      <c r="AJ1218" s="76">
        <v>1</v>
      </c>
      <c r="AK1218" s="73"/>
      <c r="AL1218" s="57"/>
      <c r="AM1218" s="45"/>
      <c r="AN1218" s="45"/>
      <c r="AO1218" s="45"/>
    </row>
    <row r="1219" spans="1:41" hidden="1" outlineLevel="3" x14ac:dyDescent="0.25">
      <c r="A1219" s="45"/>
      <c r="B1219" s="54"/>
      <c r="C1219" s="47">
        <f t="shared" si="471"/>
        <v>4</v>
      </c>
      <c r="D1219" s="73"/>
      <c r="E1219" s="70"/>
      <c r="F1219" s="70" t="s">
        <v>1767</v>
      </c>
      <c r="G1219" s="73"/>
      <c r="H1219" s="76"/>
      <c r="I1219" s="76"/>
      <c r="J1219" s="76"/>
      <c r="K1219" s="76"/>
      <c r="L1219" s="76"/>
      <c r="M1219" s="76"/>
      <c r="N1219" s="76"/>
      <c r="O1219" s="76"/>
      <c r="P1219" s="76"/>
      <c r="Q1219" s="76"/>
      <c r="R1219" s="76"/>
      <c r="S1219" s="76"/>
      <c r="T1219" s="76"/>
      <c r="U1219" s="76"/>
      <c r="V1219" s="76"/>
      <c r="W1219" s="76"/>
      <c r="X1219" s="76"/>
      <c r="Y1219" s="76"/>
      <c r="Z1219" s="76"/>
      <c r="AA1219" s="76"/>
      <c r="AB1219" s="76"/>
      <c r="AC1219" s="76"/>
      <c r="AD1219" s="76"/>
      <c r="AE1219" s="76"/>
      <c r="AF1219" s="76"/>
      <c r="AG1219" s="76"/>
      <c r="AH1219" s="76"/>
      <c r="AI1219" s="76">
        <v>1</v>
      </c>
      <c r="AJ1219" s="76">
        <v>1</v>
      </c>
      <c r="AK1219" s="73"/>
      <c r="AL1219" s="57"/>
      <c r="AM1219" s="45"/>
      <c r="AN1219" s="45"/>
      <c r="AO1219" s="45"/>
    </row>
    <row r="1220" spans="1:41" hidden="1" outlineLevel="3" x14ac:dyDescent="0.25">
      <c r="A1220" s="45"/>
      <c r="B1220" s="54"/>
      <c r="C1220" s="47">
        <f t="shared" si="471"/>
        <v>4</v>
      </c>
      <c r="D1220" s="73"/>
      <c r="E1220" s="70"/>
      <c r="F1220" s="70" t="s">
        <v>1768</v>
      </c>
      <c r="G1220" s="73"/>
      <c r="H1220" s="76"/>
      <c r="I1220" s="76"/>
      <c r="J1220" s="76"/>
      <c r="K1220" s="76"/>
      <c r="L1220" s="76"/>
      <c r="M1220" s="76"/>
      <c r="N1220" s="76"/>
      <c r="O1220" s="76"/>
      <c r="P1220" s="76"/>
      <c r="Q1220" s="76"/>
      <c r="R1220" s="76"/>
      <c r="S1220" s="76"/>
      <c r="T1220" s="76"/>
      <c r="U1220" s="76"/>
      <c r="V1220" s="76"/>
      <c r="W1220" s="76"/>
      <c r="X1220" s="76"/>
      <c r="Y1220" s="76"/>
      <c r="Z1220" s="76"/>
      <c r="AA1220" s="76"/>
      <c r="AB1220" s="76"/>
      <c r="AC1220" s="76"/>
      <c r="AD1220" s="76"/>
      <c r="AE1220" s="76"/>
      <c r="AF1220" s="76"/>
      <c r="AG1220" s="76"/>
      <c r="AH1220" s="76"/>
      <c r="AI1220" s="76">
        <v>1</v>
      </c>
      <c r="AJ1220" s="76">
        <v>1</v>
      </c>
      <c r="AK1220" s="73"/>
      <c r="AL1220" s="57"/>
      <c r="AM1220" s="45"/>
      <c r="AN1220" s="45"/>
      <c r="AO1220" s="45"/>
    </row>
    <row r="1221" spans="1:41" hidden="1" outlineLevel="3" x14ac:dyDescent="0.25">
      <c r="A1221" s="45"/>
      <c r="B1221" s="54"/>
      <c r="C1221" s="47">
        <f t="shared" si="471"/>
        <v>4</v>
      </c>
      <c r="D1221" s="73"/>
      <c r="E1221" s="70"/>
      <c r="F1221" s="70" t="s">
        <v>1769</v>
      </c>
      <c r="G1221" s="73"/>
      <c r="H1221" s="76" t="s">
        <v>599</v>
      </c>
      <c r="I1221" s="76"/>
      <c r="J1221" s="76"/>
      <c r="K1221" s="76"/>
      <c r="L1221" s="76"/>
      <c r="M1221" s="76"/>
      <c r="N1221" s="76"/>
      <c r="O1221" s="76"/>
      <c r="P1221" s="76"/>
      <c r="Q1221" s="76"/>
      <c r="R1221" s="76"/>
      <c r="S1221" s="76"/>
      <c r="T1221" s="76"/>
      <c r="U1221" s="76"/>
      <c r="V1221" s="76"/>
      <c r="W1221" s="76"/>
      <c r="X1221" s="76"/>
      <c r="Y1221" s="76"/>
      <c r="Z1221" s="76"/>
      <c r="AA1221" s="76"/>
      <c r="AB1221" s="76"/>
      <c r="AC1221" s="76"/>
      <c r="AD1221" s="76"/>
      <c r="AE1221" s="76"/>
      <c r="AF1221" s="76"/>
      <c r="AG1221" s="76"/>
      <c r="AH1221" s="76"/>
      <c r="AI1221" s="76">
        <v>1</v>
      </c>
      <c r="AJ1221" s="76">
        <v>1</v>
      </c>
      <c r="AK1221" s="73"/>
      <c r="AL1221" s="57"/>
      <c r="AM1221" s="45"/>
      <c r="AN1221" s="45"/>
      <c r="AO1221" s="45"/>
    </row>
    <row r="1222" spans="1:41" hidden="1" outlineLevel="3" x14ac:dyDescent="0.25">
      <c r="A1222" s="45"/>
      <c r="B1222" s="54"/>
      <c r="C1222" s="47">
        <f t="shared" si="471"/>
        <v>4</v>
      </c>
      <c r="D1222" s="73"/>
      <c r="E1222" s="70"/>
      <c r="F1222" s="70" t="s">
        <v>1770</v>
      </c>
      <c r="G1222" s="73"/>
      <c r="H1222" s="76"/>
      <c r="I1222" s="76"/>
      <c r="J1222" s="76"/>
      <c r="K1222" s="76"/>
      <c r="L1222" s="76"/>
      <c r="M1222" s="76"/>
      <c r="N1222" s="76"/>
      <c r="O1222" s="76"/>
      <c r="P1222" s="76"/>
      <c r="Q1222" s="76"/>
      <c r="R1222" s="76"/>
      <c r="S1222" s="76"/>
      <c r="T1222" s="76"/>
      <c r="U1222" s="76"/>
      <c r="V1222" s="76"/>
      <c r="W1222" s="76"/>
      <c r="X1222" s="76"/>
      <c r="Y1222" s="76"/>
      <c r="Z1222" s="76"/>
      <c r="AA1222" s="76"/>
      <c r="AB1222" s="76"/>
      <c r="AC1222" s="76"/>
      <c r="AD1222" s="76"/>
      <c r="AE1222" s="76"/>
      <c r="AF1222" s="76"/>
      <c r="AG1222" s="76"/>
      <c r="AH1222" s="76"/>
      <c r="AI1222" s="76">
        <v>1</v>
      </c>
      <c r="AJ1222" s="76">
        <v>1</v>
      </c>
      <c r="AK1222" s="73"/>
      <c r="AL1222" s="57"/>
      <c r="AM1222" s="45"/>
      <c r="AN1222" s="45"/>
      <c r="AO1222" s="45"/>
    </row>
    <row r="1223" spans="1:41" hidden="1" outlineLevel="3" x14ac:dyDescent="0.25">
      <c r="A1223" s="45"/>
      <c r="B1223" s="54"/>
      <c r="C1223" s="47">
        <f t="shared" si="471"/>
        <v>4</v>
      </c>
      <c r="D1223" s="73"/>
      <c r="E1223" s="70"/>
      <c r="F1223" s="70" t="s">
        <v>1771</v>
      </c>
      <c r="G1223" s="73"/>
      <c r="H1223" s="76"/>
      <c r="I1223" s="76"/>
      <c r="J1223" s="76"/>
      <c r="K1223" s="76"/>
      <c r="L1223" s="76"/>
      <c r="M1223" s="76"/>
      <c r="N1223" s="76"/>
      <c r="O1223" s="76"/>
      <c r="P1223" s="76"/>
      <c r="Q1223" s="76"/>
      <c r="R1223" s="76"/>
      <c r="S1223" s="76"/>
      <c r="T1223" s="76"/>
      <c r="U1223" s="76"/>
      <c r="V1223" s="76"/>
      <c r="W1223" s="76"/>
      <c r="X1223" s="76"/>
      <c r="Y1223" s="76"/>
      <c r="Z1223" s="76"/>
      <c r="AA1223" s="76"/>
      <c r="AB1223" s="76"/>
      <c r="AC1223" s="76"/>
      <c r="AD1223" s="76"/>
      <c r="AE1223" s="76"/>
      <c r="AF1223" s="76"/>
      <c r="AG1223" s="76"/>
      <c r="AH1223" s="76"/>
      <c r="AI1223" s="76">
        <v>1</v>
      </c>
      <c r="AJ1223" s="76">
        <v>1</v>
      </c>
      <c r="AK1223" s="73"/>
      <c r="AL1223" s="57"/>
      <c r="AM1223" s="45"/>
      <c r="AN1223" s="45"/>
      <c r="AO1223" s="45"/>
    </row>
    <row r="1224" spans="1:41" hidden="1" outlineLevel="3" x14ac:dyDescent="0.25">
      <c r="A1224" s="45"/>
      <c r="B1224" s="54"/>
      <c r="C1224" s="47">
        <f t="shared" si="471"/>
        <v>4</v>
      </c>
      <c r="D1224" s="73"/>
      <c r="E1224" s="70"/>
      <c r="F1224" s="70" t="s">
        <v>1772</v>
      </c>
      <c r="G1224" s="73"/>
      <c r="H1224" s="76"/>
      <c r="I1224" s="76"/>
      <c r="J1224" s="76"/>
      <c r="K1224" s="76"/>
      <c r="L1224" s="76"/>
      <c r="M1224" s="76"/>
      <c r="N1224" s="76"/>
      <c r="O1224" s="76"/>
      <c r="P1224" s="76"/>
      <c r="Q1224" s="76"/>
      <c r="R1224" s="76"/>
      <c r="S1224" s="76"/>
      <c r="T1224" s="76"/>
      <c r="U1224" s="76"/>
      <c r="V1224" s="76"/>
      <c r="W1224" s="76"/>
      <c r="X1224" s="76"/>
      <c r="Y1224" s="76"/>
      <c r="Z1224" s="76"/>
      <c r="AA1224" s="76"/>
      <c r="AB1224" s="76"/>
      <c r="AC1224" s="76"/>
      <c r="AD1224" s="76"/>
      <c r="AE1224" s="76"/>
      <c r="AF1224" s="76"/>
      <c r="AG1224" s="76"/>
      <c r="AH1224" s="76"/>
      <c r="AI1224" s="76">
        <v>1</v>
      </c>
      <c r="AJ1224" s="76">
        <v>1</v>
      </c>
      <c r="AK1224" s="73"/>
      <c r="AL1224" s="57"/>
      <c r="AM1224" s="45"/>
      <c r="AN1224" s="45"/>
      <c r="AO1224" s="45"/>
    </row>
    <row r="1225" spans="1:41" hidden="1" outlineLevel="3" x14ac:dyDescent="0.25">
      <c r="A1225" s="45"/>
      <c r="B1225" s="54"/>
      <c r="C1225" s="47">
        <f t="shared" si="471"/>
        <v>4</v>
      </c>
      <c r="D1225" s="73"/>
      <c r="E1225" s="70"/>
      <c r="F1225" s="70" t="s">
        <v>1773</v>
      </c>
      <c r="G1225" s="73"/>
      <c r="H1225" s="76"/>
      <c r="I1225" s="76"/>
      <c r="J1225" s="76"/>
      <c r="K1225" s="76"/>
      <c r="L1225" s="76"/>
      <c r="M1225" s="76"/>
      <c r="N1225" s="76"/>
      <c r="O1225" s="76"/>
      <c r="P1225" s="76"/>
      <c r="Q1225" s="76"/>
      <c r="R1225" s="76"/>
      <c r="S1225" s="76"/>
      <c r="T1225" s="76"/>
      <c r="U1225" s="76"/>
      <c r="V1225" s="76"/>
      <c r="W1225" s="76"/>
      <c r="X1225" s="76"/>
      <c r="Y1225" s="76"/>
      <c r="Z1225" s="76"/>
      <c r="AA1225" s="76"/>
      <c r="AB1225" s="76"/>
      <c r="AC1225" s="76"/>
      <c r="AD1225" s="76"/>
      <c r="AE1225" s="76"/>
      <c r="AF1225" s="76"/>
      <c r="AG1225" s="76"/>
      <c r="AH1225" s="76"/>
      <c r="AI1225" s="76">
        <v>1</v>
      </c>
      <c r="AJ1225" s="76">
        <v>1</v>
      </c>
      <c r="AK1225" s="73"/>
      <c r="AL1225" s="57"/>
      <c r="AM1225" s="45"/>
      <c r="AN1225" s="45"/>
      <c r="AO1225" s="45"/>
    </row>
    <row r="1226" spans="1:41" hidden="1" outlineLevel="3" x14ac:dyDescent="0.25">
      <c r="A1226" s="45"/>
      <c r="B1226" s="54"/>
      <c r="C1226" s="47">
        <f t="shared" si="471"/>
        <v>4</v>
      </c>
      <c r="D1226" s="73"/>
      <c r="E1226" s="70"/>
      <c r="F1226" s="70" t="s">
        <v>1774</v>
      </c>
      <c r="G1226" s="73"/>
      <c r="H1226" s="76"/>
      <c r="I1226" s="76"/>
      <c r="J1226" s="76"/>
      <c r="K1226" s="76"/>
      <c r="L1226" s="76"/>
      <c r="M1226" s="76"/>
      <c r="N1226" s="76"/>
      <c r="O1226" s="76"/>
      <c r="P1226" s="76"/>
      <c r="Q1226" s="76"/>
      <c r="R1226" s="76"/>
      <c r="S1226" s="76"/>
      <c r="T1226" s="76"/>
      <c r="U1226" s="76"/>
      <c r="V1226" s="76"/>
      <c r="W1226" s="76"/>
      <c r="X1226" s="76"/>
      <c r="Y1226" s="76"/>
      <c r="Z1226" s="76"/>
      <c r="AA1226" s="76"/>
      <c r="AB1226" s="76"/>
      <c r="AC1226" s="76"/>
      <c r="AD1226" s="76"/>
      <c r="AE1226" s="76"/>
      <c r="AF1226" s="76"/>
      <c r="AG1226" s="76"/>
      <c r="AH1226" s="76"/>
      <c r="AI1226" s="76">
        <v>1</v>
      </c>
      <c r="AJ1226" s="76">
        <v>1</v>
      </c>
      <c r="AK1226" s="73"/>
      <c r="AL1226" s="57"/>
      <c r="AM1226" s="45"/>
      <c r="AN1226" s="45"/>
      <c r="AO1226" s="45"/>
    </row>
    <row r="1227" spans="1:41" hidden="1" outlineLevel="3" x14ac:dyDescent="0.25">
      <c r="A1227" s="45"/>
      <c r="B1227" s="54"/>
      <c r="C1227" s="47">
        <f t="shared" si="471"/>
        <v>4</v>
      </c>
      <c r="D1227" s="73"/>
      <c r="E1227" s="70"/>
      <c r="F1227" s="70" t="s">
        <v>1775</v>
      </c>
      <c r="G1227" s="73"/>
      <c r="H1227" s="76"/>
      <c r="I1227" s="76"/>
      <c r="J1227" s="76"/>
      <c r="K1227" s="76"/>
      <c r="L1227" s="76"/>
      <c r="M1227" s="76"/>
      <c r="N1227" s="76"/>
      <c r="O1227" s="76"/>
      <c r="P1227" s="76"/>
      <c r="Q1227" s="76"/>
      <c r="R1227" s="76"/>
      <c r="S1227" s="76"/>
      <c r="T1227" s="76"/>
      <c r="U1227" s="76"/>
      <c r="V1227" s="76"/>
      <c r="W1227" s="76"/>
      <c r="X1227" s="76"/>
      <c r="Y1227" s="76"/>
      <c r="Z1227" s="76"/>
      <c r="AA1227" s="76"/>
      <c r="AB1227" s="76"/>
      <c r="AC1227" s="76"/>
      <c r="AD1227" s="76"/>
      <c r="AE1227" s="76"/>
      <c r="AF1227" s="76"/>
      <c r="AG1227" s="76"/>
      <c r="AH1227" s="76"/>
      <c r="AI1227" s="76">
        <v>1</v>
      </c>
      <c r="AJ1227" s="76">
        <v>1</v>
      </c>
      <c r="AK1227" s="73"/>
      <c r="AL1227" s="57"/>
      <c r="AM1227" s="45"/>
      <c r="AN1227" s="45"/>
      <c r="AO1227" s="45"/>
    </row>
    <row r="1228" spans="1:41" hidden="1" outlineLevel="3" x14ac:dyDescent="0.25">
      <c r="A1228" s="45"/>
      <c r="B1228" s="54"/>
      <c r="C1228" s="47">
        <f t="shared" si="471"/>
        <v>4</v>
      </c>
      <c r="D1228" s="73"/>
      <c r="E1228" s="70"/>
      <c r="F1228" s="70" t="s">
        <v>1776</v>
      </c>
      <c r="G1228" s="73"/>
      <c r="H1228" s="76"/>
      <c r="I1228" s="76"/>
      <c r="J1228" s="76"/>
      <c r="K1228" s="76"/>
      <c r="L1228" s="76"/>
      <c r="M1228" s="76"/>
      <c r="N1228" s="76"/>
      <c r="O1228" s="76"/>
      <c r="P1228" s="76"/>
      <c r="Q1228" s="76"/>
      <c r="R1228" s="76"/>
      <c r="S1228" s="76"/>
      <c r="T1228" s="76"/>
      <c r="U1228" s="76"/>
      <c r="V1228" s="76"/>
      <c r="W1228" s="76"/>
      <c r="X1228" s="76"/>
      <c r="Y1228" s="76"/>
      <c r="Z1228" s="76"/>
      <c r="AA1228" s="76"/>
      <c r="AB1228" s="76"/>
      <c r="AC1228" s="76"/>
      <c r="AD1228" s="76"/>
      <c r="AE1228" s="76"/>
      <c r="AF1228" s="76"/>
      <c r="AG1228" s="76"/>
      <c r="AH1228" s="76"/>
      <c r="AI1228" s="76">
        <v>1</v>
      </c>
      <c r="AJ1228" s="76">
        <v>1</v>
      </c>
      <c r="AK1228" s="73"/>
      <c r="AL1228" s="57"/>
      <c r="AM1228" s="45"/>
      <c r="AN1228" s="45"/>
      <c r="AO1228" s="45"/>
    </row>
    <row r="1229" spans="1:41" hidden="1" outlineLevel="3" x14ac:dyDescent="0.25">
      <c r="A1229" s="45"/>
      <c r="B1229" s="54"/>
      <c r="C1229" s="47">
        <f t="shared" si="471"/>
        <v>4</v>
      </c>
      <c r="D1229" s="73"/>
      <c r="E1229" s="70"/>
      <c r="F1229" s="70" t="s">
        <v>1777</v>
      </c>
      <c r="G1229" s="73"/>
      <c r="H1229" s="76" t="s">
        <v>599</v>
      </c>
      <c r="I1229" s="76"/>
      <c r="J1229" s="76"/>
      <c r="K1229" s="76"/>
      <c r="L1229" s="76"/>
      <c r="M1229" s="76"/>
      <c r="N1229" s="76"/>
      <c r="O1229" s="76"/>
      <c r="P1229" s="76"/>
      <c r="Q1229" s="76"/>
      <c r="R1229" s="76"/>
      <c r="S1229" s="76"/>
      <c r="T1229" s="76"/>
      <c r="U1229" s="76"/>
      <c r="V1229" s="76"/>
      <c r="W1229" s="76"/>
      <c r="X1229" s="76"/>
      <c r="Y1229" s="76"/>
      <c r="Z1229" s="76"/>
      <c r="AA1229" s="76"/>
      <c r="AB1229" s="76"/>
      <c r="AC1229" s="76"/>
      <c r="AD1229" s="76"/>
      <c r="AE1229" s="76"/>
      <c r="AF1229" s="76"/>
      <c r="AG1229" s="76"/>
      <c r="AH1229" s="76"/>
      <c r="AI1229" s="76">
        <v>1</v>
      </c>
      <c r="AJ1229" s="76">
        <v>1</v>
      </c>
      <c r="AK1229" s="73"/>
      <c r="AL1229" s="57"/>
      <c r="AM1229" s="45"/>
      <c r="AN1229" s="45"/>
      <c r="AO1229" s="45"/>
    </row>
    <row r="1230" spans="1:41" hidden="1" outlineLevel="3" x14ac:dyDescent="0.25">
      <c r="A1230" s="45"/>
      <c r="B1230" s="54"/>
      <c r="C1230" s="47">
        <f t="shared" si="471"/>
        <v>4</v>
      </c>
      <c r="D1230" s="73"/>
      <c r="E1230" s="70"/>
      <c r="F1230" s="70" t="s">
        <v>1778</v>
      </c>
      <c r="G1230" s="73"/>
      <c r="H1230" s="76"/>
      <c r="I1230" s="76"/>
      <c r="J1230" s="76"/>
      <c r="K1230" s="76"/>
      <c r="L1230" s="76"/>
      <c r="M1230" s="76"/>
      <c r="N1230" s="76"/>
      <c r="O1230" s="76"/>
      <c r="P1230" s="76"/>
      <c r="Q1230" s="76"/>
      <c r="R1230" s="76"/>
      <c r="S1230" s="76"/>
      <c r="T1230" s="76"/>
      <c r="U1230" s="76"/>
      <c r="V1230" s="76"/>
      <c r="W1230" s="76"/>
      <c r="X1230" s="76"/>
      <c r="Y1230" s="76"/>
      <c r="Z1230" s="76"/>
      <c r="AA1230" s="76"/>
      <c r="AB1230" s="76"/>
      <c r="AC1230" s="76"/>
      <c r="AD1230" s="76"/>
      <c r="AE1230" s="76"/>
      <c r="AF1230" s="76"/>
      <c r="AG1230" s="76"/>
      <c r="AH1230" s="76"/>
      <c r="AI1230" s="76">
        <v>1</v>
      </c>
      <c r="AJ1230" s="76">
        <v>1</v>
      </c>
      <c r="AK1230" s="73"/>
      <c r="AL1230" s="57"/>
      <c r="AM1230" s="45"/>
      <c r="AN1230" s="45"/>
      <c r="AO1230" s="45"/>
    </row>
    <row r="1231" spans="1:41" hidden="1" outlineLevel="3" x14ac:dyDescent="0.25">
      <c r="A1231" s="45"/>
      <c r="B1231" s="54"/>
      <c r="C1231" s="47">
        <f t="shared" si="471"/>
        <v>4</v>
      </c>
      <c r="D1231" s="73"/>
      <c r="E1231" s="70"/>
      <c r="F1231" s="70" t="s">
        <v>1779</v>
      </c>
      <c r="G1231" s="73"/>
      <c r="H1231" s="76"/>
      <c r="I1231" s="76"/>
      <c r="J1231" s="76"/>
      <c r="K1231" s="76"/>
      <c r="L1231" s="76"/>
      <c r="M1231" s="76"/>
      <c r="N1231" s="76"/>
      <c r="O1231" s="76"/>
      <c r="P1231" s="76"/>
      <c r="Q1231" s="76"/>
      <c r="R1231" s="76"/>
      <c r="S1231" s="76"/>
      <c r="T1231" s="76"/>
      <c r="U1231" s="76"/>
      <c r="V1231" s="76"/>
      <c r="W1231" s="76"/>
      <c r="X1231" s="76"/>
      <c r="Y1231" s="76"/>
      <c r="Z1231" s="76"/>
      <c r="AA1231" s="76"/>
      <c r="AB1231" s="76"/>
      <c r="AC1231" s="76"/>
      <c r="AD1231" s="76"/>
      <c r="AE1231" s="76"/>
      <c r="AF1231" s="76"/>
      <c r="AG1231" s="76"/>
      <c r="AH1231" s="76"/>
      <c r="AI1231" s="76">
        <v>1</v>
      </c>
      <c r="AJ1231" s="76">
        <v>1</v>
      </c>
      <c r="AK1231" s="73"/>
      <c r="AL1231" s="57"/>
      <c r="AM1231" s="45"/>
      <c r="AN1231" s="45"/>
      <c r="AO1231" s="45"/>
    </row>
    <row r="1232" spans="1:41" hidden="1" outlineLevel="3" x14ac:dyDescent="0.25">
      <c r="A1232" s="45"/>
      <c r="B1232" s="54"/>
      <c r="C1232" s="47">
        <f t="shared" si="471"/>
        <v>4</v>
      </c>
      <c r="D1232" s="73"/>
      <c r="E1232" s="70"/>
      <c r="F1232" s="70" t="s">
        <v>1780</v>
      </c>
      <c r="G1232" s="73"/>
      <c r="H1232" s="76"/>
      <c r="I1232" s="76"/>
      <c r="J1232" s="76"/>
      <c r="K1232" s="76"/>
      <c r="L1232" s="76"/>
      <c r="M1232" s="76"/>
      <c r="N1232" s="76"/>
      <c r="O1232" s="76"/>
      <c r="P1232" s="76"/>
      <c r="Q1232" s="76"/>
      <c r="R1232" s="76"/>
      <c r="S1232" s="76"/>
      <c r="T1232" s="76"/>
      <c r="U1232" s="76"/>
      <c r="V1232" s="76"/>
      <c r="W1232" s="76"/>
      <c r="X1232" s="76"/>
      <c r="Y1232" s="76"/>
      <c r="Z1232" s="76"/>
      <c r="AA1232" s="76"/>
      <c r="AB1232" s="76"/>
      <c r="AC1232" s="76"/>
      <c r="AD1232" s="76"/>
      <c r="AE1232" s="76"/>
      <c r="AF1232" s="76"/>
      <c r="AG1232" s="76"/>
      <c r="AH1232" s="76"/>
      <c r="AI1232" s="76">
        <v>1</v>
      </c>
      <c r="AJ1232" s="76">
        <v>1</v>
      </c>
      <c r="AK1232" s="73"/>
      <c r="AL1232" s="57"/>
      <c r="AM1232" s="45"/>
      <c r="AN1232" s="45"/>
      <c r="AO1232" s="45"/>
    </row>
    <row r="1233" spans="1:41" hidden="1" outlineLevel="3" x14ac:dyDescent="0.25">
      <c r="A1233" s="45"/>
      <c r="B1233" s="54"/>
      <c r="C1233" s="47">
        <f t="shared" si="471"/>
        <v>4</v>
      </c>
      <c r="D1233" s="73"/>
      <c r="E1233" s="70"/>
      <c r="F1233" s="70" t="s">
        <v>1781</v>
      </c>
      <c r="G1233" s="73"/>
      <c r="H1233" s="76"/>
      <c r="I1233" s="76"/>
      <c r="J1233" s="76"/>
      <c r="K1233" s="76"/>
      <c r="L1233" s="76"/>
      <c r="M1233" s="76"/>
      <c r="N1233" s="76"/>
      <c r="O1233" s="76"/>
      <c r="P1233" s="76"/>
      <c r="Q1233" s="76"/>
      <c r="R1233" s="76"/>
      <c r="S1233" s="76"/>
      <c r="T1233" s="76"/>
      <c r="U1233" s="76"/>
      <c r="V1233" s="76"/>
      <c r="W1233" s="76"/>
      <c r="X1233" s="76"/>
      <c r="Y1233" s="76"/>
      <c r="Z1233" s="76"/>
      <c r="AA1233" s="76"/>
      <c r="AB1233" s="76"/>
      <c r="AC1233" s="76"/>
      <c r="AD1233" s="76"/>
      <c r="AE1233" s="76"/>
      <c r="AF1233" s="76"/>
      <c r="AG1233" s="76"/>
      <c r="AH1233" s="76"/>
      <c r="AI1233" s="76">
        <v>1</v>
      </c>
      <c r="AJ1233" s="76">
        <v>1</v>
      </c>
      <c r="AK1233" s="73"/>
      <c r="AL1233" s="57"/>
      <c r="AM1233" s="45"/>
      <c r="AN1233" s="45"/>
      <c r="AO1233" s="45"/>
    </row>
    <row r="1234" spans="1:41" hidden="1" outlineLevel="3" x14ac:dyDescent="0.25">
      <c r="A1234" s="45"/>
      <c r="B1234" s="54"/>
      <c r="C1234" s="47">
        <f t="shared" si="471"/>
        <v>4</v>
      </c>
      <c r="D1234" s="73"/>
      <c r="E1234" s="70"/>
      <c r="F1234" s="70" t="s">
        <v>1782</v>
      </c>
      <c r="G1234" s="73"/>
      <c r="H1234" s="76"/>
      <c r="I1234" s="76"/>
      <c r="J1234" s="76"/>
      <c r="K1234" s="76"/>
      <c r="L1234" s="76"/>
      <c r="M1234" s="76"/>
      <c r="N1234" s="76"/>
      <c r="O1234" s="76"/>
      <c r="P1234" s="76"/>
      <c r="Q1234" s="76"/>
      <c r="R1234" s="76"/>
      <c r="S1234" s="76"/>
      <c r="T1234" s="76"/>
      <c r="U1234" s="76"/>
      <c r="V1234" s="76"/>
      <c r="W1234" s="76"/>
      <c r="X1234" s="76"/>
      <c r="Y1234" s="76"/>
      <c r="Z1234" s="76"/>
      <c r="AA1234" s="76"/>
      <c r="AB1234" s="76"/>
      <c r="AC1234" s="76"/>
      <c r="AD1234" s="76"/>
      <c r="AE1234" s="76"/>
      <c r="AF1234" s="76"/>
      <c r="AG1234" s="76"/>
      <c r="AH1234" s="76"/>
      <c r="AI1234" s="76">
        <v>1</v>
      </c>
      <c r="AJ1234" s="76">
        <v>1</v>
      </c>
      <c r="AK1234" s="73"/>
      <c r="AL1234" s="57"/>
      <c r="AM1234" s="45"/>
      <c r="AN1234" s="45"/>
      <c r="AO1234" s="45"/>
    </row>
    <row r="1235" spans="1:41" hidden="1" outlineLevel="3" x14ac:dyDescent="0.25">
      <c r="A1235" s="45"/>
      <c r="B1235" s="54"/>
      <c r="C1235" s="47">
        <f t="shared" si="471"/>
        <v>4</v>
      </c>
      <c r="D1235" s="73"/>
      <c r="E1235" s="70"/>
      <c r="F1235" s="70" t="s">
        <v>1783</v>
      </c>
      <c r="G1235" s="73"/>
      <c r="H1235" s="76"/>
      <c r="I1235" s="76"/>
      <c r="J1235" s="76"/>
      <c r="K1235" s="76"/>
      <c r="L1235" s="76"/>
      <c r="M1235" s="76"/>
      <c r="N1235" s="76"/>
      <c r="O1235" s="76"/>
      <c r="P1235" s="76"/>
      <c r="Q1235" s="76"/>
      <c r="R1235" s="76"/>
      <c r="S1235" s="76"/>
      <c r="T1235" s="76"/>
      <c r="U1235" s="76"/>
      <c r="V1235" s="76"/>
      <c r="W1235" s="76"/>
      <c r="X1235" s="76"/>
      <c r="Y1235" s="76"/>
      <c r="Z1235" s="76"/>
      <c r="AA1235" s="76"/>
      <c r="AB1235" s="76"/>
      <c r="AC1235" s="76"/>
      <c r="AD1235" s="76"/>
      <c r="AE1235" s="76"/>
      <c r="AF1235" s="76"/>
      <c r="AG1235" s="76"/>
      <c r="AH1235" s="76"/>
      <c r="AI1235" s="76">
        <v>1</v>
      </c>
      <c r="AJ1235" s="76">
        <v>1</v>
      </c>
      <c r="AK1235" s="73"/>
      <c r="AL1235" s="57"/>
      <c r="AM1235" s="45"/>
      <c r="AN1235" s="45"/>
      <c r="AO1235" s="45"/>
    </row>
    <row r="1236" spans="1:41" hidden="1" outlineLevel="3" x14ac:dyDescent="0.25">
      <c r="A1236" s="45"/>
      <c r="B1236" s="54"/>
      <c r="C1236" s="47">
        <f t="shared" si="471"/>
        <v>4</v>
      </c>
      <c r="D1236" s="73"/>
      <c r="E1236" s="70"/>
      <c r="F1236" s="70" t="s">
        <v>1784</v>
      </c>
      <c r="G1236" s="73"/>
      <c r="H1236" s="76"/>
      <c r="I1236" s="76"/>
      <c r="J1236" s="76"/>
      <c r="K1236" s="76"/>
      <c r="L1236" s="76"/>
      <c r="M1236" s="76"/>
      <c r="N1236" s="76"/>
      <c r="O1236" s="76"/>
      <c r="P1236" s="76"/>
      <c r="Q1236" s="76"/>
      <c r="R1236" s="76"/>
      <c r="S1236" s="76"/>
      <c r="T1236" s="76"/>
      <c r="U1236" s="76"/>
      <c r="V1236" s="76"/>
      <c r="W1236" s="76"/>
      <c r="X1236" s="76"/>
      <c r="Y1236" s="76"/>
      <c r="Z1236" s="76"/>
      <c r="AA1236" s="76"/>
      <c r="AB1236" s="76"/>
      <c r="AC1236" s="76"/>
      <c r="AD1236" s="76"/>
      <c r="AE1236" s="76"/>
      <c r="AF1236" s="76"/>
      <c r="AG1236" s="76"/>
      <c r="AH1236" s="76"/>
      <c r="AI1236" s="76">
        <v>1</v>
      </c>
      <c r="AJ1236" s="76">
        <v>1</v>
      </c>
      <c r="AK1236" s="73"/>
      <c r="AL1236" s="57"/>
      <c r="AM1236" s="45"/>
      <c r="AN1236" s="45"/>
      <c r="AO1236" s="45"/>
    </row>
    <row r="1237" spans="1:41" hidden="1" outlineLevel="3" x14ac:dyDescent="0.25">
      <c r="A1237" s="45"/>
      <c r="B1237" s="54"/>
      <c r="C1237" s="47">
        <f t="shared" ref="C1237:C1260" si="472">INT($C$29)+3</f>
        <v>4</v>
      </c>
      <c r="D1237" s="73"/>
      <c r="E1237" s="70"/>
      <c r="F1237" s="70" t="s">
        <v>1785</v>
      </c>
      <c r="G1237" s="73"/>
      <c r="H1237" s="76" t="s">
        <v>599</v>
      </c>
      <c r="I1237" s="76"/>
      <c r="J1237" s="76"/>
      <c r="K1237" s="76"/>
      <c r="L1237" s="76"/>
      <c r="M1237" s="76"/>
      <c r="N1237" s="76"/>
      <c r="O1237" s="76"/>
      <c r="P1237" s="76"/>
      <c r="Q1237" s="76"/>
      <c r="R1237" s="76"/>
      <c r="S1237" s="76"/>
      <c r="T1237" s="76"/>
      <c r="U1237" s="76"/>
      <c r="V1237" s="76"/>
      <c r="W1237" s="76"/>
      <c r="X1237" s="76"/>
      <c r="Y1237" s="76"/>
      <c r="Z1237" s="76"/>
      <c r="AA1237" s="76"/>
      <c r="AB1237" s="76"/>
      <c r="AC1237" s="76"/>
      <c r="AD1237" s="76"/>
      <c r="AE1237" s="76"/>
      <c r="AF1237" s="76"/>
      <c r="AG1237" s="76"/>
      <c r="AH1237" s="76"/>
      <c r="AI1237" s="76">
        <v>1</v>
      </c>
      <c r="AJ1237" s="76">
        <v>1</v>
      </c>
      <c r="AK1237" s="73"/>
      <c r="AL1237" s="57"/>
      <c r="AM1237" s="45"/>
      <c r="AN1237" s="45"/>
      <c r="AO1237" s="45"/>
    </row>
    <row r="1238" spans="1:41" hidden="1" outlineLevel="3" x14ac:dyDescent="0.25">
      <c r="A1238" s="45"/>
      <c r="B1238" s="54"/>
      <c r="C1238" s="47">
        <f t="shared" si="472"/>
        <v>4</v>
      </c>
      <c r="D1238" s="73"/>
      <c r="E1238" s="70"/>
      <c r="F1238" s="70" t="s">
        <v>1786</v>
      </c>
      <c r="G1238" s="73"/>
      <c r="H1238" s="76"/>
      <c r="I1238" s="76"/>
      <c r="J1238" s="76"/>
      <c r="K1238" s="76"/>
      <c r="L1238" s="76"/>
      <c r="M1238" s="76"/>
      <c r="N1238" s="76"/>
      <c r="O1238" s="76"/>
      <c r="P1238" s="76"/>
      <c r="Q1238" s="76"/>
      <c r="R1238" s="76"/>
      <c r="S1238" s="76"/>
      <c r="T1238" s="76"/>
      <c r="U1238" s="76"/>
      <c r="V1238" s="76"/>
      <c r="W1238" s="76"/>
      <c r="X1238" s="76"/>
      <c r="Y1238" s="76"/>
      <c r="Z1238" s="76"/>
      <c r="AA1238" s="76"/>
      <c r="AB1238" s="76"/>
      <c r="AC1238" s="76"/>
      <c r="AD1238" s="76"/>
      <c r="AE1238" s="76"/>
      <c r="AF1238" s="76"/>
      <c r="AG1238" s="76"/>
      <c r="AH1238" s="76"/>
      <c r="AI1238" s="76">
        <v>1</v>
      </c>
      <c r="AJ1238" s="76">
        <v>1</v>
      </c>
      <c r="AK1238" s="73"/>
      <c r="AL1238" s="57"/>
      <c r="AM1238" s="45"/>
      <c r="AN1238" s="45"/>
      <c r="AO1238" s="45"/>
    </row>
    <row r="1239" spans="1:41" hidden="1" outlineLevel="3" x14ac:dyDescent="0.25">
      <c r="A1239" s="45"/>
      <c r="B1239" s="54"/>
      <c r="C1239" s="47">
        <f t="shared" si="472"/>
        <v>4</v>
      </c>
      <c r="D1239" s="73"/>
      <c r="E1239" s="70"/>
      <c r="F1239" s="70" t="s">
        <v>1787</v>
      </c>
      <c r="G1239" s="73"/>
      <c r="H1239" s="76"/>
      <c r="I1239" s="76"/>
      <c r="J1239" s="76"/>
      <c r="K1239" s="76"/>
      <c r="L1239" s="76"/>
      <c r="M1239" s="76"/>
      <c r="N1239" s="76"/>
      <c r="O1239" s="76"/>
      <c r="P1239" s="76"/>
      <c r="Q1239" s="76"/>
      <c r="R1239" s="76"/>
      <c r="S1239" s="76"/>
      <c r="T1239" s="76"/>
      <c r="U1239" s="76"/>
      <c r="V1239" s="76"/>
      <c r="W1239" s="76"/>
      <c r="X1239" s="76"/>
      <c r="Y1239" s="76"/>
      <c r="Z1239" s="76"/>
      <c r="AA1239" s="76"/>
      <c r="AB1239" s="76"/>
      <c r="AC1239" s="76"/>
      <c r="AD1239" s="76"/>
      <c r="AE1239" s="76"/>
      <c r="AF1239" s="76"/>
      <c r="AG1239" s="76"/>
      <c r="AH1239" s="76"/>
      <c r="AI1239" s="76">
        <v>1</v>
      </c>
      <c r="AJ1239" s="76">
        <v>1</v>
      </c>
      <c r="AK1239" s="73"/>
      <c r="AL1239" s="57"/>
      <c r="AM1239" s="45"/>
      <c r="AN1239" s="45"/>
      <c r="AO1239" s="45"/>
    </row>
    <row r="1240" spans="1:41" hidden="1" outlineLevel="3" x14ac:dyDescent="0.25">
      <c r="A1240" s="45"/>
      <c r="B1240" s="54"/>
      <c r="C1240" s="47">
        <f t="shared" si="472"/>
        <v>4</v>
      </c>
      <c r="D1240" s="73"/>
      <c r="E1240" s="70"/>
      <c r="F1240" s="70" t="s">
        <v>1788</v>
      </c>
      <c r="G1240" s="73"/>
      <c r="H1240" s="76"/>
      <c r="I1240" s="76"/>
      <c r="J1240" s="76"/>
      <c r="K1240" s="76"/>
      <c r="L1240" s="76"/>
      <c r="M1240" s="76"/>
      <c r="N1240" s="76"/>
      <c r="O1240" s="76"/>
      <c r="P1240" s="76"/>
      <c r="Q1240" s="76"/>
      <c r="R1240" s="76"/>
      <c r="S1240" s="76"/>
      <c r="T1240" s="76"/>
      <c r="U1240" s="76"/>
      <c r="V1240" s="76"/>
      <c r="W1240" s="76"/>
      <c r="X1240" s="76"/>
      <c r="Y1240" s="76"/>
      <c r="Z1240" s="76"/>
      <c r="AA1240" s="76"/>
      <c r="AB1240" s="76"/>
      <c r="AC1240" s="76"/>
      <c r="AD1240" s="76"/>
      <c r="AE1240" s="76"/>
      <c r="AF1240" s="76"/>
      <c r="AG1240" s="76"/>
      <c r="AH1240" s="76"/>
      <c r="AI1240" s="76">
        <v>1</v>
      </c>
      <c r="AJ1240" s="76">
        <v>1</v>
      </c>
      <c r="AK1240" s="73"/>
      <c r="AL1240" s="57"/>
      <c r="AM1240" s="45"/>
      <c r="AN1240" s="45"/>
      <c r="AO1240" s="45"/>
    </row>
    <row r="1241" spans="1:41" hidden="1" outlineLevel="3" x14ac:dyDescent="0.25">
      <c r="A1241" s="45"/>
      <c r="B1241" s="54"/>
      <c r="C1241" s="47">
        <f t="shared" si="472"/>
        <v>4</v>
      </c>
      <c r="D1241" s="73"/>
      <c r="E1241" s="70"/>
      <c r="F1241" s="70" t="s">
        <v>1789</v>
      </c>
      <c r="G1241" s="73"/>
      <c r="H1241" s="76"/>
      <c r="I1241" s="76"/>
      <c r="J1241" s="76"/>
      <c r="K1241" s="76"/>
      <c r="L1241" s="76"/>
      <c r="M1241" s="76"/>
      <c r="N1241" s="76"/>
      <c r="O1241" s="76"/>
      <c r="P1241" s="76"/>
      <c r="Q1241" s="76"/>
      <c r="R1241" s="76"/>
      <c r="S1241" s="76"/>
      <c r="T1241" s="76"/>
      <c r="U1241" s="76"/>
      <c r="V1241" s="76"/>
      <c r="W1241" s="76"/>
      <c r="X1241" s="76"/>
      <c r="Y1241" s="76"/>
      <c r="Z1241" s="76"/>
      <c r="AA1241" s="76"/>
      <c r="AB1241" s="76"/>
      <c r="AC1241" s="76"/>
      <c r="AD1241" s="76"/>
      <c r="AE1241" s="76"/>
      <c r="AF1241" s="76"/>
      <c r="AG1241" s="76"/>
      <c r="AH1241" s="76"/>
      <c r="AI1241" s="76">
        <v>1</v>
      </c>
      <c r="AJ1241" s="76">
        <v>1</v>
      </c>
      <c r="AK1241" s="73"/>
      <c r="AL1241" s="57"/>
      <c r="AM1241" s="45"/>
      <c r="AN1241" s="45"/>
      <c r="AO1241" s="45"/>
    </row>
    <row r="1242" spans="1:41" hidden="1" outlineLevel="3" x14ac:dyDescent="0.25">
      <c r="A1242" s="45"/>
      <c r="B1242" s="54"/>
      <c r="C1242" s="47">
        <f t="shared" si="472"/>
        <v>4</v>
      </c>
      <c r="D1242" s="73"/>
      <c r="E1242" s="70"/>
      <c r="F1242" s="70" t="s">
        <v>1790</v>
      </c>
      <c r="G1242" s="73"/>
      <c r="H1242" s="76"/>
      <c r="I1242" s="76"/>
      <c r="J1242" s="76"/>
      <c r="K1242" s="76"/>
      <c r="L1242" s="76"/>
      <c r="M1242" s="76"/>
      <c r="N1242" s="76"/>
      <c r="O1242" s="76"/>
      <c r="P1242" s="76"/>
      <c r="Q1242" s="76"/>
      <c r="R1242" s="76"/>
      <c r="S1242" s="76"/>
      <c r="T1242" s="76"/>
      <c r="U1242" s="76"/>
      <c r="V1242" s="76"/>
      <c r="W1242" s="76"/>
      <c r="X1242" s="76"/>
      <c r="Y1242" s="76"/>
      <c r="Z1242" s="76"/>
      <c r="AA1242" s="76"/>
      <c r="AB1242" s="76"/>
      <c r="AC1242" s="76"/>
      <c r="AD1242" s="76"/>
      <c r="AE1242" s="76"/>
      <c r="AF1242" s="76"/>
      <c r="AG1242" s="76"/>
      <c r="AH1242" s="76"/>
      <c r="AI1242" s="76">
        <v>1</v>
      </c>
      <c r="AJ1242" s="76">
        <v>1</v>
      </c>
      <c r="AK1242" s="73"/>
      <c r="AL1242" s="57"/>
      <c r="AM1242" s="45"/>
      <c r="AN1242" s="45"/>
      <c r="AO1242" s="45"/>
    </row>
    <row r="1243" spans="1:41" hidden="1" outlineLevel="3" x14ac:dyDescent="0.25">
      <c r="A1243" s="45"/>
      <c r="B1243" s="54"/>
      <c r="C1243" s="47">
        <f t="shared" si="472"/>
        <v>4</v>
      </c>
      <c r="D1243" s="73"/>
      <c r="E1243" s="70"/>
      <c r="F1243" s="70" t="s">
        <v>1791</v>
      </c>
      <c r="G1243" s="73"/>
      <c r="H1243" s="76"/>
      <c r="I1243" s="76"/>
      <c r="J1243" s="76"/>
      <c r="K1243" s="76"/>
      <c r="L1243" s="76"/>
      <c r="M1243" s="76"/>
      <c r="N1243" s="76"/>
      <c r="O1243" s="76"/>
      <c r="P1243" s="76"/>
      <c r="Q1243" s="76"/>
      <c r="R1243" s="76"/>
      <c r="S1243" s="76"/>
      <c r="T1243" s="76"/>
      <c r="U1243" s="76"/>
      <c r="V1243" s="76"/>
      <c r="W1243" s="76"/>
      <c r="X1243" s="76"/>
      <c r="Y1243" s="76"/>
      <c r="Z1243" s="76"/>
      <c r="AA1243" s="76"/>
      <c r="AB1243" s="76"/>
      <c r="AC1243" s="76"/>
      <c r="AD1243" s="76"/>
      <c r="AE1243" s="76"/>
      <c r="AF1243" s="76"/>
      <c r="AG1243" s="76"/>
      <c r="AH1243" s="76"/>
      <c r="AI1243" s="76">
        <v>1</v>
      </c>
      <c r="AJ1243" s="76">
        <v>1</v>
      </c>
      <c r="AK1243" s="73"/>
      <c r="AL1243" s="57"/>
      <c r="AM1243" s="45"/>
      <c r="AN1243" s="45"/>
      <c r="AO1243" s="45"/>
    </row>
    <row r="1244" spans="1:41" hidden="1" outlineLevel="3" x14ac:dyDescent="0.25">
      <c r="A1244" s="45"/>
      <c r="B1244" s="54"/>
      <c r="C1244" s="47">
        <f t="shared" si="472"/>
        <v>4</v>
      </c>
      <c r="D1244" s="73"/>
      <c r="E1244" s="70"/>
      <c r="F1244" s="70" t="s">
        <v>1792</v>
      </c>
      <c r="G1244" s="73"/>
      <c r="H1244" s="76"/>
      <c r="I1244" s="76"/>
      <c r="J1244" s="76"/>
      <c r="K1244" s="76"/>
      <c r="L1244" s="76"/>
      <c r="M1244" s="76"/>
      <c r="N1244" s="76"/>
      <c r="O1244" s="76"/>
      <c r="P1244" s="76"/>
      <c r="Q1244" s="76"/>
      <c r="R1244" s="76"/>
      <c r="S1244" s="76"/>
      <c r="T1244" s="76"/>
      <c r="U1244" s="76"/>
      <c r="V1244" s="76"/>
      <c r="W1244" s="76"/>
      <c r="X1244" s="76"/>
      <c r="Y1244" s="76"/>
      <c r="Z1244" s="76"/>
      <c r="AA1244" s="76"/>
      <c r="AB1244" s="76"/>
      <c r="AC1244" s="76"/>
      <c r="AD1244" s="76"/>
      <c r="AE1244" s="76"/>
      <c r="AF1244" s="76"/>
      <c r="AG1244" s="76"/>
      <c r="AH1244" s="76"/>
      <c r="AI1244" s="76">
        <v>1</v>
      </c>
      <c r="AJ1244" s="76">
        <v>1</v>
      </c>
      <c r="AK1244" s="73"/>
      <c r="AL1244" s="57"/>
      <c r="AM1244" s="45"/>
      <c r="AN1244" s="45"/>
      <c r="AO1244" s="45"/>
    </row>
    <row r="1245" spans="1:41" hidden="1" outlineLevel="3" x14ac:dyDescent="0.25">
      <c r="A1245" s="45"/>
      <c r="B1245" s="54"/>
      <c r="C1245" s="47">
        <f t="shared" si="472"/>
        <v>4</v>
      </c>
      <c r="D1245" s="73"/>
      <c r="E1245" s="70"/>
      <c r="F1245" s="70" t="s">
        <v>1793</v>
      </c>
      <c r="G1245" s="73"/>
      <c r="H1245" s="76" t="s">
        <v>599</v>
      </c>
      <c r="I1245" s="76"/>
      <c r="J1245" s="76"/>
      <c r="K1245" s="76"/>
      <c r="L1245" s="76"/>
      <c r="M1245" s="76"/>
      <c r="N1245" s="76"/>
      <c r="O1245" s="76"/>
      <c r="P1245" s="76"/>
      <c r="Q1245" s="76"/>
      <c r="R1245" s="76"/>
      <c r="S1245" s="76"/>
      <c r="T1245" s="76"/>
      <c r="U1245" s="76"/>
      <c r="V1245" s="76"/>
      <c r="W1245" s="76"/>
      <c r="X1245" s="76"/>
      <c r="Y1245" s="76"/>
      <c r="Z1245" s="76"/>
      <c r="AA1245" s="76"/>
      <c r="AB1245" s="76"/>
      <c r="AC1245" s="76"/>
      <c r="AD1245" s="76"/>
      <c r="AE1245" s="76"/>
      <c r="AF1245" s="76"/>
      <c r="AG1245" s="76"/>
      <c r="AH1245" s="76"/>
      <c r="AI1245" s="76">
        <v>1</v>
      </c>
      <c r="AJ1245" s="76">
        <v>1</v>
      </c>
      <c r="AK1245" s="73"/>
      <c r="AL1245" s="57"/>
      <c r="AM1245" s="45"/>
      <c r="AN1245" s="45"/>
      <c r="AO1245" s="45"/>
    </row>
    <row r="1246" spans="1:41" hidden="1" outlineLevel="3" x14ac:dyDescent="0.25">
      <c r="A1246" s="45"/>
      <c r="B1246" s="54"/>
      <c r="C1246" s="47">
        <f t="shared" si="472"/>
        <v>4</v>
      </c>
      <c r="D1246" s="73"/>
      <c r="E1246" s="70"/>
      <c r="F1246" s="70" t="s">
        <v>1794</v>
      </c>
      <c r="G1246" s="73"/>
      <c r="H1246" s="76"/>
      <c r="I1246" s="76"/>
      <c r="J1246" s="76"/>
      <c r="K1246" s="76"/>
      <c r="L1246" s="76"/>
      <c r="M1246" s="76"/>
      <c r="N1246" s="76"/>
      <c r="O1246" s="76"/>
      <c r="P1246" s="76"/>
      <c r="Q1246" s="76"/>
      <c r="R1246" s="76"/>
      <c r="S1246" s="76"/>
      <c r="T1246" s="76"/>
      <c r="U1246" s="76"/>
      <c r="V1246" s="76"/>
      <c r="W1246" s="76"/>
      <c r="X1246" s="76"/>
      <c r="Y1246" s="76"/>
      <c r="Z1246" s="76"/>
      <c r="AA1246" s="76"/>
      <c r="AB1246" s="76"/>
      <c r="AC1246" s="76"/>
      <c r="AD1246" s="76"/>
      <c r="AE1246" s="76"/>
      <c r="AF1246" s="76"/>
      <c r="AG1246" s="76"/>
      <c r="AH1246" s="76"/>
      <c r="AI1246" s="76">
        <v>1</v>
      </c>
      <c r="AJ1246" s="76">
        <v>1</v>
      </c>
      <c r="AK1246" s="73"/>
      <c r="AL1246" s="57"/>
      <c r="AM1246" s="45"/>
      <c r="AN1246" s="45"/>
      <c r="AO1246" s="45"/>
    </row>
    <row r="1247" spans="1:41" hidden="1" outlineLevel="3" x14ac:dyDescent="0.25">
      <c r="A1247" s="45"/>
      <c r="B1247" s="54"/>
      <c r="C1247" s="47">
        <f t="shared" si="472"/>
        <v>4</v>
      </c>
      <c r="D1247" s="73"/>
      <c r="E1247" s="70"/>
      <c r="F1247" s="70" t="s">
        <v>1795</v>
      </c>
      <c r="G1247" s="73"/>
      <c r="H1247" s="76"/>
      <c r="I1247" s="76"/>
      <c r="J1247" s="76"/>
      <c r="K1247" s="76"/>
      <c r="L1247" s="76"/>
      <c r="M1247" s="76"/>
      <c r="N1247" s="76"/>
      <c r="O1247" s="76"/>
      <c r="P1247" s="76"/>
      <c r="Q1247" s="76"/>
      <c r="R1247" s="76"/>
      <c r="S1247" s="76"/>
      <c r="T1247" s="76"/>
      <c r="U1247" s="76"/>
      <c r="V1247" s="76"/>
      <c r="W1247" s="76"/>
      <c r="X1247" s="76"/>
      <c r="Y1247" s="76"/>
      <c r="Z1247" s="76"/>
      <c r="AA1247" s="76"/>
      <c r="AB1247" s="76"/>
      <c r="AC1247" s="76"/>
      <c r="AD1247" s="76"/>
      <c r="AE1247" s="76"/>
      <c r="AF1247" s="76"/>
      <c r="AG1247" s="76"/>
      <c r="AH1247" s="76"/>
      <c r="AI1247" s="76">
        <v>1</v>
      </c>
      <c r="AJ1247" s="76">
        <v>1</v>
      </c>
      <c r="AK1247" s="73"/>
      <c r="AL1247" s="57"/>
      <c r="AM1247" s="45"/>
      <c r="AN1247" s="45"/>
      <c r="AO1247" s="45"/>
    </row>
    <row r="1248" spans="1:41" hidden="1" outlineLevel="3" x14ac:dyDescent="0.25">
      <c r="A1248" s="45"/>
      <c r="B1248" s="54"/>
      <c r="C1248" s="47">
        <f t="shared" si="472"/>
        <v>4</v>
      </c>
      <c r="D1248" s="73"/>
      <c r="E1248" s="70"/>
      <c r="F1248" s="70" t="s">
        <v>1796</v>
      </c>
      <c r="G1248" s="73"/>
      <c r="H1248" s="76"/>
      <c r="I1248" s="76"/>
      <c r="J1248" s="76"/>
      <c r="K1248" s="76"/>
      <c r="L1248" s="76"/>
      <c r="M1248" s="76"/>
      <c r="N1248" s="76"/>
      <c r="O1248" s="76"/>
      <c r="P1248" s="76"/>
      <c r="Q1248" s="76"/>
      <c r="R1248" s="76"/>
      <c r="S1248" s="76"/>
      <c r="T1248" s="76"/>
      <c r="U1248" s="76"/>
      <c r="V1248" s="76"/>
      <c r="W1248" s="76"/>
      <c r="X1248" s="76"/>
      <c r="Y1248" s="76"/>
      <c r="Z1248" s="76"/>
      <c r="AA1248" s="76"/>
      <c r="AB1248" s="76"/>
      <c r="AC1248" s="76"/>
      <c r="AD1248" s="76"/>
      <c r="AE1248" s="76"/>
      <c r="AF1248" s="76"/>
      <c r="AG1248" s="76"/>
      <c r="AH1248" s="76"/>
      <c r="AI1248" s="76">
        <v>1</v>
      </c>
      <c r="AJ1248" s="76">
        <v>1</v>
      </c>
      <c r="AK1248" s="73"/>
      <c r="AL1248" s="57"/>
      <c r="AM1248" s="45"/>
      <c r="AN1248" s="45"/>
      <c r="AO1248" s="45"/>
    </row>
    <row r="1249" spans="1:41" hidden="1" outlineLevel="3" x14ac:dyDescent="0.25">
      <c r="A1249" s="45"/>
      <c r="B1249" s="54"/>
      <c r="C1249" s="47">
        <f t="shared" si="472"/>
        <v>4</v>
      </c>
      <c r="D1249" s="73"/>
      <c r="E1249" s="70"/>
      <c r="F1249" s="70" t="s">
        <v>1797</v>
      </c>
      <c r="G1249" s="73"/>
      <c r="H1249" s="76"/>
      <c r="I1249" s="76"/>
      <c r="J1249" s="76"/>
      <c r="K1249" s="76"/>
      <c r="L1249" s="76"/>
      <c r="M1249" s="76"/>
      <c r="N1249" s="76"/>
      <c r="O1249" s="76"/>
      <c r="P1249" s="76"/>
      <c r="Q1249" s="76"/>
      <c r="R1249" s="76"/>
      <c r="S1249" s="76"/>
      <c r="T1249" s="76"/>
      <c r="U1249" s="76"/>
      <c r="V1249" s="76"/>
      <c r="W1249" s="76"/>
      <c r="X1249" s="76"/>
      <c r="Y1249" s="76"/>
      <c r="Z1249" s="76"/>
      <c r="AA1249" s="76"/>
      <c r="AB1249" s="76"/>
      <c r="AC1249" s="76"/>
      <c r="AD1249" s="76"/>
      <c r="AE1249" s="76"/>
      <c r="AF1249" s="76"/>
      <c r="AG1249" s="76"/>
      <c r="AH1249" s="76"/>
      <c r="AI1249" s="76">
        <v>1</v>
      </c>
      <c r="AJ1249" s="76">
        <v>1</v>
      </c>
      <c r="AK1249" s="73"/>
      <c r="AL1249" s="57"/>
      <c r="AM1249" s="45"/>
      <c r="AN1249" s="45"/>
      <c r="AO1249" s="45"/>
    </row>
    <row r="1250" spans="1:41" hidden="1" outlineLevel="3" x14ac:dyDescent="0.25">
      <c r="A1250" s="45"/>
      <c r="B1250" s="54"/>
      <c r="C1250" s="47">
        <f t="shared" si="472"/>
        <v>4</v>
      </c>
      <c r="D1250" s="73"/>
      <c r="E1250" s="70"/>
      <c r="F1250" s="70" t="s">
        <v>1798</v>
      </c>
      <c r="G1250" s="73"/>
      <c r="H1250" s="76"/>
      <c r="I1250" s="76"/>
      <c r="J1250" s="76"/>
      <c r="K1250" s="76"/>
      <c r="L1250" s="76"/>
      <c r="M1250" s="76"/>
      <c r="N1250" s="76"/>
      <c r="O1250" s="76"/>
      <c r="P1250" s="76"/>
      <c r="Q1250" s="76"/>
      <c r="R1250" s="76"/>
      <c r="S1250" s="76"/>
      <c r="T1250" s="76"/>
      <c r="U1250" s="76"/>
      <c r="V1250" s="76"/>
      <c r="W1250" s="76"/>
      <c r="X1250" s="76"/>
      <c r="Y1250" s="76"/>
      <c r="Z1250" s="76"/>
      <c r="AA1250" s="76"/>
      <c r="AB1250" s="76"/>
      <c r="AC1250" s="76"/>
      <c r="AD1250" s="76"/>
      <c r="AE1250" s="76"/>
      <c r="AF1250" s="76"/>
      <c r="AG1250" s="76"/>
      <c r="AH1250" s="76"/>
      <c r="AI1250" s="76">
        <v>1</v>
      </c>
      <c r="AJ1250" s="76">
        <v>1</v>
      </c>
      <c r="AK1250" s="73"/>
      <c r="AL1250" s="57"/>
      <c r="AM1250" s="45"/>
      <c r="AN1250" s="45"/>
      <c r="AO1250" s="45"/>
    </row>
    <row r="1251" spans="1:41" hidden="1" outlineLevel="3" x14ac:dyDescent="0.25">
      <c r="A1251" s="45"/>
      <c r="B1251" s="54"/>
      <c r="C1251" s="47">
        <f t="shared" si="472"/>
        <v>4</v>
      </c>
      <c r="D1251" s="73"/>
      <c r="E1251" s="70"/>
      <c r="F1251" s="70" t="s">
        <v>1799</v>
      </c>
      <c r="G1251" s="73"/>
      <c r="H1251" s="76"/>
      <c r="I1251" s="76"/>
      <c r="J1251" s="76"/>
      <c r="K1251" s="76"/>
      <c r="L1251" s="76"/>
      <c r="M1251" s="76"/>
      <c r="N1251" s="76"/>
      <c r="O1251" s="76"/>
      <c r="P1251" s="76"/>
      <c r="Q1251" s="76"/>
      <c r="R1251" s="76"/>
      <c r="S1251" s="76"/>
      <c r="T1251" s="76"/>
      <c r="U1251" s="76"/>
      <c r="V1251" s="76"/>
      <c r="W1251" s="76"/>
      <c r="X1251" s="76"/>
      <c r="Y1251" s="76"/>
      <c r="Z1251" s="76"/>
      <c r="AA1251" s="76"/>
      <c r="AB1251" s="76"/>
      <c r="AC1251" s="76"/>
      <c r="AD1251" s="76"/>
      <c r="AE1251" s="76"/>
      <c r="AF1251" s="76"/>
      <c r="AG1251" s="76"/>
      <c r="AH1251" s="76"/>
      <c r="AI1251" s="76">
        <v>1</v>
      </c>
      <c r="AJ1251" s="76">
        <v>1</v>
      </c>
      <c r="AK1251" s="73"/>
      <c r="AL1251" s="57"/>
      <c r="AM1251" s="45"/>
      <c r="AN1251" s="45"/>
      <c r="AO1251" s="45"/>
    </row>
    <row r="1252" spans="1:41" hidden="1" outlineLevel="3" x14ac:dyDescent="0.25">
      <c r="A1252" s="45"/>
      <c r="B1252" s="54"/>
      <c r="C1252" s="47">
        <f t="shared" si="472"/>
        <v>4</v>
      </c>
      <c r="D1252" s="73"/>
      <c r="E1252" s="70"/>
      <c r="F1252" s="70" t="s">
        <v>1800</v>
      </c>
      <c r="G1252" s="73"/>
      <c r="H1252" s="76"/>
      <c r="I1252" s="76"/>
      <c r="J1252" s="76"/>
      <c r="K1252" s="76"/>
      <c r="L1252" s="76"/>
      <c r="M1252" s="76"/>
      <c r="N1252" s="76"/>
      <c r="O1252" s="76"/>
      <c r="P1252" s="76"/>
      <c r="Q1252" s="76"/>
      <c r="R1252" s="76"/>
      <c r="S1252" s="76"/>
      <c r="T1252" s="76"/>
      <c r="U1252" s="76"/>
      <c r="V1252" s="76"/>
      <c r="W1252" s="76"/>
      <c r="X1252" s="76"/>
      <c r="Y1252" s="76"/>
      <c r="Z1252" s="76"/>
      <c r="AA1252" s="76"/>
      <c r="AB1252" s="76"/>
      <c r="AC1252" s="76"/>
      <c r="AD1252" s="76"/>
      <c r="AE1252" s="76"/>
      <c r="AF1252" s="76"/>
      <c r="AG1252" s="76"/>
      <c r="AH1252" s="76"/>
      <c r="AI1252" s="76">
        <v>1</v>
      </c>
      <c r="AJ1252" s="76">
        <v>1</v>
      </c>
      <c r="AK1252" s="73"/>
      <c r="AL1252" s="57"/>
      <c r="AM1252" s="45"/>
      <c r="AN1252" s="45"/>
      <c r="AO1252" s="45"/>
    </row>
    <row r="1253" spans="1:41" hidden="1" outlineLevel="3" x14ac:dyDescent="0.25">
      <c r="A1253" s="45"/>
      <c r="B1253" s="54"/>
      <c r="C1253" s="47">
        <f t="shared" si="472"/>
        <v>4</v>
      </c>
      <c r="D1253" s="73"/>
      <c r="E1253" s="70"/>
      <c r="F1253" s="70" t="s">
        <v>1801</v>
      </c>
      <c r="G1253" s="73"/>
      <c r="H1253" s="76" t="s">
        <v>599</v>
      </c>
      <c r="I1253" s="76"/>
      <c r="J1253" s="76"/>
      <c r="K1253" s="76"/>
      <c r="L1253" s="76"/>
      <c r="M1253" s="76"/>
      <c r="N1253" s="76"/>
      <c r="O1253" s="76"/>
      <c r="P1253" s="76"/>
      <c r="Q1253" s="76"/>
      <c r="R1253" s="76"/>
      <c r="S1253" s="76"/>
      <c r="T1253" s="76"/>
      <c r="U1253" s="76"/>
      <c r="V1253" s="76"/>
      <c r="W1253" s="76"/>
      <c r="X1253" s="76"/>
      <c r="Y1253" s="76"/>
      <c r="Z1253" s="76"/>
      <c r="AA1253" s="76"/>
      <c r="AB1253" s="76"/>
      <c r="AC1253" s="76"/>
      <c r="AD1253" s="76"/>
      <c r="AE1253" s="76"/>
      <c r="AF1253" s="76"/>
      <c r="AG1253" s="76"/>
      <c r="AH1253" s="76"/>
      <c r="AI1253" s="76">
        <v>1</v>
      </c>
      <c r="AJ1253" s="76">
        <v>1</v>
      </c>
      <c r="AK1253" s="73"/>
      <c r="AL1253" s="57"/>
      <c r="AM1253" s="45"/>
      <c r="AN1253" s="45"/>
      <c r="AO1253" s="45"/>
    </row>
    <row r="1254" spans="1:41" hidden="1" outlineLevel="3" x14ac:dyDescent="0.25">
      <c r="A1254" s="45"/>
      <c r="B1254" s="54"/>
      <c r="C1254" s="47">
        <f t="shared" si="472"/>
        <v>4</v>
      </c>
      <c r="D1254" s="73"/>
      <c r="E1254" s="70"/>
      <c r="F1254" s="70" t="s">
        <v>1802</v>
      </c>
      <c r="G1254" s="73"/>
      <c r="H1254" s="76"/>
      <c r="I1254" s="76"/>
      <c r="J1254" s="76"/>
      <c r="K1254" s="76"/>
      <c r="L1254" s="76"/>
      <c r="M1254" s="76"/>
      <c r="N1254" s="76"/>
      <c r="O1254" s="76"/>
      <c r="P1254" s="76"/>
      <c r="Q1254" s="76"/>
      <c r="R1254" s="76"/>
      <c r="S1254" s="76"/>
      <c r="T1254" s="76"/>
      <c r="U1254" s="76"/>
      <c r="V1254" s="76"/>
      <c r="W1254" s="76"/>
      <c r="X1254" s="76"/>
      <c r="Y1254" s="76"/>
      <c r="Z1254" s="76"/>
      <c r="AA1254" s="76"/>
      <c r="AB1254" s="76"/>
      <c r="AC1254" s="76"/>
      <c r="AD1254" s="76"/>
      <c r="AE1254" s="76"/>
      <c r="AF1254" s="76"/>
      <c r="AG1254" s="76"/>
      <c r="AH1254" s="76"/>
      <c r="AI1254" s="76">
        <v>1</v>
      </c>
      <c r="AJ1254" s="76">
        <v>1</v>
      </c>
      <c r="AK1254" s="73"/>
      <c r="AL1254" s="57"/>
      <c r="AM1254" s="45"/>
      <c r="AN1254" s="45"/>
      <c r="AO1254" s="45"/>
    </row>
    <row r="1255" spans="1:41" hidden="1" outlineLevel="3" x14ac:dyDescent="0.25">
      <c r="A1255" s="45"/>
      <c r="B1255" s="54"/>
      <c r="C1255" s="47">
        <f t="shared" si="472"/>
        <v>4</v>
      </c>
      <c r="D1255" s="73"/>
      <c r="E1255" s="70"/>
      <c r="F1255" s="70" t="s">
        <v>1803</v>
      </c>
      <c r="G1255" s="73"/>
      <c r="H1255" s="76"/>
      <c r="I1255" s="76"/>
      <c r="J1255" s="76"/>
      <c r="K1255" s="76"/>
      <c r="L1255" s="76"/>
      <c r="M1255" s="76"/>
      <c r="N1255" s="76"/>
      <c r="O1255" s="76"/>
      <c r="P1255" s="76"/>
      <c r="Q1255" s="76"/>
      <c r="R1255" s="76"/>
      <c r="S1255" s="76"/>
      <c r="T1255" s="76"/>
      <c r="U1255" s="76"/>
      <c r="V1255" s="76"/>
      <c r="W1255" s="76"/>
      <c r="X1255" s="76"/>
      <c r="Y1255" s="76"/>
      <c r="Z1255" s="76"/>
      <c r="AA1255" s="76"/>
      <c r="AB1255" s="76"/>
      <c r="AC1255" s="76"/>
      <c r="AD1255" s="76"/>
      <c r="AE1255" s="76"/>
      <c r="AF1255" s="76"/>
      <c r="AG1255" s="76"/>
      <c r="AH1255" s="76"/>
      <c r="AI1255" s="76">
        <v>1</v>
      </c>
      <c r="AJ1255" s="76">
        <v>1</v>
      </c>
      <c r="AK1255" s="73"/>
      <c r="AL1255" s="57"/>
      <c r="AM1255" s="45"/>
      <c r="AN1255" s="45"/>
      <c r="AO1255" s="45"/>
    </row>
    <row r="1256" spans="1:41" hidden="1" outlineLevel="3" x14ac:dyDescent="0.25">
      <c r="A1256" s="45"/>
      <c r="B1256" s="54"/>
      <c r="C1256" s="47">
        <f t="shared" si="472"/>
        <v>4</v>
      </c>
      <c r="D1256" s="73"/>
      <c r="E1256" s="70"/>
      <c r="F1256" s="70" t="s">
        <v>1804</v>
      </c>
      <c r="G1256" s="73"/>
      <c r="H1256" s="76"/>
      <c r="I1256" s="76"/>
      <c r="J1256" s="76"/>
      <c r="K1256" s="76"/>
      <c r="L1256" s="76"/>
      <c r="M1256" s="76"/>
      <c r="N1256" s="76"/>
      <c r="O1256" s="76"/>
      <c r="P1256" s="76"/>
      <c r="Q1256" s="76"/>
      <c r="R1256" s="76"/>
      <c r="S1256" s="76"/>
      <c r="T1256" s="76"/>
      <c r="U1256" s="76"/>
      <c r="V1256" s="76"/>
      <c r="W1256" s="76"/>
      <c r="X1256" s="76"/>
      <c r="Y1256" s="76"/>
      <c r="Z1256" s="76"/>
      <c r="AA1256" s="76"/>
      <c r="AB1256" s="76"/>
      <c r="AC1256" s="76"/>
      <c r="AD1256" s="76"/>
      <c r="AE1256" s="76"/>
      <c r="AF1256" s="76"/>
      <c r="AG1256" s="76"/>
      <c r="AH1256" s="76"/>
      <c r="AI1256" s="76">
        <v>1</v>
      </c>
      <c r="AJ1256" s="76">
        <v>1</v>
      </c>
      <c r="AK1256" s="73"/>
      <c r="AL1256" s="57"/>
      <c r="AM1256" s="45"/>
      <c r="AN1256" s="45"/>
      <c r="AO1256" s="45"/>
    </row>
    <row r="1257" spans="1:41" hidden="1" outlineLevel="3" x14ac:dyDescent="0.25">
      <c r="A1257" s="45"/>
      <c r="B1257" s="54"/>
      <c r="C1257" s="47">
        <f t="shared" si="472"/>
        <v>4</v>
      </c>
      <c r="D1257" s="73"/>
      <c r="E1257" s="70"/>
      <c r="F1257" s="70" t="s">
        <v>1805</v>
      </c>
      <c r="G1257" s="73"/>
      <c r="H1257" s="76"/>
      <c r="I1257" s="76"/>
      <c r="J1257" s="76"/>
      <c r="K1257" s="76"/>
      <c r="L1257" s="76"/>
      <c r="M1257" s="76"/>
      <c r="N1257" s="76"/>
      <c r="O1257" s="76"/>
      <c r="P1257" s="76"/>
      <c r="Q1257" s="76"/>
      <c r="R1257" s="76"/>
      <c r="S1257" s="76"/>
      <c r="T1257" s="76"/>
      <c r="U1257" s="76"/>
      <c r="V1257" s="76"/>
      <c r="W1257" s="76"/>
      <c r="X1257" s="76"/>
      <c r="Y1257" s="76"/>
      <c r="Z1257" s="76"/>
      <c r="AA1257" s="76"/>
      <c r="AB1257" s="76"/>
      <c r="AC1257" s="76"/>
      <c r="AD1257" s="76"/>
      <c r="AE1257" s="76"/>
      <c r="AF1257" s="76"/>
      <c r="AG1257" s="76"/>
      <c r="AH1257" s="76"/>
      <c r="AI1257" s="76">
        <v>1</v>
      </c>
      <c r="AJ1257" s="76">
        <v>1</v>
      </c>
      <c r="AK1257" s="73"/>
      <c r="AL1257" s="57"/>
      <c r="AM1257" s="45"/>
      <c r="AN1257" s="45"/>
      <c r="AO1257" s="45"/>
    </row>
    <row r="1258" spans="1:41" hidden="1" outlineLevel="3" x14ac:dyDescent="0.25">
      <c r="A1258" s="45"/>
      <c r="B1258" s="54"/>
      <c r="C1258" s="47">
        <f t="shared" si="472"/>
        <v>4</v>
      </c>
      <c r="D1258" s="73"/>
      <c r="E1258" s="70"/>
      <c r="F1258" s="70" t="s">
        <v>1806</v>
      </c>
      <c r="G1258" s="73"/>
      <c r="H1258" s="76"/>
      <c r="I1258" s="76"/>
      <c r="J1258" s="76"/>
      <c r="K1258" s="76"/>
      <c r="L1258" s="76"/>
      <c r="M1258" s="76"/>
      <c r="N1258" s="76"/>
      <c r="O1258" s="76"/>
      <c r="P1258" s="76"/>
      <c r="Q1258" s="76"/>
      <c r="R1258" s="76"/>
      <c r="S1258" s="76"/>
      <c r="T1258" s="76"/>
      <c r="U1258" s="76"/>
      <c r="V1258" s="76"/>
      <c r="W1258" s="76"/>
      <c r="X1258" s="76"/>
      <c r="Y1258" s="76"/>
      <c r="Z1258" s="76"/>
      <c r="AA1258" s="76"/>
      <c r="AB1258" s="76"/>
      <c r="AC1258" s="76"/>
      <c r="AD1258" s="76"/>
      <c r="AE1258" s="76"/>
      <c r="AF1258" s="76"/>
      <c r="AG1258" s="76"/>
      <c r="AH1258" s="76"/>
      <c r="AI1258" s="76">
        <v>1</v>
      </c>
      <c r="AJ1258" s="76">
        <v>1</v>
      </c>
      <c r="AK1258" s="73"/>
      <c r="AL1258" s="57"/>
      <c r="AM1258" s="45"/>
      <c r="AN1258" s="45"/>
      <c r="AO1258" s="45"/>
    </row>
    <row r="1259" spans="1:41" hidden="1" outlineLevel="3" x14ac:dyDescent="0.25">
      <c r="A1259" s="45"/>
      <c r="B1259" s="54"/>
      <c r="C1259" s="47">
        <f t="shared" si="472"/>
        <v>4</v>
      </c>
      <c r="D1259" s="73"/>
      <c r="E1259" s="70"/>
      <c r="F1259" s="70" t="s">
        <v>1807</v>
      </c>
      <c r="G1259" s="73"/>
      <c r="H1259" s="76"/>
      <c r="I1259" s="76"/>
      <c r="J1259" s="76"/>
      <c r="K1259" s="76"/>
      <c r="L1259" s="76"/>
      <c r="M1259" s="76"/>
      <c r="N1259" s="76"/>
      <c r="O1259" s="76"/>
      <c r="P1259" s="76"/>
      <c r="Q1259" s="76"/>
      <c r="R1259" s="76"/>
      <c r="S1259" s="76"/>
      <c r="T1259" s="76"/>
      <c r="U1259" s="76"/>
      <c r="V1259" s="76"/>
      <c r="W1259" s="76"/>
      <c r="X1259" s="76"/>
      <c r="Y1259" s="76"/>
      <c r="Z1259" s="76"/>
      <c r="AA1259" s="76"/>
      <c r="AB1259" s="76"/>
      <c r="AC1259" s="76"/>
      <c r="AD1259" s="76"/>
      <c r="AE1259" s="76"/>
      <c r="AF1259" s="76"/>
      <c r="AG1259" s="76"/>
      <c r="AH1259" s="76"/>
      <c r="AI1259" s="76">
        <v>1</v>
      </c>
      <c r="AJ1259" s="76">
        <v>1</v>
      </c>
      <c r="AK1259" s="73"/>
      <c r="AL1259" s="57"/>
      <c r="AM1259" s="45"/>
      <c r="AN1259" s="45"/>
      <c r="AO1259" s="45"/>
    </row>
    <row r="1260" spans="1:41" hidden="1" outlineLevel="3" x14ac:dyDescent="0.25">
      <c r="A1260" s="45"/>
      <c r="B1260" s="54"/>
      <c r="C1260" s="47">
        <f t="shared" si="472"/>
        <v>4</v>
      </c>
      <c r="D1260" s="73"/>
      <c r="E1260" s="70"/>
      <c r="F1260" s="70" t="s">
        <v>1808</v>
      </c>
      <c r="G1260" s="73"/>
      <c r="H1260" s="76"/>
      <c r="I1260" s="76"/>
      <c r="J1260" s="76"/>
      <c r="K1260" s="76"/>
      <c r="L1260" s="76"/>
      <c r="M1260" s="76"/>
      <c r="N1260" s="76"/>
      <c r="O1260" s="76"/>
      <c r="P1260" s="76"/>
      <c r="Q1260" s="76"/>
      <c r="R1260" s="76"/>
      <c r="S1260" s="76"/>
      <c r="T1260" s="76"/>
      <c r="U1260" s="76"/>
      <c r="V1260" s="76"/>
      <c r="W1260" s="76"/>
      <c r="X1260" s="76"/>
      <c r="Y1260" s="76"/>
      <c r="Z1260" s="76"/>
      <c r="AA1260" s="76"/>
      <c r="AB1260" s="76"/>
      <c r="AC1260" s="76"/>
      <c r="AD1260" s="76"/>
      <c r="AE1260" s="76"/>
      <c r="AF1260" s="76"/>
      <c r="AG1260" s="76"/>
      <c r="AH1260" s="76"/>
      <c r="AI1260" s="76">
        <v>1</v>
      </c>
      <c r="AJ1260" s="76">
        <v>1</v>
      </c>
      <c r="AK1260" s="73"/>
      <c r="AL1260" s="57"/>
      <c r="AM1260" s="45"/>
      <c r="AN1260" s="45"/>
      <c r="AO1260" s="45"/>
    </row>
    <row r="1261" spans="1:41" hidden="1" outlineLevel="2" x14ac:dyDescent="0.25">
      <c r="A1261" s="45"/>
      <c r="B1261" s="54"/>
      <c r="C1261" s="47">
        <f>INT($C$29)+2</f>
        <v>3</v>
      </c>
      <c r="D1261" s="73"/>
      <c r="E1261" s="70"/>
      <c r="F1261" s="70" t="s">
        <v>1809</v>
      </c>
      <c r="G1261" s="73"/>
      <c r="H1261" s="76" t="s">
        <v>1810</v>
      </c>
      <c r="I1261" s="96" t="s">
        <v>2142</v>
      </c>
      <c r="J1261" s="96"/>
      <c r="K1261" s="76"/>
      <c r="L1261" s="76"/>
      <c r="M1261" s="76"/>
      <c r="N1261" s="76"/>
      <c r="O1261" s="76"/>
      <c r="P1261" s="76"/>
      <c r="Q1261" s="76"/>
      <c r="R1261" s="76"/>
      <c r="S1261" s="76"/>
      <c r="T1261" s="76"/>
      <c r="U1261" s="97">
        <v>1.2E-2</v>
      </c>
      <c r="V1261" s="97">
        <v>1.2E-2</v>
      </c>
      <c r="W1261" s="97">
        <v>1.2E-2</v>
      </c>
      <c r="X1261" s="97">
        <v>1.2E-2</v>
      </c>
      <c r="Y1261" s="97">
        <v>1.2E-2</v>
      </c>
      <c r="Z1261" s="97">
        <v>1.2E-2</v>
      </c>
      <c r="AA1261" s="97">
        <v>1.2E-2</v>
      </c>
      <c r="AB1261" s="255">
        <f>AA1261</f>
        <v>1.2E-2</v>
      </c>
      <c r="AC1261" s="255">
        <f>AB1261</f>
        <v>1.2E-2</v>
      </c>
      <c r="AD1261" s="255">
        <f>AC1261</f>
        <v>1.2E-2</v>
      </c>
      <c r="AE1261" s="255">
        <f>AD1261</f>
        <v>1.2E-2</v>
      </c>
      <c r="AF1261" s="76"/>
      <c r="AG1261" s="97" t="s">
        <v>1811</v>
      </c>
      <c r="AH1261" s="76"/>
      <c r="AI1261" s="97">
        <v>1</v>
      </c>
      <c r="AJ1261" s="97">
        <v>1</v>
      </c>
      <c r="AK1261" s="73"/>
      <c r="AL1261" s="57"/>
      <c r="AM1261" s="45"/>
      <c r="AN1261" s="45"/>
      <c r="AO1261" s="45"/>
    </row>
    <row r="1262" spans="1:41" hidden="1" outlineLevel="2" x14ac:dyDescent="0.25">
      <c r="A1262" s="45"/>
      <c r="B1262" s="54"/>
      <c r="C1262" s="47">
        <f>INT($C$29)+2</f>
        <v>3</v>
      </c>
      <c r="D1262" s="73"/>
      <c r="E1262" s="70"/>
      <c r="F1262" s="70" t="s">
        <v>1812</v>
      </c>
      <c r="G1262" s="73"/>
      <c r="H1262" s="76" t="s">
        <v>1813</v>
      </c>
      <c r="I1262" s="96"/>
      <c r="J1262" s="96"/>
      <c r="K1262" s="76"/>
      <c r="L1262" s="76"/>
      <c r="M1262" s="76"/>
      <c r="N1262" s="76"/>
      <c r="O1262" s="76"/>
      <c r="P1262" s="76"/>
      <c r="Q1262" s="76"/>
      <c r="R1262" s="76"/>
      <c r="S1262" s="76"/>
      <c r="T1262" s="76"/>
      <c r="U1262" s="280">
        <f t="shared" ref="U1262:AE1262" si="473">U1263</f>
        <v>9.9999999999999985E-3</v>
      </c>
      <c r="V1262" s="253">
        <f t="shared" si="473"/>
        <v>9.9999999999999985E-3</v>
      </c>
      <c r="W1262" s="253">
        <f t="shared" si="473"/>
        <v>9.9999999999999985E-3</v>
      </c>
      <c r="X1262" s="253">
        <f t="shared" si="473"/>
        <v>9.9999999999999985E-3</v>
      </c>
      <c r="Y1262" s="253">
        <f t="shared" si="473"/>
        <v>9.9999999999999985E-3</v>
      </c>
      <c r="Z1262" s="253">
        <f t="shared" si="473"/>
        <v>9.9999999999999985E-3</v>
      </c>
      <c r="AA1262" s="253">
        <f t="shared" si="473"/>
        <v>9.9999999999999985E-3</v>
      </c>
      <c r="AB1262" s="253">
        <f t="shared" si="473"/>
        <v>9.9999999999999985E-3</v>
      </c>
      <c r="AC1262" s="253">
        <f t="shared" si="473"/>
        <v>9.9999999999999985E-3</v>
      </c>
      <c r="AD1262" s="253">
        <f t="shared" si="473"/>
        <v>9.9999999999999985E-3</v>
      </c>
      <c r="AE1262" s="253">
        <f t="shared" si="473"/>
        <v>9.9999999999999985E-3</v>
      </c>
      <c r="AF1262" s="76"/>
      <c r="AG1262" s="76"/>
      <c r="AH1262" s="76"/>
      <c r="AI1262" s="253">
        <f>AI1263</f>
        <v>1</v>
      </c>
      <c r="AJ1262" s="253">
        <f>AJ1263</f>
        <v>1</v>
      </c>
      <c r="AK1262" s="73"/>
      <c r="AL1262" s="57"/>
      <c r="AM1262" s="45"/>
      <c r="AN1262" s="45"/>
      <c r="AO1262" s="45"/>
    </row>
    <row r="1263" spans="1:41" hidden="1" outlineLevel="2" x14ac:dyDescent="0.25">
      <c r="A1263" s="45"/>
      <c r="B1263" s="54"/>
      <c r="C1263" s="47">
        <f>INT($C$29)+2</f>
        <v>3</v>
      </c>
      <c r="D1263" s="73"/>
      <c r="E1263" s="70"/>
      <c r="F1263" s="70" t="s">
        <v>1814</v>
      </c>
      <c r="G1263" s="73"/>
      <c r="H1263" s="76" t="s">
        <v>1815</v>
      </c>
      <c r="I1263" s="96" t="s">
        <v>2141</v>
      </c>
      <c r="J1263" s="96"/>
      <c r="K1263" s="76"/>
      <c r="L1263" s="76"/>
      <c r="M1263" s="76"/>
      <c r="N1263" s="76"/>
      <c r="O1263" s="76"/>
      <c r="P1263" s="76"/>
      <c r="Q1263" s="76"/>
      <c r="R1263" s="76"/>
      <c r="S1263" s="76"/>
      <c r="T1263" s="76"/>
      <c r="U1263" s="281">
        <f>0.022-U$1261</f>
        <v>9.9999999999999985E-3</v>
      </c>
      <c r="V1263" s="97">
        <f>0.022-V$1261</f>
        <v>9.9999999999999985E-3</v>
      </c>
      <c r="W1263" s="97">
        <f>0.022-W$1261</f>
        <v>9.9999999999999985E-3</v>
      </c>
      <c r="X1263" s="97">
        <f>0.022-X$1261</f>
        <v>9.9999999999999985E-3</v>
      </c>
      <c r="Y1263" s="97">
        <f>0.022-Y$1261</f>
        <v>9.9999999999999985E-3</v>
      </c>
      <c r="Z1263" s="97">
        <f t="shared" ref="Z1263:AA1263" si="474">0.022-Z$1261</f>
        <v>9.9999999999999985E-3</v>
      </c>
      <c r="AA1263" s="97">
        <f t="shared" si="474"/>
        <v>9.9999999999999985E-3</v>
      </c>
      <c r="AB1263" s="255">
        <f t="shared" ref="AB1263:AE1264" si="475">AA1263</f>
        <v>9.9999999999999985E-3</v>
      </c>
      <c r="AC1263" s="255">
        <f t="shared" si="475"/>
        <v>9.9999999999999985E-3</v>
      </c>
      <c r="AD1263" s="255">
        <f t="shared" si="475"/>
        <v>9.9999999999999985E-3</v>
      </c>
      <c r="AE1263" s="255">
        <f t="shared" si="475"/>
        <v>9.9999999999999985E-3</v>
      </c>
      <c r="AF1263" s="76"/>
      <c r="AG1263" s="76"/>
      <c r="AH1263" s="76"/>
      <c r="AI1263" s="97">
        <v>1</v>
      </c>
      <c r="AJ1263" s="97">
        <v>1</v>
      </c>
      <c r="AK1263" s="73"/>
      <c r="AL1263" s="57"/>
      <c r="AM1263" s="45"/>
      <c r="AN1263" s="45"/>
      <c r="AO1263" s="45"/>
    </row>
    <row r="1264" spans="1:41" hidden="1" outlineLevel="2" collapsed="1" x14ac:dyDescent="0.25">
      <c r="A1264" s="45"/>
      <c r="B1264" s="54"/>
      <c r="C1264" s="47">
        <f>INT($C$29)+2</f>
        <v>3</v>
      </c>
      <c r="D1264" s="73"/>
      <c r="E1264" s="70"/>
      <c r="F1264" s="70" t="s">
        <v>1816</v>
      </c>
      <c r="G1264" s="73"/>
      <c r="H1264" s="76" t="s">
        <v>1817</v>
      </c>
      <c r="I1264" s="96" t="s">
        <v>2141</v>
      </c>
      <c r="J1264" s="96"/>
      <c r="K1264" s="76"/>
      <c r="L1264" s="76"/>
      <c r="M1264" s="76"/>
      <c r="N1264" s="76"/>
      <c r="O1264" s="76"/>
      <c r="P1264" s="76"/>
      <c r="Q1264" s="76"/>
      <c r="R1264" s="76"/>
      <c r="S1264" s="76"/>
      <c r="T1264" s="76"/>
      <c r="U1264" s="281">
        <f>0.021-U$1261</f>
        <v>9.0000000000000011E-3</v>
      </c>
      <c r="V1264" s="97">
        <f>0.021-V$1261</f>
        <v>9.0000000000000011E-3</v>
      </c>
      <c r="W1264" s="97">
        <f>0.021-W$1261</f>
        <v>9.0000000000000011E-3</v>
      </c>
      <c r="X1264" s="97">
        <f>0.021-X$1261</f>
        <v>9.0000000000000011E-3</v>
      </c>
      <c r="Y1264" s="97">
        <f>0.021-Y$1261</f>
        <v>9.0000000000000011E-3</v>
      </c>
      <c r="Z1264" s="97">
        <f t="shared" ref="Z1264:AA1264" si="476">0.021-Z$1261</f>
        <v>9.0000000000000011E-3</v>
      </c>
      <c r="AA1264" s="97">
        <f t="shared" si="476"/>
        <v>9.0000000000000011E-3</v>
      </c>
      <c r="AB1264" s="255">
        <f t="shared" si="475"/>
        <v>9.0000000000000011E-3</v>
      </c>
      <c r="AC1264" s="255">
        <f t="shared" si="475"/>
        <v>9.0000000000000011E-3</v>
      </c>
      <c r="AD1264" s="255">
        <f t="shared" si="475"/>
        <v>9.0000000000000011E-3</v>
      </c>
      <c r="AE1264" s="255">
        <f t="shared" si="475"/>
        <v>9.0000000000000011E-3</v>
      </c>
      <c r="AF1264" s="76"/>
      <c r="AG1264" s="76"/>
      <c r="AH1264" s="76"/>
      <c r="AI1264" s="97">
        <v>1</v>
      </c>
      <c r="AJ1264" s="97">
        <v>1</v>
      </c>
      <c r="AK1264" s="73"/>
      <c r="AL1264" s="57"/>
      <c r="AM1264" s="45"/>
      <c r="AN1264" s="45"/>
      <c r="AO1264" s="45"/>
    </row>
    <row r="1265" spans="1:41" hidden="1" outlineLevel="3" x14ac:dyDescent="0.25">
      <c r="A1265" s="45"/>
      <c r="B1265" s="54"/>
      <c r="C1265" s="47">
        <f>INT($C$29)+3</f>
        <v>4</v>
      </c>
      <c r="D1265" s="73"/>
      <c r="E1265" s="70"/>
      <c r="F1265" s="70" t="s">
        <v>1818</v>
      </c>
      <c r="G1265" s="73"/>
      <c r="H1265" s="76" t="s">
        <v>1819</v>
      </c>
      <c r="I1265" s="76"/>
      <c r="J1265" s="76"/>
      <c r="K1265" s="76"/>
      <c r="L1265" s="76"/>
      <c r="M1265" s="76"/>
      <c r="N1265" s="76"/>
      <c r="O1265" s="76"/>
      <c r="P1265" s="76"/>
      <c r="Q1265" s="76"/>
      <c r="R1265" s="76"/>
      <c r="S1265" s="76"/>
      <c r="T1265" s="76"/>
      <c r="U1265" s="76">
        <v>0</v>
      </c>
      <c r="V1265" s="76">
        <v>0</v>
      </c>
      <c r="W1265" s="76">
        <v>0</v>
      </c>
      <c r="X1265" s="76">
        <v>0</v>
      </c>
      <c r="Y1265" s="76">
        <v>0</v>
      </c>
      <c r="Z1265" s="76">
        <v>0</v>
      </c>
      <c r="AA1265" s="76">
        <v>0</v>
      </c>
      <c r="AB1265" s="76">
        <v>0</v>
      </c>
      <c r="AC1265" s="76">
        <v>0</v>
      </c>
      <c r="AD1265" s="76">
        <v>0</v>
      </c>
      <c r="AE1265" s="76">
        <v>0</v>
      </c>
      <c r="AF1265" s="76"/>
      <c r="AG1265" s="76"/>
      <c r="AH1265" s="76"/>
      <c r="AI1265" s="76">
        <v>1</v>
      </c>
      <c r="AJ1265" s="76">
        <v>1</v>
      </c>
      <c r="AK1265" s="73"/>
      <c r="AL1265" s="57"/>
      <c r="AM1265" s="45"/>
      <c r="AN1265" s="45"/>
      <c r="AO1265" s="45"/>
    </row>
    <row r="1266" spans="1:41" hidden="1" outlineLevel="3" x14ac:dyDescent="0.25">
      <c r="A1266" s="45"/>
      <c r="B1266" s="54"/>
      <c r="C1266" s="47">
        <f>INT($C$29)+3</f>
        <v>4</v>
      </c>
      <c r="D1266" s="73"/>
      <c r="E1266" s="70"/>
      <c r="F1266" s="70" t="s">
        <v>1820</v>
      </c>
      <c r="G1266" s="73"/>
      <c r="H1266" s="76" t="s">
        <v>1821</v>
      </c>
      <c r="I1266" s="76"/>
      <c r="J1266" s="76"/>
      <c r="K1266" s="76"/>
      <c r="L1266" s="76"/>
      <c r="M1266" s="76"/>
      <c r="N1266" s="76"/>
      <c r="O1266" s="76"/>
      <c r="P1266" s="76"/>
      <c r="Q1266" s="76"/>
      <c r="R1266" s="76"/>
      <c r="S1266" s="76"/>
      <c r="T1266" s="76"/>
      <c r="U1266" s="76">
        <v>0</v>
      </c>
      <c r="V1266" s="76">
        <v>0</v>
      </c>
      <c r="W1266" s="76">
        <v>0</v>
      </c>
      <c r="X1266" s="76">
        <v>0</v>
      </c>
      <c r="Y1266" s="76">
        <v>0</v>
      </c>
      <c r="Z1266" s="76">
        <v>0</v>
      </c>
      <c r="AA1266" s="76">
        <v>0</v>
      </c>
      <c r="AB1266" s="76">
        <v>0</v>
      </c>
      <c r="AC1266" s="76">
        <v>0</v>
      </c>
      <c r="AD1266" s="76">
        <v>0</v>
      </c>
      <c r="AE1266" s="76">
        <v>0</v>
      </c>
      <c r="AF1266" s="76"/>
      <c r="AG1266" s="76"/>
      <c r="AH1266" s="76"/>
      <c r="AI1266" s="76">
        <v>1</v>
      </c>
      <c r="AJ1266" s="76">
        <v>1</v>
      </c>
      <c r="AK1266" s="73"/>
      <c r="AL1266" s="57"/>
      <c r="AM1266" s="45"/>
      <c r="AN1266" s="45"/>
      <c r="AO1266" s="45"/>
    </row>
    <row r="1267" spans="1:41" hidden="1" outlineLevel="3" x14ac:dyDescent="0.25">
      <c r="A1267" s="45"/>
      <c r="B1267" s="54"/>
      <c r="C1267" s="47">
        <f>INT($C$29)+3</f>
        <v>4</v>
      </c>
      <c r="D1267" s="73"/>
      <c r="E1267" s="70"/>
      <c r="F1267" s="70" t="s">
        <v>1822</v>
      </c>
      <c r="G1267" s="73"/>
      <c r="H1267" s="76" t="s">
        <v>1823</v>
      </c>
      <c r="I1267" s="76"/>
      <c r="J1267" s="76"/>
      <c r="K1267" s="76"/>
      <c r="L1267" s="76"/>
      <c r="M1267" s="76"/>
      <c r="N1267" s="76"/>
      <c r="O1267" s="76"/>
      <c r="P1267" s="76"/>
      <c r="Q1267" s="76"/>
      <c r="R1267" s="76"/>
      <c r="S1267" s="76"/>
      <c r="T1267" s="76"/>
      <c r="U1267" s="76">
        <v>0</v>
      </c>
      <c r="V1267" s="76">
        <v>0</v>
      </c>
      <c r="W1267" s="76">
        <v>0</v>
      </c>
      <c r="X1267" s="76">
        <v>0</v>
      </c>
      <c r="Y1267" s="76">
        <v>0</v>
      </c>
      <c r="Z1267" s="76">
        <v>0</v>
      </c>
      <c r="AA1267" s="76">
        <v>0</v>
      </c>
      <c r="AB1267" s="76">
        <v>0</v>
      </c>
      <c r="AC1267" s="76">
        <v>0</v>
      </c>
      <c r="AD1267" s="76">
        <v>0</v>
      </c>
      <c r="AE1267" s="76">
        <v>0</v>
      </c>
      <c r="AF1267" s="76"/>
      <c r="AG1267" s="76"/>
      <c r="AH1267" s="76"/>
      <c r="AI1267" s="76">
        <v>1</v>
      </c>
      <c r="AJ1267" s="76">
        <v>1</v>
      </c>
      <c r="AK1267" s="73"/>
      <c r="AL1267" s="57"/>
      <c r="AM1267" s="45"/>
      <c r="AN1267" s="45"/>
      <c r="AO1267" s="45"/>
    </row>
    <row r="1268" spans="1:41" hidden="1" outlineLevel="2" x14ac:dyDescent="0.25">
      <c r="A1268" s="45"/>
      <c r="B1268" s="54"/>
      <c r="C1268" s="47">
        <f>INT($C$29)+2</f>
        <v>3</v>
      </c>
      <c r="D1268" s="73"/>
      <c r="E1268" s="70"/>
      <c r="F1268" s="70" t="s">
        <v>1824</v>
      </c>
      <c r="G1268" s="73"/>
      <c r="H1268" s="76" t="s">
        <v>1825</v>
      </c>
      <c r="I1268" s="76"/>
      <c r="J1268" s="76"/>
      <c r="K1268" s="76"/>
      <c r="L1268" s="76"/>
      <c r="M1268" s="76"/>
      <c r="N1268" s="76"/>
      <c r="O1268" s="76"/>
      <c r="P1268" s="76"/>
      <c r="Q1268" s="76"/>
      <c r="R1268" s="76"/>
      <c r="S1268" s="76"/>
      <c r="T1268" s="76"/>
      <c r="U1268" s="97">
        <v>0</v>
      </c>
      <c r="V1268" s="97">
        <v>0</v>
      </c>
      <c r="W1268" s="97">
        <v>0</v>
      </c>
      <c r="X1268" s="97">
        <v>0</v>
      </c>
      <c r="Y1268" s="97">
        <v>0</v>
      </c>
      <c r="Z1268" s="97">
        <v>0</v>
      </c>
      <c r="AA1268" s="97">
        <v>0</v>
      </c>
      <c r="AB1268" s="255">
        <f t="shared" ref="AB1268:AE1269" si="477">AA1268</f>
        <v>0</v>
      </c>
      <c r="AC1268" s="255">
        <f t="shared" si="477"/>
        <v>0</v>
      </c>
      <c r="AD1268" s="255">
        <f t="shared" si="477"/>
        <v>0</v>
      </c>
      <c r="AE1268" s="255">
        <f t="shared" si="477"/>
        <v>0</v>
      </c>
      <c r="AF1268" s="76"/>
      <c r="AG1268" s="97" t="s">
        <v>2139</v>
      </c>
      <c r="AH1268" s="76"/>
      <c r="AI1268" s="97">
        <v>1</v>
      </c>
      <c r="AJ1268" s="97">
        <v>1</v>
      </c>
      <c r="AK1268" s="73"/>
      <c r="AL1268" s="57"/>
      <c r="AM1268" s="45"/>
      <c r="AN1268" s="45"/>
      <c r="AO1268" s="45"/>
    </row>
    <row r="1269" spans="1:41" hidden="1" outlineLevel="2" x14ac:dyDescent="0.25">
      <c r="A1269" s="45"/>
      <c r="B1269" s="54"/>
      <c r="C1269" s="47">
        <f>INT($C$29)+2</f>
        <v>3</v>
      </c>
      <c r="D1269" s="73"/>
      <c r="E1269" s="70"/>
      <c r="F1269" s="70" t="s">
        <v>1826</v>
      </c>
      <c r="G1269" s="73"/>
      <c r="H1269" s="76" t="s">
        <v>1827</v>
      </c>
      <c r="I1269" s="96" t="s">
        <v>2144</v>
      </c>
      <c r="J1269" s="96"/>
      <c r="K1269" s="76"/>
      <c r="L1269" s="76"/>
      <c r="M1269" s="76"/>
      <c r="N1269" s="76"/>
      <c r="O1269" s="76"/>
      <c r="P1269" s="76"/>
      <c r="Q1269" s="76"/>
      <c r="R1269" s="76"/>
      <c r="S1269" s="76"/>
      <c r="T1269" s="76"/>
      <c r="U1269" s="97">
        <v>0</v>
      </c>
      <c r="V1269" s="97">
        <v>0</v>
      </c>
      <c r="W1269" s="97">
        <v>0</v>
      </c>
      <c r="X1269" s="97">
        <v>0</v>
      </c>
      <c r="Y1269" s="97">
        <v>0</v>
      </c>
      <c r="Z1269" s="97">
        <v>0</v>
      </c>
      <c r="AA1269" s="97">
        <v>0</v>
      </c>
      <c r="AB1269" s="255">
        <f t="shared" si="477"/>
        <v>0</v>
      </c>
      <c r="AC1269" s="255">
        <f t="shared" si="477"/>
        <v>0</v>
      </c>
      <c r="AD1269" s="255">
        <f t="shared" si="477"/>
        <v>0</v>
      </c>
      <c r="AE1269" s="255">
        <f t="shared" si="477"/>
        <v>0</v>
      </c>
      <c r="AF1269" s="76"/>
      <c r="AG1269" s="97" t="s">
        <v>1828</v>
      </c>
      <c r="AH1269" s="76"/>
      <c r="AI1269" s="97">
        <v>1</v>
      </c>
      <c r="AJ1269" s="97">
        <v>1</v>
      </c>
      <c r="AK1269" s="73"/>
      <c r="AL1269" s="57"/>
      <c r="AM1269" s="45"/>
      <c r="AN1269" s="45"/>
      <c r="AO1269" s="45"/>
    </row>
    <row r="1270" spans="1:41" hidden="1" outlineLevel="2" x14ac:dyDescent="0.25">
      <c r="A1270" s="45"/>
      <c r="B1270" s="54"/>
      <c r="C1270" s="47">
        <f>INT($C$29)+2</f>
        <v>3</v>
      </c>
      <c r="D1270" s="73"/>
      <c r="E1270" s="70"/>
      <c r="F1270" s="70" t="s">
        <v>1829</v>
      </c>
      <c r="G1270" s="73"/>
      <c r="H1270" s="76" t="s">
        <v>1830</v>
      </c>
      <c r="I1270" s="96"/>
      <c r="J1270" s="96"/>
      <c r="K1270" s="76"/>
      <c r="L1270" s="76"/>
      <c r="M1270" s="76"/>
      <c r="N1270" s="76"/>
      <c r="O1270" s="76"/>
      <c r="P1270" s="76"/>
      <c r="Q1270" s="76"/>
      <c r="R1270" s="76"/>
      <c r="S1270" s="76"/>
      <c r="T1270" s="76"/>
      <c r="U1270" s="253">
        <f t="shared" ref="U1270:AE1270" si="478">U1271</f>
        <v>-1.9E-2</v>
      </c>
      <c r="V1270" s="253">
        <f t="shared" si="478"/>
        <v>-1.9E-2</v>
      </c>
      <c r="W1270" s="253">
        <f t="shared" si="478"/>
        <v>-1.9E-2</v>
      </c>
      <c r="X1270" s="253">
        <f t="shared" si="478"/>
        <v>-1.9E-2</v>
      </c>
      <c r="Y1270" s="253">
        <f t="shared" si="478"/>
        <v>-1.9E-2</v>
      </c>
      <c r="Z1270" s="253">
        <f t="shared" si="478"/>
        <v>-1.9E-2</v>
      </c>
      <c r="AA1270" s="253">
        <f t="shared" si="478"/>
        <v>-1.9E-2</v>
      </c>
      <c r="AB1270" s="253">
        <f t="shared" si="478"/>
        <v>-1.9E-2</v>
      </c>
      <c r="AC1270" s="253">
        <f t="shared" si="478"/>
        <v>-1.9E-2</v>
      </c>
      <c r="AD1270" s="253">
        <f t="shared" si="478"/>
        <v>-1.9E-2</v>
      </c>
      <c r="AE1270" s="253">
        <f t="shared" si="478"/>
        <v>-1.9E-2</v>
      </c>
      <c r="AF1270" s="76"/>
      <c r="AG1270" s="76"/>
      <c r="AH1270" s="76"/>
      <c r="AI1270" s="253">
        <f>AI1271</f>
        <v>1</v>
      </c>
      <c r="AJ1270" s="253">
        <f>AJ1271</f>
        <v>1</v>
      </c>
      <c r="AK1270" s="73"/>
      <c r="AL1270" s="57"/>
      <c r="AM1270" s="45"/>
      <c r="AN1270" s="45"/>
      <c r="AO1270" s="45"/>
    </row>
    <row r="1271" spans="1:41" hidden="1" outlineLevel="2" x14ac:dyDescent="0.25">
      <c r="A1271" s="45"/>
      <c r="B1271" s="54"/>
      <c r="C1271" s="47">
        <f>INT($C$29)+2</f>
        <v>3</v>
      </c>
      <c r="D1271" s="73"/>
      <c r="E1271" s="70"/>
      <c r="F1271" s="70" t="s">
        <v>1831</v>
      </c>
      <c r="G1271" s="73"/>
      <c r="H1271" s="76" t="s">
        <v>1832</v>
      </c>
      <c r="I1271" s="96" t="s">
        <v>2143</v>
      </c>
      <c r="J1271" s="96"/>
      <c r="K1271" s="76"/>
      <c r="L1271" s="76"/>
      <c r="M1271" s="76"/>
      <c r="N1271" s="76"/>
      <c r="O1271" s="76"/>
      <c r="P1271" s="76"/>
      <c r="Q1271" s="76"/>
      <c r="R1271" s="76"/>
      <c r="S1271" s="76"/>
      <c r="T1271" s="76"/>
      <c r="U1271" s="97">
        <f>-0.019-U$1269</f>
        <v>-1.9E-2</v>
      </c>
      <c r="V1271" s="97">
        <f>-0.019-V$1269</f>
        <v>-1.9E-2</v>
      </c>
      <c r="W1271" s="97">
        <f>-0.019-W$1269</f>
        <v>-1.9E-2</v>
      </c>
      <c r="X1271" s="97">
        <f>-0.019-X$1269</f>
        <v>-1.9E-2</v>
      </c>
      <c r="Y1271" s="97">
        <f>-0.019-Y$1269</f>
        <v>-1.9E-2</v>
      </c>
      <c r="Z1271" s="97">
        <f t="shared" ref="Z1271:AA1271" si="479">-0.019-Z$1269</f>
        <v>-1.9E-2</v>
      </c>
      <c r="AA1271" s="97">
        <f t="shared" si="479"/>
        <v>-1.9E-2</v>
      </c>
      <c r="AB1271" s="255">
        <f t="shared" ref="AB1271:AE1272" si="480">AA1271</f>
        <v>-1.9E-2</v>
      </c>
      <c r="AC1271" s="255">
        <f t="shared" si="480"/>
        <v>-1.9E-2</v>
      </c>
      <c r="AD1271" s="255">
        <f t="shared" si="480"/>
        <v>-1.9E-2</v>
      </c>
      <c r="AE1271" s="255">
        <f t="shared" si="480"/>
        <v>-1.9E-2</v>
      </c>
      <c r="AF1271" s="76"/>
      <c r="AG1271" s="76"/>
      <c r="AH1271" s="76"/>
      <c r="AI1271" s="97">
        <v>1</v>
      </c>
      <c r="AJ1271" s="97">
        <v>1</v>
      </c>
      <c r="AK1271" s="73"/>
      <c r="AL1271" s="57"/>
      <c r="AM1271" s="45"/>
      <c r="AN1271" s="45"/>
      <c r="AO1271" s="45"/>
    </row>
    <row r="1272" spans="1:41" hidden="1" outlineLevel="2" collapsed="1" x14ac:dyDescent="0.25">
      <c r="A1272" s="45"/>
      <c r="B1272" s="54"/>
      <c r="C1272" s="47">
        <f>INT($C$29)+2</f>
        <v>3</v>
      </c>
      <c r="D1272" s="73"/>
      <c r="E1272" s="70"/>
      <c r="F1272" s="70" t="s">
        <v>1833</v>
      </c>
      <c r="G1272" s="73"/>
      <c r="H1272" s="76" t="s">
        <v>1834</v>
      </c>
      <c r="I1272" s="96" t="s">
        <v>2143</v>
      </c>
      <c r="J1272" s="96"/>
      <c r="K1272" s="76"/>
      <c r="L1272" s="76"/>
      <c r="M1272" s="76"/>
      <c r="N1272" s="76"/>
      <c r="O1272" s="76"/>
      <c r="P1272" s="76"/>
      <c r="Q1272" s="76"/>
      <c r="R1272" s="76"/>
      <c r="S1272" s="76"/>
      <c r="T1272" s="76"/>
      <c r="U1272" s="97">
        <f>-0.031-U$1269</f>
        <v>-3.1E-2</v>
      </c>
      <c r="V1272" s="97">
        <f>-0.031-V$1269</f>
        <v>-3.1E-2</v>
      </c>
      <c r="W1272" s="97">
        <f>-0.031-W$1269</f>
        <v>-3.1E-2</v>
      </c>
      <c r="X1272" s="97">
        <f>-0.031-X$1269</f>
        <v>-3.1E-2</v>
      </c>
      <c r="Y1272" s="97">
        <f>-0.031-Y$1269</f>
        <v>-3.1E-2</v>
      </c>
      <c r="Z1272" s="97">
        <f t="shared" ref="Z1272:AA1272" si="481">-0.031-Z$1269</f>
        <v>-3.1E-2</v>
      </c>
      <c r="AA1272" s="97">
        <f t="shared" si="481"/>
        <v>-3.1E-2</v>
      </c>
      <c r="AB1272" s="255">
        <f t="shared" si="480"/>
        <v>-3.1E-2</v>
      </c>
      <c r="AC1272" s="255">
        <f t="shared" si="480"/>
        <v>-3.1E-2</v>
      </c>
      <c r="AD1272" s="255">
        <f t="shared" si="480"/>
        <v>-3.1E-2</v>
      </c>
      <c r="AE1272" s="255">
        <f t="shared" si="480"/>
        <v>-3.1E-2</v>
      </c>
      <c r="AF1272" s="76"/>
      <c r="AG1272" s="76"/>
      <c r="AH1272" s="76"/>
      <c r="AI1272" s="97">
        <v>1</v>
      </c>
      <c r="AJ1272" s="97">
        <v>1</v>
      </c>
      <c r="AK1272" s="73"/>
      <c r="AL1272" s="57"/>
      <c r="AM1272" s="45"/>
      <c r="AN1272" s="45"/>
      <c r="AO1272" s="45"/>
    </row>
    <row r="1273" spans="1:41" hidden="1" outlineLevel="3" x14ac:dyDescent="0.25">
      <c r="A1273" s="45"/>
      <c r="B1273" s="54"/>
      <c r="C1273" s="47">
        <f>INT($C$29)+3</f>
        <v>4</v>
      </c>
      <c r="D1273" s="73"/>
      <c r="E1273" s="70"/>
      <c r="F1273" s="70" t="s">
        <v>1835</v>
      </c>
      <c r="G1273" s="73"/>
      <c r="H1273" s="76" t="s">
        <v>1836</v>
      </c>
      <c r="I1273" s="76"/>
      <c r="J1273" s="76"/>
      <c r="K1273" s="76"/>
      <c r="L1273" s="76"/>
      <c r="M1273" s="76"/>
      <c r="N1273" s="76"/>
      <c r="O1273" s="76"/>
      <c r="P1273" s="76"/>
      <c r="Q1273" s="76"/>
      <c r="R1273" s="76"/>
      <c r="S1273" s="76"/>
      <c r="T1273" s="76"/>
      <c r="U1273" s="76">
        <v>0</v>
      </c>
      <c r="V1273" s="76">
        <v>0</v>
      </c>
      <c r="W1273" s="76">
        <v>0</v>
      </c>
      <c r="X1273" s="76">
        <v>0</v>
      </c>
      <c r="Y1273" s="76">
        <v>0</v>
      </c>
      <c r="Z1273" s="76">
        <v>0</v>
      </c>
      <c r="AA1273" s="76">
        <v>0</v>
      </c>
      <c r="AB1273" s="76">
        <v>0</v>
      </c>
      <c r="AC1273" s="76">
        <v>0</v>
      </c>
      <c r="AD1273" s="76">
        <v>0</v>
      </c>
      <c r="AE1273" s="76">
        <v>0</v>
      </c>
      <c r="AF1273" s="76"/>
      <c r="AG1273" s="76"/>
      <c r="AH1273" s="76"/>
      <c r="AI1273" s="76">
        <v>1</v>
      </c>
      <c r="AJ1273" s="76">
        <v>1</v>
      </c>
      <c r="AK1273" s="73"/>
      <c r="AL1273" s="57"/>
      <c r="AM1273" s="45"/>
      <c r="AN1273" s="45"/>
      <c r="AO1273" s="45"/>
    </row>
    <row r="1274" spans="1:41" hidden="1" outlineLevel="3" x14ac:dyDescent="0.25">
      <c r="A1274" s="45"/>
      <c r="B1274" s="54"/>
      <c r="C1274" s="47">
        <f>INT($C$29)+3</f>
        <v>4</v>
      </c>
      <c r="D1274" s="73"/>
      <c r="E1274" s="70"/>
      <c r="F1274" s="70" t="s">
        <v>1837</v>
      </c>
      <c r="G1274" s="73"/>
      <c r="H1274" s="76" t="s">
        <v>1838</v>
      </c>
      <c r="I1274" s="76"/>
      <c r="J1274" s="76"/>
      <c r="K1274" s="76"/>
      <c r="L1274" s="76"/>
      <c r="M1274" s="76"/>
      <c r="N1274" s="76"/>
      <c r="O1274" s="76"/>
      <c r="P1274" s="76"/>
      <c r="Q1274" s="76"/>
      <c r="R1274" s="76"/>
      <c r="S1274" s="76"/>
      <c r="T1274" s="76"/>
      <c r="U1274" s="76">
        <v>0</v>
      </c>
      <c r="V1274" s="76">
        <v>0</v>
      </c>
      <c r="W1274" s="76">
        <v>0</v>
      </c>
      <c r="X1274" s="76">
        <v>0</v>
      </c>
      <c r="Y1274" s="76">
        <v>0</v>
      </c>
      <c r="Z1274" s="76">
        <v>0</v>
      </c>
      <c r="AA1274" s="76">
        <v>0</v>
      </c>
      <c r="AB1274" s="76">
        <v>0</v>
      </c>
      <c r="AC1274" s="76">
        <v>0</v>
      </c>
      <c r="AD1274" s="76">
        <v>0</v>
      </c>
      <c r="AE1274" s="76">
        <v>0</v>
      </c>
      <c r="AF1274" s="76"/>
      <c r="AG1274" s="76"/>
      <c r="AH1274" s="76"/>
      <c r="AI1274" s="76">
        <v>1</v>
      </c>
      <c r="AJ1274" s="76">
        <v>1</v>
      </c>
      <c r="AK1274" s="73"/>
      <c r="AL1274" s="57"/>
      <c r="AM1274" s="45"/>
      <c r="AN1274" s="45"/>
      <c r="AO1274" s="45"/>
    </row>
    <row r="1275" spans="1:41" hidden="1" outlineLevel="3" x14ac:dyDescent="0.25">
      <c r="A1275" s="45"/>
      <c r="B1275" s="54"/>
      <c r="C1275" s="47">
        <f>INT($C$29)+3</f>
        <v>4</v>
      </c>
      <c r="D1275" s="73"/>
      <c r="E1275" s="70"/>
      <c r="F1275" s="70" t="s">
        <v>1839</v>
      </c>
      <c r="G1275" s="73"/>
      <c r="H1275" s="76" t="s">
        <v>1840</v>
      </c>
      <c r="I1275" s="76"/>
      <c r="J1275" s="76"/>
      <c r="K1275" s="76"/>
      <c r="L1275" s="76"/>
      <c r="M1275" s="76"/>
      <c r="N1275" s="76"/>
      <c r="O1275" s="76"/>
      <c r="P1275" s="76"/>
      <c r="Q1275" s="76"/>
      <c r="R1275" s="76"/>
      <c r="S1275" s="76"/>
      <c r="T1275" s="76"/>
      <c r="U1275" s="76">
        <v>0</v>
      </c>
      <c r="V1275" s="76">
        <v>0</v>
      </c>
      <c r="W1275" s="76">
        <v>0</v>
      </c>
      <c r="X1275" s="76">
        <v>0</v>
      </c>
      <c r="Y1275" s="76">
        <v>0</v>
      </c>
      <c r="Z1275" s="76">
        <v>0</v>
      </c>
      <c r="AA1275" s="76">
        <v>0</v>
      </c>
      <c r="AB1275" s="76">
        <v>0</v>
      </c>
      <c r="AC1275" s="76">
        <v>0</v>
      </c>
      <c r="AD1275" s="76">
        <v>0</v>
      </c>
      <c r="AE1275" s="76">
        <v>0</v>
      </c>
      <c r="AF1275" s="76"/>
      <c r="AG1275" s="76"/>
      <c r="AH1275" s="76"/>
      <c r="AI1275" s="76">
        <v>1</v>
      </c>
      <c r="AJ1275" s="76">
        <v>1</v>
      </c>
      <c r="AK1275" s="73"/>
      <c r="AL1275" s="57"/>
      <c r="AM1275" s="45"/>
      <c r="AN1275" s="45"/>
      <c r="AO1275" s="45"/>
    </row>
    <row r="1276" spans="1:41" hidden="1" outlineLevel="2" collapsed="1" x14ac:dyDescent="0.25">
      <c r="A1276" s="45"/>
      <c r="B1276" s="54"/>
      <c r="C1276" s="47">
        <f>INT($C$29)+2</f>
        <v>3</v>
      </c>
      <c r="D1276" s="73"/>
      <c r="E1276" s="70"/>
      <c r="F1276" s="70" t="s">
        <v>1841</v>
      </c>
      <c r="G1276" s="73"/>
      <c r="H1276" s="76" t="s">
        <v>1720</v>
      </c>
      <c r="I1276" s="76"/>
      <c r="J1276" s="76"/>
      <c r="K1276" s="76"/>
      <c r="L1276" s="76"/>
      <c r="M1276" s="76"/>
      <c r="N1276" s="76"/>
      <c r="O1276" s="76"/>
      <c r="P1276" s="76"/>
      <c r="Q1276" s="76"/>
      <c r="R1276" s="76"/>
      <c r="S1276" s="76"/>
      <c r="T1276" s="76"/>
      <c r="U1276" s="97">
        <v>0</v>
      </c>
      <c r="V1276" s="97">
        <v>0</v>
      </c>
      <c r="W1276" s="97">
        <v>0</v>
      </c>
      <c r="X1276" s="97">
        <v>0</v>
      </c>
      <c r="Y1276" s="97">
        <v>0</v>
      </c>
      <c r="Z1276" s="97">
        <v>0</v>
      </c>
      <c r="AA1276" s="97">
        <v>0</v>
      </c>
      <c r="AB1276" s="255">
        <f>AA1276</f>
        <v>0</v>
      </c>
      <c r="AC1276" s="255">
        <f>AB1276</f>
        <v>0</v>
      </c>
      <c r="AD1276" s="255">
        <f>AC1276</f>
        <v>0</v>
      </c>
      <c r="AE1276" s="255">
        <f>AD1276</f>
        <v>0</v>
      </c>
      <c r="AF1276" s="76"/>
      <c r="AG1276" s="97" t="s">
        <v>2139</v>
      </c>
      <c r="AH1276" s="76"/>
      <c r="AI1276" s="97">
        <v>1</v>
      </c>
      <c r="AJ1276" s="97">
        <v>1</v>
      </c>
      <c r="AK1276" s="73"/>
      <c r="AL1276" s="57"/>
      <c r="AM1276" s="45"/>
      <c r="AN1276" s="45"/>
      <c r="AO1276" s="45"/>
    </row>
    <row r="1277" spans="1:41" hidden="1" outlineLevel="3" x14ac:dyDescent="0.25">
      <c r="A1277" s="45"/>
      <c r="B1277" s="54"/>
      <c r="C1277" s="47">
        <f t="shared" ref="C1277:C1292" si="482">INT($C$29)+3</f>
        <v>4</v>
      </c>
      <c r="D1277" s="73"/>
      <c r="E1277" s="70"/>
      <c r="F1277" s="70" t="s">
        <v>1842</v>
      </c>
      <c r="G1277" s="73"/>
      <c r="H1277" s="76" t="s">
        <v>599</v>
      </c>
      <c r="I1277" s="76"/>
      <c r="J1277" s="76"/>
      <c r="K1277" s="76"/>
      <c r="L1277" s="76"/>
      <c r="M1277" s="76"/>
      <c r="N1277" s="76"/>
      <c r="O1277" s="76"/>
      <c r="P1277" s="76"/>
      <c r="Q1277" s="76"/>
      <c r="R1277" s="76"/>
      <c r="S1277" s="76"/>
      <c r="T1277" s="76"/>
      <c r="U1277" s="76"/>
      <c r="V1277" s="76"/>
      <c r="W1277" s="76"/>
      <c r="X1277" s="76"/>
      <c r="Y1277" s="76"/>
      <c r="Z1277" s="76"/>
      <c r="AA1277" s="76"/>
      <c r="AB1277" s="76"/>
      <c r="AC1277" s="76"/>
      <c r="AD1277" s="76"/>
      <c r="AE1277" s="76"/>
      <c r="AF1277" s="76"/>
      <c r="AG1277" s="76"/>
      <c r="AH1277" s="76"/>
      <c r="AI1277" s="76">
        <v>1</v>
      </c>
      <c r="AJ1277" s="76">
        <v>1</v>
      </c>
      <c r="AK1277" s="73"/>
      <c r="AL1277" s="57"/>
      <c r="AM1277" s="45"/>
      <c r="AN1277" s="45"/>
      <c r="AO1277" s="45"/>
    </row>
    <row r="1278" spans="1:41" hidden="1" outlineLevel="3" x14ac:dyDescent="0.25">
      <c r="A1278" s="45"/>
      <c r="B1278" s="54"/>
      <c r="C1278" s="47">
        <f t="shared" si="482"/>
        <v>4</v>
      </c>
      <c r="D1278" s="73"/>
      <c r="E1278" s="70"/>
      <c r="F1278" s="70" t="s">
        <v>1843</v>
      </c>
      <c r="G1278" s="73"/>
      <c r="H1278" s="76"/>
      <c r="I1278" s="76"/>
      <c r="J1278" s="76"/>
      <c r="K1278" s="76"/>
      <c r="L1278" s="76"/>
      <c r="M1278" s="76"/>
      <c r="N1278" s="76"/>
      <c r="O1278" s="76"/>
      <c r="P1278" s="76"/>
      <c r="Q1278" s="76"/>
      <c r="R1278" s="76"/>
      <c r="S1278" s="76"/>
      <c r="T1278" s="76"/>
      <c r="U1278" s="76"/>
      <c r="V1278" s="76"/>
      <c r="W1278" s="76"/>
      <c r="X1278" s="76"/>
      <c r="Y1278" s="76"/>
      <c r="Z1278" s="76"/>
      <c r="AA1278" s="76"/>
      <c r="AB1278" s="76"/>
      <c r="AC1278" s="76"/>
      <c r="AD1278" s="76"/>
      <c r="AE1278" s="76"/>
      <c r="AF1278" s="76"/>
      <c r="AG1278" s="76"/>
      <c r="AH1278" s="76"/>
      <c r="AI1278" s="76">
        <v>1</v>
      </c>
      <c r="AJ1278" s="76">
        <v>1</v>
      </c>
      <c r="AK1278" s="73"/>
      <c r="AL1278" s="57"/>
      <c r="AM1278" s="45"/>
      <c r="AN1278" s="45"/>
      <c r="AO1278" s="45"/>
    </row>
    <row r="1279" spans="1:41" hidden="1" outlineLevel="3" x14ac:dyDescent="0.25">
      <c r="A1279" s="45"/>
      <c r="B1279" s="54"/>
      <c r="C1279" s="47">
        <f t="shared" si="482"/>
        <v>4</v>
      </c>
      <c r="D1279" s="73"/>
      <c r="E1279" s="70"/>
      <c r="F1279" s="70" t="s">
        <v>1844</v>
      </c>
      <c r="G1279" s="73"/>
      <c r="H1279" s="76"/>
      <c r="I1279" s="76"/>
      <c r="J1279" s="76"/>
      <c r="K1279" s="76"/>
      <c r="L1279" s="76"/>
      <c r="M1279" s="76"/>
      <c r="N1279" s="76"/>
      <c r="O1279" s="76"/>
      <c r="P1279" s="76"/>
      <c r="Q1279" s="76"/>
      <c r="R1279" s="76"/>
      <c r="S1279" s="76"/>
      <c r="T1279" s="76"/>
      <c r="U1279" s="76"/>
      <c r="V1279" s="76"/>
      <c r="W1279" s="76"/>
      <c r="X1279" s="76"/>
      <c r="Y1279" s="76"/>
      <c r="Z1279" s="76"/>
      <c r="AA1279" s="76"/>
      <c r="AB1279" s="76"/>
      <c r="AC1279" s="76"/>
      <c r="AD1279" s="76"/>
      <c r="AE1279" s="76"/>
      <c r="AF1279" s="76"/>
      <c r="AG1279" s="76"/>
      <c r="AH1279" s="76"/>
      <c r="AI1279" s="76">
        <v>1</v>
      </c>
      <c r="AJ1279" s="76">
        <v>1</v>
      </c>
      <c r="AK1279" s="73"/>
      <c r="AL1279" s="57"/>
      <c r="AM1279" s="45"/>
      <c r="AN1279" s="45"/>
      <c r="AO1279" s="45"/>
    </row>
    <row r="1280" spans="1:41" hidden="1" outlineLevel="3" x14ac:dyDescent="0.25">
      <c r="A1280" s="45"/>
      <c r="B1280" s="54"/>
      <c r="C1280" s="47">
        <f t="shared" si="482"/>
        <v>4</v>
      </c>
      <c r="D1280" s="73"/>
      <c r="E1280" s="70"/>
      <c r="F1280" s="70" t="s">
        <v>1845</v>
      </c>
      <c r="G1280" s="73"/>
      <c r="H1280" s="76"/>
      <c r="I1280" s="76"/>
      <c r="J1280" s="76"/>
      <c r="K1280" s="76"/>
      <c r="L1280" s="76"/>
      <c r="M1280" s="76"/>
      <c r="N1280" s="76"/>
      <c r="O1280" s="76"/>
      <c r="P1280" s="76"/>
      <c r="Q1280" s="76"/>
      <c r="R1280" s="76"/>
      <c r="S1280" s="76"/>
      <c r="T1280" s="76"/>
      <c r="U1280" s="76"/>
      <c r="V1280" s="76"/>
      <c r="W1280" s="76"/>
      <c r="X1280" s="76"/>
      <c r="Y1280" s="76"/>
      <c r="Z1280" s="76"/>
      <c r="AA1280" s="76"/>
      <c r="AB1280" s="76"/>
      <c r="AC1280" s="76"/>
      <c r="AD1280" s="76"/>
      <c r="AE1280" s="76"/>
      <c r="AF1280" s="76"/>
      <c r="AG1280" s="76"/>
      <c r="AH1280" s="76"/>
      <c r="AI1280" s="76">
        <v>1</v>
      </c>
      <c r="AJ1280" s="76">
        <v>1</v>
      </c>
      <c r="AK1280" s="73"/>
      <c r="AL1280" s="57"/>
      <c r="AM1280" s="45"/>
      <c r="AN1280" s="45"/>
      <c r="AO1280" s="45"/>
    </row>
    <row r="1281" spans="1:41" hidden="1" outlineLevel="3" x14ac:dyDescent="0.25">
      <c r="A1281" s="45"/>
      <c r="B1281" s="54"/>
      <c r="C1281" s="47">
        <f t="shared" si="482"/>
        <v>4</v>
      </c>
      <c r="D1281" s="73"/>
      <c r="E1281" s="70"/>
      <c r="F1281" s="70" t="s">
        <v>1846</v>
      </c>
      <c r="G1281" s="73"/>
      <c r="H1281" s="76"/>
      <c r="I1281" s="76"/>
      <c r="J1281" s="76"/>
      <c r="K1281" s="76"/>
      <c r="L1281" s="76"/>
      <c r="M1281" s="76"/>
      <c r="N1281" s="76"/>
      <c r="O1281" s="76"/>
      <c r="P1281" s="76"/>
      <c r="Q1281" s="76"/>
      <c r="R1281" s="76"/>
      <c r="S1281" s="76"/>
      <c r="T1281" s="76"/>
      <c r="U1281" s="76"/>
      <c r="V1281" s="76"/>
      <c r="W1281" s="76"/>
      <c r="X1281" s="76"/>
      <c r="Y1281" s="76"/>
      <c r="Z1281" s="76"/>
      <c r="AA1281" s="76"/>
      <c r="AB1281" s="76"/>
      <c r="AC1281" s="76"/>
      <c r="AD1281" s="76"/>
      <c r="AE1281" s="76"/>
      <c r="AF1281" s="76"/>
      <c r="AG1281" s="76"/>
      <c r="AH1281" s="76"/>
      <c r="AI1281" s="76">
        <v>1</v>
      </c>
      <c r="AJ1281" s="76">
        <v>1</v>
      </c>
      <c r="AK1281" s="73"/>
      <c r="AL1281" s="57"/>
      <c r="AM1281" s="45"/>
      <c r="AN1281" s="45"/>
      <c r="AO1281" s="45"/>
    </row>
    <row r="1282" spans="1:41" hidden="1" outlineLevel="3" x14ac:dyDescent="0.25">
      <c r="A1282" s="45"/>
      <c r="B1282" s="54"/>
      <c r="C1282" s="47">
        <f t="shared" si="482"/>
        <v>4</v>
      </c>
      <c r="D1282" s="73"/>
      <c r="E1282" s="70"/>
      <c r="F1282" s="70" t="s">
        <v>1847</v>
      </c>
      <c r="G1282" s="73"/>
      <c r="H1282" s="76"/>
      <c r="I1282" s="76"/>
      <c r="J1282" s="76"/>
      <c r="K1282" s="76"/>
      <c r="L1282" s="76"/>
      <c r="M1282" s="76"/>
      <c r="N1282" s="76"/>
      <c r="O1282" s="76"/>
      <c r="P1282" s="76"/>
      <c r="Q1282" s="76"/>
      <c r="R1282" s="76"/>
      <c r="S1282" s="76"/>
      <c r="T1282" s="76"/>
      <c r="U1282" s="76"/>
      <c r="V1282" s="76"/>
      <c r="W1282" s="76"/>
      <c r="X1282" s="76"/>
      <c r="Y1282" s="76"/>
      <c r="Z1282" s="76"/>
      <c r="AA1282" s="76"/>
      <c r="AB1282" s="76"/>
      <c r="AC1282" s="76"/>
      <c r="AD1282" s="76"/>
      <c r="AE1282" s="76"/>
      <c r="AF1282" s="76"/>
      <c r="AG1282" s="76"/>
      <c r="AH1282" s="76"/>
      <c r="AI1282" s="76">
        <v>1</v>
      </c>
      <c r="AJ1282" s="76">
        <v>1</v>
      </c>
      <c r="AK1282" s="73"/>
      <c r="AL1282" s="57"/>
      <c r="AM1282" s="45"/>
      <c r="AN1282" s="45"/>
      <c r="AO1282" s="45"/>
    </row>
    <row r="1283" spans="1:41" hidden="1" outlineLevel="3" x14ac:dyDescent="0.25">
      <c r="A1283" s="45"/>
      <c r="B1283" s="54"/>
      <c r="C1283" s="47">
        <f t="shared" si="482"/>
        <v>4</v>
      </c>
      <c r="D1283" s="73"/>
      <c r="E1283" s="70"/>
      <c r="F1283" s="70" t="s">
        <v>1848</v>
      </c>
      <c r="G1283" s="73"/>
      <c r="H1283" s="76"/>
      <c r="I1283" s="76"/>
      <c r="J1283" s="76"/>
      <c r="K1283" s="76"/>
      <c r="L1283" s="76"/>
      <c r="M1283" s="76"/>
      <c r="N1283" s="76"/>
      <c r="O1283" s="76"/>
      <c r="P1283" s="76"/>
      <c r="Q1283" s="76"/>
      <c r="R1283" s="76"/>
      <c r="S1283" s="76"/>
      <c r="T1283" s="76"/>
      <c r="U1283" s="76"/>
      <c r="V1283" s="76"/>
      <c r="W1283" s="76"/>
      <c r="X1283" s="76"/>
      <c r="Y1283" s="76"/>
      <c r="Z1283" s="76"/>
      <c r="AA1283" s="76"/>
      <c r="AB1283" s="76"/>
      <c r="AC1283" s="76"/>
      <c r="AD1283" s="76"/>
      <c r="AE1283" s="76"/>
      <c r="AF1283" s="76"/>
      <c r="AG1283" s="76"/>
      <c r="AH1283" s="76"/>
      <c r="AI1283" s="76">
        <v>1</v>
      </c>
      <c r="AJ1283" s="76">
        <v>1</v>
      </c>
      <c r="AK1283" s="73"/>
      <c r="AL1283" s="57"/>
      <c r="AM1283" s="45"/>
      <c r="AN1283" s="45"/>
      <c r="AO1283" s="45"/>
    </row>
    <row r="1284" spans="1:41" hidden="1" outlineLevel="3" x14ac:dyDescent="0.25">
      <c r="A1284" s="45"/>
      <c r="B1284" s="54"/>
      <c r="C1284" s="47">
        <f t="shared" si="482"/>
        <v>4</v>
      </c>
      <c r="D1284" s="73"/>
      <c r="E1284" s="70"/>
      <c r="F1284" s="70" t="s">
        <v>1849</v>
      </c>
      <c r="G1284" s="73"/>
      <c r="H1284" s="76"/>
      <c r="I1284" s="76"/>
      <c r="J1284" s="76"/>
      <c r="K1284" s="76"/>
      <c r="L1284" s="76"/>
      <c r="M1284" s="76"/>
      <c r="N1284" s="76"/>
      <c r="O1284" s="76"/>
      <c r="P1284" s="76"/>
      <c r="Q1284" s="76"/>
      <c r="R1284" s="76"/>
      <c r="S1284" s="76"/>
      <c r="T1284" s="76"/>
      <c r="U1284" s="76"/>
      <c r="V1284" s="76"/>
      <c r="W1284" s="76"/>
      <c r="X1284" s="76"/>
      <c r="Y1284" s="76"/>
      <c r="Z1284" s="76"/>
      <c r="AA1284" s="76"/>
      <c r="AB1284" s="76"/>
      <c r="AC1284" s="76"/>
      <c r="AD1284" s="76"/>
      <c r="AE1284" s="76"/>
      <c r="AF1284" s="76"/>
      <c r="AG1284" s="76"/>
      <c r="AH1284" s="76"/>
      <c r="AI1284" s="76">
        <v>1</v>
      </c>
      <c r="AJ1284" s="76">
        <v>1</v>
      </c>
      <c r="AK1284" s="73"/>
      <c r="AL1284" s="57"/>
      <c r="AM1284" s="45"/>
      <c r="AN1284" s="45"/>
      <c r="AO1284" s="45"/>
    </row>
    <row r="1285" spans="1:41" hidden="1" outlineLevel="3" x14ac:dyDescent="0.25">
      <c r="A1285" s="45"/>
      <c r="B1285" s="54"/>
      <c r="C1285" s="47">
        <f t="shared" si="482"/>
        <v>4</v>
      </c>
      <c r="D1285" s="73"/>
      <c r="E1285" s="70"/>
      <c r="F1285" s="70" t="s">
        <v>1850</v>
      </c>
      <c r="G1285" s="73"/>
      <c r="H1285" s="76" t="s">
        <v>599</v>
      </c>
      <c r="I1285" s="76"/>
      <c r="J1285" s="76"/>
      <c r="K1285" s="76"/>
      <c r="L1285" s="76"/>
      <c r="M1285" s="76"/>
      <c r="N1285" s="76"/>
      <c r="O1285" s="76"/>
      <c r="P1285" s="76"/>
      <c r="Q1285" s="76"/>
      <c r="R1285" s="76"/>
      <c r="S1285" s="76"/>
      <c r="T1285" s="76"/>
      <c r="U1285" s="76"/>
      <c r="V1285" s="76"/>
      <c r="W1285" s="76"/>
      <c r="X1285" s="76"/>
      <c r="Y1285" s="76"/>
      <c r="Z1285" s="76"/>
      <c r="AA1285" s="76"/>
      <c r="AB1285" s="76"/>
      <c r="AC1285" s="76"/>
      <c r="AD1285" s="76"/>
      <c r="AE1285" s="76"/>
      <c r="AF1285" s="76"/>
      <c r="AG1285" s="76"/>
      <c r="AH1285" s="76"/>
      <c r="AI1285" s="76">
        <v>1</v>
      </c>
      <c r="AJ1285" s="76">
        <v>1</v>
      </c>
      <c r="AK1285" s="73"/>
      <c r="AL1285" s="57"/>
      <c r="AM1285" s="45"/>
      <c r="AN1285" s="45"/>
      <c r="AO1285" s="45"/>
    </row>
    <row r="1286" spans="1:41" hidden="1" outlineLevel="3" x14ac:dyDescent="0.25">
      <c r="A1286" s="45"/>
      <c r="B1286" s="54"/>
      <c r="C1286" s="47">
        <f t="shared" si="482"/>
        <v>4</v>
      </c>
      <c r="D1286" s="73"/>
      <c r="E1286" s="70"/>
      <c r="F1286" s="70" t="s">
        <v>1851</v>
      </c>
      <c r="G1286" s="73"/>
      <c r="H1286" s="76"/>
      <c r="I1286" s="76"/>
      <c r="J1286" s="76"/>
      <c r="K1286" s="76"/>
      <c r="L1286" s="76"/>
      <c r="M1286" s="76"/>
      <c r="N1286" s="76"/>
      <c r="O1286" s="76"/>
      <c r="P1286" s="76"/>
      <c r="Q1286" s="76"/>
      <c r="R1286" s="76"/>
      <c r="S1286" s="76"/>
      <c r="T1286" s="76"/>
      <c r="U1286" s="76"/>
      <c r="V1286" s="76"/>
      <c r="W1286" s="76"/>
      <c r="X1286" s="76"/>
      <c r="Y1286" s="76"/>
      <c r="Z1286" s="76"/>
      <c r="AA1286" s="76"/>
      <c r="AB1286" s="76"/>
      <c r="AC1286" s="76"/>
      <c r="AD1286" s="76"/>
      <c r="AE1286" s="76"/>
      <c r="AF1286" s="76"/>
      <c r="AG1286" s="76"/>
      <c r="AH1286" s="76"/>
      <c r="AI1286" s="76">
        <v>1</v>
      </c>
      <c r="AJ1286" s="76">
        <v>1</v>
      </c>
      <c r="AK1286" s="73"/>
      <c r="AL1286" s="57"/>
      <c r="AM1286" s="45"/>
      <c r="AN1286" s="45"/>
      <c r="AO1286" s="45"/>
    </row>
    <row r="1287" spans="1:41" hidden="1" outlineLevel="3" x14ac:dyDescent="0.25">
      <c r="A1287" s="45"/>
      <c r="B1287" s="54"/>
      <c r="C1287" s="47">
        <f t="shared" si="482"/>
        <v>4</v>
      </c>
      <c r="D1287" s="73"/>
      <c r="E1287" s="70"/>
      <c r="F1287" s="70" t="s">
        <v>1852</v>
      </c>
      <c r="G1287" s="73"/>
      <c r="H1287" s="76"/>
      <c r="I1287" s="76"/>
      <c r="J1287" s="76"/>
      <c r="K1287" s="76"/>
      <c r="L1287" s="76"/>
      <c r="M1287" s="76"/>
      <c r="N1287" s="76"/>
      <c r="O1287" s="76"/>
      <c r="P1287" s="76"/>
      <c r="Q1287" s="76"/>
      <c r="R1287" s="76"/>
      <c r="S1287" s="76"/>
      <c r="T1287" s="76"/>
      <c r="U1287" s="76"/>
      <c r="V1287" s="76"/>
      <c r="W1287" s="76"/>
      <c r="X1287" s="76"/>
      <c r="Y1287" s="76"/>
      <c r="Z1287" s="76"/>
      <c r="AA1287" s="76"/>
      <c r="AB1287" s="76"/>
      <c r="AC1287" s="76"/>
      <c r="AD1287" s="76"/>
      <c r="AE1287" s="76"/>
      <c r="AF1287" s="76"/>
      <c r="AG1287" s="76"/>
      <c r="AH1287" s="76"/>
      <c r="AI1287" s="76">
        <v>1</v>
      </c>
      <c r="AJ1287" s="76">
        <v>1</v>
      </c>
      <c r="AK1287" s="73"/>
      <c r="AL1287" s="57"/>
      <c r="AM1287" s="45"/>
      <c r="AN1287" s="45"/>
      <c r="AO1287" s="45"/>
    </row>
    <row r="1288" spans="1:41" hidden="1" outlineLevel="3" x14ac:dyDescent="0.25">
      <c r="A1288" s="45"/>
      <c r="B1288" s="54"/>
      <c r="C1288" s="47">
        <f t="shared" si="482"/>
        <v>4</v>
      </c>
      <c r="D1288" s="73"/>
      <c r="E1288" s="70"/>
      <c r="F1288" s="70" t="s">
        <v>1853</v>
      </c>
      <c r="G1288" s="73"/>
      <c r="H1288" s="76"/>
      <c r="I1288" s="76"/>
      <c r="J1288" s="76"/>
      <c r="K1288" s="76"/>
      <c r="L1288" s="76"/>
      <c r="M1288" s="76"/>
      <c r="N1288" s="76"/>
      <c r="O1288" s="76"/>
      <c r="P1288" s="76"/>
      <c r="Q1288" s="76"/>
      <c r="R1288" s="76"/>
      <c r="S1288" s="76"/>
      <c r="T1288" s="76"/>
      <c r="U1288" s="76"/>
      <c r="V1288" s="76"/>
      <c r="W1288" s="76"/>
      <c r="X1288" s="76"/>
      <c r="Y1288" s="76"/>
      <c r="Z1288" s="76"/>
      <c r="AA1288" s="76"/>
      <c r="AB1288" s="76"/>
      <c r="AC1288" s="76"/>
      <c r="AD1288" s="76"/>
      <c r="AE1288" s="76"/>
      <c r="AF1288" s="76"/>
      <c r="AG1288" s="76"/>
      <c r="AH1288" s="76"/>
      <c r="AI1288" s="76">
        <v>1</v>
      </c>
      <c r="AJ1288" s="76">
        <v>1</v>
      </c>
      <c r="AK1288" s="73"/>
      <c r="AL1288" s="57"/>
      <c r="AM1288" s="45"/>
      <c r="AN1288" s="45"/>
      <c r="AO1288" s="45"/>
    </row>
    <row r="1289" spans="1:41" hidden="1" outlineLevel="3" x14ac:dyDescent="0.25">
      <c r="A1289" s="45"/>
      <c r="B1289" s="54"/>
      <c r="C1289" s="47">
        <f t="shared" si="482"/>
        <v>4</v>
      </c>
      <c r="D1289" s="73"/>
      <c r="E1289" s="70"/>
      <c r="F1289" s="70" t="s">
        <v>1854</v>
      </c>
      <c r="G1289" s="73"/>
      <c r="H1289" s="76"/>
      <c r="I1289" s="76"/>
      <c r="J1289" s="76"/>
      <c r="K1289" s="76"/>
      <c r="L1289" s="76"/>
      <c r="M1289" s="76"/>
      <c r="N1289" s="76"/>
      <c r="O1289" s="76"/>
      <c r="P1289" s="76"/>
      <c r="Q1289" s="76"/>
      <c r="R1289" s="76"/>
      <c r="S1289" s="76"/>
      <c r="T1289" s="76"/>
      <c r="U1289" s="76"/>
      <c r="V1289" s="76"/>
      <c r="W1289" s="76"/>
      <c r="X1289" s="76"/>
      <c r="Y1289" s="76"/>
      <c r="Z1289" s="76"/>
      <c r="AA1289" s="76"/>
      <c r="AB1289" s="76"/>
      <c r="AC1289" s="76"/>
      <c r="AD1289" s="76"/>
      <c r="AE1289" s="76"/>
      <c r="AF1289" s="76"/>
      <c r="AG1289" s="76"/>
      <c r="AH1289" s="76"/>
      <c r="AI1289" s="76">
        <v>1</v>
      </c>
      <c r="AJ1289" s="76">
        <v>1</v>
      </c>
      <c r="AK1289" s="73"/>
      <c r="AL1289" s="57"/>
      <c r="AM1289" s="45"/>
      <c r="AN1289" s="45"/>
      <c r="AO1289" s="45"/>
    </row>
    <row r="1290" spans="1:41" hidden="1" outlineLevel="3" x14ac:dyDescent="0.25">
      <c r="A1290" s="45"/>
      <c r="B1290" s="54"/>
      <c r="C1290" s="47">
        <f t="shared" si="482"/>
        <v>4</v>
      </c>
      <c r="D1290" s="73"/>
      <c r="E1290" s="70"/>
      <c r="F1290" s="70" t="s">
        <v>1855</v>
      </c>
      <c r="G1290" s="73"/>
      <c r="H1290" s="76"/>
      <c r="I1290" s="76"/>
      <c r="J1290" s="76"/>
      <c r="K1290" s="76"/>
      <c r="L1290" s="76"/>
      <c r="M1290" s="76"/>
      <c r="N1290" s="76"/>
      <c r="O1290" s="76"/>
      <c r="P1290" s="76"/>
      <c r="Q1290" s="76"/>
      <c r="R1290" s="76"/>
      <c r="S1290" s="76"/>
      <c r="T1290" s="76"/>
      <c r="U1290" s="76"/>
      <c r="V1290" s="76"/>
      <c r="W1290" s="76"/>
      <c r="X1290" s="76"/>
      <c r="Y1290" s="76"/>
      <c r="Z1290" s="76"/>
      <c r="AA1290" s="76"/>
      <c r="AB1290" s="76"/>
      <c r="AC1290" s="76"/>
      <c r="AD1290" s="76"/>
      <c r="AE1290" s="76"/>
      <c r="AF1290" s="76"/>
      <c r="AG1290" s="76"/>
      <c r="AH1290" s="76"/>
      <c r="AI1290" s="76">
        <v>1</v>
      </c>
      <c r="AJ1290" s="76">
        <v>1</v>
      </c>
      <c r="AK1290" s="73"/>
      <c r="AL1290" s="57"/>
      <c r="AM1290" s="45"/>
      <c r="AN1290" s="45"/>
      <c r="AO1290" s="45"/>
    </row>
    <row r="1291" spans="1:41" hidden="1" outlineLevel="3" x14ac:dyDescent="0.25">
      <c r="A1291" s="45"/>
      <c r="B1291" s="54"/>
      <c r="C1291" s="47">
        <f t="shared" si="482"/>
        <v>4</v>
      </c>
      <c r="D1291" s="73"/>
      <c r="E1291" s="70"/>
      <c r="F1291" s="70" t="s">
        <v>1856</v>
      </c>
      <c r="G1291" s="73"/>
      <c r="H1291" s="76"/>
      <c r="I1291" s="76"/>
      <c r="J1291" s="76"/>
      <c r="K1291" s="76"/>
      <c r="L1291" s="76"/>
      <c r="M1291" s="76"/>
      <c r="N1291" s="76"/>
      <c r="O1291" s="76"/>
      <c r="P1291" s="76"/>
      <c r="Q1291" s="76"/>
      <c r="R1291" s="76"/>
      <c r="S1291" s="76"/>
      <c r="T1291" s="76"/>
      <c r="U1291" s="76"/>
      <c r="V1291" s="76"/>
      <c r="W1291" s="76"/>
      <c r="X1291" s="76"/>
      <c r="Y1291" s="76"/>
      <c r="Z1291" s="76"/>
      <c r="AA1291" s="76"/>
      <c r="AB1291" s="76"/>
      <c r="AC1291" s="76"/>
      <c r="AD1291" s="76"/>
      <c r="AE1291" s="76"/>
      <c r="AF1291" s="76"/>
      <c r="AG1291" s="76"/>
      <c r="AH1291" s="76"/>
      <c r="AI1291" s="76">
        <v>1</v>
      </c>
      <c r="AJ1291" s="76">
        <v>1</v>
      </c>
      <c r="AK1291" s="73"/>
      <c r="AL1291" s="57"/>
      <c r="AM1291" s="45"/>
      <c r="AN1291" s="45"/>
      <c r="AO1291" s="45"/>
    </row>
    <row r="1292" spans="1:41" hidden="1" outlineLevel="3" x14ac:dyDescent="0.25">
      <c r="A1292" s="45"/>
      <c r="B1292" s="54"/>
      <c r="C1292" s="47">
        <f t="shared" si="482"/>
        <v>4</v>
      </c>
      <c r="D1292" s="73"/>
      <c r="E1292" s="398"/>
      <c r="F1292" s="398" t="s">
        <v>1857</v>
      </c>
      <c r="G1292" s="73"/>
      <c r="H1292" s="109"/>
      <c r="I1292" s="109"/>
      <c r="J1292" s="109"/>
      <c r="K1292" s="109"/>
      <c r="L1292" s="109"/>
      <c r="M1292" s="109"/>
      <c r="N1292" s="109"/>
      <c r="O1292" s="109"/>
      <c r="P1292" s="109"/>
      <c r="Q1292" s="109"/>
      <c r="R1292" s="109"/>
      <c r="S1292" s="109"/>
      <c r="T1292" s="109"/>
      <c r="U1292" s="109"/>
      <c r="V1292" s="109"/>
      <c r="W1292" s="109"/>
      <c r="X1292" s="109"/>
      <c r="Y1292" s="109"/>
      <c r="Z1292" s="109"/>
      <c r="AA1292" s="109"/>
      <c r="AB1292" s="109"/>
      <c r="AC1292" s="109"/>
      <c r="AD1292" s="109"/>
      <c r="AE1292" s="109"/>
      <c r="AF1292" s="109"/>
      <c r="AG1292" s="109"/>
      <c r="AH1292" s="109"/>
      <c r="AI1292" s="109">
        <v>1</v>
      </c>
      <c r="AJ1292" s="109">
        <v>1</v>
      </c>
      <c r="AK1292" s="73"/>
      <c r="AL1292" s="57"/>
      <c r="AM1292" s="45"/>
      <c r="AN1292" s="45"/>
      <c r="AO1292" s="45"/>
    </row>
    <row r="1293" spans="1:41" hidden="1" outlineLevel="2" x14ac:dyDescent="0.25">
      <c r="A1293" s="45"/>
      <c r="B1293" s="54"/>
      <c r="C1293" s="47">
        <f>INT($C$29)+2</f>
        <v>3</v>
      </c>
      <c r="D1293" s="73"/>
      <c r="E1293" s="402"/>
      <c r="F1293" s="402" t="s">
        <v>1858</v>
      </c>
      <c r="G1293" s="403"/>
      <c r="H1293" s="181" t="s">
        <v>1859</v>
      </c>
      <c r="I1293" s="151"/>
      <c r="J1293" s="151"/>
      <c r="K1293" s="181"/>
      <c r="L1293" s="181"/>
      <c r="M1293" s="181"/>
      <c r="N1293" s="181"/>
      <c r="O1293" s="181"/>
      <c r="P1293" s="181"/>
      <c r="Q1293" s="181"/>
      <c r="R1293" s="181"/>
      <c r="S1293" s="181"/>
      <c r="T1293" s="181"/>
      <c r="U1293" s="404">
        <v>3.024E-2</v>
      </c>
      <c r="V1293" s="405">
        <f>U1293</f>
        <v>3.024E-2</v>
      </c>
      <c r="W1293" s="405">
        <f>U1293</f>
        <v>3.024E-2</v>
      </c>
      <c r="X1293" s="405">
        <f>V1293</f>
        <v>3.024E-2</v>
      </c>
      <c r="Y1293" s="405">
        <f>W1293</f>
        <v>3.024E-2</v>
      </c>
      <c r="Z1293" s="405">
        <f t="shared" ref="Z1293:AA1293" si="483">X1293</f>
        <v>3.024E-2</v>
      </c>
      <c r="AA1293" s="405">
        <f t="shared" si="483"/>
        <v>3.024E-2</v>
      </c>
      <c r="AB1293" s="404">
        <v>2.248E-2</v>
      </c>
      <c r="AC1293" s="405">
        <f>AB1293</f>
        <v>2.248E-2</v>
      </c>
      <c r="AD1293" s="405">
        <f>AC1293</f>
        <v>2.248E-2</v>
      </c>
      <c r="AE1293" s="405">
        <f>AD1293</f>
        <v>2.248E-2</v>
      </c>
      <c r="AF1293" s="181"/>
      <c r="AG1293" s="404" t="s">
        <v>1860</v>
      </c>
      <c r="AH1293" s="181"/>
      <c r="AI1293" s="404">
        <v>1</v>
      </c>
      <c r="AJ1293" s="404">
        <v>1</v>
      </c>
      <c r="AK1293" s="73"/>
      <c r="AL1293" s="57"/>
      <c r="AM1293" s="45"/>
      <c r="AN1293" s="45"/>
      <c r="AO1293" s="45"/>
    </row>
    <row r="1294" spans="1:41" hidden="1" outlineLevel="2" x14ac:dyDescent="0.25">
      <c r="A1294" s="45"/>
      <c r="B1294" s="54"/>
      <c r="C1294" s="47">
        <f>INT($C$29)+2</f>
        <v>3</v>
      </c>
      <c r="D1294" s="73"/>
      <c r="E1294" s="70"/>
      <c r="F1294" s="70" t="s">
        <v>1861</v>
      </c>
      <c r="G1294" s="234"/>
      <c r="H1294" s="76" t="s">
        <v>1862</v>
      </c>
      <c r="I1294" s="96"/>
      <c r="J1294" s="96"/>
      <c r="K1294" s="76"/>
      <c r="L1294" s="76"/>
      <c r="M1294" s="76"/>
      <c r="N1294" s="76"/>
      <c r="O1294" s="76"/>
      <c r="P1294" s="76"/>
      <c r="Q1294" s="76"/>
      <c r="R1294" s="76"/>
      <c r="S1294" s="76"/>
      <c r="T1294" s="76"/>
      <c r="U1294" s="253">
        <f t="shared" ref="U1294:AE1294" si="484">U1295</f>
        <v>8.5699999999999995E-3</v>
      </c>
      <c r="V1294" s="253">
        <f t="shared" si="484"/>
        <v>8.5699999999999995E-3</v>
      </c>
      <c r="W1294" s="253">
        <f t="shared" si="484"/>
        <v>8.5699999999999995E-3</v>
      </c>
      <c r="X1294" s="253">
        <f t="shared" si="484"/>
        <v>8.5699999999999995E-3</v>
      </c>
      <c r="Y1294" s="253">
        <f t="shared" si="484"/>
        <v>8.5699999999999995E-3</v>
      </c>
      <c r="Z1294" s="253">
        <f t="shared" si="484"/>
        <v>8.5699999999999995E-3</v>
      </c>
      <c r="AA1294" s="253">
        <f t="shared" si="484"/>
        <v>8.5699999999999995E-3</v>
      </c>
      <c r="AB1294" s="253">
        <f t="shared" si="484"/>
        <v>2.7799999999999999E-3</v>
      </c>
      <c r="AC1294" s="253">
        <f t="shared" si="484"/>
        <v>2.7799999999999999E-3</v>
      </c>
      <c r="AD1294" s="253">
        <f t="shared" si="484"/>
        <v>2.7799999999999999E-3</v>
      </c>
      <c r="AE1294" s="253">
        <f t="shared" si="484"/>
        <v>2.7799999999999999E-3</v>
      </c>
      <c r="AF1294" s="76"/>
      <c r="AG1294" s="97" t="s">
        <v>2152</v>
      </c>
      <c r="AH1294" s="76"/>
      <c r="AI1294" s="253">
        <f>AI1295</f>
        <v>1</v>
      </c>
      <c r="AJ1294" s="253">
        <f>AJ1295</f>
        <v>1</v>
      </c>
      <c r="AK1294" s="73"/>
      <c r="AL1294" s="57"/>
      <c r="AM1294" s="45"/>
      <c r="AN1294" s="45"/>
      <c r="AO1294" s="45"/>
    </row>
    <row r="1295" spans="1:41" hidden="1" outlineLevel="2" x14ac:dyDescent="0.25">
      <c r="A1295" s="45"/>
      <c r="B1295" s="54"/>
      <c r="C1295" s="47">
        <f>INT($C$29)+2</f>
        <v>3</v>
      </c>
      <c r="D1295" s="73"/>
      <c r="E1295" s="70"/>
      <c r="F1295" s="70" t="s">
        <v>1863</v>
      </c>
      <c r="G1295" s="234"/>
      <c r="H1295" s="76" t="s">
        <v>1864</v>
      </c>
      <c r="I1295" s="96"/>
      <c r="J1295" s="96"/>
      <c r="K1295" s="76"/>
      <c r="L1295" s="76"/>
      <c r="M1295" s="76"/>
      <c r="N1295" s="76"/>
      <c r="O1295" s="76"/>
      <c r="P1295" s="76"/>
      <c r="Q1295" s="76"/>
      <c r="R1295" s="76"/>
      <c r="S1295" s="76"/>
      <c r="T1295" s="76"/>
      <c r="U1295" s="97">
        <v>8.5699999999999995E-3</v>
      </c>
      <c r="V1295" s="400">
        <f>U1295</f>
        <v>8.5699999999999995E-3</v>
      </c>
      <c r="W1295" s="400">
        <f t="shared" ref="W1295:Y1296" si="485">U1295</f>
        <v>8.5699999999999995E-3</v>
      </c>
      <c r="X1295" s="400">
        <f t="shared" si="485"/>
        <v>8.5699999999999995E-3</v>
      </c>
      <c r="Y1295" s="400">
        <f t="shared" si="485"/>
        <v>8.5699999999999995E-3</v>
      </c>
      <c r="Z1295" s="400">
        <f t="shared" ref="Z1295:AA1296" si="486">X1295</f>
        <v>8.5699999999999995E-3</v>
      </c>
      <c r="AA1295" s="400">
        <f t="shared" si="486"/>
        <v>8.5699999999999995E-3</v>
      </c>
      <c r="AB1295" s="97">
        <v>2.7799999999999999E-3</v>
      </c>
      <c r="AC1295" s="400">
        <f t="shared" ref="AC1295:AD1296" si="487">AB1295</f>
        <v>2.7799999999999999E-3</v>
      </c>
      <c r="AD1295" s="400">
        <f t="shared" si="487"/>
        <v>2.7799999999999999E-3</v>
      </c>
      <c r="AE1295" s="400">
        <f>AD1295</f>
        <v>2.7799999999999999E-3</v>
      </c>
      <c r="AF1295" s="76"/>
      <c r="AG1295" s="76"/>
      <c r="AH1295" s="76"/>
      <c r="AI1295" s="97">
        <v>1</v>
      </c>
      <c r="AJ1295" s="97">
        <v>1</v>
      </c>
      <c r="AK1295" s="73"/>
      <c r="AL1295" s="57"/>
      <c r="AM1295" s="45"/>
      <c r="AN1295" s="45"/>
      <c r="AO1295" s="45"/>
    </row>
    <row r="1296" spans="1:41" hidden="1" outlineLevel="2" collapsed="1" x14ac:dyDescent="0.25">
      <c r="A1296" s="45"/>
      <c r="B1296" s="54"/>
      <c r="C1296" s="47">
        <f>INT($C$29)+2</f>
        <v>3</v>
      </c>
      <c r="D1296" s="73"/>
      <c r="E1296" s="70"/>
      <c r="F1296" s="70" t="s">
        <v>1865</v>
      </c>
      <c r="G1296" s="234"/>
      <c r="H1296" s="76" t="s">
        <v>1866</v>
      </c>
      <c r="I1296" s="96"/>
      <c r="J1296" s="96"/>
      <c r="K1296" s="76"/>
      <c r="L1296" s="76"/>
      <c r="M1296" s="76"/>
      <c r="N1296" s="76"/>
      <c r="O1296" s="76"/>
      <c r="P1296" s="76"/>
      <c r="Q1296" s="76"/>
      <c r="R1296" s="76"/>
      <c r="S1296" s="76"/>
      <c r="T1296" s="76"/>
      <c r="U1296" s="97">
        <v>1.626E-2</v>
      </c>
      <c r="V1296" s="400">
        <f>U1296</f>
        <v>1.626E-2</v>
      </c>
      <c r="W1296" s="400">
        <f t="shared" si="485"/>
        <v>1.626E-2</v>
      </c>
      <c r="X1296" s="400">
        <f t="shared" si="485"/>
        <v>1.626E-2</v>
      </c>
      <c r="Y1296" s="400">
        <f t="shared" si="485"/>
        <v>1.626E-2</v>
      </c>
      <c r="Z1296" s="400">
        <f t="shared" si="486"/>
        <v>1.626E-2</v>
      </c>
      <c r="AA1296" s="400">
        <f t="shared" si="486"/>
        <v>1.626E-2</v>
      </c>
      <c r="AB1296" s="97">
        <v>1.6129999999999999E-2</v>
      </c>
      <c r="AC1296" s="400">
        <f t="shared" si="487"/>
        <v>1.6129999999999999E-2</v>
      </c>
      <c r="AD1296" s="400">
        <f t="shared" si="487"/>
        <v>1.6129999999999999E-2</v>
      </c>
      <c r="AE1296" s="400">
        <f>AD1296</f>
        <v>1.6129999999999999E-2</v>
      </c>
      <c r="AF1296" s="76"/>
      <c r="AG1296" s="76"/>
      <c r="AH1296" s="76"/>
      <c r="AI1296" s="97">
        <v>1</v>
      </c>
      <c r="AJ1296" s="97">
        <v>1</v>
      </c>
      <c r="AK1296" s="73"/>
      <c r="AL1296" s="57"/>
      <c r="AM1296" s="45"/>
      <c r="AN1296" s="45"/>
      <c r="AO1296" s="45"/>
    </row>
    <row r="1297" spans="1:41" hidden="1" outlineLevel="3" x14ac:dyDescent="0.25">
      <c r="A1297" s="45"/>
      <c r="B1297" s="54"/>
      <c r="C1297" s="47">
        <f>INT($C$29)+3</f>
        <v>4</v>
      </c>
      <c r="D1297" s="73"/>
      <c r="E1297" s="70"/>
      <c r="F1297" s="70" t="s">
        <v>1867</v>
      </c>
      <c r="G1297" s="234"/>
      <c r="H1297" s="76" t="s">
        <v>1868</v>
      </c>
      <c r="I1297" s="76"/>
      <c r="J1297" s="76"/>
      <c r="K1297" s="76"/>
      <c r="L1297" s="76"/>
      <c r="M1297" s="76"/>
      <c r="N1297" s="76"/>
      <c r="O1297" s="76"/>
      <c r="P1297" s="76"/>
      <c r="Q1297" s="76"/>
      <c r="R1297" s="76"/>
      <c r="S1297" s="76"/>
      <c r="T1297" s="76"/>
      <c r="U1297" s="76">
        <v>0</v>
      </c>
      <c r="V1297" s="76">
        <v>0</v>
      </c>
      <c r="W1297" s="76">
        <v>0</v>
      </c>
      <c r="X1297" s="76">
        <v>0</v>
      </c>
      <c r="Y1297" s="76">
        <v>0</v>
      </c>
      <c r="Z1297" s="76">
        <v>0</v>
      </c>
      <c r="AA1297" s="76">
        <v>0</v>
      </c>
      <c r="AB1297" s="76">
        <v>0</v>
      </c>
      <c r="AC1297" s="76">
        <v>0</v>
      </c>
      <c r="AD1297" s="76">
        <v>0</v>
      </c>
      <c r="AE1297" s="76">
        <v>0</v>
      </c>
      <c r="AF1297" s="76"/>
      <c r="AG1297" s="76"/>
      <c r="AH1297" s="76"/>
      <c r="AI1297" s="76">
        <v>1</v>
      </c>
      <c r="AJ1297" s="76">
        <v>1</v>
      </c>
      <c r="AK1297" s="73"/>
      <c r="AL1297" s="57"/>
      <c r="AM1297" s="45"/>
      <c r="AN1297" s="45"/>
      <c r="AO1297" s="45"/>
    </row>
    <row r="1298" spans="1:41" hidden="1" outlineLevel="3" x14ac:dyDescent="0.25">
      <c r="A1298" s="45"/>
      <c r="B1298" s="54"/>
      <c r="C1298" s="47">
        <f>INT($C$29)+3</f>
        <v>4</v>
      </c>
      <c r="D1298" s="73"/>
      <c r="E1298" s="70"/>
      <c r="F1298" s="70" t="s">
        <v>1869</v>
      </c>
      <c r="G1298" s="234"/>
      <c r="H1298" s="76" t="s">
        <v>1870</v>
      </c>
      <c r="I1298" s="76"/>
      <c r="J1298" s="76"/>
      <c r="K1298" s="76"/>
      <c r="L1298" s="76"/>
      <c r="M1298" s="76"/>
      <c r="N1298" s="76"/>
      <c r="O1298" s="76"/>
      <c r="P1298" s="76"/>
      <c r="Q1298" s="76"/>
      <c r="R1298" s="76"/>
      <c r="S1298" s="76"/>
      <c r="T1298" s="76"/>
      <c r="U1298" s="76">
        <v>0</v>
      </c>
      <c r="V1298" s="76">
        <v>0</v>
      </c>
      <c r="W1298" s="76">
        <v>0</v>
      </c>
      <c r="X1298" s="76">
        <v>0</v>
      </c>
      <c r="Y1298" s="76">
        <v>0</v>
      </c>
      <c r="Z1298" s="76">
        <v>0</v>
      </c>
      <c r="AA1298" s="76">
        <v>0</v>
      </c>
      <c r="AB1298" s="76">
        <v>0</v>
      </c>
      <c r="AC1298" s="76">
        <v>0</v>
      </c>
      <c r="AD1298" s="76">
        <v>0</v>
      </c>
      <c r="AE1298" s="76">
        <v>0</v>
      </c>
      <c r="AF1298" s="76"/>
      <c r="AG1298" s="76"/>
      <c r="AH1298" s="76"/>
      <c r="AI1298" s="76">
        <v>1</v>
      </c>
      <c r="AJ1298" s="76">
        <v>1</v>
      </c>
      <c r="AK1298" s="73"/>
      <c r="AL1298" s="57"/>
      <c r="AM1298" s="45"/>
      <c r="AN1298" s="45"/>
      <c r="AO1298" s="45"/>
    </row>
    <row r="1299" spans="1:41" hidden="1" outlineLevel="3" x14ac:dyDescent="0.25">
      <c r="A1299" s="45"/>
      <c r="B1299" s="54"/>
      <c r="C1299" s="47">
        <f>INT($C$29)+3</f>
        <v>4</v>
      </c>
      <c r="D1299" s="73"/>
      <c r="E1299" s="70"/>
      <c r="F1299" s="70" t="s">
        <v>1871</v>
      </c>
      <c r="G1299" s="234"/>
      <c r="H1299" s="76" t="s">
        <v>1872</v>
      </c>
      <c r="I1299" s="76"/>
      <c r="J1299" s="76"/>
      <c r="K1299" s="76"/>
      <c r="L1299" s="76"/>
      <c r="M1299" s="76"/>
      <c r="N1299" s="76"/>
      <c r="O1299" s="76"/>
      <c r="P1299" s="76"/>
      <c r="Q1299" s="76"/>
      <c r="R1299" s="76"/>
      <c r="S1299" s="76"/>
      <c r="T1299" s="76"/>
      <c r="U1299" s="76">
        <v>0</v>
      </c>
      <c r="V1299" s="76">
        <v>0</v>
      </c>
      <c r="W1299" s="76">
        <v>0</v>
      </c>
      <c r="X1299" s="76">
        <v>0</v>
      </c>
      <c r="Y1299" s="76">
        <v>0</v>
      </c>
      <c r="Z1299" s="76">
        <v>0</v>
      </c>
      <c r="AA1299" s="76">
        <v>0</v>
      </c>
      <c r="AB1299" s="76">
        <v>0</v>
      </c>
      <c r="AC1299" s="76">
        <v>0</v>
      </c>
      <c r="AD1299" s="76">
        <v>0</v>
      </c>
      <c r="AE1299" s="76">
        <v>0</v>
      </c>
      <c r="AF1299" s="76"/>
      <c r="AG1299" s="76"/>
      <c r="AH1299" s="76"/>
      <c r="AI1299" s="76">
        <v>1</v>
      </c>
      <c r="AJ1299" s="76">
        <v>1</v>
      </c>
      <c r="AK1299" s="73"/>
      <c r="AL1299" s="57"/>
      <c r="AM1299" s="45"/>
      <c r="AN1299" s="45"/>
      <c r="AO1299" s="45"/>
    </row>
    <row r="1300" spans="1:41" hidden="1" outlineLevel="2" x14ac:dyDescent="0.25">
      <c r="A1300" s="45"/>
      <c r="B1300" s="54"/>
      <c r="C1300" s="47">
        <f t="shared" ref="C1300:C1316" si="488">INT($C$29)+2</f>
        <v>3</v>
      </c>
      <c r="D1300" s="73"/>
      <c r="E1300" s="406"/>
      <c r="F1300" s="406" t="s">
        <v>1873</v>
      </c>
      <c r="G1300" s="407"/>
      <c r="H1300" s="184" t="s">
        <v>1874</v>
      </c>
      <c r="I1300" s="184"/>
      <c r="J1300" s="184"/>
      <c r="K1300" s="184"/>
      <c r="L1300" s="184"/>
      <c r="M1300" s="184"/>
      <c r="N1300" s="184"/>
      <c r="O1300" s="184"/>
      <c r="P1300" s="184"/>
      <c r="Q1300" s="184"/>
      <c r="R1300" s="184"/>
      <c r="S1300" s="184"/>
      <c r="T1300" s="184"/>
      <c r="U1300" s="408">
        <v>3.496</v>
      </c>
      <c r="V1300" s="408">
        <v>3.496</v>
      </c>
      <c r="W1300" s="408">
        <v>3.496</v>
      </c>
      <c r="X1300" s="408">
        <v>3.496</v>
      </c>
      <c r="Y1300" s="408">
        <v>3.496</v>
      </c>
      <c r="Z1300" s="408">
        <v>3.496</v>
      </c>
      <c r="AA1300" s="408">
        <v>3.496</v>
      </c>
      <c r="AB1300" s="412">
        <v>4.2411000000000003</v>
      </c>
      <c r="AC1300" s="411">
        <f t="shared" ref="AC1300:AD1301" si="489">AB1300</f>
        <v>4.2411000000000003</v>
      </c>
      <c r="AD1300" s="411">
        <f t="shared" si="489"/>
        <v>4.2411000000000003</v>
      </c>
      <c r="AE1300" s="411">
        <f>AD1300</f>
        <v>4.2411000000000003</v>
      </c>
      <c r="AF1300" s="184"/>
      <c r="AG1300" s="184"/>
      <c r="AH1300" s="184"/>
      <c r="AI1300" s="409">
        <v>1</v>
      </c>
      <c r="AJ1300" s="409">
        <v>1</v>
      </c>
      <c r="AK1300" s="73"/>
      <c r="AL1300" s="57"/>
      <c r="AM1300" s="45"/>
      <c r="AN1300" s="45"/>
      <c r="AO1300" s="45"/>
    </row>
    <row r="1301" spans="1:41" hidden="1" outlineLevel="2" x14ac:dyDescent="0.25">
      <c r="A1301" s="45"/>
      <c r="B1301" s="54"/>
      <c r="C1301" s="47">
        <f t="shared" si="488"/>
        <v>3</v>
      </c>
      <c r="D1301" s="73"/>
      <c r="E1301" s="399"/>
      <c r="F1301" s="399" t="s">
        <v>1875</v>
      </c>
      <c r="G1301" s="73"/>
      <c r="H1301" s="105" t="s">
        <v>1876</v>
      </c>
      <c r="I1301" s="177"/>
      <c r="J1301" s="177"/>
      <c r="K1301" s="105"/>
      <c r="L1301" s="105"/>
      <c r="M1301" s="105"/>
      <c r="N1301" s="105"/>
      <c r="O1301" s="105"/>
      <c r="P1301" s="105"/>
      <c r="Q1301" s="105"/>
      <c r="R1301" s="105"/>
      <c r="S1301" s="105"/>
      <c r="T1301" s="105"/>
      <c r="U1301" s="119">
        <v>0.18</v>
      </c>
      <c r="V1301" s="119">
        <v>0.18</v>
      </c>
      <c r="W1301" s="119">
        <v>0.18</v>
      </c>
      <c r="X1301" s="119">
        <v>0.18</v>
      </c>
      <c r="Y1301" s="119">
        <v>0.18</v>
      </c>
      <c r="Z1301" s="119">
        <v>0.18</v>
      </c>
      <c r="AA1301" s="119">
        <v>0.18</v>
      </c>
      <c r="AB1301" s="119">
        <v>0.13919999999999999</v>
      </c>
      <c r="AC1301" s="401">
        <f t="shared" si="489"/>
        <v>0.13919999999999999</v>
      </c>
      <c r="AD1301" s="401">
        <f t="shared" si="489"/>
        <v>0.13919999999999999</v>
      </c>
      <c r="AE1301" s="401">
        <f>AD1301</f>
        <v>0.13919999999999999</v>
      </c>
      <c r="AF1301" s="105"/>
      <c r="AG1301" s="119" t="s">
        <v>1269</v>
      </c>
      <c r="AH1301" s="105"/>
      <c r="AI1301" s="119">
        <v>1</v>
      </c>
      <c r="AJ1301" s="119">
        <v>1</v>
      </c>
      <c r="AK1301" s="73"/>
      <c r="AL1301" s="57"/>
      <c r="AM1301" s="45"/>
      <c r="AN1301" s="45"/>
      <c r="AO1301" s="45"/>
    </row>
    <row r="1302" spans="1:41" hidden="1" outlineLevel="2" x14ac:dyDescent="0.25">
      <c r="A1302" s="45"/>
      <c r="B1302" s="54"/>
      <c r="C1302" s="47">
        <f t="shared" si="488"/>
        <v>3</v>
      </c>
      <c r="D1302" s="73"/>
      <c r="E1302" s="70"/>
      <c r="F1302" s="70" t="s">
        <v>1877</v>
      </c>
      <c r="G1302" s="73"/>
      <c r="H1302" s="76" t="s">
        <v>1878</v>
      </c>
      <c r="I1302" s="96"/>
      <c r="J1302" s="96"/>
      <c r="K1302" s="76"/>
      <c r="L1302" s="76"/>
      <c r="M1302" s="76"/>
      <c r="N1302" s="76"/>
      <c r="O1302" s="76"/>
      <c r="P1302" s="76"/>
      <c r="Q1302" s="76"/>
      <c r="R1302" s="76"/>
      <c r="S1302" s="76"/>
      <c r="T1302" s="76"/>
      <c r="U1302" s="253">
        <f t="shared" ref="U1302:AE1302" si="490">U1303</f>
        <v>0.03</v>
      </c>
      <c r="V1302" s="253">
        <f t="shared" si="490"/>
        <v>0.03</v>
      </c>
      <c r="W1302" s="253">
        <f t="shared" si="490"/>
        <v>0.03</v>
      </c>
      <c r="X1302" s="253">
        <f t="shared" si="490"/>
        <v>0.03</v>
      </c>
      <c r="Y1302" s="253">
        <f t="shared" si="490"/>
        <v>0.03</v>
      </c>
      <c r="Z1302" s="253">
        <f t="shared" si="490"/>
        <v>0.03</v>
      </c>
      <c r="AA1302" s="253">
        <f t="shared" si="490"/>
        <v>0.03</v>
      </c>
      <c r="AB1302" s="253">
        <f t="shared" si="490"/>
        <v>7.0000000000000062E-3</v>
      </c>
      <c r="AC1302" s="253">
        <f t="shared" si="490"/>
        <v>7.0000000000000062E-3</v>
      </c>
      <c r="AD1302" s="253">
        <f t="shared" si="490"/>
        <v>7.0000000000000062E-3</v>
      </c>
      <c r="AE1302" s="253">
        <f t="shared" si="490"/>
        <v>7.0000000000000062E-3</v>
      </c>
      <c r="AF1302" s="76"/>
      <c r="AG1302" s="97" t="s">
        <v>2152</v>
      </c>
      <c r="AH1302" s="76"/>
      <c r="AI1302" s="253">
        <f>AI1303</f>
        <v>1</v>
      </c>
      <c r="AJ1302" s="253">
        <f>AJ1303</f>
        <v>1</v>
      </c>
      <c r="AK1302" s="73"/>
      <c r="AL1302" s="57"/>
      <c r="AM1302" s="45"/>
      <c r="AN1302" s="45"/>
      <c r="AO1302" s="45"/>
    </row>
    <row r="1303" spans="1:41" hidden="1" outlineLevel="2" x14ac:dyDescent="0.25">
      <c r="A1303" s="45"/>
      <c r="B1303" s="54"/>
      <c r="C1303" s="47">
        <f t="shared" si="488"/>
        <v>3</v>
      </c>
      <c r="D1303" s="73"/>
      <c r="E1303" s="70"/>
      <c r="F1303" s="70" t="s">
        <v>1879</v>
      </c>
      <c r="G1303" s="73"/>
      <c r="H1303" s="76" t="s">
        <v>1712</v>
      </c>
      <c r="I1303" s="96"/>
      <c r="J1303" s="96"/>
      <c r="K1303" s="76"/>
      <c r="L1303" s="76"/>
      <c r="M1303" s="76"/>
      <c r="N1303" s="76"/>
      <c r="O1303" s="76"/>
      <c r="P1303" s="76"/>
      <c r="Q1303" s="76"/>
      <c r="R1303" s="76"/>
      <c r="S1303" s="76"/>
      <c r="T1303" s="76"/>
      <c r="U1303" s="97">
        <f>0.21-U$1301</f>
        <v>0.03</v>
      </c>
      <c r="V1303" s="97">
        <f>0.21-V$1301</f>
        <v>0.03</v>
      </c>
      <c r="W1303" s="97">
        <f>0.21-W$1301</f>
        <v>0.03</v>
      </c>
      <c r="X1303" s="97">
        <f>0.21-X$1301</f>
        <v>0.03</v>
      </c>
      <c r="Y1303" s="97">
        <f>0.21-Y$1301</f>
        <v>0.03</v>
      </c>
      <c r="Z1303" s="97">
        <f t="shared" ref="Z1303:AA1303" si="491">0.21-Z$1301</f>
        <v>0.03</v>
      </c>
      <c r="AA1303" s="97">
        <f t="shared" si="491"/>
        <v>0.03</v>
      </c>
      <c r="AB1303" s="97">
        <f>0.1462-AB$1301</f>
        <v>7.0000000000000062E-3</v>
      </c>
      <c r="AC1303" s="255">
        <f t="shared" ref="AC1303:AD1309" si="492">AB1303</f>
        <v>7.0000000000000062E-3</v>
      </c>
      <c r="AD1303" s="255">
        <f t="shared" si="492"/>
        <v>7.0000000000000062E-3</v>
      </c>
      <c r="AE1303" s="255">
        <f t="shared" ref="AE1303:AE1309" si="493">AD1303</f>
        <v>7.0000000000000062E-3</v>
      </c>
      <c r="AF1303" s="76"/>
      <c r="AG1303" s="76"/>
      <c r="AH1303" s="76"/>
      <c r="AI1303" s="97">
        <v>1</v>
      </c>
      <c r="AJ1303" s="97">
        <v>1</v>
      </c>
      <c r="AK1303" s="73"/>
      <c r="AL1303" s="57"/>
      <c r="AM1303" s="45"/>
      <c r="AN1303" s="45"/>
      <c r="AO1303" s="45"/>
    </row>
    <row r="1304" spans="1:41" hidden="1" outlineLevel="2" x14ac:dyDescent="0.25">
      <c r="A1304" s="45"/>
      <c r="B1304" s="54"/>
      <c r="C1304" s="47">
        <f t="shared" si="488"/>
        <v>3</v>
      </c>
      <c r="D1304" s="73"/>
      <c r="E1304" s="70"/>
      <c r="F1304" s="70" t="s">
        <v>1880</v>
      </c>
      <c r="G1304" s="73"/>
      <c r="H1304" s="76" t="s">
        <v>1713</v>
      </c>
      <c r="I1304" s="96"/>
      <c r="J1304" s="96"/>
      <c r="K1304" s="76"/>
      <c r="L1304" s="76"/>
      <c r="M1304" s="76"/>
      <c r="N1304" s="76"/>
      <c r="O1304" s="76"/>
      <c r="P1304" s="76"/>
      <c r="Q1304" s="76"/>
      <c r="R1304" s="76"/>
      <c r="S1304" s="76"/>
      <c r="T1304" s="76"/>
      <c r="U1304" s="97">
        <f>0.14-U$1301</f>
        <v>-3.999999999999998E-2</v>
      </c>
      <c r="V1304" s="97">
        <f>0.14-V$1301</f>
        <v>-3.999999999999998E-2</v>
      </c>
      <c r="W1304" s="97">
        <f>0.14-W$1301</f>
        <v>-3.999999999999998E-2</v>
      </c>
      <c r="X1304" s="97">
        <f>0.14-X$1301</f>
        <v>-3.999999999999998E-2</v>
      </c>
      <c r="Y1304" s="97">
        <f>0.14-Y$1301</f>
        <v>-3.999999999999998E-2</v>
      </c>
      <c r="Z1304" s="97">
        <f t="shared" ref="Z1304:AA1304" si="494">0.14-Z$1301</f>
        <v>-3.999999999999998E-2</v>
      </c>
      <c r="AA1304" s="97">
        <f t="shared" si="494"/>
        <v>-3.999999999999998E-2</v>
      </c>
      <c r="AB1304" s="97">
        <f>0.1089-AB$1301</f>
        <v>-3.0299999999999994E-2</v>
      </c>
      <c r="AC1304" s="255">
        <f t="shared" si="492"/>
        <v>-3.0299999999999994E-2</v>
      </c>
      <c r="AD1304" s="255">
        <f t="shared" si="492"/>
        <v>-3.0299999999999994E-2</v>
      </c>
      <c r="AE1304" s="255">
        <f t="shared" si="493"/>
        <v>-3.0299999999999994E-2</v>
      </c>
      <c r="AF1304" s="76"/>
      <c r="AG1304" s="76"/>
      <c r="AH1304" s="76"/>
      <c r="AI1304" s="97">
        <v>1</v>
      </c>
      <c r="AJ1304" s="97">
        <v>1</v>
      </c>
      <c r="AK1304" s="73"/>
      <c r="AL1304" s="57"/>
      <c r="AM1304" s="45"/>
      <c r="AN1304" s="45"/>
      <c r="AO1304" s="45"/>
    </row>
    <row r="1305" spans="1:41" hidden="1" outlineLevel="2" x14ac:dyDescent="0.25">
      <c r="A1305" s="45"/>
      <c r="B1305" s="54"/>
      <c r="C1305" s="47">
        <f t="shared" si="488"/>
        <v>3</v>
      </c>
      <c r="D1305" s="73"/>
      <c r="E1305" s="70"/>
      <c r="F1305" s="70" t="s">
        <v>1881</v>
      </c>
      <c r="G1305" s="73"/>
      <c r="H1305" s="76" t="s">
        <v>1715</v>
      </c>
      <c r="I1305" s="76"/>
      <c r="J1305" s="76"/>
      <c r="K1305" s="76"/>
      <c r="L1305" s="76"/>
      <c r="M1305" s="76"/>
      <c r="N1305" s="76"/>
      <c r="O1305" s="76"/>
      <c r="P1305" s="76"/>
      <c r="Q1305" s="76"/>
      <c r="R1305" s="76"/>
      <c r="S1305" s="76"/>
      <c r="T1305" s="76"/>
      <c r="U1305" s="97">
        <f>0-U$1301</f>
        <v>-0.18</v>
      </c>
      <c r="V1305" s="97">
        <f>0-V$1301</f>
        <v>-0.18</v>
      </c>
      <c r="W1305" s="97">
        <f>0-W$1301</f>
        <v>-0.18</v>
      </c>
      <c r="X1305" s="97">
        <f>0-X$1301</f>
        <v>-0.18</v>
      </c>
      <c r="Y1305" s="97">
        <f>0-Y$1301</f>
        <v>-0.18</v>
      </c>
      <c r="Z1305" s="97">
        <f t="shared" ref="Z1305:AA1305" si="495">0-Z$1301</f>
        <v>-0.18</v>
      </c>
      <c r="AA1305" s="97">
        <f t="shared" si="495"/>
        <v>-0.18</v>
      </c>
      <c r="AB1305" s="97">
        <f>0-AB$1301</f>
        <v>-0.13919999999999999</v>
      </c>
      <c r="AC1305" s="255">
        <f t="shared" si="492"/>
        <v>-0.13919999999999999</v>
      </c>
      <c r="AD1305" s="255">
        <f t="shared" si="492"/>
        <v>-0.13919999999999999</v>
      </c>
      <c r="AE1305" s="255">
        <f t="shared" si="493"/>
        <v>-0.13919999999999999</v>
      </c>
      <c r="AF1305" s="76"/>
      <c r="AG1305" s="76"/>
      <c r="AH1305" s="76"/>
      <c r="AI1305" s="97">
        <v>1</v>
      </c>
      <c r="AJ1305" s="97">
        <v>1</v>
      </c>
      <c r="AK1305" s="73"/>
      <c r="AL1305" s="57"/>
      <c r="AM1305" s="45"/>
      <c r="AN1305" s="45"/>
      <c r="AO1305" s="45"/>
    </row>
    <row r="1306" spans="1:41" hidden="1" outlineLevel="2" x14ac:dyDescent="0.25">
      <c r="A1306" s="45"/>
      <c r="B1306" s="54"/>
      <c r="C1306" s="47">
        <f t="shared" si="488"/>
        <v>3</v>
      </c>
      <c r="D1306" s="73"/>
      <c r="E1306" s="70"/>
      <c r="F1306" s="70" t="s">
        <v>1882</v>
      </c>
      <c r="G1306" s="73"/>
      <c r="H1306" s="76" t="s">
        <v>1870</v>
      </c>
      <c r="I1306" s="76"/>
      <c r="J1306" s="76"/>
      <c r="K1306" s="76"/>
      <c r="L1306" s="76"/>
      <c r="M1306" s="76"/>
      <c r="N1306" s="76"/>
      <c r="O1306" s="76"/>
      <c r="P1306" s="76"/>
      <c r="Q1306" s="76"/>
      <c r="R1306" s="76"/>
      <c r="S1306" s="76"/>
      <c r="T1306" s="76"/>
      <c r="U1306" s="97">
        <v>7.9000000000000008E-3</v>
      </c>
      <c r="V1306" s="97">
        <v>7.9000000000000008E-3</v>
      </c>
      <c r="W1306" s="97">
        <v>7.9000000000000008E-3</v>
      </c>
      <c r="X1306" s="97">
        <v>7.9000000000000008E-3</v>
      </c>
      <c r="Y1306" s="97">
        <v>7.9000000000000008E-3</v>
      </c>
      <c r="Z1306" s="97">
        <v>7.9000000000000008E-3</v>
      </c>
      <c r="AA1306" s="97">
        <v>7.9000000000000008E-3</v>
      </c>
      <c r="AB1306" s="76">
        <v>0</v>
      </c>
      <c r="AC1306" s="255">
        <f t="shared" si="492"/>
        <v>0</v>
      </c>
      <c r="AD1306" s="255">
        <f t="shared" si="492"/>
        <v>0</v>
      </c>
      <c r="AE1306" s="255">
        <f t="shared" si="493"/>
        <v>0</v>
      </c>
      <c r="AF1306" s="76"/>
      <c r="AG1306" s="76"/>
      <c r="AH1306" s="76"/>
      <c r="AI1306" s="97">
        <v>1</v>
      </c>
      <c r="AJ1306" s="97">
        <v>1</v>
      </c>
      <c r="AK1306" s="73"/>
      <c r="AL1306" s="57"/>
      <c r="AM1306" s="45"/>
      <c r="AN1306" s="45"/>
      <c r="AO1306" s="45"/>
    </row>
    <row r="1307" spans="1:41" hidden="1" outlineLevel="2" x14ac:dyDescent="0.25">
      <c r="A1307" s="45"/>
      <c r="B1307" s="54"/>
      <c r="C1307" s="47">
        <f t="shared" si="488"/>
        <v>3</v>
      </c>
      <c r="D1307" s="73"/>
      <c r="E1307" s="70"/>
      <c r="F1307" s="70" t="s">
        <v>1883</v>
      </c>
      <c r="G1307" s="73"/>
      <c r="H1307" s="76" t="s">
        <v>1872</v>
      </c>
      <c r="I1307" s="76"/>
      <c r="J1307" s="76"/>
      <c r="K1307" s="76"/>
      <c r="L1307" s="76"/>
      <c r="M1307" s="76"/>
      <c r="N1307" s="76"/>
      <c r="O1307" s="76"/>
      <c r="P1307" s="76"/>
      <c r="Q1307" s="76"/>
      <c r="R1307" s="76"/>
      <c r="S1307" s="76"/>
      <c r="T1307" s="76"/>
      <c r="U1307" s="97">
        <v>-1.5E-6</v>
      </c>
      <c r="V1307" s="97">
        <v>-1.5E-6</v>
      </c>
      <c r="W1307" s="97">
        <v>-1.5E-6</v>
      </c>
      <c r="X1307" s="97">
        <v>-1.5E-6</v>
      </c>
      <c r="Y1307" s="97">
        <v>-1.5E-6</v>
      </c>
      <c r="Z1307" s="97">
        <v>-1.5E-6</v>
      </c>
      <c r="AA1307" s="97">
        <v>-1.5E-6</v>
      </c>
      <c r="AB1307" s="76">
        <v>0</v>
      </c>
      <c r="AC1307" s="255">
        <f t="shared" si="492"/>
        <v>0</v>
      </c>
      <c r="AD1307" s="255">
        <f t="shared" si="492"/>
        <v>0</v>
      </c>
      <c r="AE1307" s="255">
        <f t="shared" si="493"/>
        <v>0</v>
      </c>
      <c r="AF1307" s="76"/>
      <c r="AG1307" s="76"/>
      <c r="AH1307" s="76"/>
      <c r="AI1307" s="97">
        <v>1</v>
      </c>
      <c r="AJ1307" s="97">
        <v>1</v>
      </c>
      <c r="AK1307" s="73"/>
      <c r="AL1307" s="57"/>
      <c r="AM1307" s="45"/>
      <c r="AN1307" s="45"/>
      <c r="AO1307" s="45"/>
    </row>
    <row r="1308" spans="1:41" hidden="1" outlineLevel="2" x14ac:dyDescent="0.25">
      <c r="A1308" s="45"/>
      <c r="B1308" s="54"/>
      <c r="C1308" s="47">
        <f t="shared" si="488"/>
        <v>3</v>
      </c>
      <c r="D1308" s="73"/>
      <c r="E1308" s="70"/>
      <c r="F1308" s="70" t="s">
        <v>1884</v>
      </c>
      <c r="G1308" s="73"/>
      <c r="H1308" s="76" t="s">
        <v>1885</v>
      </c>
      <c r="I1308" s="76"/>
      <c r="J1308" s="76"/>
      <c r="K1308" s="76"/>
      <c r="L1308" s="76"/>
      <c r="M1308" s="76"/>
      <c r="N1308" s="76"/>
      <c r="O1308" s="76"/>
      <c r="P1308" s="76"/>
      <c r="Q1308" s="76"/>
      <c r="R1308" s="76"/>
      <c r="S1308" s="76"/>
      <c r="T1308" s="76"/>
      <c r="U1308" s="97">
        <v>4.5599999999999996</v>
      </c>
      <c r="V1308" s="97">
        <v>4.5599999999999996</v>
      </c>
      <c r="W1308" s="97">
        <v>4.5599999999999996</v>
      </c>
      <c r="X1308" s="97">
        <v>4.5599999999999996</v>
      </c>
      <c r="Y1308" s="97">
        <v>4.5599999999999996</v>
      </c>
      <c r="Z1308" s="97">
        <v>4.5599999999999996</v>
      </c>
      <c r="AA1308" s="97">
        <v>4.5599999999999996</v>
      </c>
      <c r="AB1308" s="97">
        <f>27.01-0.2262*10</f>
        <v>24.748000000000001</v>
      </c>
      <c r="AC1308" s="255">
        <f t="shared" si="492"/>
        <v>24.748000000000001</v>
      </c>
      <c r="AD1308" s="255">
        <f t="shared" si="492"/>
        <v>24.748000000000001</v>
      </c>
      <c r="AE1308" s="255">
        <f t="shared" si="493"/>
        <v>24.748000000000001</v>
      </c>
      <c r="AF1308" s="76"/>
      <c r="AG1308" s="76"/>
      <c r="AH1308" s="76"/>
      <c r="AI1308" s="97">
        <v>1</v>
      </c>
      <c r="AJ1308" s="97">
        <v>1</v>
      </c>
      <c r="AK1308" s="73"/>
      <c r="AL1308" s="57"/>
      <c r="AM1308" s="45"/>
      <c r="AN1308" s="45"/>
      <c r="AO1308" s="45"/>
    </row>
    <row r="1309" spans="1:41" hidden="1" outlineLevel="2" x14ac:dyDescent="0.25">
      <c r="A1309" s="45"/>
      <c r="B1309" s="54"/>
      <c r="C1309" s="47">
        <f t="shared" si="488"/>
        <v>3</v>
      </c>
      <c r="D1309" s="73"/>
      <c r="E1309" s="70"/>
      <c r="F1309" s="70" t="s">
        <v>1886</v>
      </c>
      <c r="G1309" s="73"/>
      <c r="H1309" s="76" t="s">
        <v>1887</v>
      </c>
      <c r="I1309" s="96"/>
      <c r="J1309" s="96"/>
      <c r="K1309" s="76"/>
      <c r="L1309" s="76"/>
      <c r="M1309" s="76"/>
      <c r="N1309" s="76"/>
      <c r="O1309" s="76"/>
      <c r="P1309" s="76"/>
      <c r="Q1309" s="76"/>
      <c r="R1309" s="76"/>
      <c r="S1309" s="76"/>
      <c r="T1309" s="76"/>
      <c r="U1309" s="97">
        <f>2.05/1000</f>
        <v>2.0499999999999997E-3</v>
      </c>
      <c r="V1309" s="97">
        <f>2.05/1000</f>
        <v>2.0499999999999997E-3</v>
      </c>
      <c r="W1309" s="97">
        <f>2.05/1000</f>
        <v>2.0499999999999997E-3</v>
      </c>
      <c r="X1309" s="97">
        <f>2.05/1000</f>
        <v>2.0499999999999997E-3</v>
      </c>
      <c r="Y1309" s="97">
        <f>2.05/1000</f>
        <v>2.0499999999999997E-3</v>
      </c>
      <c r="Z1309" s="97">
        <f t="shared" ref="Z1309:AA1309" si="496">2.05/1000</f>
        <v>2.0499999999999997E-3</v>
      </c>
      <c r="AA1309" s="97">
        <f t="shared" si="496"/>
        <v>2.0499999999999997E-3</v>
      </c>
      <c r="AB1309" s="97">
        <f>2.05/1000</f>
        <v>2.0499999999999997E-3</v>
      </c>
      <c r="AC1309" s="255">
        <f t="shared" si="492"/>
        <v>2.0499999999999997E-3</v>
      </c>
      <c r="AD1309" s="255">
        <f t="shared" si="492"/>
        <v>2.0499999999999997E-3</v>
      </c>
      <c r="AE1309" s="255">
        <f t="shared" si="493"/>
        <v>2.0499999999999997E-3</v>
      </c>
      <c r="AF1309" s="76"/>
      <c r="AG1309" s="97" t="s">
        <v>1274</v>
      </c>
      <c r="AH1309" s="76"/>
      <c r="AI1309" s="97">
        <v>1</v>
      </c>
      <c r="AJ1309" s="97">
        <v>1</v>
      </c>
      <c r="AK1309" s="73"/>
      <c r="AL1309" s="57"/>
      <c r="AM1309" s="45"/>
      <c r="AN1309" s="45"/>
      <c r="AO1309" s="45"/>
    </row>
    <row r="1310" spans="1:41" hidden="1" outlineLevel="2" x14ac:dyDescent="0.25">
      <c r="A1310" s="45"/>
      <c r="B1310" s="54"/>
      <c r="C1310" s="47">
        <f t="shared" si="488"/>
        <v>3</v>
      </c>
      <c r="D1310" s="73"/>
      <c r="E1310" s="70"/>
      <c r="F1310" s="70" t="s">
        <v>1888</v>
      </c>
      <c r="G1310" s="73"/>
      <c r="H1310" s="76" t="s">
        <v>1889</v>
      </c>
      <c r="I1310" s="96"/>
      <c r="J1310" s="96"/>
      <c r="K1310" s="76"/>
      <c r="L1310" s="76"/>
      <c r="M1310" s="76"/>
      <c r="N1310" s="76"/>
      <c r="O1310" s="76"/>
      <c r="P1310" s="76"/>
      <c r="Q1310" s="76"/>
      <c r="R1310" s="76"/>
      <c r="S1310" s="76"/>
      <c r="T1310" s="76"/>
      <c r="U1310" s="253">
        <f t="shared" ref="U1310:AE1310" si="497">U1311</f>
        <v>-5.9999999999999724E-5</v>
      </c>
      <c r="V1310" s="253">
        <f t="shared" si="497"/>
        <v>-5.9999999999999724E-5</v>
      </c>
      <c r="W1310" s="253">
        <f t="shared" si="497"/>
        <v>-5.9999999999999724E-5</v>
      </c>
      <c r="X1310" s="253">
        <f t="shared" si="497"/>
        <v>-5.9999999999999724E-5</v>
      </c>
      <c r="Y1310" s="253">
        <f t="shared" si="497"/>
        <v>-5.9999999999999724E-5</v>
      </c>
      <c r="Z1310" s="253">
        <f t="shared" si="497"/>
        <v>-5.9999999999999724E-5</v>
      </c>
      <c r="AA1310" s="253">
        <f t="shared" si="497"/>
        <v>-5.9999999999999724E-5</v>
      </c>
      <c r="AB1310" s="253">
        <f t="shared" si="497"/>
        <v>-5.9999999999999724E-5</v>
      </c>
      <c r="AC1310" s="253">
        <f t="shared" si="497"/>
        <v>-5.9999999999999724E-5</v>
      </c>
      <c r="AD1310" s="253">
        <f t="shared" si="497"/>
        <v>-5.9999999999999724E-5</v>
      </c>
      <c r="AE1310" s="253">
        <f t="shared" si="497"/>
        <v>-5.9999999999999724E-5</v>
      </c>
      <c r="AF1310" s="76"/>
      <c r="AG1310" s="76"/>
      <c r="AH1310" s="76"/>
      <c r="AI1310" s="253">
        <f>AI1311</f>
        <v>1</v>
      </c>
      <c r="AJ1310" s="253">
        <f>AJ1311</f>
        <v>1</v>
      </c>
      <c r="AK1310" s="73"/>
      <c r="AL1310" s="57"/>
      <c r="AM1310" s="45"/>
      <c r="AN1310" s="45"/>
      <c r="AO1310" s="45"/>
    </row>
    <row r="1311" spans="1:41" hidden="1" outlineLevel="2" x14ac:dyDescent="0.25">
      <c r="A1311" s="45"/>
      <c r="B1311" s="54"/>
      <c r="C1311" s="47">
        <f t="shared" si="488"/>
        <v>3</v>
      </c>
      <c r="D1311" s="73"/>
      <c r="E1311" s="70"/>
      <c r="F1311" s="70" t="s">
        <v>1890</v>
      </c>
      <c r="G1311" s="73"/>
      <c r="H1311" s="76" t="s">
        <v>1891</v>
      </c>
      <c r="I1311" s="96"/>
      <c r="J1311" s="96"/>
      <c r="K1311" s="76"/>
      <c r="L1311" s="76"/>
      <c r="M1311" s="76"/>
      <c r="N1311" s="76"/>
      <c r="O1311" s="76"/>
      <c r="P1311" s="76"/>
      <c r="Q1311" s="76"/>
      <c r="R1311" s="76"/>
      <c r="S1311" s="76"/>
      <c r="T1311" s="76"/>
      <c r="U1311" s="97">
        <f>1.99/1000-U$1309</f>
        <v>-5.9999999999999724E-5</v>
      </c>
      <c r="V1311" s="97">
        <f>1.99/1000-V$1309</f>
        <v>-5.9999999999999724E-5</v>
      </c>
      <c r="W1311" s="97">
        <f>1.99/1000-W$1309</f>
        <v>-5.9999999999999724E-5</v>
      </c>
      <c r="X1311" s="97">
        <f>1.99/1000-X$1309</f>
        <v>-5.9999999999999724E-5</v>
      </c>
      <c r="Y1311" s="97">
        <f>1.99/1000-Y$1309</f>
        <v>-5.9999999999999724E-5</v>
      </c>
      <c r="Z1311" s="97">
        <f t="shared" ref="Z1311:AA1311" si="498">1.99/1000-Z$1309</f>
        <v>-5.9999999999999724E-5</v>
      </c>
      <c r="AA1311" s="97">
        <f t="shared" si="498"/>
        <v>-5.9999999999999724E-5</v>
      </c>
      <c r="AB1311" s="97">
        <f>1.99/1000-AB$1309</f>
        <v>-5.9999999999999724E-5</v>
      </c>
      <c r="AC1311" s="255">
        <f t="shared" ref="AC1311:AD1316" si="499">AB1311</f>
        <v>-5.9999999999999724E-5</v>
      </c>
      <c r="AD1311" s="255">
        <f t="shared" si="499"/>
        <v>-5.9999999999999724E-5</v>
      </c>
      <c r="AE1311" s="255">
        <f t="shared" ref="AE1311:AE1316" si="500">AD1311</f>
        <v>-5.9999999999999724E-5</v>
      </c>
      <c r="AF1311" s="76"/>
      <c r="AG1311" s="76"/>
      <c r="AH1311" s="76"/>
      <c r="AI1311" s="97">
        <v>1</v>
      </c>
      <c r="AJ1311" s="97">
        <v>1</v>
      </c>
      <c r="AK1311" s="73"/>
      <c r="AL1311" s="57"/>
      <c r="AM1311" s="45"/>
      <c r="AN1311" s="45"/>
      <c r="AO1311" s="45"/>
    </row>
    <row r="1312" spans="1:41" hidden="1" outlineLevel="2" x14ac:dyDescent="0.25">
      <c r="A1312" s="45"/>
      <c r="B1312" s="54"/>
      <c r="C1312" s="47">
        <f t="shared" si="488"/>
        <v>3</v>
      </c>
      <c r="D1312" s="73"/>
      <c r="E1312" s="70"/>
      <c r="F1312" s="70" t="s">
        <v>1892</v>
      </c>
      <c r="G1312" s="73"/>
      <c r="H1312" s="76" t="s">
        <v>1893</v>
      </c>
      <c r="I1312" s="96"/>
      <c r="J1312" s="96"/>
      <c r="K1312" s="76"/>
      <c r="L1312" s="76"/>
      <c r="M1312" s="76"/>
      <c r="N1312" s="76"/>
      <c r="O1312" s="76"/>
      <c r="P1312" s="76"/>
      <c r="Q1312" s="76"/>
      <c r="R1312" s="76"/>
      <c r="S1312" s="76"/>
      <c r="T1312" s="76"/>
      <c r="U1312" s="97">
        <f>1.4/1000-U$1309</f>
        <v>-6.4999999999999975E-4</v>
      </c>
      <c r="V1312" s="97">
        <f>1.4/1000-V$1309</f>
        <v>-6.4999999999999975E-4</v>
      </c>
      <c r="W1312" s="97">
        <f>1.4/1000-W$1309</f>
        <v>-6.4999999999999975E-4</v>
      </c>
      <c r="X1312" s="97">
        <f>1.4/1000-X$1309</f>
        <v>-6.4999999999999975E-4</v>
      </c>
      <c r="Y1312" s="97">
        <f>1.4/1000-Y$1309</f>
        <v>-6.4999999999999975E-4</v>
      </c>
      <c r="Z1312" s="97">
        <f t="shared" ref="Z1312:AA1312" si="501">1.4/1000-Z$1309</f>
        <v>-6.4999999999999975E-4</v>
      </c>
      <c r="AA1312" s="97">
        <f t="shared" si="501"/>
        <v>-6.4999999999999975E-4</v>
      </c>
      <c r="AB1312" s="97">
        <f>1.4/1000-AB$1309</f>
        <v>-6.4999999999999975E-4</v>
      </c>
      <c r="AC1312" s="255">
        <f t="shared" si="499"/>
        <v>-6.4999999999999975E-4</v>
      </c>
      <c r="AD1312" s="255">
        <f t="shared" si="499"/>
        <v>-6.4999999999999975E-4</v>
      </c>
      <c r="AE1312" s="255">
        <f t="shared" si="500"/>
        <v>-6.4999999999999975E-4</v>
      </c>
      <c r="AF1312" s="76"/>
      <c r="AG1312" s="76"/>
      <c r="AH1312" s="76"/>
      <c r="AI1312" s="97">
        <v>1</v>
      </c>
      <c r="AJ1312" s="97">
        <v>1</v>
      </c>
      <c r="AK1312" s="73"/>
      <c r="AL1312" s="57"/>
      <c r="AM1312" s="45"/>
      <c r="AN1312" s="45"/>
      <c r="AO1312" s="45"/>
    </row>
    <row r="1313" spans="1:41" hidden="1" outlineLevel="2" x14ac:dyDescent="0.25">
      <c r="A1313" s="45"/>
      <c r="B1313" s="54"/>
      <c r="C1313" s="47">
        <f t="shared" si="488"/>
        <v>3</v>
      </c>
      <c r="D1313" s="73"/>
      <c r="E1313" s="70"/>
      <c r="F1313" s="70" t="s">
        <v>1894</v>
      </c>
      <c r="G1313" s="73"/>
      <c r="H1313" s="76" t="s">
        <v>1895</v>
      </c>
      <c r="I1313" s="76"/>
      <c r="J1313" s="76"/>
      <c r="K1313" s="76"/>
      <c r="L1313" s="76"/>
      <c r="M1313" s="76"/>
      <c r="N1313" s="76"/>
      <c r="O1313" s="76"/>
      <c r="P1313" s="76"/>
      <c r="Q1313" s="76"/>
      <c r="R1313" s="76"/>
      <c r="S1313" s="76"/>
      <c r="T1313" s="76"/>
      <c r="U1313" s="97">
        <f>0-U$1309</f>
        <v>-2.0499999999999997E-3</v>
      </c>
      <c r="V1313" s="97">
        <f>0-V$1309</f>
        <v>-2.0499999999999997E-3</v>
      </c>
      <c r="W1313" s="97">
        <f>0-W$1309</f>
        <v>-2.0499999999999997E-3</v>
      </c>
      <c r="X1313" s="97">
        <f>0-X$1309</f>
        <v>-2.0499999999999997E-3</v>
      </c>
      <c r="Y1313" s="97">
        <f>0-Y$1309</f>
        <v>-2.0499999999999997E-3</v>
      </c>
      <c r="Z1313" s="97">
        <f t="shared" ref="Z1313:AA1313" si="502">0-Z$1309</f>
        <v>-2.0499999999999997E-3</v>
      </c>
      <c r="AA1313" s="97">
        <f t="shared" si="502"/>
        <v>-2.0499999999999997E-3</v>
      </c>
      <c r="AB1313" s="97">
        <f>0-AB$1309</f>
        <v>-2.0499999999999997E-3</v>
      </c>
      <c r="AC1313" s="255">
        <f t="shared" si="499"/>
        <v>-2.0499999999999997E-3</v>
      </c>
      <c r="AD1313" s="255">
        <f t="shared" si="499"/>
        <v>-2.0499999999999997E-3</v>
      </c>
      <c r="AE1313" s="255">
        <f t="shared" si="500"/>
        <v>-2.0499999999999997E-3</v>
      </c>
      <c r="AF1313" s="76"/>
      <c r="AG1313" s="76"/>
      <c r="AH1313" s="76"/>
      <c r="AI1313" s="97">
        <v>1</v>
      </c>
      <c r="AJ1313" s="97">
        <v>1</v>
      </c>
      <c r="AK1313" s="73"/>
      <c r="AL1313" s="57"/>
      <c r="AM1313" s="45"/>
      <c r="AN1313" s="45"/>
      <c r="AO1313" s="45"/>
    </row>
    <row r="1314" spans="1:41" hidden="1" outlineLevel="2" x14ac:dyDescent="0.25">
      <c r="A1314" s="45"/>
      <c r="B1314" s="54"/>
      <c r="C1314" s="47">
        <f t="shared" si="488"/>
        <v>3</v>
      </c>
      <c r="D1314" s="73"/>
      <c r="E1314" s="70"/>
      <c r="F1314" s="70" t="s">
        <v>1896</v>
      </c>
      <c r="G1314" s="73"/>
      <c r="H1314" s="76" t="s">
        <v>1897</v>
      </c>
      <c r="I1314" s="76"/>
      <c r="J1314" s="76"/>
      <c r="K1314" s="76"/>
      <c r="L1314" s="76"/>
      <c r="M1314" s="76"/>
      <c r="N1314" s="76"/>
      <c r="O1314" s="76"/>
      <c r="P1314" s="76"/>
      <c r="Q1314" s="76"/>
      <c r="R1314" s="76"/>
      <c r="S1314" s="76"/>
      <c r="T1314" s="76"/>
      <c r="U1314" s="97">
        <f>0.102/1000</f>
        <v>1.02E-4</v>
      </c>
      <c r="V1314" s="97">
        <f>0.102/1000</f>
        <v>1.02E-4</v>
      </c>
      <c r="W1314" s="97">
        <f>0.102/1000</f>
        <v>1.02E-4</v>
      </c>
      <c r="X1314" s="97">
        <f>0.102/1000</f>
        <v>1.02E-4</v>
      </c>
      <c r="Y1314" s="97">
        <f>0.102/1000</f>
        <v>1.02E-4</v>
      </c>
      <c r="Z1314" s="97">
        <f t="shared" ref="Z1314:AA1314" si="503">0.102/1000</f>
        <v>1.02E-4</v>
      </c>
      <c r="AA1314" s="97">
        <f t="shared" si="503"/>
        <v>1.02E-4</v>
      </c>
      <c r="AB1314" s="97">
        <f>0.102/1000</f>
        <v>1.02E-4</v>
      </c>
      <c r="AC1314" s="255">
        <f t="shared" si="499"/>
        <v>1.02E-4</v>
      </c>
      <c r="AD1314" s="255">
        <f t="shared" si="499"/>
        <v>1.02E-4</v>
      </c>
      <c r="AE1314" s="255">
        <f t="shared" si="500"/>
        <v>1.02E-4</v>
      </c>
      <c r="AF1314" s="76"/>
      <c r="AG1314" s="76"/>
      <c r="AH1314" s="76"/>
      <c r="AI1314" s="97">
        <v>1</v>
      </c>
      <c r="AJ1314" s="97">
        <v>1</v>
      </c>
      <c r="AK1314" s="73"/>
      <c r="AL1314" s="57"/>
      <c r="AM1314" s="45"/>
      <c r="AN1314" s="45"/>
      <c r="AO1314" s="45"/>
    </row>
    <row r="1315" spans="1:41" hidden="1" outlineLevel="2" x14ac:dyDescent="0.25">
      <c r="A1315" s="45"/>
      <c r="B1315" s="54"/>
      <c r="C1315" s="47">
        <f t="shared" si="488"/>
        <v>3</v>
      </c>
      <c r="D1315" s="73"/>
      <c r="E1315" s="70"/>
      <c r="F1315" s="70" t="s">
        <v>1898</v>
      </c>
      <c r="G1315" s="73"/>
      <c r="H1315" s="76" t="s">
        <v>1899</v>
      </c>
      <c r="I1315" s="76"/>
      <c r="J1315" s="76"/>
      <c r="K1315" s="76"/>
      <c r="L1315" s="76"/>
      <c r="M1315" s="76"/>
      <c r="N1315" s="76"/>
      <c r="O1315" s="76"/>
      <c r="P1315" s="76"/>
      <c r="Q1315" s="76"/>
      <c r="R1315" s="76"/>
      <c r="S1315" s="76"/>
      <c r="T1315" s="76"/>
      <c r="U1315" s="97">
        <f>-0.000019/1000</f>
        <v>-1.9000000000000001E-8</v>
      </c>
      <c r="V1315" s="97">
        <f>-0.000019/1000</f>
        <v>-1.9000000000000001E-8</v>
      </c>
      <c r="W1315" s="97">
        <f>-0.000019/1000</f>
        <v>-1.9000000000000001E-8</v>
      </c>
      <c r="X1315" s="97">
        <f>-0.000019/1000</f>
        <v>-1.9000000000000001E-8</v>
      </c>
      <c r="Y1315" s="97">
        <f>-0.000019/1000</f>
        <v>-1.9000000000000001E-8</v>
      </c>
      <c r="Z1315" s="97">
        <f t="shared" ref="Z1315:AA1315" si="504">-0.000019/1000</f>
        <v>-1.9000000000000001E-8</v>
      </c>
      <c r="AA1315" s="97">
        <f t="shared" si="504"/>
        <v>-1.9000000000000001E-8</v>
      </c>
      <c r="AB1315" s="97">
        <f>-0.000019/1000</f>
        <v>-1.9000000000000001E-8</v>
      </c>
      <c r="AC1315" s="255">
        <f t="shared" si="499"/>
        <v>-1.9000000000000001E-8</v>
      </c>
      <c r="AD1315" s="255">
        <f t="shared" si="499"/>
        <v>-1.9000000000000001E-8</v>
      </c>
      <c r="AE1315" s="255">
        <f t="shared" si="500"/>
        <v>-1.9000000000000001E-8</v>
      </c>
      <c r="AF1315" s="76"/>
      <c r="AG1315" s="76"/>
      <c r="AH1315" s="76"/>
      <c r="AI1315" s="97">
        <v>1</v>
      </c>
      <c r="AJ1315" s="97">
        <v>1</v>
      </c>
      <c r="AK1315" s="73"/>
      <c r="AL1315" s="57"/>
      <c r="AM1315" s="45"/>
      <c r="AN1315" s="45"/>
      <c r="AO1315" s="45"/>
    </row>
    <row r="1316" spans="1:41" hidden="1" outlineLevel="2" x14ac:dyDescent="0.25">
      <c r="A1316" s="45"/>
      <c r="B1316" s="54"/>
      <c r="C1316" s="47">
        <f t="shared" si="488"/>
        <v>3</v>
      </c>
      <c r="D1316" s="73"/>
      <c r="E1316" s="70"/>
      <c r="F1316" s="70" t="s">
        <v>1900</v>
      </c>
      <c r="G1316" s="73"/>
      <c r="H1316" s="76" t="s">
        <v>1901</v>
      </c>
      <c r="I1316" s="76"/>
      <c r="J1316" s="76"/>
      <c r="K1316" s="76"/>
      <c r="L1316" s="76"/>
      <c r="M1316" s="76"/>
      <c r="N1316" s="76"/>
      <c r="O1316" s="76"/>
      <c r="P1316" s="76"/>
      <c r="Q1316" s="76"/>
      <c r="R1316" s="76"/>
      <c r="S1316" s="76"/>
      <c r="T1316" s="76"/>
      <c r="U1316" s="97">
        <f>14.9/1000</f>
        <v>1.49E-2</v>
      </c>
      <c r="V1316" s="97">
        <f>14.9/1000</f>
        <v>1.49E-2</v>
      </c>
      <c r="W1316" s="97">
        <f>14.9/1000</f>
        <v>1.49E-2</v>
      </c>
      <c r="X1316" s="97">
        <f>14.9/1000</f>
        <v>1.49E-2</v>
      </c>
      <c r="Y1316" s="97">
        <f>14.9/1000</f>
        <v>1.49E-2</v>
      </c>
      <c r="Z1316" s="97">
        <f t="shared" ref="Z1316:AA1316" si="505">14.9/1000</f>
        <v>1.49E-2</v>
      </c>
      <c r="AA1316" s="97">
        <f t="shared" si="505"/>
        <v>1.49E-2</v>
      </c>
      <c r="AB1316" s="97">
        <f>14.9/1000</f>
        <v>1.49E-2</v>
      </c>
      <c r="AC1316" s="255">
        <f t="shared" si="499"/>
        <v>1.49E-2</v>
      </c>
      <c r="AD1316" s="255">
        <f t="shared" si="499"/>
        <v>1.49E-2</v>
      </c>
      <c r="AE1316" s="255">
        <f t="shared" si="500"/>
        <v>1.49E-2</v>
      </c>
      <c r="AF1316" s="76"/>
      <c r="AG1316" s="76"/>
      <c r="AH1316" s="76"/>
      <c r="AI1316" s="97">
        <v>1</v>
      </c>
      <c r="AJ1316" s="97">
        <v>1</v>
      </c>
      <c r="AK1316" s="73"/>
      <c r="AL1316" s="57"/>
      <c r="AM1316" s="45"/>
      <c r="AN1316" s="45"/>
      <c r="AO1316" s="45"/>
    </row>
    <row r="1317" spans="1:41" hidden="1" outlineLevel="2" x14ac:dyDescent="0.25">
      <c r="A1317" s="45"/>
      <c r="B1317" s="54"/>
      <c r="C1317" s="47">
        <f>INT($C$29)+2</f>
        <v>3</v>
      </c>
      <c r="D1317" s="73"/>
      <c r="E1317" s="402"/>
      <c r="F1317" s="402" t="s">
        <v>3322</v>
      </c>
      <c r="G1317" s="403"/>
      <c r="H1317" s="76" t="s">
        <v>599</v>
      </c>
      <c r="I1317" s="76"/>
      <c r="J1317" s="76"/>
      <c r="K1317" s="76"/>
      <c r="L1317" s="76"/>
      <c r="M1317" s="76"/>
      <c r="N1317" s="76"/>
      <c r="O1317" s="76"/>
      <c r="P1317" s="76"/>
      <c r="Q1317" s="76"/>
      <c r="R1317" s="76"/>
      <c r="S1317" s="76"/>
      <c r="T1317" s="76"/>
      <c r="U1317" s="76"/>
      <c r="V1317" s="76"/>
      <c r="W1317" s="76"/>
      <c r="X1317" s="76"/>
      <c r="Y1317" s="76"/>
      <c r="Z1317" s="76"/>
      <c r="AA1317" s="76"/>
      <c r="AB1317" s="76"/>
      <c r="AC1317" s="76"/>
      <c r="AD1317" s="76"/>
      <c r="AE1317" s="76"/>
      <c r="AF1317" s="76"/>
      <c r="AG1317" s="76"/>
      <c r="AH1317" s="76"/>
      <c r="AI1317" s="76">
        <v>1</v>
      </c>
      <c r="AJ1317" s="76">
        <v>1</v>
      </c>
      <c r="AK1317" s="73"/>
      <c r="AL1317" s="57"/>
      <c r="AM1317" s="45"/>
      <c r="AN1317" s="45"/>
      <c r="AO1317" s="45"/>
    </row>
    <row r="1318" spans="1:41" hidden="1" outlineLevel="2" x14ac:dyDescent="0.25">
      <c r="A1318" s="45"/>
      <c r="B1318" s="54"/>
      <c r="C1318" s="47">
        <f>INT($C$29)+2</f>
        <v>3</v>
      </c>
      <c r="D1318" s="73"/>
      <c r="E1318" s="70"/>
      <c r="F1318" s="70" t="s">
        <v>3323</v>
      </c>
      <c r="G1318" s="234"/>
      <c r="H1318" s="76"/>
      <c r="I1318" s="76"/>
      <c r="J1318" s="76"/>
      <c r="K1318" s="76"/>
      <c r="L1318" s="76"/>
      <c r="M1318" s="76"/>
      <c r="N1318" s="76"/>
      <c r="O1318" s="76"/>
      <c r="P1318" s="76"/>
      <c r="Q1318" s="76"/>
      <c r="R1318" s="76"/>
      <c r="S1318" s="76"/>
      <c r="T1318" s="76"/>
      <c r="U1318" s="76"/>
      <c r="V1318" s="76"/>
      <c r="W1318" s="76"/>
      <c r="X1318" s="76"/>
      <c r="Y1318" s="76"/>
      <c r="Z1318" s="76"/>
      <c r="AA1318" s="76"/>
      <c r="AB1318" s="76"/>
      <c r="AC1318" s="76"/>
      <c r="AD1318" s="76"/>
      <c r="AE1318" s="76"/>
      <c r="AF1318" s="76"/>
      <c r="AG1318" s="76"/>
      <c r="AH1318" s="76"/>
      <c r="AI1318" s="76">
        <v>1</v>
      </c>
      <c r="AJ1318" s="76">
        <v>1</v>
      </c>
      <c r="AK1318" s="73"/>
      <c r="AL1318" s="57"/>
      <c r="AM1318" s="45"/>
      <c r="AN1318" s="45"/>
      <c r="AO1318" s="45"/>
    </row>
    <row r="1319" spans="1:41" hidden="1" outlineLevel="2" x14ac:dyDescent="0.25">
      <c r="A1319" s="45"/>
      <c r="B1319" s="54"/>
      <c r="C1319" s="47">
        <f>INT($C$29)+2</f>
        <v>3</v>
      </c>
      <c r="D1319" s="73"/>
      <c r="E1319" s="70"/>
      <c r="F1319" s="70" t="s">
        <v>3324</v>
      </c>
      <c r="G1319" s="234"/>
      <c r="H1319" s="76"/>
      <c r="I1319" s="76"/>
      <c r="J1319" s="76"/>
      <c r="K1319" s="76"/>
      <c r="L1319" s="76"/>
      <c r="M1319" s="76"/>
      <c r="N1319" s="76"/>
      <c r="O1319" s="76"/>
      <c r="P1319" s="76"/>
      <c r="Q1319" s="76"/>
      <c r="R1319" s="76"/>
      <c r="S1319" s="76"/>
      <c r="T1319" s="76"/>
      <c r="U1319" s="76"/>
      <c r="V1319" s="76"/>
      <c r="W1319" s="76"/>
      <c r="X1319" s="76"/>
      <c r="Y1319" s="76"/>
      <c r="Z1319" s="76"/>
      <c r="AA1319" s="76"/>
      <c r="AB1319" s="76"/>
      <c r="AC1319" s="76"/>
      <c r="AD1319" s="76"/>
      <c r="AE1319" s="76"/>
      <c r="AF1319" s="76"/>
      <c r="AG1319" s="76"/>
      <c r="AH1319" s="76"/>
      <c r="AI1319" s="76">
        <v>1</v>
      </c>
      <c r="AJ1319" s="76">
        <v>1</v>
      </c>
      <c r="AK1319" s="73"/>
      <c r="AL1319" s="57"/>
      <c r="AM1319" s="45"/>
      <c r="AN1319" s="45"/>
      <c r="AO1319" s="45"/>
    </row>
    <row r="1320" spans="1:41" hidden="1" outlineLevel="2" x14ac:dyDescent="0.25">
      <c r="A1320" s="45"/>
      <c r="B1320" s="54"/>
      <c r="C1320" s="47">
        <f>INT($C$29)+2</f>
        <v>3</v>
      </c>
      <c r="D1320" s="73"/>
      <c r="E1320" s="70"/>
      <c r="F1320" s="70" t="s">
        <v>3325</v>
      </c>
      <c r="G1320" s="234"/>
      <c r="H1320" s="76"/>
      <c r="I1320" s="76"/>
      <c r="J1320" s="76"/>
      <c r="K1320" s="76"/>
      <c r="L1320" s="76"/>
      <c r="M1320" s="76"/>
      <c r="N1320" s="76"/>
      <c r="O1320" s="76"/>
      <c r="P1320" s="76"/>
      <c r="Q1320" s="76"/>
      <c r="R1320" s="76"/>
      <c r="S1320" s="76"/>
      <c r="T1320" s="76"/>
      <c r="U1320" s="76"/>
      <c r="V1320" s="76"/>
      <c r="W1320" s="76"/>
      <c r="X1320" s="76"/>
      <c r="Y1320" s="76"/>
      <c r="Z1320" s="76"/>
      <c r="AA1320" s="76"/>
      <c r="AB1320" s="76"/>
      <c r="AC1320" s="76"/>
      <c r="AD1320" s="76"/>
      <c r="AE1320" s="76"/>
      <c r="AF1320" s="76"/>
      <c r="AG1320" s="76"/>
      <c r="AH1320" s="76"/>
      <c r="AI1320" s="76">
        <v>1</v>
      </c>
      <c r="AJ1320" s="76">
        <v>1</v>
      </c>
      <c r="AK1320" s="73"/>
      <c r="AL1320" s="57"/>
      <c r="AM1320" s="45"/>
      <c r="AN1320" s="45"/>
      <c r="AO1320" s="45"/>
    </row>
    <row r="1321" spans="1:41" hidden="1" outlineLevel="2" x14ac:dyDescent="0.25">
      <c r="A1321" s="45"/>
      <c r="B1321" s="54"/>
      <c r="C1321" s="47">
        <f>INT($C$29)+3</f>
        <v>4</v>
      </c>
      <c r="D1321" s="73"/>
      <c r="E1321" s="70"/>
      <c r="F1321" s="70" t="s">
        <v>3326</v>
      </c>
      <c r="G1321" s="234"/>
      <c r="H1321" s="76"/>
      <c r="I1321" s="76"/>
      <c r="J1321" s="76"/>
      <c r="K1321" s="76"/>
      <c r="L1321" s="76"/>
      <c r="M1321" s="76"/>
      <c r="N1321" s="76"/>
      <c r="O1321" s="76"/>
      <c r="P1321" s="76"/>
      <c r="Q1321" s="76"/>
      <c r="R1321" s="76"/>
      <c r="S1321" s="76"/>
      <c r="T1321" s="76"/>
      <c r="U1321" s="76"/>
      <c r="V1321" s="76"/>
      <c r="W1321" s="76"/>
      <c r="X1321" s="76"/>
      <c r="Y1321" s="76"/>
      <c r="Z1321" s="76"/>
      <c r="AA1321" s="76"/>
      <c r="AB1321" s="76"/>
      <c r="AC1321" s="76"/>
      <c r="AD1321" s="76"/>
      <c r="AE1321" s="76"/>
      <c r="AF1321" s="76"/>
      <c r="AG1321" s="76"/>
      <c r="AH1321" s="76"/>
      <c r="AI1321" s="76">
        <v>1</v>
      </c>
      <c r="AJ1321" s="76">
        <v>1</v>
      </c>
      <c r="AK1321" s="73"/>
      <c r="AL1321" s="57"/>
      <c r="AM1321" s="45"/>
      <c r="AN1321" s="45"/>
      <c r="AO1321" s="45"/>
    </row>
    <row r="1322" spans="1:41" hidden="1" outlineLevel="2" collapsed="1" x14ac:dyDescent="0.25">
      <c r="A1322" s="45"/>
      <c r="B1322" s="54"/>
      <c r="C1322" s="47">
        <f>INT($C$29)+3</f>
        <v>4</v>
      </c>
      <c r="D1322" s="73"/>
      <c r="E1322" s="70"/>
      <c r="F1322" s="70" t="s">
        <v>3327</v>
      </c>
      <c r="G1322" s="234"/>
      <c r="H1322" s="76"/>
      <c r="I1322" s="76"/>
      <c r="J1322" s="76"/>
      <c r="K1322" s="76"/>
      <c r="L1322" s="76"/>
      <c r="M1322" s="76"/>
      <c r="N1322" s="76"/>
      <c r="O1322" s="76"/>
      <c r="P1322" s="76"/>
      <c r="Q1322" s="76"/>
      <c r="R1322" s="76"/>
      <c r="S1322" s="76"/>
      <c r="T1322" s="76"/>
      <c r="U1322" s="76"/>
      <c r="V1322" s="76"/>
      <c r="W1322" s="76"/>
      <c r="X1322" s="76"/>
      <c r="Y1322" s="76"/>
      <c r="Z1322" s="76"/>
      <c r="AA1322" s="76"/>
      <c r="AB1322" s="76"/>
      <c r="AC1322" s="76"/>
      <c r="AD1322" s="76"/>
      <c r="AE1322" s="76"/>
      <c r="AF1322" s="76"/>
      <c r="AG1322" s="76"/>
      <c r="AH1322" s="76"/>
      <c r="AI1322" s="76">
        <v>1</v>
      </c>
      <c r="AJ1322" s="76">
        <v>1</v>
      </c>
      <c r="AK1322" s="73"/>
      <c r="AL1322" s="57"/>
      <c r="AM1322" s="45"/>
      <c r="AN1322" s="45"/>
      <c r="AO1322" s="45"/>
    </row>
    <row r="1323" spans="1:41" hidden="1" outlineLevel="3" x14ac:dyDescent="0.25">
      <c r="A1323" s="45"/>
      <c r="B1323" s="54"/>
      <c r="C1323" s="47">
        <f>INT($C$29)+3</f>
        <v>4</v>
      </c>
      <c r="D1323" s="73"/>
      <c r="E1323" s="70"/>
      <c r="F1323" s="70" t="s">
        <v>3328</v>
      </c>
      <c r="G1323" s="234"/>
      <c r="H1323" s="76"/>
      <c r="I1323" s="76"/>
      <c r="J1323" s="76"/>
      <c r="K1323" s="76"/>
      <c r="L1323" s="76"/>
      <c r="M1323" s="76"/>
      <c r="N1323" s="76"/>
      <c r="O1323" s="76"/>
      <c r="P1323" s="76"/>
      <c r="Q1323" s="76"/>
      <c r="R1323" s="76"/>
      <c r="S1323" s="76"/>
      <c r="T1323" s="76"/>
      <c r="U1323" s="76"/>
      <c r="V1323" s="76"/>
      <c r="W1323" s="76"/>
      <c r="X1323" s="76"/>
      <c r="Y1323" s="76"/>
      <c r="Z1323" s="76"/>
      <c r="AA1323" s="76"/>
      <c r="AB1323" s="76"/>
      <c r="AC1323" s="76"/>
      <c r="AD1323" s="76"/>
      <c r="AE1323" s="76"/>
      <c r="AF1323" s="76"/>
      <c r="AG1323" s="76"/>
      <c r="AH1323" s="76"/>
      <c r="AI1323" s="76">
        <v>1</v>
      </c>
      <c r="AJ1323" s="76">
        <v>1</v>
      </c>
      <c r="AK1323" s="73"/>
      <c r="AL1323" s="57"/>
      <c r="AM1323" s="45"/>
      <c r="AN1323" s="45"/>
      <c r="AO1323" s="45"/>
    </row>
    <row r="1324" spans="1:41" hidden="1" outlineLevel="2" x14ac:dyDescent="0.25">
      <c r="A1324" s="45"/>
      <c r="B1324" s="54"/>
      <c r="C1324" s="47">
        <f t="shared" ref="C1324" si="506">INT($C$29)+2</f>
        <v>3</v>
      </c>
      <c r="D1324" s="73"/>
      <c r="E1324" s="406"/>
      <c r="F1324" s="406" t="s">
        <v>3329</v>
      </c>
      <c r="G1324" s="407"/>
      <c r="H1324" s="109"/>
      <c r="I1324" s="109"/>
      <c r="J1324" s="109"/>
      <c r="K1324" s="109"/>
      <c r="L1324" s="109"/>
      <c r="M1324" s="109"/>
      <c r="N1324" s="109"/>
      <c r="O1324" s="109"/>
      <c r="P1324" s="109"/>
      <c r="Q1324" s="109"/>
      <c r="R1324" s="109"/>
      <c r="S1324" s="109"/>
      <c r="T1324" s="109"/>
      <c r="U1324" s="109"/>
      <c r="V1324" s="109"/>
      <c r="W1324" s="109"/>
      <c r="X1324" s="109"/>
      <c r="Y1324" s="109"/>
      <c r="Z1324" s="109"/>
      <c r="AA1324" s="109"/>
      <c r="AB1324" s="109"/>
      <c r="AC1324" s="109"/>
      <c r="AD1324" s="109"/>
      <c r="AE1324" s="109"/>
      <c r="AF1324" s="109"/>
      <c r="AG1324" s="109"/>
      <c r="AH1324" s="109"/>
      <c r="AI1324" s="109">
        <v>1</v>
      </c>
      <c r="AJ1324" s="109">
        <v>1</v>
      </c>
      <c r="AK1324" s="73"/>
      <c r="AL1324" s="57"/>
      <c r="AM1324" s="45"/>
      <c r="AN1324" s="45"/>
      <c r="AO1324" s="45"/>
    </row>
    <row r="1325" spans="1:41" outlineLevel="1" collapsed="1" x14ac:dyDescent="0.25">
      <c r="A1325" s="45"/>
      <c r="B1325" s="54"/>
      <c r="C1325" s="47">
        <f>INT($C$29)+1</f>
        <v>2</v>
      </c>
      <c r="D1325" s="73"/>
      <c r="E1325" s="70"/>
      <c r="F1325" s="265" t="s">
        <v>1695</v>
      </c>
      <c r="G1325" s="73"/>
      <c r="H1325" s="267" t="s">
        <v>2618</v>
      </c>
      <c r="I1325" s="129"/>
      <c r="J1325" s="129" t="s">
        <v>1038</v>
      </c>
      <c r="K1325" s="79">
        <v>28</v>
      </c>
      <c r="L1325" s="79">
        <v>15</v>
      </c>
      <c r="M1325" s="79">
        <v>0</v>
      </c>
      <c r="N1325" s="76"/>
      <c r="O1325" s="76"/>
      <c r="P1325" s="76"/>
      <c r="Q1325" s="76"/>
      <c r="R1325" s="76"/>
      <c r="S1325" s="76"/>
      <c r="T1325" s="76"/>
      <c r="U1325" s="76"/>
      <c r="V1325" s="76"/>
      <c r="W1325" s="76"/>
      <c r="X1325" s="76"/>
      <c r="Y1325" s="76"/>
      <c r="Z1325" s="76"/>
      <c r="AA1325" s="76"/>
      <c r="AB1325" s="76"/>
      <c r="AC1325" s="76"/>
      <c r="AD1325" s="76"/>
      <c r="AE1325" s="76"/>
      <c r="AF1325" s="76"/>
      <c r="AG1325" s="76"/>
      <c r="AH1325" s="76"/>
      <c r="AI1325" s="76"/>
      <c r="AJ1325" s="76"/>
      <c r="AK1325" s="73"/>
      <c r="AL1325" s="57"/>
      <c r="AM1325" s="45"/>
      <c r="AN1325" s="45"/>
      <c r="AO1325" s="45"/>
    </row>
    <row r="1326" spans="1:41" hidden="1" outlineLevel="2" collapsed="1" x14ac:dyDescent="0.25">
      <c r="A1326" s="45"/>
      <c r="B1326" s="54"/>
      <c r="C1326" s="47">
        <f t="shared" ref="C1326:C1345" si="507">INT($C$29)+3</f>
        <v>4</v>
      </c>
      <c r="D1326" s="73"/>
      <c r="E1326" s="70"/>
      <c r="F1326" s="70" t="s">
        <v>1902</v>
      </c>
      <c r="G1326" s="73"/>
      <c r="H1326" s="76" t="s">
        <v>3469</v>
      </c>
      <c r="I1326" s="96" t="s">
        <v>2321</v>
      </c>
      <c r="J1326" s="76"/>
      <c r="K1326" s="76"/>
      <c r="L1326" s="76"/>
      <c r="M1326" s="76"/>
      <c r="N1326" s="76"/>
      <c r="O1326" s="76"/>
      <c r="P1326" s="76"/>
      <c r="Q1326" s="76"/>
      <c r="R1326" s="76"/>
      <c r="S1326" s="76"/>
      <c r="T1326" s="76"/>
      <c r="U1326" s="76"/>
      <c r="V1326" s="76"/>
      <c r="W1326" s="76"/>
      <c r="X1326" s="76"/>
      <c r="Y1326" s="76"/>
      <c r="Z1326" s="76"/>
      <c r="AA1326" s="76"/>
      <c r="AB1326" s="76"/>
      <c r="AC1326" s="76"/>
      <c r="AD1326" s="76"/>
      <c r="AE1326" s="76"/>
      <c r="AF1326" s="76"/>
      <c r="AG1326" s="76"/>
      <c r="AH1326" s="76"/>
      <c r="AI1326" s="76">
        <v>1</v>
      </c>
      <c r="AJ1326" s="76">
        <v>1</v>
      </c>
      <c r="AK1326" s="73"/>
      <c r="AL1326" s="57"/>
      <c r="AM1326" s="45"/>
      <c r="AN1326" s="45"/>
      <c r="AO1326" s="45"/>
    </row>
    <row r="1327" spans="1:41" hidden="1" outlineLevel="3" x14ac:dyDescent="0.25">
      <c r="A1327" s="45"/>
      <c r="B1327" s="54"/>
      <c r="C1327" s="47">
        <f t="shared" si="507"/>
        <v>4</v>
      </c>
      <c r="D1327" s="73"/>
      <c r="E1327" s="70"/>
      <c r="F1327" s="70" t="s">
        <v>1903</v>
      </c>
      <c r="G1327" s="73"/>
      <c r="H1327" s="76" t="s">
        <v>1904</v>
      </c>
      <c r="I1327" s="96" t="s">
        <v>2322</v>
      </c>
      <c r="J1327" s="76"/>
      <c r="K1327" s="76"/>
      <c r="L1327" s="76"/>
      <c r="M1327" s="76"/>
      <c r="N1327" s="76"/>
      <c r="O1327" s="76"/>
      <c r="P1327" s="76"/>
      <c r="Q1327" s="76"/>
      <c r="R1327" s="76"/>
      <c r="S1327" s="76"/>
      <c r="T1327" s="76"/>
      <c r="U1327" s="76"/>
      <c r="V1327" s="76"/>
      <c r="W1327" s="76"/>
      <c r="X1327" s="76"/>
      <c r="Y1327" s="76"/>
      <c r="Z1327" s="76"/>
      <c r="AA1327" s="76"/>
      <c r="AB1327" s="76"/>
      <c r="AC1327" s="76"/>
      <c r="AD1327" s="76"/>
      <c r="AE1327" s="76"/>
      <c r="AF1327" s="76"/>
      <c r="AG1327" s="76"/>
      <c r="AH1327" s="76"/>
      <c r="AI1327" s="76">
        <v>1</v>
      </c>
      <c r="AJ1327" s="76">
        <v>1</v>
      </c>
      <c r="AK1327" s="73"/>
      <c r="AL1327" s="57"/>
      <c r="AM1327" s="45"/>
      <c r="AN1327" s="45"/>
      <c r="AO1327" s="45"/>
    </row>
    <row r="1328" spans="1:41" hidden="1" outlineLevel="3" x14ac:dyDescent="0.25">
      <c r="A1328" s="45"/>
      <c r="B1328" s="54"/>
      <c r="C1328" s="47">
        <f t="shared" si="507"/>
        <v>4</v>
      </c>
      <c r="D1328" s="73"/>
      <c r="E1328" s="70"/>
      <c r="F1328" s="70" t="s">
        <v>1905</v>
      </c>
      <c r="G1328" s="73"/>
      <c r="H1328" s="76" t="s">
        <v>1906</v>
      </c>
      <c r="I1328" s="96" t="s">
        <v>2323</v>
      </c>
      <c r="J1328" s="76"/>
      <c r="K1328" s="76"/>
      <c r="L1328" s="76"/>
      <c r="M1328" s="76"/>
      <c r="N1328" s="76"/>
      <c r="O1328" s="76"/>
      <c r="P1328" s="76"/>
      <c r="Q1328" s="76"/>
      <c r="R1328" s="76"/>
      <c r="S1328" s="76"/>
      <c r="T1328" s="76"/>
      <c r="U1328" s="76"/>
      <c r="V1328" s="76"/>
      <c r="W1328" s="76"/>
      <c r="X1328" s="76"/>
      <c r="Y1328" s="76"/>
      <c r="Z1328" s="76"/>
      <c r="AA1328" s="76"/>
      <c r="AB1328" s="76"/>
      <c r="AC1328" s="76"/>
      <c r="AD1328" s="76"/>
      <c r="AE1328" s="76"/>
      <c r="AF1328" s="76"/>
      <c r="AG1328" s="76"/>
      <c r="AH1328" s="76"/>
      <c r="AI1328" s="76">
        <v>1</v>
      </c>
      <c r="AJ1328" s="76">
        <v>1</v>
      </c>
      <c r="AK1328" s="73"/>
      <c r="AL1328" s="57"/>
      <c r="AM1328" s="45"/>
      <c r="AN1328" s="45"/>
      <c r="AO1328" s="45"/>
    </row>
    <row r="1329" spans="1:41" hidden="1" outlineLevel="3" x14ac:dyDescent="0.25">
      <c r="A1329" s="45"/>
      <c r="B1329" s="54"/>
      <c r="C1329" s="47">
        <f t="shared" si="507"/>
        <v>4</v>
      </c>
      <c r="D1329" s="73"/>
      <c r="E1329" s="70"/>
      <c r="F1329" s="70" t="s">
        <v>1907</v>
      </c>
      <c r="G1329" s="73"/>
      <c r="H1329" s="76" t="s">
        <v>2355</v>
      </c>
      <c r="I1329" s="96" t="s">
        <v>2356</v>
      </c>
      <c r="J1329" s="76"/>
      <c r="K1329" s="76"/>
      <c r="L1329" s="76"/>
      <c r="M1329" s="76"/>
      <c r="N1329" s="76"/>
      <c r="O1329" s="76"/>
      <c r="P1329" s="76"/>
      <c r="Q1329" s="76"/>
      <c r="R1329" s="76"/>
      <c r="S1329" s="76"/>
      <c r="T1329" s="76"/>
      <c r="U1329" s="76"/>
      <c r="V1329" s="76"/>
      <c r="W1329" s="76"/>
      <c r="X1329" s="76"/>
      <c r="Y1329" s="76"/>
      <c r="Z1329" s="76"/>
      <c r="AA1329" s="76"/>
      <c r="AB1329" s="76"/>
      <c r="AC1329" s="76"/>
      <c r="AD1329" s="76"/>
      <c r="AE1329" s="76"/>
      <c r="AF1329" s="76"/>
      <c r="AG1329" s="76"/>
      <c r="AH1329" s="76"/>
      <c r="AI1329" s="76">
        <v>1</v>
      </c>
      <c r="AJ1329" s="76">
        <v>1</v>
      </c>
      <c r="AK1329" s="73"/>
      <c r="AL1329" s="57"/>
      <c r="AM1329" s="45"/>
      <c r="AN1329" s="45"/>
      <c r="AO1329" s="45"/>
    </row>
    <row r="1330" spans="1:41" hidden="1" outlineLevel="3" x14ac:dyDescent="0.25">
      <c r="A1330" s="45"/>
      <c r="B1330" s="54"/>
      <c r="C1330" s="47">
        <f t="shared" si="507"/>
        <v>4</v>
      </c>
      <c r="D1330" s="73"/>
      <c r="E1330" s="70"/>
      <c r="F1330" s="70" t="s">
        <v>1909</v>
      </c>
      <c r="G1330" s="73"/>
      <c r="H1330" s="76" t="s">
        <v>1908</v>
      </c>
      <c r="I1330" s="96" t="s">
        <v>2324</v>
      </c>
      <c r="J1330" s="76"/>
      <c r="K1330" s="76"/>
      <c r="L1330" s="76"/>
      <c r="M1330" s="76"/>
      <c r="N1330" s="76"/>
      <c r="O1330" s="76"/>
      <c r="P1330" s="76"/>
      <c r="Q1330" s="76"/>
      <c r="R1330" s="76"/>
      <c r="S1330" s="76"/>
      <c r="T1330" s="76"/>
      <c r="U1330" s="76"/>
      <c r="V1330" s="76"/>
      <c r="W1330" s="76"/>
      <c r="X1330" s="76"/>
      <c r="Y1330" s="76"/>
      <c r="Z1330" s="76"/>
      <c r="AA1330" s="76"/>
      <c r="AB1330" s="76"/>
      <c r="AC1330" s="76"/>
      <c r="AD1330" s="76"/>
      <c r="AE1330" s="76"/>
      <c r="AF1330" s="76"/>
      <c r="AG1330" s="76"/>
      <c r="AH1330" s="76"/>
      <c r="AI1330" s="76">
        <v>1</v>
      </c>
      <c r="AJ1330" s="76">
        <v>1</v>
      </c>
      <c r="AK1330" s="73"/>
      <c r="AL1330" s="57"/>
      <c r="AM1330" s="45"/>
      <c r="AN1330" s="45"/>
      <c r="AO1330" s="45"/>
    </row>
    <row r="1331" spans="1:41" hidden="1" outlineLevel="3" x14ac:dyDescent="0.25">
      <c r="A1331" s="45"/>
      <c r="B1331" s="54"/>
      <c r="C1331" s="47">
        <f t="shared" si="507"/>
        <v>4</v>
      </c>
      <c r="D1331" s="73"/>
      <c r="E1331" s="70"/>
      <c r="F1331" s="70" t="s">
        <v>2361</v>
      </c>
      <c r="G1331" s="73"/>
      <c r="H1331" s="76" t="s">
        <v>1910</v>
      </c>
      <c r="I1331" s="96" t="s">
        <v>2325</v>
      </c>
      <c r="J1331" s="76"/>
      <c r="K1331" s="76"/>
      <c r="L1331" s="76"/>
      <c r="M1331" s="76"/>
      <c r="N1331" s="76"/>
      <c r="O1331" s="76"/>
      <c r="P1331" s="76"/>
      <c r="Q1331" s="76"/>
      <c r="R1331" s="76"/>
      <c r="S1331" s="76"/>
      <c r="T1331" s="76"/>
      <c r="U1331" s="76"/>
      <c r="V1331" s="76"/>
      <c r="W1331" s="76"/>
      <c r="X1331" s="76"/>
      <c r="Y1331" s="76"/>
      <c r="Z1331" s="76"/>
      <c r="AA1331" s="76"/>
      <c r="AB1331" s="76"/>
      <c r="AC1331" s="76"/>
      <c r="AD1331" s="76"/>
      <c r="AE1331" s="76"/>
      <c r="AF1331" s="76"/>
      <c r="AG1331" s="76"/>
      <c r="AH1331" s="76"/>
      <c r="AI1331" s="76">
        <v>1</v>
      </c>
      <c r="AJ1331" s="76">
        <v>1</v>
      </c>
      <c r="AK1331" s="73"/>
      <c r="AL1331" s="57"/>
      <c r="AM1331" s="45"/>
      <c r="AN1331" s="45"/>
      <c r="AO1331" s="45"/>
    </row>
    <row r="1332" spans="1:41" hidden="1" outlineLevel="3" x14ac:dyDescent="0.25">
      <c r="A1332" s="45"/>
      <c r="B1332" s="54"/>
      <c r="C1332" s="47">
        <f t="shared" si="507"/>
        <v>4</v>
      </c>
      <c r="D1332" s="73"/>
      <c r="E1332" s="70"/>
      <c r="F1332" s="70" t="s">
        <v>2362</v>
      </c>
      <c r="G1332" s="73"/>
      <c r="H1332" s="76" t="s">
        <v>2357</v>
      </c>
      <c r="I1332" s="96" t="s">
        <v>2358</v>
      </c>
      <c r="J1332" s="76"/>
      <c r="K1332" s="76"/>
      <c r="L1332" s="76"/>
      <c r="M1332" s="76"/>
      <c r="N1332" s="76"/>
      <c r="O1332" s="76"/>
      <c r="P1332" s="76"/>
      <c r="Q1332" s="76"/>
      <c r="R1332" s="76"/>
      <c r="S1332" s="76"/>
      <c r="T1332" s="76"/>
      <c r="U1332" s="76"/>
      <c r="V1332" s="76"/>
      <c r="W1332" s="76"/>
      <c r="X1332" s="76"/>
      <c r="Y1332" s="76"/>
      <c r="Z1332" s="76"/>
      <c r="AA1332" s="76"/>
      <c r="AB1332" s="76"/>
      <c r="AC1332" s="76"/>
      <c r="AD1332" s="76"/>
      <c r="AE1332" s="76"/>
      <c r="AF1332" s="76"/>
      <c r="AG1332" s="76"/>
      <c r="AH1332" s="76"/>
      <c r="AI1332" s="76">
        <v>1</v>
      </c>
      <c r="AJ1332" s="76">
        <v>1</v>
      </c>
      <c r="AK1332" s="73"/>
      <c r="AL1332" s="57"/>
      <c r="AM1332" s="45"/>
      <c r="AN1332" s="45"/>
      <c r="AO1332" s="45"/>
    </row>
    <row r="1333" spans="1:41" hidden="1" outlineLevel="3" x14ac:dyDescent="0.25">
      <c r="A1333" s="45"/>
      <c r="B1333" s="54"/>
      <c r="C1333" s="47">
        <f t="shared" si="507"/>
        <v>4</v>
      </c>
      <c r="D1333" s="73"/>
      <c r="E1333" s="70"/>
      <c r="F1333" s="70" t="s">
        <v>2363</v>
      </c>
      <c r="G1333" s="73"/>
      <c r="H1333" s="76" t="s">
        <v>2359</v>
      </c>
      <c r="I1333" s="96" t="s">
        <v>2360</v>
      </c>
      <c r="J1333" s="76"/>
      <c r="K1333" s="76"/>
      <c r="L1333" s="76"/>
      <c r="M1333" s="76"/>
      <c r="N1333" s="76"/>
      <c r="O1333" s="76"/>
      <c r="P1333" s="76"/>
      <c r="Q1333" s="76"/>
      <c r="R1333" s="76"/>
      <c r="S1333" s="76"/>
      <c r="T1333" s="76"/>
      <c r="U1333" s="76"/>
      <c r="V1333" s="76"/>
      <c r="W1333" s="76"/>
      <c r="X1333" s="76"/>
      <c r="Y1333" s="76"/>
      <c r="Z1333" s="76"/>
      <c r="AA1333" s="76"/>
      <c r="AB1333" s="76"/>
      <c r="AC1333" s="76"/>
      <c r="AD1333" s="76"/>
      <c r="AE1333" s="76"/>
      <c r="AF1333" s="76"/>
      <c r="AG1333" s="76"/>
      <c r="AH1333" s="76"/>
      <c r="AI1333" s="76">
        <v>1</v>
      </c>
      <c r="AJ1333" s="76">
        <v>1</v>
      </c>
      <c r="AK1333" s="73"/>
      <c r="AL1333" s="57"/>
      <c r="AM1333" s="45"/>
      <c r="AN1333" s="45"/>
      <c r="AO1333" s="45"/>
    </row>
    <row r="1334" spans="1:41" hidden="1" outlineLevel="3" x14ac:dyDescent="0.25">
      <c r="A1334" s="45"/>
      <c r="B1334" s="54"/>
      <c r="C1334" s="47">
        <f t="shared" si="507"/>
        <v>4</v>
      </c>
      <c r="D1334" s="73"/>
      <c r="E1334" s="70"/>
      <c r="F1334" s="70" t="str">
        <f>SUBSTITUTE(F1330,",4)",",8)")</f>
        <v>C(U2,0,8)</v>
      </c>
      <c r="G1334" s="73"/>
      <c r="H1334" s="76" t="s">
        <v>2710</v>
      </c>
      <c r="I1334" s="96" t="s">
        <v>2714</v>
      </c>
      <c r="J1334" s="76"/>
      <c r="K1334" s="76"/>
      <c r="L1334" s="76"/>
      <c r="M1334" s="76"/>
      <c r="N1334" s="76"/>
      <c r="O1334" s="76"/>
      <c r="P1334" s="76"/>
      <c r="Q1334" s="76"/>
      <c r="R1334" s="76"/>
      <c r="S1334" s="76"/>
      <c r="T1334" s="76"/>
      <c r="U1334" s="76"/>
      <c r="V1334" s="76"/>
      <c r="W1334" s="76"/>
      <c r="X1334" s="76"/>
      <c r="Y1334" s="76"/>
      <c r="Z1334" s="76"/>
      <c r="AA1334" s="76"/>
      <c r="AB1334" s="76"/>
      <c r="AC1334" s="76"/>
      <c r="AD1334" s="76"/>
      <c r="AE1334" s="76"/>
      <c r="AF1334" s="76"/>
      <c r="AG1334" s="76"/>
      <c r="AH1334" s="76"/>
      <c r="AI1334" s="76">
        <v>1</v>
      </c>
      <c r="AJ1334" s="76">
        <v>1</v>
      </c>
      <c r="AK1334" s="73"/>
      <c r="AL1334" s="57"/>
      <c r="AM1334" s="45"/>
      <c r="AN1334" s="45"/>
      <c r="AO1334" s="45"/>
    </row>
    <row r="1335" spans="1:41" hidden="1" outlineLevel="3" x14ac:dyDescent="0.25">
      <c r="A1335" s="45"/>
      <c r="B1335" s="54"/>
      <c r="C1335" s="47">
        <f t="shared" si="507"/>
        <v>4</v>
      </c>
      <c r="D1335" s="73"/>
      <c r="E1335" s="70"/>
      <c r="F1335" s="70" t="str">
        <f>SUBSTITUTE(F1331,",5)",",9)")</f>
        <v>C(U2,0,9)</v>
      </c>
      <c r="G1335" s="73"/>
      <c r="H1335" s="76" t="s">
        <v>2711</v>
      </c>
      <c r="I1335" s="96" t="s">
        <v>2715</v>
      </c>
      <c r="J1335" s="76"/>
      <c r="K1335" s="76"/>
      <c r="L1335" s="76"/>
      <c r="M1335" s="76"/>
      <c r="N1335" s="76"/>
      <c r="O1335" s="76"/>
      <c r="P1335" s="76"/>
      <c r="Q1335" s="76"/>
      <c r="R1335" s="76"/>
      <c r="S1335" s="76"/>
      <c r="T1335" s="76"/>
      <c r="U1335" s="76"/>
      <c r="V1335" s="76"/>
      <c r="W1335" s="76"/>
      <c r="X1335" s="76"/>
      <c r="Y1335" s="76"/>
      <c r="Z1335" s="76"/>
      <c r="AA1335" s="76"/>
      <c r="AB1335" s="76"/>
      <c r="AC1335" s="76"/>
      <c r="AD1335" s="76"/>
      <c r="AE1335" s="76"/>
      <c r="AF1335" s="76"/>
      <c r="AG1335" s="76"/>
      <c r="AH1335" s="76"/>
      <c r="AI1335" s="76">
        <v>1</v>
      </c>
      <c r="AJ1335" s="76">
        <v>1</v>
      </c>
      <c r="AK1335" s="73"/>
      <c r="AL1335" s="57"/>
      <c r="AM1335" s="45"/>
      <c r="AN1335" s="45"/>
      <c r="AO1335" s="45"/>
    </row>
    <row r="1336" spans="1:41" hidden="1" outlineLevel="3" x14ac:dyDescent="0.25">
      <c r="A1336" s="45"/>
      <c r="B1336" s="54"/>
      <c r="C1336" s="47">
        <f t="shared" si="507"/>
        <v>4</v>
      </c>
      <c r="D1336" s="73"/>
      <c r="E1336" s="70"/>
      <c r="F1336" s="70" t="str">
        <f>SUBSTITUTE(F1332,",6)",",10)")</f>
        <v>C(U2,0,10)</v>
      </c>
      <c r="G1336" s="73"/>
      <c r="H1336" s="76" t="s">
        <v>2712</v>
      </c>
      <c r="I1336" s="96" t="s">
        <v>2716</v>
      </c>
      <c r="J1336" s="76"/>
      <c r="K1336" s="76"/>
      <c r="L1336" s="76"/>
      <c r="M1336" s="76"/>
      <c r="N1336" s="76"/>
      <c r="O1336" s="76"/>
      <c r="P1336" s="76"/>
      <c r="Q1336" s="76"/>
      <c r="R1336" s="76"/>
      <c r="S1336" s="76"/>
      <c r="T1336" s="76"/>
      <c r="U1336" s="76"/>
      <c r="V1336" s="76"/>
      <c r="W1336" s="76"/>
      <c r="X1336" s="76"/>
      <c r="Y1336" s="76"/>
      <c r="Z1336" s="76"/>
      <c r="AA1336" s="76"/>
      <c r="AB1336" s="76"/>
      <c r="AC1336" s="76"/>
      <c r="AD1336" s="76"/>
      <c r="AE1336" s="76"/>
      <c r="AF1336" s="76"/>
      <c r="AG1336" s="76"/>
      <c r="AH1336" s="76"/>
      <c r="AI1336" s="76">
        <v>1</v>
      </c>
      <c r="AJ1336" s="76">
        <v>1</v>
      </c>
      <c r="AK1336" s="73"/>
      <c r="AL1336" s="57"/>
      <c r="AM1336" s="45"/>
      <c r="AN1336" s="45"/>
      <c r="AO1336" s="45"/>
    </row>
    <row r="1337" spans="1:41" hidden="1" outlineLevel="3" x14ac:dyDescent="0.25">
      <c r="A1337" s="45"/>
      <c r="B1337" s="54"/>
      <c r="C1337" s="47">
        <f t="shared" si="507"/>
        <v>4</v>
      </c>
      <c r="D1337" s="73"/>
      <c r="E1337" s="70"/>
      <c r="F1337" s="70" t="str">
        <f>SUBSTITUTE(F1333,",7)",",11)")</f>
        <v>C(U2,0,11)</v>
      </c>
      <c r="G1337" s="73"/>
      <c r="H1337" s="76" t="s">
        <v>2713</v>
      </c>
      <c r="I1337" s="96" t="s">
        <v>2717</v>
      </c>
      <c r="J1337" s="76"/>
      <c r="K1337" s="76"/>
      <c r="L1337" s="76"/>
      <c r="M1337" s="76"/>
      <c r="N1337" s="76"/>
      <c r="O1337" s="76"/>
      <c r="P1337" s="76"/>
      <c r="Q1337" s="76"/>
      <c r="R1337" s="76"/>
      <c r="S1337" s="76"/>
      <c r="T1337" s="76"/>
      <c r="U1337" s="76"/>
      <c r="V1337" s="76"/>
      <c r="W1337" s="76"/>
      <c r="X1337" s="76"/>
      <c r="Y1337" s="76"/>
      <c r="Z1337" s="76"/>
      <c r="AA1337" s="76"/>
      <c r="AB1337" s="76"/>
      <c r="AC1337" s="76"/>
      <c r="AD1337" s="76"/>
      <c r="AE1337" s="76"/>
      <c r="AF1337" s="76"/>
      <c r="AG1337" s="76"/>
      <c r="AH1337" s="76"/>
      <c r="AI1337" s="76">
        <v>1</v>
      </c>
      <c r="AJ1337" s="76">
        <v>1</v>
      </c>
      <c r="AK1337" s="73"/>
      <c r="AL1337" s="57"/>
      <c r="AM1337" s="45"/>
      <c r="AN1337" s="45"/>
      <c r="AO1337" s="45"/>
    </row>
    <row r="1338" spans="1:41" hidden="1" outlineLevel="3" x14ac:dyDescent="0.25">
      <c r="A1338" s="45"/>
      <c r="B1338" s="54"/>
      <c r="C1338" s="47">
        <f t="shared" si="507"/>
        <v>4</v>
      </c>
      <c r="D1338" s="73"/>
      <c r="E1338" s="70"/>
      <c r="F1338" s="70" t="str">
        <f>SUBSTITUTE(F1333,",7)",",12)")</f>
        <v>C(U2,0,12)</v>
      </c>
      <c r="G1338" s="73"/>
      <c r="H1338" s="76" t="s">
        <v>3316</v>
      </c>
      <c r="I1338" s="96" t="s">
        <v>2716</v>
      </c>
      <c r="J1338" s="76"/>
      <c r="K1338" s="76"/>
      <c r="L1338" s="76"/>
      <c r="M1338" s="76"/>
      <c r="N1338" s="76"/>
      <c r="O1338" s="76"/>
      <c r="P1338" s="76"/>
      <c r="Q1338" s="76"/>
      <c r="R1338" s="76"/>
      <c r="S1338" s="76"/>
      <c r="T1338" s="76"/>
      <c r="U1338" s="76"/>
      <c r="V1338" s="76"/>
      <c r="W1338" s="76"/>
      <c r="X1338" s="76"/>
      <c r="Y1338" s="76"/>
      <c r="Z1338" s="76"/>
      <c r="AA1338" s="76"/>
      <c r="AB1338" s="76"/>
      <c r="AC1338" s="76"/>
      <c r="AD1338" s="76"/>
      <c r="AE1338" s="76"/>
      <c r="AF1338" s="76"/>
      <c r="AG1338" s="76"/>
      <c r="AH1338" s="76"/>
      <c r="AI1338" s="76">
        <v>1</v>
      </c>
      <c r="AJ1338" s="76">
        <v>1</v>
      </c>
      <c r="AK1338" s="73"/>
      <c r="AL1338" s="57"/>
      <c r="AM1338" s="45"/>
      <c r="AN1338" s="45"/>
      <c r="AO1338" s="45"/>
    </row>
    <row r="1339" spans="1:41" hidden="1" outlineLevel="3" x14ac:dyDescent="0.25">
      <c r="A1339" s="45"/>
      <c r="B1339" s="54"/>
      <c r="C1339" s="47">
        <f t="shared" si="507"/>
        <v>4</v>
      </c>
      <c r="D1339" s="73"/>
      <c r="E1339" s="70"/>
      <c r="F1339" s="70" t="str">
        <f>SUBSTITUTE(F1333,",7)",",13)")</f>
        <v>C(U2,0,13)</v>
      </c>
      <c r="G1339" s="73"/>
      <c r="H1339" s="76" t="s">
        <v>3317</v>
      </c>
      <c r="I1339" s="96" t="s">
        <v>2717</v>
      </c>
      <c r="J1339" s="76"/>
      <c r="K1339" s="76"/>
      <c r="L1339" s="76"/>
      <c r="M1339" s="76"/>
      <c r="N1339" s="76"/>
      <c r="O1339" s="76"/>
      <c r="P1339" s="76"/>
      <c r="Q1339" s="76"/>
      <c r="R1339" s="76"/>
      <c r="S1339" s="76"/>
      <c r="T1339" s="76"/>
      <c r="U1339" s="76"/>
      <c r="V1339" s="76"/>
      <c r="W1339" s="76"/>
      <c r="X1339" s="76"/>
      <c r="Y1339" s="76"/>
      <c r="Z1339" s="76"/>
      <c r="AA1339" s="76"/>
      <c r="AB1339" s="76"/>
      <c r="AC1339" s="76"/>
      <c r="AD1339" s="76"/>
      <c r="AE1339" s="76"/>
      <c r="AF1339" s="76"/>
      <c r="AG1339" s="76"/>
      <c r="AH1339" s="76"/>
      <c r="AI1339" s="76">
        <v>1</v>
      </c>
      <c r="AJ1339" s="76">
        <v>1</v>
      </c>
      <c r="AK1339" s="73"/>
      <c r="AL1339" s="57"/>
      <c r="AM1339" s="45"/>
      <c r="AN1339" s="45"/>
      <c r="AO1339" s="45"/>
    </row>
    <row r="1340" spans="1:41" hidden="1" outlineLevel="3" x14ac:dyDescent="0.25">
      <c r="A1340" s="45"/>
      <c r="B1340" s="54"/>
      <c r="C1340" s="47">
        <f t="shared" si="507"/>
        <v>4</v>
      </c>
      <c r="D1340" s="73"/>
      <c r="E1340" s="70"/>
      <c r="F1340" s="70" t="s">
        <v>1911</v>
      </c>
      <c r="G1340" s="73"/>
      <c r="H1340" s="76" t="s">
        <v>1912</v>
      </c>
      <c r="I1340" s="96" t="s">
        <v>2326</v>
      </c>
      <c r="J1340" s="76"/>
      <c r="K1340" s="76"/>
      <c r="L1340" s="76"/>
      <c r="M1340" s="76"/>
      <c r="N1340" s="76"/>
      <c r="O1340" s="76"/>
      <c r="P1340" s="76"/>
      <c r="Q1340" s="76"/>
      <c r="R1340" s="76"/>
      <c r="S1340" s="76"/>
      <c r="T1340" s="76"/>
      <c r="U1340" s="76"/>
      <c r="V1340" s="76"/>
      <c r="W1340" s="76"/>
      <c r="X1340" s="76"/>
      <c r="Y1340" s="76"/>
      <c r="Z1340" s="76"/>
      <c r="AA1340" s="76"/>
      <c r="AB1340" s="76"/>
      <c r="AC1340" s="76"/>
      <c r="AD1340" s="76"/>
      <c r="AE1340" s="76"/>
      <c r="AF1340" s="76"/>
      <c r="AG1340" s="76"/>
      <c r="AH1340" s="76"/>
      <c r="AI1340" s="76">
        <v>1</v>
      </c>
      <c r="AJ1340" s="76">
        <v>1</v>
      </c>
      <c r="AK1340" s="73"/>
      <c r="AL1340" s="57"/>
      <c r="AM1340" s="45"/>
      <c r="AN1340" s="45"/>
      <c r="AO1340" s="45"/>
    </row>
    <row r="1341" spans="1:41" hidden="1" outlineLevel="3" x14ac:dyDescent="0.25">
      <c r="A1341" s="45"/>
      <c r="B1341" s="54"/>
      <c r="C1341" s="47">
        <f t="shared" si="507"/>
        <v>4</v>
      </c>
      <c r="D1341" s="73"/>
      <c r="E1341" s="70"/>
      <c r="F1341" s="70" t="s">
        <v>1913</v>
      </c>
      <c r="G1341" s="73"/>
      <c r="H1341" s="76" t="s">
        <v>599</v>
      </c>
      <c r="I1341" s="76"/>
      <c r="J1341" s="76"/>
      <c r="K1341" s="76"/>
      <c r="L1341" s="76"/>
      <c r="M1341" s="76"/>
      <c r="N1341" s="76"/>
      <c r="O1341" s="76"/>
      <c r="P1341" s="76"/>
      <c r="Q1341" s="76"/>
      <c r="R1341" s="76"/>
      <c r="S1341" s="76"/>
      <c r="T1341" s="76"/>
      <c r="U1341" s="76"/>
      <c r="V1341" s="76"/>
      <c r="W1341" s="76"/>
      <c r="X1341" s="76"/>
      <c r="Y1341" s="76"/>
      <c r="Z1341" s="76"/>
      <c r="AA1341" s="76"/>
      <c r="AB1341" s="76"/>
      <c r="AC1341" s="76"/>
      <c r="AD1341" s="76"/>
      <c r="AE1341" s="76"/>
      <c r="AF1341" s="76"/>
      <c r="AG1341" s="76"/>
      <c r="AH1341" s="76"/>
      <c r="AI1341" s="76">
        <v>1</v>
      </c>
      <c r="AJ1341" s="76">
        <v>1</v>
      </c>
      <c r="AK1341" s="73"/>
      <c r="AL1341" s="57"/>
      <c r="AM1341" s="45"/>
      <c r="AN1341" s="45"/>
      <c r="AO1341" s="45"/>
    </row>
    <row r="1342" spans="1:41" hidden="1" outlineLevel="3" x14ac:dyDescent="0.25">
      <c r="A1342" s="45"/>
      <c r="B1342" s="54"/>
      <c r="C1342" s="47">
        <f t="shared" si="507"/>
        <v>4</v>
      </c>
      <c r="D1342" s="73"/>
      <c r="E1342" s="70"/>
      <c r="F1342" s="70" t="s">
        <v>1914</v>
      </c>
      <c r="G1342" s="73"/>
      <c r="H1342" s="76"/>
      <c r="I1342" s="76"/>
      <c r="J1342" s="76"/>
      <c r="K1342" s="76"/>
      <c r="L1342" s="76"/>
      <c r="M1342" s="76"/>
      <c r="N1342" s="76"/>
      <c r="O1342" s="76"/>
      <c r="P1342" s="76"/>
      <c r="Q1342" s="76"/>
      <c r="R1342" s="76"/>
      <c r="S1342" s="76"/>
      <c r="T1342" s="76"/>
      <c r="U1342" s="76"/>
      <c r="V1342" s="76"/>
      <c r="W1342" s="76"/>
      <c r="X1342" s="76"/>
      <c r="Y1342" s="76"/>
      <c r="Z1342" s="76"/>
      <c r="AA1342" s="76"/>
      <c r="AB1342" s="76"/>
      <c r="AC1342" s="76"/>
      <c r="AD1342" s="76"/>
      <c r="AE1342" s="76"/>
      <c r="AF1342" s="76"/>
      <c r="AG1342" s="76"/>
      <c r="AH1342" s="76"/>
      <c r="AI1342" s="76">
        <v>1</v>
      </c>
      <c r="AJ1342" s="76">
        <v>1</v>
      </c>
      <c r="AK1342" s="73"/>
      <c r="AL1342" s="57"/>
      <c r="AM1342" s="45"/>
      <c r="AN1342" s="45"/>
      <c r="AO1342" s="45"/>
    </row>
    <row r="1343" spans="1:41" hidden="1" outlineLevel="3" x14ac:dyDescent="0.25">
      <c r="A1343" s="45"/>
      <c r="B1343" s="54"/>
      <c r="C1343" s="47">
        <f t="shared" si="507"/>
        <v>4</v>
      </c>
      <c r="D1343" s="73"/>
      <c r="E1343" s="70"/>
      <c r="F1343" s="70" t="s">
        <v>1915</v>
      </c>
      <c r="G1343" s="73"/>
      <c r="H1343" s="76"/>
      <c r="I1343" s="76"/>
      <c r="J1343" s="76"/>
      <c r="K1343" s="76"/>
      <c r="L1343" s="76"/>
      <c r="M1343" s="76"/>
      <c r="N1343" s="76"/>
      <c r="O1343" s="76"/>
      <c r="P1343" s="76"/>
      <c r="Q1343" s="76"/>
      <c r="R1343" s="76"/>
      <c r="S1343" s="76"/>
      <c r="T1343" s="76"/>
      <c r="U1343" s="76"/>
      <c r="V1343" s="76"/>
      <c r="W1343" s="76"/>
      <c r="X1343" s="76"/>
      <c r="Y1343" s="76"/>
      <c r="Z1343" s="76"/>
      <c r="AA1343" s="76"/>
      <c r="AB1343" s="76"/>
      <c r="AC1343" s="76"/>
      <c r="AD1343" s="76"/>
      <c r="AE1343" s="76"/>
      <c r="AF1343" s="76"/>
      <c r="AG1343" s="76"/>
      <c r="AH1343" s="76"/>
      <c r="AI1343" s="76">
        <v>1</v>
      </c>
      <c r="AJ1343" s="76">
        <v>1</v>
      </c>
      <c r="AK1343" s="73"/>
      <c r="AL1343" s="57"/>
      <c r="AM1343" s="45"/>
      <c r="AN1343" s="45"/>
      <c r="AO1343" s="45"/>
    </row>
    <row r="1344" spans="1:41" hidden="1" outlineLevel="3" x14ac:dyDescent="0.25">
      <c r="A1344" s="45"/>
      <c r="B1344" s="54"/>
      <c r="C1344" s="47">
        <f t="shared" si="507"/>
        <v>4</v>
      </c>
      <c r="D1344" s="73"/>
      <c r="E1344" s="70"/>
      <c r="F1344" s="70" t="s">
        <v>1916</v>
      </c>
      <c r="G1344" s="73"/>
      <c r="H1344" s="76"/>
      <c r="I1344" s="76"/>
      <c r="J1344" s="76"/>
      <c r="K1344" s="76"/>
      <c r="L1344" s="76"/>
      <c r="M1344" s="76"/>
      <c r="N1344" s="76"/>
      <c r="O1344" s="76"/>
      <c r="P1344" s="76"/>
      <c r="Q1344" s="76"/>
      <c r="R1344" s="76"/>
      <c r="S1344" s="76"/>
      <c r="T1344" s="76"/>
      <c r="U1344" s="76"/>
      <c r="V1344" s="76"/>
      <c r="W1344" s="76"/>
      <c r="X1344" s="76"/>
      <c r="Y1344" s="76"/>
      <c r="Z1344" s="76"/>
      <c r="AA1344" s="76"/>
      <c r="AB1344" s="76"/>
      <c r="AC1344" s="76"/>
      <c r="AD1344" s="76"/>
      <c r="AE1344" s="76"/>
      <c r="AF1344" s="76"/>
      <c r="AG1344" s="76"/>
      <c r="AH1344" s="76"/>
      <c r="AI1344" s="76">
        <v>1</v>
      </c>
      <c r="AJ1344" s="76">
        <v>1</v>
      </c>
      <c r="AK1344" s="73"/>
      <c r="AL1344" s="57"/>
      <c r="AM1344" s="45"/>
      <c r="AN1344" s="45"/>
      <c r="AO1344" s="45"/>
    </row>
    <row r="1345" spans="1:41" hidden="1" outlineLevel="3" x14ac:dyDescent="0.25">
      <c r="A1345" s="45"/>
      <c r="B1345" s="54"/>
      <c r="C1345" s="47">
        <f t="shared" si="507"/>
        <v>4</v>
      </c>
      <c r="D1345" s="73"/>
      <c r="E1345" s="70"/>
      <c r="F1345" s="70" t="s">
        <v>1917</v>
      </c>
      <c r="G1345" s="73"/>
      <c r="H1345" s="76"/>
      <c r="I1345" s="76"/>
      <c r="J1345" s="76"/>
      <c r="K1345" s="76"/>
      <c r="L1345" s="76"/>
      <c r="M1345" s="76"/>
      <c r="N1345" s="76"/>
      <c r="O1345" s="76"/>
      <c r="P1345" s="76"/>
      <c r="Q1345" s="76"/>
      <c r="R1345" s="76"/>
      <c r="S1345" s="76"/>
      <c r="T1345" s="76"/>
      <c r="U1345" s="76"/>
      <c r="V1345" s="76"/>
      <c r="W1345" s="76"/>
      <c r="X1345" s="76"/>
      <c r="Y1345" s="76"/>
      <c r="Z1345" s="76"/>
      <c r="AA1345" s="76"/>
      <c r="AB1345" s="76"/>
      <c r="AC1345" s="76"/>
      <c r="AD1345" s="76"/>
      <c r="AE1345" s="76"/>
      <c r="AF1345" s="76"/>
      <c r="AG1345" s="76"/>
      <c r="AH1345" s="76"/>
      <c r="AI1345" s="76">
        <v>1</v>
      </c>
      <c r="AJ1345" s="76">
        <v>1</v>
      </c>
      <c r="AK1345" s="73"/>
      <c r="AL1345" s="57"/>
      <c r="AM1345" s="45"/>
      <c r="AN1345" s="45"/>
      <c r="AO1345" s="45"/>
    </row>
    <row r="1346" spans="1:41" hidden="1" outlineLevel="3" x14ac:dyDescent="0.25">
      <c r="A1346" s="45"/>
      <c r="B1346" s="54"/>
      <c r="C1346" s="47"/>
      <c r="D1346" s="73"/>
      <c r="E1346" s="70"/>
      <c r="F1346" s="70" t="s">
        <v>2364</v>
      </c>
      <c r="G1346" s="73"/>
      <c r="H1346" s="76"/>
      <c r="I1346" s="76"/>
      <c r="J1346" s="76"/>
      <c r="K1346" s="76"/>
      <c r="L1346" s="76"/>
      <c r="M1346" s="76"/>
      <c r="N1346" s="76"/>
      <c r="O1346" s="76"/>
      <c r="P1346" s="76"/>
      <c r="Q1346" s="76"/>
      <c r="R1346" s="76"/>
      <c r="S1346" s="76"/>
      <c r="T1346" s="76"/>
      <c r="U1346" s="76"/>
      <c r="V1346" s="76"/>
      <c r="W1346" s="76"/>
      <c r="X1346" s="76"/>
      <c r="Y1346" s="76"/>
      <c r="Z1346" s="76"/>
      <c r="AA1346" s="76"/>
      <c r="AB1346" s="76"/>
      <c r="AC1346" s="76"/>
      <c r="AD1346" s="76"/>
      <c r="AE1346" s="76"/>
      <c r="AF1346" s="76"/>
      <c r="AG1346" s="76"/>
      <c r="AH1346" s="76"/>
      <c r="AI1346" s="76">
        <v>1</v>
      </c>
      <c r="AJ1346" s="76">
        <v>1</v>
      </c>
      <c r="AK1346" s="73"/>
      <c r="AL1346" s="57"/>
      <c r="AM1346" s="45"/>
      <c r="AN1346" s="45"/>
      <c r="AO1346" s="45"/>
    </row>
    <row r="1347" spans="1:41" hidden="1" outlineLevel="3" x14ac:dyDescent="0.25">
      <c r="A1347" s="45"/>
      <c r="B1347" s="54"/>
      <c r="C1347" s="47"/>
      <c r="D1347" s="73"/>
      <c r="E1347" s="70"/>
      <c r="F1347" s="70" t="s">
        <v>2365</v>
      </c>
      <c r="G1347" s="73"/>
      <c r="H1347" s="76"/>
      <c r="I1347" s="76"/>
      <c r="J1347" s="76"/>
      <c r="K1347" s="76"/>
      <c r="L1347" s="76"/>
      <c r="M1347" s="76"/>
      <c r="N1347" s="76"/>
      <c r="O1347" s="76"/>
      <c r="P1347" s="76"/>
      <c r="Q1347" s="76"/>
      <c r="R1347" s="76"/>
      <c r="S1347" s="76"/>
      <c r="T1347" s="76"/>
      <c r="U1347" s="76"/>
      <c r="V1347" s="76"/>
      <c r="W1347" s="76"/>
      <c r="X1347" s="76"/>
      <c r="Y1347" s="76"/>
      <c r="Z1347" s="76"/>
      <c r="AA1347" s="76"/>
      <c r="AB1347" s="76"/>
      <c r="AC1347" s="76"/>
      <c r="AD1347" s="76"/>
      <c r="AE1347" s="76"/>
      <c r="AF1347" s="76"/>
      <c r="AG1347" s="76"/>
      <c r="AH1347" s="76"/>
      <c r="AI1347" s="76">
        <v>1</v>
      </c>
      <c r="AJ1347" s="76">
        <v>1</v>
      </c>
      <c r="AK1347" s="73"/>
      <c r="AL1347" s="57"/>
      <c r="AM1347" s="45"/>
      <c r="AN1347" s="45"/>
      <c r="AO1347" s="45"/>
    </row>
    <row r="1348" spans="1:41" hidden="1" outlineLevel="3" x14ac:dyDescent="0.25">
      <c r="A1348" s="45"/>
      <c r="B1348" s="54"/>
      <c r="C1348" s="47"/>
      <c r="D1348" s="73"/>
      <c r="E1348" s="70"/>
      <c r="F1348" s="70" t="s">
        <v>2366</v>
      </c>
      <c r="G1348" s="73"/>
      <c r="H1348" s="76"/>
      <c r="I1348" s="76"/>
      <c r="J1348" s="76"/>
      <c r="K1348" s="76"/>
      <c r="L1348" s="76"/>
      <c r="M1348" s="76"/>
      <c r="N1348" s="76"/>
      <c r="O1348" s="76"/>
      <c r="P1348" s="76"/>
      <c r="Q1348" s="76"/>
      <c r="R1348" s="76"/>
      <c r="S1348" s="76"/>
      <c r="T1348" s="76"/>
      <c r="U1348" s="76"/>
      <c r="V1348" s="76"/>
      <c r="W1348" s="76"/>
      <c r="X1348" s="76"/>
      <c r="Y1348" s="76"/>
      <c r="Z1348" s="76"/>
      <c r="AA1348" s="76"/>
      <c r="AB1348" s="76"/>
      <c r="AC1348" s="76"/>
      <c r="AD1348" s="76"/>
      <c r="AE1348" s="76"/>
      <c r="AF1348" s="76"/>
      <c r="AG1348" s="76"/>
      <c r="AH1348" s="76"/>
      <c r="AI1348" s="76">
        <v>1</v>
      </c>
      <c r="AJ1348" s="76">
        <v>1</v>
      </c>
      <c r="AK1348" s="73"/>
      <c r="AL1348" s="57"/>
      <c r="AM1348" s="45"/>
      <c r="AN1348" s="45"/>
      <c r="AO1348" s="45"/>
    </row>
    <row r="1349" spans="1:41" hidden="1" outlineLevel="3" x14ac:dyDescent="0.25">
      <c r="A1349" s="45"/>
      <c r="B1349" s="54"/>
      <c r="C1349" s="47">
        <f t="shared" ref="C1349:C1360" si="508">INT($C$29)+3</f>
        <v>4</v>
      </c>
      <c r="D1349" s="73"/>
      <c r="E1349" s="70"/>
      <c r="F1349" s="70" t="str">
        <f>SUBSTITUTE(F1345,",4)",",8)")</f>
        <v>C(U2,1,8)</v>
      </c>
      <c r="G1349" s="73"/>
      <c r="H1349" s="76"/>
      <c r="I1349" s="96"/>
      <c r="J1349" s="76"/>
      <c r="K1349" s="76"/>
      <c r="L1349" s="76"/>
      <c r="M1349" s="76"/>
      <c r="N1349" s="76"/>
      <c r="O1349" s="76"/>
      <c r="P1349" s="76"/>
      <c r="Q1349" s="76"/>
      <c r="R1349" s="76"/>
      <c r="S1349" s="76"/>
      <c r="T1349" s="76"/>
      <c r="U1349" s="76"/>
      <c r="V1349" s="76"/>
      <c r="W1349" s="76"/>
      <c r="X1349" s="76"/>
      <c r="Y1349" s="76"/>
      <c r="Z1349" s="76"/>
      <c r="AA1349" s="76"/>
      <c r="AB1349" s="76"/>
      <c r="AC1349" s="76"/>
      <c r="AD1349" s="76"/>
      <c r="AE1349" s="76"/>
      <c r="AF1349" s="76"/>
      <c r="AG1349" s="76"/>
      <c r="AH1349" s="76"/>
      <c r="AI1349" s="76">
        <v>1</v>
      </c>
      <c r="AJ1349" s="76">
        <v>1</v>
      </c>
      <c r="AK1349" s="73"/>
      <c r="AL1349" s="57"/>
      <c r="AM1349" s="45"/>
      <c r="AN1349" s="45"/>
      <c r="AO1349" s="45"/>
    </row>
    <row r="1350" spans="1:41" hidden="1" outlineLevel="3" x14ac:dyDescent="0.25">
      <c r="A1350" s="45"/>
      <c r="B1350" s="54"/>
      <c r="C1350" s="47">
        <f t="shared" si="508"/>
        <v>4</v>
      </c>
      <c r="D1350" s="73"/>
      <c r="E1350" s="70"/>
      <c r="F1350" s="70" t="str">
        <f>SUBSTITUTE(F1346,",5)",",9)")</f>
        <v>C(U2,1,9)</v>
      </c>
      <c r="G1350" s="73"/>
      <c r="H1350" s="76"/>
      <c r="I1350" s="96"/>
      <c r="J1350" s="76"/>
      <c r="K1350" s="76"/>
      <c r="L1350" s="76"/>
      <c r="M1350" s="76"/>
      <c r="N1350" s="76"/>
      <c r="O1350" s="76"/>
      <c r="P1350" s="76"/>
      <c r="Q1350" s="76"/>
      <c r="R1350" s="76"/>
      <c r="S1350" s="76"/>
      <c r="T1350" s="76"/>
      <c r="U1350" s="76"/>
      <c r="V1350" s="76"/>
      <c r="W1350" s="76"/>
      <c r="X1350" s="76"/>
      <c r="Y1350" s="76"/>
      <c r="Z1350" s="76"/>
      <c r="AA1350" s="76"/>
      <c r="AB1350" s="76"/>
      <c r="AC1350" s="76"/>
      <c r="AD1350" s="76"/>
      <c r="AE1350" s="76"/>
      <c r="AF1350" s="76"/>
      <c r="AG1350" s="76"/>
      <c r="AH1350" s="76"/>
      <c r="AI1350" s="76">
        <v>1</v>
      </c>
      <c r="AJ1350" s="76">
        <v>1</v>
      </c>
      <c r="AK1350" s="73"/>
      <c r="AL1350" s="57"/>
      <c r="AM1350" s="45"/>
      <c r="AN1350" s="45"/>
      <c r="AO1350" s="45"/>
    </row>
    <row r="1351" spans="1:41" hidden="1" outlineLevel="3" x14ac:dyDescent="0.25">
      <c r="A1351" s="45"/>
      <c r="B1351" s="54"/>
      <c r="C1351" s="47">
        <f t="shared" si="508"/>
        <v>4</v>
      </c>
      <c r="D1351" s="73"/>
      <c r="E1351" s="70"/>
      <c r="F1351" s="70" t="str">
        <f>SUBSTITUTE(F1347,",6)",",10)")</f>
        <v>C(U2,1,10)</v>
      </c>
      <c r="G1351" s="73"/>
      <c r="H1351" s="76"/>
      <c r="I1351" s="96"/>
      <c r="J1351" s="76"/>
      <c r="K1351" s="76"/>
      <c r="L1351" s="76"/>
      <c r="M1351" s="76"/>
      <c r="N1351" s="76"/>
      <c r="O1351" s="76"/>
      <c r="P1351" s="76"/>
      <c r="Q1351" s="76"/>
      <c r="R1351" s="76"/>
      <c r="S1351" s="76"/>
      <c r="T1351" s="76"/>
      <c r="U1351" s="76"/>
      <c r="V1351" s="76"/>
      <c r="W1351" s="76"/>
      <c r="X1351" s="76"/>
      <c r="Y1351" s="76"/>
      <c r="Z1351" s="76"/>
      <c r="AA1351" s="76"/>
      <c r="AB1351" s="76"/>
      <c r="AC1351" s="76"/>
      <c r="AD1351" s="76"/>
      <c r="AE1351" s="76"/>
      <c r="AF1351" s="76"/>
      <c r="AG1351" s="76"/>
      <c r="AH1351" s="76"/>
      <c r="AI1351" s="76">
        <v>1</v>
      </c>
      <c r="AJ1351" s="76">
        <v>1</v>
      </c>
      <c r="AK1351" s="73"/>
      <c r="AL1351" s="57"/>
      <c r="AM1351" s="45"/>
      <c r="AN1351" s="45"/>
      <c r="AO1351" s="45"/>
    </row>
    <row r="1352" spans="1:41" hidden="1" outlineLevel="3" x14ac:dyDescent="0.25">
      <c r="A1352" s="45"/>
      <c r="B1352" s="54"/>
      <c r="C1352" s="47">
        <f t="shared" si="508"/>
        <v>4</v>
      </c>
      <c r="D1352" s="73"/>
      <c r="E1352" s="70"/>
      <c r="F1352" s="70" t="str">
        <f>SUBSTITUTE(F1348,",7)",",11)")</f>
        <v>C(U2,1,11)</v>
      </c>
      <c r="G1352" s="73"/>
      <c r="H1352" s="76"/>
      <c r="I1352" s="96"/>
      <c r="J1352" s="76"/>
      <c r="K1352" s="76"/>
      <c r="L1352" s="76"/>
      <c r="M1352" s="76"/>
      <c r="N1352" s="76"/>
      <c r="O1352" s="76"/>
      <c r="P1352" s="76"/>
      <c r="Q1352" s="76"/>
      <c r="R1352" s="76"/>
      <c r="S1352" s="76"/>
      <c r="T1352" s="76"/>
      <c r="U1352" s="76"/>
      <c r="V1352" s="76"/>
      <c r="W1352" s="76"/>
      <c r="X1352" s="76"/>
      <c r="Y1352" s="76"/>
      <c r="Z1352" s="76"/>
      <c r="AA1352" s="76"/>
      <c r="AB1352" s="76"/>
      <c r="AC1352" s="76"/>
      <c r="AD1352" s="76"/>
      <c r="AE1352" s="76"/>
      <c r="AF1352" s="76"/>
      <c r="AG1352" s="76"/>
      <c r="AH1352" s="76"/>
      <c r="AI1352" s="76">
        <v>1</v>
      </c>
      <c r="AJ1352" s="76">
        <v>1</v>
      </c>
      <c r="AK1352" s="73"/>
      <c r="AL1352" s="57"/>
      <c r="AM1352" s="45"/>
      <c r="AN1352" s="45"/>
      <c r="AO1352" s="45"/>
    </row>
    <row r="1353" spans="1:41" hidden="1" outlineLevel="3" x14ac:dyDescent="0.25">
      <c r="A1353" s="45"/>
      <c r="B1353" s="54"/>
      <c r="C1353" s="47">
        <f t="shared" si="508"/>
        <v>4</v>
      </c>
      <c r="D1353" s="73"/>
      <c r="E1353" s="70"/>
      <c r="F1353" s="70" t="str">
        <f>SUBSTITUTE(F1347,",6)",",12)")</f>
        <v>C(U2,1,12)</v>
      </c>
      <c r="G1353" s="73"/>
      <c r="H1353" s="76"/>
      <c r="I1353" s="96"/>
      <c r="J1353" s="76"/>
      <c r="K1353" s="76"/>
      <c r="L1353" s="76"/>
      <c r="M1353" s="76"/>
      <c r="N1353" s="76"/>
      <c r="O1353" s="76"/>
      <c r="P1353" s="76"/>
      <c r="Q1353" s="76"/>
      <c r="R1353" s="76"/>
      <c r="S1353" s="76"/>
      <c r="T1353" s="76"/>
      <c r="U1353" s="76"/>
      <c r="V1353" s="76"/>
      <c r="W1353" s="76"/>
      <c r="X1353" s="76"/>
      <c r="Y1353" s="76"/>
      <c r="Z1353" s="76"/>
      <c r="AA1353" s="76"/>
      <c r="AB1353" s="76"/>
      <c r="AC1353" s="76"/>
      <c r="AD1353" s="76"/>
      <c r="AE1353" s="76"/>
      <c r="AF1353" s="76"/>
      <c r="AG1353" s="76"/>
      <c r="AH1353" s="76"/>
      <c r="AI1353" s="76">
        <v>1</v>
      </c>
      <c r="AJ1353" s="76">
        <v>1</v>
      </c>
      <c r="AK1353" s="73"/>
      <c r="AL1353" s="57"/>
      <c r="AM1353" s="45"/>
      <c r="AN1353" s="45"/>
      <c r="AO1353" s="45"/>
    </row>
    <row r="1354" spans="1:41" hidden="1" outlineLevel="3" x14ac:dyDescent="0.25">
      <c r="A1354" s="45"/>
      <c r="B1354" s="54"/>
      <c r="C1354" s="47">
        <f t="shared" si="508"/>
        <v>4</v>
      </c>
      <c r="D1354" s="73"/>
      <c r="E1354" s="70"/>
      <c r="F1354" s="70" t="str">
        <f>SUBSTITUTE(F1348,",7)",",13)")</f>
        <v>C(U2,1,13)</v>
      </c>
      <c r="G1354" s="73"/>
      <c r="H1354" s="76"/>
      <c r="I1354" s="96"/>
      <c r="J1354" s="76"/>
      <c r="K1354" s="76"/>
      <c r="L1354" s="76"/>
      <c r="M1354" s="76"/>
      <c r="N1354" s="76"/>
      <c r="O1354" s="76"/>
      <c r="P1354" s="76"/>
      <c r="Q1354" s="76"/>
      <c r="R1354" s="76"/>
      <c r="S1354" s="76"/>
      <c r="T1354" s="76"/>
      <c r="U1354" s="76"/>
      <c r="V1354" s="76"/>
      <c r="W1354" s="76"/>
      <c r="X1354" s="76"/>
      <c r="Y1354" s="76"/>
      <c r="Z1354" s="76"/>
      <c r="AA1354" s="76"/>
      <c r="AB1354" s="76"/>
      <c r="AC1354" s="76"/>
      <c r="AD1354" s="76"/>
      <c r="AE1354" s="76"/>
      <c r="AF1354" s="76"/>
      <c r="AG1354" s="76"/>
      <c r="AH1354" s="76"/>
      <c r="AI1354" s="76">
        <v>1</v>
      </c>
      <c r="AJ1354" s="76">
        <v>1</v>
      </c>
      <c r="AK1354" s="73"/>
      <c r="AL1354" s="57"/>
      <c r="AM1354" s="45"/>
      <c r="AN1354" s="45"/>
      <c r="AO1354" s="45"/>
    </row>
    <row r="1355" spans="1:41" hidden="1" outlineLevel="3" x14ac:dyDescent="0.25">
      <c r="A1355" s="45"/>
      <c r="B1355" s="54"/>
      <c r="C1355" s="47">
        <f t="shared" si="508"/>
        <v>4</v>
      </c>
      <c r="D1355" s="73"/>
      <c r="E1355" s="70"/>
      <c r="F1355" s="70" t="s">
        <v>1918</v>
      </c>
      <c r="G1355" s="73"/>
      <c r="H1355" s="76"/>
      <c r="I1355" s="76"/>
      <c r="J1355" s="76"/>
      <c r="K1355" s="76"/>
      <c r="L1355" s="76"/>
      <c r="M1355" s="76"/>
      <c r="N1355" s="76"/>
      <c r="O1355" s="76"/>
      <c r="P1355" s="76"/>
      <c r="Q1355" s="76"/>
      <c r="R1355" s="76"/>
      <c r="S1355" s="76"/>
      <c r="T1355" s="76"/>
      <c r="U1355" s="76"/>
      <c r="V1355" s="76"/>
      <c r="W1355" s="76"/>
      <c r="X1355" s="76"/>
      <c r="Y1355" s="76"/>
      <c r="Z1355" s="76"/>
      <c r="AA1355" s="76"/>
      <c r="AB1355" s="76"/>
      <c r="AC1355" s="76"/>
      <c r="AD1355" s="76"/>
      <c r="AE1355" s="76"/>
      <c r="AF1355" s="76"/>
      <c r="AG1355" s="76"/>
      <c r="AH1355" s="76"/>
      <c r="AI1355" s="76">
        <v>1</v>
      </c>
      <c r="AJ1355" s="76">
        <v>1</v>
      </c>
      <c r="AK1355" s="73"/>
      <c r="AL1355" s="57"/>
      <c r="AM1355" s="45"/>
      <c r="AN1355" s="45"/>
      <c r="AO1355" s="45"/>
    </row>
    <row r="1356" spans="1:41" hidden="1" outlineLevel="3" x14ac:dyDescent="0.25">
      <c r="A1356" s="45"/>
      <c r="B1356" s="54"/>
      <c r="C1356" s="47">
        <f t="shared" si="508"/>
        <v>4</v>
      </c>
      <c r="D1356" s="73"/>
      <c r="E1356" s="70"/>
      <c r="F1356" s="70" t="s">
        <v>1919</v>
      </c>
      <c r="G1356" s="73"/>
      <c r="H1356" s="76" t="s">
        <v>599</v>
      </c>
      <c r="I1356" s="76"/>
      <c r="J1356" s="76"/>
      <c r="K1356" s="76"/>
      <c r="L1356" s="76"/>
      <c r="M1356" s="76"/>
      <c r="N1356" s="76"/>
      <c r="O1356" s="76"/>
      <c r="P1356" s="76"/>
      <c r="Q1356" s="76"/>
      <c r="R1356" s="76"/>
      <c r="S1356" s="76"/>
      <c r="T1356" s="76"/>
      <c r="U1356" s="76"/>
      <c r="V1356" s="76"/>
      <c r="W1356" s="76"/>
      <c r="X1356" s="76"/>
      <c r="Y1356" s="76"/>
      <c r="Z1356" s="76"/>
      <c r="AA1356" s="76"/>
      <c r="AB1356" s="76"/>
      <c r="AC1356" s="76"/>
      <c r="AD1356" s="76"/>
      <c r="AE1356" s="76"/>
      <c r="AF1356" s="76"/>
      <c r="AG1356" s="76"/>
      <c r="AH1356" s="76"/>
      <c r="AI1356" s="76">
        <v>1</v>
      </c>
      <c r="AJ1356" s="76">
        <v>1</v>
      </c>
      <c r="AK1356" s="73"/>
      <c r="AL1356" s="57"/>
      <c r="AM1356" s="45"/>
      <c r="AN1356" s="45"/>
      <c r="AO1356" s="45"/>
    </row>
    <row r="1357" spans="1:41" hidden="1" outlineLevel="3" x14ac:dyDescent="0.25">
      <c r="A1357" s="45"/>
      <c r="B1357" s="54"/>
      <c r="C1357" s="47">
        <f t="shared" si="508"/>
        <v>4</v>
      </c>
      <c r="D1357" s="73"/>
      <c r="E1357" s="70"/>
      <c r="F1357" s="70" t="s">
        <v>1920</v>
      </c>
      <c r="G1357" s="73"/>
      <c r="H1357" s="76"/>
      <c r="I1357" s="76"/>
      <c r="J1357" s="76"/>
      <c r="K1357" s="76"/>
      <c r="L1357" s="76"/>
      <c r="M1357" s="76"/>
      <c r="N1357" s="76"/>
      <c r="O1357" s="76"/>
      <c r="P1357" s="76"/>
      <c r="Q1357" s="76"/>
      <c r="R1357" s="76"/>
      <c r="S1357" s="76"/>
      <c r="T1357" s="76"/>
      <c r="U1357" s="76"/>
      <c r="V1357" s="76"/>
      <c r="W1357" s="76"/>
      <c r="X1357" s="76"/>
      <c r="Y1357" s="76"/>
      <c r="Z1357" s="76"/>
      <c r="AA1357" s="76"/>
      <c r="AB1357" s="76"/>
      <c r="AC1357" s="76"/>
      <c r="AD1357" s="76"/>
      <c r="AE1357" s="76"/>
      <c r="AF1357" s="76"/>
      <c r="AG1357" s="76"/>
      <c r="AH1357" s="76"/>
      <c r="AI1357" s="76">
        <v>1</v>
      </c>
      <c r="AJ1357" s="76">
        <v>1</v>
      </c>
      <c r="AK1357" s="73"/>
      <c r="AL1357" s="57"/>
      <c r="AM1357" s="45"/>
      <c r="AN1357" s="45"/>
      <c r="AO1357" s="45"/>
    </row>
    <row r="1358" spans="1:41" hidden="1" outlineLevel="3" x14ac:dyDescent="0.25">
      <c r="A1358" s="45"/>
      <c r="B1358" s="54"/>
      <c r="C1358" s="47">
        <f t="shared" si="508"/>
        <v>4</v>
      </c>
      <c r="D1358" s="73"/>
      <c r="E1358" s="70"/>
      <c r="F1358" s="70" t="s">
        <v>1921</v>
      </c>
      <c r="G1358" s="73"/>
      <c r="H1358" s="76"/>
      <c r="I1358" s="76"/>
      <c r="J1358" s="76"/>
      <c r="K1358" s="76"/>
      <c r="L1358" s="76"/>
      <c r="M1358" s="76"/>
      <c r="N1358" s="76"/>
      <c r="O1358" s="76"/>
      <c r="P1358" s="76"/>
      <c r="Q1358" s="76"/>
      <c r="R1358" s="76"/>
      <c r="S1358" s="76"/>
      <c r="T1358" s="76"/>
      <c r="U1358" s="76"/>
      <c r="V1358" s="76"/>
      <c r="W1358" s="76"/>
      <c r="X1358" s="76"/>
      <c r="Y1358" s="76"/>
      <c r="Z1358" s="76"/>
      <c r="AA1358" s="76"/>
      <c r="AB1358" s="76"/>
      <c r="AC1358" s="76"/>
      <c r="AD1358" s="76"/>
      <c r="AE1358" s="76"/>
      <c r="AF1358" s="76"/>
      <c r="AG1358" s="76"/>
      <c r="AH1358" s="76"/>
      <c r="AI1358" s="76">
        <v>1</v>
      </c>
      <c r="AJ1358" s="76">
        <v>1</v>
      </c>
      <c r="AK1358" s="73"/>
      <c r="AL1358" s="57"/>
      <c r="AM1358" s="45"/>
      <c r="AN1358" s="45"/>
      <c r="AO1358" s="45"/>
    </row>
    <row r="1359" spans="1:41" hidden="1" outlineLevel="3" x14ac:dyDescent="0.25">
      <c r="A1359" s="45"/>
      <c r="B1359" s="54"/>
      <c r="C1359" s="47">
        <f t="shared" si="508"/>
        <v>4</v>
      </c>
      <c r="D1359" s="73"/>
      <c r="E1359" s="70"/>
      <c r="F1359" s="70" t="s">
        <v>1922</v>
      </c>
      <c r="G1359" s="73"/>
      <c r="H1359" s="76"/>
      <c r="I1359" s="76"/>
      <c r="J1359" s="76"/>
      <c r="K1359" s="76"/>
      <c r="L1359" s="76"/>
      <c r="M1359" s="76"/>
      <c r="N1359" s="76"/>
      <c r="O1359" s="76"/>
      <c r="P1359" s="76"/>
      <c r="Q1359" s="76"/>
      <c r="R1359" s="76"/>
      <c r="S1359" s="76"/>
      <c r="T1359" s="76"/>
      <c r="U1359" s="76"/>
      <c r="V1359" s="76"/>
      <c r="W1359" s="76"/>
      <c r="X1359" s="76"/>
      <c r="Y1359" s="76"/>
      <c r="Z1359" s="76"/>
      <c r="AA1359" s="76"/>
      <c r="AB1359" s="76"/>
      <c r="AC1359" s="76"/>
      <c r="AD1359" s="76"/>
      <c r="AE1359" s="76"/>
      <c r="AF1359" s="76"/>
      <c r="AG1359" s="76"/>
      <c r="AH1359" s="76"/>
      <c r="AI1359" s="76">
        <v>1</v>
      </c>
      <c r="AJ1359" s="76">
        <v>1</v>
      </c>
      <c r="AK1359" s="73"/>
      <c r="AL1359" s="57"/>
      <c r="AM1359" s="45"/>
      <c r="AN1359" s="45"/>
      <c r="AO1359" s="45"/>
    </row>
    <row r="1360" spans="1:41" hidden="1" outlineLevel="3" x14ac:dyDescent="0.25">
      <c r="A1360" s="45"/>
      <c r="B1360" s="54"/>
      <c r="C1360" s="47">
        <f t="shared" si="508"/>
        <v>4</v>
      </c>
      <c r="D1360" s="73"/>
      <c r="E1360" s="70"/>
      <c r="F1360" s="70" t="s">
        <v>1923</v>
      </c>
      <c r="G1360" s="73"/>
      <c r="H1360" s="76"/>
      <c r="I1360" s="76"/>
      <c r="J1360" s="76"/>
      <c r="K1360" s="76"/>
      <c r="L1360" s="76"/>
      <c r="M1360" s="76"/>
      <c r="N1360" s="76"/>
      <c r="O1360" s="76"/>
      <c r="P1360" s="76"/>
      <c r="Q1360" s="76"/>
      <c r="R1360" s="76"/>
      <c r="S1360" s="76"/>
      <c r="T1360" s="76"/>
      <c r="U1360" s="76"/>
      <c r="V1360" s="76"/>
      <c r="W1360" s="76"/>
      <c r="X1360" s="76"/>
      <c r="Y1360" s="76"/>
      <c r="Z1360" s="76"/>
      <c r="AA1360" s="76"/>
      <c r="AB1360" s="76"/>
      <c r="AC1360" s="76"/>
      <c r="AD1360" s="76"/>
      <c r="AE1360" s="76"/>
      <c r="AF1360" s="76"/>
      <c r="AG1360" s="76"/>
      <c r="AH1360" s="76"/>
      <c r="AI1360" s="76">
        <v>1</v>
      </c>
      <c r="AJ1360" s="76">
        <v>1</v>
      </c>
      <c r="AK1360" s="73"/>
      <c r="AL1360" s="57"/>
      <c r="AM1360" s="45"/>
      <c r="AN1360" s="45"/>
      <c r="AO1360" s="45"/>
    </row>
    <row r="1361" spans="1:41" hidden="1" outlineLevel="3" x14ac:dyDescent="0.25">
      <c r="A1361" s="45"/>
      <c r="B1361" s="54"/>
      <c r="C1361" s="47"/>
      <c r="D1361" s="73"/>
      <c r="E1361" s="70"/>
      <c r="F1361" s="70" t="s">
        <v>2367</v>
      </c>
      <c r="G1361" s="73"/>
      <c r="H1361" s="76"/>
      <c r="I1361" s="76"/>
      <c r="J1361" s="76"/>
      <c r="K1361" s="76"/>
      <c r="L1361" s="76"/>
      <c r="M1361" s="76"/>
      <c r="N1361" s="76"/>
      <c r="O1361" s="76"/>
      <c r="P1361" s="76"/>
      <c r="Q1361" s="76"/>
      <c r="R1361" s="76"/>
      <c r="S1361" s="76"/>
      <c r="T1361" s="76"/>
      <c r="U1361" s="76"/>
      <c r="V1361" s="76"/>
      <c r="W1361" s="76"/>
      <c r="X1361" s="76"/>
      <c r="Y1361" s="76"/>
      <c r="Z1361" s="76"/>
      <c r="AA1361" s="76"/>
      <c r="AB1361" s="76"/>
      <c r="AC1361" s="76"/>
      <c r="AD1361" s="76"/>
      <c r="AE1361" s="76"/>
      <c r="AF1361" s="76"/>
      <c r="AG1361" s="76"/>
      <c r="AH1361" s="76"/>
      <c r="AI1361" s="76">
        <v>1</v>
      </c>
      <c r="AJ1361" s="76">
        <v>1</v>
      </c>
      <c r="AK1361" s="73"/>
      <c r="AL1361" s="57"/>
      <c r="AM1361" s="45"/>
      <c r="AN1361" s="45"/>
      <c r="AO1361" s="45"/>
    </row>
    <row r="1362" spans="1:41" hidden="1" outlineLevel="3" x14ac:dyDescent="0.25">
      <c r="A1362" s="45"/>
      <c r="B1362" s="54"/>
      <c r="C1362" s="47"/>
      <c r="D1362" s="73"/>
      <c r="E1362" s="70"/>
      <c r="F1362" s="70" t="s">
        <v>2368</v>
      </c>
      <c r="G1362" s="73"/>
      <c r="H1362" s="76"/>
      <c r="I1362" s="76"/>
      <c r="J1362" s="76"/>
      <c r="K1362" s="76"/>
      <c r="L1362" s="76"/>
      <c r="M1362" s="76"/>
      <c r="N1362" s="76"/>
      <c r="O1362" s="76"/>
      <c r="P1362" s="76"/>
      <c r="Q1362" s="76"/>
      <c r="R1362" s="76"/>
      <c r="S1362" s="76"/>
      <c r="T1362" s="76"/>
      <c r="U1362" s="76"/>
      <c r="V1362" s="76"/>
      <c r="W1362" s="76"/>
      <c r="X1362" s="76"/>
      <c r="Y1362" s="76"/>
      <c r="Z1362" s="76"/>
      <c r="AA1362" s="76"/>
      <c r="AB1362" s="76"/>
      <c r="AC1362" s="76"/>
      <c r="AD1362" s="76"/>
      <c r="AE1362" s="76"/>
      <c r="AF1362" s="76"/>
      <c r="AG1362" s="76"/>
      <c r="AH1362" s="76"/>
      <c r="AI1362" s="76">
        <v>1</v>
      </c>
      <c r="AJ1362" s="76">
        <v>1</v>
      </c>
      <c r="AK1362" s="73"/>
      <c r="AL1362" s="57"/>
      <c r="AM1362" s="45"/>
      <c r="AN1362" s="45"/>
      <c r="AO1362" s="45"/>
    </row>
    <row r="1363" spans="1:41" hidden="1" outlineLevel="3" x14ac:dyDescent="0.25">
      <c r="A1363" s="45"/>
      <c r="B1363" s="54"/>
      <c r="C1363" s="47"/>
      <c r="D1363" s="73"/>
      <c r="E1363" s="70"/>
      <c r="F1363" s="70" t="s">
        <v>2369</v>
      </c>
      <c r="G1363" s="73"/>
      <c r="H1363" s="76"/>
      <c r="I1363" s="76"/>
      <c r="J1363" s="76"/>
      <c r="K1363" s="76"/>
      <c r="L1363" s="76"/>
      <c r="M1363" s="76"/>
      <c r="N1363" s="76"/>
      <c r="O1363" s="76"/>
      <c r="P1363" s="76"/>
      <c r="Q1363" s="76"/>
      <c r="R1363" s="76"/>
      <c r="S1363" s="76"/>
      <c r="T1363" s="76"/>
      <c r="U1363" s="76"/>
      <c r="V1363" s="76"/>
      <c r="W1363" s="76"/>
      <c r="X1363" s="76"/>
      <c r="Y1363" s="76"/>
      <c r="Z1363" s="76"/>
      <c r="AA1363" s="76"/>
      <c r="AB1363" s="76"/>
      <c r="AC1363" s="76"/>
      <c r="AD1363" s="76"/>
      <c r="AE1363" s="76"/>
      <c r="AF1363" s="76"/>
      <c r="AG1363" s="76"/>
      <c r="AH1363" s="76"/>
      <c r="AI1363" s="76">
        <v>1</v>
      </c>
      <c r="AJ1363" s="76">
        <v>1</v>
      </c>
      <c r="AK1363" s="73"/>
      <c r="AL1363" s="57"/>
      <c r="AM1363" s="45"/>
      <c r="AN1363" s="45"/>
      <c r="AO1363" s="45"/>
    </row>
    <row r="1364" spans="1:41" hidden="1" outlineLevel="3" x14ac:dyDescent="0.25">
      <c r="A1364" s="45"/>
      <c r="B1364" s="54"/>
      <c r="C1364" s="47">
        <f t="shared" ref="C1364:C1375" si="509">INT($C$29)+3</f>
        <v>4</v>
      </c>
      <c r="D1364" s="73"/>
      <c r="E1364" s="70"/>
      <c r="F1364" s="70" t="str">
        <f>SUBSTITUTE(F1360,",4)",",8)")</f>
        <v>C(U2,2,8)</v>
      </c>
      <c r="G1364" s="73"/>
      <c r="H1364" s="76"/>
      <c r="I1364" s="96"/>
      <c r="J1364" s="76"/>
      <c r="K1364" s="76"/>
      <c r="L1364" s="76"/>
      <c r="M1364" s="76"/>
      <c r="N1364" s="76"/>
      <c r="O1364" s="76"/>
      <c r="P1364" s="76"/>
      <c r="Q1364" s="76"/>
      <c r="R1364" s="76"/>
      <c r="S1364" s="76"/>
      <c r="T1364" s="76"/>
      <c r="U1364" s="76"/>
      <c r="V1364" s="76"/>
      <c r="W1364" s="76"/>
      <c r="X1364" s="76"/>
      <c r="Y1364" s="76"/>
      <c r="Z1364" s="76"/>
      <c r="AA1364" s="76"/>
      <c r="AB1364" s="76"/>
      <c r="AC1364" s="76"/>
      <c r="AD1364" s="76"/>
      <c r="AE1364" s="76"/>
      <c r="AF1364" s="76"/>
      <c r="AG1364" s="76"/>
      <c r="AH1364" s="76"/>
      <c r="AI1364" s="76">
        <v>1</v>
      </c>
      <c r="AJ1364" s="76">
        <v>1</v>
      </c>
      <c r="AK1364" s="73"/>
      <c r="AL1364" s="57"/>
      <c r="AM1364" s="45"/>
      <c r="AN1364" s="45"/>
      <c r="AO1364" s="45"/>
    </row>
    <row r="1365" spans="1:41" hidden="1" outlineLevel="3" x14ac:dyDescent="0.25">
      <c r="A1365" s="45"/>
      <c r="B1365" s="54"/>
      <c r="C1365" s="47">
        <f t="shared" si="509"/>
        <v>4</v>
      </c>
      <c r="D1365" s="73"/>
      <c r="E1365" s="70"/>
      <c r="F1365" s="70" t="str">
        <f>SUBSTITUTE(F1361,",5)",",9)")</f>
        <v>C(U2,2,9)</v>
      </c>
      <c r="G1365" s="73"/>
      <c r="H1365" s="76"/>
      <c r="I1365" s="96"/>
      <c r="J1365" s="76"/>
      <c r="K1365" s="76"/>
      <c r="L1365" s="76"/>
      <c r="M1365" s="76"/>
      <c r="N1365" s="76"/>
      <c r="O1365" s="76"/>
      <c r="P1365" s="76"/>
      <c r="Q1365" s="76"/>
      <c r="R1365" s="76"/>
      <c r="S1365" s="76"/>
      <c r="T1365" s="76"/>
      <c r="U1365" s="76"/>
      <c r="V1365" s="76"/>
      <c r="W1365" s="76"/>
      <c r="X1365" s="76"/>
      <c r="Y1365" s="76"/>
      <c r="Z1365" s="76"/>
      <c r="AA1365" s="76"/>
      <c r="AB1365" s="76"/>
      <c r="AC1365" s="76"/>
      <c r="AD1365" s="76"/>
      <c r="AE1365" s="76"/>
      <c r="AF1365" s="76"/>
      <c r="AG1365" s="76"/>
      <c r="AH1365" s="76"/>
      <c r="AI1365" s="76">
        <v>1</v>
      </c>
      <c r="AJ1365" s="76">
        <v>1</v>
      </c>
      <c r="AK1365" s="73"/>
      <c r="AL1365" s="57"/>
      <c r="AM1365" s="45"/>
      <c r="AN1365" s="45"/>
      <c r="AO1365" s="45"/>
    </row>
    <row r="1366" spans="1:41" hidden="1" outlineLevel="3" x14ac:dyDescent="0.25">
      <c r="A1366" s="45"/>
      <c r="B1366" s="54"/>
      <c r="C1366" s="47">
        <f t="shared" si="509"/>
        <v>4</v>
      </c>
      <c r="D1366" s="73"/>
      <c r="E1366" s="70"/>
      <c r="F1366" s="70" t="str">
        <f>SUBSTITUTE(F1362,",6)",",10)")</f>
        <v>C(U2,2,10)</v>
      </c>
      <c r="G1366" s="73"/>
      <c r="H1366" s="76"/>
      <c r="I1366" s="96"/>
      <c r="J1366" s="76"/>
      <c r="K1366" s="76"/>
      <c r="L1366" s="76"/>
      <c r="M1366" s="76"/>
      <c r="N1366" s="76"/>
      <c r="O1366" s="76"/>
      <c r="P1366" s="76"/>
      <c r="Q1366" s="76"/>
      <c r="R1366" s="76"/>
      <c r="S1366" s="76"/>
      <c r="T1366" s="76"/>
      <c r="U1366" s="76"/>
      <c r="V1366" s="76"/>
      <c r="W1366" s="76"/>
      <c r="X1366" s="76"/>
      <c r="Y1366" s="76"/>
      <c r="Z1366" s="76"/>
      <c r="AA1366" s="76"/>
      <c r="AB1366" s="76"/>
      <c r="AC1366" s="76"/>
      <c r="AD1366" s="76"/>
      <c r="AE1366" s="76"/>
      <c r="AF1366" s="76"/>
      <c r="AG1366" s="76"/>
      <c r="AH1366" s="76"/>
      <c r="AI1366" s="76">
        <v>1</v>
      </c>
      <c r="AJ1366" s="76">
        <v>1</v>
      </c>
      <c r="AK1366" s="73"/>
      <c r="AL1366" s="57"/>
      <c r="AM1366" s="45"/>
      <c r="AN1366" s="45"/>
      <c r="AO1366" s="45"/>
    </row>
    <row r="1367" spans="1:41" hidden="1" outlineLevel="3" x14ac:dyDescent="0.25">
      <c r="A1367" s="45"/>
      <c r="B1367" s="54"/>
      <c r="C1367" s="47">
        <f t="shared" si="509"/>
        <v>4</v>
      </c>
      <c r="D1367" s="73"/>
      <c r="E1367" s="70"/>
      <c r="F1367" s="70" t="str">
        <f>SUBSTITUTE(F1363,",7)",",11)")</f>
        <v>C(U2,2,11)</v>
      </c>
      <c r="G1367" s="73"/>
      <c r="H1367" s="76"/>
      <c r="I1367" s="96"/>
      <c r="J1367" s="76"/>
      <c r="K1367" s="76"/>
      <c r="L1367" s="76"/>
      <c r="M1367" s="76"/>
      <c r="N1367" s="76"/>
      <c r="O1367" s="76"/>
      <c r="P1367" s="76"/>
      <c r="Q1367" s="76"/>
      <c r="R1367" s="76"/>
      <c r="S1367" s="76"/>
      <c r="T1367" s="76"/>
      <c r="U1367" s="76"/>
      <c r="V1367" s="76"/>
      <c r="W1367" s="76"/>
      <c r="X1367" s="76"/>
      <c r="Y1367" s="76"/>
      <c r="Z1367" s="76"/>
      <c r="AA1367" s="76"/>
      <c r="AB1367" s="76"/>
      <c r="AC1367" s="76"/>
      <c r="AD1367" s="76"/>
      <c r="AE1367" s="76"/>
      <c r="AF1367" s="76"/>
      <c r="AG1367" s="76"/>
      <c r="AH1367" s="76"/>
      <c r="AI1367" s="76">
        <v>1</v>
      </c>
      <c r="AJ1367" s="76">
        <v>1</v>
      </c>
      <c r="AK1367" s="73"/>
      <c r="AL1367" s="57"/>
      <c r="AM1367" s="45"/>
      <c r="AN1367" s="45"/>
      <c r="AO1367" s="45"/>
    </row>
    <row r="1368" spans="1:41" hidden="1" outlineLevel="3" x14ac:dyDescent="0.25">
      <c r="A1368" s="45"/>
      <c r="B1368" s="54"/>
      <c r="C1368" s="47">
        <f t="shared" si="509"/>
        <v>4</v>
      </c>
      <c r="D1368" s="73"/>
      <c r="E1368" s="70"/>
      <c r="F1368" s="70" t="str">
        <f>SUBSTITUTE(F1362,",6)",",12)")</f>
        <v>C(U2,2,12)</v>
      </c>
      <c r="G1368" s="73"/>
      <c r="H1368" s="76"/>
      <c r="I1368" s="96"/>
      <c r="J1368" s="76"/>
      <c r="K1368" s="76"/>
      <c r="L1368" s="76"/>
      <c r="M1368" s="76"/>
      <c r="N1368" s="76"/>
      <c r="O1368" s="76"/>
      <c r="P1368" s="76"/>
      <c r="Q1368" s="76"/>
      <c r="R1368" s="76"/>
      <c r="S1368" s="76"/>
      <c r="T1368" s="76"/>
      <c r="U1368" s="76"/>
      <c r="V1368" s="76"/>
      <c r="W1368" s="76"/>
      <c r="X1368" s="76"/>
      <c r="Y1368" s="76"/>
      <c r="Z1368" s="76"/>
      <c r="AA1368" s="76"/>
      <c r="AB1368" s="76"/>
      <c r="AC1368" s="76"/>
      <c r="AD1368" s="76"/>
      <c r="AE1368" s="76"/>
      <c r="AF1368" s="76"/>
      <c r="AG1368" s="76"/>
      <c r="AH1368" s="76"/>
      <c r="AI1368" s="76">
        <v>1</v>
      </c>
      <c r="AJ1368" s="76">
        <v>1</v>
      </c>
      <c r="AK1368" s="73"/>
      <c r="AL1368" s="57"/>
      <c r="AM1368" s="45"/>
      <c r="AN1368" s="45"/>
      <c r="AO1368" s="45"/>
    </row>
    <row r="1369" spans="1:41" hidden="1" outlineLevel="3" x14ac:dyDescent="0.25">
      <c r="A1369" s="45"/>
      <c r="B1369" s="54"/>
      <c r="C1369" s="47">
        <f t="shared" si="509"/>
        <v>4</v>
      </c>
      <c r="D1369" s="73"/>
      <c r="E1369" s="70"/>
      <c r="F1369" s="70" t="str">
        <f>SUBSTITUTE(F1363,",7)",",13)")</f>
        <v>C(U2,2,13)</v>
      </c>
      <c r="G1369" s="73"/>
      <c r="H1369" s="76"/>
      <c r="I1369" s="96"/>
      <c r="J1369" s="76"/>
      <c r="K1369" s="76"/>
      <c r="L1369" s="76"/>
      <c r="M1369" s="76"/>
      <c r="N1369" s="76"/>
      <c r="O1369" s="76"/>
      <c r="P1369" s="76"/>
      <c r="Q1369" s="76"/>
      <c r="R1369" s="76"/>
      <c r="S1369" s="76"/>
      <c r="T1369" s="76"/>
      <c r="U1369" s="76"/>
      <c r="V1369" s="76"/>
      <c r="W1369" s="76"/>
      <c r="X1369" s="76"/>
      <c r="Y1369" s="76"/>
      <c r="Z1369" s="76"/>
      <c r="AA1369" s="76"/>
      <c r="AB1369" s="76"/>
      <c r="AC1369" s="76"/>
      <c r="AD1369" s="76"/>
      <c r="AE1369" s="76"/>
      <c r="AF1369" s="76"/>
      <c r="AG1369" s="76"/>
      <c r="AH1369" s="76"/>
      <c r="AI1369" s="76">
        <v>1</v>
      </c>
      <c r="AJ1369" s="76">
        <v>1</v>
      </c>
      <c r="AK1369" s="73"/>
      <c r="AL1369" s="57"/>
      <c r="AM1369" s="45"/>
      <c r="AN1369" s="45"/>
      <c r="AO1369" s="45"/>
    </row>
    <row r="1370" spans="1:41" hidden="1" outlineLevel="3" x14ac:dyDescent="0.25">
      <c r="A1370" s="45"/>
      <c r="B1370" s="54"/>
      <c r="C1370" s="47">
        <f t="shared" si="509"/>
        <v>4</v>
      </c>
      <c r="D1370" s="73"/>
      <c r="E1370" s="70"/>
      <c r="F1370" s="70" t="s">
        <v>1924</v>
      </c>
      <c r="G1370" s="73"/>
      <c r="H1370" s="76"/>
      <c r="I1370" s="76"/>
      <c r="J1370" s="76"/>
      <c r="K1370" s="76"/>
      <c r="L1370" s="76"/>
      <c r="M1370" s="76"/>
      <c r="N1370" s="76"/>
      <c r="O1370" s="76"/>
      <c r="P1370" s="76"/>
      <c r="Q1370" s="76"/>
      <c r="R1370" s="76"/>
      <c r="S1370" s="76"/>
      <c r="T1370" s="76"/>
      <c r="U1370" s="76"/>
      <c r="V1370" s="76"/>
      <c r="W1370" s="76"/>
      <c r="X1370" s="76"/>
      <c r="Y1370" s="76"/>
      <c r="Z1370" s="76"/>
      <c r="AA1370" s="76"/>
      <c r="AB1370" s="76"/>
      <c r="AC1370" s="76"/>
      <c r="AD1370" s="76"/>
      <c r="AE1370" s="76"/>
      <c r="AF1370" s="76"/>
      <c r="AG1370" s="76"/>
      <c r="AH1370" s="76"/>
      <c r="AI1370" s="76">
        <v>1</v>
      </c>
      <c r="AJ1370" s="76">
        <v>1</v>
      </c>
      <c r="AK1370" s="73"/>
      <c r="AL1370" s="57"/>
      <c r="AM1370" s="45"/>
      <c r="AN1370" s="45"/>
      <c r="AO1370" s="45"/>
    </row>
    <row r="1371" spans="1:41" hidden="1" outlineLevel="3" x14ac:dyDescent="0.25">
      <c r="A1371" s="45"/>
      <c r="B1371" s="54"/>
      <c r="C1371" s="47">
        <f t="shared" si="509"/>
        <v>4</v>
      </c>
      <c r="D1371" s="73"/>
      <c r="E1371" s="70"/>
      <c r="F1371" s="70" t="s">
        <v>1925</v>
      </c>
      <c r="G1371" s="73"/>
      <c r="H1371" s="76" t="s">
        <v>599</v>
      </c>
      <c r="I1371" s="76"/>
      <c r="J1371" s="76"/>
      <c r="K1371" s="76"/>
      <c r="L1371" s="76"/>
      <c r="M1371" s="76"/>
      <c r="N1371" s="76"/>
      <c r="O1371" s="76"/>
      <c r="P1371" s="76"/>
      <c r="Q1371" s="76"/>
      <c r="R1371" s="76"/>
      <c r="S1371" s="76"/>
      <c r="T1371" s="76"/>
      <c r="U1371" s="76"/>
      <c r="V1371" s="76"/>
      <c r="W1371" s="76"/>
      <c r="X1371" s="76"/>
      <c r="Y1371" s="76"/>
      <c r="Z1371" s="76"/>
      <c r="AA1371" s="76"/>
      <c r="AB1371" s="76"/>
      <c r="AC1371" s="76"/>
      <c r="AD1371" s="76"/>
      <c r="AE1371" s="76"/>
      <c r="AF1371" s="76"/>
      <c r="AG1371" s="76"/>
      <c r="AH1371" s="76"/>
      <c r="AI1371" s="76">
        <v>1</v>
      </c>
      <c r="AJ1371" s="76">
        <v>1</v>
      </c>
      <c r="AK1371" s="73"/>
      <c r="AL1371" s="57"/>
      <c r="AM1371" s="45"/>
      <c r="AN1371" s="45"/>
      <c r="AO1371" s="45"/>
    </row>
    <row r="1372" spans="1:41" hidden="1" outlineLevel="3" x14ac:dyDescent="0.25">
      <c r="A1372" s="45"/>
      <c r="B1372" s="54"/>
      <c r="C1372" s="47">
        <f t="shared" si="509"/>
        <v>4</v>
      </c>
      <c r="D1372" s="73"/>
      <c r="E1372" s="70"/>
      <c r="F1372" s="70" t="s">
        <v>1926</v>
      </c>
      <c r="G1372" s="73"/>
      <c r="H1372" s="76"/>
      <c r="I1372" s="76"/>
      <c r="J1372" s="76"/>
      <c r="K1372" s="76"/>
      <c r="L1372" s="76"/>
      <c r="M1372" s="76"/>
      <c r="N1372" s="76"/>
      <c r="O1372" s="76"/>
      <c r="P1372" s="76"/>
      <c r="Q1372" s="76"/>
      <c r="R1372" s="76"/>
      <c r="S1372" s="76"/>
      <c r="T1372" s="76"/>
      <c r="U1372" s="76"/>
      <c r="V1372" s="76"/>
      <c r="W1372" s="76"/>
      <c r="X1372" s="76"/>
      <c r="Y1372" s="76"/>
      <c r="Z1372" s="76"/>
      <c r="AA1372" s="76"/>
      <c r="AB1372" s="76"/>
      <c r="AC1372" s="76"/>
      <c r="AD1372" s="76"/>
      <c r="AE1372" s="76"/>
      <c r="AF1372" s="76"/>
      <c r="AG1372" s="76"/>
      <c r="AH1372" s="76"/>
      <c r="AI1372" s="76">
        <v>1</v>
      </c>
      <c r="AJ1372" s="76">
        <v>1</v>
      </c>
      <c r="AK1372" s="73"/>
      <c r="AL1372" s="57"/>
      <c r="AM1372" s="45"/>
      <c r="AN1372" s="45"/>
      <c r="AO1372" s="45"/>
    </row>
    <row r="1373" spans="1:41" hidden="1" outlineLevel="3" x14ac:dyDescent="0.25">
      <c r="A1373" s="45"/>
      <c r="B1373" s="54"/>
      <c r="C1373" s="47">
        <f t="shared" si="509"/>
        <v>4</v>
      </c>
      <c r="D1373" s="73"/>
      <c r="E1373" s="70"/>
      <c r="F1373" s="70" t="s">
        <v>1927</v>
      </c>
      <c r="G1373" s="73"/>
      <c r="H1373" s="76"/>
      <c r="I1373" s="76"/>
      <c r="J1373" s="76"/>
      <c r="K1373" s="76"/>
      <c r="L1373" s="76"/>
      <c r="M1373" s="76"/>
      <c r="N1373" s="76"/>
      <c r="O1373" s="76"/>
      <c r="P1373" s="76"/>
      <c r="Q1373" s="76"/>
      <c r="R1373" s="76"/>
      <c r="S1373" s="76"/>
      <c r="T1373" s="76"/>
      <c r="U1373" s="76"/>
      <c r="V1373" s="76"/>
      <c r="W1373" s="76"/>
      <c r="X1373" s="76"/>
      <c r="Y1373" s="76"/>
      <c r="Z1373" s="76"/>
      <c r="AA1373" s="76"/>
      <c r="AB1373" s="76"/>
      <c r="AC1373" s="76"/>
      <c r="AD1373" s="76"/>
      <c r="AE1373" s="76"/>
      <c r="AF1373" s="76"/>
      <c r="AG1373" s="76"/>
      <c r="AH1373" s="76"/>
      <c r="AI1373" s="76">
        <v>1</v>
      </c>
      <c r="AJ1373" s="76">
        <v>1</v>
      </c>
      <c r="AK1373" s="73"/>
      <c r="AL1373" s="57"/>
      <c r="AM1373" s="45"/>
      <c r="AN1373" s="45"/>
      <c r="AO1373" s="45"/>
    </row>
    <row r="1374" spans="1:41" hidden="1" outlineLevel="3" x14ac:dyDescent="0.25">
      <c r="A1374" s="45"/>
      <c r="B1374" s="54"/>
      <c r="C1374" s="47">
        <f t="shared" si="509"/>
        <v>4</v>
      </c>
      <c r="D1374" s="73"/>
      <c r="E1374" s="70"/>
      <c r="F1374" s="70" t="s">
        <v>1928</v>
      </c>
      <c r="G1374" s="73"/>
      <c r="H1374" s="76"/>
      <c r="I1374" s="76"/>
      <c r="J1374" s="76"/>
      <c r="K1374" s="76"/>
      <c r="L1374" s="76"/>
      <c r="M1374" s="76"/>
      <c r="N1374" s="76"/>
      <c r="O1374" s="76"/>
      <c r="P1374" s="76"/>
      <c r="Q1374" s="76"/>
      <c r="R1374" s="76"/>
      <c r="S1374" s="76"/>
      <c r="T1374" s="76"/>
      <c r="U1374" s="76"/>
      <c r="V1374" s="76"/>
      <c r="W1374" s="76"/>
      <c r="X1374" s="76"/>
      <c r="Y1374" s="76"/>
      <c r="Z1374" s="76"/>
      <c r="AA1374" s="76"/>
      <c r="AB1374" s="76"/>
      <c r="AC1374" s="76"/>
      <c r="AD1374" s="76"/>
      <c r="AE1374" s="76"/>
      <c r="AF1374" s="76"/>
      <c r="AG1374" s="76"/>
      <c r="AH1374" s="76"/>
      <c r="AI1374" s="76">
        <v>1</v>
      </c>
      <c r="AJ1374" s="76">
        <v>1</v>
      </c>
      <c r="AK1374" s="73"/>
      <c r="AL1374" s="57"/>
      <c r="AM1374" s="45"/>
      <c r="AN1374" s="45"/>
      <c r="AO1374" s="45"/>
    </row>
    <row r="1375" spans="1:41" hidden="1" outlineLevel="3" x14ac:dyDescent="0.25">
      <c r="A1375" s="45"/>
      <c r="B1375" s="54"/>
      <c r="C1375" s="47">
        <f t="shared" si="509"/>
        <v>4</v>
      </c>
      <c r="D1375" s="73"/>
      <c r="E1375" s="70"/>
      <c r="F1375" s="70" t="s">
        <v>1929</v>
      </c>
      <c r="G1375" s="73"/>
      <c r="H1375" s="76"/>
      <c r="I1375" s="76"/>
      <c r="J1375" s="76"/>
      <c r="K1375" s="76"/>
      <c r="L1375" s="76"/>
      <c r="M1375" s="76"/>
      <c r="N1375" s="76"/>
      <c r="O1375" s="76"/>
      <c r="P1375" s="76"/>
      <c r="Q1375" s="76"/>
      <c r="R1375" s="76"/>
      <c r="S1375" s="76"/>
      <c r="T1375" s="76"/>
      <c r="U1375" s="76"/>
      <c r="V1375" s="76"/>
      <c r="W1375" s="76"/>
      <c r="X1375" s="76"/>
      <c r="Y1375" s="76"/>
      <c r="Z1375" s="76"/>
      <c r="AA1375" s="76"/>
      <c r="AB1375" s="76"/>
      <c r="AC1375" s="76"/>
      <c r="AD1375" s="76"/>
      <c r="AE1375" s="76"/>
      <c r="AF1375" s="76"/>
      <c r="AG1375" s="76"/>
      <c r="AH1375" s="76"/>
      <c r="AI1375" s="76">
        <v>1</v>
      </c>
      <c r="AJ1375" s="76">
        <v>1</v>
      </c>
      <c r="AK1375" s="73"/>
      <c r="AL1375" s="57"/>
      <c r="AM1375" s="45"/>
      <c r="AN1375" s="45"/>
      <c r="AO1375" s="45"/>
    </row>
    <row r="1376" spans="1:41" hidden="1" outlineLevel="3" x14ac:dyDescent="0.25">
      <c r="A1376" s="45"/>
      <c r="B1376" s="54"/>
      <c r="C1376" s="47"/>
      <c r="D1376" s="73"/>
      <c r="E1376" s="70"/>
      <c r="F1376" s="70" t="s">
        <v>2370</v>
      </c>
      <c r="G1376" s="73"/>
      <c r="H1376" s="76"/>
      <c r="I1376" s="76"/>
      <c r="J1376" s="76"/>
      <c r="K1376" s="76"/>
      <c r="L1376" s="76"/>
      <c r="M1376" s="76"/>
      <c r="N1376" s="76"/>
      <c r="O1376" s="76"/>
      <c r="P1376" s="76"/>
      <c r="Q1376" s="76"/>
      <c r="R1376" s="76"/>
      <c r="S1376" s="76"/>
      <c r="T1376" s="76"/>
      <c r="U1376" s="76"/>
      <c r="V1376" s="76"/>
      <c r="W1376" s="76"/>
      <c r="X1376" s="76"/>
      <c r="Y1376" s="76"/>
      <c r="Z1376" s="76"/>
      <c r="AA1376" s="76"/>
      <c r="AB1376" s="76"/>
      <c r="AC1376" s="76"/>
      <c r="AD1376" s="76"/>
      <c r="AE1376" s="76"/>
      <c r="AF1376" s="76"/>
      <c r="AG1376" s="76"/>
      <c r="AH1376" s="76"/>
      <c r="AI1376" s="76">
        <v>1</v>
      </c>
      <c r="AJ1376" s="76">
        <v>1</v>
      </c>
      <c r="AK1376" s="73"/>
      <c r="AL1376" s="57"/>
      <c r="AM1376" s="45"/>
      <c r="AN1376" s="45"/>
      <c r="AO1376" s="45"/>
    </row>
    <row r="1377" spans="1:41" hidden="1" outlineLevel="3" x14ac:dyDescent="0.25">
      <c r="A1377" s="45"/>
      <c r="B1377" s="54"/>
      <c r="C1377" s="47"/>
      <c r="D1377" s="73"/>
      <c r="E1377" s="70"/>
      <c r="F1377" s="70" t="s">
        <v>2371</v>
      </c>
      <c r="G1377" s="73"/>
      <c r="H1377" s="76"/>
      <c r="I1377" s="76"/>
      <c r="J1377" s="76"/>
      <c r="K1377" s="76"/>
      <c r="L1377" s="76"/>
      <c r="M1377" s="76"/>
      <c r="N1377" s="76"/>
      <c r="O1377" s="76"/>
      <c r="P1377" s="76"/>
      <c r="Q1377" s="76"/>
      <c r="R1377" s="76"/>
      <c r="S1377" s="76"/>
      <c r="T1377" s="76"/>
      <c r="U1377" s="76"/>
      <c r="V1377" s="76"/>
      <c r="W1377" s="76"/>
      <c r="X1377" s="76"/>
      <c r="Y1377" s="76"/>
      <c r="Z1377" s="76"/>
      <c r="AA1377" s="76"/>
      <c r="AB1377" s="76"/>
      <c r="AC1377" s="76"/>
      <c r="AD1377" s="76"/>
      <c r="AE1377" s="76"/>
      <c r="AF1377" s="76"/>
      <c r="AG1377" s="76"/>
      <c r="AH1377" s="76"/>
      <c r="AI1377" s="76">
        <v>1</v>
      </c>
      <c r="AJ1377" s="76">
        <v>1</v>
      </c>
      <c r="AK1377" s="73"/>
      <c r="AL1377" s="57"/>
      <c r="AM1377" s="45"/>
      <c r="AN1377" s="45"/>
      <c r="AO1377" s="45"/>
    </row>
    <row r="1378" spans="1:41" hidden="1" outlineLevel="3" x14ac:dyDescent="0.25">
      <c r="A1378" s="45"/>
      <c r="B1378" s="54"/>
      <c r="C1378" s="47"/>
      <c r="D1378" s="73"/>
      <c r="E1378" s="70"/>
      <c r="F1378" s="70" t="s">
        <v>2372</v>
      </c>
      <c r="G1378" s="73"/>
      <c r="H1378" s="76"/>
      <c r="I1378" s="76"/>
      <c r="J1378" s="76"/>
      <c r="K1378" s="76"/>
      <c r="L1378" s="76"/>
      <c r="M1378" s="76"/>
      <c r="N1378" s="76"/>
      <c r="O1378" s="76"/>
      <c r="P1378" s="76"/>
      <c r="Q1378" s="76"/>
      <c r="R1378" s="76"/>
      <c r="S1378" s="76"/>
      <c r="T1378" s="76"/>
      <c r="U1378" s="76"/>
      <c r="V1378" s="76"/>
      <c r="W1378" s="76"/>
      <c r="X1378" s="76"/>
      <c r="Y1378" s="76"/>
      <c r="Z1378" s="76"/>
      <c r="AA1378" s="76"/>
      <c r="AB1378" s="76"/>
      <c r="AC1378" s="76"/>
      <c r="AD1378" s="76"/>
      <c r="AE1378" s="76"/>
      <c r="AF1378" s="76"/>
      <c r="AG1378" s="76"/>
      <c r="AH1378" s="76"/>
      <c r="AI1378" s="76">
        <v>1</v>
      </c>
      <c r="AJ1378" s="76">
        <v>1</v>
      </c>
      <c r="AK1378" s="73"/>
      <c r="AL1378" s="57"/>
      <c r="AM1378" s="45"/>
      <c r="AN1378" s="45"/>
      <c r="AO1378" s="45"/>
    </row>
    <row r="1379" spans="1:41" hidden="1" outlineLevel="3" x14ac:dyDescent="0.25">
      <c r="A1379" s="45"/>
      <c r="B1379" s="54"/>
      <c r="C1379" s="47">
        <f t="shared" ref="C1379:C1390" si="510">INT($C$29)+3</f>
        <v>4</v>
      </c>
      <c r="D1379" s="73"/>
      <c r="E1379" s="70"/>
      <c r="F1379" s="70" t="str">
        <f>SUBSTITUTE(F1375,",4)",",8)")</f>
        <v>C(U2,3,8)</v>
      </c>
      <c r="G1379" s="73"/>
      <c r="H1379" s="76"/>
      <c r="I1379" s="96"/>
      <c r="J1379" s="76"/>
      <c r="K1379" s="76"/>
      <c r="L1379" s="76"/>
      <c r="M1379" s="76"/>
      <c r="N1379" s="76"/>
      <c r="O1379" s="76"/>
      <c r="P1379" s="76"/>
      <c r="Q1379" s="76"/>
      <c r="R1379" s="76"/>
      <c r="S1379" s="76"/>
      <c r="T1379" s="76"/>
      <c r="U1379" s="76"/>
      <c r="V1379" s="76"/>
      <c r="W1379" s="76"/>
      <c r="X1379" s="76"/>
      <c r="Y1379" s="76"/>
      <c r="Z1379" s="76"/>
      <c r="AA1379" s="76"/>
      <c r="AB1379" s="76"/>
      <c r="AC1379" s="76"/>
      <c r="AD1379" s="76"/>
      <c r="AE1379" s="76"/>
      <c r="AF1379" s="76"/>
      <c r="AG1379" s="76"/>
      <c r="AH1379" s="76"/>
      <c r="AI1379" s="76">
        <v>1</v>
      </c>
      <c r="AJ1379" s="76">
        <v>1</v>
      </c>
      <c r="AK1379" s="73"/>
      <c r="AL1379" s="57"/>
      <c r="AM1379" s="45"/>
      <c r="AN1379" s="45"/>
      <c r="AO1379" s="45"/>
    </row>
    <row r="1380" spans="1:41" hidden="1" outlineLevel="3" x14ac:dyDescent="0.25">
      <c r="A1380" s="45"/>
      <c r="B1380" s="54"/>
      <c r="C1380" s="47">
        <f t="shared" si="510"/>
        <v>4</v>
      </c>
      <c r="D1380" s="73"/>
      <c r="E1380" s="70"/>
      <c r="F1380" s="70" t="str">
        <f>SUBSTITUTE(F1376,",5)",",9)")</f>
        <v>C(U2,3,9)</v>
      </c>
      <c r="G1380" s="73"/>
      <c r="H1380" s="76"/>
      <c r="I1380" s="96"/>
      <c r="J1380" s="76"/>
      <c r="K1380" s="76"/>
      <c r="L1380" s="76"/>
      <c r="M1380" s="76"/>
      <c r="N1380" s="76"/>
      <c r="O1380" s="76"/>
      <c r="P1380" s="76"/>
      <c r="Q1380" s="76"/>
      <c r="R1380" s="76"/>
      <c r="S1380" s="76"/>
      <c r="T1380" s="76"/>
      <c r="U1380" s="76"/>
      <c r="V1380" s="76"/>
      <c r="W1380" s="76"/>
      <c r="X1380" s="76"/>
      <c r="Y1380" s="76"/>
      <c r="Z1380" s="76"/>
      <c r="AA1380" s="76"/>
      <c r="AB1380" s="76"/>
      <c r="AC1380" s="76"/>
      <c r="AD1380" s="76"/>
      <c r="AE1380" s="76"/>
      <c r="AF1380" s="76"/>
      <c r="AG1380" s="76"/>
      <c r="AH1380" s="76"/>
      <c r="AI1380" s="76">
        <v>1</v>
      </c>
      <c r="AJ1380" s="76">
        <v>1</v>
      </c>
      <c r="AK1380" s="73"/>
      <c r="AL1380" s="57"/>
      <c r="AM1380" s="45"/>
      <c r="AN1380" s="45"/>
      <c r="AO1380" s="45"/>
    </row>
    <row r="1381" spans="1:41" hidden="1" outlineLevel="3" x14ac:dyDescent="0.25">
      <c r="A1381" s="45"/>
      <c r="B1381" s="54"/>
      <c r="C1381" s="47">
        <f t="shared" si="510"/>
        <v>4</v>
      </c>
      <c r="D1381" s="73"/>
      <c r="E1381" s="70"/>
      <c r="F1381" s="70" t="str">
        <f>SUBSTITUTE(F1377,",6)",",10)")</f>
        <v>C(U2,3,10)</v>
      </c>
      <c r="G1381" s="73"/>
      <c r="H1381" s="76"/>
      <c r="I1381" s="96"/>
      <c r="J1381" s="76"/>
      <c r="K1381" s="76"/>
      <c r="L1381" s="76"/>
      <c r="M1381" s="76"/>
      <c r="N1381" s="76"/>
      <c r="O1381" s="76"/>
      <c r="P1381" s="76"/>
      <c r="Q1381" s="76"/>
      <c r="R1381" s="76"/>
      <c r="S1381" s="76"/>
      <c r="T1381" s="76"/>
      <c r="U1381" s="76"/>
      <c r="V1381" s="76"/>
      <c r="W1381" s="76"/>
      <c r="X1381" s="76"/>
      <c r="Y1381" s="76"/>
      <c r="Z1381" s="76"/>
      <c r="AA1381" s="76"/>
      <c r="AB1381" s="76"/>
      <c r="AC1381" s="76"/>
      <c r="AD1381" s="76"/>
      <c r="AE1381" s="76"/>
      <c r="AF1381" s="76"/>
      <c r="AG1381" s="76"/>
      <c r="AH1381" s="76"/>
      <c r="AI1381" s="76">
        <v>1</v>
      </c>
      <c r="AJ1381" s="76">
        <v>1</v>
      </c>
      <c r="AK1381" s="73"/>
      <c r="AL1381" s="57"/>
      <c r="AM1381" s="45"/>
      <c r="AN1381" s="45"/>
      <c r="AO1381" s="45"/>
    </row>
    <row r="1382" spans="1:41" hidden="1" outlineLevel="3" x14ac:dyDescent="0.25">
      <c r="A1382" s="45"/>
      <c r="B1382" s="54"/>
      <c r="C1382" s="47">
        <f t="shared" si="510"/>
        <v>4</v>
      </c>
      <c r="D1382" s="73"/>
      <c r="E1382" s="70"/>
      <c r="F1382" s="70" t="str">
        <f>SUBSTITUTE(F1378,",7)",",11)")</f>
        <v>C(U2,3,11)</v>
      </c>
      <c r="G1382" s="73"/>
      <c r="H1382" s="76"/>
      <c r="I1382" s="96"/>
      <c r="J1382" s="76"/>
      <c r="K1382" s="76"/>
      <c r="L1382" s="76"/>
      <c r="M1382" s="76"/>
      <c r="N1382" s="76"/>
      <c r="O1382" s="76"/>
      <c r="P1382" s="76"/>
      <c r="Q1382" s="76"/>
      <c r="R1382" s="76"/>
      <c r="S1382" s="76"/>
      <c r="T1382" s="76"/>
      <c r="U1382" s="76"/>
      <c r="V1382" s="76"/>
      <c r="W1382" s="76"/>
      <c r="X1382" s="76"/>
      <c r="Y1382" s="76"/>
      <c r="Z1382" s="76"/>
      <c r="AA1382" s="76"/>
      <c r="AB1382" s="76"/>
      <c r="AC1382" s="76"/>
      <c r="AD1382" s="76"/>
      <c r="AE1382" s="76"/>
      <c r="AF1382" s="76"/>
      <c r="AG1382" s="76"/>
      <c r="AH1382" s="76"/>
      <c r="AI1382" s="76">
        <v>1</v>
      </c>
      <c r="AJ1382" s="76">
        <v>1</v>
      </c>
      <c r="AK1382" s="73"/>
      <c r="AL1382" s="57"/>
      <c r="AM1382" s="45"/>
      <c r="AN1382" s="45"/>
      <c r="AO1382" s="45"/>
    </row>
    <row r="1383" spans="1:41" hidden="1" outlineLevel="3" x14ac:dyDescent="0.25">
      <c r="A1383" s="45"/>
      <c r="B1383" s="54"/>
      <c r="C1383" s="47">
        <f t="shared" si="510"/>
        <v>4</v>
      </c>
      <c r="D1383" s="73"/>
      <c r="E1383" s="70"/>
      <c r="F1383" s="70" t="str">
        <f>SUBSTITUTE(F1377,",6)",",12)")</f>
        <v>C(U2,3,12)</v>
      </c>
      <c r="G1383" s="73"/>
      <c r="H1383" s="76"/>
      <c r="I1383" s="96"/>
      <c r="J1383" s="76"/>
      <c r="K1383" s="76"/>
      <c r="L1383" s="76"/>
      <c r="M1383" s="76"/>
      <c r="N1383" s="76"/>
      <c r="O1383" s="76"/>
      <c r="P1383" s="76"/>
      <c r="Q1383" s="76"/>
      <c r="R1383" s="76"/>
      <c r="S1383" s="76"/>
      <c r="T1383" s="76"/>
      <c r="U1383" s="76"/>
      <c r="V1383" s="76"/>
      <c r="W1383" s="76"/>
      <c r="X1383" s="76"/>
      <c r="Y1383" s="76"/>
      <c r="Z1383" s="76"/>
      <c r="AA1383" s="76"/>
      <c r="AB1383" s="76"/>
      <c r="AC1383" s="76"/>
      <c r="AD1383" s="76"/>
      <c r="AE1383" s="76"/>
      <c r="AF1383" s="76"/>
      <c r="AG1383" s="76"/>
      <c r="AH1383" s="76"/>
      <c r="AI1383" s="76">
        <v>1</v>
      </c>
      <c r="AJ1383" s="76">
        <v>1</v>
      </c>
      <c r="AK1383" s="73"/>
      <c r="AL1383" s="57"/>
      <c r="AM1383" s="45"/>
      <c r="AN1383" s="45"/>
      <c r="AO1383" s="45"/>
    </row>
    <row r="1384" spans="1:41" hidden="1" outlineLevel="3" x14ac:dyDescent="0.25">
      <c r="A1384" s="45"/>
      <c r="B1384" s="54"/>
      <c r="C1384" s="47">
        <f t="shared" si="510"/>
        <v>4</v>
      </c>
      <c r="D1384" s="73"/>
      <c r="E1384" s="70"/>
      <c r="F1384" s="70" t="str">
        <f>SUBSTITUTE(F1378,",7)",",13)")</f>
        <v>C(U2,3,13)</v>
      </c>
      <c r="G1384" s="73"/>
      <c r="H1384" s="76"/>
      <c r="I1384" s="96"/>
      <c r="J1384" s="76"/>
      <c r="K1384" s="76"/>
      <c r="L1384" s="76"/>
      <c r="M1384" s="76"/>
      <c r="N1384" s="76"/>
      <c r="O1384" s="76"/>
      <c r="P1384" s="76"/>
      <c r="Q1384" s="76"/>
      <c r="R1384" s="76"/>
      <c r="S1384" s="76"/>
      <c r="T1384" s="76"/>
      <c r="U1384" s="76"/>
      <c r="V1384" s="76"/>
      <c r="W1384" s="76"/>
      <c r="X1384" s="76"/>
      <c r="Y1384" s="76"/>
      <c r="Z1384" s="76"/>
      <c r="AA1384" s="76"/>
      <c r="AB1384" s="76"/>
      <c r="AC1384" s="76"/>
      <c r="AD1384" s="76"/>
      <c r="AE1384" s="76"/>
      <c r="AF1384" s="76"/>
      <c r="AG1384" s="76"/>
      <c r="AH1384" s="76"/>
      <c r="AI1384" s="76">
        <v>1</v>
      </c>
      <c r="AJ1384" s="76">
        <v>1</v>
      </c>
      <c r="AK1384" s="73"/>
      <c r="AL1384" s="57"/>
      <c r="AM1384" s="45"/>
      <c r="AN1384" s="45"/>
      <c r="AO1384" s="45"/>
    </row>
    <row r="1385" spans="1:41" hidden="1" outlineLevel="3" x14ac:dyDescent="0.25">
      <c r="A1385" s="45"/>
      <c r="B1385" s="54"/>
      <c r="C1385" s="47">
        <f t="shared" si="510"/>
        <v>4</v>
      </c>
      <c r="D1385" s="73"/>
      <c r="E1385" s="70"/>
      <c r="F1385" s="70" t="s">
        <v>1930</v>
      </c>
      <c r="G1385" s="73"/>
      <c r="H1385" s="76"/>
      <c r="I1385" s="76"/>
      <c r="J1385" s="76"/>
      <c r="K1385" s="76"/>
      <c r="L1385" s="76"/>
      <c r="M1385" s="76"/>
      <c r="N1385" s="76"/>
      <c r="O1385" s="76"/>
      <c r="P1385" s="76"/>
      <c r="Q1385" s="76"/>
      <c r="R1385" s="76"/>
      <c r="S1385" s="76"/>
      <c r="T1385" s="76"/>
      <c r="U1385" s="76"/>
      <c r="V1385" s="76"/>
      <c r="W1385" s="76"/>
      <c r="X1385" s="76"/>
      <c r="Y1385" s="76"/>
      <c r="Z1385" s="76"/>
      <c r="AA1385" s="76"/>
      <c r="AB1385" s="76"/>
      <c r="AC1385" s="76"/>
      <c r="AD1385" s="76"/>
      <c r="AE1385" s="76"/>
      <c r="AF1385" s="76"/>
      <c r="AG1385" s="76"/>
      <c r="AH1385" s="76"/>
      <c r="AI1385" s="76">
        <v>1</v>
      </c>
      <c r="AJ1385" s="76">
        <v>1</v>
      </c>
      <c r="AK1385" s="73"/>
      <c r="AL1385" s="57"/>
      <c r="AM1385" s="45"/>
      <c r="AN1385" s="45"/>
      <c r="AO1385" s="45"/>
    </row>
    <row r="1386" spans="1:41" hidden="1" outlineLevel="3" x14ac:dyDescent="0.25">
      <c r="A1386" s="45"/>
      <c r="B1386" s="54"/>
      <c r="C1386" s="47">
        <f t="shared" si="510"/>
        <v>4</v>
      </c>
      <c r="D1386" s="73"/>
      <c r="E1386" s="70"/>
      <c r="F1386" s="70" t="s">
        <v>1931</v>
      </c>
      <c r="G1386" s="73"/>
      <c r="H1386" s="76" t="s">
        <v>599</v>
      </c>
      <c r="I1386" s="76"/>
      <c r="J1386" s="76"/>
      <c r="K1386" s="76"/>
      <c r="L1386" s="76"/>
      <c r="M1386" s="76"/>
      <c r="N1386" s="76"/>
      <c r="O1386" s="76"/>
      <c r="P1386" s="76"/>
      <c r="Q1386" s="76"/>
      <c r="R1386" s="76"/>
      <c r="S1386" s="76"/>
      <c r="T1386" s="76"/>
      <c r="U1386" s="76"/>
      <c r="V1386" s="76"/>
      <c r="W1386" s="76"/>
      <c r="X1386" s="76"/>
      <c r="Y1386" s="76"/>
      <c r="Z1386" s="76"/>
      <c r="AA1386" s="76"/>
      <c r="AB1386" s="76"/>
      <c r="AC1386" s="76"/>
      <c r="AD1386" s="76"/>
      <c r="AE1386" s="76"/>
      <c r="AF1386" s="76"/>
      <c r="AG1386" s="76"/>
      <c r="AH1386" s="76"/>
      <c r="AI1386" s="76">
        <v>1</v>
      </c>
      <c r="AJ1386" s="76">
        <v>1</v>
      </c>
      <c r="AK1386" s="73"/>
      <c r="AL1386" s="57"/>
      <c r="AM1386" s="45"/>
      <c r="AN1386" s="45"/>
      <c r="AO1386" s="45"/>
    </row>
    <row r="1387" spans="1:41" hidden="1" outlineLevel="3" x14ac:dyDescent="0.25">
      <c r="A1387" s="45"/>
      <c r="B1387" s="54"/>
      <c r="C1387" s="47">
        <f t="shared" si="510"/>
        <v>4</v>
      </c>
      <c r="D1387" s="73"/>
      <c r="E1387" s="70"/>
      <c r="F1387" s="70" t="s">
        <v>1932</v>
      </c>
      <c r="G1387" s="73"/>
      <c r="H1387" s="76"/>
      <c r="I1387" s="76"/>
      <c r="J1387" s="76"/>
      <c r="K1387" s="76"/>
      <c r="L1387" s="76"/>
      <c r="M1387" s="76"/>
      <c r="N1387" s="76"/>
      <c r="O1387" s="76"/>
      <c r="P1387" s="76"/>
      <c r="Q1387" s="76"/>
      <c r="R1387" s="76"/>
      <c r="S1387" s="76"/>
      <c r="T1387" s="76"/>
      <c r="U1387" s="76"/>
      <c r="V1387" s="76"/>
      <c r="W1387" s="76"/>
      <c r="X1387" s="76"/>
      <c r="Y1387" s="76"/>
      <c r="Z1387" s="76"/>
      <c r="AA1387" s="76"/>
      <c r="AB1387" s="76"/>
      <c r="AC1387" s="76"/>
      <c r="AD1387" s="76"/>
      <c r="AE1387" s="76"/>
      <c r="AF1387" s="76"/>
      <c r="AG1387" s="76"/>
      <c r="AH1387" s="76"/>
      <c r="AI1387" s="76">
        <v>1</v>
      </c>
      <c r="AJ1387" s="76">
        <v>1</v>
      </c>
      <c r="AK1387" s="73"/>
      <c r="AL1387" s="57"/>
      <c r="AM1387" s="45"/>
      <c r="AN1387" s="45"/>
      <c r="AO1387" s="45"/>
    </row>
    <row r="1388" spans="1:41" hidden="1" outlineLevel="3" x14ac:dyDescent="0.25">
      <c r="A1388" s="45"/>
      <c r="B1388" s="54"/>
      <c r="C1388" s="47">
        <f t="shared" si="510"/>
        <v>4</v>
      </c>
      <c r="D1388" s="73"/>
      <c r="E1388" s="70"/>
      <c r="F1388" s="70" t="s">
        <v>1933</v>
      </c>
      <c r="G1388" s="73"/>
      <c r="H1388" s="76"/>
      <c r="I1388" s="76"/>
      <c r="J1388" s="76"/>
      <c r="K1388" s="76"/>
      <c r="L1388" s="76"/>
      <c r="M1388" s="76"/>
      <c r="N1388" s="76"/>
      <c r="O1388" s="76"/>
      <c r="P1388" s="76"/>
      <c r="Q1388" s="76"/>
      <c r="R1388" s="76"/>
      <c r="S1388" s="76"/>
      <c r="T1388" s="76"/>
      <c r="U1388" s="76"/>
      <c r="V1388" s="76"/>
      <c r="W1388" s="76"/>
      <c r="X1388" s="76"/>
      <c r="Y1388" s="76"/>
      <c r="Z1388" s="76"/>
      <c r="AA1388" s="76"/>
      <c r="AB1388" s="76"/>
      <c r="AC1388" s="76"/>
      <c r="AD1388" s="76"/>
      <c r="AE1388" s="76"/>
      <c r="AF1388" s="76"/>
      <c r="AG1388" s="76"/>
      <c r="AH1388" s="76"/>
      <c r="AI1388" s="76">
        <v>1</v>
      </c>
      <c r="AJ1388" s="76">
        <v>1</v>
      </c>
      <c r="AK1388" s="73"/>
      <c r="AL1388" s="57"/>
      <c r="AM1388" s="45"/>
      <c r="AN1388" s="45"/>
      <c r="AO1388" s="45"/>
    </row>
    <row r="1389" spans="1:41" hidden="1" outlineLevel="3" x14ac:dyDescent="0.25">
      <c r="A1389" s="45"/>
      <c r="B1389" s="54"/>
      <c r="C1389" s="47">
        <f t="shared" si="510"/>
        <v>4</v>
      </c>
      <c r="D1389" s="73"/>
      <c r="E1389" s="70"/>
      <c r="F1389" s="70" t="s">
        <v>1934</v>
      </c>
      <c r="G1389" s="73"/>
      <c r="H1389" s="76"/>
      <c r="I1389" s="76"/>
      <c r="J1389" s="76"/>
      <c r="K1389" s="76"/>
      <c r="L1389" s="76"/>
      <c r="M1389" s="76"/>
      <c r="N1389" s="76"/>
      <c r="O1389" s="76"/>
      <c r="P1389" s="76"/>
      <c r="Q1389" s="76"/>
      <c r="R1389" s="76"/>
      <c r="S1389" s="76"/>
      <c r="T1389" s="76"/>
      <c r="U1389" s="76"/>
      <c r="V1389" s="76"/>
      <c r="W1389" s="76"/>
      <c r="X1389" s="76"/>
      <c r="Y1389" s="76"/>
      <c r="Z1389" s="76"/>
      <c r="AA1389" s="76"/>
      <c r="AB1389" s="76"/>
      <c r="AC1389" s="76"/>
      <c r="AD1389" s="76"/>
      <c r="AE1389" s="76"/>
      <c r="AF1389" s="76"/>
      <c r="AG1389" s="76"/>
      <c r="AH1389" s="76"/>
      <c r="AI1389" s="76">
        <v>1</v>
      </c>
      <c r="AJ1389" s="76">
        <v>1</v>
      </c>
      <c r="AK1389" s="73"/>
      <c r="AL1389" s="57"/>
      <c r="AM1389" s="45"/>
      <c r="AN1389" s="45"/>
      <c r="AO1389" s="45"/>
    </row>
    <row r="1390" spans="1:41" hidden="1" outlineLevel="3" x14ac:dyDescent="0.25">
      <c r="A1390" s="45"/>
      <c r="B1390" s="54"/>
      <c r="C1390" s="47">
        <f t="shared" si="510"/>
        <v>4</v>
      </c>
      <c r="D1390" s="73"/>
      <c r="E1390" s="70"/>
      <c r="F1390" s="70" t="s">
        <v>1935</v>
      </c>
      <c r="G1390" s="73"/>
      <c r="H1390" s="76"/>
      <c r="I1390" s="76"/>
      <c r="J1390" s="76"/>
      <c r="K1390" s="76"/>
      <c r="L1390" s="76"/>
      <c r="M1390" s="76"/>
      <c r="N1390" s="76"/>
      <c r="O1390" s="76"/>
      <c r="P1390" s="76"/>
      <c r="Q1390" s="76"/>
      <c r="R1390" s="76"/>
      <c r="S1390" s="76"/>
      <c r="T1390" s="76"/>
      <c r="U1390" s="76"/>
      <c r="V1390" s="76"/>
      <c r="W1390" s="76"/>
      <c r="X1390" s="76"/>
      <c r="Y1390" s="76"/>
      <c r="Z1390" s="76"/>
      <c r="AA1390" s="76"/>
      <c r="AB1390" s="76"/>
      <c r="AC1390" s="76"/>
      <c r="AD1390" s="76"/>
      <c r="AE1390" s="76"/>
      <c r="AF1390" s="76"/>
      <c r="AG1390" s="76"/>
      <c r="AH1390" s="76"/>
      <c r="AI1390" s="76">
        <v>1</v>
      </c>
      <c r="AJ1390" s="76">
        <v>1</v>
      </c>
      <c r="AK1390" s="73"/>
      <c r="AL1390" s="57"/>
      <c r="AM1390" s="45"/>
      <c r="AN1390" s="45"/>
      <c r="AO1390" s="45"/>
    </row>
    <row r="1391" spans="1:41" hidden="1" outlineLevel="3" x14ac:dyDescent="0.25">
      <c r="A1391" s="45"/>
      <c r="B1391" s="54"/>
      <c r="C1391" s="47"/>
      <c r="D1391" s="73"/>
      <c r="E1391" s="70"/>
      <c r="F1391" s="70" t="s">
        <v>2394</v>
      </c>
      <c r="G1391" s="73"/>
      <c r="H1391" s="76"/>
      <c r="I1391" s="76"/>
      <c r="J1391" s="76"/>
      <c r="K1391" s="76"/>
      <c r="L1391" s="76"/>
      <c r="M1391" s="76"/>
      <c r="N1391" s="76"/>
      <c r="O1391" s="76"/>
      <c r="P1391" s="76"/>
      <c r="Q1391" s="76"/>
      <c r="R1391" s="76"/>
      <c r="S1391" s="76"/>
      <c r="T1391" s="76"/>
      <c r="U1391" s="76"/>
      <c r="V1391" s="76"/>
      <c r="W1391" s="76"/>
      <c r="X1391" s="76"/>
      <c r="Y1391" s="76"/>
      <c r="Z1391" s="76"/>
      <c r="AA1391" s="76"/>
      <c r="AB1391" s="76"/>
      <c r="AC1391" s="76"/>
      <c r="AD1391" s="76"/>
      <c r="AE1391" s="76"/>
      <c r="AF1391" s="76"/>
      <c r="AG1391" s="76"/>
      <c r="AH1391" s="76"/>
      <c r="AI1391" s="76">
        <v>1</v>
      </c>
      <c r="AJ1391" s="76">
        <v>1</v>
      </c>
      <c r="AK1391" s="73"/>
      <c r="AL1391" s="57"/>
      <c r="AM1391" s="45"/>
      <c r="AN1391" s="45"/>
      <c r="AO1391" s="45"/>
    </row>
    <row r="1392" spans="1:41" hidden="1" outlineLevel="3" x14ac:dyDescent="0.25">
      <c r="A1392" s="45"/>
      <c r="B1392" s="54"/>
      <c r="C1392" s="47"/>
      <c r="D1392" s="73"/>
      <c r="E1392" s="70"/>
      <c r="F1392" s="70" t="s">
        <v>2395</v>
      </c>
      <c r="G1392" s="73"/>
      <c r="H1392" s="76"/>
      <c r="I1392" s="76"/>
      <c r="J1392" s="76"/>
      <c r="K1392" s="76"/>
      <c r="L1392" s="76"/>
      <c r="M1392" s="76"/>
      <c r="N1392" s="76"/>
      <c r="O1392" s="76"/>
      <c r="P1392" s="76"/>
      <c r="Q1392" s="76"/>
      <c r="R1392" s="76"/>
      <c r="S1392" s="76"/>
      <c r="T1392" s="76"/>
      <c r="U1392" s="76"/>
      <c r="V1392" s="76"/>
      <c r="W1392" s="76"/>
      <c r="X1392" s="76"/>
      <c r="Y1392" s="76"/>
      <c r="Z1392" s="76"/>
      <c r="AA1392" s="76"/>
      <c r="AB1392" s="76"/>
      <c r="AC1392" s="76"/>
      <c r="AD1392" s="76"/>
      <c r="AE1392" s="76"/>
      <c r="AF1392" s="76"/>
      <c r="AG1392" s="76"/>
      <c r="AH1392" s="76"/>
      <c r="AI1392" s="76">
        <v>1</v>
      </c>
      <c r="AJ1392" s="76">
        <v>1</v>
      </c>
      <c r="AK1392" s="73"/>
      <c r="AL1392" s="57"/>
      <c r="AM1392" s="45"/>
      <c r="AN1392" s="45"/>
      <c r="AO1392" s="45"/>
    </row>
    <row r="1393" spans="1:41" hidden="1" outlineLevel="3" x14ac:dyDescent="0.25">
      <c r="A1393" s="45"/>
      <c r="B1393" s="54"/>
      <c r="C1393" s="47"/>
      <c r="D1393" s="73"/>
      <c r="E1393" s="70"/>
      <c r="F1393" s="70" t="s">
        <v>2396</v>
      </c>
      <c r="G1393" s="73"/>
      <c r="H1393" s="76"/>
      <c r="I1393" s="76"/>
      <c r="J1393" s="76"/>
      <c r="K1393" s="76"/>
      <c r="L1393" s="76"/>
      <c r="M1393" s="76"/>
      <c r="N1393" s="76"/>
      <c r="O1393" s="76"/>
      <c r="P1393" s="76"/>
      <c r="Q1393" s="76"/>
      <c r="R1393" s="76"/>
      <c r="S1393" s="76"/>
      <c r="T1393" s="76"/>
      <c r="U1393" s="76"/>
      <c r="V1393" s="76"/>
      <c r="W1393" s="76"/>
      <c r="X1393" s="76"/>
      <c r="Y1393" s="76"/>
      <c r="Z1393" s="76"/>
      <c r="AA1393" s="76"/>
      <c r="AB1393" s="76"/>
      <c r="AC1393" s="76"/>
      <c r="AD1393" s="76"/>
      <c r="AE1393" s="76"/>
      <c r="AF1393" s="76"/>
      <c r="AG1393" s="76"/>
      <c r="AH1393" s="76"/>
      <c r="AI1393" s="76">
        <v>1</v>
      </c>
      <c r="AJ1393" s="76">
        <v>1</v>
      </c>
      <c r="AK1393" s="73"/>
      <c r="AL1393" s="57"/>
      <c r="AM1393" s="45"/>
      <c r="AN1393" s="45"/>
      <c r="AO1393" s="45"/>
    </row>
    <row r="1394" spans="1:41" hidden="1" outlineLevel="3" x14ac:dyDescent="0.25">
      <c r="A1394" s="45"/>
      <c r="B1394" s="54"/>
      <c r="C1394" s="47">
        <f t="shared" ref="C1394:C1405" si="511">INT($C$29)+3</f>
        <v>4</v>
      </c>
      <c r="D1394" s="73"/>
      <c r="E1394" s="70"/>
      <c r="F1394" s="70" t="str">
        <f>SUBSTITUTE(F1390,",4)",",8)")</f>
        <v>C(U2,4,8)</v>
      </c>
      <c r="G1394" s="73"/>
      <c r="H1394" s="76"/>
      <c r="I1394" s="96"/>
      <c r="J1394" s="76"/>
      <c r="K1394" s="76"/>
      <c r="L1394" s="76"/>
      <c r="M1394" s="76"/>
      <c r="N1394" s="76"/>
      <c r="O1394" s="76"/>
      <c r="P1394" s="76"/>
      <c r="Q1394" s="76"/>
      <c r="R1394" s="76"/>
      <c r="S1394" s="76"/>
      <c r="T1394" s="76"/>
      <c r="U1394" s="76"/>
      <c r="V1394" s="76"/>
      <c r="W1394" s="76"/>
      <c r="X1394" s="76"/>
      <c r="Y1394" s="76"/>
      <c r="Z1394" s="76"/>
      <c r="AA1394" s="76"/>
      <c r="AB1394" s="76"/>
      <c r="AC1394" s="76"/>
      <c r="AD1394" s="76"/>
      <c r="AE1394" s="76"/>
      <c r="AF1394" s="76"/>
      <c r="AG1394" s="76"/>
      <c r="AH1394" s="76"/>
      <c r="AI1394" s="76">
        <v>1</v>
      </c>
      <c r="AJ1394" s="76">
        <v>1</v>
      </c>
      <c r="AK1394" s="73"/>
      <c r="AL1394" s="57"/>
      <c r="AM1394" s="45"/>
      <c r="AN1394" s="45"/>
      <c r="AO1394" s="45"/>
    </row>
    <row r="1395" spans="1:41" hidden="1" outlineLevel="3" x14ac:dyDescent="0.25">
      <c r="A1395" s="45"/>
      <c r="B1395" s="54"/>
      <c r="C1395" s="47">
        <f t="shared" si="511"/>
        <v>4</v>
      </c>
      <c r="D1395" s="73"/>
      <c r="E1395" s="70"/>
      <c r="F1395" s="70" t="str">
        <f>SUBSTITUTE(F1391,",5)",",9)")</f>
        <v>C(U2,4,9)</v>
      </c>
      <c r="G1395" s="73"/>
      <c r="H1395" s="76"/>
      <c r="I1395" s="96"/>
      <c r="J1395" s="76"/>
      <c r="K1395" s="76"/>
      <c r="L1395" s="76"/>
      <c r="M1395" s="76"/>
      <c r="N1395" s="76"/>
      <c r="O1395" s="76"/>
      <c r="P1395" s="76"/>
      <c r="Q1395" s="76"/>
      <c r="R1395" s="76"/>
      <c r="S1395" s="76"/>
      <c r="T1395" s="76"/>
      <c r="U1395" s="76"/>
      <c r="V1395" s="76"/>
      <c r="W1395" s="76"/>
      <c r="X1395" s="76"/>
      <c r="Y1395" s="76"/>
      <c r="Z1395" s="76"/>
      <c r="AA1395" s="76"/>
      <c r="AB1395" s="76"/>
      <c r="AC1395" s="76"/>
      <c r="AD1395" s="76"/>
      <c r="AE1395" s="76"/>
      <c r="AF1395" s="76"/>
      <c r="AG1395" s="76"/>
      <c r="AH1395" s="76"/>
      <c r="AI1395" s="76">
        <v>1</v>
      </c>
      <c r="AJ1395" s="76">
        <v>1</v>
      </c>
      <c r="AK1395" s="73"/>
      <c r="AL1395" s="57"/>
      <c r="AM1395" s="45"/>
      <c r="AN1395" s="45"/>
      <c r="AO1395" s="45"/>
    </row>
    <row r="1396" spans="1:41" hidden="1" outlineLevel="3" x14ac:dyDescent="0.25">
      <c r="A1396" s="45"/>
      <c r="B1396" s="54"/>
      <c r="C1396" s="47">
        <f t="shared" si="511"/>
        <v>4</v>
      </c>
      <c r="D1396" s="73"/>
      <c r="E1396" s="70"/>
      <c r="F1396" s="70" t="str">
        <f>SUBSTITUTE(F1392,",6)",",10)")</f>
        <v>C(U2,4,10)</v>
      </c>
      <c r="G1396" s="73"/>
      <c r="H1396" s="76"/>
      <c r="I1396" s="96"/>
      <c r="J1396" s="76"/>
      <c r="K1396" s="76"/>
      <c r="L1396" s="76"/>
      <c r="M1396" s="76"/>
      <c r="N1396" s="76"/>
      <c r="O1396" s="76"/>
      <c r="P1396" s="76"/>
      <c r="Q1396" s="76"/>
      <c r="R1396" s="76"/>
      <c r="S1396" s="76"/>
      <c r="T1396" s="76"/>
      <c r="U1396" s="76"/>
      <c r="V1396" s="76"/>
      <c r="W1396" s="76"/>
      <c r="X1396" s="76"/>
      <c r="Y1396" s="76"/>
      <c r="Z1396" s="76"/>
      <c r="AA1396" s="76"/>
      <c r="AB1396" s="76"/>
      <c r="AC1396" s="76"/>
      <c r="AD1396" s="76"/>
      <c r="AE1396" s="76"/>
      <c r="AF1396" s="76"/>
      <c r="AG1396" s="76"/>
      <c r="AH1396" s="76"/>
      <c r="AI1396" s="76">
        <v>1</v>
      </c>
      <c r="AJ1396" s="76">
        <v>1</v>
      </c>
      <c r="AK1396" s="73"/>
      <c r="AL1396" s="57"/>
      <c r="AM1396" s="45"/>
      <c r="AN1396" s="45"/>
      <c r="AO1396" s="45"/>
    </row>
    <row r="1397" spans="1:41" hidden="1" outlineLevel="3" x14ac:dyDescent="0.25">
      <c r="A1397" s="45"/>
      <c r="B1397" s="54"/>
      <c r="C1397" s="47">
        <f t="shared" si="511"/>
        <v>4</v>
      </c>
      <c r="D1397" s="73"/>
      <c r="E1397" s="70"/>
      <c r="F1397" s="70" t="str">
        <f>SUBSTITUTE(F1393,",7)",",11)")</f>
        <v>C(U2,4,11)</v>
      </c>
      <c r="G1397" s="73"/>
      <c r="H1397" s="76"/>
      <c r="I1397" s="96"/>
      <c r="J1397" s="76"/>
      <c r="K1397" s="76"/>
      <c r="L1397" s="76"/>
      <c r="M1397" s="76"/>
      <c r="N1397" s="76"/>
      <c r="O1397" s="76"/>
      <c r="P1397" s="76"/>
      <c r="Q1397" s="76"/>
      <c r="R1397" s="76"/>
      <c r="S1397" s="76"/>
      <c r="T1397" s="76"/>
      <c r="U1397" s="76"/>
      <c r="V1397" s="76"/>
      <c r="W1397" s="76"/>
      <c r="X1397" s="76"/>
      <c r="Y1397" s="76"/>
      <c r="Z1397" s="76"/>
      <c r="AA1397" s="76"/>
      <c r="AB1397" s="76"/>
      <c r="AC1397" s="76"/>
      <c r="AD1397" s="76"/>
      <c r="AE1397" s="76"/>
      <c r="AF1397" s="76"/>
      <c r="AG1397" s="76"/>
      <c r="AH1397" s="76"/>
      <c r="AI1397" s="76">
        <v>1</v>
      </c>
      <c r="AJ1397" s="76">
        <v>1</v>
      </c>
      <c r="AK1397" s="73"/>
      <c r="AL1397" s="57"/>
      <c r="AM1397" s="45"/>
      <c r="AN1397" s="45"/>
      <c r="AO1397" s="45"/>
    </row>
    <row r="1398" spans="1:41" hidden="1" outlineLevel="3" x14ac:dyDescent="0.25">
      <c r="A1398" s="45"/>
      <c r="B1398" s="54"/>
      <c r="C1398" s="47">
        <f t="shared" si="511"/>
        <v>4</v>
      </c>
      <c r="D1398" s="73"/>
      <c r="E1398" s="70"/>
      <c r="F1398" s="70" t="str">
        <f>SUBSTITUTE(F1392,",6)",",12)")</f>
        <v>C(U2,4,12)</v>
      </c>
      <c r="G1398" s="73"/>
      <c r="H1398" s="76"/>
      <c r="I1398" s="96"/>
      <c r="J1398" s="76"/>
      <c r="K1398" s="76"/>
      <c r="L1398" s="76"/>
      <c r="M1398" s="76"/>
      <c r="N1398" s="76"/>
      <c r="O1398" s="76"/>
      <c r="P1398" s="76"/>
      <c r="Q1398" s="76"/>
      <c r="R1398" s="76"/>
      <c r="S1398" s="76"/>
      <c r="T1398" s="76"/>
      <c r="U1398" s="76"/>
      <c r="V1398" s="76"/>
      <c r="W1398" s="76"/>
      <c r="X1398" s="76"/>
      <c r="Y1398" s="76"/>
      <c r="Z1398" s="76"/>
      <c r="AA1398" s="76"/>
      <c r="AB1398" s="76"/>
      <c r="AC1398" s="76"/>
      <c r="AD1398" s="76"/>
      <c r="AE1398" s="76"/>
      <c r="AF1398" s="76"/>
      <c r="AG1398" s="76"/>
      <c r="AH1398" s="76"/>
      <c r="AI1398" s="76">
        <v>1</v>
      </c>
      <c r="AJ1398" s="76">
        <v>1</v>
      </c>
      <c r="AK1398" s="73"/>
      <c r="AL1398" s="57"/>
      <c r="AM1398" s="45"/>
      <c r="AN1398" s="45"/>
      <c r="AO1398" s="45"/>
    </row>
    <row r="1399" spans="1:41" hidden="1" outlineLevel="3" x14ac:dyDescent="0.25">
      <c r="A1399" s="45"/>
      <c r="B1399" s="54"/>
      <c r="C1399" s="47">
        <f t="shared" si="511"/>
        <v>4</v>
      </c>
      <c r="D1399" s="73"/>
      <c r="E1399" s="70"/>
      <c r="F1399" s="70" t="str">
        <f>SUBSTITUTE(F1393,",7)",",13)")</f>
        <v>C(U2,4,13)</v>
      </c>
      <c r="G1399" s="73"/>
      <c r="H1399" s="76"/>
      <c r="I1399" s="96"/>
      <c r="J1399" s="76"/>
      <c r="K1399" s="76"/>
      <c r="L1399" s="76"/>
      <c r="M1399" s="76"/>
      <c r="N1399" s="76"/>
      <c r="O1399" s="76"/>
      <c r="P1399" s="76"/>
      <c r="Q1399" s="76"/>
      <c r="R1399" s="76"/>
      <c r="S1399" s="76"/>
      <c r="T1399" s="76"/>
      <c r="U1399" s="76"/>
      <c r="V1399" s="76"/>
      <c r="W1399" s="76"/>
      <c r="X1399" s="76"/>
      <c r="Y1399" s="76"/>
      <c r="Z1399" s="76"/>
      <c r="AA1399" s="76"/>
      <c r="AB1399" s="76"/>
      <c r="AC1399" s="76"/>
      <c r="AD1399" s="76"/>
      <c r="AE1399" s="76"/>
      <c r="AF1399" s="76"/>
      <c r="AG1399" s="76"/>
      <c r="AH1399" s="76"/>
      <c r="AI1399" s="76">
        <v>1</v>
      </c>
      <c r="AJ1399" s="76">
        <v>1</v>
      </c>
      <c r="AK1399" s="73"/>
      <c r="AL1399" s="57"/>
      <c r="AM1399" s="45"/>
      <c r="AN1399" s="45"/>
      <c r="AO1399" s="45"/>
    </row>
    <row r="1400" spans="1:41" hidden="1" outlineLevel="3" x14ac:dyDescent="0.25">
      <c r="A1400" s="45"/>
      <c r="B1400" s="54"/>
      <c r="C1400" s="47">
        <f t="shared" si="511"/>
        <v>4</v>
      </c>
      <c r="D1400" s="73"/>
      <c r="E1400" s="70"/>
      <c r="F1400" s="70" t="s">
        <v>1936</v>
      </c>
      <c r="G1400" s="73"/>
      <c r="H1400" s="76"/>
      <c r="I1400" s="76"/>
      <c r="J1400" s="76"/>
      <c r="K1400" s="76"/>
      <c r="L1400" s="76"/>
      <c r="M1400" s="76"/>
      <c r="N1400" s="76"/>
      <c r="O1400" s="76"/>
      <c r="P1400" s="76"/>
      <c r="Q1400" s="76"/>
      <c r="R1400" s="76"/>
      <c r="S1400" s="76"/>
      <c r="T1400" s="76"/>
      <c r="U1400" s="76"/>
      <c r="V1400" s="76"/>
      <c r="W1400" s="76"/>
      <c r="X1400" s="76"/>
      <c r="Y1400" s="76"/>
      <c r="Z1400" s="76"/>
      <c r="AA1400" s="76"/>
      <c r="AB1400" s="76"/>
      <c r="AC1400" s="76"/>
      <c r="AD1400" s="76"/>
      <c r="AE1400" s="76"/>
      <c r="AF1400" s="76"/>
      <c r="AG1400" s="76"/>
      <c r="AH1400" s="76"/>
      <c r="AI1400" s="76">
        <v>1</v>
      </c>
      <c r="AJ1400" s="76">
        <v>1</v>
      </c>
      <c r="AK1400" s="73"/>
      <c r="AL1400" s="57"/>
      <c r="AM1400" s="45"/>
      <c r="AN1400" s="45"/>
      <c r="AO1400" s="45"/>
    </row>
    <row r="1401" spans="1:41" hidden="1" outlineLevel="3" x14ac:dyDescent="0.25">
      <c r="A1401" s="45"/>
      <c r="B1401" s="54"/>
      <c r="C1401" s="47">
        <f t="shared" si="511"/>
        <v>4</v>
      </c>
      <c r="D1401" s="73"/>
      <c r="E1401" s="70"/>
      <c r="F1401" s="70" t="s">
        <v>1937</v>
      </c>
      <c r="G1401" s="73"/>
      <c r="H1401" s="76" t="s">
        <v>599</v>
      </c>
      <c r="I1401" s="76"/>
      <c r="J1401" s="76"/>
      <c r="K1401" s="76"/>
      <c r="L1401" s="76"/>
      <c r="M1401" s="76"/>
      <c r="N1401" s="76"/>
      <c r="O1401" s="76"/>
      <c r="P1401" s="76"/>
      <c r="Q1401" s="76"/>
      <c r="R1401" s="76"/>
      <c r="S1401" s="76"/>
      <c r="T1401" s="76"/>
      <c r="U1401" s="76"/>
      <c r="V1401" s="76"/>
      <c r="W1401" s="76"/>
      <c r="X1401" s="76"/>
      <c r="Y1401" s="76"/>
      <c r="Z1401" s="76"/>
      <c r="AA1401" s="76"/>
      <c r="AB1401" s="76"/>
      <c r="AC1401" s="76"/>
      <c r="AD1401" s="76"/>
      <c r="AE1401" s="76"/>
      <c r="AF1401" s="76"/>
      <c r="AG1401" s="76"/>
      <c r="AH1401" s="76"/>
      <c r="AI1401" s="76">
        <v>1</v>
      </c>
      <c r="AJ1401" s="76">
        <v>1</v>
      </c>
      <c r="AK1401" s="73"/>
      <c r="AL1401" s="57"/>
      <c r="AM1401" s="45"/>
      <c r="AN1401" s="45"/>
      <c r="AO1401" s="45"/>
    </row>
    <row r="1402" spans="1:41" hidden="1" outlineLevel="3" x14ac:dyDescent="0.25">
      <c r="A1402" s="45"/>
      <c r="B1402" s="54"/>
      <c r="C1402" s="47">
        <f t="shared" si="511"/>
        <v>4</v>
      </c>
      <c r="D1402" s="73"/>
      <c r="E1402" s="70"/>
      <c r="F1402" s="70" t="s">
        <v>1938</v>
      </c>
      <c r="G1402" s="73"/>
      <c r="H1402" s="76"/>
      <c r="I1402" s="76"/>
      <c r="J1402" s="76"/>
      <c r="K1402" s="76"/>
      <c r="L1402" s="76"/>
      <c r="M1402" s="76"/>
      <c r="N1402" s="76"/>
      <c r="O1402" s="76"/>
      <c r="P1402" s="76"/>
      <c r="Q1402" s="76"/>
      <c r="R1402" s="76"/>
      <c r="S1402" s="76"/>
      <c r="T1402" s="76"/>
      <c r="U1402" s="76"/>
      <c r="V1402" s="76"/>
      <c r="W1402" s="76"/>
      <c r="X1402" s="76"/>
      <c r="Y1402" s="76"/>
      <c r="Z1402" s="76"/>
      <c r="AA1402" s="76"/>
      <c r="AB1402" s="76"/>
      <c r="AC1402" s="76"/>
      <c r="AD1402" s="76"/>
      <c r="AE1402" s="76"/>
      <c r="AF1402" s="76"/>
      <c r="AG1402" s="76"/>
      <c r="AH1402" s="76"/>
      <c r="AI1402" s="76">
        <v>1</v>
      </c>
      <c r="AJ1402" s="76">
        <v>1</v>
      </c>
      <c r="AK1402" s="73"/>
      <c r="AL1402" s="57"/>
      <c r="AM1402" s="45"/>
      <c r="AN1402" s="45"/>
      <c r="AO1402" s="45"/>
    </row>
    <row r="1403" spans="1:41" hidden="1" outlineLevel="3" x14ac:dyDescent="0.25">
      <c r="A1403" s="45"/>
      <c r="B1403" s="54"/>
      <c r="C1403" s="47">
        <f t="shared" si="511"/>
        <v>4</v>
      </c>
      <c r="D1403" s="73"/>
      <c r="E1403" s="70"/>
      <c r="F1403" s="70" t="s">
        <v>1939</v>
      </c>
      <c r="G1403" s="73"/>
      <c r="H1403" s="76"/>
      <c r="I1403" s="76"/>
      <c r="J1403" s="76"/>
      <c r="K1403" s="76"/>
      <c r="L1403" s="76"/>
      <c r="M1403" s="76"/>
      <c r="N1403" s="76"/>
      <c r="O1403" s="76"/>
      <c r="P1403" s="76"/>
      <c r="Q1403" s="76"/>
      <c r="R1403" s="76"/>
      <c r="S1403" s="76"/>
      <c r="T1403" s="76"/>
      <c r="U1403" s="76"/>
      <c r="V1403" s="76"/>
      <c r="W1403" s="76"/>
      <c r="X1403" s="76"/>
      <c r="Y1403" s="76"/>
      <c r="Z1403" s="76"/>
      <c r="AA1403" s="76"/>
      <c r="AB1403" s="76"/>
      <c r="AC1403" s="76"/>
      <c r="AD1403" s="76"/>
      <c r="AE1403" s="76"/>
      <c r="AF1403" s="76"/>
      <c r="AG1403" s="76"/>
      <c r="AH1403" s="76"/>
      <c r="AI1403" s="76">
        <v>1</v>
      </c>
      <c r="AJ1403" s="76">
        <v>1</v>
      </c>
      <c r="AK1403" s="73"/>
      <c r="AL1403" s="57"/>
      <c r="AM1403" s="45"/>
      <c r="AN1403" s="45"/>
      <c r="AO1403" s="45"/>
    </row>
    <row r="1404" spans="1:41" hidden="1" outlineLevel="3" x14ac:dyDescent="0.25">
      <c r="A1404" s="45"/>
      <c r="B1404" s="54"/>
      <c r="C1404" s="47">
        <f t="shared" si="511"/>
        <v>4</v>
      </c>
      <c r="D1404" s="73"/>
      <c r="E1404" s="70"/>
      <c r="F1404" s="70" t="s">
        <v>1940</v>
      </c>
      <c r="G1404" s="73"/>
      <c r="H1404" s="76"/>
      <c r="I1404" s="76"/>
      <c r="J1404" s="76"/>
      <c r="K1404" s="76"/>
      <c r="L1404" s="76"/>
      <c r="M1404" s="76"/>
      <c r="N1404" s="76"/>
      <c r="O1404" s="76"/>
      <c r="P1404" s="76"/>
      <c r="Q1404" s="76"/>
      <c r="R1404" s="76"/>
      <c r="S1404" s="76"/>
      <c r="T1404" s="76"/>
      <c r="U1404" s="76"/>
      <c r="V1404" s="76"/>
      <c r="W1404" s="76"/>
      <c r="X1404" s="76"/>
      <c r="Y1404" s="76"/>
      <c r="Z1404" s="76"/>
      <c r="AA1404" s="76"/>
      <c r="AB1404" s="76"/>
      <c r="AC1404" s="76"/>
      <c r="AD1404" s="76"/>
      <c r="AE1404" s="76"/>
      <c r="AF1404" s="76"/>
      <c r="AG1404" s="76"/>
      <c r="AH1404" s="76"/>
      <c r="AI1404" s="76">
        <v>1</v>
      </c>
      <c r="AJ1404" s="76">
        <v>1</v>
      </c>
      <c r="AK1404" s="73"/>
      <c r="AL1404" s="57"/>
      <c r="AM1404" s="45"/>
      <c r="AN1404" s="45"/>
      <c r="AO1404" s="45"/>
    </row>
    <row r="1405" spans="1:41" hidden="1" outlineLevel="3" x14ac:dyDescent="0.25">
      <c r="A1405" s="45"/>
      <c r="B1405" s="54"/>
      <c r="C1405" s="47">
        <f t="shared" si="511"/>
        <v>4</v>
      </c>
      <c r="D1405" s="73"/>
      <c r="E1405" s="70"/>
      <c r="F1405" s="70" t="s">
        <v>1941</v>
      </c>
      <c r="G1405" s="73"/>
      <c r="H1405" s="76"/>
      <c r="I1405" s="76"/>
      <c r="J1405" s="76"/>
      <c r="K1405" s="76"/>
      <c r="L1405" s="76"/>
      <c r="M1405" s="76"/>
      <c r="N1405" s="76"/>
      <c r="O1405" s="76"/>
      <c r="P1405" s="76"/>
      <c r="Q1405" s="76"/>
      <c r="R1405" s="76"/>
      <c r="S1405" s="76"/>
      <c r="T1405" s="76"/>
      <c r="U1405" s="76"/>
      <c r="V1405" s="76"/>
      <c r="W1405" s="76"/>
      <c r="X1405" s="76"/>
      <c r="Y1405" s="76"/>
      <c r="Z1405" s="76"/>
      <c r="AA1405" s="76"/>
      <c r="AB1405" s="76"/>
      <c r="AC1405" s="76"/>
      <c r="AD1405" s="76"/>
      <c r="AE1405" s="76"/>
      <c r="AF1405" s="76"/>
      <c r="AG1405" s="76"/>
      <c r="AH1405" s="76"/>
      <c r="AI1405" s="76">
        <v>1</v>
      </c>
      <c r="AJ1405" s="76">
        <v>1</v>
      </c>
      <c r="AK1405" s="73"/>
      <c r="AL1405" s="57"/>
      <c r="AM1405" s="45"/>
      <c r="AN1405" s="45"/>
      <c r="AO1405" s="45"/>
    </row>
    <row r="1406" spans="1:41" hidden="1" outlineLevel="3" x14ac:dyDescent="0.25">
      <c r="A1406" s="45"/>
      <c r="B1406" s="54"/>
      <c r="C1406" s="47"/>
      <c r="D1406" s="73"/>
      <c r="E1406" s="70"/>
      <c r="F1406" s="70" t="s">
        <v>2397</v>
      </c>
      <c r="G1406" s="73"/>
      <c r="H1406" s="76"/>
      <c r="I1406" s="76"/>
      <c r="J1406" s="76"/>
      <c r="K1406" s="76"/>
      <c r="L1406" s="76"/>
      <c r="M1406" s="76"/>
      <c r="N1406" s="76"/>
      <c r="O1406" s="76"/>
      <c r="P1406" s="76"/>
      <c r="Q1406" s="76"/>
      <c r="R1406" s="76"/>
      <c r="S1406" s="76"/>
      <c r="T1406" s="76"/>
      <c r="U1406" s="76"/>
      <c r="V1406" s="76"/>
      <c r="W1406" s="76"/>
      <c r="X1406" s="76"/>
      <c r="Y1406" s="76"/>
      <c r="Z1406" s="76"/>
      <c r="AA1406" s="76"/>
      <c r="AB1406" s="76"/>
      <c r="AC1406" s="76"/>
      <c r="AD1406" s="76"/>
      <c r="AE1406" s="76"/>
      <c r="AF1406" s="76"/>
      <c r="AG1406" s="76"/>
      <c r="AH1406" s="76"/>
      <c r="AI1406" s="76">
        <v>1</v>
      </c>
      <c r="AJ1406" s="76">
        <v>1</v>
      </c>
      <c r="AK1406" s="73"/>
      <c r="AL1406" s="57"/>
      <c r="AM1406" s="45"/>
      <c r="AN1406" s="45"/>
      <c r="AO1406" s="45"/>
    </row>
    <row r="1407" spans="1:41" hidden="1" outlineLevel="3" x14ac:dyDescent="0.25">
      <c r="A1407" s="45"/>
      <c r="B1407" s="54"/>
      <c r="C1407" s="47"/>
      <c r="D1407" s="73"/>
      <c r="E1407" s="70"/>
      <c r="F1407" s="70" t="s">
        <v>2398</v>
      </c>
      <c r="G1407" s="73"/>
      <c r="H1407" s="76"/>
      <c r="I1407" s="76"/>
      <c r="J1407" s="76"/>
      <c r="K1407" s="76"/>
      <c r="L1407" s="76"/>
      <c r="M1407" s="76"/>
      <c r="N1407" s="76"/>
      <c r="O1407" s="76"/>
      <c r="P1407" s="76"/>
      <c r="Q1407" s="76"/>
      <c r="R1407" s="76"/>
      <c r="S1407" s="76"/>
      <c r="T1407" s="76"/>
      <c r="U1407" s="76"/>
      <c r="V1407" s="76"/>
      <c r="W1407" s="76"/>
      <c r="X1407" s="76"/>
      <c r="Y1407" s="76"/>
      <c r="Z1407" s="76"/>
      <c r="AA1407" s="76"/>
      <c r="AB1407" s="76"/>
      <c r="AC1407" s="76"/>
      <c r="AD1407" s="76"/>
      <c r="AE1407" s="76"/>
      <c r="AF1407" s="76"/>
      <c r="AG1407" s="76"/>
      <c r="AH1407" s="76"/>
      <c r="AI1407" s="76">
        <v>1</v>
      </c>
      <c r="AJ1407" s="76">
        <v>1</v>
      </c>
      <c r="AK1407" s="73"/>
      <c r="AL1407" s="57"/>
      <c r="AM1407" s="45"/>
      <c r="AN1407" s="45"/>
      <c r="AO1407" s="45"/>
    </row>
    <row r="1408" spans="1:41" hidden="1" outlineLevel="3" x14ac:dyDescent="0.25">
      <c r="A1408" s="45"/>
      <c r="B1408" s="54"/>
      <c r="C1408" s="47"/>
      <c r="D1408" s="73"/>
      <c r="E1408" s="70"/>
      <c r="F1408" s="70" t="s">
        <v>2399</v>
      </c>
      <c r="G1408" s="73"/>
      <c r="H1408" s="76"/>
      <c r="I1408" s="76"/>
      <c r="J1408" s="76"/>
      <c r="K1408" s="76"/>
      <c r="L1408" s="76"/>
      <c r="M1408" s="76"/>
      <c r="N1408" s="76"/>
      <c r="O1408" s="76"/>
      <c r="P1408" s="76"/>
      <c r="Q1408" s="76"/>
      <c r="R1408" s="76"/>
      <c r="S1408" s="76"/>
      <c r="T1408" s="76"/>
      <c r="U1408" s="76"/>
      <c r="V1408" s="76"/>
      <c r="W1408" s="76"/>
      <c r="X1408" s="76"/>
      <c r="Y1408" s="76"/>
      <c r="Z1408" s="76"/>
      <c r="AA1408" s="76"/>
      <c r="AB1408" s="76"/>
      <c r="AC1408" s="76"/>
      <c r="AD1408" s="76"/>
      <c r="AE1408" s="76"/>
      <c r="AF1408" s="76"/>
      <c r="AG1408" s="76"/>
      <c r="AH1408" s="76"/>
      <c r="AI1408" s="76">
        <v>1</v>
      </c>
      <c r="AJ1408" s="76">
        <v>1</v>
      </c>
      <c r="AK1408" s="73"/>
      <c r="AL1408" s="57"/>
      <c r="AM1408" s="45"/>
      <c r="AN1408" s="45"/>
      <c r="AO1408" s="45"/>
    </row>
    <row r="1409" spans="1:41" hidden="1" outlineLevel="3" x14ac:dyDescent="0.25">
      <c r="A1409" s="45"/>
      <c r="B1409" s="54"/>
      <c r="C1409" s="47">
        <f t="shared" ref="C1409:C1420" si="512">INT($C$29)+3</f>
        <v>4</v>
      </c>
      <c r="D1409" s="73"/>
      <c r="E1409" s="70"/>
      <c r="F1409" s="70" t="str">
        <f>SUBSTITUTE(F1405,",4)",",8)")</f>
        <v>C(U2,5,8)</v>
      </c>
      <c r="G1409" s="73"/>
      <c r="H1409" s="76"/>
      <c r="I1409" s="96"/>
      <c r="J1409" s="76"/>
      <c r="K1409" s="76"/>
      <c r="L1409" s="76"/>
      <c r="M1409" s="76"/>
      <c r="N1409" s="76"/>
      <c r="O1409" s="76"/>
      <c r="P1409" s="76"/>
      <c r="Q1409" s="76"/>
      <c r="R1409" s="76"/>
      <c r="S1409" s="76"/>
      <c r="T1409" s="76"/>
      <c r="U1409" s="76"/>
      <c r="V1409" s="76"/>
      <c r="W1409" s="76"/>
      <c r="X1409" s="76"/>
      <c r="Y1409" s="76"/>
      <c r="Z1409" s="76"/>
      <c r="AA1409" s="76"/>
      <c r="AB1409" s="76"/>
      <c r="AC1409" s="76"/>
      <c r="AD1409" s="76"/>
      <c r="AE1409" s="76"/>
      <c r="AF1409" s="76"/>
      <c r="AG1409" s="76"/>
      <c r="AH1409" s="76"/>
      <c r="AI1409" s="76">
        <v>1</v>
      </c>
      <c r="AJ1409" s="76">
        <v>1</v>
      </c>
      <c r="AK1409" s="73"/>
      <c r="AL1409" s="57"/>
      <c r="AM1409" s="45"/>
      <c r="AN1409" s="45"/>
      <c r="AO1409" s="45"/>
    </row>
    <row r="1410" spans="1:41" hidden="1" outlineLevel="3" x14ac:dyDescent="0.25">
      <c r="A1410" s="45"/>
      <c r="B1410" s="54"/>
      <c r="C1410" s="47">
        <f t="shared" si="512"/>
        <v>4</v>
      </c>
      <c r="D1410" s="73"/>
      <c r="E1410" s="70"/>
      <c r="F1410" s="70" t="str">
        <f>SUBSTITUTE(F1406,",5)",",9)")</f>
        <v>C(U2,5,9)</v>
      </c>
      <c r="G1410" s="73"/>
      <c r="H1410" s="76"/>
      <c r="I1410" s="96"/>
      <c r="J1410" s="76"/>
      <c r="K1410" s="76"/>
      <c r="L1410" s="76"/>
      <c r="M1410" s="76"/>
      <c r="N1410" s="76"/>
      <c r="O1410" s="76"/>
      <c r="P1410" s="76"/>
      <c r="Q1410" s="76"/>
      <c r="R1410" s="76"/>
      <c r="S1410" s="76"/>
      <c r="T1410" s="76"/>
      <c r="U1410" s="76"/>
      <c r="V1410" s="76"/>
      <c r="W1410" s="76"/>
      <c r="X1410" s="76"/>
      <c r="Y1410" s="76"/>
      <c r="Z1410" s="76"/>
      <c r="AA1410" s="76"/>
      <c r="AB1410" s="76"/>
      <c r="AC1410" s="76"/>
      <c r="AD1410" s="76"/>
      <c r="AE1410" s="76"/>
      <c r="AF1410" s="76"/>
      <c r="AG1410" s="76"/>
      <c r="AH1410" s="76"/>
      <c r="AI1410" s="76">
        <v>1</v>
      </c>
      <c r="AJ1410" s="76">
        <v>1</v>
      </c>
      <c r="AK1410" s="73"/>
      <c r="AL1410" s="57"/>
      <c r="AM1410" s="45"/>
      <c r="AN1410" s="45"/>
      <c r="AO1410" s="45"/>
    </row>
    <row r="1411" spans="1:41" hidden="1" outlineLevel="3" x14ac:dyDescent="0.25">
      <c r="A1411" s="45"/>
      <c r="B1411" s="54"/>
      <c r="C1411" s="47">
        <f t="shared" si="512"/>
        <v>4</v>
      </c>
      <c r="D1411" s="73"/>
      <c r="E1411" s="70"/>
      <c r="F1411" s="70" t="str">
        <f>SUBSTITUTE(F1407,",6)",",10)")</f>
        <v>C(U2,5,10)</v>
      </c>
      <c r="G1411" s="73"/>
      <c r="H1411" s="76"/>
      <c r="I1411" s="96"/>
      <c r="J1411" s="76"/>
      <c r="K1411" s="76"/>
      <c r="L1411" s="76"/>
      <c r="M1411" s="76"/>
      <c r="N1411" s="76"/>
      <c r="O1411" s="76"/>
      <c r="P1411" s="76"/>
      <c r="Q1411" s="76"/>
      <c r="R1411" s="76"/>
      <c r="S1411" s="76"/>
      <c r="T1411" s="76"/>
      <c r="U1411" s="76"/>
      <c r="V1411" s="76"/>
      <c r="W1411" s="76"/>
      <c r="X1411" s="76"/>
      <c r="Y1411" s="76"/>
      <c r="Z1411" s="76"/>
      <c r="AA1411" s="76"/>
      <c r="AB1411" s="76"/>
      <c r="AC1411" s="76"/>
      <c r="AD1411" s="76"/>
      <c r="AE1411" s="76"/>
      <c r="AF1411" s="76"/>
      <c r="AG1411" s="76"/>
      <c r="AH1411" s="76"/>
      <c r="AI1411" s="76">
        <v>1</v>
      </c>
      <c r="AJ1411" s="76">
        <v>1</v>
      </c>
      <c r="AK1411" s="73"/>
      <c r="AL1411" s="57"/>
      <c r="AM1411" s="45"/>
      <c r="AN1411" s="45"/>
      <c r="AO1411" s="45"/>
    </row>
    <row r="1412" spans="1:41" hidden="1" outlineLevel="3" x14ac:dyDescent="0.25">
      <c r="A1412" s="45"/>
      <c r="B1412" s="54"/>
      <c r="C1412" s="47">
        <f t="shared" si="512"/>
        <v>4</v>
      </c>
      <c r="D1412" s="73"/>
      <c r="E1412" s="70"/>
      <c r="F1412" s="70" t="str">
        <f>SUBSTITUTE(F1408,",7)",",11)")</f>
        <v>C(U2,5,11)</v>
      </c>
      <c r="G1412" s="73"/>
      <c r="H1412" s="76"/>
      <c r="I1412" s="96"/>
      <c r="J1412" s="76"/>
      <c r="K1412" s="76"/>
      <c r="L1412" s="76"/>
      <c r="M1412" s="76"/>
      <c r="N1412" s="76"/>
      <c r="O1412" s="76"/>
      <c r="P1412" s="76"/>
      <c r="Q1412" s="76"/>
      <c r="R1412" s="76"/>
      <c r="S1412" s="76"/>
      <c r="T1412" s="76"/>
      <c r="U1412" s="76"/>
      <c r="V1412" s="76"/>
      <c r="W1412" s="76"/>
      <c r="X1412" s="76"/>
      <c r="Y1412" s="76"/>
      <c r="Z1412" s="76"/>
      <c r="AA1412" s="76"/>
      <c r="AB1412" s="76"/>
      <c r="AC1412" s="76"/>
      <c r="AD1412" s="76"/>
      <c r="AE1412" s="76"/>
      <c r="AF1412" s="76"/>
      <c r="AG1412" s="76"/>
      <c r="AH1412" s="76"/>
      <c r="AI1412" s="76">
        <v>1</v>
      </c>
      <c r="AJ1412" s="76">
        <v>1</v>
      </c>
      <c r="AK1412" s="73"/>
      <c r="AL1412" s="57"/>
      <c r="AM1412" s="45"/>
      <c r="AN1412" s="45"/>
      <c r="AO1412" s="45"/>
    </row>
    <row r="1413" spans="1:41" hidden="1" outlineLevel="3" x14ac:dyDescent="0.25">
      <c r="A1413" s="45"/>
      <c r="B1413" s="54"/>
      <c r="C1413" s="47">
        <f t="shared" si="512"/>
        <v>4</v>
      </c>
      <c r="D1413" s="73"/>
      <c r="E1413" s="70"/>
      <c r="F1413" s="70" t="str">
        <f>SUBSTITUTE(F1407,",6)",",12)")</f>
        <v>C(U2,5,12)</v>
      </c>
      <c r="G1413" s="73"/>
      <c r="H1413" s="76"/>
      <c r="I1413" s="96"/>
      <c r="J1413" s="76"/>
      <c r="K1413" s="76"/>
      <c r="L1413" s="76"/>
      <c r="M1413" s="76"/>
      <c r="N1413" s="76"/>
      <c r="O1413" s="76"/>
      <c r="P1413" s="76"/>
      <c r="Q1413" s="76"/>
      <c r="R1413" s="76"/>
      <c r="S1413" s="76"/>
      <c r="T1413" s="76"/>
      <c r="U1413" s="76"/>
      <c r="V1413" s="76"/>
      <c r="W1413" s="76"/>
      <c r="X1413" s="76"/>
      <c r="Y1413" s="76"/>
      <c r="Z1413" s="76"/>
      <c r="AA1413" s="76"/>
      <c r="AB1413" s="76"/>
      <c r="AC1413" s="76"/>
      <c r="AD1413" s="76"/>
      <c r="AE1413" s="76"/>
      <c r="AF1413" s="76"/>
      <c r="AG1413" s="76"/>
      <c r="AH1413" s="76"/>
      <c r="AI1413" s="76">
        <v>1</v>
      </c>
      <c r="AJ1413" s="76">
        <v>1</v>
      </c>
      <c r="AK1413" s="73"/>
      <c r="AL1413" s="57"/>
      <c r="AM1413" s="45"/>
      <c r="AN1413" s="45"/>
      <c r="AO1413" s="45"/>
    </row>
    <row r="1414" spans="1:41" hidden="1" outlineLevel="3" x14ac:dyDescent="0.25">
      <c r="A1414" s="45"/>
      <c r="B1414" s="54"/>
      <c r="C1414" s="47">
        <f t="shared" si="512"/>
        <v>4</v>
      </c>
      <c r="D1414" s="73"/>
      <c r="E1414" s="70"/>
      <c r="F1414" s="70" t="str">
        <f>SUBSTITUTE(F1408,",7)",",13)")</f>
        <v>C(U2,5,13)</v>
      </c>
      <c r="G1414" s="73"/>
      <c r="H1414" s="76"/>
      <c r="I1414" s="96"/>
      <c r="J1414" s="76"/>
      <c r="K1414" s="76"/>
      <c r="L1414" s="76"/>
      <c r="M1414" s="76"/>
      <c r="N1414" s="76"/>
      <c r="O1414" s="76"/>
      <c r="P1414" s="76"/>
      <c r="Q1414" s="76"/>
      <c r="R1414" s="76"/>
      <c r="S1414" s="76"/>
      <c r="T1414" s="76"/>
      <c r="U1414" s="76"/>
      <c r="V1414" s="76"/>
      <c r="W1414" s="76"/>
      <c r="X1414" s="76"/>
      <c r="Y1414" s="76"/>
      <c r="Z1414" s="76"/>
      <c r="AA1414" s="76"/>
      <c r="AB1414" s="76"/>
      <c r="AC1414" s="76"/>
      <c r="AD1414" s="76"/>
      <c r="AE1414" s="76"/>
      <c r="AF1414" s="76"/>
      <c r="AG1414" s="76"/>
      <c r="AH1414" s="76"/>
      <c r="AI1414" s="76">
        <v>1</v>
      </c>
      <c r="AJ1414" s="76">
        <v>1</v>
      </c>
      <c r="AK1414" s="73"/>
      <c r="AL1414" s="57"/>
      <c r="AM1414" s="45"/>
      <c r="AN1414" s="45"/>
      <c r="AO1414" s="45"/>
    </row>
    <row r="1415" spans="1:41" hidden="1" outlineLevel="3" x14ac:dyDescent="0.25">
      <c r="A1415" s="45"/>
      <c r="B1415" s="54"/>
      <c r="C1415" s="47">
        <f t="shared" si="512"/>
        <v>4</v>
      </c>
      <c r="D1415" s="73"/>
      <c r="E1415" s="70"/>
      <c r="F1415" s="70" t="s">
        <v>1942</v>
      </c>
      <c r="G1415" s="73"/>
      <c r="H1415" s="76"/>
      <c r="I1415" s="76"/>
      <c r="J1415" s="76"/>
      <c r="K1415" s="76"/>
      <c r="L1415" s="76"/>
      <c r="M1415" s="76"/>
      <c r="N1415" s="76"/>
      <c r="O1415" s="76"/>
      <c r="P1415" s="76"/>
      <c r="Q1415" s="76"/>
      <c r="R1415" s="76"/>
      <c r="S1415" s="76"/>
      <c r="T1415" s="76"/>
      <c r="U1415" s="76"/>
      <c r="V1415" s="76"/>
      <c r="W1415" s="76"/>
      <c r="X1415" s="76"/>
      <c r="Y1415" s="76"/>
      <c r="Z1415" s="76"/>
      <c r="AA1415" s="76"/>
      <c r="AB1415" s="76"/>
      <c r="AC1415" s="76"/>
      <c r="AD1415" s="76"/>
      <c r="AE1415" s="76"/>
      <c r="AF1415" s="76"/>
      <c r="AG1415" s="76"/>
      <c r="AH1415" s="76"/>
      <c r="AI1415" s="76">
        <v>1</v>
      </c>
      <c r="AJ1415" s="76">
        <v>1</v>
      </c>
      <c r="AK1415" s="73"/>
      <c r="AL1415" s="57"/>
      <c r="AM1415" s="45"/>
      <c r="AN1415" s="45"/>
      <c r="AO1415" s="45"/>
    </row>
    <row r="1416" spans="1:41" hidden="1" outlineLevel="3" x14ac:dyDescent="0.25">
      <c r="A1416" s="45"/>
      <c r="B1416" s="54"/>
      <c r="C1416" s="47">
        <f t="shared" si="512"/>
        <v>4</v>
      </c>
      <c r="D1416" s="73"/>
      <c r="E1416" s="70"/>
      <c r="F1416" s="70" t="s">
        <v>1943</v>
      </c>
      <c r="G1416" s="73"/>
      <c r="H1416" s="76" t="s">
        <v>599</v>
      </c>
      <c r="I1416" s="76"/>
      <c r="J1416" s="76"/>
      <c r="K1416" s="76"/>
      <c r="L1416" s="76"/>
      <c r="M1416" s="76"/>
      <c r="N1416" s="76"/>
      <c r="O1416" s="76"/>
      <c r="P1416" s="76"/>
      <c r="Q1416" s="76"/>
      <c r="R1416" s="76"/>
      <c r="S1416" s="76"/>
      <c r="T1416" s="76"/>
      <c r="U1416" s="76"/>
      <c r="V1416" s="76"/>
      <c r="W1416" s="76"/>
      <c r="X1416" s="76"/>
      <c r="Y1416" s="76"/>
      <c r="Z1416" s="76"/>
      <c r="AA1416" s="76"/>
      <c r="AB1416" s="76"/>
      <c r="AC1416" s="76"/>
      <c r="AD1416" s="76"/>
      <c r="AE1416" s="76"/>
      <c r="AF1416" s="76"/>
      <c r="AG1416" s="76"/>
      <c r="AH1416" s="76"/>
      <c r="AI1416" s="76">
        <v>1</v>
      </c>
      <c r="AJ1416" s="76">
        <v>1</v>
      </c>
      <c r="AK1416" s="73"/>
      <c r="AL1416" s="57"/>
      <c r="AM1416" s="45"/>
      <c r="AN1416" s="45"/>
      <c r="AO1416" s="45"/>
    </row>
    <row r="1417" spans="1:41" hidden="1" outlineLevel="3" x14ac:dyDescent="0.25">
      <c r="A1417" s="45"/>
      <c r="B1417" s="54"/>
      <c r="C1417" s="47">
        <f t="shared" si="512"/>
        <v>4</v>
      </c>
      <c r="D1417" s="73"/>
      <c r="E1417" s="70"/>
      <c r="F1417" s="70" t="s">
        <v>1944</v>
      </c>
      <c r="G1417" s="73"/>
      <c r="H1417" s="76"/>
      <c r="I1417" s="76"/>
      <c r="J1417" s="76"/>
      <c r="K1417" s="76"/>
      <c r="L1417" s="76"/>
      <c r="M1417" s="76"/>
      <c r="N1417" s="76"/>
      <c r="O1417" s="76"/>
      <c r="P1417" s="76"/>
      <c r="Q1417" s="76"/>
      <c r="R1417" s="76"/>
      <c r="S1417" s="76"/>
      <c r="T1417" s="76"/>
      <c r="U1417" s="76"/>
      <c r="V1417" s="76"/>
      <c r="W1417" s="76"/>
      <c r="X1417" s="76"/>
      <c r="Y1417" s="76"/>
      <c r="Z1417" s="76"/>
      <c r="AA1417" s="76"/>
      <c r="AB1417" s="76"/>
      <c r="AC1417" s="76"/>
      <c r="AD1417" s="76"/>
      <c r="AE1417" s="76"/>
      <c r="AF1417" s="76"/>
      <c r="AG1417" s="76"/>
      <c r="AH1417" s="76"/>
      <c r="AI1417" s="76">
        <v>1</v>
      </c>
      <c r="AJ1417" s="76">
        <v>1</v>
      </c>
      <c r="AK1417" s="73"/>
      <c r="AL1417" s="57"/>
      <c r="AM1417" s="45"/>
      <c r="AN1417" s="45"/>
      <c r="AO1417" s="45"/>
    </row>
    <row r="1418" spans="1:41" hidden="1" outlineLevel="3" x14ac:dyDescent="0.25">
      <c r="A1418" s="45"/>
      <c r="B1418" s="54"/>
      <c r="C1418" s="47">
        <f t="shared" si="512"/>
        <v>4</v>
      </c>
      <c r="D1418" s="73"/>
      <c r="E1418" s="70"/>
      <c r="F1418" s="70" t="s">
        <v>1945</v>
      </c>
      <c r="G1418" s="73"/>
      <c r="H1418" s="76"/>
      <c r="I1418" s="76"/>
      <c r="J1418" s="76"/>
      <c r="K1418" s="76"/>
      <c r="L1418" s="76"/>
      <c r="M1418" s="76"/>
      <c r="N1418" s="76"/>
      <c r="O1418" s="76"/>
      <c r="P1418" s="76"/>
      <c r="Q1418" s="76"/>
      <c r="R1418" s="76"/>
      <c r="S1418" s="76"/>
      <c r="T1418" s="76"/>
      <c r="U1418" s="76"/>
      <c r="V1418" s="76"/>
      <c r="W1418" s="76"/>
      <c r="X1418" s="76"/>
      <c r="Y1418" s="76"/>
      <c r="Z1418" s="76"/>
      <c r="AA1418" s="76"/>
      <c r="AB1418" s="76"/>
      <c r="AC1418" s="76"/>
      <c r="AD1418" s="76"/>
      <c r="AE1418" s="76"/>
      <c r="AF1418" s="76"/>
      <c r="AG1418" s="76"/>
      <c r="AH1418" s="76"/>
      <c r="AI1418" s="76">
        <v>1</v>
      </c>
      <c r="AJ1418" s="76">
        <v>1</v>
      </c>
      <c r="AK1418" s="73"/>
      <c r="AL1418" s="57"/>
      <c r="AM1418" s="45"/>
      <c r="AN1418" s="45"/>
      <c r="AO1418" s="45"/>
    </row>
    <row r="1419" spans="1:41" hidden="1" outlineLevel="3" x14ac:dyDescent="0.25">
      <c r="A1419" s="45"/>
      <c r="B1419" s="54"/>
      <c r="C1419" s="47">
        <f t="shared" si="512"/>
        <v>4</v>
      </c>
      <c r="D1419" s="73"/>
      <c r="E1419" s="70"/>
      <c r="F1419" s="70" t="s">
        <v>1946</v>
      </c>
      <c r="G1419" s="73"/>
      <c r="H1419" s="76"/>
      <c r="I1419" s="76"/>
      <c r="J1419" s="76"/>
      <c r="K1419" s="76"/>
      <c r="L1419" s="76"/>
      <c r="M1419" s="76"/>
      <c r="N1419" s="76"/>
      <c r="O1419" s="76"/>
      <c r="P1419" s="76"/>
      <c r="Q1419" s="76"/>
      <c r="R1419" s="76"/>
      <c r="S1419" s="76"/>
      <c r="T1419" s="76"/>
      <c r="U1419" s="76"/>
      <c r="V1419" s="76"/>
      <c r="W1419" s="76"/>
      <c r="X1419" s="76"/>
      <c r="Y1419" s="76"/>
      <c r="Z1419" s="76"/>
      <c r="AA1419" s="76"/>
      <c r="AB1419" s="76"/>
      <c r="AC1419" s="76"/>
      <c r="AD1419" s="76"/>
      <c r="AE1419" s="76"/>
      <c r="AF1419" s="76"/>
      <c r="AG1419" s="76"/>
      <c r="AH1419" s="76"/>
      <c r="AI1419" s="76">
        <v>1</v>
      </c>
      <c r="AJ1419" s="76">
        <v>1</v>
      </c>
      <c r="AK1419" s="73"/>
      <c r="AL1419" s="57"/>
      <c r="AM1419" s="45"/>
      <c r="AN1419" s="45"/>
      <c r="AO1419" s="45"/>
    </row>
    <row r="1420" spans="1:41" hidden="1" outlineLevel="3" x14ac:dyDescent="0.25">
      <c r="A1420" s="45"/>
      <c r="B1420" s="54"/>
      <c r="C1420" s="47">
        <f t="shared" si="512"/>
        <v>4</v>
      </c>
      <c r="D1420" s="73"/>
      <c r="E1420" s="70"/>
      <c r="F1420" s="70" t="s">
        <v>1947</v>
      </c>
      <c r="G1420" s="73"/>
      <c r="H1420" s="76"/>
      <c r="I1420" s="76"/>
      <c r="J1420" s="76"/>
      <c r="K1420" s="76"/>
      <c r="L1420" s="76"/>
      <c r="M1420" s="76"/>
      <c r="N1420" s="76"/>
      <c r="O1420" s="76"/>
      <c r="P1420" s="76"/>
      <c r="Q1420" s="76"/>
      <c r="R1420" s="76"/>
      <c r="S1420" s="76"/>
      <c r="T1420" s="76"/>
      <c r="U1420" s="76"/>
      <c r="V1420" s="76"/>
      <c r="W1420" s="76"/>
      <c r="X1420" s="76"/>
      <c r="Y1420" s="76"/>
      <c r="Z1420" s="76"/>
      <c r="AA1420" s="76"/>
      <c r="AB1420" s="76"/>
      <c r="AC1420" s="76"/>
      <c r="AD1420" s="76"/>
      <c r="AE1420" s="76"/>
      <c r="AF1420" s="76"/>
      <c r="AG1420" s="76"/>
      <c r="AH1420" s="76"/>
      <c r="AI1420" s="76">
        <v>1</v>
      </c>
      <c r="AJ1420" s="76">
        <v>1</v>
      </c>
      <c r="AK1420" s="73"/>
      <c r="AL1420" s="57"/>
      <c r="AM1420" s="45"/>
      <c r="AN1420" s="45"/>
      <c r="AO1420" s="45"/>
    </row>
    <row r="1421" spans="1:41" hidden="1" outlineLevel="3" x14ac:dyDescent="0.25">
      <c r="A1421" s="45"/>
      <c r="B1421" s="54"/>
      <c r="C1421" s="47"/>
      <c r="D1421" s="73"/>
      <c r="E1421" s="70"/>
      <c r="F1421" s="70" t="s">
        <v>2400</v>
      </c>
      <c r="G1421" s="73"/>
      <c r="H1421" s="76"/>
      <c r="I1421" s="76"/>
      <c r="J1421" s="76"/>
      <c r="K1421" s="76"/>
      <c r="L1421" s="76"/>
      <c r="M1421" s="76"/>
      <c r="N1421" s="76"/>
      <c r="O1421" s="76"/>
      <c r="P1421" s="76"/>
      <c r="Q1421" s="76"/>
      <c r="R1421" s="76"/>
      <c r="S1421" s="76"/>
      <c r="T1421" s="76"/>
      <c r="U1421" s="76"/>
      <c r="V1421" s="76"/>
      <c r="W1421" s="76"/>
      <c r="X1421" s="76"/>
      <c r="Y1421" s="76"/>
      <c r="Z1421" s="76"/>
      <c r="AA1421" s="76"/>
      <c r="AB1421" s="76"/>
      <c r="AC1421" s="76"/>
      <c r="AD1421" s="76"/>
      <c r="AE1421" s="76"/>
      <c r="AF1421" s="76"/>
      <c r="AG1421" s="76"/>
      <c r="AH1421" s="76"/>
      <c r="AI1421" s="76">
        <v>1</v>
      </c>
      <c r="AJ1421" s="76">
        <v>1</v>
      </c>
      <c r="AK1421" s="73"/>
      <c r="AL1421" s="57"/>
      <c r="AM1421" s="45"/>
      <c r="AN1421" s="45"/>
      <c r="AO1421" s="45"/>
    </row>
    <row r="1422" spans="1:41" hidden="1" outlineLevel="3" x14ac:dyDescent="0.25">
      <c r="A1422" s="45"/>
      <c r="B1422" s="54"/>
      <c r="C1422" s="47"/>
      <c r="D1422" s="73"/>
      <c r="E1422" s="70"/>
      <c r="F1422" s="70" t="s">
        <v>2401</v>
      </c>
      <c r="G1422" s="73"/>
      <c r="H1422" s="76"/>
      <c r="I1422" s="76"/>
      <c r="J1422" s="76"/>
      <c r="K1422" s="76"/>
      <c r="L1422" s="76"/>
      <c r="M1422" s="76"/>
      <c r="N1422" s="76"/>
      <c r="O1422" s="76"/>
      <c r="P1422" s="76"/>
      <c r="Q1422" s="76"/>
      <c r="R1422" s="76"/>
      <c r="S1422" s="76"/>
      <c r="T1422" s="76"/>
      <c r="U1422" s="76"/>
      <c r="V1422" s="76"/>
      <c r="W1422" s="76"/>
      <c r="X1422" s="76"/>
      <c r="Y1422" s="76"/>
      <c r="Z1422" s="76"/>
      <c r="AA1422" s="76"/>
      <c r="AB1422" s="76"/>
      <c r="AC1422" s="76"/>
      <c r="AD1422" s="76"/>
      <c r="AE1422" s="76"/>
      <c r="AF1422" s="76"/>
      <c r="AG1422" s="76"/>
      <c r="AH1422" s="76"/>
      <c r="AI1422" s="76">
        <v>1</v>
      </c>
      <c r="AJ1422" s="76">
        <v>1</v>
      </c>
      <c r="AK1422" s="73"/>
      <c r="AL1422" s="57"/>
      <c r="AM1422" s="45"/>
      <c r="AN1422" s="45"/>
      <c r="AO1422" s="45"/>
    </row>
    <row r="1423" spans="1:41" hidden="1" outlineLevel="3" x14ac:dyDescent="0.25">
      <c r="A1423" s="45"/>
      <c r="B1423" s="54"/>
      <c r="C1423" s="47"/>
      <c r="D1423" s="73"/>
      <c r="E1423" s="70"/>
      <c r="F1423" s="70" t="s">
        <v>2402</v>
      </c>
      <c r="G1423" s="73"/>
      <c r="H1423" s="76"/>
      <c r="I1423" s="76"/>
      <c r="J1423" s="76"/>
      <c r="K1423" s="76"/>
      <c r="L1423" s="76"/>
      <c r="M1423" s="76"/>
      <c r="N1423" s="76"/>
      <c r="O1423" s="76"/>
      <c r="P1423" s="76"/>
      <c r="Q1423" s="76"/>
      <c r="R1423" s="76"/>
      <c r="S1423" s="76"/>
      <c r="T1423" s="76"/>
      <c r="U1423" s="76"/>
      <c r="V1423" s="76"/>
      <c r="W1423" s="76"/>
      <c r="X1423" s="76"/>
      <c r="Y1423" s="76"/>
      <c r="Z1423" s="76"/>
      <c r="AA1423" s="76"/>
      <c r="AB1423" s="76"/>
      <c r="AC1423" s="76"/>
      <c r="AD1423" s="76"/>
      <c r="AE1423" s="76"/>
      <c r="AF1423" s="76"/>
      <c r="AG1423" s="76"/>
      <c r="AH1423" s="76"/>
      <c r="AI1423" s="76">
        <v>1</v>
      </c>
      <c r="AJ1423" s="76">
        <v>1</v>
      </c>
      <c r="AK1423" s="73"/>
      <c r="AL1423" s="57"/>
      <c r="AM1423" s="45"/>
      <c r="AN1423" s="45"/>
      <c r="AO1423" s="45"/>
    </row>
    <row r="1424" spans="1:41" hidden="1" outlineLevel="3" x14ac:dyDescent="0.25">
      <c r="A1424" s="45"/>
      <c r="B1424" s="54"/>
      <c r="C1424" s="47">
        <f t="shared" ref="C1424:C1435" si="513">INT($C$29)+3</f>
        <v>4</v>
      </c>
      <c r="D1424" s="73"/>
      <c r="E1424" s="70"/>
      <c r="F1424" s="70" t="str">
        <f>SUBSTITUTE(F1420,",4)",",8)")</f>
        <v>C(U2,6,8)</v>
      </c>
      <c r="G1424" s="73"/>
      <c r="H1424" s="76"/>
      <c r="I1424" s="96"/>
      <c r="J1424" s="76"/>
      <c r="K1424" s="76"/>
      <c r="L1424" s="76"/>
      <c r="M1424" s="76"/>
      <c r="N1424" s="76"/>
      <c r="O1424" s="76"/>
      <c r="P1424" s="76"/>
      <c r="Q1424" s="76"/>
      <c r="R1424" s="76"/>
      <c r="S1424" s="76"/>
      <c r="T1424" s="76"/>
      <c r="U1424" s="76"/>
      <c r="V1424" s="76"/>
      <c r="W1424" s="76"/>
      <c r="X1424" s="76"/>
      <c r="Y1424" s="76"/>
      <c r="Z1424" s="76"/>
      <c r="AA1424" s="76"/>
      <c r="AB1424" s="76"/>
      <c r="AC1424" s="76"/>
      <c r="AD1424" s="76"/>
      <c r="AE1424" s="76"/>
      <c r="AF1424" s="76"/>
      <c r="AG1424" s="76"/>
      <c r="AH1424" s="76"/>
      <c r="AI1424" s="76">
        <v>1</v>
      </c>
      <c r="AJ1424" s="76">
        <v>1</v>
      </c>
      <c r="AK1424" s="73"/>
      <c r="AL1424" s="57"/>
      <c r="AM1424" s="45"/>
      <c r="AN1424" s="45"/>
      <c r="AO1424" s="45"/>
    </row>
    <row r="1425" spans="1:41" hidden="1" outlineLevel="3" x14ac:dyDescent="0.25">
      <c r="A1425" s="45"/>
      <c r="B1425" s="54"/>
      <c r="C1425" s="47">
        <f t="shared" si="513"/>
        <v>4</v>
      </c>
      <c r="D1425" s="73"/>
      <c r="E1425" s="70"/>
      <c r="F1425" s="70" t="str">
        <f>SUBSTITUTE(F1421,",5)",",9)")</f>
        <v>C(U2,6,9)</v>
      </c>
      <c r="G1425" s="73"/>
      <c r="H1425" s="76"/>
      <c r="I1425" s="96"/>
      <c r="J1425" s="76"/>
      <c r="K1425" s="76"/>
      <c r="L1425" s="76"/>
      <c r="M1425" s="76"/>
      <c r="N1425" s="76"/>
      <c r="O1425" s="76"/>
      <c r="P1425" s="76"/>
      <c r="Q1425" s="76"/>
      <c r="R1425" s="76"/>
      <c r="S1425" s="76"/>
      <c r="T1425" s="76"/>
      <c r="U1425" s="76"/>
      <c r="V1425" s="76"/>
      <c r="W1425" s="76"/>
      <c r="X1425" s="76"/>
      <c r="Y1425" s="76"/>
      <c r="Z1425" s="76"/>
      <c r="AA1425" s="76"/>
      <c r="AB1425" s="76"/>
      <c r="AC1425" s="76"/>
      <c r="AD1425" s="76"/>
      <c r="AE1425" s="76"/>
      <c r="AF1425" s="76"/>
      <c r="AG1425" s="76"/>
      <c r="AH1425" s="76"/>
      <c r="AI1425" s="76">
        <v>1</v>
      </c>
      <c r="AJ1425" s="76">
        <v>1</v>
      </c>
      <c r="AK1425" s="73"/>
      <c r="AL1425" s="57"/>
      <c r="AM1425" s="45"/>
      <c r="AN1425" s="45"/>
      <c r="AO1425" s="45"/>
    </row>
    <row r="1426" spans="1:41" hidden="1" outlineLevel="3" x14ac:dyDescent="0.25">
      <c r="A1426" s="45"/>
      <c r="B1426" s="54"/>
      <c r="C1426" s="47">
        <f t="shared" si="513"/>
        <v>4</v>
      </c>
      <c r="D1426" s="73"/>
      <c r="E1426" s="70"/>
      <c r="F1426" s="70" t="str">
        <f>SUBSTITUTE(F1422,",6)",",10)")</f>
        <v>C(U2,6,10)</v>
      </c>
      <c r="G1426" s="73"/>
      <c r="H1426" s="76"/>
      <c r="I1426" s="96"/>
      <c r="J1426" s="76"/>
      <c r="K1426" s="76"/>
      <c r="L1426" s="76"/>
      <c r="M1426" s="76"/>
      <c r="N1426" s="76"/>
      <c r="O1426" s="76"/>
      <c r="P1426" s="76"/>
      <c r="Q1426" s="76"/>
      <c r="R1426" s="76"/>
      <c r="S1426" s="76"/>
      <c r="T1426" s="76"/>
      <c r="U1426" s="76"/>
      <c r="V1426" s="76"/>
      <c r="W1426" s="76"/>
      <c r="X1426" s="76"/>
      <c r="Y1426" s="76"/>
      <c r="Z1426" s="76"/>
      <c r="AA1426" s="76"/>
      <c r="AB1426" s="76"/>
      <c r="AC1426" s="76"/>
      <c r="AD1426" s="76"/>
      <c r="AE1426" s="76"/>
      <c r="AF1426" s="76"/>
      <c r="AG1426" s="76"/>
      <c r="AH1426" s="76"/>
      <c r="AI1426" s="76">
        <v>1</v>
      </c>
      <c r="AJ1426" s="76">
        <v>1</v>
      </c>
      <c r="AK1426" s="73"/>
      <c r="AL1426" s="57"/>
      <c r="AM1426" s="45"/>
      <c r="AN1426" s="45"/>
      <c r="AO1426" s="45"/>
    </row>
    <row r="1427" spans="1:41" hidden="1" outlineLevel="3" x14ac:dyDescent="0.25">
      <c r="A1427" s="45"/>
      <c r="B1427" s="54"/>
      <c r="C1427" s="47">
        <f t="shared" si="513"/>
        <v>4</v>
      </c>
      <c r="D1427" s="73"/>
      <c r="E1427" s="70"/>
      <c r="F1427" s="70" t="str">
        <f>SUBSTITUTE(F1423,",7)",",11)")</f>
        <v>C(U2,6,11)</v>
      </c>
      <c r="G1427" s="73"/>
      <c r="H1427" s="76"/>
      <c r="I1427" s="96"/>
      <c r="J1427" s="76"/>
      <c r="K1427" s="76"/>
      <c r="L1427" s="76"/>
      <c r="M1427" s="76"/>
      <c r="N1427" s="76"/>
      <c r="O1427" s="76"/>
      <c r="P1427" s="76"/>
      <c r="Q1427" s="76"/>
      <c r="R1427" s="76"/>
      <c r="S1427" s="76"/>
      <c r="T1427" s="76"/>
      <c r="U1427" s="76"/>
      <c r="V1427" s="76"/>
      <c r="W1427" s="76"/>
      <c r="X1427" s="76"/>
      <c r="Y1427" s="76"/>
      <c r="Z1427" s="76"/>
      <c r="AA1427" s="76"/>
      <c r="AB1427" s="76"/>
      <c r="AC1427" s="76"/>
      <c r="AD1427" s="76"/>
      <c r="AE1427" s="76"/>
      <c r="AF1427" s="76"/>
      <c r="AG1427" s="76"/>
      <c r="AH1427" s="76"/>
      <c r="AI1427" s="76">
        <v>1</v>
      </c>
      <c r="AJ1427" s="76">
        <v>1</v>
      </c>
      <c r="AK1427" s="73"/>
      <c r="AL1427" s="57"/>
      <c r="AM1427" s="45"/>
      <c r="AN1427" s="45"/>
      <c r="AO1427" s="45"/>
    </row>
    <row r="1428" spans="1:41" hidden="1" outlineLevel="3" x14ac:dyDescent="0.25">
      <c r="A1428" s="45"/>
      <c r="B1428" s="54"/>
      <c r="C1428" s="47">
        <f t="shared" si="513"/>
        <v>4</v>
      </c>
      <c r="D1428" s="73"/>
      <c r="E1428" s="70"/>
      <c r="F1428" s="70" t="str">
        <f>SUBSTITUTE(F1422,",6)",",12)")</f>
        <v>C(U2,6,12)</v>
      </c>
      <c r="G1428" s="73"/>
      <c r="H1428" s="76"/>
      <c r="I1428" s="96"/>
      <c r="J1428" s="76"/>
      <c r="K1428" s="76"/>
      <c r="L1428" s="76"/>
      <c r="M1428" s="76"/>
      <c r="N1428" s="76"/>
      <c r="O1428" s="76"/>
      <c r="P1428" s="76"/>
      <c r="Q1428" s="76"/>
      <c r="R1428" s="76"/>
      <c r="S1428" s="76"/>
      <c r="T1428" s="76"/>
      <c r="U1428" s="76"/>
      <c r="V1428" s="76"/>
      <c r="W1428" s="76"/>
      <c r="X1428" s="76"/>
      <c r="Y1428" s="76"/>
      <c r="Z1428" s="76"/>
      <c r="AA1428" s="76"/>
      <c r="AB1428" s="76"/>
      <c r="AC1428" s="76"/>
      <c r="AD1428" s="76"/>
      <c r="AE1428" s="76"/>
      <c r="AF1428" s="76"/>
      <c r="AG1428" s="76"/>
      <c r="AH1428" s="76"/>
      <c r="AI1428" s="76">
        <v>1</v>
      </c>
      <c r="AJ1428" s="76">
        <v>1</v>
      </c>
      <c r="AK1428" s="73"/>
      <c r="AL1428" s="57"/>
      <c r="AM1428" s="45"/>
      <c r="AN1428" s="45"/>
      <c r="AO1428" s="45"/>
    </row>
    <row r="1429" spans="1:41" hidden="1" outlineLevel="3" x14ac:dyDescent="0.25">
      <c r="A1429" s="45"/>
      <c r="B1429" s="54"/>
      <c r="C1429" s="47">
        <f t="shared" si="513"/>
        <v>4</v>
      </c>
      <c r="D1429" s="73"/>
      <c r="E1429" s="70"/>
      <c r="F1429" s="70" t="str">
        <f>SUBSTITUTE(F1423,",7)",",13)")</f>
        <v>C(U2,6,13)</v>
      </c>
      <c r="G1429" s="73"/>
      <c r="H1429" s="76"/>
      <c r="I1429" s="96"/>
      <c r="J1429" s="76"/>
      <c r="K1429" s="76"/>
      <c r="L1429" s="76"/>
      <c r="M1429" s="76"/>
      <c r="N1429" s="76"/>
      <c r="O1429" s="76"/>
      <c r="P1429" s="76"/>
      <c r="Q1429" s="76"/>
      <c r="R1429" s="76"/>
      <c r="S1429" s="76"/>
      <c r="T1429" s="76"/>
      <c r="U1429" s="76"/>
      <c r="V1429" s="76"/>
      <c r="W1429" s="76"/>
      <c r="X1429" s="76"/>
      <c r="Y1429" s="76"/>
      <c r="Z1429" s="76"/>
      <c r="AA1429" s="76"/>
      <c r="AB1429" s="76"/>
      <c r="AC1429" s="76"/>
      <c r="AD1429" s="76"/>
      <c r="AE1429" s="76"/>
      <c r="AF1429" s="76"/>
      <c r="AG1429" s="76"/>
      <c r="AH1429" s="76"/>
      <c r="AI1429" s="76">
        <v>1</v>
      </c>
      <c r="AJ1429" s="76">
        <v>1</v>
      </c>
      <c r="AK1429" s="73"/>
      <c r="AL1429" s="57"/>
      <c r="AM1429" s="45"/>
      <c r="AN1429" s="45"/>
      <c r="AO1429" s="45"/>
    </row>
    <row r="1430" spans="1:41" hidden="1" outlineLevel="3" x14ac:dyDescent="0.25">
      <c r="A1430" s="45"/>
      <c r="B1430" s="54"/>
      <c r="C1430" s="47">
        <f t="shared" si="513"/>
        <v>4</v>
      </c>
      <c r="D1430" s="73"/>
      <c r="E1430" s="70"/>
      <c r="F1430" s="70" t="s">
        <v>1948</v>
      </c>
      <c r="G1430" s="73"/>
      <c r="H1430" s="76"/>
      <c r="I1430" s="76"/>
      <c r="J1430" s="76"/>
      <c r="K1430" s="76"/>
      <c r="L1430" s="76"/>
      <c r="M1430" s="76"/>
      <c r="N1430" s="76"/>
      <c r="O1430" s="76"/>
      <c r="P1430" s="76"/>
      <c r="Q1430" s="76"/>
      <c r="R1430" s="76"/>
      <c r="S1430" s="76"/>
      <c r="T1430" s="76"/>
      <c r="U1430" s="76"/>
      <c r="V1430" s="76"/>
      <c r="W1430" s="76"/>
      <c r="X1430" s="76"/>
      <c r="Y1430" s="76"/>
      <c r="Z1430" s="76"/>
      <c r="AA1430" s="76"/>
      <c r="AB1430" s="76"/>
      <c r="AC1430" s="76"/>
      <c r="AD1430" s="76"/>
      <c r="AE1430" s="76"/>
      <c r="AF1430" s="76"/>
      <c r="AG1430" s="76"/>
      <c r="AH1430" s="76"/>
      <c r="AI1430" s="76">
        <v>1</v>
      </c>
      <c r="AJ1430" s="76">
        <v>1</v>
      </c>
      <c r="AK1430" s="73"/>
      <c r="AL1430" s="57"/>
      <c r="AM1430" s="45"/>
      <c r="AN1430" s="45"/>
      <c r="AO1430" s="45"/>
    </row>
    <row r="1431" spans="1:41" hidden="1" outlineLevel="3" x14ac:dyDescent="0.25">
      <c r="A1431" s="45"/>
      <c r="B1431" s="54"/>
      <c r="C1431" s="47">
        <f t="shared" si="513"/>
        <v>4</v>
      </c>
      <c r="D1431" s="73"/>
      <c r="E1431" s="70"/>
      <c r="F1431" s="70" t="s">
        <v>1949</v>
      </c>
      <c r="G1431" s="73"/>
      <c r="H1431" s="76" t="s">
        <v>599</v>
      </c>
      <c r="I1431" s="76"/>
      <c r="J1431" s="76"/>
      <c r="K1431" s="76"/>
      <c r="L1431" s="76"/>
      <c r="M1431" s="76"/>
      <c r="N1431" s="76"/>
      <c r="O1431" s="76"/>
      <c r="P1431" s="76"/>
      <c r="Q1431" s="76"/>
      <c r="R1431" s="76"/>
      <c r="S1431" s="76"/>
      <c r="T1431" s="76"/>
      <c r="U1431" s="76"/>
      <c r="V1431" s="76"/>
      <c r="W1431" s="76"/>
      <c r="X1431" s="76"/>
      <c r="Y1431" s="76"/>
      <c r="Z1431" s="76"/>
      <c r="AA1431" s="76"/>
      <c r="AB1431" s="76"/>
      <c r="AC1431" s="76"/>
      <c r="AD1431" s="76"/>
      <c r="AE1431" s="76"/>
      <c r="AF1431" s="76"/>
      <c r="AG1431" s="76"/>
      <c r="AH1431" s="76"/>
      <c r="AI1431" s="76">
        <v>1</v>
      </c>
      <c r="AJ1431" s="76">
        <v>1</v>
      </c>
      <c r="AK1431" s="73"/>
      <c r="AL1431" s="57"/>
      <c r="AM1431" s="45"/>
      <c r="AN1431" s="45"/>
      <c r="AO1431" s="45"/>
    </row>
    <row r="1432" spans="1:41" hidden="1" outlineLevel="3" x14ac:dyDescent="0.25">
      <c r="A1432" s="45"/>
      <c r="B1432" s="54"/>
      <c r="C1432" s="47">
        <f t="shared" si="513"/>
        <v>4</v>
      </c>
      <c r="D1432" s="73"/>
      <c r="E1432" s="70"/>
      <c r="F1432" s="70" t="s">
        <v>1950</v>
      </c>
      <c r="G1432" s="73"/>
      <c r="H1432" s="76"/>
      <c r="I1432" s="76"/>
      <c r="J1432" s="76"/>
      <c r="K1432" s="76"/>
      <c r="L1432" s="76"/>
      <c r="M1432" s="76"/>
      <c r="N1432" s="76"/>
      <c r="O1432" s="76"/>
      <c r="P1432" s="76"/>
      <c r="Q1432" s="76"/>
      <c r="R1432" s="76"/>
      <c r="S1432" s="76"/>
      <c r="T1432" s="76"/>
      <c r="U1432" s="76"/>
      <c r="V1432" s="76"/>
      <c r="W1432" s="76"/>
      <c r="X1432" s="76"/>
      <c r="Y1432" s="76"/>
      <c r="Z1432" s="76"/>
      <c r="AA1432" s="76"/>
      <c r="AB1432" s="76"/>
      <c r="AC1432" s="76"/>
      <c r="AD1432" s="76"/>
      <c r="AE1432" s="76"/>
      <c r="AF1432" s="76"/>
      <c r="AG1432" s="76"/>
      <c r="AH1432" s="76"/>
      <c r="AI1432" s="76">
        <v>1</v>
      </c>
      <c r="AJ1432" s="76">
        <v>1</v>
      </c>
      <c r="AK1432" s="73"/>
      <c r="AL1432" s="57"/>
      <c r="AM1432" s="45"/>
      <c r="AN1432" s="45"/>
      <c r="AO1432" s="45"/>
    </row>
    <row r="1433" spans="1:41" hidden="1" outlineLevel="3" x14ac:dyDescent="0.25">
      <c r="A1433" s="45"/>
      <c r="B1433" s="54"/>
      <c r="C1433" s="47">
        <f t="shared" si="513"/>
        <v>4</v>
      </c>
      <c r="D1433" s="73"/>
      <c r="E1433" s="70"/>
      <c r="F1433" s="70" t="s">
        <v>1951</v>
      </c>
      <c r="G1433" s="73"/>
      <c r="H1433" s="76"/>
      <c r="I1433" s="76"/>
      <c r="J1433" s="76"/>
      <c r="K1433" s="76"/>
      <c r="L1433" s="76"/>
      <c r="M1433" s="76"/>
      <c r="N1433" s="76"/>
      <c r="O1433" s="76"/>
      <c r="P1433" s="76"/>
      <c r="Q1433" s="76"/>
      <c r="R1433" s="76"/>
      <c r="S1433" s="76"/>
      <c r="T1433" s="76"/>
      <c r="U1433" s="76"/>
      <c r="V1433" s="76"/>
      <c r="W1433" s="76"/>
      <c r="X1433" s="76"/>
      <c r="Y1433" s="76"/>
      <c r="Z1433" s="76"/>
      <c r="AA1433" s="76"/>
      <c r="AB1433" s="76"/>
      <c r="AC1433" s="76"/>
      <c r="AD1433" s="76"/>
      <c r="AE1433" s="76"/>
      <c r="AF1433" s="76"/>
      <c r="AG1433" s="76"/>
      <c r="AH1433" s="76"/>
      <c r="AI1433" s="76">
        <v>1</v>
      </c>
      <c r="AJ1433" s="76">
        <v>1</v>
      </c>
      <c r="AK1433" s="73"/>
      <c r="AL1433" s="57"/>
      <c r="AM1433" s="45"/>
      <c r="AN1433" s="45"/>
      <c r="AO1433" s="45"/>
    </row>
    <row r="1434" spans="1:41" hidden="1" outlineLevel="3" x14ac:dyDescent="0.25">
      <c r="A1434" s="45"/>
      <c r="B1434" s="54"/>
      <c r="C1434" s="47">
        <f t="shared" si="513"/>
        <v>4</v>
      </c>
      <c r="D1434" s="73"/>
      <c r="E1434" s="70"/>
      <c r="F1434" s="70" t="s">
        <v>1952</v>
      </c>
      <c r="G1434" s="73"/>
      <c r="H1434" s="76"/>
      <c r="I1434" s="76"/>
      <c r="J1434" s="76"/>
      <c r="K1434" s="76"/>
      <c r="L1434" s="76"/>
      <c r="M1434" s="76"/>
      <c r="N1434" s="76"/>
      <c r="O1434" s="76"/>
      <c r="P1434" s="76"/>
      <c r="Q1434" s="76"/>
      <c r="R1434" s="76"/>
      <c r="S1434" s="76"/>
      <c r="T1434" s="76"/>
      <c r="U1434" s="76"/>
      <c r="V1434" s="76"/>
      <c r="W1434" s="76"/>
      <c r="X1434" s="76"/>
      <c r="Y1434" s="76"/>
      <c r="Z1434" s="76"/>
      <c r="AA1434" s="76"/>
      <c r="AB1434" s="76"/>
      <c r="AC1434" s="76"/>
      <c r="AD1434" s="76"/>
      <c r="AE1434" s="76"/>
      <c r="AF1434" s="76"/>
      <c r="AG1434" s="76"/>
      <c r="AH1434" s="76"/>
      <c r="AI1434" s="76">
        <v>1</v>
      </c>
      <c r="AJ1434" s="76">
        <v>1</v>
      </c>
      <c r="AK1434" s="73"/>
      <c r="AL1434" s="57"/>
      <c r="AM1434" s="45"/>
      <c r="AN1434" s="45"/>
      <c r="AO1434" s="45"/>
    </row>
    <row r="1435" spans="1:41" hidden="1" outlineLevel="3" x14ac:dyDescent="0.25">
      <c r="A1435" s="45"/>
      <c r="B1435" s="54"/>
      <c r="C1435" s="47">
        <f t="shared" si="513"/>
        <v>4</v>
      </c>
      <c r="D1435" s="73"/>
      <c r="E1435" s="70"/>
      <c r="F1435" s="70" t="s">
        <v>1953</v>
      </c>
      <c r="G1435" s="73"/>
      <c r="H1435" s="76"/>
      <c r="I1435" s="76"/>
      <c r="J1435" s="76"/>
      <c r="K1435" s="76"/>
      <c r="L1435" s="76"/>
      <c r="M1435" s="76"/>
      <c r="N1435" s="76"/>
      <c r="O1435" s="76"/>
      <c r="P1435" s="76"/>
      <c r="Q1435" s="76"/>
      <c r="R1435" s="76"/>
      <c r="S1435" s="76"/>
      <c r="T1435" s="76"/>
      <c r="U1435" s="76"/>
      <c r="V1435" s="76"/>
      <c r="W1435" s="76"/>
      <c r="X1435" s="76"/>
      <c r="Y1435" s="76"/>
      <c r="Z1435" s="76"/>
      <c r="AA1435" s="76"/>
      <c r="AB1435" s="76"/>
      <c r="AC1435" s="76"/>
      <c r="AD1435" s="76"/>
      <c r="AE1435" s="76"/>
      <c r="AF1435" s="76"/>
      <c r="AG1435" s="76"/>
      <c r="AH1435" s="76"/>
      <c r="AI1435" s="76">
        <v>1</v>
      </c>
      <c r="AJ1435" s="76">
        <v>1</v>
      </c>
      <c r="AK1435" s="73"/>
      <c r="AL1435" s="57"/>
      <c r="AM1435" s="45"/>
      <c r="AN1435" s="45"/>
      <c r="AO1435" s="45"/>
    </row>
    <row r="1436" spans="1:41" hidden="1" outlineLevel="3" x14ac:dyDescent="0.25">
      <c r="A1436" s="45"/>
      <c r="B1436" s="54"/>
      <c r="C1436" s="47"/>
      <c r="D1436" s="73"/>
      <c r="E1436" s="70"/>
      <c r="F1436" s="70" t="s">
        <v>2403</v>
      </c>
      <c r="G1436" s="73"/>
      <c r="H1436" s="76"/>
      <c r="I1436" s="76"/>
      <c r="J1436" s="76"/>
      <c r="K1436" s="76"/>
      <c r="L1436" s="76"/>
      <c r="M1436" s="76"/>
      <c r="N1436" s="76"/>
      <c r="O1436" s="76"/>
      <c r="P1436" s="76"/>
      <c r="Q1436" s="76"/>
      <c r="R1436" s="76"/>
      <c r="S1436" s="76"/>
      <c r="T1436" s="76"/>
      <c r="U1436" s="76"/>
      <c r="V1436" s="76"/>
      <c r="W1436" s="76"/>
      <c r="X1436" s="76"/>
      <c r="Y1436" s="76"/>
      <c r="Z1436" s="76"/>
      <c r="AA1436" s="76"/>
      <c r="AB1436" s="76"/>
      <c r="AC1436" s="76"/>
      <c r="AD1436" s="76"/>
      <c r="AE1436" s="76"/>
      <c r="AF1436" s="76"/>
      <c r="AG1436" s="76"/>
      <c r="AH1436" s="76"/>
      <c r="AI1436" s="76">
        <v>1</v>
      </c>
      <c r="AJ1436" s="76">
        <v>1</v>
      </c>
      <c r="AK1436" s="73"/>
      <c r="AL1436" s="57"/>
      <c r="AM1436" s="45"/>
      <c r="AN1436" s="45"/>
      <c r="AO1436" s="45"/>
    </row>
    <row r="1437" spans="1:41" hidden="1" outlineLevel="3" x14ac:dyDescent="0.25">
      <c r="A1437" s="45"/>
      <c r="B1437" s="54"/>
      <c r="C1437" s="47"/>
      <c r="D1437" s="73"/>
      <c r="E1437" s="70"/>
      <c r="F1437" s="70" t="s">
        <v>2404</v>
      </c>
      <c r="G1437" s="73"/>
      <c r="H1437" s="76"/>
      <c r="I1437" s="76"/>
      <c r="J1437" s="76"/>
      <c r="K1437" s="76"/>
      <c r="L1437" s="76"/>
      <c r="M1437" s="76"/>
      <c r="N1437" s="76"/>
      <c r="O1437" s="76"/>
      <c r="P1437" s="76"/>
      <c r="Q1437" s="76"/>
      <c r="R1437" s="76"/>
      <c r="S1437" s="76"/>
      <c r="T1437" s="76"/>
      <c r="U1437" s="76"/>
      <c r="V1437" s="76"/>
      <c r="W1437" s="76"/>
      <c r="X1437" s="76"/>
      <c r="Y1437" s="76"/>
      <c r="Z1437" s="76"/>
      <c r="AA1437" s="76"/>
      <c r="AB1437" s="76"/>
      <c r="AC1437" s="76"/>
      <c r="AD1437" s="76"/>
      <c r="AE1437" s="76"/>
      <c r="AF1437" s="76"/>
      <c r="AG1437" s="76"/>
      <c r="AH1437" s="76"/>
      <c r="AI1437" s="76">
        <v>1</v>
      </c>
      <c r="AJ1437" s="76">
        <v>1</v>
      </c>
      <c r="AK1437" s="73"/>
      <c r="AL1437" s="57"/>
      <c r="AM1437" s="45"/>
      <c r="AN1437" s="45"/>
      <c r="AO1437" s="45"/>
    </row>
    <row r="1438" spans="1:41" hidden="1" outlineLevel="3" x14ac:dyDescent="0.25">
      <c r="A1438" s="45"/>
      <c r="B1438" s="54"/>
      <c r="C1438" s="47"/>
      <c r="D1438" s="73"/>
      <c r="E1438" s="70"/>
      <c r="F1438" s="70" t="s">
        <v>2405</v>
      </c>
      <c r="G1438" s="73"/>
      <c r="H1438" s="76"/>
      <c r="I1438" s="76"/>
      <c r="J1438" s="76"/>
      <c r="K1438" s="76"/>
      <c r="L1438" s="76"/>
      <c r="M1438" s="76"/>
      <c r="N1438" s="76"/>
      <c r="O1438" s="76"/>
      <c r="P1438" s="76"/>
      <c r="Q1438" s="76"/>
      <c r="R1438" s="76"/>
      <c r="S1438" s="76"/>
      <c r="T1438" s="76"/>
      <c r="U1438" s="76"/>
      <c r="V1438" s="76"/>
      <c r="W1438" s="76"/>
      <c r="X1438" s="76"/>
      <c r="Y1438" s="76"/>
      <c r="Z1438" s="76"/>
      <c r="AA1438" s="76"/>
      <c r="AB1438" s="76"/>
      <c r="AC1438" s="76"/>
      <c r="AD1438" s="76"/>
      <c r="AE1438" s="76"/>
      <c r="AF1438" s="76"/>
      <c r="AG1438" s="76"/>
      <c r="AH1438" s="76"/>
      <c r="AI1438" s="76">
        <v>1</v>
      </c>
      <c r="AJ1438" s="76">
        <v>1</v>
      </c>
      <c r="AK1438" s="73"/>
      <c r="AL1438" s="57"/>
      <c r="AM1438" s="45"/>
      <c r="AN1438" s="45"/>
      <c r="AO1438" s="45"/>
    </row>
    <row r="1439" spans="1:41" hidden="1" outlineLevel="3" x14ac:dyDescent="0.25">
      <c r="A1439" s="45"/>
      <c r="B1439" s="54"/>
      <c r="C1439" s="47">
        <f>INT($C$29)+3</f>
        <v>4</v>
      </c>
      <c r="D1439" s="73"/>
      <c r="E1439" s="70"/>
      <c r="F1439" s="70" t="str">
        <f>SUBSTITUTE(F1435,",4)",",8)")</f>
        <v>C(U2,7,8)</v>
      </c>
      <c r="G1439" s="73"/>
      <c r="H1439" s="76"/>
      <c r="I1439" s="96"/>
      <c r="J1439" s="76"/>
      <c r="K1439" s="76"/>
      <c r="L1439" s="76"/>
      <c r="M1439" s="76"/>
      <c r="N1439" s="76"/>
      <c r="O1439" s="76"/>
      <c r="P1439" s="76"/>
      <c r="Q1439" s="76"/>
      <c r="R1439" s="76"/>
      <c r="S1439" s="76"/>
      <c r="T1439" s="76"/>
      <c r="U1439" s="76"/>
      <c r="V1439" s="76"/>
      <c r="W1439" s="76"/>
      <c r="X1439" s="76"/>
      <c r="Y1439" s="76"/>
      <c r="Z1439" s="76"/>
      <c r="AA1439" s="76"/>
      <c r="AB1439" s="76"/>
      <c r="AC1439" s="76"/>
      <c r="AD1439" s="76"/>
      <c r="AE1439" s="76"/>
      <c r="AF1439" s="76"/>
      <c r="AG1439" s="76"/>
      <c r="AH1439" s="76"/>
      <c r="AI1439" s="76">
        <v>1</v>
      </c>
      <c r="AJ1439" s="76">
        <v>1</v>
      </c>
      <c r="AK1439" s="73"/>
      <c r="AL1439" s="57"/>
      <c r="AM1439" s="45"/>
      <c r="AN1439" s="45"/>
      <c r="AO1439" s="45"/>
    </row>
    <row r="1440" spans="1:41" hidden="1" outlineLevel="3" x14ac:dyDescent="0.25">
      <c r="A1440" s="45"/>
      <c r="B1440" s="54"/>
      <c r="C1440" s="47">
        <f>INT($C$29)+3</f>
        <v>4</v>
      </c>
      <c r="D1440" s="73"/>
      <c r="E1440" s="70"/>
      <c r="F1440" s="70" t="str">
        <f>SUBSTITUTE(F1436,",5)",",9)")</f>
        <v>C(U2,7,9)</v>
      </c>
      <c r="G1440" s="73"/>
      <c r="H1440" s="76"/>
      <c r="I1440" s="96"/>
      <c r="J1440" s="76"/>
      <c r="K1440" s="76"/>
      <c r="L1440" s="76"/>
      <c r="M1440" s="76"/>
      <c r="N1440" s="76"/>
      <c r="O1440" s="76"/>
      <c r="P1440" s="76"/>
      <c r="Q1440" s="76"/>
      <c r="R1440" s="76"/>
      <c r="S1440" s="76"/>
      <c r="T1440" s="76"/>
      <c r="U1440" s="76"/>
      <c r="V1440" s="76"/>
      <c r="W1440" s="76"/>
      <c r="X1440" s="76"/>
      <c r="Y1440" s="76"/>
      <c r="Z1440" s="76"/>
      <c r="AA1440" s="76"/>
      <c r="AB1440" s="76"/>
      <c r="AC1440" s="76"/>
      <c r="AD1440" s="76"/>
      <c r="AE1440" s="76"/>
      <c r="AF1440" s="76"/>
      <c r="AG1440" s="76"/>
      <c r="AH1440" s="76"/>
      <c r="AI1440" s="76">
        <v>1</v>
      </c>
      <c r="AJ1440" s="76">
        <v>1</v>
      </c>
      <c r="AK1440" s="73"/>
      <c r="AL1440" s="57"/>
      <c r="AM1440" s="45"/>
      <c r="AN1440" s="45"/>
      <c r="AO1440" s="45"/>
    </row>
    <row r="1441" spans="1:41" hidden="1" outlineLevel="3" x14ac:dyDescent="0.25">
      <c r="A1441" s="45"/>
      <c r="B1441" s="54"/>
      <c r="C1441" s="47">
        <f>INT($C$29)+3</f>
        <v>4</v>
      </c>
      <c r="D1441" s="73"/>
      <c r="E1441" s="70"/>
      <c r="F1441" s="70" t="str">
        <f>SUBSTITUTE(F1437,",6)",",10)")</f>
        <v>C(U2,7,10)</v>
      </c>
      <c r="G1441" s="73"/>
      <c r="H1441" s="76"/>
      <c r="I1441" s="96"/>
      <c r="J1441" s="76"/>
      <c r="K1441" s="76"/>
      <c r="L1441" s="76"/>
      <c r="M1441" s="76"/>
      <c r="N1441" s="76"/>
      <c r="O1441" s="76"/>
      <c r="P1441" s="76"/>
      <c r="Q1441" s="76"/>
      <c r="R1441" s="76"/>
      <c r="S1441" s="76"/>
      <c r="T1441" s="76"/>
      <c r="U1441" s="76"/>
      <c r="V1441" s="76"/>
      <c r="W1441" s="76"/>
      <c r="X1441" s="76"/>
      <c r="Y1441" s="76"/>
      <c r="Z1441" s="76"/>
      <c r="AA1441" s="76"/>
      <c r="AB1441" s="76"/>
      <c r="AC1441" s="76"/>
      <c r="AD1441" s="76"/>
      <c r="AE1441" s="76"/>
      <c r="AF1441" s="76"/>
      <c r="AG1441" s="76"/>
      <c r="AH1441" s="76"/>
      <c r="AI1441" s="76">
        <v>1</v>
      </c>
      <c r="AJ1441" s="76">
        <v>1</v>
      </c>
      <c r="AK1441" s="73"/>
      <c r="AL1441" s="57"/>
      <c r="AM1441" s="45"/>
      <c r="AN1441" s="45"/>
      <c r="AO1441" s="45"/>
    </row>
    <row r="1442" spans="1:41" hidden="1" outlineLevel="3" x14ac:dyDescent="0.25">
      <c r="A1442" s="45"/>
      <c r="B1442" s="54"/>
      <c r="C1442" s="47">
        <f>INT($C$29)+3</f>
        <v>4</v>
      </c>
      <c r="D1442" s="73"/>
      <c r="E1442" s="70"/>
      <c r="F1442" s="70" t="str">
        <f>SUBSTITUTE(F1438,",7)",",11)")</f>
        <v>C(U2,7,11)</v>
      </c>
      <c r="G1442" s="73"/>
      <c r="H1442" s="76"/>
      <c r="I1442" s="96"/>
      <c r="J1442" s="76"/>
      <c r="K1442" s="76"/>
      <c r="L1442" s="76"/>
      <c r="M1442" s="76"/>
      <c r="N1442" s="76"/>
      <c r="O1442" s="76"/>
      <c r="P1442" s="76"/>
      <c r="Q1442" s="76"/>
      <c r="R1442" s="76"/>
      <c r="S1442" s="76"/>
      <c r="T1442" s="76"/>
      <c r="U1442" s="76"/>
      <c r="V1442" s="76"/>
      <c r="W1442" s="76"/>
      <c r="X1442" s="76"/>
      <c r="Y1442" s="76"/>
      <c r="Z1442" s="76"/>
      <c r="AA1442" s="76"/>
      <c r="AB1442" s="76"/>
      <c r="AC1442" s="76"/>
      <c r="AD1442" s="76"/>
      <c r="AE1442" s="76"/>
      <c r="AF1442" s="76"/>
      <c r="AG1442" s="76"/>
      <c r="AH1442" s="76"/>
      <c r="AI1442" s="76">
        <v>1</v>
      </c>
      <c r="AJ1442" s="76">
        <v>1</v>
      </c>
      <c r="AK1442" s="73"/>
      <c r="AL1442" s="57"/>
      <c r="AM1442" s="45"/>
      <c r="AN1442" s="45"/>
      <c r="AO1442" s="45"/>
    </row>
    <row r="1443" spans="1:41" hidden="1" outlineLevel="3" x14ac:dyDescent="0.25">
      <c r="A1443" s="45"/>
      <c r="B1443" s="54"/>
      <c r="C1443" s="47">
        <f t="shared" ref="C1443:C1444" si="514">INT($C$29)+3</f>
        <v>4</v>
      </c>
      <c r="D1443" s="73"/>
      <c r="E1443" s="70"/>
      <c r="F1443" s="70" t="str">
        <f>SUBSTITUTE(F1437,",6)",",12)")</f>
        <v>C(U2,7,12)</v>
      </c>
      <c r="G1443" s="73"/>
      <c r="H1443" s="76"/>
      <c r="I1443" s="96"/>
      <c r="J1443" s="76"/>
      <c r="K1443" s="76"/>
      <c r="L1443" s="76"/>
      <c r="M1443" s="76"/>
      <c r="N1443" s="76"/>
      <c r="O1443" s="76"/>
      <c r="P1443" s="76"/>
      <c r="Q1443" s="76"/>
      <c r="R1443" s="76"/>
      <c r="S1443" s="76"/>
      <c r="T1443" s="76"/>
      <c r="U1443" s="76"/>
      <c r="V1443" s="76"/>
      <c r="W1443" s="76"/>
      <c r="X1443" s="76"/>
      <c r="Y1443" s="76"/>
      <c r="Z1443" s="76"/>
      <c r="AA1443" s="76"/>
      <c r="AB1443" s="76"/>
      <c r="AC1443" s="76"/>
      <c r="AD1443" s="76"/>
      <c r="AE1443" s="76"/>
      <c r="AF1443" s="76"/>
      <c r="AG1443" s="76"/>
      <c r="AH1443" s="76"/>
      <c r="AI1443" s="76">
        <v>1</v>
      </c>
      <c r="AJ1443" s="76">
        <v>1</v>
      </c>
      <c r="AK1443" s="73"/>
      <c r="AL1443" s="57"/>
      <c r="AM1443" s="45"/>
      <c r="AN1443" s="45"/>
      <c r="AO1443" s="45"/>
    </row>
    <row r="1444" spans="1:41" hidden="1" outlineLevel="3" x14ac:dyDescent="0.25">
      <c r="A1444" s="45"/>
      <c r="B1444" s="54"/>
      <c r="C1444" s="47">
        <f t="shared" si="514"/>
        <v>4</v>
      </c>
      <c r="D1444" s="73"/>
      <c r="E1444" s="70"/>
      <c r="F1444" s="70" t="str">
        <f>SUBSTITUTE(F1438,",7)",",13)")</f>
        <v>C(U2,7,13)</v>
      </c>
      <c r="G1444" s="73"/>
      <c r="H1444" s="76"/>
      <c r="I1444" s="96"/>
      <c r="J1444" s="76"/>
      <c r="K1444" s="76"/>
      <c r="L1444" s="76"/>
      <c r="M1444" s="76"/>
      <c r="N1444" s="76"/>
      <c r="O1444" s="76"/>
      <c r="P1444" s="76"/>
      <c r="Q1444" s="76"/>
      <c r="R1444" s="76"/>
      <c r="S1444" s="76"/>
      <c r="T1444" s="76"/>
      <c r="U1444" s="76"/>
      <c r="V1444" s="76"/>
      <c r="W1444" s="76"/>
      <c r="X1444" s="76"/>
      <c r="Y1444" s="76"/>
      <c r="Z1444" s="76"/>
      <c r="AA1444" s="76"/>
      <c r="AB1444" s="76"/>
      <c r="AC1444" s="76"/>
      <c r="AD1444" s="76"/>
      <c r="AE1444" s="76"/>
      <c r="AF1444" s="76"/>
      <c r="AG1444" s="76"/>
      <c r="AH1444" s="76"/>
      <c r="AI1444" s="76">
        <v>1</v>
      </c>
      <c r="AJ1444" s="76">
        <v>1</v>
      </c>
      <c r="AK1444" s="73"/>
      <c r="AL1444" s="57"/>
      <c r="AM1444" s="45"/>
      <c r="AN1444" s="45"/>
      <c r="AO1444" s="45"/>
    </row>
    <row r="1445" spans="1:41" hidden="1" outlineLevel="3" x14ac:dyDescent="0.25">
      <c r="A1445" s="45"/>
      <c r="B1445" s="54"/>
      <c r="C1445" s="47">
        <f>INT($C$29)+3</f>
        <v>4</v>
      </c>
      <c r="D1445" s="73"/>
      <c r="E1445" s="398"/>
      <c r="F1445" s="398" t="s">
        <v>1954</v>
      </c>
      <c r="G1445" s="73"/>
      <c r="H1445" s="109"/>
      <c r="I1445" s="109"/>
      <c r="J1445" s="109"/>
      <c r="K1445" s="109"/>
      <c r="L1445" s="109"/>
      <c r="M1445" s="109"/>
      <c r="N1445" s="109"/>
      <c r="O1445" s="109"/>
      <c r="P1445" s="109"/>
      <c r="Q1445" s="109"/>
      <c r="R1445" s="109"/>
      <c r="S1445" s="109"/>
      <c r="T1445" s="109"/>
      <c r="U1445" s="109"/>
      <c r="V1445" s="109"/>
      <c r="W1445" s="109"/>
      <c r="X1445" s="109"/>
      <c r="Y1445" s="109"/>
      <c r="Z1445" s="109"/>
      <c r="AA1445" s="109"/>
      <c r="AB1445" s="109"/>
      <c r="AC1445" s="109"/>
      <c r="AD1445" s="109"/>
      <c r="AE1445" s="109"/>
      <c r="AF1445" s="109"/>
      <c r="AG1445" s="109"/>
      <c r="AH1445" s="109"/>
      <c r="AI1445" s="109">
        <v>1</v>
      </c>
      <c r="AJ1445" s="109">
        <v>1</v>
      </c>
      <c r="AK1445" s="73"/>
      <c r="AL1445" s="57"/>
      <c r="AM1445" s="45"/>
      <c r="AN1445" s="45"/>
      <c r="AO1445" s="45"/>
    </row>
    <row r="1446" spans="1:41" hidden="1" outlineLevel="2" x14ac:dyDescent="0.25">
      <c r="A1446" s="45"/>
      <c r="B1446" s="54"/>
      <c r="C1446" s="47">
        <f>INT($C$29)+2</f>
        <v>3</v>
      </c>
      <c r="D1446" s="73"/>
      <c r="E1446" s="402"/>
      <c r="F1446" s="402" t="s">
        <v>1955</v>
      </c>
      <c r="G1446" s="403"/>
      <c r="H1446" s="181" t="s">
        <v>1956</v>
      </c>
      <c r="I1446" s="181"/>
      <c r="J1446" s="181"/>
      <c r="K1446" s="181"/>
      <c r="L1446" s="181"/>
      <c r="M1446" s="181"/>
      <c r="N1446" s="181"/>
      <c r="O1446" s="181"/>
      <c r="P1446" s="181"/>
      <c r="Q1446" s="181"/>
      <c r="R1446" s="181"/>
      <c r="S1446" s="181"/>
      <c r="T1446" s="181"/>
      <c r="U1446" s="404">
        <v>3.157</v>
      </c>
      <c r="V1446" s="405">
        <f>U1446</f>
        <v>3.157</v>
      </c>
      <c r="W1446" s="405">
        <f t="shared" ref="W1446:X1448" si="515">U1446</f>
        <v>3.157</v>
      </c>
      <c r="X1446" s="405">
        <f t="shared" si="515"/>
        <v>3.157</v>
      </c>
      <c r="Y1446" s="405">
        <f t="shared" ref="Y1446:Y1448" si="516">W1446</f>
        <v>3.157</v>
      </c>
      <c r="Z1446" s="405">
        <f t="shared" ref="Z1446:Z1448" si="517">X1446</f>
        <v>3.157</v>
      </c>
      <c r="AA1446" s="405">
        <f t="shared" ref="AA1446:AA1448" si="518">Y1446</f>
        <v>3.157</v>
      </c>
      <c r="AB1446" s="404">
        <v>2.9750000000000001</v>
      </c>
      <c r="AC1446" s="405">
        <f t="shared" ref="AC1446:AD1448" si="519">AB1446</f>
        <v>2.9750000000000001</v>
      </c>
      <c r="AD1446" s="405">
        <f t="shared" si="519"/>
        <v>2.9750000000000001</v>
      </c>
      <c r="AE1446" s="405">
        <f>AD1446</f>
        <v>2.9750000000000001</v>
      </c>
      <c r="AF1446" s="181"/>
      <c r="AG1446" s="404" t="s">
        <v>2553</v>
      </c>
      <c r="AH1446" s="181"/>
      <c r="AI1446" s="404">
        <v>1</v>
      </c>
      <c r="AJ1446" s="404">
        <v>1</v>
      </c>
      <c r="AK1446" s="73"/>
      <c r="AL1446" s="57"/>
      <c r="AM1446" s="45"/>
      <c r="AN1446" s="45"/>
      <c r="AO1446" s="45"/>
    </row>
    <row r="1447" spans="1:41" hidden="1" outlineLevel="2" x14ac:dyDescent="0.25">
      <c r="A1447" s="45"/>
      <c r="B1447" s="54"/>
      <c r="C1447" s="47">
        <f>INT($C$29)+2</f>
        <v>3</v>
      </c>
      <c r="D1447" s="73"/>
      <c r="E1447" s="70"/>
      <c r="F1447" s="70" t="s">
        <v>1957</v>
      </c>
      <c r="G1447" s="234"/>
      <c r="H1447" s="76" t="s">
        <v>1958</v>
      </c>
      <c r="I1447" s="76"/>
      <c r="J1447" s="76"/>
      <c r="K1447" s="76"/>
      <c r="L1447" s="76"/>
      <c r="M1447" s="76"/>
      <c r="N1447" s="76"/>
      <c r="O1447" s="76"/>
      <c r="P1447" s="76"/>
      <c r="Q1447" s="76"/>
      <c r="R1447" s="76"/>
      <c r="S1447" s="76"/>
      <c r="T1447" s="76"/>
      <c r="U1447" s="97">
        <v>-0.28570000000000001</v>
      </c>
      <c r="V1447" s="255">
        <f>U1447</f>
        <v>-0.28570000000000001</v>
      </c>
      <c r="W1447" s="255">
        <f t="shared" si="515"/>
        <v>-0.28570000000000001</v>
      </c>
      <c r="X1447" s="255">
        <f t="shared" si="515"/>
        <v>-0.28570000000000001</v>
      </c>
      <c r="Y1447" s="255">
        <f t="shared" si="516"/>
        <v>-0.28570000000000001</v>
      </c>
      <c r="Z1447" s="255">
        <f t="shared" si="517"/>
        <v>-0.28570000000000001</v>
      </c>
      <c r="AA1447" s="255">
        <f t="shared" si="518"/>
        <v>-0.28570000000000001</v>
      </c>
      <c r="AB1447" s="97">
        <v>-0.23649999999999999</v>
      </c>
      <c r="AC1447" s="400">
        <f t="shared" si="519"/>
        <v>-0.23649999999999999</v>
      </c>
      <c r="AD1447" s="400">
        <f t="shared" si="519"/>
        <v>-0.23649999999999999</v>
      </c>
      <c r="AE1447" s="400">
        <f>AD1447</f>
        <v>-0.23649999999999999</v>
      </c>
      <c r="AF1447" s="76"/>
      <c r="AG1447" s="76"/>
      <c r="AH1447" s="76"/>
      <c r="AI1447" s="97">
        <v>1</v>
      </c>
      <c r="AJ1447" s="97">
        <v>1</v>
      </c>
      <c r="AK1447" s="73"/>
      <c r="AL1447" s="57"/>
      <c r="AM1447" s="45"/>
      <c r="AN1447" s="45"/>
      <c r="AO1447" s="45"/>
    </row>
    <row r="1448" spans="1:41" hidden="1" outlineLevel="2" collapsed="1" x14ac:dyDescent="0.25">
      <c r="A1448" s="45"/>
      <c r="B1448" s="54"/>
      <c r="C1448" s="47">
        <f>INT($C$29)+2</f>
        <v>3</v>
      </c>
      <c r="D1448" s="73"/>
      <c r="E1448" s="70"/>
      <c r="F1448" s="70" t="s">
        <v>1959</v>
      </c>
      <c r="G1448" s="234"/>
      <c r="H1448" s="76" t="s">
        <v>1960</v>
      </c>
      <c r="I1448" s="76"/>
      <c r="J1448" s="76"/>
      <c r="K1448" s="76"/>
      <c r="L1448" s="76"/>
      <c r="M1448" s="76"/>
      <c r="N1448" s="76"/>
      <c r="O1448" s="76"/>
      <c r="P1448" s="76"/>
      <c r="Q1448" s="76"/>
      <c r="R1448" s="76"/>
      <c r="S1448" s="76"/>
      <c r="T1448" s="76"/>
      <c r="U1448" s="97">
        <v>-7.9950000000000004E-3</v>
      </c>
      <c r="V1448" s="255">
        <f>U1448</f>
        <v>-7.9950000000000004E-3</v>
      </c>
      <c r="W1448" s="255">
        <f t="shared" si="515"/>
        <v>-7.9950000000000004E-3</v>
      </c>
      <c r="X1448" s="255">
        <f t="shared" si="515"/>
        <v>-7.9950000000000004E-3</v>
      </c>
      <c r="Y1448" s="255">
        <f t="shared" si="516"/>
        <v>-7.9950000000000004E-3</v>
      </c>
      <c r="Z1448" s="255">
        <f t="shared" si="517"/>
        <v>-7.9950000000000004E-3</v>
      </c>
      <c r="AA1448" s="255">
        <f t="shared" si="518"/>
        <v>-7.9950000000000004E-3</v>
      </c>
      <c r="AB1448" s="97">
        <v>-1.761E-3</v>
      </c>
      <c r="AC1448" s="400">
        <f t="shared" si="519"/>
        <v>-1.761E-3</v>
      </c>
      <c r="AD1448" s="400">
        <f t="shared" si="519"/>
        <v>-1.761E-3</v>
      </c>
      <c r="AE1448" s="400">
        <f>AD1448</f>
        <v>-1.761E-3</v>
      </c>
      <c r="AF1448" s="76"/>
      <c r="AG1448" s="76"/>
      <c r="AH1448" s="76"/>
      <c r="AI1448" s="97">
        <v>1</v>
      </c>
      <c r="AJ1448" s="97">
        <v>1</v>
      </c>
      <c r="AK1448" s="73"/>
      <c r="AL1448" s="57"/>
      <c r="AM1448" s="45"/>
      <c r="AN1448" s="45"/>
      <c r="AO1448" s="45"/>
    </row>
    <row r="1449" spans="1:41" hidden="1" outlineLevel="3" x14ac:dyDescent="0.25">
      <c r="A1449" s="45"/>
      <c r="B1449" s="54"/>
      <c r="C1449" s="47">
        <f>INT($C$29)+3</f>
        <v>4</v>
      </c>
      <c r="D1449" s="73"/>
      <c r="E1449" s="70"/>
      <c r="F1449" s="70" t="s">
        <v>1961</v>
      </c>
      <c r="G1449" s="234"/>
      <c r="H1449" s="76" t="s">
        <v>2458</v>
      </c>
      <c r="I1449" s="96"/>
      <c r="J1449" s="76"/>
      <c r="K1449" s="76"/>
      <c r="L1449" s="76"/>
      <c r="M1449" s="76"/>
      <c r="N1449" s="76"/>
      <c r="O1449" s="76"/>
      <c r="P1449" s="76"/>
      <c r="Q1449" s="76"/>
      <c r="R1449" s="76"/>
      <c r="S1449" s="76"/>
      <c r="T1449" s="76"/>
      <c r="U1449" s="76"/>
      <c r="V1449" s="76"/>
      <c r="W1449" s="76"/>
      <c r="X1449" s="76"/>
      <c r="Y1449" s="76"/>
      <c r="Z1449" s="76"/>
      <c r="AA1449" s="76"/>
      <c r="AB1449" s="76"/>
      <c r="AC1449" s="76"/>
      <c r="AD1449" s="76"/>
      <c r="AE1449" s="76"/>
      <c r="AF1449" s="76"/>
      <c r="AG1449" s="76"/>
      <c r="AH1449" s="76"/>
      <c r="AI1449" s="76">
        <v>1</v>
      </c>
      <c r="AJ1449" s="76">
        <v>1</v>
      </c>
      <c r="AK1449" s="73"/>
      <c r="AL1449" s="57"/>
      <c r="AM1449" s="45"/>
      <c r="AN1449" s="45"/>
      <c r="AO1449" s="45"/>
    </row>
    <row r="1450" spans="1:41" hidden="1" outlineLevel="2" x14ac:dyDescent="0.25">
      <c r="A1450" s="45"/>
      <c r="B1450" s="54"/>
      <c r="C1450" s="47">
        <f>INT($C$29)+2</f>
        <v>3</v>
      </c>
      <c r="D1450" s="73"/>
      <c r="E1450" s="70"/>
      <c r="F1450" s="70" t="s">
        <v>1963</v>
      </c>
      <c r="G1450" s="234"/>
      <c r="H1450" s="76" t="s">
        <v>1962</v>
      </c>
      <c r="I1450" s="76"/>
      <c r="J1450" s="76"/>
      <c r="K1450" s="76"/>
      <c r="L1450" s="76"/>
      <c r="M1450" s="76"/>
      <c r="N1450" s="76"/>
      <c r="O1450" s="76"/>
      <c r="P1450" s="76"/>
      <c r="Q1450" s="76"/>
      <c r="R1450" s="76"/>
      <c r="S1450" s="76"/>
      <c r="T1450" s="76"/>
      <c r="U1450" s="97">
        <f>0.001337*0</f>
        <v>0</v>
      </c>
      <c r="V1450" s="255">
        <f>U1450</f>
        <v>0</v>
      </c>
      <c r="W1450" s="255">
        <f t="shared" ref="W1450:Y1451" si="520">U1450</f>
        <v>0</v>
      </c>
      <c r="X1450" s="255">
        <f t="shared" si="520"/>
        <v>0</v>
      </c>
      <c r="Y1450" s="255">
        <f t="shared" si="520"/>
        <v>0</v>
      </c>
      <c r="Z1450" s="255">
        <f t="shared" ref="Z1450:AA1451" si="521">X1450</f>
        <v>0</v>
      </c>
      <c r="AA1450" s="255">
        <f t="shared" si="521"/>
        <v>0</v>
      </c>
      <c r="AB1450" s="97">
        <v>0</v>
      </c>
      <c r="AC1450" s="400">
        <f t="shared" ref="AC1450:AD1451" si="522">AB1450</f>
        <v>0</v>
      </c>
      <c r="AD1450" s="400">
        <f t="shared" si="522"/>
        <v>0</v>
      </c>
      <c r="AE1450" s="400">
        <f>AD1450</f>
        <v>0</v>
      </c>
      <c r="AF1450" s="76"/>
      <c r="AG1450" s="76"/>
      <c r="AH1450" s="76"/>
      <c r="AI1450" s="97">
        <v>1</v>
      </c>
      <c r="AJ1450" s="97">
        <v>1</v>
      </c>
      <c r="AK1450" s="73"/>
      <c r="AL1450" s="57"/>
      <c r="AM1450" s="45"/>
      <c r="AN1450" s="45"/>
      <c r="AO1450" s="45"/>
    </row>
    <row r="1451" spans="1:41" hidden="1" outlineLevel="2" collapsed="1" x14ac:dyDescent="0.25">
      <c r="A1451" s="45"/>
      <c r="B1451" s="54"/>
      <c r="C1451" s="47">
        <f>INT($C$29)+2</f>
        <v>3</v>
      </c>
      <c r="D1451" s="73"/>
      <c r="E1451" s="70"/>
      <c r="F1451" s="70" t="s">
        <v>2461</v>
      </c>
      <c r="G1451" s="234"/>
      <c r="H1451" s="76" t="s">
        <v>1964</v>
      </c>
      <c r="I1451" s="76"/>
      <c r="J1451" s="76"/>
      <c r="K1451" s="76"/>
      <c r="L1451" s="76"/>
      <c r="M1451" s="76"/>
      <c r="N1451" s="76"/>
      <c r="O1451" s="76"/>
      <c r="P1451" s="76"/>
      <c r="Q1451" s="76"/>
      <c r="R1451" s="76"/>
      <c r="S1451" s="76"/>
      <c r="T1451" s="76"/>
      <c r="U1451" s="97">
        <f>-0.000000272*0</f>
        <v>0</v>
      </c>
      <c r="V1451" s="255">
        <f>U1451</f>
        <v>0</v>
      </c>
      <c r="W1451" s="255">
        <f t="shared" si="520"/>
        <v>0</v>
      </c>
      <c r="X1451" s="255">
        <f t="shared" si="520"/>
        <v>0</v>
      </c>
      <c r="Y1451" s="255">
        <f t="shared" si="520"/>
        <v>0</v>
      </c>
      <c r="Z1451" s="255">
        <f t="shared" si="521"/>
        <v>0</v>
      </c>
      <c r="AA1451" s="255">
        <f t="shared" si="521"/>
        <v>0</v>
      </c>
      <c r="AB1451" s="97">
        <v>0</v>
      </c>
      <c r="AC1451" s="400">
        <f t="shared" si="522"/>
        <v>0</v>
      </c>
      <c r="AD1451" s="400">
        <f t="shared" si="522"/>
        <v>0</v>
      </c>
      <c r="AE1451" s="400">
        <f>AD1451</f>
        <v>0</v>
      </c>
      <c r="AF1451" s="76"/>
      <c r="AG1451" s="76"/>
      <c r="AH1451" s="76"/>
      <c r="AI1451" s="97">
        <v>1</v>
      </c>
      <c r="AJ1451" s="97">
        <v>1</v>
      </c>
      <c r="AK1451" s="73"/>
      <c r="AL1451" s="57"/>
      <c r="AM1451" s="45"/>
      <c r="AN1451" s="45"/>
      <c r="AO1451" s="45"/>
    </row>
    <row r="1452" spans="1:41" hidden="1" outlineLevel="3" x14ac:dyDescent="0.25">
      <c r="A1452" s="45"/>
      <c r="B1452" s="54"/>
      <c r="C1452" s="47">
        <f t="shared" ref="C1452:C1459" si="523">INT($C$29)+3</f>
        <v>4</v>
      </c>
      <c r="D1452" s="73"/>
      <c r="E1452" s="70"/>
      <c r="F1452" s="70" t="s">
        <v>2462</v>
      </c>
      <c r="G1452" s="234"/>
      <c r="H1452" s="76" t="s">
        <v>2459</v>
      </c>
      <c r="I1452" s="96"/>
      <c r="J1452" s="76"/>
      <c r="K1452" s="76"/>
      <c r="L1452" s="76"/>
      <c r="M1452" s="76"/>
      <c r="N1452" s="76"/>
      <c r="O1452" s="76"/>
      <c r="P1452" s="76"/>
      <c r="Q1452" s="76"/>
      <c r="R1452" s="76"/>
      <c r="S1452" s="76"/>
      <c r="T1452" s="76"/>
      <c r="U1452" s="76"/>
      <c r="V1452" s="76"/>
      <c r="W1452" s="76"/>
      <c r="X1452" s="76"/>
      <c r="Y1452" s="76"/>
      <c r="Z1452" s="76"/>
      <c r="AA1452" s="76"/>
      <c r="AB1452" s="76"/>
      <c r="AC1452" s="76"/>
      <c r="AD1452" s="76"/>
      <c r="AE1452" s="76"/>
      <c r="AF1452" s="76"/>
      <c r="AG1452" s="76"/>
      <c r="AH1452" s="76"/>
      <c r="AI1452" s="76">
        <v>1</v>
      </c>
      <c r="AJ1452" s="76">
        <v>1</v>
      </c>
      <c r="AK1452" s="73"/>
      <c r="AL1452" s="57"/>
      <c r="AM1452" s="45"/>
      <c r="AN1452" s="45"/>
      <c r="AO1452" s="45"/>
    </row>
    <row r="1453" spans="1:41" hidden="1" outlineLevel="3" x14ac:dyDescent="0.25">
      <c r="A1453" s="45"/>
      <c r="B1453" s="54"/>
      <c r="C1453" s="47">
        <f t="shared" si="523"/>
        <v>4</v>
      </c>
      <c r="D1453" s="73"/>
      <c r="E1453" s="70"/>
      <c r="F1453" s="70" t="s">
        <v>2463</v>
      </c>
      <c r="G1453" s="234"/>
      <c r="H1453" s="76" t="s">
        <v>2460</v>
      </c>
      <c r="I1453" s="96"/>
      <c r="J1453" s="76"/>
      <c r="K1453" s="76"/>
      <c r="L1453" s="76"/>
      <c r="M1453" s="76"/>
      <c r="N1453" s="76"/>
      <c r="O1453" s="76"/>
      <c r="P1453" s="76"/>
      <c r="Q1453" s="76"/>
      <c r="R1453" s="76"/>
      <c r="S1453" s="76"/>
      <c r="T1453" s="76"/>
      <c r="U1453" s="76"/>
      <c r="V1453" s="76"/>
      <c r="W1453" s="76"/>
      <c r="X1453" s="76"/>
      <c r="Y1453" s="76"/>
      <c r="Z1453" s="76"/>
      <c r="AA1453" s="76"/>
      <c r="AB1453" s="76"/>
      <c r="AC1453" s="76"/>
      <c r="AD1453" s="76"/>
      <c r="AE1453" s="76"/>
      <c r="AF1453" s="76"/>
      <c r="AG1453" s="76"/>
      <c r="AH1453" s="76"/>
      <c r="AI1453" s="76">
        <v>1</v>
      </c>
      <c r="AJ1453" s="76">
        <v>1</v>
      </c>
      <c r="AK1453" s="73"/>
      <c r="AL1453" s="57"/>
      <c r="AM1453" s="45"/>
      <c r="AN1453" s="45"/>
      <c r="AO1453" s="45"/>
    </row>
    <row r="1454" spans="1:41" hidden="1" outlineLevel="3" x14ac:dyDescent="0.25">
      <c r="A1454" s="45"/>
      <c r="B1454" s="54"/>
      <c r="C1454" s="47">
        <f t="shared" si="523"/>
        <v>4</v>
      </c>
      <c r="D1454" s="73"/>
      <c r="E1454" s="70"/>
      <c r="F1454" s="70" t="str">
        <f>SUBSTITUTE(F1450,",4)",",8)")</f>
        <v>C(U2,8,8)</v>
      </c>
      <c r="G1454" s="73"/>
      <c r="H1454" s="76" t="s">
        <v>2710</v>
      </c>
      <c r="I1454" s="96"/>
      <c r="J1454" s="76"/>
      <c r="K1454" s="76"/>
      <c r="L1454" s="76"/>
      <c r="M1454" s="76"/>
      <c r="N1454" s="76"/>
      <c r="O1454" s="76"/>
      <c r="P1454" s="76"/>
      <c r="Q1454" s="76"/>
      <c r="R1454" s="76"/>
      <c r="S1454" s="76"/>
      <c r="T1454" s="76"/>
      <c r="U1454" s="76"/>
      <c r="V1454" s="76"/>
      <c r="W1454" s="76"/>
      <c r="X1454" s="76"/>
      <c r="Y1454" s="76"/>
      <c r="Z1454" s="76"/>
      <c r="AA1454" s="76"/>
      <c r="AB1454" s="76"/>
      <c r="AC1454" s="76"/>
      <c r="AD1454" s="76"/>
      <c r="AE1454" s="76"/>
      <c r="AF1454" s="76"/>
      <c r="AG1454" s="76"/>
      <c r="AH1454" s="76"/>
      <c r="AI1454" s="76">
        <v>1</v>
      </c>
      <c r="AJ1454" s="76">
        <v>1</v>
      </c>
      <c r="AK1454" s="73"/>
      <c r="AL1454" s="57"/>
      <c r="AM1454" s="45"/>
      <c r="AN1454" s="45"/>
      <c r="AO1454" s="45"/>
    </row>
    <row r="1455" spans="1:41" hidden="1" outlineLevel="3" x14ac:dyDescent="0.25">
      <c r="A1455" s="45"/>
      <c r="B1455" s="54"/>
      <c r="C1455" s="47">
        <f t="shared" si="523"/>
        <v>4</v>
      </c>
      <c r="D1455" s="73"/>
      <c r="E1455" s="70"/>
      <c r="F1455" s="70" t="str">
        <f>SUBSTITUTE(F1451,",5)",",9)")</f>
        <v>C(U2,8,9)</v>
      </c>
      <c r="G1455" s="73"/>
      <c r="H1455" s="76" t="s">
        <v>2711</v>
      </c>
      <c r="I1455" s="96"/>
      <c r="J1455" s="76"/>
      <c r="K1455" s="76"/>
      <c r="L1455" s="76"/>
      <c r="M1455" s="76"/>
      <c r="N1455" s="76"/>
      <c r="O1455" s="76"/>
      <c r="P1455" s="76"/>
      <c r="Q1455" s="76"/>
      <c r="R1455" s="76"/>
      <c r="S1455" s="76"/>
      <c r="T1455" s="76"/>
      <c r="U1455" s="76"/>
      <c r="V1455" s="76"/>
      <c r="W1455" s="76"/>
      <c r="X1455" s="76"/>
      <c r="Y1455" s="76"/>
      <c r="Z1455" s="76"/>
      <c r="AA1455" s="76"/>
      <c r="AB1455" s="76"/>
      <c r="AC1455" s="76"/>
      <c r="AD1455" s="76"/>
      <c r="AE1455" s="76"/>
      <c r="AF1455" s="76"/>
      <c r="AG1455" s="76"/>
      <c r="AH1455" s="76"/>
      <c r="AI1455" s="76">
        <v>1</v>
      </c>
      <c r="AJ1455" s="76">
        <v>1</v>
      </c>
      <c r="AK1455" s="73"/>
      <c r="AL1455" s="57"/>
      <c r="AM1455" s="45"/>
      <c r="AN1455" s="45"/>
      <c r="AO1455" s="45"/>
    </row>
    <row r="1456" spans="1:41" hidden="1" outlineLevel="3" x14ac:dyDescent="0.25">
      <c r="A1456" s="45"/>
      <c r="B1456" s="54"/>
      <c r="C1456" s="47">
        <f t="shared" si="523"/>
        <v>4</v>
      </c>
      <c r="D1456" s="73"/>
      <c r="E1456" s="70"/>
      <c r="F1456" s="70" t="str">
        <f>SUBSTITUTE(F1452,",6)",",10)")</f>
        <v>C(U2,8,10)</v>
      </c>
      <c r="G1456" s="73"/>
      <c r="H1456" s="76" t="s">
        <v>2712</v>
      </c>
      <c r="I1456" s="96"/>
      <c r="J1456" s="76"/>
      <c r="K1456" s="76"/>
      <c r="L1456" s="76"/>
      <c r="M1456" s="76"/>
      <c r="N1456" s="76"/>
      <c r="O1456" s="76"/>
      <c r="P1456" s="76"/>
      <c r="Q1456" s="76"/>
      <c r="R1456" s="76"/>
      <c r="S1456" s="76"/>
      <c r="T1456" s="76"/>
      <c r="U1456" s="76"/>
      <c r="V1456" s="76"/>
      <c r="W1456" s="76"/>
      <c r="X1456" s="76"/>
      <c r="Y1456" s="76"/>
      <c r="Z1456" s="76"/>
      <c r="AA1456" s="76"/>
      <c r="AB1456" s="76"/>
      <c r="AC1456" s="76"/>
      <c r="AD1456" s="76"/>
      <c r="AE1456" s="76"/>
      <c r="AF1456" s="76"/>
      <c r="AG1456" s="76"/>
      <c r="AH1456" s="76"/>
      <c r="AI1456" s="76">
        <v>1</v>
      </c>
      <c r="AJ1456" s="76">
        <v>1</v>
      </c>
      <c r="AK1456" s="73"/>
      <c r="AL1456" s="57"/>
      <c r="AM1456" s="45"/>
      <c r="AN1456" s="45"/>
      <c r="AO1456" s="45"/>
    </row>
    <row r="1457" spans="1:41" hidden="1" outlineLevel="3" x14ac:dyDescent="0.25">
      <c r="A1457" s="45"/>
      <c r="B1457" s="54"/>
      <c r="C1457" s="47">
        <f t="shared" si="523"/>
        <v>4</v>
      </c>
      <c r="D1457" s="73"/>
      <c r="E1457" s="70"/>
      <c r="F1457" s="70" t="str">
        <f>SUBSTITUTE(F1453,",7)",",11)")</f>
        <v>C(U2,8,11)</v>
      </c>
      <c r="G1457" s="73"/>
      <c r="H1457" s="76" t="s">
        <v>2713</v>
      </c>
      <c r="I1457" s="96"/>
      <c r="J1457" s="76"/>
      <c r="K1457" s="76"/>
      <c r="L1457" s="76"/>
      <c r="M1457" s="76"/>
      <c r="N1457" s="76"/>
      <c r="O1457" s="76"/>
      <c r="P1457" s="76"/>
      <c r="Q1457" s="76"/>
      <c r="R1457" s="76"/>
      <c r="S1457" s="76"/>
      <c r="T1457" s="76"/>
      <c r="U1457" s="76"/>
      <c r="V1457" s="76"/>
      <c r="W1457" s="76"/>
      <c r="X1457" s="76"/>
      <c r="Y1457" s="76"/>
      <c r="Z1457" s="76"/>
      <c r="AA1457" s="76"/>
      <c r="AB1457" s="76"/>
      <c r="AC1457" s="76"/>
      <c r="AD1457" s="76"/>
      <c r="AE1457" s="76"/>
      <c r="AF1457" s="76"/>
      <c r="AG1457" s="76"/>
      <c r="AH1457" s="76"/>
      <c r="AI1457" s="76">
        <v>1</v>
      </c>
      <c r="AJ1457" s="76">
        <v>1</v>
      </c>
      <c r="AK1457" s="73"/>
      <c r="AL1457" s="57"/>
      <c r="AM1457" s="45"/>
      <c r="AN1457" s="45"/>
      <c r="AO1457" s="45"/>
    </row>
    <row r="1458" spans="1:41" hidden="1" outlineLevel="3" x14ac:dyDescent="0.25">
      <c r="A1458" s="45"/>
      <c r="B1458" s="54"/>
      <c r="C1458" s="47">
        <f t="shared" si="523"/>
        <v>4</v>
      </c>
      <c r="D1458" s="73"/>
      <c r="E1458" s="70"/>
      <c r="F1458" s="70" t="str">
        <f>SUBSTITUTE(F1452,",6)",",12)")</f>
        <v>C(U2,8,12)</v>
      </c>
      <c r="G1458" s="73"/>
      <c r="H1458" s="76"/>
      <c r="I1458" s="96"/>
      <c r="J1458" s="76"/>
      <c r="K1458" s="76"/>
      <c r="L1458" s="76"/>
      <c r="M1458" s="76"/>
      <c r="N1458" s="76"/>
      <c r="O1458" s="76"/>
      <c r="P1458" s="76"/>
      <c r="Q1458" s="76"/>
      <c r="R1458" s="76"/>
      <c r="S1458" s="76"/>
      <c r="T1458" s="76"/>
      <c r="U1458" s="76"/>
      <c r="V1458" s="76"/>
      <c r="W1458" s="76"/>
      <c r="X1458" s="76"/>
      <c r="Y1458" s="76"/>
      <c r="Z1458" s="76"/>
      <c r="AA1458" s="76"/>
      <c r="AB1458" s="76"/>
      <c r="AC1458" s="76"/>
      <c r="AD1458" s="76"/>
      <c r="AE1458" s="76"/>
      <c r="AF1458" s="76"/>
      <c r="AG1458" s="76"/>
      <c r="AH1458" s="76"/>
      <c r="AI1458" s="76">
        <v>1</v>
      </c>
      <c r="AJ1458" s="76">
        <v>1</v>
      </c>
      <c r="AK1458" s="73"/>
      <c r="AL1458" s="57"/>
      <c r="AM1458" s="45"/>
      <c r="AN1458" s="45"/>
      <c r="AO1458" s="45"/>
    </row>
    <row r="1459" spans="1:41" hidden="1" outlineLevel="3" x14ac:dyDescent="0.25">
      <c r="A1459" s="45"/>
      <c r="B1459" s="54"/>
      <c r="C1459" s="47">
        <f t="shared" si="523"/>
        <v>4</v>
      </c>
      <c r="D1459" s="73"/>
      <c r="E1459" s="70"/>
      <c r="F1459" s="70" t="str">
        <f>SUBSTITUTE(F1453,",7)",",13)")</f>
        <v>C(U2,8,13)</v>
      </c>
      <c r="G1459" s="73"/>
      <c r="H1459" s="76"/>
      <c r="I1459" s="96"/>
      <c r="J1459" s="76"/>
      <c r="K1459" s="76"/>
      <c r="L1459" s="76"/>
      <c r="M1459" s="76"/>
      <c r="N1459" s="76"/>
      <c r="O1459" s="76"/>
      <c r="P1459" s="76"/>
      <c r="Q1459" s="76"/>
      <c r="R1459" s="76"/>
      <c r="S1459" s="76"/>
      <c r="T1459" s="76"/>
      <c r="U1459" s="76"/>
      <c r="V1459" s="76"/>
      <c r="W1459" s="76"/>
      <c r="X1459" s="76"/>
      <c r="Y1459" s="76"/>
      <c r="Z1459" s="76"/>
      <c r="AA1459" s="76"/>
      <c r="AB1459" s="76"/>
      <c r="AC1459" s="76"/>
      <c r="AD1459" s="76"/>
      <c r="AE1459" s="76"/>
      <c r="AF1459" s="76"/>
      <c r="AG1459" s="76"/>
      <c r="AH1459" s="76"/>
      <c r="AI1459" s="76">
        <v>1</v>
      </c>
      <c r="AJ1459" s="76">
        <v>1</v>
      </c>
      <c r="AK1459" s="73"/>
      <c r="AL1459" s="57"/>
      <c r="AM1459" s="45"/>
      <c r="AN1459" s="45"/>
      <c r="AO1459" s="45"/>
    </row>
    <row r="1460" spans="1:41" hidden="1" outlineLevel="2" collapsed="1" x14ac:dyDescent="0.25">
      <c r="A1460" s="45"/>
      <c r="B1460" s="54"/>
      <c r="C1460" s="47">
        <f>INT($C$29)+2</f>
        <v>3</v>
      </c>
      <c r="D1460" s="73"/>
      <c r="E1460" s="406"/>
      <c r="F1460" s="406" t="s">
        <v>1965</v>
      </c>
      <c r="G1460" s="407"/>
      <c r="H1460" s="184" t="s">
        <v>2619</v>
      </c>
      <c r="I1460" s="184"/>
      <c r="J1460" s="184"/>
      <c r="K1460" s="184"/>
      <c r="L1460" s="184"/>
      <c r="M1460" s="184"/>
      <c r="N1460" s="184"/>
      <c r="O1460" s="184"/>
      <c r="P1460" s="184"/>
      <c r="Q1460" s="184"/>
      <c r="R1460" s="184"/>
      <c r="S1460" s="184"/>
      <c r="T1460" s="184" t="s">
        <v>3273</v>
      </c>
      <c r="U1460" s="409">
        <v>1.7397800000000001</v>
      </c>
      <c r="V1460" s="410">
        <f>U1460</f>
        <v>1.7397800000000001</v>
      </c>
      <c r="W1460" s="409">
        <f t="shared" ref="W1460:X1460" si="524">V1460</f>
        <v>1.7397800000000001</v>
      </c>
      <c r="X1460" s="409">
        <f t="shared" si="524"/>
        <v>1.7397800000000001</v>
      </c>
      <c r="Y1460" s="409">
        <f t="shared" ref="Y1460" si="525">X1460</f>
        <v>1.7397800000000001</v>
      </c>
      <c r="Z1460" s="409">
        <f t="shared" ref="Z1460:AA1460" si="526">Y1460</f>
        <v>1.7397800000000001</v>
      </c>
      <c r="AA1460" s="409">
        <f t="shared" si="526"/>
        <v>1.7397800000000001</v>
      </c>
      <c r="AB1460" s="409">
        <v>-4.3544999999999998</v>
      </c>
      <c r="AC1460" s="410">
        <f>AB1460</f>
        <v>-4.3544999999999998</v>
      </c>
      <c r="AD1460" s="410">
        <f>AC1460</f>
        <v>-4.3544999999999998</v>
      </c>
      <c r="AE1460" s="410">
        <f>AD1460</f>
        <v>-4.3544999999999998</v>
      </c>
      <c r="AF1460" s="184"/>
      <c r="AG1460" s="184"/>
      <c r="AH1460" s="184"/>
      <c r="AI1460" s="409">
        <v>1</v>
      </c>
      <c r="AJ1460" s="409">
        <v>1</v>
      </c>
      <c r="AK1460" s="73"/>
      <c r="AL1460" s="57"/>
      <c r="AM1460" s="45"/>
      <c r="AN1460" s="45"/>
      <c r="AO1460" s="45"/>
    </row>
    <row r="1461" spans="1:41" hidden="1" outlineLevel="3" x14ac:dyDescent="0.25">
      <c r="A1461" s="45"/>
      <c r="B1461" s="54"/>
      <c r="C1461" s="47">
        <f>INT($C$29)+3</f>
        <v>4</v>
      </c>
      <c r="D1461" s="73"/>
      <c r="E1461" s="399"/>
      <c r="F1461" s="399" t="s">
        <v>1966</v>
      </c>
      <c r="G1461" s="73"/>
      <c r="H1461" s="105" t="s">
        <v>599</v>
      </c>
      <c r="I1461" s="105"/>
      <c r="J1461" s="105"/>
      <c r="K1461" s="105"/>
      <c r="L1461" s="105"/>
      <c r="M1461" s="105"/>
      <c r="N1461" s="105"/>
      <c r="O1461" s="105"/>
      <c r="P1461" s="105"/>
      <c r="Q1461" s="105"/>
      <c r="R1461" s="105"/>
      <c r="S1461" s="105"/>
      <c r="T1461" s="105"/>
      <c r="U1461" s="105"/>
      <c r="V1461" s="105"/>
      <c r="W1461" s="105"/>
      <c r="X1461" s="105"/>
      <c r="Y1461" s="105"/>
      <c r="Z1461" s="105"/>
      <c r="AA1461" s="105"/>
      <c r="AB1461" s="105"/>
      <c r="AC1461" s="105"/>
      <c r="AD1461" s="105"/>
      <c r="AE1461" s="105"/>
      <c r="AF1461" s="105"/>
      <c r="AG1461" s="105"/>
      <c r="AH1461" s="105"/>
      <c r="AI1461" s="105">
        <v>1</v>
      </c>
      <c r="AJ1461" s="105">
        <v>1</v>
      </c>
      <c r="AK1461" s="73"/>
      <c r="AL1461" s="57"/>
      <c r="AM1461" s="45"/>
      <c r="AN1461" s="45"/>
      <c r="AO1461" s="45"/>
    </row>
    <row r="1462" spans="1:41" hidden="1" outlineLevel="3" x14ac:dyDescent="0.25">
      <c r="A1462" s="45"/>
      <c r="B1462" s="54"/>
      <c r="C1462" s="47">
        <f>INT($C$29)+3</f>
        <v>4</v>
      </c>
      <c r="D1462" s="73"/>
      <c r="E1462" s="70"/>
      <c r="F1462" s="70" t="s">
        <v>1967</v>
      </c>
      <c r="G1462" s="73"/>
      <c r="H1462" s="76"/>
      <c r="I1462" s="76"/>
      <c r="J1462" s="76"/>
      <c r="K1462" s="76"/>
      <c r="L1462" s="76"/>
      <c r="M1462" s="76"/>
      <c r="N1462" s="76"/>
      <c r="O1462" s="76"/>
      <c r="P1462" s="76"/>
      <c r="Q1462" s="76"/>
      <c r="R1462" s="76"/>
      <c r="S1462" s="76"/>
      <c r="T1462" s="76"/>
      <c r="U1462" s="76"/>
      <c r="V1462" s="76"/>
      <c r="W1462" s="76"/>
      <c r="X1462" s="76"/>
      <c r="Y1462" s="76"/>
      <c r="Z1462" s="76"/>
      <c r="AA1462" s="76"/>
      <c r="AB1462" s="76"/>
      <c r="AC1462" s="76"/>
      <c r="AD1462" s="76"/>
      <c r="AE1462" s="76"/>
      <c r="AF1462" s="76"/>
      <c r="AG1462" s="76"/>
      <c r="AH1462" s="76"/>
      <c r="AI1462" s="76">
        <v>1</v>
      </c>
      <c r="AJ1462" s="76">
        <v>1</v>
      </c>
      <c r="AK1462" s="73"/>
      <c r="AL1462" s="57"/>
      <c r="AM1462" s="45"/>
      <c r="AN1462" s="45"/>
      <c r="AO1462" s="45"/>
    </row>
    <row r="1463" spans="1:41" hidden="1" outlineLevel="3" x14ac:dyDescent="0.25">
      <c r="A1463" s="45"/>
      <c r="B1463" s="54"/>
      <c r="C1463" s="47">
        <f>INT($C$29)+3</f>
        <v>4</v>
      </c>
      <c r="D1463" s="73"/>
      <c r="E1463" s="70"/>
      <c r="F1463" s="70" t="s">
        <v>1968</v>
      </c>
      <c r="G1463" s="73"/>
      <c r="H1463" s="76"/>
      <c r="I1463" s="76"/>
      <c r="J1463" s="76"/>
      <c r="K1463" s="76"/>
      <c r="L1463" s="76"/>
      <c r="M1463" s="76"/>
      <c r="N1463" s="76"/>
      <c r="O1463" s="76"/>
      <c r="P1463" s="76"/>
      <c r="Q1463" s="76"/>
      <c r="R1463" s="76"/>
      <c r="S1463" s="76"/>
      <c r="T1463" s="76"/>
      <c r="U1463" s="76"/>
      <c r="V1463" s="76"/>
      <c r="W1463" s="76"/>
      <c r="X1463" s="76"/>
      <c r="Y1463" s="76"/>
      <c r="Z1463" s="76"/>
      <c r="AA1463" s="76"/>
      <c r="AB1463" s="76"/>
      <c r="AC1463" s="76"/>
      <c r="AD1463" s="76"/>
      <c r="AE1463" s="76"/>
      <c r="AF1463" s="76"/>
      <c r="AG1463" s="76"/>
      <c r="AH1463" s="76"/>
      <c r="AI1463" s="76">
        <v>1</v>
      </c>
      <c r="AJ1463" s="76">
        <v>1</v>
      </c>
      <c r="AK1463" s="73"/>
      <c r="AL1463" s="57"/>
      <c r="AM1463" s="45"/>
      <c r="AN1463" s="45"/>
      <c r="AO1463" s="45"/>
    </row>
    <row r="1464" spans="1:41" hidden="1" outlineLevel="3" x14ac:dyDescent="0.25">
      <c r="A1464" s="45"/>
      <c r="B1464" s="54"/>
      <c r="C1464" s="47">
        <f>INT($C$29)+3</f>
        <v>4</v>
      </c>
      <c r="D1464" s="73"/>
      <c r="E1464" s="70"/>
      <c r="F1464" s="70" t="s">
        <v>1969</v>
      </c>
      <c r="G1464" s="73"/>
      <c r="H1464" s="76"/>
      <c r="I1464" s="76"/>
      <c r="J1464" s="76"/>
      <c r="K1464" s="76"/>
      <c r="L1464" s="76"/>
      <c r="M1464" s="76"/>
      <c r="N1464" s="76"/>
      <c r="O1464" s="76"/>
      <c r="P1464" s="76"/>
      <c r="Q1464" s="76"/>
      <c r="R1464" s="76"/>
      <c r="S1464" s="76"/>
      <c r="T1464" s="76"/>
      <c r="U1464" s="76"/>
      <c r="V1464" s="76"/>
      <c r="W1464" s="76"/>
      <c r="X1464" s="76"/>
      <c r="Y1464" s="76"/>
      <c r="Z1464" s="76"/>
      <c r="AA1464" s="76"/>
      <c r="AB1464" s="76"/>
      <c r="AC1464" s="76"/>
      <c r="AD1464" s="76"/>
      <c r="AE1464" s="76"/>
      <c r="AF1464" s="76"/>
      <c r="AG1464" s="76"/>
      <c r="AH1464" s="76"/>
      <c r="AI1464" s="76">
        <v>1</v>
      </c>
      <c r="AJ1464" s="76">
        <v>1</v>
      </c>
      <c r="AK1464" s="73"/>
      <c r="AL1464" s="57"/>
      <c r="AM1464" s="45"/>
      <c r="AN1464" s="45"/>
      <c r="AO1464" s="45"/>
    </row>
    <row r="1465" spans="1:41" hidden="1" outlineLevel="3" x14ac:dyDescent="0.25">
      <c r="A1465" s="45"/>
      <c r="B1465" s="54"/>
      <c r="C1465" s="47">
        <f>INT($C$29)+3</f>
        <v>4</v>
      </c>
      <c r="D1465" s="73"/>
      <c r="E1465" s="70"/>
      <c r="F1465" s="70" t="s">
        <v>1970</v>
      </c>
      <c r="G1465" s="73"/>
      <c r="H1465" s="76"/>
      <c r="I1465" s="76"/>
      <c r="J1465" s="76"/>
      <c r="K1465" s="76"/>
      <c r="L1465" s="76"/>
      <c r="M1465" s="76"/>
      <c r="N1465" s="76"/>
      <c r="O1465" s="76"/>
      <c r="P1465" s="76"/>
      <c r="Q1465" s="76"/>
      <c r="R1465" s="76"/>
      <c r="S1465" s="76"/>
      <c r="T1465" s="76"/>
      <c r="U1465" s="76"/>
      <c r="V1465" s="76"/>
      <c r="W1465" s="76"/>
      <c r="X1465" s="76"/>
      <c r="Y1465" s="76"/>
      <c r="Z1465" s="76"/>
      <c r="AA1465" s="76"/>
      <c r="AB1465" s="76"/>
      <c r="AC1465" s="76"/>
      <c r="AD1465" s="76"/>
      <c r="AE1465" s="76"/>
      <c r="AF1465" s="76"/>
      <c r="AG1465" s="76"/>
      <c r="AH1465" s="76"/>
      <c r="AI1465" s="76">
        <v>1</v>
      </c>
      <c r="AJ1465" s="76">
        <v>1</v>
      </c>
      <c r="AK1465" s="73"/>
      <c r="AL1465" s="57"/>
      <c r="AM1465" s="45"/>
      <c r="AN1465" s="45"/>
      <c r="AO1465" s="45"/>
    </row>
    <row r="1466" spans="1:41" hidden="1" outlineLevel="3" x14ac:dyDescent="0.25">
      <c r="A1466" s="45"/>
      <c r="B1466" s="54"/>
      <c r="C1466" s="47"/>
      <c r="D1466" s="73"/>
      <c r="E1466" s="70"/>
      <c r="F1466" s="70" t="s">
        <v>2406</v>
      </c>
      <c r="G1466" s="73"/>
      <c r="H1466" s="76"/>
      <c r="I1466" s="76"/>
      <c r="J1466" s="76"/>
      <c r="K1466" s="76"/>
      <c r="L1466" s="76"/>
      <c r="M1466" s="76"/>
      <c r="N1466" s="76"/>
      <c r="O1466" s="76"/>
      <c r="P1466" s="76"/>
      <c r="Q1466" s="76"/>
      <c r="R1466" s="76"/>
      <c r="S1466" s="76"/>
      <c r="T1466" s="76"/>
      <c r="U1466" s="76"/>
      <c r="V1466" s="76"/>
      <c r="W1466" s="76"/>
      <c r="X1466" s="76"/>
      <c r="Y1466" s="76"/>
      <c r="Z1466" s="76"/>
      <c r="AA1466" s="76"/>
      <c r="AB1466" s="76"/>
      <c r="AC1466" s="76"/>
      <c r="AD1466" s="76"/>
      <c r="AE1466" s="76"/>
      <c r="AF1466" s="76"/>
      <c r="AG1466" s="76"/>
      <c r="AH1466" s="76"/>
      <c r="AI1466" s="76">
        <v>1</v>
      </c>
      <c r="AJ1466" s="76">
        <v>1</v>
      </c>
      <c r="AK1466" s="73"/>
      <c r="AL1466" s="57"/>
      <c r="AM1466" s="45"/>
      <c r="AN1466" s="45"/>
      <c r="AO1466" s="45"/>
    </row>
    <row r="1467" spans="1:41" hidden="1" outlineLevel="3" x14ac:dyDescent="0.25">
      <c r="A1467" s="45"/>
      <c r="B1467" s="54"/>
      <c r="C1467" s="47"/>
      <c r="D1467" s="73"/>
      <c r="E1467" s="70"/>
      <c r="F1467" s="70" t="s">
        <v>2407</v>
      </c>
      <c r="G1467" s="73"/>
      <c r="H1467" s="76"/>
      <c r="I1467" s="76"/>
      <c r="J1467" s="76"/>
      <c r="K1467" s="76"/>
      <c r="L1467" s="76"/>
      <c r="M1467" s="76"/>
      <c r="N1467" s="76"/>
      <c r="O1467" s="76"/>
      <c r="P1467" s="76"/>
      <c r="Q1467" s="76"/>
      <c r="R1467" s="76"/>
      <c r="S1467" s="76"/>
      <c r="T1467" s="76"/>
      <c r="U1467" s="76"/>
      <c r="V1467" s="76"/>
      <c r="W1467" s="76"/>
      <c r="X1467" s="76"/>
      <c r="Y1467" s="76"/>
      <c r="Z1467" s="76"/>
      <c r="AA1467" s="76"/>
      <c r="AB1467" s="76"/>
      <c r="AC1467" s="76"/>
      <c r="AD1467" s="76"/>
      <c r="AE1467" s="76"/>
      <c r="AF1467" s="76"/>
      <c r="AG1467" s="76"/>
      <c r="AH1467" s="76"/>
      <c r="AI1467" s="76">
        <v>1</v>
      </c>
      <c r="AJ1467" s="76">
        <v>1</v>
      </c>
      <c r="AK1467" s="73"/>
      <c r="AL1467" s="57"/>
      <c r="AM1467" s="45"/>
      <c r="AN1467" s="45"/>
      <c r="AO1467" s="45"/>
    </row>
    <row r="1468" spans="1:41" hidden="1" outlineLevel="3" x14ac:dyDescent="0.25">
      <c r="A1468" s="45"/>
      <c r="B1468" s="54"/>
      <c r="C1468" s="47"/>
      <c r="D1468" s="73"/>
      <c r="E1468" s="70"/>
      <c r="F1468" s="70" t="s">
        <v>2408</v>
      </c>
      <c r="G1468" s="73"/>
      <c r="H1468" s="76"/>
      <c r="I1468" s="76"/>
      <c r="J1468" s="76"/>
      <c r="K1468" s="76"/>
      <c r="L1468" s="76"/>
      <c r="M1468" s="76"/>
      <c r="N1468" s="76"/>
      <c r="O1468" s="76"/>
      <c r="P1468" s="76"/>
      <c r="Q1468" s="76"/>
      <c r="R1468" s="76"/>
      <c r="S1468" s="76"/>
      <c r="T1468" s="76"/>
      <c r="U1468" s="76"/>
      <c r="V1468" s="76"/>
      <c r="W1468" s="76"/>
      <c r="X1468" s="76"/>
      <c r="Y1468" s="76"/>
      <c r="Z1468" s="76"/>
      <c r="AA1468" s="76"/>
      <c r="AB1468" s="76"/>
      <c r="AC1468" s="76"/>
      <c r="AD1468" s="76"/>
      <c r="AE1468" s="76"/>
      <c r="AF1468" s="76"/>
      <c r="AG1468" s="76"/>
      <c r="AH1468" s="76"/>
      <c r="AI1468" s="76">
        <v>1</v>
      </c>
      <c r="AJ1468" s="76">
        <v>1</v>
      </c>
      <c r="AK1468" s="73"/>
      <c r="AL1468" s="57"/>
      <c r="AM1468" s="45"/>
      <c r="AN1468" s="45"/>
      <c r="AO1468" s="45"/>
    </row>
    <row r="1469" spans="1:41" hidden="1" outlineLevel="3" x14ac:dyDescent="0.25">
      <c r="A1469" s="45"/>
      <c r="B1469" s="54"/>
      <c r="C1469" s="47">
        <f t="shared" ref="C1469:C1480" si="527">INT($C$29)+3</f>
        <v>4</v>
      </c>
      <c r="D1469" s="73"/>
      <c r="E1469" s="70"/>
      <c r="F1469" s="70" t="str">
        <f>SUBSTITUTE(F1465,",4)",",8)")</f>
        <v>C(U2,9,8)</v>
      </c>
      <c r="G1469" s="73"/>
      <c r="H1469" s="76"/>
      <c r="I1469" s="96"/>
      <c r="J1469" s="76"/>
      <c r="K1469" s="76"/>
      <c r="L1469" s="76"/>
      <c r="M1469" s="76"/>
      <c r="N1469" s="76"/>
      <c r="O1469" s="76"/>
      <c r="P1469" s="76"/>
      <c r="Q1469" s="76"/>
      <c r="R1469" s="76"/>
      <c r="S1469" s="76"/>
      <c r="T1469" s="76"/>
      <c r="U1469" s="76"/>
      <c r="V1469" s="76"/>
      <c r="W1469" s="76"/>
      <c r="X1469" s="76"/>
      <c r="Y1469" s="76"/>
      <c r="Z1469" s="76"/>
      <c r="AA1469" s="76"/>
      <c r="AB1469" s="76"/>
      <c r="AC1469" s="76"/>
      <c r="AD1469" s="76"/>
      <c r="AE1469" s="76"/>
      <c r="AF1469" s="76"/>
      <c r="AG1469" s="76"/>
      <c r="AH1469" s="76"/>
      <c r="AI1469" s="76">
        <v>1</v>
      </c>
      <c r="AJ1469" s="76">
        <v>1</v>
      </c>
      <c r="AK1469" s="73"/>
      <c r="AL1469" s="57"/>
      <c r="AM1469" s="45"/>
      <c r="AN1469" s="45"/>
      <c r="AO1469" s="45"/>
    </row>
    <row r="1470" spans="1:41" hidden="1" outlineLevel="3" x14ac:dyDescent="0.25">
      <c r="A1470" s="45"/>
      <c r="B1470" s="54"/>
      <c r="C1470" s="47">
        <f t="shared" si="527"/>
        <v>4</v>
      </c>
      <c r="D1470" s="73"/>
      <c r="E1470" s="70"/>
      <c r="F1470" s="70" t="str">
        <f>SUBSTITUTE(F1466,",5)",",9)")</f>
        <v>C(U2,9,9)</v>
      </c>
      <c r="G1470" s="73"/>
      <c r="H1470" s="76"/>
      <c r="I1470" s="96"/>
      <c r="J1470" s="76"/>
      <c r="K1470" s="76"/>
      <c r="L1470" s="76"/>
      <c r="M1470" s="76"/>
      <c r="N1470" s="76"/>
      <c r="O1470" s="76"/>
      <c r="P1470" s="76"/>
      <c r="Q1470" s="76"/>
      <c r="R1470" s="76"/>
      <c r="S1470" s="76"/>
      <c r="T1470" s="76"/>
      <c r="U1470" s="76"/>
      <c r="V1470" s="76"/>
      <c r="W1470" s="76"/>
      <c r="X1470" s="76"/>
      <c r="Y1470" s="76"/>
      <c r="Z1470" s="76"/>
      <c r="AA1470" s="76"/>
      <c r="AB1470" s="76"/>
      <c r="AC1470" s="76"/>
      <c r="AD1470" s="76"/>
      <c r="AE1470" s="76"/>
      <c r="AF1470" s="76"/>
      <c r="AG1470" s="76"/>
      <c r="AH1470" s="76"/>
      <c r="AI1470" s="76">
        <v>1</v>
      </c>
      <c r="AJ1470" s="76">
        <v>1</v>
      </c>
      <c r="AK1470" s="73"/>
      <c r="AL1470" s="57"/>
      <c r="AM1470" s="45"/>
      <c r="AN1470" s="45"/>
      <c r="AO1470" s="45"/>
    </row>
    <row r="1471" spans="1:41" hidden="1" outlineLevel="3" x14ac:dyDescent="0.25">
      <c r="A1471" s="45"/>
      <c r="B1471" s="54"/>
      <c r="C1471" s="47">
        <f t="shared" si="527"/>
        <v>4</v>
      </c>
      <c r="D1471" s="73"/>
      <c r="E1471" s="70"/>
      <c r="F1471" s="70" t="str">
        <f>SUBSTITUTE(F1467,",6)",",10)")</f>
        <v>C(U2,9,10)</v>
      </c>
      <c r="G1471" s="73"/>
      <c r="H1471" s="76"/>
      <c r="I1471" s="96"/>
      <c r="J1471" s="76"/>
      <c r="K1471" s="76"/>
      <c r="L1471" s="76"/>
      <c r="M1471" s="76"/>
      <c r="N1471" s="76"/>
      <c r="O1471" s="76"/>
      <c r="P1471" s="76"/>
      <c r="Q1471" s="76"/>
      <c r="R1471" s="76"/>
      <c r="S1471" s="76"/>
      <c r="T1471" s="76"/>
      <c r="U1471" s="76"/>
      <c r="V1471" s="76"/>
      <c r="W1471" s="76"/>
      <c r="X1471" s="76"/>
      <c r="Y1471" s="76"/>
      <c r="Z1471" s="76"/>
      <c r="AA1471" s="76"/>
      <c r="AB1471" s="76"/>
      <c r="AC1471" s="76"/>
      <c r="AD1471" s="76"/>
      <c r="AE1471" s="76"/>
      <c r="AF1471" s="76"/>
      <c r="AG1471" s="76"/>
      <c r="AH1471" s="76"/>
      <c r="AI1471" s="76">
        <v>1</v>
      </c>
      <c r="AJ1471" s="76">
        <v>1</v>
      </c>
      <c r="AK1471" s="73"/>
      <c r="AL1471" s="57"/>
      <c r="AM1471" s="45"/>
      <c r="AN1471" s="45"/>
      <c r="AO1471" s="45"/>
    </row>
    <row r="1472" spans="1:41" hidden="1" outlineLevel="3" x14ac:dyDescent="0.25">
      <c r="A1472" s="45"/>
      <c r="B1472" s="54"/>
      <c r="C1472" s="47">
        <f t="shared" si="527"/>
        <v>4</v>
      </c>
      <c r="D1472" s="73"/>
      <c r="E1472" s="70"/>
      <c r="F1472" s="70" t="str">
        <f>SUBSTITUTE(F1468,",7)",",11)")</f>
        <v>C(U2,9,11)</v>
      </c>
      <c r="G1472" s="73"/>
      <c r="H1472" s="76"/>
      <c r="I1472" s="96"/>
      <c r="J1472" s="76"/>
      <c r="K1472" s="76"/>
      <c r="L1472" s="76"/>
      <c r="M1472" s="76"/>
      <c r="N1472" s="76"/>
      <c r="O1472" s="76"/>
      <c r="P1472" s="76"/>
      <c r="Q1472" s="76"/>
      <c r="R1472" s="76"/>
      <c r="S1472" s="76"/>
      <c r="T1472" s="76"/>
      <c r="U1472" s="76"/>
      <c r="V1472" s="76"/>
      <c r="W1472" s="76"/>
      <c r="X1472" s="76"/>
      <c r="Y1472" s="76"/>
      <c r="Z1472" s="76"/>
      <c r="AA1472" s="76"/>
      <c r="AB1472" s="76"/>
      <c r="AC1472" s="76"/>
      <c r="AD1472" s="76"/>
      <c r="AE1472" s="76"/>
      <c r="AF1472" s="76"/>
      <c r="AG1472" s="76"/>
      <c r="AH1472" s="76"/>
      <c r="AI1472" s="76">
        <v>1</v>
      </c>
      <c r="AJ1472" s="76">
        <v>1</v>
      </c>
      <c r="AK1472" s="73"/>
      <c r="AL1472" s="57"/>
      <c r="AM1472" s="45"/>
      <c r="AN1472" s="45"/>
      <c r="AO1472" s="45"/>
    </row>
    <row r="1473" spans="1:41" hidden="1" outlineLevel="3" x14ac:dyDescent="0.25">
      <c r="A1473" s="45"/>
      <c r="B1473" s="54"/>
      <c r="C1473" s="47">
        <f t="shared" si="527"/>
        <v>4</v>
      </c>
      <c r="D1473" s="73"/>
      <c r="E1473" s="70"/>
      <c r="F1473" s="70" t="str">
        <f>SUBSTITUTE(F1467,",6)",",12)")</f>
        <v>C(U2,9,12)</v>
      </c>
      <c r="G1473" s="73"/>
      <c r="H1473" s="76"/>
      <c r="I1473" s="96"/>
      <c r="J1473" s="76"/>
      <c r="K1473" s="76"/>
      <c r="L1473" s="76"/>
      <c r="M1473" s="76"/>
      <c r="N1473" s="76"/>
      <c r="O1473" s="76"/>
      <c r="P1473" s="76"/>
      <c r="Q1473" s="76"/>
      <c r="R1473" s="76"/>
      <c r="S1473" s="76"/>
      <c r="T1473" s="76"/>
      <c r="U1473" s="76"/>
      <c r="V1473" s="76"/>
      <c r="W1473" s="76"/>
      <c r="X1473" s="76"/>
      <c r="Y1473" s="76"/>
      <c r="Z1473" s="76"/>
      <c r="AA1473" s="76"/>
      <c r="AB1473" s="76"/>
      <c r="AC1473" s="76"/>
      <c r="AD1473" s="76"/>
      <c r="AE1473" s="76"/>
      <c r="AF1473" s="76"/>
      <c r="AG1473" s="76"/>
      <c r="AH1473" s="76"/>
      <c r="AI1473" s="76">
        <v>1</v>
      </c>
      <c r="AJ1473" s="76">
        <v>1</v>
      </c>
      <c r="AK1473" s="73"/>
      <c r="AL1473" s="57"/>
      <c r="AM1473" s="45"/>
      <c r="AN1473" s="45"/>
      <c r="AO1473" s="45"/>
    </row>
    <row r="1474" spans="1:41" hidden="1" outlineLevel="3" x14ac:dyDescent="0.25">
      <c r="A1474" s="45"/>
      <c r="B1474" s="54"/>
      <c r="C1474" s="47">
        <f t="shared" si="527"/>
        <v>4</v>
      </c>
      <c r="D1474" s="73"/>
      <c r="E1474" s="70"/>
      <c r="F1474" s="70" t="str">
        <f>SUBSTITUTE(F1468,",7)",",13)")</f>
        <v>C(U2,9,13)</v>
      </c>
      <c r="G1474" s="73"/>
      <c r="H1474" s="76"/>
      <c r="I1474" s="96"/>
      <c r="J1474" s="76"/>
      <c r="K1474" s="76"/>
      <c r="L1474" s="76"/>
      <c r="M1474" s="76"/>
      <c r="N1474" s="76"/>
      <c r="O1474" s="76"/>
      <c r="P1474" s="76"/>
      <c r="Q1474" s="76"/>
      <c r="R1474" s="76"/>
      <c r="S1474" s="76"/>
      <c r="T1474" s="76"/>
      <c r="U1474" s="76"/>
      <c r="V1474" s="76"/>
      <c r="W1474" s="76"/>
      <c r="X1474" s="76"/>
      <c r="Y1474" s="76"/>
      <c r="Z1474" s="76"/>
      <c r="AA1474" s="76"/>
      <c r="AB1474" s="76"/>
      <c r="AC1474" s="76"/>
      <c r="AD1474" s="76"/>
      <c r="AE1474" s="76"/>
      <c r="AF1474" s="76"/>
      <c r="AG1474" s="76"/>
      <c r="AH1474" s="76"/>
      <c r="AI1474" s="76">
        <v>1</v>
      </c>
      <c r="AJ1474" s="76">
        <v>1</v>
      </c>
      <c r="AK1474" s="73"/>
      <c r="AL1474" s="57"/>
      <c r="AM1474" s="45"/>
      <c r="AN1474" s="45"/>
      <c r="AO1474" s="45"/>
    </row>
    <row r="1475" spans="1:41" hidden="1" outlineLevel="3" x14ac:dyDescent="0.25">
      <c r="A1475" s="45"/>
      <c r="B1475" s="54"/>
      <c r="C1475" s="47">
        <f t="shared" si="527"/>
        <v>4</v>
      </c>
      <c r="D1475" s="73"/>
      <c r="E1475" s="70"/>
      <c r="F1475" s="70" t="s">
        <v>1971</v>
      </c>
      <c r="G1475" s="73"/>
      <c r="H1475" s="76"/>
      <c r="I1475" s="76"/>
      <c r="J1475" s="76"/>
      <c r="K1475" s="76"/>
      <c r="L1475" s="76"/>
      <c r="M1475" s="76"/>
      <c r="N1475" s="76"/>
      <c r="O1475" s="76"/>
      <c r="P1475" s="76"/>
      <c r="Q1475" s="76"/>
      <c r="R1475" s="76"/>
      <c r="S1475" s="76"/>
      <c r="T1475" s="76"/>
      <c r="U1475" s="76"/>
      <c r="V1475" s="76"/>
      <c r="W1475" s="76"/>
      <c r="X1475" s="76"/>
      <c r="Y1475" s="76"/>
      <c r="Z1475" s="76"/>
      <c r="AA1475" s="76"/>
      <c r="AB1475" s="76"/>
      <c r="AC1475" s="76"/>
      <c r="AD1475" s="76"/>
      <c r="AE1475" s="76"/>
      <c r="AF1475" s="76"/>
      <c r="AG1475" s="76"/>
      <c r="AH1475" s="76"/>
      <c r="AI1475" s="76">
        <v>1</v>
      </c>
      <c r="AJ1475" s="76">
        <v>1</v>
      </c>
      <c r="AK1475" s="73"/>
      <c r="AL1475" s="57"/>
      <c r="AM1475" s="45"/>
      <c r="AN1475" s="45"/>
      <c r="AO1475" s="45"/>
    </row>
    <row r="1476" spans="1:41" hidden="1" outlineLevel="3" x14ac:dyDescent="0.25">
      <c r="A1476" s="45"/>
      <c r="B1476" s="54"/>
      <c r="C1476" s="47">
        <f t="shared" si="527"/>
        <v>4</v>
      </c>
      <c r="D1476" s="73"/>
      <c r="E1476" s="70"/>
      <c r="F1476" s="70" t="s">
        <v>1972</v>
      </c>
      <c r="G1476" s="73"/>
      <c r="H1476" s="76" t="s">
        <v>599</v>
      </c>
      <c r="I1476" s="76"/>
      <c r="J1476" s="76"/>
      <c r="K1476" s="76"/>
      <c r="L1476" s="76"/>
      <c r="M1476" s="76"/>
      <c r="N1476" s="76"/>
      <c r="O1476" s="76"/>
      <c r="P1476" s="76"/>
      <c r="Q1476" s="76"/>
      <c r="R1476" s="76"/>
      <c r="S1476" s="76"/>
      <c r="T1476" s="76"/>
      <c r="U1476" s="76"/>
      <c r="V1476" s="76"/>
      <c r="W1476" s="76"/>
      <c r="X1476" s="76"/>
      <c r="Y1476" s="76"/>
      <c r="Z1476" s="76"/>
      <c r="AA1476" s="76"/>
      <c r="AB1476" s="76"/>
      <c r="AC1476" s="76"/>
      <c r="AD1476" s="76"/>
      <c r="AE1476" s="76"/>
      <c r="AF1476" s="76"/>
      <c r="AG1476" s="76"/>
      <c r="AH1476" s="76"/>
      <c r="AI1476" s="76">
        <v>1</v>
      </c>
      <c r="AJ1476" s="76">
        <v>1</v>
      </c>
      <c r="AK1476" s="73"/>
      <c r="AL1476" s="57"/>
      <c r="AM1476" s="45"/>
      <c r="AN1476" s="45"/>
      <c r="AO1476" s="45"/>
    </row>
    <row r="1477" spans="1:41" hidden="1" outlineLevel="3" x14ac:dyDescent="0.25">
      <c r="A1477" s="45"/>
      <c r="B1477" s="54"/>
      <c r="C1477" s="47">
        <f t="shared" si="527"/>
        <v>4</v>
      </c>
      <c r="D1477" s="73"/>
      <c r="E1477" s="70"/>
      <c r="F1477" s="70" t="s">
        <v>1973</v>
      </c>
      <c r="G1477" s="73"/>
      <c r="H1477" s="76"/>
      <c r="I1477" s="76"/>
      <c r="J1477" s="76"/>
      <c r="K1477" s="76"/>
      <c r="L1477" s="76"/>
      <c r="M1477" s="76"/>
      <c r="N1477" s="76"/>
      <c r="O1477" s="76"/>
      <c r="P1477" s="76"/>
      <c r="Q1477" s="76"/>
      <c r="R1477" s="76"/>
      <c r="S1477" s="76"/>
      <c r="T1477" s="76"/>
      <c r="U1477" s="76"/>
      <c r="V1477" s="76"/>
      <c r="W1477" s="76"/>
      <c r="X1477" s="76"/>
      <c r="Y1477" s="76"/>
      <c r="Z1477" s="76"/>
      <c r="AA1477" s="76"/>
      <c r="AB1477" s="76"/>
      <c r="AC1477" s="76"/>
      <c r="AD1477" s="76"/>
      <c r="AE1477" s="76"/>
      <c r="AF1477" s="76"/>
      <c r="AG1477" s="76"/>
      <c r="AH1477" s="76"/>
      <c r="AI1477" s="76">
        <v>1</v>
      </c>
      <c r="AJ1477" s="76">
        <v>1</v>
      </c>
      <c r="AK1477" s="73"/>
      <c r="AL1477" s="57"/>
      <c r="AM1477" s="45"/>
      <c r="AN1477" s="45"/>
      <c r="AO1477" s="45"/>
    </row>
    <row r="1478" spans="1:41" hidden="1" outlineLevel="3" x14ac:dyDescent="0.25">
      <c r="A1478" s="45"/>
      <c r="B1478" s="54"/>
      <c r="C1478" s="47">
        <f t="shared" si="527"/>
        <v>4</v>
      </c>
      <c r="D1478" s="73"/>
      <c r="E1478" s="70"/>
      <c r="F1478" s="70" t="s">
        <v>1974</v>
      </c>
      <c r="G1478" s="73"/>
      <c r="H1478" s="76"/>
      <c r="I1478" s="76"/>
      <c r="J1478" s="76"/>
      <c r="K1478" s="76"/>
      <c r="L1478" s="76"/>
      <c r="M1478" s="76"/>
      <c r="N1478" s="76"/>
      <c r="O1478" s="76"/>
      <c r="P1478" s="76"/>
      <c r="Q1478" s="76"/>
      <c r="R1478" s="76"/>
      <c r="S1478" s="76"/>
      <c r="T1478" s="76"/>
      <c r="U1478" s="76"/>
      <c r="V1478" s="76"/>
      <c r="W1478" s="76"/>
      <c r="X1478" s="76"/>
      <c r="Y1478" s="76"/>
      <c r="Z1478" s="76"/>
      <c r="AA1478" s="76"/>
      <c r="AB1478" s="76"/>
      <c r="AC1478" s="76"/>
      <c r="AD1478" s="76"/>
      <c r="AE1478" s="76"/>
      <c r="AF1478" s="76"/>
      <c r="AG1478" s="76"/>
      <c r="AH1478" s="76"/>
      <c r="AI1478" s="76">
        <v>1</v>
      </c>
      <c r="AJ1478" s="76">
        <v>1</v>
      </c>
      <c r="AK1478" s="73"/>
      <c r="AL1478" s="57"/>
      <c r="AM1478" s="45"/>
      <c r="AN1478" s="45"/>
      <c r="AO1478" s="45"/>
    </row>
    <row r="1479" spans="1:41" hidden="1" outlineLevel="3" x14ac:dyDescent="0.25">
      <c r="A1479" s="45"/>
      <c r="B1479" s="54"/>
      <c r="C1479" s="47">
        <f t="shared" si="527"/>
        <v>4</v>
      </c>
      <c r="D1479" s="73"/>
      <c r="E1479" s="70"/>
      <c r="F1479" s="70" t="s">
        <v>1975</v>
      </c>
      <c r="G1479" s="73"/>
      <c r="H1479" s="76"/>
      <c r="I1479" s="76"/>
      <c r="J1479" s="76"/>
      <c r="K1479" s="76"/>
      <c r="L1479" s="76"/>
      <c r="M1479" s="76"/>
      <c r="N1479" s="76"/>
      <c r="O1479" s="76"/>
      <c r="P1479" s="76"/>
      <c r="Q1479" s="76"/>
      <c r="R1479" s="76"/>
      <c r="S1479" s="76"/>
      <c r="T1479" s="76"/>
      <c r="U1479" s="76"/>
      <c r="V1479" s="76"/>
      <c r="W1479" s="76"/>
      <c r="X1479" s="76"/>
      <c r="Y1479" s="76"/>
      <c r="Z1479" s="76"/>
      <c r="AA1479" s="76"/>
      <c r="AB1479" s="76"/>
      <c r="AC1479" s="76"/>
      <c r="AD1479" s="76"/>
      <c r="AE1479" s="76"/>
      <c r="AF1479" s="76"/>
      <c r="AG1479" s="76"/>
      <c r="AH1479" s="76"/>
      <c r="AI1479" s="76">
        <v>1</v>
      </c>
      <c r="AJ1479" s="76">
        <v>1</v>
      </c>
      <c r="AK1479" s="73"/>
      <c r="AL1479" s="57"/>
      <c r="AM1479" s="45"/>
      <c r="AN1479" s="45"/>
      <c r="AO1479" s="45"/>
    </row>
    <row r="1480" spans="1:41" hidden="1" outlineLevel="3" x14ac:dyDescent="0.25">
      <c r="A1480" s="45"/>
      <c r="B1480" s="54"/>
      <c r="C1480" s="47">
        <f t="shared" si="527"/>
        <v>4</v>
      </c>
      <c r="D1480" s="73"/>
      <c r="E1480" s="70"/>
      <c r="F1480" s="70" t="s">
        <v>1976</v>
      </c>
      <c r="G1480" s="73"/>
      <c r="H1480" s="76"/>
      <c r="I1480" s="76"/>
      <c r="J1480" s="76"/>
      <c r="K1480" s="76"/>
      <c r="L1480" s="76"/>
      <c r="M1480" s="76"/>
      <c r="N1480" s="76"/>
      <c r="O1480" s="76"/>
      <c r="P1480" s="76"/>
      <c r="Q1480" s="76"/>
      <c r="R1480" s="76"/>
      <c r="S1480" s="76"/>
      <c r="T1480" s="76"/>
      <c r="U1480" s="76"/>
      <c r="V1480" s="76"/>
      <c r="W1480" s="76"/>
      <c r="X1480" s="76"/>
      <c r="Y1480" s="76"/>
      <c r="Z1480" s="76"/>
      <c r="AA1480" s="76"/>
      <c r="AB1480" s="76"/>
      <c r="AC1480" s="76"/>
      <c r="AD1480" s="76"/>
      <c r="AE1480" s="76"/>
      <c r="AF1480" s="76"/>
      <c r="AG1480" s="76"/>
      <c r="AH1480" s="76"/>
      <c r="AI1480" s="76">
        <v>1</v>
      </c>
      <c r="AJ1480" s="76">
        <v>1</v>
      </c>
      <c r="AK1480" s="73"/>
      <c r="AL1480" s="57"/>
      <c r="AM1480" s="45"/>
      <c r="AN1480" s="45"/>
      <c r="AO1480" s="45"/>
    </row>
    <row r="1481" spans="1:41" hidden="1" outlineLevel="3" x14ac:dyDescent="0.25">
      <c r="A1481" s="45"/>
      <c r="B1481" s="54"/>
      <c r="C1481" s="47"/>
      <c r="D1481" s="73"/>
      <c r="E1481" s="70"/>
      <c r="F1481" s="70" t="s">
        <v>2409</v>
      </c>
      <c r="G1481" s="73"/>
      <c r="H1481" s="76"/>
      <c r="I1481" s="76"/>
      <c r="J1481" s="76"/>
      <c r="K1481" s="76"/>
      <c r="L1481" s="76"/>
      <c r="M1481" s="76"/>
      <c r="N1481" s="76"/>
      <c r="O1481" s="76"/>
      <c r="P1481" s="76"/>
      <c r="Q1481" s="76"/>
      <c r="R1481" s="76"/>
      <c r="S1481" s="76"/>
      <c r="T1481" s="76"/>
      <c r="U1481" s="76"/>
      <c r="V1481" s="76"/>
      <c r="W1481" s="76"/>
      <c r="X1481" s="76"/>
      <c r="Y1481" s="76"/>
      <c r="Z1481" s="76"/>
      <c r="AA1481" s="76"/>
      <c r="AB1481" s="76"/>
      <c r="AC1481" s="76"/>
      <c r="AD1481" s="76"/>
      <c r="AE1481" s="76"/>
      <c r="AF1481" s="76"/>
      <c r="AG1481" s="76"/>
      <c r="AH1481" s="76"/>
      <c r="AI1481" s="76">
        <v>1</v>
      </c>
      <c r="AJ1481" s="76">
        <v>1</v>
      </c>
      <c r="AK1481" s="73"/>
      <c r="AL1481" s="57"/>
      <c r="AM1481" s="45"/>
      <c r="AN1481" s="45"/>
      <c r="AO1481" s="45"/>
    </row>
    <row r="1482" spans="1:41" hidden="1" outlineLevel="3" x14ac:dyDescent="0.25">
      <c r="A1482" s="45"/>
      <c r="B1482" s="54"/>
      <c r="C1482" s="47"/>
      <c r="D1482" s="73"/>
      <c r="E1482" s="70"/>
      <c r="F1482" s="70" t="s">
        <v>2410</v>
      </c>
      <c r="G1482" s="73"/>
      <c r="H1482" s="76"/>
      <c r="I1482" s="76"/>
      <c r="J1482" s="76"/>
      <c r="K1482" s="76"/>
      <c r="L1482" s="76"/>
      <c r="M1482" s="76"/>
      <c r="N1482" s="76"/>
      <c r="O1482" s="76"/>
      <c r="P1482" s="76"/>
      <c r="Q1482" s="76"/>
      <c r="R1482" s="76"/>
      <c r="S1482" s="76"/>
      <c r="T1482" s="76"/>
      <c r="U1482" s="76"/>
      <c r="V1482" s="76"/>
      <c r="W1482" s="76"/>
      <c r="X1482" s="76"/>
      <c r="Y1482" s="76"/>
      <c r="Z1482" s="76"/>
      <c r="AA1482" s="76"/>
      <c r="AB1482" s="76"/>
      <c r="AC1482" s="76"/>
      <c r="AD1482" s="76"/>
      <c r="AE1482" s="76"/>
      <c r="AF1482" s="76"/>
      <c r="AG1482" s="76"/>
      <c r="AH1482" s="76"/>
      <c r="AI1482" s="76">
        <v>1</v>
      </c>
      <c r="AJ1482" s="76">
        <v>1</v>
      </c>
      <c r="AK1482" s="73"/>
      <c r="AL1482" s="57"/>
      <c r="AM1482" s="45"/>
      <c r="AN1482" s="45"/>
      <c r="AO1482" s="45"/>
    </row>
    <row r="1483" spans="1:41" hidden="1" outlineLevel="3" x14ac:dyDescent="0.25">
      <c r="A1483" s="45"/>
      <c r="B1483" s="54"/>
      <c r="C1483" s="47"/>
      <c r="D1483" s="73"/>
      <c r="E1483" s="70"/>
      <c r="F1483" s="70" t="s">
        <v>2411</v>
      </c>
      <c r="G1483" s="73"/>
      <c r="H1483" s="76"/>
      <c r="I1483" s="76"/>
      <c r="J1483" s="76"/>
      <c r="K1483" s="76"/>
      <c r="L1483" s="76"/>
      <c r="M1483" s="76"/>
      <c r="N1483" s="76"/>
      <c r="O1483" s="76"/>
      <c r="P1483" s="76"/>
      <c r="Q1483" s="76"/>
      <c r="R1483" s="76"/>
      <c r="S1483" s="76"/>
      <c r="T1483" s="76"/>
      <c r="U1483" s="76"/>
      <c r="V1483" s="76"/>
      <c r="W1483" s="76"/>
      <c r="X1483" s="76"/>
      <c r="Y1483" s="76"/>
      <c r="Z1483" s="76"/>
      <c r="AA1483" s="76"/>
      <c r="AB1483" s="76"/>
      <c r="AC1483" s="76"/>
      <c r="AD1483" s="76"/>
      <c r="AE1483" s="76"/>
      <c r="AF1483" s="76"/>
      <c r="AG1483" s="76"/>
      <c r="AH1483" s="76"/>
      <c r="AI1483" s="76">
        <v>1</v>
      </c>
      <c r="AJ1483" s="76">
        <v>1</v>
      </c>
      <c r="AK1483" s="73"/>
      <c r="AL1483" s="57"/>
      <c r="AM1483" s="45"/>
      <c r="AN1483" s="45"/>
      <c r="AO1483" s="45"/>
    </row>
    <row r="1484" spans="1:41" hidden="1" outlineLevel="3" x14ac:dyDescent="0.25">
      <c r="A1484" s="45"/>
      <c r="B1484" s="54"/>
      <c r="C1484" s="47">
        <f t="shared" ref="C1484:C1495" si="528">INT($C$29)+3</f>
        <v>4</v>
      </c>
      <c r="D1484" s="73"/>
      <c r="E1484" s="70"/>
      <c r="F1484" s="70" t="str">
        <f>SUBSTITUTE(F1480,",4)",",8)")</f>
        <v>C(U2,10,8)</v>
      </c>
      <c r="G1484" s="73"/>
      <c r="H1484" s="76"/>
      <c r="I1484" s="96"/>
      <c r="J1484" s="76"/>
      <c r="K1484" s="76"/>
      <c r="L1484" s="76"/>
      <c r="M1484" s="76"/>
      <c r="N1484" s="76"/>
      <c r="O1484" s="76"/>
      <c r="P1484" s="76"/>
      <c r="Q1484" s="76"/>
      <c r="R1484" s="76"/>
      <c r="S1484" s="76"/>
      <c r="T1484" s="76"/>
      <c r="U1484" s="76"/>
      <c r="V1484" s="76"/>
      <c r="W1484" s="76"/>
      <c r="X1484" s="76"/>
      <c r="Y1484" s="76"/>
      <c r="Z1484" s="76"/>
      <c r="AA1484" s="76"/>
      <c r="AB1484" s="76"/>
      <c r="AC1484" s="76"/>
      <c r="AD1484" s="76"/>
      <c r="AE1484" s="76"/>
      <c r="AF1484" s="76"/>
      <c r="AG1484" s="76"/>
      <c r="AH1484" s="76"/>
      <c r="AI1484" s="76">
        <v>1</v>
      </c>
      <c r="AJ1484" s="76">
        <v>1</v>
      </c>
      <c r="AK1484" s="73"/>
      <c r="AL1484" s="57"/>
      <c r="AM1484" s="45"/>
      <c r="AN1484" s="45"/>
      <c r="AO1484" s="45"/>
    </row>
    <row r="1485" spans="1:41" hidden="1" outlineLevel="3" x14ac:dyDescent="0.25">
      <c r="A1485" s="45"/>
      <c r="B1485" s="54"/>
      <c r="C1485" s="47">
        <f t="shared" si="528"/>
        <v>4</v>
      </c>
      <c r="D1485" s="73"/>
      <c r="E1485" s="70"/>
      <c r="F1485" s="70" t="str">
        <f>SUBSTITUTE(F1481,",5)",",9)")</f>
        <v>C(U2,10,9)</v>
      </c>
      <c r="G1485" s="73"/>
      <c r="H1485" s="76"/>
      <c r="I1485" s="96"/>
      <c r="J1485" s="76"/>
      <c r="K1485" s="76"/>
      <c r="L1485" s="76"/>
      <c r="M1485" s="76"/>
      <c r="N1485" s="76"/>
      <c r="O1485" s="76"/>
      <c r="P1485" s="76"/>
      <c r="Q1485" s="76"/>
      <c r="R1485" s="76"/>
      <c r="S1485" s="76"/>
      <c r="T1485" s="76"/>
      <c r="U1485" s="76"/>
      <c r="V1485" s="76"/>
      <c r="W1485" s="76"/>
      <c r="X1485" s="76"/>
      <c r="Y1485" s="76"/>
      <c r="Z1485" s="76"/>
      <c r="AA1485" s="76"/>
      <c r="AB1485" s="76"/>
      <c r="AC1485" s="76"/>
      <c r="AD1485" s="76"/>
      <c r="AE1485" s="76"/>
      <c r="AF1485" s="76"/>
      <c r="AG1485" s="76"/>
      <c r="AH1485" s="76"/>
      <c r="AI1485" s="76">
        <v>1</v>
      </c>
      <c r="AJ1485" s="76">
        <v>1</v>
      </c>
      <c r="AK1485" s="73"/>
      <c r="AL1485" s="57"/>
      <c r="AM1485" s="45"/>
      <c r="AN1485" s="45"/>
      <c r="AO1485" s="45"/>
    </row>
    <row r="1486" spans="1:41" hidden="1" outlineLevel="3" x14ac:dyDescent="0.25">
      <c r="A1486" s="45"/>
      <c r="B1486" s="54"/>
      <c r="C1486" s="47">
        <f t="shared" si="528"/>
        <v>4</v>
      </c>
      <c r="D1486" s="73"/>
      <c r="E1486" s="70"/>
      <c r="F1486" s="70" t="str">
        <f>SUBSTITUTE(F1482,",6)",",10)")</f>
        <v>C(U2,10,10)</v>
      </c>
      <c r="G1486" s="73"/>
      <c r="H1486" s="76"/>
      <c r="I1486" s="96"/>
      <c r="J1486" s="76"/>
      <c r="K1486" s="76"/>
      <c r="L1486" s="76"/>
      <c r="M1486" s="76"/>
      <c r="N1486" s="76"/>
      <c r="O1486" s="76"/>
      <c r="P1486" s="76"/>
      <c r="Q1486" s="76"/>
      <c r="R1486" s="76"/>
      <c r="S1486" s="76"/>
      <c r="T1486" s="76"/>
      <c r="U1486" s="76"/>
      <c r="V1486" s="76"/>
      <c r="W1486" s="76"/>
      <c r="X1486" s="76"/>
      <c r="Y1486" s="76"/>
      <c r="Z1486" s="76"/>
      <c r="AA1486" s="76"/>
      <c r="AB1486" s="76"/>
      <c r="AC1486" s="76"/>
      <c r="AD1486" s="76"/>
      <c r="AE1486" s="76"/>
      <c r="AF1486" s="76"/>
      <c r="AG1486" s="76"/>
      <c r="AH1486" s="76"/>
      <c r="AI1486" s="76">
        <v>1</v>
      </c>
      <c r="AJ1486" s="76">
        <v>1</v>
      </c>
      <c r="AK1486" s="73"/>
      <c r="AL1486" s="57"/>
      <c r="AM1486" s="45"/>
      <c r="AN1486" s="45"/>
      <c r="AO1486" s="45"/>
    </row>
    <row r="1487" spans="1:41" hidden="1" outlineLevel="3" x14ac:dyDescent="0.25">
      <c r="A1487" s="45"/>
      <c r="B1487" s="54"/>
      <c r="C1487" s="47">
        <f t="shared" si="528"/>
        <v>4</v>
      </c>
      <c r="D1487" s="73"/>
      <c r="E1487" s="70"/>
      <c r="F1487" s="70" t="str">
        <f>SUBSTITUTE(F1483,",7)",",11)")</f>
        <v>C(U2,10,11)</v>
      </c>
      <c r="G1487" s="73"/>
      <c r="H1487" s="76"/>
      <c r="I1487" s="96"/>
      <c r="J1487" s="76"/>
      <c r="K1487" s="76"/>
      <c r="L1487" s="76"/>
      <c r="M1487" s="76"/>
      <c r="N1487" s="76"/>
      <c r="O1487" s="76"/>
      <c r="P1487" s="76"/>
      <c r="Q1487" s="76"/>
      <c r="R1487" s="76"/>
      <c r="S1487" s="76"/>
      <c r="T1487" s="76"/>
      <c r="U1487" s="76"/>
      <c r="V1487" s="76"/>
      <c r="W1487" s="76"/>
      <c r="X1487" s="76"/>
      <c r="Y1487" s="76"/>
      <c r="Z1487" s="76"/>
      <c r="AA1487" s="76"/>
      <c r="AB1487" s="76"/>
      <c r="AC1487" s="76"/>
      <c r="AD1487" s="76"/>
      <c r="AE1487" s="76"/>
      <c r="AF1487" s="76"/>
      <c r="AG1487" s="76"/>
      <c r="AH1487" s="76"/>
      <c r="AI1487" s="76">
        <v>1</v>
      </c>
      <c r="AJ1487" s="76">
        <v>1</v>
      </c>
      <c r="AK1487" s="73"/>
      <c r="AL1487" s="57"/>
      <c r="AM1487" s="45"/>
      <c r="AN1487" s="45"/>
      <c r="AO1487" s="45"/>
    </row>
    <row r="1488" spans="1:41" hidden="1" outlineLevel="3" x14ac:dyDescent="0.25">
      <c r="A1488" s="45"/>
      <c r="B1488" s="54"/>
      <c r="C1488" s="47">
        <f t="shared" si="528"/>
        <v>4</v>
      </c>
      <c r="D1488" s="73"/>
      <c r="E1488" s="70"/>
      <c r="F1488" s="70" t="str">
        <f>SUBSTITUTE(F1482,",6)",",12)")</f>
        <v>C(U2,10,12)</v>
      </c>
      <c r="G1488" s="73"/>
      <c r="H1488" s="76"/>
      <c r="I1488" s="96"/>
      <c r="J1488" s="76"/>
      <c r="K1488" s="76"/>
      <c r="L1488" s="76"/>
      <c r="M1488" s="76"/>
      <c r="N1488" s="76"/>
      <c r="O1488" s="76"/>
      <c r="P1488" s="76"/>
      <c r="Q1488" s="76"/>
      <c r="R1488" s="76"/>
      <c r="S1488" s="76"/>
      <c r="T1488" s="76"/>
      <c r="U1488" s="76"/>
      <c r="V1488" s="76"/>
      <c r="W1488" s="76"/>
      <c r="X1488" s="76"/>
      <c r="Y1488" s="76"/>
      <c r="Z1488" s="76"/>
      <c r="AA1488" s="76"/>
      <c r="AB1488" s="76"/>
      <c r="AC1488" s="76"/>
      <c r="AD1488" s="76"/>
      <c r="AE1488" s="76"/>
      <c r="AF1488" s="76"/>
      <c r="AG1488" s="76"/>
      <c r="AH1488" s="76"/>
      <c r="AI1488" s="76">
        <v>1</v>
      </c>
      <c r="AJ1488" s="76">
        <v>1</v>
      </c>
      <c r="AK1488" s="73"/>
      <c r="AL1488" s="57"/>
      <c r="AM1488" s="45"/>
      <c r="AN1488" s="45"/>
      <c r="AO1488" s="45"/>
    </row>
    <row r="1489" spans="1:41" hidden="1" outlineLevel="3" x14ac:dyDescent="0.25">
      <c r="A1489" s="45"/>
      <c r="B1489" s="54"/>
      <c r="C1489" s="47">
        <f t="shared" si="528"/>
        <v>4</v>
      </c>
      <c r="D1489" s="73"/>
      <c r="E1489" s="70"/>
      <c r="F1489" s="70" t="str">
        <f>SUBSTITUTE(F1483,",7)",",13)")</f>
        <v>C(U2,10,13)</v>
      </c>
      <c r="G1489" s="73"/>
      <c r="H1489" s="76"/>
      <c r="I1489" s="96"/>
      <c r="J1489" s="76"/>
      <c r="K1489" s="76"/>
      <c r="L1489" s="76"/>
      <c r="M1489" s="76"/>
      <c r="N1489" s="76"/>
      <c r="O1489" s="76"/>
      <c r="P1489" s="76"/>
      <c r="Q1489" s="76"/>
      <c r="R1489" s="76"/>
      <c r="S1489" s="76"/>
      <c r="T1489" s="76"/>
      <c r="U1489" s="76"/>
      <c r="V1489" s="76"/>
      <c r="W1489" s="76"/>
      <c r="X1489" s="76"/>
      <c r="Y1489" s="76"/>
      <c r="Z1489" s="76"/>
      <c r="AA1489" s="76"/>
      <c r="AB1489" s="76"/>
      <c r="AC1489" s="76"/>
      <c r="AD1489" s="76"/>
      <c r="AE1489" s="76"/>
      <c r="AF1489" s="76"/>
      <c r="AG1489" s="76"/>
      <c r="AH1489" s="76"/>
      <c r="AI1489" s="76">
        <v>1</v>
      </c>
      <c r="AJ1489" s="76">
        <v>1</v>
      </c>
      <c r="AK1489" s="73"/>
      <c r="AL1489" s="57"/>
      <c r="AM1489" s="45"/>
      <c r="AN1489" s="45"/>
      <c r="AO1489" s="45"/>
    </row>
    <row r="1490" spans="1:41" hidden="1" outlineLevel="3" x14ac:dyDescent="0.25">
      <c r="A1490" s="45"/>
      <c r="B1490" s="54"/>
      <c r="C1490" s="47">
        <f t="shared" si="528"/>
        <v>4</v>
      </c>
      <c r="D1490" s="73"/>
      <c r="E1490" s="70"/>
      <c r="F1490" s="70" t="s">
        <v>1977</v>
      </c>
      <c r="G1490" s="73"/>
      <c r="H1490" s="76"/>
      <c r="I1490" s="76"/>
      <c r="J1490" s="76"/>
      <c r="K1490" s="76"/>
      <c r="L1490" s="76"/>
      <c r="M1490" s="76"/>
      <c r="N1490" s="76"/>
      <c r="O1490" s="76"/>
      <c r="P1490" s="76"/>
      <c r="Q1490" s="76"/>
      <c r="R1490" s="76"/>
      <c r="S1490" s="76"/>
      <c r="T1490" s="76"/>
      <c r="U1490" s="76"/>
      <c r="V1490" s="76"/>
      <c r="W1490" s="76"/>
      <c r="X1490" s="76"/>
      <c r="Y1490" s="76"/>
      <c r="Z1490" s="76"/>
      <c r="AA1490" s="76"/>
      <c r="AB1490" s="76"/>
      <c r="AC1490" s="76"/>
      <c r="AD1490" s="76"/>
      <c r="AE1490" s="76"/>
      <c r="AF1490" s="76"/>
      <c r="AG1490" s="76"/>
      <c r="AH1490" s="76"/>
      <c r="AI1490" s="76">
        <v>1</v>
      </c>
      <c r="AJ1490" s="76">
        <v>1</v>
      </c>
      <c r="AK1490" s="73"/>
      <c r="AL1490" s="57"/>
      <c r="AM1490" s="45"/>
      <c r="AN1490" s="45"/>
      <c r="AO1490" s="45"/>
    </row>
    <row r="1491" spans="1:41" hidden="1" outlineLevel="3" x14ac:dyDescent="0.25">
      <c r="A1491" s="45"/>
      <c r="B1491" s="54"/>
      <c r="C1491" s="47">
        <f t="shared" si="528"/>
        <v>4</v>
      </c>
      <c r="D1491" s="73"/>
      <c r="E1491" s="70"/>
      <c r="F1491" s="70" t="s">
        <v>1978</v>
      </c>
      <c r="G1491" s="73"/>
      <c r="H1491" s="76" t="s">
        <v>599</v>
      </c>
      <c r="I1491" s="76"/>
      <c r="J1491" s="76"/>
      <c r="K1491" s="76"/>
      <c r="L1491" s="76"/>
      <c r="M1491" s="76"/>
      <c r="N1491" s="76"/>
      <c r="O1491" s="76"/>
      <c r="P1491" s="76"/>
      <c r="Q1491" s="76"/>
      <c r="R1491" s="76"/>
      <c r="S1491" s="76"/>
      <c r="T1491" s="76"/>
      <c r="U1491" s="76"/>
      <c r="V1491" s="76"/>
      <c r="W1491" s="76"/>
      <c r="X1491" s="76"/>
      <c r="Y1491" s="76"/>
      <c r="Z1491" s="76"/>
      <c r="AA1491" s="76"/>
      <c r="AB1491" s="76"/>
      <c r="AC1491" s="76"/>
      <c r="AD1491" s="76"/>
      <c r="AE1491" s="76"/>
      <c r="AF1491" s="76"/>
      <c r="AG1491" s="76"/>
      <c r="AH1491" s="76"/>
      <c r="AI1491" s="76">
        <v>1</v>
      </c>
      <c r="AJ1491" s="76">
        <v>1</v>
      </c>
      <c r="AK1491" s="73"/>
      <c r="AL1491" s="57"/>
      <c r="AM1491" s="45"/>
      <c r="AN1491" s="45"/>
      <c r="AO1491" s="45"/>
    </row>
    <row r="1492" spans="1:41" hidden="1" outlineLevel="3" x14ac:dyDescent="0.25">
      <c r="A1492" s="45"/>
      <c r="B1492" s="54"/>
      <c r="C1492" s="47">
        <f t="shared" si="528"/>
        <v>4</v>
      </c>
      <c r="D1492" s="73"/>
      <c r="E1492" s="70"/>
      <c r="F1492" s="70" t="s">
        <v>1979</v>
      </c>
      <c r="G1492" s="73"/>
      <c r="H1492" s="76"/>
      <c r="I1492" s="76"/>
      <c r="J1492" s="76"/>
      <c r="K1492" s="76"/>
      <c r="L1492" s="76"/>
      <c r="M1492" s="76"/>
      <c r="N1492" s="76"/>
      <c r="O1492" s="76"/>
      <c r="P1492" s="76"/>
      <c r="Q1492" s="76"/>
      <c r="R1492" s="76"/>
      <c r="S1492" s="76"/>
      <c r="T1492" s="76"/>
      <c r="U1492" s="76"/>
      <c r="V1492" s="76"/>
      <c r="W1492" s="76"/>
      <c r="X1492" s="76"/>
      <c r="Y1492" s="76"/>
      <c r="Z1492" s="76"/>
      <c r="AA1492" s="76"/>
      <c r="AB1492" s="76"/>
      <c r="AC1492" s="76"/>
      <c r="AD1492" s="76"/>
      <c r="AE1492" s="76"/>
      <c r="AF1492" s="76"/>
      <c r="AG1492" s="76"/>
      <c r="AH1492" s="76"/>
      <c r="AI1492" s="76">
        <v>1</v>
      </c>
      <c r="AJ1492" s="76">
        <v>1</v>
      </c>
      <c r="AK1492" s="73"/>
      <c r="AL1492" s="57"/>
      <c r="AM1492" s="45"/>
      <c r="AN1492" s="45"/>
      <c r="AO1492" s="45"/>
    </row>
    <row r="1493" spans="1:41" hidden="1" outlineLevel="3" x14ac:dyDescent="0.25">
      <c r="A1493" s="45"/>
      <c r="B1493" s="54"/>
      <c r="C1493" s="47">
        <f t="shared" si="528"/>
        <v>4</v>
      </c>
      <c r="D1493" s="73"/>
      <c r="E1493" s="70"/>
      <c r="F1493" s="70" t="s">
        <v>1980</v>
      </c>
      <c r="G1493" s="73"/>
      <c r="H1493" s="76"/>
      <c r="I1493" s="76"/>
      <c r="J1493" s="76"/>
      <c r="K1493" s="76"/>
      <c r="L1493" s="76"/>
      <c r="M1493" s="76"/>
      <c r="N1493" s="76"/>
      <c r="O1493" s="76"/>
      <c r="P1493" s="76"/>
      <c r="Q1493" s="76"/>
      <c r="R1493" s="76"/>
      <c r="S1493" s="76"/>
      <c r="T1493" s="76"/>
      <c r="U1493" s="76"/>
      <c r="V1493" s="76"/>
      <c r="W1493" s="76"/>
      <c r="X1493" s="76"/>
      <c r="Y1493" s="76"/>
      <c r="Z1493" s="76"/>
      <c r="AA1493" s="76"/>
      <c r="AB1493" s="76"/>
      <c r="AC1493" s="76"/>
      <c r="AD1493" s="76"/>
      <c r="AE1493" s="76"/>
      <c r="AF1493" s="76"/>
      <c r="AG1493" s="76"/>
      <c r="AH1493" s="76"/>
      <c r="AI1493" s="76">
        <v>1</v>
      </c>
      <c r="AJ1493" s="76">
        <v>1</v>
      </c>
      <c r="AK1493" s="73"/>
      <c r="AL1493" s="57"/>
      <c r="AM1493" s="45"/>
      <c r="AN1493" s="45"/>
      <c r="AO1493" s="45"/>
    </row>
    <row r="1494" spans="1:41" hidden="1" outlineLevel="3" x14ac:dyDescent="0.25">
      <c r="A1494" s="45"/>
      <c r="B1494" s="54"/>
      <c r="C1494" s="47">
        <f t="shared" si="528"/>
        <v>4</v>
      </c>
      <c r="D1494" s="73"/>
      <c r="E1494" s="70"/>
      <c r="F1494" s="70" t="s">
        <v>1981</v>
      </c>
      <c r="G1494" s="73"/>
      <c r="H1494" s="76"/>
      <c r="I1494" s="76"/>
      <c r="J1494" s="76"/>
      <c r="K1494" s="76"/>
      <c r="L1494" s="76"/>
      <c r="M1494" s="76"/>
      <c r="N1494" s="76"/>
      <c r="O1494" s="76"/>
      <c r="P1494" s="76"/>
      <c r="Q1494" s="76"/>
      <c r="R1494" s="76"/>
      <c r="S1494" s="76"/>
      <c r="T1494" s="76"/>
      <c r="U1494" s="76"/>
      <c r="V1494" s="76"/>
      <c r="W1494" s="76"/>
      <c r="X1494" s="76"/>
      <c r="Y1494" s="76"/>
      <c r="Z1494" s="76"/>
      <c r="AA1494" s="76"/>
      <c r="AB1494" s="76"/>
      <c r="AC1494" s="76"/>
      <c r="AD1494" s="76"/>
      <c r="AE1494" s="76"/>
      <c r="AF1494" s="76"/>
      <c r="AG1494" s="76"/>
      <c r="AH1494" s="76"/>
      <c r="AI1494" s="76">
        <v>1</v>
      </c>
      <c r="AJ1494" s="76">
        <v>1</v>
      </c>
      <c r="AK1494" s="73"/>
      <c r="AL1494" s="57"/>
      <c r="AM1494" s="45"/>
      <c r="AN1494" s="45"/>
      <c r="AO1494" s="45"/>
    </row>
    <row r="1495" spans="1:41" hidden="1" outlineLevel="3" x14ac:dyDescent="0.25">
      <c r="A1495" s="45"/>
      <c r="B1495" s="54"/>
      <c r="C1495" s="47">
        <f t="shared" si="528"/>
        <v>4</v>
      </c>
      <c r="D1495" s="73"/>
      <c r="E1495" s="70"/>
      <c r="F1495" s="70" t="s">
        <v>1982</v>
      </c>
      <c r="G1495" s="73"/>
      <c r="H1495" s="76"/>
      <c r="I1495" s="76"/>
      <c r="J1495" s="76"/>
      <c r="K1495" s="76"/>
      <c r="L1495" s="76"/>
      <c r="M1495" s="76"/>
      <c r="N1495" s="76"/>
      <c r="O1495" s="76"/>
      <c r="P1495" s="76"/>
      <c r="Q1495" s="76"/>
      <c r="R1495" s="76"/>
      <c r="S1495" s="76"/>
      <c r="T1495" s="76"/>
      <c r="U1495" s="76"/>
      <c r="V1495" s="76"/>
      <c r="W1495" s="76"/>
      <c r="X1495" s="76"/>
      <c r="Y1495" s="76"/>
      <c r="Z1495" s="76"/>
      <c r="AA1495" s="76"/>
      <c r="AB1495" s="76"/>
      <c r="AC1495" s="76"/>
      <c r="AD1495" s="76"/>
      <c r="AE1495" s="76"/>
      <c r="AF1495" s="76"/>
      <c r="AG1495" s="76"/>
      <c r="AH1495" s="76"/>
      <c r="AI1495" s="76">
        <v>1</v>
      </c>
      <c r="AJ1495" s="76">
        <v>1</v>
      </c>
      <c r="AK1495" s="73"/>
      <c r="AL1495" s="57"/>
      <c r="AM1495" s="45"/>
      <c r="AN1495" s="45"/>
      <c r="AO1495" s="45"/>
    </row>
    <row r="1496" spans="1:41" hidden="1" outlineLevel="3" x14ac:dyDescent="0.25">
      <c r="A1496" s="45"/>
      <c r="B1496" s="54"/>
      <c r="C1496" s="47"/>
      <c r="D1496" s="73"/>
      <c r="E1496" s="70"/>
      <c r="F1496" s="70" t="s">
        <v>2412</v>
      </c>
      <c r="G1496" s="73"/>
      <c r="H1496" s="76"/>
      <c r="I1496" s="76"/>
      <c r="J1496" s="76"/>
      <c r="K1496" s="76"/>
      <c r="L1496" s="76"/>
      <c r="M1496" s="76"/>
      <c r="N1496" s="76"/>
      <c r="O1496" s="76"/>
      <c r="P1496" s="76"/>
      <c r="Q1496" s="76"/>
      <c r="R1496" s="76"/>
      <c r="S1496" s="76"/>
      <c r="T1496" s="76"/>
      <c r="U1496" s="76"/>
      <c r="V1496" s="76"/>
      <c r="W1496" s="76"/>
      <c r="X1496" s="76"/>
      <c r="Y1496" s="76"/>
      <c r="Z1496" s="76"/>
      <c r="AA1496" s="76"/>
      <c r="AB1496" s="76"/>
      <c r="AC1496" s="76"/>
      <c r="AD1496" s="76"/>
      <c r="AE1496" s="76"/>
      <c r="AF1496" s="76"/>
      <c r="AG1496" s="76"/>
      <c r="AH1496" s="76"/>
      <c r="AI1496" s="76">
        <v>1</v>
      </c>
      <c r="AJ1496" s="76">
        <v>1</v>
      </c>
      <c r="AK1496" s="73"/>
      <c r="AL1496" s="57"/>
      <c r="AM1496" s="45"/>
      <c r="AN1496" s="45"/>
      <c r="AO1496" s="45"/>
    </row>
    <row r="1497" spans="1:41" hidden="1" outlineLevel="3" x14ac:dyDescent="0.25">
      <c r="A1497" s="45"/>
      <c r="B1497" s="54"/>
      <c r="C1497" s="47"/>
      <c r="D1497" s="73"/>
      <c r="E1497" s="70"/>
      <c r="F1497" s="70" t="s">
        <v>2413</v>
      </c>
      <c r="G1497" s="73"/>
      <c r="H1497" s="76"/>
      <c r="I1497" s="76"/>
      <c r="J1497" s="76"/>
      <c r="K1497" s="76"/>
      <c r="L1497" s="76"/>
      <c r="M1497" s="76"/>
      <c r="N1497" s="76"/>
      <c r="O1497" s="76"/>
      <c r="P1497" s="76"/>
      <c r="Q1497" s="76"/>
      <c r="R1497" s="76"/>
      <c r="S1497" s="76"/>
      <c r="T1497" s="76"/>
      <c r="U1497" s="76"/>
      <c r="V1497" s="76"/>
      <c r="W1497" s="76"/>
      <c r="X1497" s="76"/>
      <c r="Y1497" s="76"/>
      <c r="Z1497" s="76"/>
      <c r="AA1497" s="76"/>
      <c r="AB1497" s="76"/>
      <c r="AC1497" s="76"/>
      <c r="AD1497" s="76"/>
      <c r="AE1497" s="76"/>
      <c r="AF1497" s="76"/>
      <c r="AG1497" s="76"/>
      <c r="AH1497" s="76"/>
      <c r="AI1497" s="76">
        <v>1</v>
      </c>
      <c r="AJ1497" s="76">
        <v>1</v>
      </c>
      <c r="AK1497" s="73"/>
      <c r="AL1497" s="57"/>
      <c r="AM1497" s="45"/>
      <c r="AN1497" s="45"/>
      <c r="AO1497" s="45"/>
    </row>
    <row r="1498" spans="1:41" hidden="1" outlineLevel="3" x14ac:dyDescent="0.25">
      <c r="A1498" s="45"/>
      <c r="B1498" s="54"/>
      <c r="C1498" s="47"/>
      <c r="D1498" s="73"/>
      <c r="E1498" s="70"/>
      <c r="F1498" s="70" t="s">
        <v>2414</v>
      </c>
      <c r="G1498" s="73"/>
      <c r="H1498" s="76"/>
      <c r="I1498" s="76"/>
      <c r="J1498" s="76"/>
      <c r="K1498" s="76"/>
      <c r="L1498" s="76"/>
      <c r="M1498" s="76"/>
      <c r="N1498" s="76"/>
      <c r="O1498" s="76"/>
      <c r="P1498" s="76"/>
      <c r="Q1498" s="76"/>
      <c r="R1498" s="76"/>
      <c r="S1498" s="76"/>
      <c r="T1498" s="76"/>
      <c r="U1498" s="76"/>
      <c r="V1498" s="76"/>
      <c r="W1498" s="76"/>
      <c r="X1498" s="76"/>
      <c r="Y1498" s="76"/>
      <c r="Z1498" s="76"/>
      <c r="AA1498" s="76"/>
      <c r="AB1498" s="76"/>
      <c r="AC1498" s="76"/>
      <c r="AD1498" s="76"/>
      <c r="AE1498" s="76"/>
      <c r="AF1498" s="76"/>
      <c r="AG1498" s="76"/>
      <c r="AH1498" s="76"/>
      <c r="AI1498" s="76">
        <v>1</v>
      </c>
      <c r="AJ1498" s="76">
        <v>1</v>
      </c>
      <c r="AK1498" s="73"/>
      <c r="AL1498" s="57"/>
      <c r="AM1498" s="45"/>
      <c r="AN1498" s="45"/>
      <c r="AO1498" s="45"/>
    </row>
    <row r="1499" spans="1:41" hidden="1" outlineLevel="3" x14ac:dyDescent="0.25">
      <c r="A1499" s="45"/>
      <c r="B1499" s="54"/>
      <c r="C1499" s="47">
        <f t="shared" ref="C1499:C1510" si="529">INT($C$29)+3</f>
        <v>4</v>
      </c>
      <c r="D1499" s="73"/>
      <c r="E1499" s="70"/>
      <c r="F1499" s="70" t="str">
        <f>SUBSTITUTE(F1495,",4)",",8)")</f>
        <v>C(U2,11,8)</v>
      </c>
      <c r="G1499" s="73"/>
      <c r="H1499" s="76"/>
      <c r="I1499" s="96"/>
      <c r="J1499" s="76"/>
      <c r="K1499" s="76"/>
      <c r="L1499" s="76"/>
      <c r="M1499" s="76"/>
      <c r="N1499" s="76"/>
      <c r="O1499" s="76"/>
      <c r="P1499" s="76"/>
      <c r="Q1499" s="76"/>
      <c r="R1499" s="76"/>
      <c r="S1499" s="76"/>
      <c r="T1499" s="76"/>
      <c r="U1499" s="76"/>
      <c r="V1499" s="76"/>
      <c r="W1499" s="76"/>
      <c r="X1499" s="76"/>
      <c r="Y1499" s="76"/>
      <c r="Z1499" s="76"/>
      <c r="AA1499" s="76"/>
      <c r="AB1499" s="76"/>
      <c r="AC1499" s="76"/>
      <c r="AD1499" s="76"/>
      <c r="AE1499" s="76"/>
      <c r="AF1499" s="76"/>
      <c r="AG1499" s="76"/>
      <c r="AH1499" s="76"/>
      <c r="AI1499" s="76">
        <v>1</v>
      </c>
      <c r="AJ1499" s="76">
        <v>1</v>
      </c>
      <c r="AK1499" s="73"/>
      <c r="AL1499" s="57"/>
      <c r="AM1499" s="45"/>
      <c r="AN1499" s="45"/>
      <c r="AO1499" s="45"/>
    </row>
    <row r="1500" spans="1:41" hidden="1" outlineLevel="3" x14ac:dyDescent="0.25">
      <c r="A1500" s="45"/>
      <c r="B1500" s="54"/>
      <c r="C1500" s="47">
        <f t="shared" si="529"/>
        <v>4</v>
      </c>
      <c r="D1500" s="73"/>
      <c r="E1500" s="70"/>
      <c r="F1500" s="70" t="str">
        <f>SUBSTITUTE(F1496,",5)",",9)")</f>
        <v>C(U2,11,9)</v>
      </c>
      <c r="G1500" s="73"/>
      <c r="H1500" s="76"/>
      <c r="I1500" s="96"/>
      <c r="J1500" s="76"/>
      <c r="K1500" s="76"/>
      <c r="L1500" s="76"/>
      <c r="M1500" s="76"/>
      <c r="N1500" s="76"/>
      <c r="O1500" s="76"/>
      <c r="P1500" s="76"/>
      <c r="Q1500" s="76"/>
      <c r="R1500" s="76"/>
      <c r="S1500" s="76"/>
      <c r="T1500" s="76"/>
      <c r="U1500" s="76"/>
      <c r="V1500" s="76"/>
      <c r="W1500" s="76"/>
      <c r="X1500" s="76"/>
      <c r="Y1500" s="76"/>
      <c r="Z1500" s="76"/>
      <c r="AA1500" s="76"/>
      <c r="AB1500" s="76"/>
      <c r="AC1500" s="76"/>
      <c r="AD1500" s="76"/>
      <c r="AE1500" s="76"/>
      <c r="AF1500" s="76"/>
      <c r="AG1500" s="76"/>
      <c r="AH1500" s="76"/>
      <c r="AI1500" s="76">
        <v>1</v>
      </c>
      <c r="AJ1500" s="76">
        <v>1</v>
      </c>
      <c r="AK1500" s="73"/>
      <c r="AL1500" s="57"/>
      <c r="AM1500" s="45"/>
      <c r="AN1500" s="45"/>
      <c r="AO1500" s="45"/>
    </row>
    <row r="1501" spans="1:41" hidden="1" outlineLevel="3" x14ac:dyDescent="0.25">
      <c r="A1501" s="45"/>
      <c r="B1501" s="54"/>
      <c r="C1501" s="47">
        <f t="shared" si="529"/>
        <v>4</v>
      </c>
      <c r="D1501" s="73"/>
      <c r="E1501" s="70"/>
      <c r="F1501" s="70" t="str">
        <f>SUBSTITUTE(F1497,",6)",",10)")</f>
        <v>C(U2,11,10)</v>
      </c>
      <c r="G1501" s="73"/>
      <c r="H1501" s="76"/>
      <c r="I1501" s="96"/>
      <c r="J1501" s="76"/>
      <c r="K1501" s="76"/>
      <c r="L1501" s="76"/>
      <c r="M1501" s="76"/>
      <c r="N1501" s="76"/>
      <c r="O1501" s="76"/>
      <c r="P1501" s="76"/>
      <c r="Q1501" s="76"/>
      <c r="R1501" s="76"/>
      <c r="S1501" s="76"/>
      <c r="T1501" s="76"/>
      <c r="U1501" s="76"/>
      <c r="V1501" s="76"/>
      <c r="W1501" s="76"/>
      <c r="X1501" s="76"/>
      <c r="Y1501" s="76"/>
      <c r="Z1501" s="76"/>
      <c r="AA1501" s="76"/>
      <c r="AB1501" s="76"/>
      <c r="AC1501" s="76"/>
      <c r="AD1501" s="76"/>
      <c r="AE1501" s="76"/>
      <c r="AF1501" s="76"/>
      <c r="AG1501" s="76"/>
      <c r="AH1501" s="76"/>
      <c r="AI1501" s="76">
        <v>1</v>
      </c>
      <c r="AJ1501" s="76">
        <v>1</v>
      </c>
      <c r="AK1501" s="73"/>
      <c r="AL1501" s="57"/>
      <c r="AM1501" s="45"/>
      <c r="AN1501" s="45"/>
      <c r="AO1501" s="45"/>
    </row>
    <row r="1502" spans="1:41" hidden="1" outlineLevel="3" x14ac:dyDescent="0.25">
      <c r="A1502" s="45"/>
      <c r="B1502" s="54"/>
      <c r="C1502" s="47">
        <f t="shared" si="529"/>
        <v>4</v>
      </c>
      <c r="D1502" s="73"/>
      <c r="E1502" s="70"/>
      <c r="F1502" s="70" t="str">
        <f>SUBSTITUTE(F1498,",7)",",11)")</f>
        <v>C(U2,11,11)</v>
      </c>
      <c r="G1502" s="73"/>
      <c r="H1502" s="76"/>
      <c r="I1502" s="96"/>
      <c r="J1502" s="76"/>
      <c r="K1502" s="76"/>
      <c r="L1502" s="76"/>
      <c r="M1502" s="76"/>
      <c r="N1502" s="76"/>
      <c r="O1502" s="76"/>
      <c r="P1502" s="76"/>
      <c r="Q1502" s="76"/>
      <c r="R1502" s="76"/>
      <c r="S1502" s="76"/>
      <c r="T1502" s="76"/>
      <c r="U1502" s="76"/>
      <c r="V1502" s="76"/>
      <c r="W1502" s="76"/>
      <c r="X1502" s="76"/>
      <c r="Y1502" s="76"/>
      <c r="Z1502" s="76"/>
      <c r="AA1502" s="76"/>
      <c r="AB1502" s="76"/>
      <c r="AC1502" s="76"/>
      <c r="AD1502" s="76"/>
      <c r="AE1502" s="76"/>
      <c r="AF1502" s="76"/>
      <c r="AG1502" s="76"/>
      <c r="AH1502" s="76"/>
      <c r="AI1502" s="76">
        <v>1</v>
      </c>
      <c r="AJ1502" s="76">
        <v>1</v>
      </c>
      <c r="AK1502" s="73"/>
      <c r="AL1502" s="57"/>
      <c r="AM1502" s="45"/>
      <c r="AN1502" s="45"/>
      <c r="AO1502" s="45"/>
    </row>
    <row r="1503" spans="1:41" hidden="1" outlineLevel="3" x14ac:dyDescent="0.25">
      <c r="A1503" s="45"/>
      <c r="B1503" s="54"/>
      <c r="C1503" s="47">
        <f t="shared" si="529"/>
        <v>4</v>
      </c>
      <c r="D1503" s="73"/>
      <c r="E1503" s="70"/>
      <c r="F1503" s="70" t="str">
        <f>SUBSTITUTE(F1497,",6)",",12)")</f>
        <v>C(U2,11,12)</v>
      </c>
      <c r="G1503" s="73"/>
      <c r="H1503" s="76"/>
      <c r="I1503" s="96"/>
      <c r="J1503" s="76"/>
      <c r="K1503" s="76"/>
      <c r="L1503" s="76"/>
      <c r="M1503" s="76"/>
      <c r="N1503" s="76"/>
      <c r="O1503" s="76"/>
      <c r="P1503" s="76"/>
      <c r="Q1503" s="76"/>
      <c r="R1503" s="76"/>
      <c r="S1503" s="76"/>
      <c r="T1503" s="76"/>
      <c r="U1503" s="76"/>
      <c r="V1503" s="76"/>
      <c r="W1503" s="76"/>
      <c r="X1503" s="76"/>
      <c r="Y1503" s="76"/>
      <c r="Z1503" s="76"/>
      <c r="AA1503" s="76"/>
      <c r="AB1503" s="76"/>
      <c r="AC1503" s="76"/>
      <c r="AD1503" s="76"/>
      <c r="AE1503" s="76"/>
      <c r="AF1503" s="76"/>
      <c r="AG1503" s="76"/>
      <c r="AH1503" s="76"/>
      <c r="AI1503" s="76">
        <v>1</v>
      </c>
      <c r="AJ1503" s="76">
        <v>1</v>
      </c>
      <c r="AK1503" s="73"/>
      <c r="AL1503" s="57"/>
      <c r="AM1503" s="45"/>
      <c r="AN1503" s="45"/>
      <c r="AO1503" s="45"/>
    </row>
    <row r="1504" spans="1:41" hidden="1" outlineLevel="3" x14ac:dyDescent="0.25">
      <c r="A1504" s="45"/>
      <c r="B1504" s="54"/>
      <c r="C1504" s="47">
        <f t="shared" si="529"/>
        <v>4</v>
      </c>
      <c r="D1504" s="73"/>
      <c r="E1504" s="70"/>
      <c r="F1504" s="70" t="str">
        <f>SUBSTITUTE(F1498,",7)",",13)")</f>
        <v>C(U2,11,13)</v>
      </c>
      <c r="G1504" s="73"/>
      <c r="H1504" s="76"/>
      <c r="I1504" s="96"/>
      <c r="J1504" s="76"/>
      <c r="K1504" s="76"/>
      <c r="L1504" s="76"/>
      <c r="M1504" s="76"/>
      <c r="N1504" s="76"/>
      <c r="O1504" s="76"/>
      <c r="P1504" s="76"/>
      <c r="Q1504" s="76"/>
      <c r="R1504" s="76"/>
      <c r="S1504" s="76"/>
      <c r="T1504" s="76"/>
      <c r="U1504" s="76"/>
      <c r="V1504" s="76"/>
      <c r="W1504" s="76"/>
      <c r="X1504" s="76"/>
      <c r="Y1504" s="76"/>
      <c r="Z1504" s="76"/>
      <c r="AA1504" s="76"/>
      <c r="AB1504" s="76"/>
      <c r="AC1504" s="76"/>
      <c r="AD1504" s="76"/>
      <c r="AE1504" s="76"/>
      <c r="AF1504" s="76"/>
      <c r="AG1504" s="76"/>
      <c r="AH1504" s="76"/>
      <c r="AI1504" s="76">
        <v>1</v>
      </c>
      <c r="AJ1504" s="76">
        <v>1</v>
      </c>
      <c r="AK1504" s="73"/>
      <c r="AL1504" s="57"/>
      <c r="AM1504" s="45"/>
      <c r="AN1504" s="45"/>
      <c r="AO1504" s="45"/>
    </row>
    <row r="1505" spans="1:41" hidden="1" outlineLevel="3" x14ac:dyDescent="0.25">
      <c r="A1505" s="45"/>
      <c r="B1505" s="54"/>
      <c r="C1505" s="47">
        <f t="shared" si="529"/>
        <v>4</v>
      </c>
      <c r="D1505" s="73"/>
      <c r="E1505" s="70"/>
      <c r="F1505" s="70" t="s">
        <v>1983</v>
      </c>
      <c r="G1505" s="73"/>
      <c r="H1505" s="76"/>
      <c r="I1505" s="76"/>
      <c r="J1505" s="76"/>
      <c r="K1505" s="76"/>
      <c r="L1505" s="76"/>
      <c r="M1505" s="76"/>
      <c r="N1505" s="76"/>
      <c r="O1505" s="76"/>
      <c r="P1505" s="76"/>
      <c r="Q1505" s="76"/>
      <c r="R1505" s="76"/>
      <c r="S1505" s="76"/>
      <c r="T1505" s="76"/>
      <c r="U1505" s="76"/>
      <c r="V1505" s="76"/>
      <c r="W1505" s="76"/>
      <c r="X1505" s="76"/>
      <c r="Y1505" s="76"/>
      <c r="Z1505" s="76"/>
      <c r="AA1505" s="76"/>
      <c r="AB1505" s="76"/>
      <c r="AC1505" s="76"/>
      <c r="AD1505" s="76"/>
      <c r="AE1505" s="76"/>
      <c r="AF1505" s="76"/>
      <c r="AG1505" s="76"/>
      <c r="AH1505" s="76"/>
      <c r="AI1505" s="76">
        <v>1</v>
      </c>
      <c r="AJ1505" s="76">
        <v>1</v>
      </c>
      <c r="AK1505" s="73"/>
      <c r="AL1505" s="57"/>
      <c r="AM1505" s="45"/>
      <c r="AN1505" s="45"/>
      <c r="AO1505" s="45"/>
    </row>
    <row r="1506" spans="1:41" hidden="1" outlineLevel="3" x14ac:dyDescent="0.25">
      <c r="A1506" s="45"/>
      <c r="B1506" s="54"/>
      <c r="C1506" s="47">
        <f t="shared" si="529"/>
        <v>4</v>
      </c>
      <c r="D1506" s="73"/>
      <c r="E1506" s="70"/>
      <c r="F1506" s="70" t="s">
        <v>1984</v>
      </c>
      <c r="G1506" s="73"/>
      <c r="H1506" s="76" t="s">
        <v>599</v>
      </c>
      <c r="I1506" s="76"/>
      <c r="J1506" s="76"/>
      <c r="K1506" s="76"/>
      <c r="L1506" s="76"/>
      <c r="M1506" s="76"/>
      <c r="N1506" s="76"/>
      <c r="O1506" s="76"/>
      <c r="P1506" s="76"/>
      <c r="Q1506" s="76"/>
      <c r="R1506" s="76"/>
      <c r="S1506" s="76"/>
      <c r="T1506" s="76"/>
      <c r="U1506" s="76"/>
      <c r="V1506" s="76"/>
      <c r="W1506" s="76"/>
      <c r="X1506" s="76"/>
      <c r="Y1506" s="76"/>
      <c r="Z1506" s="76"/>
      <c r="AA1506" s="76"/>
      <c r="AB1506" s="76"/>
      <c r="AC1506" s="76"/>
      <c r="AD1506" s="76"/>
      <c r="AE1506" s="76"/>
      <c r="AF1506" s="76"/>
      <c r="AG1506" s="76"/>
      <c r="AH1506" s="76"/>
      <c r="AI1506" s="76">
        <v>1</v>
      </c>
      <c r="AJ1506" s="76">
        <v>1</v>
      </c>
      <c r="AK1506" s="73"/>
      <c r="AL1506" s="57"/>
      <c r="AM1506" s="45"/>
      <c r="AN1506" s="45"/>
      <c r="AO1506" s="45"/>
    </row>
    <row r="1507" spans="1:41" hidden="1" outlineLevel="3" x14ac:dyDescent="0.25">
      <c r="A1507" s="45"/>
      <c r="B1507" s="54"/>
      <c r="C1507" s="47">
        <f t="shared" si="529"/>
        <v>4</v>
      </c>
      <c r="D1507" s="73"/>
      <c r="E1507" s="70"/>
      <c r="F1507" s="70" t="s">
        <v>1985</v>
      </c>
      <c r="G1507" s="73"/>
      <c r="H1507" s="76"/>
      <c r="I1507" s="76"/>
      <c r="J1507" s="76"/>
      <c r="K1507" s="76"/>
      <c r="L1507" s="76"/>
      <c r="M1507" s="76"/>
      <c r="N1507" s="76"/>
      <c r="O1507" s="76"/>
      <c r="P1507" s="76"/>
      <c r="Q1507" s="76"/>
      <c r="R1507" s="76"/>
      <c r="S1507" s="76"/>
      <c r="T1507" s="76"/>
      <c r="U1507" s="76"/>
      <c r="V1507" s="76"/>
      <c r="W1507" s="76"/>
      <c r="X1507" s="76"/>
      <c r="Y1507" s="76"/>
      <c r="Z1507" s="76"/>
      <c r="AA1507" s="76"/>
      <c r="AB1507" s="76"/>
      <c r="AC1507" s="76"/>
      <c r="AD1507" s="76"/>
      <c r="AE1507" s="76"/>
      <c r="AF1507" s="76"/>
      <c r="AG1507" s="76"/>
      <c r="AH1507" s="76"/>
      <c r="AI1507" s="76">
        <v>1</v>
      </c>
      <c r="AJ1507" s="76">
        <v>1</v>
      </c>
      <c r="AK1507" s="73"/>
      <c r="AL1507" s="57"/>
      <c r="AM1507" s="45"/>
      <c r="AN1507" s="45"/>
      <c r="AO1507" s="45"/>
    </row>
    <row r="1508" spans="1:41" hidden="1" outlineLevel="3" x14ac:dyDescent="0.25">
      <c r="A1508" s="45"/>
      <c r="B1508" s="54"/>
      <c r="C1508" s="47">
        <f t="shared" si="529"/>
        <v>4</v>
      </c>
      <c r="D1508" s="73"/>
      <c r="E1508" s="70"/>
      <c r="F1508" s="70" t="s">
        <v>1986</v>
      </c>
      <c r="G1508" s="73"/>
      <c r="H1508" s="76"/>
      <c r="I1508" s="76"/>
      <c r="J1508" s="76"/>
      <c r="K1508" s="76"/>
      <c r="L1508" s="76"/>
      <c r="M1508" s="76"/>
      <c r="N1508" s="76"/>
      <c r="O1508" s="76"/>
      <c r="P1508" s="76"/>
      <c r="Q1508" s="76"/>
      <c r="R1508" s="76"/>
      <c r="S1508" s="76"/>
      <c r="T1508" s="76"/>
      <c r="U1508" s="76"/>
      <c r="V1508" s="76"/>
      <c r="W1508" s="76"/>
      <c r="X1508" s="76"/>
      <c r="Y1508" s="76"/>
      <c r="Z1508" s="76"/>
      <c r="AA1508" s="76"/>
      <c r="AB1508" s="76"/>
      <c r="AC1508" s="76"/>
      <c r="AD1508" s="76"/>
      <c r="AE1508" s="76"/>
      <c r="AF1508" s="76"/>
      <c r="AG1508" s="76"/>
      <c r="AH1508" s="76"/>
      <c r="AI1508" s="76">
        <v>1</v>
      </c>
      <c r="AJ1508" s="76">
        <v>1</v>
      </c>
      <c r="AK1508" s="73"/>
      <c r="AL1508" s="57"/>
      <c r="AM1508" s="45"/>
      <c r="AN1508" s="45"/>
      <c r="AO1508" s="45"/>
    </row>
    <row r="1509" spans="1:41" hidden="1" outlineLevel="3" x14ac:dyDescent="0.25">
      <c r="A1509" s="45"/>
      <c r="B1509" s="54"/>
      <c r="C1509" s="47">
        <f t="shared" si="529"/>
        <v>4</v>
      </c>
      <c r="D1509" s="73"/>
      <c r="E1509" s="70"/>
      <c r="F1509" s="70" t="s">
        <v>1987</v>
      </c>
      <c r="G1509" s="73"/>
      <c r="H1509" s="76"/>
      <c r="I1509" s="76"/>
      <c r="J1509" s="76"/>
      <c r="K1509" s="76"/>
      <c r="L1509" s="76"/>
      <c r="M1509" s="76"/>
      <c r="N1509" s="76"/>
      <c r="O1509" s="76"/>
      <c r="P1509" s="76"/>
      <c r="Q1509" s="76"/>
      <c r="R1509" s="76"/>
      <c r="S1509" s="76"/>
      <c r="T1509" s="76"/>
      <c r="U1509" s="76"/>
      <c r="V1509" s="76"/>
      <c r="W1509" s="76"/>
      <c r="X1509" s="76"/>
      <c r="Y1509" s="76"/>
      <c r="Z1509" s="76"/>
      <c r="AA1509" s="76"/>
      <c r="AB1509" s="76"/>
      <c r="AC1509" s="76"/>
      <c r="AD1509" s="76"/>
      <c r="AE1509" s="76"/>
      <c r="AF1509" s="76"/>
      <c r="AG1509" s="76"/>
      <c r="AH1509" s="76"/>
      <c r="AI1509" s="76">
        <v>1</v>
      </c>
      <c r="AJ1509" s="76">
        <v>1</v>
      </c>
      <c r="AK1509" s="73"/>
      <c r="AL1509" s="57"/>
      <c r="AM1509" s="45"/>
      <c r="AN1509" s="45"/>
      <c r="AO1509" s="45"/>
    </row>
    <row r="1510" spans="1:41" hidden="1" outlineLevel="3" x14ac:dyDescent="0.25">
      <c r="A1510" s="45"/>
      <c r="B1510" s="54"/>
      <c r="C1510" s="47">
        <f t="shared" si="529"/>
        <v>4</v>
      </c>
      <c r="D1510" s="73"/>
      <c r="E1510" s="70"/>
      <c r="F1510" s="70" t="s">
        <v>1988</v>
      </c>
      <c r="G1510" s="73"/>
      <c r="H1510" s="76"/>
      <c r="I1510" s="76"/>
      <c r="J1510" s="76"/>
      <c r="K1510" s="76"/>
      <c r="L1510" s="76"/>
      <c r="M1510" s="76"/>
      <c r="N1510" s="76"/>
      <c r="O1510" s="76"/>
      <c r="P1510" s="76"/>
      <c r="Q1510" s="76"/>
      <c r="R1510" s="76"/>
      <c r="S1510" s="76"/>
      <c r="T1510" s="76"/>
      <c r="U1510" s="76"/>
      <c r="V1510" s="76"/>
      <c r="W1510" s="76"/>
      <c r="X1510" s="76"/>
      <c r="Y1510" s="76"/>
      <c r="Z1510" s="76"/>
      <c r="AA1510" s="76"/>
      <c r="AB1510" s="76"/>
      <c r="AC1510" s="76"/>
      <c r="AD1510" s="76"/>
      <c r="AE1510" s="76"/>
      <c r="AF1510" s="76"/>
      <c r="AG1510" s="76"/>
      <c r="AH1510" s="76"/>
      <c r="AI1510" s="76">
        <v>1</v>
      </c>
      <c r="AJ1510" s="76">
        <v>1</v>
      </c>
      <c r="AK1510" s="73"/>
      <c r="AL1510" s="57"/>
      <c r="AM1510" s="45"/>
      <c r="AN1510" s="45"/>
      <c r="AO1510" s="45"/>
    </row>
    <row r="1511" spans="1:41" hidden="1" outlineLevel="3" x14ac:dyDescent="0.25">
      <c r="A1511" s="45"/>
      <c r="B1511" s="54"/>
      <c r="C1511" s="47"/>
      <c r="D1511" s="73"/>
      <c r="E1511" s="70"/>
      <c r="F1511" s="70" t="s">
        <v>2415</v>
      </c>
      <c r="G1511" s="73"/>
      <c r="H1511" s="76"/>
      <c r="I1511" s="76"/>
      <c r="J1511" s="76"/>
      <c r="K1511" s="76"/>
      <c r="L1511" s="76"/>
      <c r="M1511" s="76"/>
      <c r="N1511" s="76"/>
      <c r="O1511" s="76"/>
      <c r="P1511" s="76"/>
      <c r="Q1511" s="76"/>
      <c r="R1511" s="76"/>
      <c r="S1511" s="76"/>
      <c r="T1511" s="76"/>
      <c r="U1511" s="76"/>
      <c r="V1511" s="76"/>
      <c r="W1511" s="76"/>
      <c r="X1511" s="76"/>
      <c r="Y1511" s="76"/>
      <c r="Z1511" s="76"/>
      <c r="AA1511" s="76"/>
      <c r="AB1511" s="76"/>
      <c r="AC1511" s="76"/>
      <c r="AD1511" s="76"/>
      <c r="AE1511" s="76"/>
      <c r="AF1511" s="76"/>
      <c r="AG1511" s="76"/>
      <c r="AH1511" s="76"/>
      <c r="AI1511" s="76">
        <v>1</v>
      </c>
      <c r="AJ1511" s="76">
        <v>1</v>
      </c>
      <c r="AK1511" s="73"/>
      <c r="AL1511" s="57"/>
      <c r="AM1511" s="45"/>
      <c r="AN1511" s="45"/>
      <c r="AO1511" s="45"/>
    </row>
    <row r="1512" spans="1:41" hidden="1" outlineLevel="3" x14ac:dyDescent="0.25">
      <c r="A1512" s="45"/>
      <c r="B1512" s="54"/>
      <c r="C1512" s="47"/>
      <c r="D1512" s="73"/>
      <c r="E1512" s="70"/>
      <c r="F1512" s="70" t="s">
        <v>2416</v>
      </c>
      <c r="G1512" s="73"/>
      <c r="H1512" s="76"/>
      <c r="I1512" s="76"/>
      <c r="J1512" s="76"/>
      <c r="K1512" s="76"/>
      <c r="L1512" s="76"/>
      <c r="M1512" s="76"/>
      <c r="N1512" s="76"/>
      <c r="O1512" s="76"/>
      <c r="P1512" s="76"/>
      <c r="Q1512" s="76"/>
      <c r="R1512" s="76"/>
      <c r="S1512" s="76"/>
      <c r="T1512" s="76"/>
      <c r="U1512" s="76"/>
      <c r="V1512" s="76"/>
      <c r="W1512" s="76"/>
      <c r="X1512" s="76"/>
      <c r="Y1512" s="76"/>
      <c r="Z1512" s="76"/>
      <c r="AA1512" s="76"/>
      <c r="AB1512" s="76"/>
      <c r="AC1512" s="76"/>
      <c r="AD1512" s="76"/>
      <c r="AE1512" s="76"/>
      <c r="AF1512" s="76"/>
      <c r="AG1512" s="76"/>
      <c r="AH1512" s="76"/>
      <c r="AI1512" s="76">
        <v>1</v>
      </c>
      <c r="AJ1512" s="76">
        <v>1</v>
      </c>
      <c r="AK1512" s="73"/>
      <c r="AL1512" s="57"/>
      <c r="AM1512" s="45"/>
      <c r="AN1512" s="45"/>
      <c r="AO1512" s="45"/>
    </row>
    <row r="1513" spans="1:41" hidden="1" outlineLevel="3" x14ac:dyDescent="0.25">
      <c r="A1513" s="45"/>
      <c r="B1513" s="54"/>
      <c r="C1513" s="47"/>
      <c r="D1513" s="73"/>
      <c r="E1513" s="70"/>
      <c r="F1513" s="70" t="s">
        <v>2417</v>
      </c>
      <c r="G1513" s="73"/>
      <c r="H1513" s="76"/>
      <c r="I1513" s="76"/>
      <c r="J1513" s="76"/>
      <c r="K1513" s="76"/>
      <c r="L1513" s="76"/>
      <c r="M1513" s="76"/>
      <c r="N1513" s="76"/>
      <c r="O1513" s="76"/>
      <c r="P1513" s="76"/>
      <c r="Q1513" s="76"/>
      <c r="R1513" s="76"/>
      <c r="S1513" s="76"/>
      <c r="T1513" s="76"/>
      <c r="U1513" s="76"/>
      <c r="V1513" s="76"/>
      <c r="W1513" s="76"/>
      <c r="X1513" s="76"/>
      <c r="Y1513" s="76"/>
      <c r="Z1513" s="76"/>
      <c r="AA1513" s="76"/>
      <c r="AB1513" s="76"/>
      <c r="AC1513" s="76"/>
      <c r="AD1513" s="76"/>
      <c r="AE1513" s="76"/>
      <c r="AF1513" s="76"/>
      <c r="AG1513" s="76"/>
      <c r="AH1513" s="76"/>
      <c r="AI1513" s="76">
        <v>1</v>
      </c>
      <c r="AJ1513" s="76">
        <v>1</v>
      </c>
      <c r="AK1513" s="73"/>
      <c r="AL1513" s="57"/>
      <c r="AM1513" s="45"/>
      <c r="AN1513" s="45"/>
      <c r="AO1513" s="45"/>
    </row>
    <row r="1514" spans="1:41" hidden="1" outlineLevel="3" x14ac:dyDescent="0.25">
      <c r="A1514" s="45"/>
      <c r="B1514" s="54"/>
      <c r="C1514" s="47">
        <f t="shared" ref="C1514:C1525" si="530">INT($C$29)+3</f>
        <v>4</v>
      </c>
      <c r="D1514" s="73"/>
      <c r="E1514" s="70"/>
      <c r="F1514" s="70" t="str">
        <f>SUBSTITUTE(F1510,",4)",",8)")</f>
        <v>C(U2,12,8)</v>
      </c>
      <c r="G1514" s="73"/>
      <c r="H1514" s="76"/>
      <c r="I1514" s="96"/>
      <c r="J1514" s="76"/>
      <c r="K1514" s="76"/>
      <c r="L1514" s="76"/>
      <c r="M1514" s="76"/>
      <c r="N1514" s="76"/>
      <c r="O1514" s="76"/>
      <c r="P1514" s="76"/>
      <c r="Q1514" s="76"/>
      <c r="R1514" s="76"/>
      <c r="S1514" s="76"/>
      <c r="T1514" s="76"/>
      <c r="U1514" s="76"/>
      <c r="V1514" s="76"/>
      <c r="W1514" s="76"/>
      <c r="X1514" s="76"/>
      <c r="Y1514" s="76"/>
      <c r="Z1514" s="76"/>
      <c r="AA1514" s="76"/>
      <c r="AB1514" s="76"/>
      <c r="AC1514" s="76"/>
      <c r="AD1514" s="76"/>
      <c r="AE1514" s="76"/>
      <c r="AF1514" s="76"/>
      <c r="AG1514" s="76"/>
      <c r="AH1514" s="76"/>
      <c r="AI1514" s="76">
        <v>1</v>
      </c>
      <c r="AJ1514" s="76">
        <v>1</v>
      </c>
      <c r="AK1514" s="73"/>
      <c r="AL1514" s="57"/>
      <c r="AM1514" s="45"/>
      <c r="AN1514" s="45"/>
      <c r="AO1514" s="45"/>
    </row>
    <row r="1515" spans="1:41" hidden="1" outlineLevel="3" x14ac:dyDescent="0.25">
      <c r="A1515" s="45"/>
      <c r="B1515" s="54"/>
      <c r="C1515" s="47">
        <f t="shared" si="530"/>
        <v>4</v>
      </c>
      <c r="D1515" s="73"/>
      <c r="E1515" s="70"/>
      <c r="F1515" s="70" t="str">
        <f>SUBSTITUTE(F1511,",5)",",9)")</f>
        <v>C(U2,12,9)</v>
      </c>
      <c r="G1515" s="73"/>
      <c r="H1515" s="76"/>
      <c r="I1515" s="96"/>
      <c r="J1515" s="76"/>
      <c r="K1515" s="76"/>
      <c r="L1515" s="76"/>
      <c r="M1515" s="76"/>
      <c r="N1515" s="76"/>
      <c r="O1515" s="76"/>
      <c r="P1515" s="76"/>
      <c r="Q1515" s="76"/>
      <c r="R1515" s="76"/>
      <c r="S1515" s="76"/>
      <c r="T1515" s="76"/>
      <c r="U1515" s="76"/>
      <c r="V1515" s="76"/>
      <c r="W1515" s="76"/>
      <c r="X1515" s="76"/>
      <c r="Y1515" s="76"/>
      <c r="Z1515" s="76"/>
      <c r="AA1515" s="76"/>
      <c r="AB1515" s="76"/>
      <c r="AC1515" s="76"/>
      <c r="AD1515" s="76"/>
      <c r="AE1515" s="76"/>
      <c r="AF1515" s="76"/>
      <c r="AG1515" s="76"/>
      <c r="AH1515" s="76"/>
      <c r="AI1515" s="76">
        <v>1</v>
      </c>
      <c r="AJ1515" s="76">
        <v>1</v>
      </c>
      <c r="AK1515" s="73"/>
      <c r="AL1515" s="57"/>
      <c r="AM1515" s="45"/>
      <c r="AN1515" s="45"/>
      <c r="AO1515" s="45"/>
    </row>
    <row r="1516" spans="1:41" hidden="1" outlineLevel="3" x14ac:dyDescent="0.25">
      <c r="A1516" s="45"/>
      <c r="B1516" s="54"/>
      <c r="C1516" s="47">
        <f t="shared" si="530"/>
        <v>4</v>
      </c>
      <c r="D1516" s="73"/>
      <c r="E1516" s="70"/>
      <c r="F1516" s="70" t="str">
        <f>SUBSTITUTE(F1512,",6)",",10)")</f>
        <v>C(U2,12,10)</v>
      </c>
      <c r="G1516" s="73"/>
      <c r="H1516" s="76"/>
      <c r="I1516" s="96"/>
      <c r="J1516" s="76"/>
      <c r="K1516" s="76"/>
      <c r="L1516" s="76"/>
      <c r="M1516" s="76"/>
      <c r="N1516" s="76"/>
      <c r="O1516" s="76"/>
      <c r="P1516" s="76"/>
      <c r="Q1516" s="76"/>
      <c r="R1516" s="76"/>
      <c r="S1516" s="76"/>
      <c r="T1516" s="76"/>
      <c r="U1516" s="76"/>
      <c r="V1516" s="76"/>
      <c r="W1516" s="76"/>
      <c r="X1516" s="76"/>
      <c r="Y1516" s="76"/>
      <c r="Z1516" s="76"/>
      <c r="AA1516" s="76"/>
      <c r="AB1516" s="76"/>
      <c r="AC1516" s="76"/>
      <c r="AD1516" s="76"/>
      <c r="AE1516" s="76"/>
      <c r="AF1516" s="76"/>
      <c r="AG1516" s="76"/>
      <c r="AH1516" s="76"/>
      <c r="AI1516" s="76">
        <v>1</v>
      </c>
      <c r="AJ1516" s="76">
        <v>1</v>
      </c>
      <c r="AK1516" s="73"/>
      <c r="AL1516" s="57"/>
      <c r="AM1516" s="45"/>
      <c r="AN1516" s="45"/>
      <c r="AO1516" s="45"/>
    </row>
    <row r="1517" spans="1:41" hidden="1" outlineLevel="3" x14ac:dyDescent="0.25">
      <c r="A1517" s="45"/>
      <c r="B1517" s="54"/>
      <c r="C1517" s="47">
        <f t="shared" si="530"/>
        <v>4</v>
      </c>
      <c r="D1517" s="73"/>
      <c r="E1517" s="70"/>
      <c r="F1517" s="70" t="str">
        <f>SUBSTITUTE(F1513,",7)",",11)")</f>
        <v>C(U2,12,11)</v>
      </c>
      <c r="G1517" s="73"/>
      <c r="H1517" s="76"/>
      <c r="I1517" s="96"/>
      <c r="J1517" s="76"/>
      <c r="K1517" s="76"/>
      <c r="L1517" s="76"/>
      <c r="M1517" s="76"/>
      <c r="N1517" s="76"/>
      <c r="O1517" s="76"/>
      <c r="P1517" s="76"/>
      <c r="Q1517" s="76"/>
      <c r="R1517" s="76"/>
      <c r="S1517" s="76"/>
      <c r="T1517" s="76"/>
      <c r="U1517" s="76"/>
      <c r="V1517" s="76"/>
      <c r="W1517" s="76"/>
      <c r="X1517" s="76"/>
      <c r="Y1517" s="76"/>
      <c r="Z1517" s="76"/>
      <c r="AA1517" s="76"/>
      <c r="AB1517" s="76"/>
      <c r="AC1517" s="76"/>
      <c r="AD1517" s="76"/>
      <c r="AE1517" s="76"/>
      <c r="AF1517" s="76"/>
      <c r="AG1517" s="76"/>
      <c r="AH1517" s="76"/>
      <c r="AI1517" s="76">
        <v>1</v>
      </c>
      <c r="AJ1517" s="76">
        <v>1</v>
      </c>
      <c r="AK1517" s="73"/>
      <c r="AL1517" s="57"/>
      <c r="AM1517" s="45"/>
      <c r="AN1517" s="45"/>
      <c r="AO1517" s="45"/>
    </row>
    <row r="1518" spans="1:41" hidden="1" outlineLevel="3" x14ac:dyDescent="0.25">
      <c r="A1518" s="45"/>
      <c r="B1518" s="54"/>
      <c r="C1518" s="47">
        <f t="shared" si="530"/>
        <v>4</v>
      </c>
      <c r="D1518" s="73"/>
      <c r="E1518" s="70"/>
      <c r="F1518" s="70" t="str">
        <f>SUBSTITUTE(F1512,",6)",",12)")</f>
        <v>C(U2,12,12)</v>
      </c>
      <c r="G1518" s="73"/>
      <c r="H1518" s="76"/>
      <c r="I1518" s="96"/>
      <c r="J1518" s="76"/>
      <c r="K1518" s="76"/>
      <c r="L1518" s="76"/>
      <c r="M1518" s="76"/>
      <c r="N1518" s="76"/>
      <c r="O1518" s="76"/>
      <c r="P1518" s="76"/>
      <c r="Q1518" s="76"/>
      <c r="R1518" s="76"/>
      <c r="S1518" s="76"/>
      <c r="T1518" s="76"/>
      <c r="U1518" s="76"/>
      <c r="V1518" s="76"/>
      <c r="W1518" s="76"/>
      <c r="X1518" s="76"/>
      <c r="Y1518" s="76"/>
      <c r="Z1518" s="76"/>
      <c r="AA1518" s="76"/>
      <c r="AB1518" s="76"/>
      <c r="AC1518" s="76"/>
      <c r="AD1518" s="76"/>
      <c r="AE1518" s="76"/>
      <c r="AF1518" s="76"/>
      <c r="AG1518" s="76"/>
      <c r="AH1518" s="76"/>
      <c r="AI1518" s="76">
        <v>1</v>
      </c>
      <c r="AJ1518" s="76">
        <v>1</v>
      </c>
      <c r="AK1518" s="73"/>
      <c r="AL1518" s="57"/>
      <c r="AM1518" s="45"/>
      <c r="AN1518" s="45"/>
      <c r="AO1518" s="45"/>
    </row>
    <row r="1519" spans="1:41" hidden="1" outlineLevel="3" x14ac:dyDescent="0.25">
      <c r="A1519" s="45"/>
      <c r="B1519" s="54"/>
      <c r="C1519" s="47">
        <f t="shared" si="530"/>
        <v>4</v>
      </c>
      <c r="D1519" s="73"/>
      <c r="E1519" s="70"/>
      <c r="F1519" s="70" t="str">
        <f>SUBSTITUTE(F1513,",7)",",13)")</f>
        <v>C(U2,12,13)</v>
      </c>
      <c r="G1519" s="73"/>
      <c r="H1519" s="76"/>
      <c r="I1519" s="96"/>
      <c r="J1519" s="76"/>
      <c r="K1519" s="76"/>
      <c r="L1519" s="76"/>
      <c r="M1519" s="76"/>
      <c r="N1519" s="76"/>
      <c r="O1519" s="76"/>
      <c r="P1519" s="76"/>
      <c r="Q1519" s="76"/>
      <c r="R1519" s="76"/>
      <c r="S1519" s="76"/>
      <c r="T1519" s="76"/>
      <c r="U1519" s="76"/>
      <c r="V1519" s="76"/>
      <c r="W1519" s="76"/>
      <c r="X1519" s="76"/>
      <c r="Y1519" s="76"/>
      <c r="Z1519" s="76"/>
      <c r="AA1519" s="76"/>
      <c r="AB1519" s="76"/>
      <c r="AC1519" s="76"/>
      <c r="AD1519" s="76"/>
      <c r="AE1519" s="76"/>
      <c r="AF1519" s="76"/>
      <c r="AG1519" s="76"/>
      <c r="AH1519" s="76"/>
      <c r="AI1519" s="76">
        <v>1</v>
      </c>
      <c r="AJ1519" s="76">
        <v>1</v>
      </c>
      <c r="AK1519" s="73"/>
      <c r="AL1519" s="57"/>
      <c r="AM1519" s="45"/>
      <c r="AN1519" s="45"/>
      <c r="AO1519" s="45"/>
    </row>
    <row r="1520" spans="1:41" hidden="1" outlineLevel="3" x14ac:dyDescent="0.25">
      <c r="A1520" s="45"/>
      <c r="B1520" s="54"/>
      <c r="C1520" s="47">
        <f t="shared" si="530"/>
        <v>4</v>
      </c>
      <c r="D1520" s="73"/>
      <c r="E1520" s="70"/>
      <c r="F1520" s="70" t="s">
        <v>1989</v>
      </c>
      <c r="G1520" s="73"/>
      <c r="H1520" s="76"/>
      <c r="I1520" s="76"/>
      <c r="J1520" s="76"/>
      <c r="K1520" s="76"/>
      <c r="L1520" s="76"/>
      <c r="M1520" s="76"/>
      <c r="N1520" s="76"/>
      <c r="O1520" s="76"/>
      <c r="P1520" s="76"/>
      <c r="Q1520" s="76"/>
      <c r="R1520" s="76"/>
      <c r="S1520" s="76"/>
      <c r="T1520" s="76"/>
      <c r="U1520" s="76"/>
      <c r="V1520" s="76"/>
      <c r="W1520" s="76"/>
      <c r="X1520" s="76"/>
      <c r="Y1520" s="76"/>
      <c r="Z1520" s="76"/>
      <c r="AA1520" s="76"/>
      <c r="AB1520" s="76"/>
      <c r="AC1520" s="76"/>
      <c r="AD1520" s="76"/>
      <c r="AE1520" s="76"/>
      <c r="AF1520" s="76"/>
      <c r="AG1520" s="76"/>
      <c r="AH1520" s="76"/>
      <c r="AI1520" s="76">
        <v>1</v>
      </c>
      <c r="AJ1520" s="76">
        <v>1</v>
      </c>
      <c r="AK1520" s="73"/>
      <c r="AL1520" s="57"/>
      <c r="AM1520" s="45"/>
      <c r="AN1520" s="45"/>
      <c r="AO1520" s="45"/>
    </row>
    <row r="1521" spans="1:41" hidden="1" outlineLevel="3" x14ac:dyDescent="0.25">
      <c r="A1521" s="45"/>
      <c r="B1521" s="54"/>
      <c r="C1521" s="47">
        <f t="shared" si="530"/>
        <v>4</v>
      </c>
      <c r="D1521" s="73"/>
      <c r="E1521" s="70"/>
      <c r="F1521" s="70" t="s">
        <v>1990</v>
      </c>
      <c r="G1521" s="73"/>
      <c r="H1521" s="76" t="s">
        <v>599</v>
      </c>
      <c r="I1521" s="76"/>
      <c r="J1521" s="76"/>
      <c r="K1521" s="76"/>
      <c r="L1521" s="76"/>
      <c r="M1521" s="76"/>
      <c r="N1521" s="76"/>
      <c r="O1521" s="76"/>
      <c r="P1521" s="76"/>
      <c r="Q1521" s="76"/>
      <c r="R1521" s="76"/>
      <c r="S1521" s="76"/>
      <c r="T1521" s="76"/>
      <c r="U1521" s="76"/>
      <c r="V1521" s="76"/>
      <c r="W1521" s="76"/>
      <c r="X1521" s="76"/>
      <c r="Y1521" s="76"/>
      <c r="Z1521" s="76"/>
      <c r="AA1521" s="76"/>
      <c r="AB1521" s="76"/>
      <c r="AC1521" s="76"/>
      <c r="AD1521" s="76"/>
      <c r="AE1521" s="76"/>
      <c r="AF1521" s="76"/>
      <c r="AG1521" s="76"/>
      <c r="AH1521" s="76"/>
      <c r="AI1521" s="76">
        <v>1</v>
      </c>
      <c r="AJ1521" s="76">
        <v>1</v>
      </c>
      <c r="AK1521" s="73"/>
      <c r="AL1521" s="57"/>
      <c r="AM1521" s="45"/>
      <c r="AN1521" s="45"/>
      <c r="AO1521" s="45"/>
    </row>
    <row r="1522" spans="1:41" hidden="1" outlineLevel="3" x14ac:dyDescent="0.25">
      <c r="A1522" s="45"/>
      <c r="B1522" s="54"/>
      <c r="C1522" s="47">
        <f t="shared" si="530"/>
        <v>4</v>
      </c>
      <c r="D1522" s="73"/>
      <c r="E1522" s="70"/>
      <c r="F1522" s="70" t="s">
        <v>1991</v>
      </c>
      <c r="G1522" s="73"/>
      <c r="H1522" s="76"/>
      <c r="I1522" s="76"/>
      <c r="J1522" s="76"/>
      <c r="K1522" s="76"/>
      <c r="L1522" s="76"/>
      <c r="M1522" s="76"/>
      <c r="N1522" s="76"/>
      <c r="O1522" s="76"/>
      <c r="P1522" s="76"/>
      <c r="Q1522" s="76"/>
      <c r="R1522" s="76"/>
      <c r="S1522" s="76"/>
      <c r="T1522" s="76"/>
      <c r="U1522" s="76"/>
      <c r="V1522" s="76"/>
      <c r="W1522" s="76"/>
      <c r="X1522" s="76"/>
      <c r="Y1522" s="76"/>
      <c r="Z1522" s="76"/>
      <c r="AA1522" s="76"/>
      <c r="AB1522" s="76"/>
      <c r="AC1522" s="76"/>
      <c r="AD1522" s="76"/>
      <c r="AE1522" s="76"/>
      <c r="AF1522" s="76"/>
      <c r="AG1522" s="76"/>
      <c r="AH1522" s="76"/>
      <c r="AI1522" s="76">
        <v>1</v>
      </c>
      <c r="AJ1522" s="76">
        <v>1</v>
      </c>
      <c r="AK1522" s="73"/>
      <c r="AL1522" s="57"/>
      <c r="AM1522" s="45"/>
      <c r="AN1522" s="45"/>
      <c r="AO1522" s="45"/>
    </row>
    <row r="1523" spans="1:41" hidden="1" outlineLevel="3" x14ac:dyDescent="0.25">
      <c r="A1523" s="45"/>
      <c r="B1523" s="54"/>
      <c r="C1523" s="47">
        <f t="shared" si="530"/>
        <v>4</v>
      </c>
      <c r="D1523" s="73"/>
      <c r="E1523" s="70"/>
      <c r="F1523" s="70" t="s">
        <v>1992</v>
      </c>
      <c r="G1523" s="73"/>
      <c r="H1523" s="76"/>
      <c r="I1523" s="76"/>
      <c r="J1523" s="76"/>
      <c r="K1523" s="76"/>
      <c r="L1523" s="76"/>
      <c r="M1523" s="76"/>
      <c r="N1523" s="76"/>
      <c r="O1523" s="76"/>
      <c r="P1523" s="76"/>
      <c r="Q1523" s="76"/>
      <c r="R1523" s="76"/>
      <c r="S1523" s="76"/>
      <c r="T1523" s="76"/>
      <c r="U1523" s="76"/>
      <c r="V1523" s="76"/>
      <c r="W1523" s="76"/>
      <c r="X1523" s="76"/>
      <c r="Y1523" s="76"/>
      <c r="Z1523" s="76"/>
      <c r="AA1523" s="76"/>
      <c r="AB1523" s="76"/>
      <c r="AC1523" s="76"/>
      <c r="AD1523" s="76"/>
      <c r="AE1523" s="76"/>
      <c r="AF1523" s="76"/>
      <c r="AG1523" s="76"/>
      <c r="AH1523" s="76"/>
      <c r="AI1523" s="76">
        <v>1</v>
      </c>
      <c r="AJ1523" s="76">
        <v>1</v>
      </c>
      <c r="AK1523" s="73"/>
      <c r="AL1523" s="57"/>
      <c r="AM1523" s="45"/>
      <c r="AN1523" s="45"/>
      <c r="AO1523" s="45"/>
    </row>
    <row r="1524" spans="1:41" hidden="1" outlineLevel="3" x14ac:dyDescent="0.25">
      <c r="A1524" s="45"/>
      <c r="B1524" s="54"/>
      <c r="C1524" s="47">
        <f t="shared" si="530"/>
        <v>4</v>
      </c>
      <c r="D1524" s="73"/>
      <c r="E1524" s="70"/>
      <c r="F1524" s="70" t="s">
        <v>1993</v>
      </c>
      <c r="G1524" s="73"/>
      <c r="H1524" s="76"/>
      <c r="I1524" s="76"/>
      <c r="J1524" s="76"/>
      <c r="K1524" s="76"/>
      <c r="L1524" s="76"/>
      <c r="M1524" s="76"/>
      <c r="N1524" s="76"/>
      <c r="O1524" s="76"/>
      <c r="P1524" s="76"/>
      <c r="Q1524" s="76"/>
      <c r="R1524" s="76"/>
      <c r="S1524" s="76"/>
      <c r="T1524" s="76"/>
      <c r="U1524" s="76"/>
      <c r="V1524" s="76"/>
      <c r="W1524" s="76"/>
      <c r="X1524" s="76"/>
      <c r="Y1524" s="76"/>
      <c r="Z1524" s="76"/>
      <c r="AA1524" s="76"/>
      <c r="AB1524" s="76"/>
      <c r="AC1524" s="76"/>
      <c r="AD1524" s="76"/>
      <c r="AE1524" s="76"/>
      <c r="AF1524" s="76"/>
      <c r="AG1524" s="76"/>
      <c r="AH1524" s="76"/>
      <c r="AI1524" s="76">
        <v>1</v>
      </c>
      <c r="AJ1524" s="76">
        <v>1</v>
      </c>
      <c r="AK1524" s="73"/>
      <c r="AL1524" s="57"/>
      <c r="AM1524" s="45"/>
      <c r="AN1524" s="45"/>
      <c r="AO1524" s="45"/>
    </row>
    <row r="1525" spans="1:41" hidden="1" outlineLevel="3" x14ac:dyDescent="0.25">
      <c r="A1525" s="45"/>
      <c r="B1525" s="54"/>
      <c r="C1525" s="47">
        <f t="shared" si="530"/>
        <v>4</v>
      </c>
      <c r="D1525" s="73"/>
      <c r="E1525" s="70"/>
      <c r="F1525" s="70" t="s">
        <v>1994</v>
      </c>
      <c r="G1525" s="73"/>
      <c r="H1525" s="76"/>
      <c r="I1525" s="76"/>
      <c r="J1525" s="76"/>
      <c r="K1525" s="76"/>
      <c r="L1525" s="76"/>
      <c r="M1525" s="76"/>
      <c r="N1525" s="76"/>
      <c r="O1525" s="76"/>
      <c r="P1525" s="76"/>
      <c r="Q1525" s="76"/>
      <c r="R1525" s="76"/>
      <c r="S1525" s="76"/>
      <c r="T1525" s="76"/>
      <c r="U1525" s="76"/>
      <c r="V1525" s="76"/>
      <c r="W1525" s="76"/>
      <c r="X1525" s="76"/>
      <c r="Y1525" s="76"/>
      <c r="Z1525" s="76"/>
      <c r="AA1525" s="76"/>
      <c r="AB1525" s="76"/>
      <c r="AC1525" s="76"/>
      <c r="AD1525" s="76"/>
      <c r="AE1525" s="76"/>
      <c r="AF1525" s="76"/>
      <c r="AG1525" s="76"/>
      <c r="AH1525" s="76"/>
      <c r="AI1525" s="76">
        <v>1</v>
      </c>
      <c r="AJ1525" s="76">
        <v>1</v>
      </c>
      <c r="AK1525" s="73"/>
      <c r="AL1525" s="57"/>
      <c r="AM1525" s="45"/>
      <c r="AN1525" s="45"/>
      <c r="AO1525" s="45"/>
    </row>
    <row r="1526" spans="1:41" hidden="1" outlineLevel="3" x14ac:dyDescent="0.25">
      <c r="A1526" s="45"/>
      <c r="B1526" s="54"/>
      <c r="C1526" s="47"/>
      <c r="D1526" s="73"/>
      <c r="E1526" s="70"/>
      <c r="F1526" s="70" t="s">
        <v>2418</v>
      </c>
      <c r="G1526" s="73"/>
      <c r="H1526" s="76"/>
      <c r="I1526" s="76"/>
      <c r="J1526" s="76"/>
      <c r="K1526" s="76"/>
      <c r="L1526" s="76"/>
      <c r="M1526" s="76"/>
      <c r="N1526" s="76"/>
      <c r="O1526" s="76"/>
      <c r="P1526" s="76"/>
      <c r="Q1526" s="76"/>
      <c r="R1526" s="76"/>
      <c r="S1526" s="76"/>
      <c r="T1526" s="76"/>
      <c r="U1526" s="76"/>
      <c r="V1526" s="76"/>
      <c r="W1526" s="76"/>
      <c r="X1526" s="76"/>
      <c r="Y1526" s="76"/>
      <c r="Z1526" s="76"/>
      <c r="AA1526" s="76"/>
      <c r="AB1526" s="76"/>
      <c r="AC1526" s="76"/>
      <c r="AD1526" s="76"/>
      <c r="AE1526" s="76"/>
      <c r="AF1526" s="76"/>
      <c r="AG1526" s="76"/>
      <c r="AH1526" s="76"/>
      <c r="AI1526" s="76">
        <v>1</v>
      </c>
      <c r="AJ1526" s="76">
        <v>1</v>
      </c>
      <c r="AK1526" s="73"/>
      <c r="AL1526" s="57"/>
      <c r="AM1526" s="45"/>
      <c r="AN1526" s="45"/>
      <c r="AO1526" s="45"/>
    </row>
    <row r="1527" spans="1:41" hidden="1" outlineLevel="3" x14ac:dyDescent="0.25">
      <c r="A1527" s="45"/>
      <c r="B1527" s="54"/>
      <c r="C1527" s="47"/>
      <c r="D1527" s="73"/>
      <c r="E1527" s="70"/>
      <c r="F1527" s="70" t="s">
        <v>2419</v>
      </c>
      <c r="G1527" s="73"/>
      <c r="H1527" s="76"/>
      <c r="I1527" s="76"/>
      <c r="J1527" s="76"/>
      <c r="K1527" s="76"/>
      <c r="L1527" s="76"/>
      <c r="M1527" s="76"/>
      <c r="N1527" s="76"/>
      <c r="O1527" s="76"/>
      <c r="P1527" s="76"/>
      <c r="Q1527" s="76"/>
      <c r="R1527" s="76"/>
      <c r="S1527" s="76"/>
      <c r="T1527" s="76"/>
      <c r="U1527" s="76"/>
      <c r="V1527" s="76"/>
      <c r="W1527" s="76"/>
      <c r="X1527" s="76"/>
      <c r="Y1527" s="76"/>
      <c r="Z1527" s="76"/>
      <c r="AA1527" s="76"/>
      <c r="AB1527" s="76"/>
      <c r="AC1527" s="76"/>
      <c r="AD1527" s="76"/>
      <c r="AE1527" s="76"/>
      <c r="AF1527" s="76"/>
      <c r="AG1527" s="76"/>
      <c r="AH1527" s="76"/>
      <c r="AI1527" s="76">
        <v>1</v>
      </c>
      <c r="AJ1527" s="76">
        <v>1</v>
      </c>
      <c r="AK1527" s="73"/>
      <c r="AL1527" s="57"/>
      <c r="AM1527" s="45"/>
      <c r="AN1527" s="45"/>
      <c r="AO1527" s="45"/>
    </row>
    <row r="1528" spans="1:41" hidden="1" outlineLevel="3" x14ac:dyDescent="0.25">
      <c r="A1528" s="45"/>
      <c r="B1528" s="54"/>
      <c r="C1528" s="47"/>
      <c r="D1528" s="73"/>
      <c r="E1528" s="70"/>
      <c r="F1528" s="70" t="s">
        <v>2420</v>
      </c>
      <c r="G1528" s="73"/>
      <c r="H1528" s="76"/>
      <c r="I1528" s="76"/>
      <c r="J1528" s="76"/>
      <c r="K1528" s="76"/>
      <c r="L1528" s="76"/>
      <c r="M1528" s="76"/>
      <c r="N1528" s="76"/>
      <c r="O1528" s="76"/>
      <c r="P1528" s="76"/>
      <c r="Q1528" s="76"/>
      <c r="R1528" s="76"/>
      <c r="S1528" s="76"/>
      <c r="T1528" s="76"/>
      <c r="U1528" s="76"/>
      <c r="V1528" s="76"/>
      <c r="W1528" s="76"/>
      <c r="X1528" s="76"/>
      <c r="Y1528" s="76"/>
      <c r="Z1528" s="76"/>
      <c r="AA1528" s="76"/>
      <c r="AB1528" s="76"/>
      <c r="AC1528" s="76"/>
      <c r="AD1528" s="76"/>
      <c r="AE1528" s="76"/>
      <c r="AF1528" s="76"/>
      <c r="AG1528" s="76"/>
      <c r="AH1528" s="76"/>
      <c r="AI1528" s="76">
        <v>1</v>
      </c>
      <c r="AJ1528" s="76">
        <v>1</v>
      </c>
      <c r="AK1528" s="73"/>
      <c r="AL1528" s="57"/>
      <c r="AM1528" s="45"/>
      <c r="AN1528" s="45"/>
      <c r="AO1528" s="45"/>
    </row>
    <row r="1529" spans="1:41" hidden="1" outlineLevel="3" x14ac:dyDescent="0.25">
      <c r="A1529" s="45"/>
      <c r="B1529" s="54"/>
      <c r="C1529" s="47">
        <f t="shared" ref="C1529:C1540" si="531">INT($C$29)+3</f>
        <v>4</v>
      </c>
      <c r="D1529" s="73"/>
      <c r="E1529" s="70"/>
      <c r="F1529" s="70" t="str">
        <f>SUBSTITUTE(F1525,",4)",",8)")</f>
        <v>C(U2,13,8)</v>
      </c>
      <c r="G1529" s="73"/>
      <c r="H1529" s="76"/>
      <c r="I1529" s="96"/>
      <c r="J1529" s="76"/>
      <c r="K1529" s="76"/>
      <c r="L1529" s="76"/>
      <c r="M1529" s="76"/>
      <c r="N1529" s="76"/>
      <c r="O1529" s="76"/>
      <c r="P1529" s="76"/>
      <c r="Q1529" s="76"/>
      <c r="R1529" s="76"/>
      <c r="S1529" s="76"/>
      <c r="T1529" s="76"/>
      <c r="U1529" s="76"/>
      <c r="V1529" s="76"/>
      <c r="W1529" s="76"/>
      <c r="X1529" s="76"/>
      <c r="Y1529" s="76"/>
      <c r="Z1529" s="76"/>
      <c r="AA1529" s="76"/>
      <c r="AB1529" s="76"/>
      <c r="AC1529" s="76"/>
      <c r="AD1529" s="76"/>
      <c r="AE1529" s="76"/>
      <c r="AF1529" s="76"/>
      <c r="AG1529" s="76"/>
      <c r="AH1529" s="76"/>
      <c r="AI1529" s="76">
        <v>1</v>
      </c>
      <c r="AJ1529" s="76">
        <v>1</v>
      </c>
      <c r="AK1529" s="73"/>
      <c r="AL1529" s="57"/>
      <c r="AM1529" s="45"/>
      <c r="AN1529" s="45"/>
      <c r="AO1529" s="45"/>
    </row>
    <row r="1530" spans="1:41" hidden="1" outlineLevel="3" x14ac:dyDescent="0.25">
      <c r="A1530" s="45"/>
      <c r="B1530" s="54"/>
      <c r="C1530" s="47">
        <f t="shared" si="531"/>
        <v>4</v>
      </c>
      <c r="D1530" s="73"/>
      <c r="E1530" s="70"/>
      <c r="F1530" s="70" t="str">
        <f>SUBSTITUTE(F1526,",5)",",9)")</f>
        <v>C(U2,13,9)</v>
      </c>
      <c r="G1530" s="73"/>
      <c r="H1530" s="76"/>
      <c r="I1530" s="96"/>
      <c r="J1530" s="76"/>
      <c r="K1530" s="76"/>
      <c r="L1530" s="76"/>
      <c r="M1530" s="76"/>
      <c r="N1530" s="76"/>
      <c r="O1530" s="76"/>
      <c r="P1530" s="76"/>
      <c r="Q1530" s="76"/>
      <c r="R1530" s="76"/>
      <c r="S1530" s="76"/>
      <c r="T1530" s="76"/>
      <c r="U1530" s="76"/>
      <c r="V1530" s="76"/>
      <c r="W1530" s="76"/>
      <c r="X1530" s="76"/>
      <c r="Y1530" s="76"/>
      <c r="Z1530" s="76"/>
      <c r="AA1530" s="76"/>
      <c r="AB1530" s="76"/>
      <c r="AC1530" s="76"/>
      <c r="AD1530" s="76"/>
      <c r="AE1530" s="76"/>
      <c r="AF1530" s="76"/>
      <c r="AG1530" s="76"/>
      <c r="AH1530" s="76"/>
      <c r="AI1530" s="76">
        <v>1</v>
      </c>
      <c r="AJ1530" s="76">
        <v>1</v>
      </c>
      <c r="AK1530" s="73"/>
      <c r="AL1530" s="57"/>
      <c r="AM1530" s="45"/>
      <c r="AN1530" s="45"/>
      <c r="AO1530" s="45"/>
    </row>
    <row r="1531" spans="1:41" hidden="1" outlineLevel="3" x14ac:dyDescent="0.25">
      <c r="A1531" s="45"/>
      <c r="B1531" s="54"/>
      <c r="C1531" s="47">
        <f t="shared" si="531"/>
        <v>4</v>
      </c>
      <c r="D1531" s="73"/>
      <c r="E1531" s="70"/>
      <c r="F1531" s="70" t="str">
        <f>SUBSTITUTE(F1527,",6)",",10)")</f>
        <v>C(U2,13,10)</v>
      </c>
      <c r="G1531" s="73"/>
      <c r="H1531" s="76"/>
      <c r="I1531" s="96"/>
      <c r="J1531" s="76"/>
      <c r="K1531" s="76"/>
      <c r="L1531" s="76"/>
      <c r="M1531" s="76"/>
      <c r="N1531" s="76"/>
      <c r="O1531" s="76"/>
      <c r="P1531" s="76"/>
      <c r="Q1531" s="76"/>
      <c r="R1531" s="76"/>
      <c r="S1531" s="76"/>
      <c r="T1531" s="76"/>
      <c r="U1531" s="76"/>
      <c r="V1531" s="76"/>
      <c r="W1531" s="76"/>
      <c r="X1531" s="76"/>
      <c r="Y1531" s="76"/>
      <c r="Z1531" s="76"/>
      <c r="AA1531" s="76"/>
      <c r="AB1531" s="76"/>
      <c r="AC1531" s="76"/>
      <c r="AD1531" s="76"/>
      <c r="AE1531" s="76"/>
      <c r="AF1531" s="76"/>
      <c r="AG1531" s="76"/>
      <c r="AH1531" s="76"/>
      <c r="AI1531" s="76">
        <v>1</v>
      </c>
      <c r="AJ1531" s="76">
        <v>1</v>
      </c>
      <c r="AK1531" s="73"/>
      <c r="AL1531" s="57"/>
      <c r="AM1531" s="45"/>
      <c r="AN1531" s="45"/>
      <c r="AO1531" s="45"/>
    </row>
    <row r="1532" spans="1:41" hidden="1" outlineLevel="3" x14ac:dyDescent="0.25">
      <c r="A1532" s="45"/>
      <c r="B1532" s="54"/>
      <c r="C1532" s="47">
        <f t="shared" si="531"/>
        <v>4</v>
      </c>
      <c r="D1532" s="73"/>
      <c r="E1532" s="70"/>
      <c r="F1532" s="70" t="str">
        <f>SUBSTITUTE(F1528,",7)",",11)")</f>
        <v>C(U2,13,11)</v>
      </c>
      <c r="G1532" s="73"/>
      <c r="H1532" s="76"/>
      <c r="I1532" s="96"/>
      <c r="J1532" s="76"/>
      <c r="K1532" s="76"/>
      <c r="L1532" s="76"/>
      <c r="M1532" s="76"/>
      <c r="N1532" s="76"/>
      <c r="O1532" s="76"/>
      <c r="P1532" s="76"/>
      <c r="Q1532" s="76"/>
      <c r="R1532" s="76"/>
      <c r="S1532" s="76"/>
      <c r="T1532" s="76"/>
      <c r="U1532" s="76"/>
      <c r="V1532" s="76"/>
      <c r="W1532" s="76"/>
      <c r="X1532" s="76"/>
      <c r="Y1532" s="76"/>
      <c r="Z1532" s="76"/>
      <c r="AA1532" s="76"/>
      <c r="AB1532" s="76"/>
      <c r="AC1532" s="76"/>
      <c r="AD1532" s="76"/>
      <c r="AE1532" s="76"/>
      <c r="AF1532" s="76"/>
      <c r="AG1532" s="76"/>
      <c r="AH1532" s="76"/>
      <c r="AI1532" s="76">
        <v>1</v>
      </c>
      <c r="AJ1532" s="76">
        <v>1</v>
      </c>
      <c r="AK1532" s="73"/>
      <c r="AL1532" s="57"/>
      <c r="AM1532" s="45"/>
      <c r="AN1532" s="45"/>
      <c r="AO1532" s="45"/>
    </row>
    <row r="1533" spans="1:41" hidden="1" outlineLevel="3" x14ac:dyDescent="0.25">
      <c r="A1533" s="45"/>
      <c r="B1533" s="54"/>
      <c r="C1533" s="47">
        <f t="shared" si="531"/>
        <v>4</v>
      </c>
      <c r="D1533" s="73"/>
      <c r="E1533" s="70"/>
      <c r="F1533" s="70" t="str">
        <f>SUBSTITUTE(F1527,",6)",",12)")</f>
        <v>C(U2,13,12)</v>
      </c>
      <c r="G1533" s="73"/>
      <c r="H1533" s="76"/>
      <c r="I1533" s="96"/>
      <c r="J1533" s="76"/>
      <c r="K1533" s="76"/>
      <c r="L1533" s="76"/>
      <c r="M1533" s="76"/>
      <c r="N1533" s="76"/>
      <c r="O1533" s="76"/>
      <c r="P1533" s="76"/>
      <c r="Q1533" s="76"/>
      <c r="R1533" s="76"/>
      <c r="S1533" s="76"/>
      <c r="T1533" s="76"/>
      <c r="U1533" s="76"/>
      <c r="V1533" s="76"/>
      <c r="W1533" s="76"/>
      <c r="X1533" s="76"/>
      <c r="Y1533" s="76"/>
      <c r="Z1533" s="76"/>
      <c r="AA1533" s="76"/>
      <c r="AB1533" s="76"/>
      <c r="AC1533" s="76"/>
      <c r="AD1533" s="76"/>
      <c r="AE1533" s="76"/>
      <c r="AF1533" s="76"/>
      <c r="AG1533" s="76"/>
      <c r="AH1533" s="76"/>
      <c r="AI1533" s="76">
        <v>1</v>
      </c>
      <c r="AJ1533" s="76">
        <v>1</v>
      </c>
      <c r="AK1533" s="73"/>
      <c r="AL1533" s="57"/>
      <c r="AM1533" s="45"/>
      <c r="AN1533" s="45"/>
      <c r="AO1533" s="45"/>
    </row>
    <row r="1534" spans="1:41" hidden="1" outlineLevel="3" x14ac:dyDescent="0.25">
      <c r="A1534" s="45"/>
      <c r="B1534" s="54"/>
      <c r="C1534" s="47">
        <f t="shared" si="531"/>
        <v>4</v>
      </c>
      <c r="D1534" s="73"/>
      <c r="E1534" s="70"/>
      <c r="F1534" s="70" t="str">
        <f>SUBSTITUTE(F1528,",7)",",13)")</f>
        <v>C(U2,13,13)</v>
      </c>
      <c r="G1534" s="73"/>
      <c r="H1534" s="76"/>
      <c r="I1534" s="96"/>
      <c r="J1534" s="76"/>
      <c r="K1534" s="76"/>
      <c r="L1534" s="76"/>
      <c r="M1534" s="76"/>
      <c r="N1534" s="76"/>
      <c r="O1534" s="76"/>
      <c r="P1534" s="76"/>
      <c r="Q1534" s="76"/>
      <c r="R1534" s="76"/>
      <c r="S1534" s="76"/>
      <c r="T1534" s="76"/>
      <c r="U1534" s="76"/>
      <c r="V1534" s="76"/>
      <c r="W1534" s="76"/>
      <c r="X1534" s="76"/>
      <c r="Y1534" s="76"/>
      <c r="Z1534" s="76"/>
      <c r="AA1534" s="76"/>
      <c r="AB1534" s="76"/>
      <c r="AC1534" s="76"/>
      <c r="AD1534" s="76"/>
      <c r="AE1534" s="76"/>
      <c r="AF1534" s="76"/>
      <c r="AG1534" s="76"/>
      <c r="AH1534" s="76"/>
      <c r="AI1534" s="76">
        <v>1</v>
      </c>
      <c r="AJ1534" s="76">
        <v>1</v>
      </c>
      <c r="AK1534" s="73"/>
      <c r="AL1534" s="57"/>
      <c r="AM1534" s="45"/>
      <c r="AN1534" s="45"/>
      <c r="AO1534" s="45"/>
    </row>
    <row r="1535" spans="1:41" hidden="1" outlineLevel="3" x14ac:dyDescent="0.25">
      <c r="A1535" s="45"/>
      <c r="B1535" s="54"/>
      <c r="C1535" s="47">
        <f t="shared" si="531"/>
        <v>4</v>
      </c>
      <c r="D1535" s="73"/>
      <c r="E1535" s="70"/>
      <c r="F1535" s="70" t="s">
        <v>1995</v>
      </c>
      <c r="G1535" s="73"/>
      <c r="H1535" s="76"/>
      <c r="I1535" s="76"/>
      <c r="J1535" s="76"/>
      <c r="K1535" s="76"/>
      <c r="L1535" s="76"/>
      <c r="M1535" s="76"/>
      <c r="N1535" s="76"/>
      <c r="O1535" s="76"/>
      <c r="P1535" s="76"/>
      <c r="Q1535" s="76"/>
      <c r="R1535" s="76"/>
      <c r="S1535" s="76"/>
      <c r="T1535" s="76"/>
      <c r="U1535" s="76"/>
      <c r="V1535" s="76"/>
      <c r="W1535" s="76"/>
      <c r="X1535" s="76"/>
      <c r="Y1535" s="76"/>
      <c r="Z1535" s="76"/>
      <c r="AA1535" s="76"/>
      <c r="AB1535" s="76"/>
      <c r="AC1535" s="76"/>
      <c r="AD1535" s="76"/>
      <c r="AE1535" s="76"/>
      <c r="AF1535" s="76"/>
      <c r="AG1535" s="76"/>
      <c r="AH1535" s="76"/>
      <c r="AI1535" s="76">
        <v>1</v>
      </c>
      <c r="AJ1535" s="76">
        <v>1</v>
      </c>
      <c r="AK1535" s="73"/>
      <c r="AL1535" s="57"/>
      <c r="AM1535" s="45"/>
      <c r="AN1535" s="45"/>
      <c r="AO1535" s="45"/>
    </row>
    <row r="1536" spans="1:41" hidden="1" outlineLevel="3" x14ac:dyDescent="0.25">
      <c r="A1536" s="45"/>
      <c r="B1536" s="54"/>
      <c r="C1536" s="47">
        <f t="shared" si="531"/>
        <v>4</v>
      </c>
      <c r="D1536" s="73"/>
      <c r="E1536" s="70"/>
      <c r="F1536" s="70" t="s">
        <v>1996</v>
      </c>
      <c r="G1536" s="73"/>
      <c r="H1536" s="76" t="s">
        <v>599</v>
      </c>
      <c r="I1536" s="76"/>
      <c r="J1536" s="76"/>
      <c r="K1536" s="76"/>
      <c r="L1536" s="76"/>
      <c r="M1536" s="76"/>
      <c r="N1536" s="76"/>
      <c r="O1536" s="76"/>
      <c r="P1536" s="76"/>
      <c r="Q1536" s="76"/>
      <c r="R1536" s="76"/>
      <c r="S1536" s="76"/>
      <c r="T1536" s="76"/>
      <c r="U1536" s="76"/>
      <c r="V1536" s="76"/>
      <c r="W1536" s="76"/>
      <c r="X1536" s="76"/>
      <c r="Y1536" s="76"/>
      <c r="Z1536" s="76"/>
      <c r="AA1536" s="76"/>
      <c r="AB1536" s="76"/>
      <c r="AC1536" s="76"/>
      <c r="AD1536" s="76"/>
      <c r="AE1536" s="76"/>
      <c r="AF1536" s="76"/>
      <c r="AG1536" s="76"/>
      <c r="AH1536" s="76"/>
      <c r="AI1536" s="76">
        <v>1</v>
      </c>
      <c r="AJ1536" s="76">
        <v>1</v>
      </c>
      <c r="AK1536" s="73"/>
      <c r="AL1536" s="57"/>
      <c r="AM1536" s="45"/>
      <c r="AN1536" s="45"/>
      <c r="AO1536" s="45"/>
    </row>
    <row r="1537" spans="1:41" hidden="1" outlineLevel="3" x14ac:dyDescent="0.25">
      <c r="A1537" s="45"/>
      <c r="B1537" s="54"/>
      <c r="C1537" s="47">
        <f t="shared" si="531"/>
        <v>4</v>
      </c>
      <c r="D1537" s="73"/>
      <c r="E1537" s="70"/>
      <c r="F1537" s="70" t="s">
        <v>1997</v>
      </c>
      <c r="G1537" s="73"/>
      <c r="H1537" s="76"/>
      <c r="I1537" s="76"/>
      <c r="J1537" s="76"/>
      <c r="K1537" s="76"/>
      <c r="L1537" s="76"/>
      <c r="M1537" s="76"/>
      <c r="N1537" s="76"/>
      <c r="O1537" s="76"/>
      <c r="P1537" s="76"/>
      <c r="Q1537" s="76"/>
      <c r="R1537" s="76"/>
      <c r="S1537" s="76"/>
      <c r="T1537" s="76"/>
      <c r="U1537" s="76"/>
      <c r="V1537" s="76"/>
      <c r="W1537" s="76"/>
      <c r="X1537" s="76"/>
      <c r="Y1537" s="76"/>
      <c r="Z1537" s="76"/>
      <c r="AA1537" s="76"/>
      <c r="AB1537" s="76"/>
      <c r="AC1537" s="76"/>
      <c r="AD1537" s="76"/>
      <c r="AE1537" s="76"/>
      <c r="AF1537" s="76"/>
      <c r="AG1537" s="76"/>
      <c r="AH1537" s="76"/>
      <c r="AI1537" s="76">
        <v>1</v>
      </c>
      <c r="AJ1537" s="76">
        <v>1</v>
      </c>
      <c r="AK1537" s="73"/>
      <c r="AL1537" s="57"/>
      <c r="AM1537" s="45"/>
      <c r="AN1537" s="45"/>
      <c r="AO1537" s="45"/>
    </row>
    <row r="1538" spans="1:41" hidden="1" outlineLevel="3" x14ac:dyDescent="0.25">
      <c r="A1538" s="45"/>
      <c r="B1538" s="54"/>
      <c r="C1538" s="47">
        <f t="shared" si="531"/>
        <v>4</v>
      </c>
      <c r="D1538" s="73"/>
      <c r="E1538" s="70"/>
      <c r="F1538" s="70" t="s">
        <v>1998</v>
      </c>
      <c r="G1538" s="73"/>
      <c r="H1538" s="76"/>
      <c r="I1538" s="76"/>
      <c r="J1538" s="76"/>
      <c r="K1538" s="76"/>
      <c r="L1538" s="76"/>
      <c r="M1538" s="76"/>
      <c r="N1538" s="76"/>
      <c r="O1538" s="76"/>
      <c r="P1538" s="76"/>
      <c r="Q1538" s="76"/>
      <c r="R1538" s="76"/>
      <c r="S1538" s="76"/>
      <c r="T1538" s="76"/>
      <c r="U1538" s="76"/>
      <c r="V1538" s="76"/>
      <c r="W1538" s="76"/>
      <c r="X1538" s="76"/>
      <c r="Y1538" s="76"/>
      <c r="Z1538" s="76"/>
      <c r="AA1538" s="76"/>
      <c r="AB1538" s="76"/>
      <c r="AC1538" s="76"/>
      <c r="AD1538" s="76"/>
      <c r="AE1538" s="76"/>
      <c r="AF1538" s="76"/>
      <c r="AG1538" s="76"/>
      <c r="AH1538" s="76"/>
      <c r="AI1538" s="76">
        <v>1</v>
      </c>
      <c r="AJ1538" s="76">
        <v>1</v>
      </c>
      <c r="AK1538" s="73"/>
      <c r="AL1538" s="57"/>
      <c r="AM1538" s="45"/>
      <c r="AN1538" s="45"/>
      <c r="AO1538" s="45"/>
    </row>
    <row r="1539" spans="1:41" hidden="1" outlineLevel="3" x14ac:dyDescent="0.25">
      <c r="A1539" s="45"/>
      <c r="B1539" s="54"/>
      <c r="C1539" s="47">
        <f t="shared" si="531"/>
        <v>4</v>
      </c>
      <c r="D1539" s="73"/>
      <c r="E1539" s="70"/>
      <c r="F1539" s="70" t="s">
        <v>1999</v>
      </c>
      <c r="G1539" s="73"/>
      <c r="H1539" s="76"/>
      <c r="I1539" s="76"/>
      <c r="J1539" s="76"/>
      <c r="K1539" s="76"/>
      <c r="L1539" s="76"/>
      <c r="M1539" s="76"/>
      <c r="N1539" s="76"/>
      <c r="O1539" s="76"/>
      <c r="P1539" s="76"/>
      <c r="Q1539" s="76"/>
      <c r="R1539" s="76"/>
      <c r="S1539" s="76"/>
      <c r="T1539" s="76"/>
      <c r="U1539" s="76"/>
      <c r="V1539" s="76"/>
      <c r="W1539" s="76"/>
      <c r="X1539" s="76"/>
      <c r="Y1539" s="76"/>
      <c r="Z1539" s="76"/>
      <c r="AA1539" s="76"/>
      <c r="AB1539" s="76"/>
      <c r="AC1539" s="76"/>
      <c r="AD1539" s="76"/>
      <c r="AE1539" s="76"/>
      <c r="AF1539" s="76"/>
      <c r="AG1539" s="76"/>
      <c r="AH1539" s="76"/>
      <c r="AI1539" s="76">
        <v>1</v>
      </c>
      <c r="AJ1539" s="76">
        <v>1</v>
      </c>
      <c r="AK1539" s="73"/>
      <c r="AL1539" s="57"/>
      <c r="AM1539" s="45"/>
      <c r="AN1539" s="45"/>
      <c r="AO1539" s="45"/>
    </row>
    <row r="1540" spans="1:41" hidden="1" outlineLevel="3" x14ac:dyDescent="0.25">
      <c r="A1540" s="45"/>
      <c r="B1540" s="54"/>
      <c r="C1540" s="47">
        <f t="shared" si="531"/>
        <v>4</v>
      </c>
      <c r="D1540" s="73"/>
      <c r="E1540" s="70"/>
      <c r="F1540" s="70" t="s">
        <v>2000</v>
      </c>
      <c r="G1540" s="73"/>
      <c r="H1540" s="76"/>
      <c r="I1540" s="76"/>
      <c r="J1540" s="76"/>
      <c r="K1540" s="76"/>
      <c r="L1540" s="76"/>
      <c r="M1540" s="76"/>
      <c r="N1540" s="76"/>
      <c r="O1540" s="76"/>
      <c r="P1540" s="76"/>
      <c r="Q1540" s="76"/>
      <c r="R1540" s="76"/>
      <c r="S1540" s="76"/>
      <c r="T1540" s="76"/>
      <c r="U1540" s="76"/>
      <c r="V1540" s="76"/>
      <c r="W1540" s="76"/>
      <c r="X1540" s="76"/>
      <c r="Y1540" s="76"/>
      <c r="Z1540" s="76"/>
      <c r="AA1540" s="76"/>
      <c r="AB1540" s="76"/>
      <c r="AC1540" s="76"/>
      <c r="AD1540" s="76"/>
      <c r="AE1540" s="76"/>
      <c r="AF1540" s="76"/>
      <c r="AG1540" s="76"/>
      <c r="AH1540" s="76"/>
      <c r="AI1540" s="76">
        <v>1</v>
      </c>
      <c r="AJ1540" s="76">
        <v>1</v>
      </c>
      <c r="AK1540" s="73"/>
      <c r="AL1540" s="57"/>
      <c r="AM1540" s="45"/>
      <c r="AN1540" s="45"/>
      <c r="AO1540" s="45"/>
    </row>
    <row r="1541" spans="1:41" hidden="1" outlineLevel="3" x14ac:dyDescent="0.25">
      <c r="A1541" s="45"/>
      <c r="B1541" s="54"/>
      <c r="C1541" s="47"/>
      <c r="D1541" s="73"/>
      <c r="E1541" s="70"/>
      <c r="F1541" s="70" t="s">
        <v>2421</v>
      </c>
      <c r="G1541" s="73"/>
      <c r="H1541" s="76"/>
      <c r="I1541" s="76"/>
      <c r="J1541" s="76"/>
      <c r="K1541" s="76"/>
      <c r="L1541" s="76"/>
      <c r="M1541" s="76"/>
      <c r="N1541" s="76"/>
      <c r="O1541" s="76"/>
      <c r="P1541" s="76"/>
      <c r="Q1541" s="76"/>
      <c r="R1541" s="76"/>
      <c r="S1541" s="76"/>
      <c r="T1541" s="76"/>
      <c r="U1541" s="76"/>
      <c r="V1541" s="76"/>
      <c r="W1541" s="76"/>
      <c r="X1541" s="76"/>
      <c r="Y1541" s="76"/>
      <c r="Z1541" s="76"/>
      <c r="AA1541" s="76"/>
      <c r="AB1541" s="76"/>
      <c r="AC1541" s="76"/>
      <c r="AD1541" s="76"/>
      <c r="AE1541" s="76"/>
      <c r="AF1541" s="76"/>
      <c r="AG1541" s="76"/>
      <c r="AH1541" s="76"/>
      <c r="AI1541" s="76">
        <v>1</v>
      </c>
      <c r="AJ1541" s="76">
        <v>1</v>
      </c>
      <c r="AK1541" s="73"/>
      <c r="AL1541" s="57"/>
      <c r="AM1541" s="45"/>
      <c r="AN1541" s="45"/>
      <c r="AO1541" s="45"/>
    </row>
    <row r="1542" spans="1:41" hidden="1" outlineLevel="3" x14ac:dyDescent="0.25">
      <c r="A1542" s="45"/>
      <c r="B1542" s="54"/>
      <c r="C1542" s="47"/>
      <c r="D1542" s="73"/>
      <c r="E1542" s="70"/>
      <c r="F1542" s="70" t="s">
        <v>2422</v>
      </c>
      <c r="G1542" s="73"/>
      <c r="H1542" s="76"/>
      <c r="I1542" s="76"/>
      <c r="J1542" s="76"/>
      <c r="K1542" s="76"/>
      <c r="L1542" s="76"/>
      <c r="M1542" s="76"/>
      <c r="N1542" s="76"/>
      <c r="O1542" s="76"/>
      <c r="P1542" s="76"/>
      <c r="Q1542" s="76"/>
      <c r="R1542" s="76"/>
      <c r="S1542" s="76"/>
      <c r="T1542" s="76"/>
      <c r="U1542" s="76"/>
      <c r="V1542" s="76"/>
      <c r="W1542" s="76"/>
      <c r="X1542" s="76"/>
      <c r="Y1542" s="76"/>
      <c r="Z1542" s="76"/>
      <c r="AA1542" s="76"/>
      <c r="AB1542" s="76"/>
      <c r="AC1542" s="76"/>
      <c r="AD1542" s="76"/>
      <c r="AE1542" s="76"/>
      <c r="AF1542" s="76"/>
      <c r="AG1542" s="76"/>
      <c r="AH1542" s="76"/>
      <c r="AI1542" s="76">
        <v>1</v>
      </c>
      <c r="AJ1542" s="76">
        <v>1</v>
      </c>
      <c r="AK1542" s="73"/>
      <c r="AL1542" s="57"/>
      <c r="AM1542" s="45"/>
      <c r="AN1542" s="45"/>
      <c r="AO1542" s="45"/>
    </row>
    <row r="1543" spans="1:41" hidden="1" outlineLevel="3" x14ac:dyDescent="0.25">
      <c r="A1543" s="45"/>
      <c r="B1543" s="54"/>
      <c r="C1543" s="47"/>
      <c r="D1543" s="73"/>
      <c r="E1543" s="70"/>
      <c r="F1543" s="70" t="s">
        <v>2423</v>
      </c>
      <c r="G1543" s="73"/>
      <c r="H1543" s="76"/>
      <c r="I1543" s="76"/>
      <c r="J1543" s="76"/>
      <c r="K1543" s="76"/>
      <c r="L1543" s="76"/>
      <c r="M1543" s="76"/>
      <c r="N1543" s="76"/>
      <c r="O1543" s="76"/>
      <c r="P1543" s="76"/>
      <c r="Q1543" s="76"/>
      <c r="R1543" s="76"/>
      <c r="S1543" s="76"/>
      <c r="T1543" s="76"/>
      <c r="U1543" s="76"/>
      <c r="V1543" s="76"/>
      <c r="W1543" s="76"/>
      <c r="X1543" s="76"/>
      <c r="Y1543" s="76"/>
      <c r="Z1543" s="76"/>
      <c r="AA1543" s="76"/>
      <c r="AB1543" s="76"/>
      <c r="AC1543" s="76"/>
      <c r="AD1543" s="76"/>
      <c r="AE1543" s="76"/>
      <c r="AF1543" s="76"/>
      <c r="AG1543" s="76"/>
      <c r="AH1543" s="76"/>
      <c r="AI1543" s="76">
        <v>1</v>
      </c>
      <c r="AJ1543" s="76">
        <v>1</v>
      </c>
      <c r="AK1543" s="73"/>
      <c r="AL1543" s="57"/>
      <c r="AM1543" s="45"/>
      <c r="AN1543" s="45"/>
      <c r="AO1543" s="45"/>
    </row>
    <row r="1544" spans="1:41" hidden="1" outlineLevel="3" x14ac:dyDescent="0.25">
      <c r="A1544" s="45"/>
      <c r="B1544" s="54"/>
      <c r="C1544" s="47">
        <f t="shared" ref="C1544:C1555" si="532">INT($C$29)+3</f>
        <v>4</v>
      </c>
      <c r="D1544" s="73"/>
      <c r="E1544" s="70"/>
      <c r="F1544" s="70" t="str">
        <f>SUBSTITUTE(F1540,",4)",",8)")</f>
        <v>C(U2,14,8)</v>
      </c>
      <c r="G1544" s="73"/>
      <c r="H1544" s="76"/>
      <c r="I1544" s="96"/>
      <c r="J1544" s="76"/>
      <c r="K1544" s="76"/>
      <c r="L1544" s="76"/>
      <c r="M1544" s="76"/>
      <c r="N1544" s="76"/>
      <c r="O1544" s="76"/>
      <c r="P1544" s="76"/>
      <c r="Q1544" s="76"/>
      <c r="R1544" s="76"/>
      <c r="S1544" s="76"/>
      <c r="T1544" s="76"/>
      <c r="U1544" s="76"/>
      <c r="V1544" s="76"/>
      <c r="W1544" s="76"/>
      <c r="X1544" s="76"/>
      <c r="Y1544" s="76"/>
      <c r="Z1544" s="76"/>
      <c r="AA1544" s="76"/>
      <c r="AB1544" s="76"/>
      <c r="AC1544" s="76"/>
      <c r="AD1544" s="76"/>
      <c r="AE1544" s="76"/>
      <c r="AF1544" s="76"/>
      <c r="AG1544" s="76"/>
      <c r="AH1544" s="76"/>
      <c r="AI1544" s="76">
        <v>1</v>
      </c>
      <c r="AJ1544" s="76">
        <v>1</v>
      </c>
      <c r="AK1544" s="73"/>
      <c r="AL1544" s="57"/>
      <c r="AM1544" s="45"/>
      <c r="AN1544" s="45"/>
      <c r="AO1544" s="45"/>
    </row>
    <row r="1545" spans="1:41" hidden="1" outlineLevel="3" x14ac:dyDescent="0.25">
      <c r="A1545" s="45"/>
      <c r="B1545" s="54"/>
      <c r="C1545" s="47">
        <f t="shared" si="532"/>
        <v>4</v>
      </c>
      <c r="D1545" s="73"/>
      <c r="E1545" s="70"/>
      <c r="F1545" s="70" t="str">
        <f>SUBSTITUTE(F1541,",5)",",9)")</f>
        <v>C(U2,14,9)</v>
      </c>
      <c r="G1545" s="73"/>
      <c r="H1545" s="76"/>
      <c r="I1545" s="96"/>
      <c r="J1545" s="76"/>
      <c r="K1545" s="76"/>
      <c r="L1545" s="76"/>
      <c r="M1545" s="76"/>
      <c r="N1545" s="76"/>
      <c r="O1545" s="76"/>
      <c r="P1545" s="76"/>
      <c r="Q1545" s="76"/>
      <c r="R1545" s="76"/>
      <c r="S1545" s="76"/>
      <c r="T1545" s="76"/>
      <c r="U1545" s="76"/>
      <c r="V1545" s="76"/>
      <c r="W1545" s="76"/>
      <c r="X1545" s="76"/>
      <c r="Y1545" s="76"/>
      <c r="Z1545" s="76"/>
      <c r="AA1545" s="76"/>
      <c r="AB1545" s="76"/>
      <c r="AC1545" s="76"/>
      <c r="AD1545" s="76"/>
      <c r="AE1545" s="76"/>
      <c r="AF1545" s="76"/>
      <c r="AG1545" s="76"/>
      <c r="AH1545" s="76"/>
      <c r="AI1545" s="76">
        <v>1</v>
      </c>
      <c r="AJ1545" s="76">
        <v>1</v>
      </c>
      <c r="AK1545" s="73"/>
      <c r="AL1545" s="57"/>
      <c r="AM1545" s="45"/>
      <c r="AN1545" s="45"/>
      <c r="AO1545" s="45"/>
    </row>
    <row r="1546" spans="1:41" hidden="1" outlineLevel="3" x14ac:dyDescent="0.25">
      <c r="A1546" s="45"/>
      <c r="B1546" s="54"/>
      <c r="C1546" s="47">
        <f t="shared" si="532"/>
        <v>4</v>
      </c>
      <c r="D1546" s="73"/>
      <c r="E1546" s="70"/>
      <c r="F1546" s="70" t="str">
        <f>SUBSTITUTE(F1542,",6)",",10)")</f>
        <v>C(U2,14,10)</v>
      </c>
      <c r="G1546" s="73"/>
      <c r="H1546" s="76"/>
      <c r="I1546" s="96"/>
      <c r="J1546" s="76"/>
      <c r="K1546" s="76"/>
      <c r="L1546" s="76"/>
      <c r="M1546" s="76"/>
      <c r="N1546" s="76"/>
      <c r="O1546" s="76"/>
      <c r="P1546" s="76"/>
      <c r="Q1546" s="76"/>
      <c r="R1546" s="76"/>
      <c r="S1546" s="76"/>
      <c r="T1546" s="76"/>
      <c r="U1546" s="76"/>
      <c r="V1546" s="76"/>
      <c r="W1546" s="76"/>
      <c r="X1546" s="76"/>
      <c r="Y1546" s="76"/>
      <c r="Z1546" s="76"/>
      <c r="AA1546" s="76"/>
      <c r="AB1546" s="76"/>
      <c r="AC1546" s="76"/>
      <c r="AD1546" s="76"/>
      <c r="AE1546" s="76"/>
      <c r="AF1546" s="76"/>
      <c r="AG1546" s="76"/>
      <c r="AH1546" s="76"/>
      <c r="AI1546" s="76">
        <v>1</v>
      </c>
      <c r="AJ1546" s="76">
        <v>1</v>
      </c>
      <c r="AK1546" s="73"/>
      <c r="AL1546" s="57"/>
      <c r="AM1546" s="45"/>
      <c r="AN1546" s="45"/>
      <c r="AO1546" s="45"/>
    </row>
    <row r="1547" spans="1:41" hidden="1" outlineLevel="3" x14ac:dyDescent="0.25">
      <c r="A1547" s="45"/>
      <c r="B1547" s="54"/>
      <c r="C1547" s="47">
        <f t="shared" si="532"/>
        <v>4</v>
      </c>
      <c r="D1547" s="73"/>
      <c r="E1547" s="70"/>
      <c r="F1547" s="70" t="str">
        <f>SUBSTITUTE(F1543,",7)",",11)")</f>
        <v>C(U2,14,11)</v>
      </c>
      <c r="G1547" s="73"/>
      <c r="H1547" s="76"/>
      <c r="I1547" s="96"/>
      <c r="J1547" s="76"/>
      <c r="K1547" s="76"/>
      <c r="L1547" s="76"/>
      <c r="M1547" s="76"/>
      <c r="N1547" s="76"/>
      <c r="O1547" s="76"/>
      <c r="P1547" s="76"/>
      <c r="Q1547" s="76"/>
      <c r="R1547" s="76"/>
      <c r="S1547" s="76"/>
      <c r="T1547" s="76"/>
      <c r="U1547" s="76"/>
      <c r="V1547" s="76"/>
      <c r="W1547" s="76"/>
      <c r="X1547" s="76"/>
      <c r="Y1547" s="76"/>
      <c r="Z1547" s="76"/>
      <c r="AA1547" s="76"/>
      <c r="AB1547" s="76"/>
      <c r="AC1547" s="76"/>
      <c r="AD1547" s="76"/>
      <c r="AE1547" s="76"/>
      <c r="AF1547" s="76"/>
      <c r="AG1547" s="76"/>
      <c r="AH1547" s="76"/>
      <c r="AI1547" s="76">
        <v>1</v>
      </c>
      <c r="AJ1547" s="76">
        <v>1</v>
      </c>
      <c r="AK1547" s="73"/>
      <c r="AL1547" s="57"/>
      <c r="AM1547" s="45"/>
      <c r="AN1547" s="45"/>
      <c r="AO1547" s="45"/>
    </row>
    <row r="1548" spans="1:41" hidden="1" outlineLevel="3" x14ac:dyDescent="0.25">
      <c r="A1548" s="45"/>
      <c r="B1548" s="54"/>
      <c r="C1548" s="47">
        <f t="shared" si="532"/>
        <v>4</v>
      </c>
      <c r="D1548" s="73"/>
      <c r="E1548" s="70"/>
      <c r="F1548" s="70" t="str">
        <f>SUBSTITUTE(F1542,",6)",",12)")</f>
        <v>C(U2,14,12)</v>
      </c>
      <c r="G1548" s="73"/>
      <c r="H1548" s="76"/>
      <c r="I1548" s="96"/>
      <c r="J1548" s="76"/>
      <c r="K1548" s="76"/>
      <c r="L1548" s="76"/>
      <c r="M1548" s="76"/>
      <c r="N1548" s="76"/>
      <c r="O1548" s="76"/>
      <c r="P1548" s="76"/>
      <c r="Q1548" s="76"/>
      <c r="R1548" s="76"/>
      <c r="S1548" s="76"/>
      <c r="T1548" s="76"/>
      <c r="U1548" s="76"/>
      <c r="V1548" s="76"/>
      <c r="W1548" s="76"/>
      <c r="X1548" s="76"/>
      <c r="Y1548" s="76"/>
      <c r="Z1548" s="76"/>
      <c r="AA1548" s="76"/>
      <c r="AB1548" s="76"/>
      <c r="AC1548" s="76"/>
      <c r="AD1548" s="76"/>
      <c r="AE1548" s="76"/>
      <c r="AF1548" s="76"/>
      <c r="AG1548" s="76"/>
      <c r="AH1548" s="76"/>
      <c r="AI1548" s="76">
        <v>1</v>
      </c>
      <c r="AJ1548" s="76">
        <v>1</v>
      </c>
      <c r="AK1548" s="73"/>
      <c r="AL1548" s="57"/>
      <c r="AM1548" s="45"/>
      <c r="AN1548" s="45"/>
      <c r="AO1548" s="45"/>
    </row>
    <row r="1549" spans="1:41" hidden="1" outlineLevel="3" x14ac:dyDescent="0.25">
      <c r="A1549" s="45"/>
      <c r="B1549" s="54"/>
      <c r="C1549" s="47">
        <f t="shared" si="532"/>
        <v>4</v>
      </c>
      <c r="D1549" s="73"/>
      <c r="E1549" s="70"/>
      <c r="F1549" s="70" t="str">
        <f>SUBSTITUTE(F1543,",7)",",13)")</f>
        <v>C(U2,14,13)</v>
      </c>
      <c r="G1549" s="73"/>
      <c r="H1549" s="76"/>
      <c r="I1549" s="96"/>
      <c r="J1549" s="76"/>
      <c r="K1549" s="76"/>
      <c r="L1549" s="76"/>
      <c r="M1549" s="76"/>
      <c r="N1549" s="76"/>
      <c r="O1549" s="76"/>
      <c r="P1549" s="76"/>
      <c r="Q1549" s="76"/>
      <c r="R1549" s="76"/>
      <c r="S1549" s="76"/>
      <c r="T1549" s="76"/>
      <c r="U1549" s="76"/>
      <c r="V1549" s="76"/>
      <c r="W1549" s="76"/>
      <c r="X1549" s="76"/>
      <c r="Y1549" s="76"/>
      <c r="Z1549" s="76"/>
      <c r="AA1549" s="76"/>
      <c r="AB1549" s="76"/>
      <c r="AC1549" s="76"/>
      <c r="AD1549" s="76"/>
      <c r="AE1549" s="76"/>
      <c r="AF1549" s="76"/>
      <c r="AG1549" s="76"/>
      <c r="AH1549" s="76"/>
      <c r="AI1549" s="76">
        <v>1</v>
      </c>
      <c r="AJ1549" s="76">
        <v>1</v>
      </c>
      <c r="AK1549" s="73"/>
      <c r="AL1549" s="57"/>
      <c r="AM1549" s="45"/>
      <c r="AN1549" s="45"/>
      <c r="AO1549" s="45"/>
    </row>
    <row r="1550" spans="1:41" hidden="1" outlineLevel="3" x14ac:dyDescent="0.25">
      <c r="A1550" s="45"/>
      <c r="B1550" s="54"/>
      <c r="C1550" s="47">
        <f t="shared" si="532"/>
        <v>4</v>
      </c>
      <c r="D1550" s="73"/>
      <c r="E1550" s="70"/>
      <c r="F1550" s="70" t="s">
        <v>2001</v>
      </c>
      <c r="G1550" s="73"/>
      <c r="H1550" s="76"/>
      <c r="I1550" s="76"/>
      <c r="J1550" s="76"/>
      <c r="K1550" s="76"/>
      <c r="L1550" s="76"/>
      <c r="M1550" s="76"/>
      <c r="N1550" s="76"/>
      <c r="O1550" s="76"/>
      <c r="P1550" s="76"/>
      <c r="Q1550" s="76"/>
      <c r="R1550" s="76"/>
      <c r="S1550" s="76"/>
      <c r="T1550" s="76"/>
      <c r="U1550" s="76"/>
      <c r="V1550" s="76"/>
      <c r="W1550" s="76"/>
      <c r="X1550" s="76"/>
      <c r="Y1550" s="76"/>
      <c r="Z1550" s="76"/>
      <c r="AA1550" s="76"/>
      <c r="AB1550" s="76"/>
      <c r="AC1550" s="76"/>
      <c r="AD1550" s="76"/>
      <c r="AE1550" s="76"/>
      <c r="AF1550" s="76"/>
      <c r="AG1550" s="76"/>
      <c r="AH1550" s="76"/>
      <c r="AI1550" s="76">
        <v>1</v>
      </c>
      <c r="AJ1550" s="76">
        <v>1</v>
      </c>
      <c r="AK1550" s="73"/>
      <c r="AL1550" s="57"/>
      <c r="AM1550" s="45"/>
      <c r="AN1550" s="45"/>
      <c r="AO1550" s="45"/>
    </row>
    <row r="1551" spans="1:41" hidden="1" outlineLevel="3" x14ac:dyDescent="0.25">
      <c r="A1551" s="45"/>
      <c r="B1551" s="54"/>
      <c r="C1551" s="47">
        <f t="shared" si="532"/>
        <v>4</v>
      </c>
      <c r="D1551" s="73"/>
      <c r="E1551" s="70"/>
      <c r="F1551" s="70" t="s">
        <v>2002</v>
      </c>
      <c r="G1551" s="73"/>
      <c r="H1551" s="76" t="s">
        <v>599</v>
      </c>
      <c r="I1551" s="76"/>
      <c r="J1551" s="76"/>
      <c r="K1551" s="76"/>
      <c r="L1551" s="76"/>
      <c r="M1551" s="76"/>
      <c r="N1551" s="76"/>
      <c r="O1551" s="76"/>
      <c r="P1551" s="76"/>
      <c r="Q1551" s="76"/>
      <c r="R1551" s="76"/>
      <c r="S1551" s="76"/>
      <c r="T1551" s="76"/>
      <c r="U1551" s="76"/>
      <c r="V1551" s="76"/>
      <c r="W1551" s="76"/>
      <c r="X1551" s="76"/>
      <c r="Y1551" s="76"/>
      <c r="Z1551" s="76"/>
      <c r="AA1551" s="76"/>
      <c r="AB1551" s="76"/>
      <c r="AC1551" s="76"/>
      <c r="AD1551" s="76"/>
      <c r="AE1551" s="76"/>
      <c r="AF1551" s="76"/>
      <c r="AG1551" s="76"/>
      <c r="AH1551" s="76"/>
      <c r="AI1551" s="76">
        <v>1</v>
      </c>
      <c r="AJ1551" s="76">
        <v>1</v>
      </c>
      <c r="AK1551" s="73"/>
      <c r="AL1551" s="57"/>
      <c r="AM1551" s="45"/>
      <c r="AN1551" s="45"/>
      <c r="AO1551" s="45"/>
    </row>
    <row r="1552" spans="1:41" hidden="1" outlineLevel="3" x14ac:dyDescent="0.25">
      <c r="A1552" s="45"/>
      <c r="B1552" s="54"/>
      <c r="C1552" s="47">
        <f t="shared" si="532"/>
        <v>4</v>
      </c>
      <c r="D1552" s="73"/>
      <c r="E1552" s="70"/>
      <c r="F1552" s="70" t="s">
        <v>2003</v>
      </c>
      <c r="G1552" s="73"/>
      <c r="H1552" s="76"/>
      <c r="I1552" s="76"/>
      <c r="J1552" s="76"/>
      <c r="K1552" s="76"/>
      <c r="L1552" s="76"/>
      <c r="M1552" s="76"/>
      <c r="N1552" s="76"/>
      <c r="O1552" s="76"/>
      <c r="P1552" s="76"/>
      <c r="Q1552" s="76"/>
      <c r="R1552" s="76"/>
      <c r="S1552" s="76"/>
      <c r="T1552" s="76"/>
      <c r="U1552" s="76"/>
      <c r="V1552" s="76"/>
      <c r="W1552" s="76"/>
      <c r="X1552" s="76"/>
      <c r="Y1552" s="76"/>
      <c r="Z1552" s="76"/>
      <c r="AA1552" s="76"/>
      <c r="AB1552" s="76"/>
      <c r="AC1552" s="76"/>
      <c r="AD1552" s="76"/>
      <c r="AE1552" s="76"/>
      <c r="AF1552" s="76"/>
      <c r="AG1552" s="76"/>
      <c r="AH1552" s="76"/>
      <c r="AI1552" s="76">
        <v>1</v>
      </c>
      <c r="AJ1552" s="76">
        <v>1</v>
      </c>
      <c r="AK1552" s="73"/>
      <c r="AL1552" s="57"/>
      <c r="AM1552" s="45"/>
      <c r="AN1552" s="45"/>
      <c r="AO1552" s="45"/>
    </row>
    <row r="1553" spans="1:41" hidden="1" outlineLevel="3" x14ac:dyDescent="0.25">
      <c r="A1553" s="45"/>
      <c r="B1553" s="54"/>
      <c r="C1553" s="47">
        <f t="shared" si="532"/>
        <v>4</v>
      </c>
      <c r="D1553" s="73"/>
      <c r="E1553" s="70"/>
      <c r="F1553" s="70" t="s">
        <v>2004</v>
      </c>
      <c r="G1553" s="73"/>
      <c r="H1553" s="76"/>
      <c r="I1553" s="76"/>
      <c r="J1553" s="76"/>
      <c r="K1553" s="76"/>
      <c r="L1553" s="76"/>
      <c r="M1553" s="76"/>
      <c r="N1553" s="76"/>
      <c r="O1553" s="76"/>
      <c r="P1553" s="76"/>
      <c r="Q1553" s="76"/>
      <c r="R1553" s="76"/>
      <c r="S1553" s="76"/>
      <c r="T1553" s="76"/>
      <c r="U1553" s="76"/>
      <c r="V1553" s="76"/>
      <c r="W1553" s="76"/>
      <c r="X1553" s="76"/>
      <c r="Y1553" s="76"/>
      <c r="Z1553" s="76"/>
      <c r="AA1553" s="76"/>
      <c r="AB1553" s="76"/>
      <c r="AC1553" s="76"/>
      <c r="AD1553" s="76"/>
      <c r="AE1553" s="76"/>
      <c r="AF1553" s="76"/>
      <c r="AG1553" s="76"/>
      <c r="AH1553" s="76"/>
      <c r="AI1553" s="76">
        <v>1</v>
      </c>
      <c r="AJ1553" s="76">
        <v>1</v>
      </c>
      <c r="AK1553" s="73"/>
      <c r="AL1553" s="57"/>
      <c r="AM1553" s="45"/>
      <c r="AN1553" s="45"/>
      <c r="AO1553" s="45"/>
    </row>
    <row r="1554" spans="1:41" hidden="1" outlineLevel="3" x14ac:dyDescent="0.25">
      <c r="A1554" s="45"/>
      <c r="B1554" s="54"/>
      <c r="C1554" s="47">
        <f t="shared" si="532"/>
        <v>4</v>
      </c>
      <c r="D1554" s="73"/>
      <c r="E1554" s="70"/>
      <c r="F1554" s="70" t="s">
        <v>2005</v>
      </c>
      <c r="G1554" s="73"/>
      <c r="H1554" s="76"/>
      <c r="I1554" s="76"/>
      <c r="J1554" s="76"/>
      <c r="K1554" s="76"/>
      <c r="L1554" s="76"/>
      <c r="M1554" s="76"/>
      <c r="N1554" s="76"/>
      <c r="O1554" s="76"/>
      <c r="P1554" s="76"/>
      <c r="Q1554" s="76"/>
      <c r="R1554" s="76"/>
      <c r="S1554" s="76"/>
      <c r="T1554" s="76"/>
      <c r="U1554" s="76"/>
      <c r="V1554" s="76"/>
      <c r="W1554" s="76"/>
      <c r="X1554" s="76"/>
      <c r="Y1554" s="76"/>
      <c r="Z1554" s="76"/>
      <c r="AA1554" s="76"/>
      <c r="AB1554" s="76"/>
      <c r="AC1554" s="76"/>
      <c r="AD1554" s="76"/>
      <c r="AE1554" s="76"/>
      <c r="AF1554" s="76"/>
      <c r="AG1554" s="76"/>
      <c r="AH1554" s="76"/>
      <c r="AI1554" s="76">
        <v>1</v>
      </c>
      <c r="AJ1554" s="76">
        <v>1</v>
      </c>
      <c r="AK1554" s="73"/>
      <c r="AL1554" s="57"/>
      <c r="AM1554" s="45"/>
      <c r="AN1554" s="45"/>
      <c r="AO1554" s="45"/>
    </row>
    <row r="1555" spans="1:41" hidden="1" outlineLevel="3" x14ac:dyDescent="0.25">
      <c r="A1555" s="45"/>
      <c r="B1555" s="54"/>
      <c r="C1555" s="47">
        <f t="shared" si="532"/>
        <v>4</v>
      </c>
      <c r="D1555" s="73"/>
      <c r="E1555" s="70"/>
      <c r="F1555" s="70" t="s">
        <v>2006</v>
      </c>
      <c r="G1555" s="73"/>
      <c r="H1555" s="76"/>
      <c r="I1555" s="76"/>
      <c r="J1555" s="76"/>
      <c r="K1555" s="76"/>
      <c r="L1555" s="76"/>
      <c r="M1555" s="76"/>
      <c r="N1555" s="76"/>
      <c r="O1555" s="76"/>
      <c r="P1555" s="76"/>
      <c r="Q1555" s="76"/>
      <c r="R1555" s="76"/>
      <c r="S1555" s="76"/>
      <c r="T1555" s="76"/>
      <c r="U1555" s="76"/>
      <c r="V1555" s="76"/>
      <c r="W1555" s="76"/>
      <c r="X1555" s="76"/>
      <c r="Y1555" s="76"/>
      <c r="Z1555" s="76"/>
      <c r="AA1555" s="76"/>
      <c r="AB1555" s="76"/>
      <c r="AC1555" s="76"/>
      <c r="AD1555" s="76"/>
      <c r="AE1555" s="76"/>
      <c r="AF1555" s="76"/>
      <c r="AG1555" s="76"/>
      <c r="AH1555" s="76"/>
      <c r="AI1555" s="76">
        <v>1</v>
      </c>
      <c r="AJ1555" s="76">
        <v>1</v>
      </c>
      <c r="AK1555" s="73"/>
      <c r="AL1555" s="57"/>
      <c r="AM1555" s="45"/>
      <c r="AN1555" s="45"/>
      <c r="AO1555" s="45"/>
    </row>
    <row r="1556" spans="1:41" hidden="1" outlineLevel="3" x14ac:dyDescent="0.25">
      <c r="A1556" s="45"/>
      <c r="B1556" s="54"/>
      <c r="C1556" s="47"/>
      <c r="D1556" s="73"/>
      <c r="E1556" s="70"/>
      <c r="F1556" s="70" t="s">
        <v>2424</v>
      </c>
      <c r="G1556" s="73"/>
      <c r="H1556" s="76"/>
      <c r="I1556" s="76"/>
      <c r="J1556" s="76"/>
      <c r="K1556" s="76"/>
      <c r="L1556" s="76"/>
      <c r="M1556" s="76"/>
      <c r="N1556" s="76"/>
      <c r="O1556" s="76"/>
      <c r="P1556" s="76"/>
      <c r="Q1556" s="76"/>
      <c r="R1556" s="76"/>
      <c r="S1556" s="76"/>
      <c r="T1556" s="76"/>
      <c r="U1556" s="76"/>
      <c r="V1556" s="76"/>
      <c r="W1556" s="76"/>
      <c r="X1556" s="76"/>
      <c r="Y1556" s="76"/>
      <c r="Z1556" s="76"/>
      <c r="AA1556" s="76"/>
      <c r="AB1556" s="76"/>
      <c r="AC1556" s="76"/>
      <c r="AD1556" s="76"/>
      <c r="AE1556" s="76"/>
      <c r="AF1556" s="76"/>
      <c r="AG1556" s="76"/>
      <c r="AH1556" s="76"/>
      <c r="AI1556" s="76">
        <v>1</v>
      </c>
      <c r="AJ1556" s="76">
        <v>1</v>
      </c>
      <c r="AK1556" s="73"/>
      <c r="AL1556" s="57"/>
      <c r="AM1556" s="45"/>
      <c r="AN1556" s="45"/>
      <c r="AO1556" s="45"/>
    </row>
    <row r="1557" spans="1:41" hidden="1" outlineLevel="3" x14ac:dyDescent="0.25">
      <c r="A1557" s="45"/>
      <c r="B1557" s="54"/>
      <c r="C1557" s="47"/>
      <c r="D1557" s="73"/>
      <c r="E1557" s="70"/>
      <c r="F1557" s="70" t="s">
        <v>2425</v>
      </c>
      <c r="G1557" s="73"/>
      <c r="H1557" s="76"/>
      <c r="I1557" s="76"/>
      <c r="J1557" s="76"/>
      <c r="K1557" s="76"/>
      <c r="L1557" s="76"/>
      <c r="M1557" s="76"/>
      <c r="N1557" s="76"/>
      <c r="O1557" s="76"/>
      <c r="P1557" s="76"/>
      <c r="Q1557" s="76"/>
      <c r="R1557" s="76"/>
      <c r="S1557" s="76"/>
      <c r="T1557" s="76"/>
      <c r="U1557" s="76"/>
      <c r="V1557" s="76"/>
      <c r="W1557" s="76"/>
      <c r="X1557" s="76"/>
      <c r="Y1557" s="76"/>
      <c r="Z1557" s="76"/>
      <c r="AA1557" s="76"/>
      <c r="AB1557" s="76"/>
      <c r="AC1557" s="76"/>
      <c r="AD1557" s="76"/>
      <c r="AE1557" s="76"/>
      <c r="AF1557" s="76"/>
      <c r="AG1557" s="76"/>
      <c r="AH1557" s="76"/>
      <c r="AI1557" s="76">
        <v>1</v>
      </c>
      <c r="AJ1557" s="76">
        <v>1</v>
      </c>
      <c r="AK1557" s="73"/>
      <c r="AL1557" s="57"/>
      <c r="AM1557" s="45"/>
      <c r="AN1557" s="45"/>
      <c r="AO1557" s="45"/>
    </row>
    <row r="1558" spans="1:41" hidden="1" outlineLevel="3" x14ac:dyDescent="0.25">
      <c r="A1558" s="45"/>
      <c r="B1558" s="54"/>
      <c r="C1558" s="47"/>
      <c r="D1558" s="73"/>
      <c r="E1558" s="70"/>
      <c r="F1558" s="70" t="s">
        <v>2426</v>
      </c>
      <c r="G1558" s="73"/>
      <c r="H1558" s="76"/>
      <c r="I1558" s="76"/>
      <c r="J1558" s="76"/>
      <c r="K1558" s="76"/>
      <c r="L1558" s="76"/>
      <c r="M1558" s="76"/>
      <c r="N1558" s="76"/>
      <c r="O1558" s="76"/>
      <c r="P1558" s="76"/>
      <c r="Q1558" s="76"/>
      <c r="R1558" s="76"/>
      <c r="S1558" s="76"/>
      <c r="T1558" s="76"/>
      <c r="U1558" s="76"/>
      <c r="V1558" s="76"/>
      <c r="W1558" s="76"/>
      <c r="X1558" s="76"/>
      <c r="Y1558" s="76"/>
      <c r="Z1558" s="76"/>
      <c r="AA1558" s="76"/>
      <c r="AB1558" s="76"/>
      <c r="AC1558" s="76"/>
      <c r="AD1558" s="76"/>
      <c r="AE1558" s="76"/>
      <c r="AF1558" s="76"/>
      <c r="AG1558" s="76"/>
      <c r="AH1558" s="76"/>
      <c r="AI1558" s="76">
        <v>1</v>
      </c>
      <c r="AJ1558" s="76">
        <v>1</v>
      </c>
      <c r="AK1558" s="73"/>
      <c r="AL1558" s="57"/>
      <c r="AM1558" s="45"/>
      <c r="AN1558" s="45"/>
      <c r="AO1558" s="45"/>
    </row>
    <row r="1559" spans="1:41" hidden="1" outlineLevel="3" x14ac:dyDescent="0.25">
      <c r="A1559" s="45"/>
      <c r="B1559" s="54"/>
      <c r="C1559" s="47">
        <f t="shared" ref="C1559:C1570" si="533">INT($C$29)+3</f>
        <v>4</v>
      </c>
      <c r="D1559" s="73"/>
      <c r="E1559" s="70"/>
      <c r="F1559" s="70" t="str">
        <f>SUBSTITUTE(F1555,",4)",",8)")</f>
        <v>C(U2,15,8)</v>
      </c>
      <c r="G1559" s="73"/>
      <c r="H1559" s="76"/>
      <c r="I1559" s="96"/>
      <c r="J1559" s="76"/>
      <c r="K1559" s="76"/>
      <c r="L1559" s="76"/>
      <c r="M1559" s="76"/>
      <c r="N1559" s="76"/>
      <c r="O1559" s="76"/>
      <c r="P1559" s="76"/>
      <c r="Q1559" s="76"/>
      <c r="R1559" s="76"/>
      <c r="S1559" s="76"/>
      <c r="T1559" s="76"/>
      <c r="U1559" s="76"/>
      <c r="V1559" s="76"/>
      <c r="W1559" s="76"/>
      <c r="X1559" s="76"/>
      <c r="Y1559" s="76"/>
      <c r="Z1559" s="76"/>
      <c r="AA1559" s="76"/>
      <c r="AB1559" s="76"/>
      <c r="AC1559" s="76"/>
      <c r="AD1559" s="76"/>
      <c r="AE1559" s="76"/>
      <c r="AF1559" s="76"/>
      <c r="AG1559" s="76"/>
      <c r="AH1559" s="76"/>
      <c r="AI1559" s="76">
        <v>1</v>
      </c>
      <c r="AJ1559" s="76">
        <v>1</v>
      </c>
      <c r="AK1559" s="73"/>
      <c r="AL1559" s="57"/>
      <c r="AM1559" s="45"/>
      <c r="AN1559" s="45"/>
      <c r="AO1559" s="45"/>
    </row>
    <row r="1560" spans="1:41" hidden="1" outlineLevel="3" x14ac:dyDescent="0.25">
      <c r="A1560" s="45"/>
      <c r="B1560" s="54"/>
      <c r="C1560" s="47">
        <f t="shared" si="533"/>
        <v>4</v>
      </c>
      <c r="D1560" s="73"/>
      <c r="E1560" s="70"/>
      <c r="F1560" s="70" t="str">
        <f>SUBSTITUTE(F1556,",5)",",9)")</f>
        <v>C(U2,15,9)</v>
      </c>
      <c r="G1560" s="73"/>
      <c r="H1560" s="76"/>
      <c r="I1560" s="96"/>
      <c r="J1560" s="76"/>
      <c r="K1560" s="76"/>
      <c r="L1560" s="76"/>
      <c r="M1560" s="76"/>
      <c r="N1560" s="76"/>
      <c r="O1560" s="76"/>
      <c r="P1560" s="76"/>
      <c r="Q1560" s="76"/>
      <c r="R1560" s="76"/>
      <c r="S1560" s="76"/>
      <c r="T1560" s="76"/>
      <c r="U1560" s="76"/>
      <c r="V1560" s="76"/>
      <c r="W1560" s="76"/>
      <c r="X1560" s="76"/>
      <c r="Y1560" s="76"/>
      <c r="Z1560" s="76"/>
      <c r="AA1560" s="76"/>
      <c r="AB1560" s="76"/>
      <c r="AC1560" s="76"/>
      <c r="AD1560" s="76"/>
      <c r="AE1560" s="76"/>
      <c r="AF1560" s="76"/>
      <c r="AG1560" s="76"/>
      <c r="AH1560" s="76"/>
      <c r="AI1560" s="76">
        <v>1</v>
      </c>
      <c r="AJ1560" s="76">
        <v>1</v>
      </c>
      <c r="AK1560" s="73"/>
      <c r="AL1560" s="57"/>
      <c r="AM1560" s="45"/>
      <c r="AN1560" s="45"/>
      <c r="AO1560" s="45"/>
    </row>
    <row r="1561" spans="1:41" hidden="1" outlineLevel="3" x14ac:dyDescent="0.25">
      <c r="A1561" s="45"/>
      <c r="B1561" s="54"/>
      <c r="C1561" s="47">
        <f t="shared" si="533"/>
        <v>4</v>
      </c>
      <c r="D1561" s="73"/>
      <c r="E1561" s="70"/>
      <c r="F1561" s="70" t="str">
        <f>SUBSTITUTE(F1557,",6)",",10)")</f>
        <v>C(U2,15,10)</v>
      </c>
      <c r="G1561" s="73"/>
      <c r="H1561" s="76"/>
      <c r="I1561" s="96"/>
      <c r="J1561" s="76"/>
      <c r="K1561" s="76"/>
      <c r="L1561" s="76"/>
      <c r="M1561" s="76"/>
      <c r="N1561" s="76"/>
      <c r="O1561" s="76"/>
      <c r="P1561" s="76"/>
      <c r="Q1561" s="76"/>
      <c r="R1561" s="76"/>
      <c r="S1561" s="76"/>
      <c r="T1561" s="76"/>
      <c r="U1561" s="76"/>
      <c r="V1561" s="76"/>
      <c r="W1561" s="76"/>
      <c r="X1561" s="76"/>
      <c r="Y1561" s="76"/>
      <c r="Z1561" s="76"/>
      <c r="AA1561" s="76"/>
      <c r="AB1561" s="76"/>
      <c r="AC1561" s="76"/>
      <c r="AD1561" s="76"/>
      <c r="AE1561" s="76"/>
      <c r="AF1561" s="76"/>
      <c r="AG1561" s="76"/>
      <c r="AH1561" s="76"/>
      <c r="AI1561" s="76">
        <v>1</v>
      </c>
      <c r="AJ1561" s="76">
        <v>1</v>
      </c>
      <c r="AK1561" s="73"/>
      <c r="AL1561" s="57"/>
      <c r="AM1561" s="45"/>
      <c r="AN1561" s="45"/>
      <c r="AO1561" s="45"/>
    </row>
    <row r="1562" spans="1:41" hidden="1" outlineLevel="3" x14ac:dyDescent="0.25">
      <c r="A1562" s="45"/>
      <c r="B1562" s="54"/>
      <c r="C1562" s="47">
        <f t="shared" si="533"/>
        <v>4</v>
      </c>
      <c r="D1562" s="73"/>
      <c r="E1562" s="70"/>
      <c r="F1562" s="70" t="str">
        <f>SUBSTITUTE(F1558,",7)",",11)")</f>
        <v>C(U2,15,11)</v>
      </c>
      <c r="G1562" s="73"/>
      <c r="H1562" s="76"/>
      <c r="I1562" s="96"/>
      <c r="J1562" s="76"/>
      <c r="K1562" s="76"/>
      <c r="L1562" s="76"/>
      <c r="M1562" s="76"/>
      <c r="N1562" s="76"/>
      <c r="O1562" s="76"/>
      <c r="P1562" s="76"/>
      <c r="Q1562" s="76"/>
      <c r="R1562" s="76"/>
      <c r="S1562" s="76"/>
      <c r="T1562" s="76"/>
      <c r="U1562" s="76"/>
      <c r="V1562" s="76"/>
      <c r="W1562" s="76"/>
      <c r="X1562" s="76"/>
      <c r="Y1562" s="76"/>
      <c r="Z1562" s="76"/>
      <c r="AA1562" s="76"/>
      <c r="AB1562" s="76"/>
      <c r="AC1562" s="76"/>
      <c r="AD1562" s="76"/>
      <c r="AE1562" s="76"/>
      <c r="AF1562" s="76"/>
      <c r="AG1562" s="76"/>
      <c r="AH1562" s="76"/>
      <c r="AI1562" s="76">
        <v>1</v>
      </c>
      <c r="AJ1562" s="76">
        <v>1</v>
      </c>
      <c r="AK1562" s="73"/>
      <c r="AL1562" s="57"/>
      <c r="AM1562" s="45"/>
      <c r="AN1562" s="45"/>
      <c r="AO1562" s="45"/>
    </row>
    <row r="1563" spans="1:41" hidden="1" outlineLevel="3" x14ac:dyDescent="0.25">
      <c r="A1563" s="45"/>
      <c r="B1563" s="54"/>
      <c r="C1563" s="47">
        <f t="shared" si="533"/>
        <v>4</v>
      </c>
      <c r="D1563" s="73"/>
      <c r="E1563" s="70"/>
      <c r="F1563" s="70" t="str">
        <f>SUBSTITUTE(F1557,",6)",",12)")</f>
        <v>C(U2,15,12)</v>
      </c>
      <c r="G1563" s="73"/>
      <c r="H1563" s="76"/>
      <c r="I1563" s="96"/>
      <c r="J1563" s="76"/>
      <c r="K1563" s="76"/>
      <c r="L1563" s="76"/>
      <c r="M1563" s="76"/>
      <c r="N1563" s="76"/>
      <c r="O1563" s="76"/>
      <c r="P1563" s="76"/>
      <c r="Q1563" s="76"/>
      <c r="R1563" s="76"/>
      <c r="S1563" s="76"/>
      <c r="T1563" s="76"/>
      <c r="U1563" s="76"/>
      <c r="V1563" s="76"/>
      <c r="W1563" s="76"/>
      <c r="X1563" s="76"/>
      <c r="Y1563" s="76"/>
      <c r="Z1563" s="76"/>
      <c r="AA1563" s="76"/>
      <c r="AB1563" s="76"/>
      <c r="AC1563" s="76"/>
      <c r="AD1563" s="76"/>
      <c r="AE1563" s="76"/>
      <c r="AF1563" s="76"/>
      <c r="AG1563" s="76"/>
      <c r="AH1563" s="76"/>
      <c r="AI1563" s="76">
        <v>1</v>
      </c>
      <c r="AJ1563" s="76">
        <v>1</v>
      </c>
      <c r="AK1563" s="73"/>
      <c r="AL1563" s="57"/>
      <c r="AM1563" s="45"/>
      <c r="AN1563" s="45"/>
      <c r="AO1563" s="45"/>
    </row>
    <row r="1564" spans="1:41" hidden="1" outlineLevel="3" x14ac:dyDescent="0.25">
      <c r="A1564" s="45"/>
      <c r="B1564" s="54"/>
      <c r="C1564" s="47">
        <f t="shared" si="533"/>
        <v>4</v>
      </c>
      <c r="D1564" s="73"/>
      <c r="E1564" s="70"/>
      <c r="F1564" s="70" t="str">
        <f>SUBSTITUTE(F1558,",7)",",13)")</f>
        <v>C(U2,15,13)</v>
      </c>
      <c r="G1564" s="73"/>
      <c r="H1564" s="76"/>
      <c r="I1564" s="96"/>
      <c r="J1564" s="76"/>
      <c r="K1564" s="76"/>
      <c r="L1564" s="76"/>
      <c r="M1564" s="76"/>
      <c r="N1564" s="76"/>
      <c r="O1564" s="76"/>
      <c r="P1564" s="76"/>
      <c r="Q1564" s="76"/>
      <c r="R1564" s="76"/>
      <c r="S1564" s="76"/>
      <c r="T1564" s="76"/>
      <c r="U1564" s="76"/>
      <c r="V1564" s="76"/>
      <c r="W1564" s="76"/>
      <c r="X1564" s="76"/>
      <c r="Y1564" s="76"/>
      <c r="Z1564" s="76"/>
      <c r="AA1564" s="76"/>
      <c r="AB1564" s="76"/>
      <c r="AC1564" s="76"/>
      <c r="AD1564" s="76"/>
      <c r="AE1564" s="76"/>
      <c r="AF1564" s="76"/>
      <c r="AG1564" s="76"/>
      <c r="AH1564" s="76"/>
      <c r="AI1564" s="76">
        <v>1</v>
      </c>
      <c r="AJ1564" s="76">
        <v>1</v>
      </c>
      <c r="AK1564" s="73"/>
      <c r="AL1564" s="57"/>
      <c r="AM1564" s="45"/>
      <c r="AN1564" s="45"/>
      <c r="AO1564" s="45"/>
    </row>
    <row r="1565" spans="1:41" hidden="1" outlineLevel="3" x14ac:dyDescent="0.25">
      <c r="A1565" s="45"/>
      <c r="B1565" s="54"/>
      <c r="C1565" s="47">
        <f t="shared" si="533"/>
        <v>4</v>
      </c>
      <c r="D1565" s="73"/>
      <c r="E1565" s="70"/>
      <c r="F1565" s="70" t="s">
        <v>2007</v>
      </c>
      <c r="G1565" s="73"/>
      <c r="H1565" s="76"/>
      <c r="I1565" s="76"/>
      <c r="J1565" s="76"/>
      <c r="K1565" s="76"/>
      <c r="L1565" s="76"/>
      <c r="M1565" s="76"/>
      <c r="N1565" s="76"/>
      <c r="O1565" s="76"/>
      <c r="P1565" s="76"/>
      <c r="Q1565" s="76"/>
      <c r="R1565" s="76"/>
      <c r="S1565" s="76"/>
      <c r="T1565" s="76"/>
      <c r="U1565" s="76"/>
      <c r="V1565" s="76"/>
      <c r="W1565" s="76"/>
      <c r="X1565" s="76"/>
      <c r="Y1565" s="76"/>
      <c r="Z1565" s="76"/>
      <c r="AA1565" s="76"/>
      <c r="AB1565" s="76"/>
      <c r="AC1565" s="76"/>
      <c r="AD1565" s="76"/>
      <c r="AE1565" s="76"/>
      <c r="AF1565" s="76"/>
      <c r="AG1565" s="76"/>
      <c r="AH1565" s="76"/>
      <c r="AI1565" s="76">
        <v>1</v>
      </c>
      <c r="AJ1565" s="76">
        <v>1</v>
      </c>
      <c r="AK1565" s="73"/>
      <c r="AL1565" s="57"/>
      <c r="AM1565" s="45"/>
      <c r="AN1565" s="45"/>
      <c r="AO1565" s="45"/>
    </row>
    <row r="1566" spans="1:41" hidden="1" outlineLevel="3" x14ac:dyDescent="0.25">
      <c r="A1566" s="45"/>
      <c r="B1566" s="54"/>
      <c r="C1566" s="47">
        <f t="shared" si="533"/>
        <v>4</v>
      </c>
      <c r="D1566" s="73"/>
      <c r="E1566" s="70"/>
      <c r="F1566" s="70" t="s">
        <v>2008</v>
      </c>
      <c r="G1566" s="73"/>
      <c r="H1566" s="76" t="s">
        <v>599</v>
      </c>
      <c r="I1566" s="76"/>
      <c r="J1566" s="76"/>
      <c r="K1566" s="76"/>
      <c r="L1566" s="76"/>
      <c r="M1566" s="76"/>
      <c r="N1566" s="76"/>
      <c r="O1566" s="76"/>
      <c r="P1566" s="76"/>
      <c r="Q1566" s="76"/>
      <c r="R1566" s="76"/>
      <c r="S1566" s="76"/>
      <c r="T1566" s="76"/>
      <c r="U1566" s="76"/>
      <c r="V1566" s="76"/>
      <c r="W1566" s="76"/>
      <c r="X1566" s="76"/>
      <c r="Y1566" s="76"/>
      <c r="Z1566" s="76"/>
      <c r="AA1566" s="76"/>
      <c r="AB1566" s="76"/>
      <c r="AC1566" s="76"/>
      <c r="AD1566" s="76"/>
      <c r="AE1566" s="76"/>
      <c r="AF1566" s="76"/>
      <c r="AG1566" s="76"/>
      <c r="AH1566" s="76"/>
      <c r="AI1566" s="76">
        <v>1</v>
      </c>
      <c r="AJ1566" s="76">
        <v>1</v>
      </c>
      <c r="AK1566" s="73"/>
      <c r="AL1566" s="57"/>
      <c r="AM1566" s="45"/>
      <c r="AN1566" s="45"/>
      <c r="AO1566" s="45"/>
    </row>
    <row r="1567" spans="1:41" hidden="1" outlineLevel="3" x14ac:dyDescent="0.25">
      <c r="A1567" s="45"/>
      <c r="B1567" s="54"/>
      <c r="C1567" s="47">
        <f t="shared" si="533"/>
        <v>4</v>
      </c>
      <c r="D1567" s="73"/>
      <c r="E1567" s="70"/>
      <c r="F1567" s="70" t="s">
        <v>2009</v>
      </c>
      <c r="G1567" s="73"/>
      <c r="H1567" s="76"/>
      <c r="I1567" s="76"/>
      <c r="J1567" s="76"/>
      <c r="K1567" s="76"/>
      <c r="L1567" s="76"/>
      <c r="M1567" s="76"/>
      <c r="N1567" s="76"/>
      <c r="O1567" s="76"/>
      <c r="P1567" s="76"/>
      <c r="Q1567" s="76"/>
      <c r="R1567" s="76"/>
      <c r="S1567" s="76"/>
      <c r="T1567" s="76"/>
      <c r="U1567" s="76"/>
      <c r="V1567" s="76"/>
      <c r="W1567" s="76"/>
      <c r="X1567" s="76"/>
      <c r="Y1567" s="76"/>
      <c r="Z1567" s="76"/>
      <c r="AA1567" s="76"/>
      <c r="AB1567" s="76"/>
      <c r="AC1567" s="76"/>
      <c r="AD1567" s="76"/>
      <c r="AE1567" s="76"/>
      <c r="AF1567" s="76"/>
      <c r="AG1567" s="76"/>
      <c r="AH1567" s="76"/>
      <c r="AI1567" s="76">
        <v>1</v>
      </c>
      <c r="AJ1567" s="76">
        <v>1</v>
      </c>
      <c r="AK1567" s="73"/>
      <c r="AL1567" s="57"/>
      <c r="AM1567" s="45"/>
      <c r="AN1567" s="45"/>
      <c r="AO1567" s="45"/>
    </row>
    <row r="1568" spans="1:41" hidden="1" outlineLevel="3" x14ac:dyDescent="0.25">
      <c r="A1568" s="45"/>
      <c r="B1568" s="54"/>
      <c r="C1568" s="47">
        <f t="shared" si="533"/>
        <v>4</v>
      </c>
      <c r="D1568" s="73"/>
      <c r="E1568" s="70"/>
      <c r="F1568" s="70" t="s">
        <v>2010</v>
      </c>
      <c r="G1568" s="73"/>
      <c r="H1568" s="76"/>
      <c r="I1568" s="76"/>
      <c r="J1568" s="76"/>
      <c r="K1568" s="76"/>
      <c r="L1568" s="76"/>
      <c r="M1568" s="76"/>
      <c r="N1568" s="76"/>
      <c r="O1568" s="76"/>
      <c r="P1568" s="76"/>
      <c r="Q1568" s="76"/>
      <c r="R1568" s="76"/>
      <c r="S1568" s="76"/>
      <c r="T1568" s="76"/>
      <c r="U1568" s="76"/>
      <c r="V1568" s="76"/>
      <c r="W1568" s="76"/>
      <c r="X1568" s="76"/>
      <c r="Y1568" s="76"/>
      <c r="Z1568" s="76"/>
      <c r="AA1568" s="76"/>
      <c r="AB1568" s="76"/>
      <c r="AC1568" s="76"/>
      <c r="AD1568" s="76"/>
      <c r="AE1568" s="76"/>
      <c r="AF1568" s="76"/>
      <c r="AG1568" s="76"/>
      <c r="AH1568" s="76"/>
      <c r="AI1568" s="76">
        <v>1</v>
      </c>
      <c r="AJ1568" s="76">
        <v>1</v>
      </c>
      <c r="AK1568" s="73"/>
      <c r="AL1568" s="57"/>
      <c r="AM1568" s="45"/>
      <c r="AN1568" s="45"/>
      <c r="AO1568" s="45"/>
    </row>
    <row r="1569" spans="1:41" hidden="1" outlineLevel="3" x14ac:dyDescent="0.25">
      <c r="A1569" s="45"/>
      <c r="B1569" s="54"/>
      <c r="C1569" s="47">
        <f t="shared" si="533"/>
        <v>4</v>
      </c>
      <c r="D1569" s="73"/>
      <c r="E1569" s="70"/>
      <c r="F1569" s="70" t="s">
        <v>2011</v>
      </c>
      <c r="G1569" s="73"/>
      <c r="H1569" s="76"/>
      <c r="I1569" s="76"/>
      <c r="J1569" s="76"/>
      <c r="K1569" s="76"/>
      <c r="L1569" s="76"/>
      <c r="M1569" s="76"/>
      <c r="N1569" s="76"/>
      <c r="O1569" s="76"/>
      <c r="P1569" s="76"/>
      <c r="Q1569" s="76"/>
      <c r="R1569" s="76"/>
      <c r="S1569" s="76"/>
      <c r="T1569" s="76"/>
      <c r="U1569" s="76"/>
      <c r="V1569" s="76"/>
      <c r="W1569" s="76"/>
      <c r="X1569" s="76"/>
      <c r="Y1569" s="76"/>
      <c r="Z1569" s="76"/>
      <c r="AA1569" s="76"/>
      <c r="AB1569" s="76"/>
      <c r="AC1569" s="76"/>
      <c r="AD1569" s="76"/>
      <c r="AE1569" s="76"/>
      <c r="AF1569" s="76"/>
      <c r="AG1569" s="76"/>
      <c r="AH1569" s="76"/>
      <c r="AI1569" s="76">
        <v>1</v>
      </c>
      <c r="AJ1569" s="76">
        <v>1</v>
      </c>
      <c r="AK1569" s="73"/>
      <c r="AL1569" s="57"/>
      <c r="AM1569" s="45"/>
      <c r="AN1569" s="45"/>
      <c r="AO1569" s="45"/>
    </row>
    <row r="1570" spans="1:41" hidden="1" outlineLevel="3" x14ac:dyDescent="0.25">
      <c r="A1570" s="45"/>
      <c r="B1570" s="54"/>
      <c r="C1570" s="47">
        <f t="shared" si="533"/>
        <v>4</v>
      </c>
      <c r="D1570" s="73"/>
      <c r="E1570" s="70"/>
      <c r="F1570" s="70" t="s">
        <v>2012</v>
      </c>
      <c r="G1570" s="73"/>
      <c r="H1570" s="76"/>
      <c r="I1570" s="76"/>
      <c r="J1570" s="76"/>
      <c r="K1570" s="76"/>
      <c r="L1570" s="76"/>
      <c r="M1570" s="76"/>
      <c r="N1570" s="76"/>
      <c r="O1570" s="76"/>
      <c r="P1570" s="76"/>
      <c r="Q1570" s="76"/>
      <c r="R1570" s="76"/>
      <c r="S1570" s="76"/>
      <c r="T1570" s="76"/>
      <c r="U1570" s="76"/>
      <c r="V1570" s="76"/>
      <c r="W1570" s="76"/>
      <c r="X1570" s="76"/>
      <c r="Y1570" s="76"/>
      <c r="Z1570" s="76"/>
      <c r="AA1570" s="76"/>
      <c r="AB1570" s="76"/>
      <c r="AC1570" s="76"/>
      <c r="AD1570" s="76"/>
      <c r="AE1570" s="76"/>
      <c r="AF1570" s="76"/>
      <c r="AG1570" s="76"/>
      <c r="AH1570" s="76"/>
      <c r="AI1570" s="76">
        <v>1</v>
      </c>
      <c r="AJ1570" s="76">
        <v>1</v>
      </c>
      <c r="AK1570" s="73"/>
      <c r="AL1570" s="57"/>
      <c r="AM1570" s="45"/>
      <c r="AN1570" s="45"/>
      <c r="AO1570" s="45"/>
    </row>
    <row r="1571" spans="1:41" hidden="1" outlineLevel="3" x14ac:dyDescent="0.25">
      <c r="A1571" s="45"/>
      <c r="B1571" s="54"/>
      <c r="C1571" s="47"/>
      <c r="D1571" s="73"/>
      <c r="E1571" s="70"/>
      <c r="F1571" s="70" t="s">
        <v>2427</v>
      </c>
      <c r="G1571" s="73"/>
      <c r="H1571" s="76"/>
      <c r="I1571" s="76"/>
      <c r="J1571" s="76"/>
      <c r="K1571" s="76"/>
      <c r="L1571" s="76"/>
      <c r="M1571" s="76"/>
      <c r="N1571" s="76"/>
      <c r="O1571" s="76"/>
      <c r="P1571" s="76"/>
      <c r="Q1571" s="76"/>
      <c r="R1571" s="76"/>
      <c r="S1571" s="76"/>
      <c r="T1571" s="76"/>
      <c r="U1571" s="76"/>
      <c r="V1571" s="76"/>
      <c r="W1571" s="76"/>
      <c r="X1571" s="76"/>
      <c r="Y1571" s="76"/>
      <c r="Z1571" s="76"/>
      <c r="AA1571" s="76"/>
      <c r="AB1571" s="76"/>
      <c r="AC1571" s="76"/>
      <c r="AD1571" s="76"/>
      <c r="AE1571" s="76"/>
      <c r="AF1571" s="76"/>
      <c r="AG1571" s="76"/>
      <c r="AH1571" s="76"/>
      <c r="AI1571" s="76">
        <v>1</v>
      </c>
      <c r="AJ1571" s="76">
        <v>1</v>
      </c>
      <c r="AK1571" s="73"/>
      <c r="AL1571" s="57"/>
      <c r="AM1571" s="45"/>
      <c r="AN1571" s="45"/>
      <c r="AO1571" s="45"/>
    </row>
    <row r="1572" spans="1:41" hidden="1" outlineLevel="3" x14ac:dyDescent="0.25">
      <c r="A1572" s="45"/>
      <c r="B1572" s="54"/>
      <c r="C1572" s="47"/>
      <c r="D1572" s="73"/>
      <c r="E1572" s="70"/>
      <c r="F1572" s="70" t="s">
        <v>2428</v>
      </c>
      <c r="G1572" s="73"/>
      <c r="H1572" s="76"/>
      <c r="I1572" s="76"/>
      <c r="J1572" s="76"/>
      <c r="K1572" s="76"/>
      <c r="L1572" s="76"/>
      <c r="M1572" s="76"/>
      <c r="N1572" s="76"/>
      <c r="O1572" s="76"/>
      <c r="P1572" s="76"/>
      <c r="Q1572" s="76"/>
      <c r="R1572" s="76"/>
      <c r="S1572" s="76"/>
      <c r="T1572" s="76"/>
      <c r="U1572" s="76"/>
      <c r="V1572" s="76"/>
      <c r="W1572" s="76"/>
      <c r="X1572" s="76"/>
      <c r="Y1572" s="76"/>
      <c r="Z1572" s="76"/>
      <c r="AA1572" s="76"/>
      <c r="AB1572" s="76"/>
      <c r="AC1572" s="76"/>
      <c r="AD1572" s="76"/>
      <c r="AE1572" s="76"/>
      <c r="AF1572" s="76"/>
      <c r="AG1572" s="76"/>
      <c r="AH1572" s="76"/>
      <c r="AI1572" s="76">
        <v>1</v>
      </c>
      <c r="AJ1572" s="76">
        <v>1</v>
      </c>
      <c r="AK1572" s="73"/>
      <c r="AL1572" s="57"/>
      <c r="AM1572" s="45"/>
      <c r="AN1572" s="45"/>
      <c r="AO1572" s="45"/>
    </row>
    <row r="1573" spans="1:41" hidden="1" outlineLevel="3" x14ac:dyDescent="0.25">
      <c r="A1573" s="45"/>
      <c r="B1573" s="54"/>
      <c r="C1573" s="47"/>
      <c r="D1573" s="73"/>
      <c r="E1573" s="70"/>
      <c r="F1573" s="70" t="s">
        <v>2429</v>
      </c>
      <c r="G1573" s="73"/>
      <c r="H1573" s="76"/>
      <c r="I1573" s="76"/>
      <c r="J1573" s="76"/>
      <c r="K1573" s="76"/>
      <c r="L1573" s="76"/>
      <c r="M1573" s="76"/>
      <c r="N1573" s="76"/>
      <c r="O1573" s="76"/>
      <c r="P1573" s="76"/>
      <c r="Q1573" s="76"/>
      <c r="R1573" s="76"/>
      <c r="S1573" s="76"/>
      <c r="T1573" s="76"/>
      <c r="U1573" s="76"/>
      <c r="V1573" s="76"/>
      <c r="W1573" s="76"/>
      <c r="X1573" s="76"/>
      <c r="Y1573" s="76"/>
      <c r="Z1573" s="76"/>
      <c r="AA1573" s="76"/>
      <c r="AB1573" s="76"/>
      <c r="AC1573" s="76"/>
      <c r="AD1573" s="76"/>
      <c r="AE1573" s="76"/>
      <c r="AF1573" s="76"/>
      <c r="AG1573" s="76"/>
      <c r="AH1573" s="76"/>
      <c r="AI1573" s="76">
        <v>1</v>
      </c>
      <c r="AJ1573" s="76">
        <v>1</v>
      </c>
      <c r="AK1573" s="73"/>
      <c r="AL1573" s="57"/>
      <c r="AM1573" s="45"/>
      <c r="AN1573" s="45"/>
      <c r="AO1573" s="45"/>
    </row>
    <row r="1574" spans="1:41" hidden="1" outlineLevel="3" x14ac:dyDescent="0.25">
      <c r="A1574" s="45"/>
      <c r="B1574" s="54"/>
      <c r="C1574" s="47">
        <f t="shared" ref="C1574:C1585" si="534">INT($C$29)+3</f>
        <v>4</v>
      </c>
      <c r="D1574" s="73"/>
      <c r="E1574" s="70"/>
      <c r="F1574" s="70" t="str">
        <f>SUBSTITUTE(F1570,",4)",",8)")</f>
        <v>C(U2,16,8)</v>
      </c>
      <c r="G1574" s="73"/>
      <c r="H1574" s="76"/>
      <c r="I1574" s="96"/>
      <c r="J1574" s="76"/>
      <c r="K1574" s="76"/>
      <c r="L1574" s="76"/>
      <c r="M1574" s="76"/>
      <c r="N1574" s="76"/>
      <c r="O1574" s="76"/>
      <c r="P1574" s="76"/>
      <c r="Q1574" s="76"/>
      <c r="R1574" s="76"/>
      <c r="S1574" s="76"/>
      <c r="T1574" s="76"/>
      <c r="U1574" s="76"/>
      <c r="V1574" s="76"/>
      <c r="W1574" s="76"/>
      <c r="X1574" s="76"/>
      <c r="Y1574" s="76"/>
      <c r="Z1574" s="76"/>
      <c r="AA1574" s="76"/>
      <c r="AB1574" s="76"/>
      <c r="AC1574" s="76"/>
      <c r="AD1574" s="76"/>
      <c r="AE1574" s="76"/>
      <c r="AF1574" s="76"/>
      <c r="AG1574" s="76"/>
      <c r="AH1574" s="76"/>
      <c r="AI1574" s="76">
        <v>1</v>
      </c>
      <c r="AJ1574" s="76">
        <v>1</v>
      </c>
      <c r="AK1574" s="73"/>
      <c r="AL1574" s="57"/>
      <c r="AM1574" s="45"/>
      <c r="AN1574" s="45"/>
      <c r="AO1574" s="45"/>
    </row>
    <row r="1575" spans="1:41" hidden="1" outlineLevel="3" x14ac:dyDescent="0.25">
      <c r="A1575" s="45"/>
      <c r="B1575" s="54"/>
      <c r="C1575" s="47">
        <f t="shared" si="534"/>
        <v>4</v>
      </c>
      <c r="D1575" s="73"/>
      <c r="E1575" s="70"/>
      <c r="F1575" s="70" t="str">
        <f>SUBSTITUTE(F1571,",5)",",9)")</f>
        <v>C(U2,16,9)</v>
      </c>
      <c r="G1575" s="73"/>
      <c r="H1575" s="76"/>
      <c r="I1575" s="96"/>
      <c r="J1575" s="76"/>
      <c r="K1575" s="76"/>
      <c r="L1575" s="76"/>
      <c r="M1575" s="76"/>
      <c r="N1575" s="76"/>
      <c r="O1575" s="76"/>
      <c r="P1575" s="76"/>
      <c r="Q1575" s="76"/>
      <c r="R1575" s="76"/>
      <c r="S1575" s="76"/>
      <c r="T1575" s="76"/>
      <c r="U1575" s="76"/>
      <c r="V1575" s="76"/>
      <c r="W1575" s="76"/>
      <c r="X1575" s="76"/>
      <c r="Y1575" s="76"/>
      <c r="Z1575" s="76"/>
      <c r="AA1575" s="76"/>
      <c r="AB1575" s="76"/>
      <c r="AC1575" s="76"/>
      <c r="AD1575" s="76"/>
      <c r="AE1575" s="76"/>
      <c r="AF1575" s="76"/>
      <c r="AG1575" s="76"/>
      <c r="AH1575" s="76"/>
      <c r="AI1575" s="76">
        <v>1</v>
      </c>
      <c r="AJ1575" s="76">
        <v>1</v>
      </c>
      <c r="AK1575" s="73"/>
      <c r="AL1575" s="57"/>
      <c r="AM1575" s="45"/>
      <c r="AN1575" s="45"/>
      <c r="AO1575" s="45"/>
    </row>
    <row r="1576" spans="1:41" hidden="1" outlineLevel="3" x14ac:dyDescent="0.25">
      <c r="A1576" s="45"/>
      <c r="B1576" s="54"/>
      <c r="C1576" s="47">
        <f t="shared" si="534"/>
        <v>4</v>
      </c>
      <c r="D1576" s="73"/>
      <c r="E1576" s="70"/>
      <c r="F1576" s="70" t="str">
        <f>SUBSTITUTE(F1572,",6)",",10)")</f>
        <v>C(U2,16,10)</v>
      </c>
      <c r="G1576" s="73"/>
      <c r="H1576" s="76"/>
      <c r="I1576" s="96"/>
      <c r="J1576" s="76"/>
      <c r="K1576" s="76"/>
      <c r="L1576" s="76"/>
      <c r="M1576" s="76"/>
      <c r="N1576" s="76"/>
      <c r="O1576" s="76"/>
      <c r="P1576" s="76"/>
      <c r="Q1576" s="76"/>
      <c r="R1576" s="76"/>
      <c r="S1576" s="76"/>
      <c r="T1576" s="76"/>
      <c r="U1576" s="76"/>
      <c r="V1576" s="76"/>
      <c r="W1576" s="76"/>
      <c r="X1576" s="76"/>
      <c r="Y1576" s="76"/>
      <c r="Z1576" s="76"/>
      <c r="AA1576" s="76"/>
      <c r="AB1576" s="76"/>
      <c r="AC1576" s="76"/>
      <c r="AD1576" s="76"/>
      <c r="AE1576" s="76"/>
      <c r="AF1576" s="76"/>
      <c r="AG1576" s="76"/>
      <c r="AH1576" s="76"/>
      <c r="AI1576" s="76">
        <v>1</v>
      </c>
      <c r="AJ1576" s="76">
        <v>1</v>
      </c>
      <c r="AK1576" s="73"/>
      <c r="AL1576" s="57"/>
      <c r="AM1576" s="45"/>
      <c r="AN1576" s="45"/>
      <c r="AO1576" s="45"/>
    </row>
    <row r="1577" spans="1:41" hidden="1" outlineLevel="3" x14ac:dyDescent="0.25">
      <c r="A1577" s="45"/>
      <c r="B1577" s="54"/>
      <c r="C1577" s="47">
        <f t="shared" si="534"/>
        <v>4</v>
      </c>
      <c r="D1577" s="73"/>
      <c r="E1577" s="70"/>
      <c r="F1577" s="70" t="str">
        <f>SUBSTITUTE(F1573,",7)",",11)")</f>
        <v>C(U2,16,11)</v>
      </c>
      <c r="G1577" s="73"/>
      <c r="H1577" s="76"/>
      <c r="I1577" s="96"/>
      <c r="J1577" s="76"/>
      <c r="K1577" s="76"/>
      <c r="L1577" s="76"/>
      <c r="M1577" s="76"/>
      <c r="N1577" s="76"/>
      <c r="O1577" s="76"/>
      <c r="P1577" s="76"/>
      <c r="Q1577" s="76"/>
      <c r="R1577" s="76"/>
      <c r="S1577" s="76"/>
      <c r="T1577" s="76"/>
      <c r="U1577" s="76"/>
      <c r="V1577" s="76"/>
      <c r="W1577" s="76"/>
      <c r="X1577" s="76"/>
      <c r="Y1577" s="76"/>
      <c r="Z1577" s="76"/>
      <c r="AA1577" s="76"/>
      <c r="AB1577" s="76"/>
      <c r="AC1577" s="76"/>
      <c r="AD1577" s="76"/>
      <c r="AE1577" s="76"/>
      <c r="AF1577" s="76"/>
      <c r="AG1577" s="76"/>
      <c r="AH1577" s="76"/>
      <c r="AI1577" s="76">
        <v>1</v>
      </c>
      <c r="AJ1577" s="76">
        <v>1</v>
      </c>
      <c r="AK1577" s="73"/>
      <c r="AL1577" s="57"/>
      <c r="AM1577" s="45"/>
      <c r="AN1577" s="45"/>
      <c r="AO1577" s="45"/>
    </row>
    <row r="1578" spans="1:41" hidden="1" outlineLevel="3" x14ac:dyDescent="0.25">
      <c r="A1578" s="45"/>
      <c r="B1578" s="54"/>
      <c r="C1578" s="47">
        <f t="shared" si="534"/>
        <v>4</v>
      </c>
      <c r="D1578" s="73"/>
      <c r="E1578" s="70"/>
      <c r="F1578" s="70" t="str">
        <f>SUBSTITUTE(F1572,",6)",",12)")</f>
        <v>C(U2,16,12)</v>
      </c>
      <c r="G1578" s="73"/>
      <c r="H1578" s="76"/>
      <c r="I1578" s="96"/>
      <c r="J1578" s="76"/>
      <c r="K1578" s="76"/>
      <c r="L1578" s="76"/>
      <c r="M1578" s="76"/>
      <c r="N1578" s="76"/>
      <c r="O1578" s="76"/>
      <c r="P1578" s="76"/>
      <c r="Q1578" s="76"/>
      <c r="R1578" s="76"/>
      <c r="S1578" s="76"/>
      <c r="T1578" s="76"/>
      <c r="U1578" s="76"/>
      <c r="V1578" s="76"/>
      <c r="W1578" s="76"/>
      <c r="X1578" s="76"/>
      <c r="Y1578" s="76"/>
      <c r="Z1578" s="76"/>
      <c r="AA1578" s="76"/>
      <c r="AB1578" s="76"/>
      <c r="AC1578" s="76"/>
      <c r="AD1578" s="76"/>
      <c r="AE1578" s="76"/>
      <c r="AF1578" s="76"/>
      <c r="AG1578" s="76"/>
      <c r="AH1578" s="76"/>
      <c r="AI1578" s="76">
        <v>1</v>
      </c>
      <c r="AJ1578" s="76">
        <v>1</v>
      </c>
      <c r="AK1578" s="73"/>
      <c r="AL1578" s="57"/>
      <c r="AM1578" s="45"/>
      <c r="AN1578" s="45"/>
      <c r="AO1578" s="45"/>
    </row>
    <row r="1579" spans="1:41" hidden="1" outlineLevel="3" x14ac:dyDescent="0.25">
      <c r="A1579" s="45"/>
      <c r="B1579" s="54"/>
      <c r="C1579" s="47">
        <f t="shared" si="534"/>
        <v>4</v>
      </c>
      <c r="D1579" s="73"/>
      <c r="E1579" s="70"/>
      <c r="F1579" s="70" t="str">
        <f>SUBSTITUTE(F1573,",7)",",13)")</f>
        <v>C(U2,16,13)</v>
      </c>
      <c r="G1579" s="73"/>
      <c r="H1579" s="76"/>
      <c r="I1579" s="96"/>
      <c r="J1579" s="76"/>
      <c r="K1579" s="76"/>
      <c r="L1579" s="76"/>
      <c r="M1579" s="76"/>
      <c r="N1579" s="76"/>
      <c r="O1579" s="76"/>
      <c r="P1579" s="76"/>
      <c r="Q1579" s="76"/>
      <c r="R1579" s="76"/>
      <c r="S1579" s="76"/>
      <c r="T1579" s="76"/>
      <c r="U1579" s="76"/>
      <c r="V1579" s="76"/>
      <c r="W1579" s="76"/>
      <c r="X1579" s="76"/>
      <c r="Y1579" s="76"/>
      <c r="Z1579" s="76"/>
      <c r="AA1579" s="76"/>
      <c r="AB1579" s="76"/>
      <c r="AC1579" s="76"/>
      <c r="AD1579" s="76"/>
      <c r="AE1579" s="76"/>
      <c r="AF1579" s="76"/>
      <c r="AG1579" s="76"/>
      <c r="AH1579" s="76"/>
      <c r="AI1579" s="76">
        <v>1</v>
      </c>
      <c r="AJ1579" s="76">
        <v>1</v>
      </c>
      <c r="AK1579" s="73"/>
      <c r="AL1579" s="57"/>
      <c r="AM1579" s="45"/>
      <c r="AN1579" s="45"/>
      <c r="AO1579" s="45"/>
    </row>
    <row r="1580" spans="1:41" hidden="1" outlineLevel="3" x14ac:dyDescent="0.25">
      <c r="A1580" s="45"/>
      <c r="B1580" s="54"/>
      <c r="C1580" s="47">
        <f t="shared" si="534"/>
        <v>4</v>
      </c>
      <c r="D1580" s="73"/>
      <c r="E1580" s="70"/>
      <c r="F1580" s="70" t="s">
        <v>2013</v>
      </c>
      <c r="G1580" s="73"/>
      <c r="H1580" s="76"/>
      <c r="I1580" s="76"/>
      <c r="J1580" s="76"/>
      <c r="K1580" s="76"/>
      <c r="L1580" s="76"/>
      <c r="M1580" s="76"/>
      <c r="N1580" s="76"/>
      <c r="O1580" s="76"/>
      <c r="P1580" s="76"/>
      <c r="Q1580" s="76"/>
      <c r="R1580" s="76"/>
      <c r="S1580" s="76"/>
      <c r="T1580" s="76"/>
      <c r="U1580" s="76"/>
      <c r="V1580" s="76"/>
      <c r="W1580" s="76"/>
      <c r="X1580" s="76"/>
      <c r="Y1580" s="76"/>
      <c r="Z1580" s="76"/>
      <c r="AA1580" s="76"/>
      <c r="AB1580" s="76"/>
      <c r="AC1580" s="76"/>
      <c r="AD1580" s="76"/>
      <c r="AE1580" s="76"/>
      <c r="AF1580" s="76"/>
      <c r="AG1580" s="76"/>
      <c r="AH1580" s="76"/>
      <c r="AI1580" s="76">
        <v>1</v>
      </c>
      <c r="AJ1580" s="76">
        <v>1</v>
      </c>
      <c r="AK1580" s="73"/>
      <c r="AL1580" s="57"/>
      <c r="AM1580" s="45"/>
      <c r="AN1580" s="45"/>
      <c r="AO1580" s="45"/>
    </row>
    <row r="1581" spans="1:41" hidden="1" outlineLevel="3" x14ac:dyDescent="0.25">
      <c r="A1581" s="45"/>
      <c r="B1581" s="54"/>
      <c r="C1581" s="47">
        <f t="shared" si="534"/>
        <v>4</v>
      </c>
      <c r="D1581" s="73"/>
      <c r="E1581" s="70"/>
      <c r="F1581" s="70" t="s">
        <v>2014</v>
      </c>
      <c r="G1581" s="73"/>
      <c r="H1581" s="76" t="s">
        <v>599</v>
      </c>
      <c r="I1581" s="76"/>
      <c r="J1581" s="76"/>
      <c r="K1581" s="76"/>
      <c r="L1581" s="76"/>
      <c r="M1581" s="76"/>
      <c r="N1581" s="76"/>
      <c r="O1581" s="76"/>
      <c r="P1581" s="76"/>
      <c r="Q1581" s="76"/>
      <c r="R1581" s="76"/>
      <c r="S1581" s="76"/>
      <c r="T1581" s="76"/>
      <c r="U1581" s="76"/>
      <c r="V1581" s="76"/>
      <c r="W1581" s="76"/>
      <c r="X1581" s="76"/>
      <c r="Y1581" s="76"/>
      <c r="Z1581" s="76"/>
      <c r="AA1581" s="76"/>
      <c r="AB1581" s="76"/>
      <c r="AC1581" s="76"/>
      <c r="AD1581" s="76"/>
      <c r="AE1581" s="76"/>
      <c r="AF1581" s="76"/>
      <c r="AG1581" s="76"/>
      <c r="AH1581" s="76"/>
      <c r="AI1581" s="76">
        <v>1</v>
      </c>
      <c r="AJ1581" s="76">
        <v>1</v>
      </c>
      <c r="AK1581" s="73"/>
      <c r="AL1581" s="57"/>
      <c r="AM1581" s="45"/>
      <c r="AN1581" s="45"/>
      <c r="AO1581" s="45"/>
    </row>
    <row r="1582" spans="1:41" hidden="1" outlineLevel="3" x14ac:dyDescent="0.25">
      <c r="A1582" s="45"/>
      <c r="B1582" s="54"/>
      <c r="C1582" s="47">
        <f t="shared" si="534"/>
        <v>4</v>
      </c>
      <c r="D1582" s="73"/>
      <c r="E1582" s="70"/>
      <c r="F1582" s="70" t="s">
        <v>2015</v>
      </c>
      <c r="G1582" s="73"/>
      <c r="H1582" s="76"/>
      <c r="I1582" s="76"/>
      <c r="J1582" s="76"/>
      <c r="K1582" s="76"/>
      <c r="L1582" s="76"/>
      <c r="M1582" s="76"/>
      <c r="N1582" s="76"/>
      <c r="O1582" s="76"/>
      <c r="P1582" s="76"/>
      <c r="Q1582" s="76"/>
      <c r="R1582" s="76"/>
      <c r="S1582" s="76"/>
      <c r="T1582" s="76"/>
      <c r="U1582" s="76"/>
      <c r="V1582" s="76"/>
      <c r="W1582" s="76"/>
      <c r="X1582" s="76"/>
      <c r="Y1582" s="76"/>
      <c r="Z1582" s="76"/>
      <c r="AA1582" s="76"/>
      <c r="AB1582" s="76"/>
      <c r="AC1582" s="76"/>
      <c r="AD1582" s="76"/>
      <c r="AE1582" s="76"/>
      <c r="AF1582" s="76"/>
      <c r="AG1582" s="76"/>
      <c r="AH1582" s="76"/>
      <c r="AI1582" s="76">
        <v>1</v>
      </c>
      <c r="AJ1582" s="76">
        <v>1</v>
      </c>
      <c r="AK1582" s="73"/>
      <c r="AL1582" s="57"/>
      <c r="AM1582" s="45"/>
      <c r="AN1582" s="45"/>
      <c r="AO1582" s="45"/>
    </row>
    <row r="1583" spans="1:41" hidden="1" outlineLevel="3" x14ac:dyDescent="0.25">
      <c r="A1583" s="45"/>
      <c r="B1583" s="54"/>
      <c r="C1583" s="47">
        <f t="shared" si="534"/>
        <v>4</v>
      </c>
      <c r="D1583" s="73"/>
      <c r="E1583" s="70"/>
      <c r="F1583" s="70" t="s">
        <v>2016</v>
      </c>
      <c r="G1583" s="73"/>
      <c r="H1583" s="76"/>
      <c r="I1583" s="76"/>
      <c r="J1583" s="76"/>
      <c r="K1583" s="76"/>
      <c r="L1583" s="76"/>
      <c r="M1583" s="76"/>
      <c r="N1583" s="76"/>
      <c r="O1583" s="76"/>
      <c r="P1583" s="76"/>
      <c r="Q1583" s="76"/>
      <c r="R1583" s="76"/>
      <c r="S1583" s="76"/>
      <c r="T1583" s="76"/>
      <c r="U1583" s="76"/>
      <c r="V1583" s="76"/>
      <c r="W1583" s="76"/>
      <c r="X1583" s="76"/>
      <c r="Y1583" s="76"/>
      <c r="Z1583" s="76"/>
      <c r="AA1583" s="76"/>
      <c r="AB1583" s="76"/>
      <c r="AC1583" s="76"/>
      <c r="AD1583" s="76"/>
      <c r="AE1583" s="76"/>
      <c r="AF1583" s="76"/>
      <c r="AG1583" s="76"/>
      <c r="AH1583" s="76"/>
      <c r="AI1583" s="76">
        <v>1</v>
      </c>
      <c r="AJ1583" s="76">
        <v>1</v>
      </c>
      <c r="AK1583" s="73"/>
      <c r="AL1583" s="57"/>
      <c r="AM1583" s="45"/>
      <c r="AN1583" s="45"/>
      <c r="AO1583" s="45"/>
    </row>
    <row r="1584" spans="1:41" hidden="1" outlineLevel="3" x14ac:dyDescent="0.25">
      <c r="A1584" s="45"/>
      <c r="B1584" s="54"/>
      <c r="C1584" s="47">
        <f t="shared" si="534"/>
        <v>4</v>
      </c>
      <c r="D1584" s="73"/>
      <c r="E1584" s="70"/>
      <c r="F1584" s="70" t="s">
        <v>2017</v>
      </c>
      <c r="G1584" s="73"/>
      <c r="H1584" s="76"/>
      <c r="I1584" s="76"/>
      <c r="J1584" s="76"/>
      <c r="K1584" s="76"/>
      <c r="L1584" s="76"/>
      <c r="M1584" s="76"/>
      <c r="N1584" s="76"/>
      <c r="O1584" s="76"/>
      <c r="P1584" s="76"/>
      <c r="Q1584" s="76"/>
      <c r="R1584" s="76"/>
      <c r="S1584" s="76"/>
      <c r="T1584" s="76"/>
      <c r="U1584" s="76"/>
      <c r="V1584" s="76"/>
      <c r="W1584" s="76"/>
      <c r="X1584" s="76"/>
      <c r="Y1584" s="76"/>
      <c r="Z1584" s="76"/>
      <c r="AA1584" s="76"/>
      <c r="AB1584" s="76"/>
      <c r="AC1584" s="76"/>
      <c r="AD1584" s="76"/>
      <c r="AE1584" s="76"/>
      <c r="AF1584" s="76"/>
      <c r="AG1584" s="76"/>
      <c r="AH1584" s="76"/>
      <c r="AI1584" s="76">
        <v>1</v>
      </c>
      <c r="AJ1584" s="76">
        <v>1</v>
      </c>
      <c r="AK1584" s="73"/>
      <c r="AL1584" s="57"/>
      <c r="AM1584" s="45"/>
      <c r="AN1584" s="45"/>
      <c r="AO1584" s="45"/>
    </row>
    <row r="1585" spans="1:41" hidden="1" outlineLevel="3" x14ac:dyDescent="0.25">
      <c r="A1585" s="45"/>
      <c r="B1585" s="54"/>
      <c r="C1585" s="47">
        <f t="shared" si="534"/>
        <v>4</v>
      </c>
      <c r="D1585" s="73"/>
      <c r="E1585" s="70"/>
      <c r="F1585" s="70" t="s">
        <v>2018</v>
      </c>
      <c r="G1585" s="73"/>
      <c r="H1585" s="76"/>
      <c r="I1585" s="76"/>
      <c r="J1585" s="76"/>
      <c r="K1585" s="76"/>
      <c r="L1585" s="76"/>
      <c r="M1585" s="76"/>
      <c r="N1585" s="76"/>
      <c r="O1585" s="76"/>
      <c r="P1585" s="76"/>
      <c r="Q1585" s="76"/>
      <c r="R1585" s="76"/>
      <c r="S1585" s="76"/>
      <c r="T1585" s="76"/>
      <c r="U1585" s="76"/>
      <c r="V1585" s="76"/>
      <c r="W1585" s="76"/>
      <c r="X1585" s="76"/>
      <c r="Y1585" s="76"/>
      <c r="Z1585" s="76"/>
      <c r="AA1585" s="76"/>
      <c r="AB1585" s="76"/>
      <c r="AC1585" s="76"/>
      <c r="AD1585" s="76"/>
      <c r="AE1585" s="76"/>
      <c r="AF1585" s="76"/>
      <c r="AG1585" s="76"/>
      <c r="AH1585" s="76"/>
      <c r="AI1585" s="76">
        <v>1</v>
      </c>
      <c r="AJ1585" s="76">
        <v>1</v>
      </c>
      <c r="AK1585" s="73"/>
      <c r="AL1585" s="57"/>
      <c r="AM1585" s="45"/>
      <c r="AN1585" s="45"/>
      <c r="AO1585" s="45"/>
    </row>
    <row r="1586" spans="1:41" hidden="1" outlineLevel="3" x14ac:dyDescent="0.25">
      <c r="A1586" s="45"/>
      <c r="B1586" s="54"/>
      <c r="C1586" s="47"/>
      <c r="D1586" s="73"/>
      <c r="E1586" s="70"/>
      <c r="F1586" s="70" t="s">
        <v>2430</v>
      </c>
      <c r="G1586" s="73"/>
      <c r="H1586" s="76"/>
      <c r="I1586" s="76"/>
      <c r="J1586" s="76"/>
      <c r="K1586" s="76"/>
      <c r="L1586" s="76"/>
      <c r="M1586" s="76"/>
      <c r="N1586" s="76"/>
      <c r="O1586" s="76"/>
      <c r="P1586" s="76"/>
      <c r="Q1586" s="76"/>
      <c r="R1586" s="76"/>
      <c r="S1586" s="76"/>
      <c r="T1586" s="76"/>
      <c r="U1586" s="76"/>
      <c r="V1586" s="76"/>
      <c r="W1586" s="76"/>
      <c r="X1586" s="76"/>
      <c r="Y1586" s="76"/>
      <c r="Z1586" s="76"/>
      <c r="AA1586" s="76"/>
      <c r="AB1586" s="76"/>
      <c r="AC1586" s="76"/>
      <c r="AD1586" s="76"/>
      <c r="AE1586" s="76"/>
      <c r="AF1586" s="76"/>
      <c r="AG1586" s="76"/>
      <c r="AH1586" s="76"/>
      <c r="AI1586" s="76">
        <v>1</v>
      </c>
      <c r="AJ1586" s="76">
        <v>1</v>
      </c>
      <c r="AK1586" s="73"/>
      <c r="AL1586" s="57"/>
      <c r="AM1586" s="45"/>
      <c r="AN1586" s="45"/>
      <c r="AO1586" s="45"/>
    </row>
    <row r="1587" spans="1:41" hidden="1" outlineLevel="3" x14ac:dyDescent="0.25">
      <c r="A1587" s="45"/>
      <c r="B1587" s="54"/>
      <c r="C1587" s="47"/>
      <c r="D1587" s="73"/>
      <c r="E1587" s="70"/>
      <c r="F1587" s="70" t="s">
        <v>2431</v>
      </c>
      <c r="G1587" s="73"/>
      <c r="H1587" s="76"/>
      <c r="I1587" s="76"/>
      <c r="J1587" s="76"/>
      <c r="K1587" s="76"/>
      <c r="L1587" s="76"/>
      <c r="M1587" s="76"/>
      <c r="N1587" s="76"/>
      <c r="O1587" s="76"/>
      <c r="P1587" s="76"/>
      <c r="Q1587" s="76"/>
      <c r="R1587" s="76"/>
      <c r="S1587" s="76"/>
      <c r="T1587" s="76"/>
      <c r="U1587" s="76"/>
      <c r="V1587" s="76"/>
      <c r="W1587" s="76"/>
      <c r="X1587" s="76"/>
      <c r="Y1587" s="76"/>
      <c r="Z1587" s="76"/>
      <c r="AA1587" s="76"/>
      <c r="AB1587" s="76"/>
      <c r="AC1587" s="76"/>
      <c r="AD1587" s="76"/>
      <c r="AE1587" s="76"/>
      <c r="AF1587" s="76"/>
      <c r="AG1587" s="76"/>
      <c r="AH1587" s="76"/>
      <c r="AI1587" s="76">
        <v>1</v>
      </c>
      <c r="AJ1587" s="76">
        <v>1</v>
      </c>
      <c r="AK1587" s="73"/>
      <c r="AL1587" s="57"/>
      <c r="AM1587" s="45"/>
      <c r="AN1587" s="45"/>
      <c r="AO1587" s="45"/>
    </row>
    <row r="1588" spans="1:41" hidden="1" outlineLevel="3" x14ac:dyDescent="0.25">
      <c r="A1588" s="45"/>
      <c r="B1588" s="54"/>
      <c r="C1588" s="47"/>
      <c r="D1588" s="73"/>
      <c r="E1588" s="70"/>
      <c r="F1588" s="70" t="s">
        <v>2432</v>
      </c>
      <c r="G1588" s="73"/>
      <c r="H1588" s="76"/>
      <c r="I1588" s="76"/>
      <c r="J1588" s="76"/>
      <c r="K1588" s="76"/>
      <c r="L1588" s="76"/>
      <c r="M1588" s="76"/>
      <c r="N1588" s="76"/>
      <c r="O1588" s="76"/>
      <c r="P1588" s="76"/>
      <c r="Q1588" s="76"/>
      <c r="R1588" s="76"/>
      <c r="S1588" s="76"/>
      <c r="T1588" s="76"/>
      <c r="U1588" s="76"/>
      <c r="V1588" s="76"/>
      <c r="W1588" s="76"/>
      <c r="X1588" s="76"/>
      <c r="Y1588" s="76"/>
      <c r="Z1588" s="76"/>
      <c r="AA1588" s="76"/>
      <c r="AB1588" s="76"/>
      <c r="AC1588" s="76"/>
      <c r="AD1588" s="76"/>
      <c r="AE1588" s="76"/>
      <c r="AF1588" s="76"/>
      <c r="AG1588" s="76"/>
      <c r="AH1588" s="76"/>
      <c r="AI1588" s="76">
        <v>1</v>
      </c>
      <c r="AJ1588" s="76">
        <v>1</v>
      </c>
      <c r="AK1588" s="73"/>
      <c r="AL1588" s="57"/>
      <c r="AM1588" s="45"/>
      <c r="AN1588" s="45"/>
      <c r="AO1588" s="45"/>
    </row>
    <row r="1589" spans="1:41" hidden="1" outlineLevel="3" x14ac:dyDescent="0.25">
      <c r="A1589" s="45"/>
      <c r="B1589" s="54"/>
      <c r="C1589" s="47">
        <f t="shared" ref="C1589:C1600" si="535">INT($C$29)+3</f>
        <v>4</v>
      </c>
      <c r="D1589" s="73"/>
      <c r="E1589" s="70"/>
      <c r="F1589" s="70" t="str">
        <f>SUBSTITUTE(F1585,",4)",",8)")</f>
        <v>C(U2,17,8)</v>
      </c>
      <c r="G1589" s="73"/>
      <c r="H1589" s="76"/>
      <c r="I1589" s="96"/>
      <c r="J1589" s="76"/>
      <c r="K1589" s="76"/>
      <c r="L1589" s="76"/>
      <c r="M1589" s="76"/>
      <c r="N1589" s="76"/>
      <c r="O1589" s="76"/>
      <c r="P1589" s="76"/>
      <c r="Q1589" s="76"/>
      <c r="R1589" s="76"/>
      <c r="S1589" s="76"/>
      <c r="T1589" s="76"/>
      <c r="U1589" s="76"/>
      <c r="V1589" s="76"/>
      <c r="W1589" s="76"/>
      <c r="X1589" s="76"/>
      <c r="Y1589" s="76"/>
      <c r="Z1589" s="76"/>
      <c r="AA1589" s="76"/>
      <c r="AB1589" s="76"/>
      <c r="AC1589" s="76"/>
      <c r="AD1589" s="76"/>
      <c r="AE1589" s="76"/>
      <c r="AF1589" s="76"/>
      <c r="AG1589" s="76"/>
      <c r="AH1589" s="76"/>
      <c r="AI1589" s="76">
        <v>1</v>
      </c>
      <c r="AJ1589" s="76">
        <v>1</v>
      </c>
      <c r="AK1589" s="73"/>
      <c r="AL1589" s="57"/>
      <c r="AM1589" s="45"/>
      <c r="AN1589" s="45"/>
      <c r="AO1589" s="45"/>
    </row>
    <row r="1590" spans="1:41" hidden="1" outlineLevel="3" x14ac:dyDescent="0.25">
      <c r="A1590" s="45"/>
      <c r="B1590" s="54"/>
      <c r="C1590" s="47">
        <f t="shared" si="535"/>
        <v>4</v>
      </c>
      <c r="D1590" s="73"/>
      <c r="E1590" s="70"/>
      <c r="F1590" s="70" t="str">
        <f>SUBSTITUTE(F1586,",5)",",9)")</f>
        <v>C(U2,17,9)</v>
      </c>
      <c r="G1590" s="73"/>
      <c r="H1590" s="76"/>
      <c r="I1590" s="96"/>
      <c r="J1590" s="76"/>
      <c r="K1590" s="76"/>
      <c r="L1590" s="76"/>
      <c r="M1590" s="76"/>
      <c r="N1590" s="76"/>
      <c r="O1590" s="76"/>
      <c r="P1590" s="76"/>
      <c r="Q1590" s="76"/>
      <c r="R1590" s="76"/>
      <c r="S1590" s="76"/>
      <c r="T1590" s="76"/>
      <c r="U1590" s="76"/>
      <c r="V1590" s="76"/>
      <c r="W1590" s="76"/>
      <c r="X1590" s="76"/>
      <c r="Y1590" s="76"/>
      <c r="Z1590" s="76"/>
      <c r="AA1590" s="76"/>
      <c r="AB1590" s="76"/>
      <c r="AC1590" s="76"/>
      <c r="AD1590" s="76"/>
      <c r="AE1590" s="76"/>
      <c r="AF1590" s="76"/>
      <c r="AG1590" s="76"/>
      <c r="AH1590" s="76"/>
      <c r="AI1590" s="76">
        <v>1</v>
      </c>
      <c r="AJ1590" s="76">
        <v>1</v>
      </c>
      <c r="AK1590" s="73"/>
      <c r="AL1590" s="57"/>
      <c r="AM1590" s="45"/>
      <c r="AN1590" s="45"/>
      <c r="AO1590" s="45"/>
    </row>
    <row r="1591" spans="1:41" hidden="1" outlineLevel="3" x14ac:dyDescent="0.25">
      <c r="A1591" s="45"/>
      <c r="B1591" s="54"/>
      <c r="C1591" s="47">
        <f t="shared" si="535"/>
        <v>4</v>
      </c>
      <c r="D1591" s="73"/>
      <c r="E1591" s="70"/>
      <c r="F1591" s="70" t="str">
        <f>SUBSTITUTE(F1587,",6)",",10)")</f>
        <v>C(U2,17,10)</v>
      </c>
      <c r="G1591" s="73"/>
      <c r="H1591" s="76"/>
      <c r="I1591" s="96"/>
      <c r="J1591" s="76"/>
      <c r="K1591" s="76"/>
      <c r="L1591" s="76"/>
      <c r="M1591" s="76"/>
      <c r="N1591" s="76"/>
      <c r="O1591" s="76"/>
      <c r="P1591" s="76"/>
      <c r="Q1591" s="76"/>
      <c r="R1591" s="76"/>
      <c r="S1591" s="76"/>
      <c r="T1591" s="76"/>
      <c r="U1591" s="76"/>
      <c r="V1591" s="76"/>
      <c r="W1591" s="76"/>
      <c r="X1591" s="76"/>
      <c r="Y1591" s="76"/>
      <c r="Z1591" s="76"/>
      <c r="AA1591" s="76"/>
      <c r="AB1591" s="76"/>
      <c r="AC1591" s="76"/>
      <c r="AD1591" s="76"/>
      <c r="AE1591" s="76"/>
      <c r="AF1591" s="76"/>
      <c r="AG1591" s="76"/>
      <c r="AH1591" s="76"/>
      <c r="AI1591" s="76">
        <v>1</v>
      </c>
      <c r="AJ1591" s="76">
        <v>1</v>
      </c>
      <c r="AK1591" s="73"/>
      <c r="AL1591" s="57"/>
      <c r="AM1591" s="45"/>
      <c r="AN1591" s="45"/>
      <c r="AO1591" s="45"/>
    </row>
    <row r="1592" spans="1:41" hidden="1" outlineLevel="3" x14ac:dyDescent="0.25">
      <c r="A1592" s="45"/>
      <c r="B1592" s="54"/>
      <c r="C1592" s="47">
        <f t="shared" si="535"/>
        <v>4</v>
      </c>
      <c r="D1592" s="73"/>
      <c r="E1592" s="70"/>
      <c r="F1592" s="70" t="str">
        <f>SUBSTITUTE(F1588,",7)",",11)")</f>
        <v>C(U2,17,11)</v>
      </c>
      <c r="G1592" s="73"/>
      <c r="H1592" s="76"/>
      <c r="I1592" s="96"/>
      <c r="J1592" s="76"/>
      <c r="K1592" s="76"/>
      <c r="L1592" s="76"/>
      <c r="M1592" s="76"/>
      <c r="N1592" s="76"/>
      <c r="O1592" s="76"/>
      <c r="P1592" s="76"/>
      <c r="Q1592" s="76"/>
      <c r="R1592" s="76"/>
      <c r="S1592" s="76"/>
      <c r="T1592" s="76"/>
      <c r="U1592" s="76"/>
      <c r="V1592" s="76"/>
      <c r="W1592" s="76"/>
      <c r="X1592" s="76"/>
      <c r="Y1592" s="76"/>
      <c r="Z1592" s="76"/>
      <c r="AA1592" s="76"/>
      <c r="AB1592" s="76"/>
      <c r="AC1592" s="76"/>
      <c r="AD1592" s="76"/>
      <c r="AE1592" s="76"/>
      <c r="AF1592" s="76"/>
      <c r="AG1592" s="76"/>
      <c r="AH1592" s="76"/>
      <c r="AI1592" s="76">
        <v>1</v>
      </c>
      <c r="AJ1592" s="76">
        <v>1</v>
      </c>
      <c r="AK1592" s="73"/>
      <c r="AL1592" s="57"/>
      <c r="AM1592" s="45"/>
      <c r="AN1592" s="45"/>
      <c r="AO1592" s="45"/>
    </row>
    <row r="1593" spans="1:41" hidden="1" outlineLevel="3" x14ac:dyDescent="0.25">
      <c r="A1593" s="45"/>
      <c r="B1593" s="54"/>
      <c r="C1593" s="47">
        <f t="shared" si="535"/>
        <v>4</v>
      </c>
      <c r="D1593" s="73"/>
      <c r="E1593" s="70"/>
      <c r="F1593" s="70" t="str">
        <f>SUBSTITUTE(F1587,",6)",",12)")</f>
        <v>C(U2,17,12)</v>
      </c>
      <c r="G1593" s="73"/>
      <c r="H1593" s="76"/>
      <c r="I1593" s="96"/>
      <c r="J1593" s="76"/>
      <c r="K1593" s="76"/>
      <c r="L1593" s="76"/>
      <c r="M1593" s="76"/>
      <c r="N1593" s="76"/>
      <c r="O1593" s="76"/>
      <c r="P1593" s="76"/>
      <c r="Q1593" s="76"/>
      <c r="R1593" s="76"/>
      <c r="S1593" s="76"/>
      <c r="T1593" s="76"/>
      <c r="U1593" s="76"/>
      <c r="V1593" s="76"/>
      <c r="W1593" s="76"/>
      <c r="X1593" s="76"/>
      <c r="Y1593" s="76"/>
      <c r="Z1593" s="76"/>
      <c r="AA1593" s="76"/>
      <c r="AB1593" s="76"/>
      <c r="AC1593" s="76"/>
      <c r="AD1593" s="76"/>
      <c r="AE1593" s="76"/>
      <c r="AF1593" s="76"/>
      <c r="AG1593" s="76"/>
      <c r="AH1593" s="76"/>
      <c r="AI1593" s="76">
        <v>1</v>
      </c>
      <c r="AJ1593" s="76">
        <v>1</v>
      </c>
      <c r="AK1593" s="73"/>
      <c r="AL1593" s="57"/>
      <c r="AM1593" s="45"/>
      <c r="AN1593" s="45"/>
      <c r="AO1593" s="45"/>
    </row>
    <row r="1594" spans="1:41" hidden="1" outlineLevel="3" x14ac:dyDescent="0.25">
      <c r="A1594" s="45"/>
      <c r="B1594" s="54"/>
      <c r="C1594" s="47">
        <f t="shared" si="535"/>
        <v>4</v>
      </c>
      <c r="D1594" s="73"/>
      <c r="E1594" s="70"/>
      <c r="F1594" s="70" t="str">
        <f>SUBSTITUTE(F1588,",7)",",13)")</f>
        <v>C(U2,17,13)</v>
      </c>
      <c r="G1594" s="73"/>
      <c r="H1594" s="76"/>
      <c r="I1594" s="96"/>
      <c r="J1594" s="76"/>
      <c r="K1594" s="76"/>
      <c r="L1594" s="76"/>
      <c r="M1594" s="76"/>
      <c r="N1594" s="76"/>
      <c r="O1594" s="76"/>
      <c r="P1594" s="76"/>
      <c r="Q1594" s="76"/>
      <c r="R1594" s="76"/>
      <c r="S1594" s="76"/>
      <c r="T1594" s="76"/>
      <c r="U1594" s="76"/>
      <c r="V1594" s="76"/>
      <c r="W1594" s="76"/>
      <c r="X1594" s="76"/>
      <c r="Y1594" s="76"/>
      <c r="Z1594" s="76"/>
      <c r="AA1594" s="76"/>
      <c r="AB1594" s="76"/>
      <c r="AC1594" s="76"/>
      <c r="AD1594" s="76"/>
      <c r="AE1594" s="76"/>
      <c r="AF1594" s="76"/>
      <c r="AG1594" s="76"/>
      <c r="AH1594" s="76"/>
      <c r="AI1594" s="76">
        <v>1</v>
      </c>
      <c r="AJ1594" s="76">
        <v>1</v>
      </c>
      <c r="AK1594" s="73"/>
      <c r="AL1594" s="57"/>
      <c r="AM1594" s="45"/>
      <c r="AN1594" s="45"/>
      <c r="AO1594" s="45"/>
    </row>
    <row r="1595" spans="1:41" hidden="1" outlineLevel="3" x14ac:dyDescent="0.25">
      <c r="A1595" s="45"/>
      <c r="B1595" s="54"/>
      <c r="C1595" s="47">
        <f t="shared" si="535"/>
        <v>4</v>
      </c>
      <c r="D1595" s="73"/>
      <c r="E1595" s="70"/>
      <c r="F1595" s="70" t="s">
        <v>2019</v>
      </c>
      <c r="G1595" s="73"/>
      <c r="H1595" s="76"/>
      <c r="I1595" s="76"/>
      <c r="J1595" s="76"/>
      <c r="K1595" s="76"/>
      <c r="L1595" s="76"/>
      <c r="M1595" s="76"/>
      <c r="N1595" s="76"/>
      <c r="O1595" s="76"/>
      <c r="P1595" s="76"/>
      <c r="Q1595" s="76"/>
      <c r="R1595" s="76"/>
      <c r="S1595" s="76"/>
      <c r="T1595" s="76"/>
      <c r="U1595" s="76"/>
      <c r="V1595" s="76"/>
      <c r="W1595" s="76"/>
      <c r="X1595" s="76"/>
      <c r="Y1595" s="76"/>
      <c r="Z1595" s="76"/>
      <c r="AA1595" s="76"/>
      <c r="AB1595" s="76"/>
      <c r="AC1595" s="76"/>
      <c r="AD1595" s="76"/>
      <c r="AE1595" s="76"/>
      <c r="AF1595" s="76"/>
      <c r="AG1595" s="76"/>
      <c r="AH1595" s="76"/>
      <c r="AI1595" s="76">
        <v>1</v>
      </c>
      <c r="AJ1595" s="76">
        <v>1</v>
      </c>
      <c r="AK1595" s="73"/>
      <c r="AL1595" s="57"/>
      <c r="AM1595" s="45"/>
      <c r="AN1595" s="45"/>
      <c r="AO1595" s="45"/>
    </row>
    <row r="1596" spans="1:41" hidden="1" outlineLevel="3" x14ac:dyDescent="0.25">
      <c r="A1596" s="45"/>
      <c r="B1596" s="54"/>
      <c r="C1596" s="47">
        <f t="shared" si="535"/>
        <v>4</v>
      </c>
      <c r="D1596" s="73"/>
      <c r="E1596" s="70"/>
      <c r="F1596" s="70" t="s">
        <v>2020</v>
      </c>
      <c r="G1596" s="73"/>
      <c r="H1596" s="76" t="s">
        <v>599</v>
      </c>
      <c r="I1596" s="76"/>
      <c r="J1596" s="76"/>
      <c r="K1596" s="76"/>
      <c r="L1596" s="76"/>
      <c r="M1596" s="76"/>
      <c r="N1596" s="76"/>
      <c r="O1596" s="76"/>
      <c r="P1596" s="76"/>
      <c r="Q1596" s="76"/>
      <c r="R1596" s="76"/>
      <c r="S1596" s="76"/>
      <c r="T1596" s="76"/>
      <c r="U1596" s="76"/>
      <c r="V1596" s="76"/>
      <c r="W1596" s="76"/>
      <c r="X1596" s="76"/>
      <c r="Y1596" s="76"/>
      <c r="Z1596" s="76"/>
      <c r="AA1596" s="76"/>
      <c r="AB1596" s="76"/>
      <c r="AC1596" s="76"/>
      <c r="AD1596" s="76"/>
      <c r="AE1596" s="76"/>
      <c r="AF1596" s="76"/>
      <c r="AG1596" s="76"/>
      <c r="AH1596" s="76"/>
      <c r="AI1596" s="76">
        <v>1</v>
      </c>
      <c r="AJ1596" s="76">
        <v>1</v>
      </c>
      <c r="AK1596" s="73"/>
      <c r="AL1596" s="57"/>
      <c r="AM1596" s="45"/>
      <c r="AN1596" s="45"/>
      <c r="AO1596" s="45"/>
    </row>
    <row r="1597" spans="1:41" hidden="1" outlineLevel="3" x14ac:dyDescent="0.25">
      <c r="A1597" s="45"/>
      <c r="B1597" s="54"/>
      <c r="C1597" s="47">
        <f t="shared" si="535"/>
        <v>4</v>
      </c>
      <c r="D1597" s="73"/>
      <c r="E1597" s="70"/>
      <c r="F1597" s="70" t="s">
        <v>2021</v>
      </c>
      <c r="G1597" s="73"/>
      <c r="H1597" s="76"/>
      <c r="I1597" s="76"/>
      <c r="J1597" s="76"/>
      <c r="K1597" s="76"/>
      <c r="L1597" s="76"/>
      <c r="M1597" s="76"/>
      <c r="N1597" s="76"/>
      <c r="O1597" s="76"/>
      <c r="P1597" s="76"/>
      <c r="Q1597" s="76"/>
      <c r="R1597" s="76"/>
      <c r="S1597" s="76"/>
      <c r="T1597" s="76"/>
      <c r="U1597" s="76"/>
      <c r="V1597" s="76"/>
      <c r="W1597" s="76"/>
      <c r="X1597" s="76"/>
      <c r="Y1597" s="76"/>
      <c r="Z1597" s="76"/>
      <c r="AA1597" s="76"/>
      <c r="AB1597" s="76"/>
      <c r="AC1597" s="76"/>
      <c r="AD1597" s="76"/>
      <c r="AE1597" s="76"/>
      <c r="AF1597" s="76"/>
      <c r="AG1597" s="76"/>
      <c r="AH1597" s="76"/>
      <c r="AI1597" s="76">
        <v>1</v>
      </c>
      <c r="AJ1597" s="76">
        <v>1</v>
      </c>
      <c r="AK1597" s="73"/>
      <c r="AL1597" s="57"/>
      <c r="AM1597" s="45"/>
      <c r="AN1597" s="45"/>
      <c r="AO1597" s="45"/>
    </row>
    <row r="1598" spans="1:41" hidden="1" outlineLevel="3" x14ac:dyDescent="0.25">
      <c r="A1598" s="45"/>
      <c r="B1598" s="54"/>
      <c r="C1598" s="47">
        <f t="shared" si="535"/>
        <v>4</v>
      </c>
      <c r="D1598" s="73"/>
      <c r="E1598" s="70"/>
      <c r="F1598" s="70" t="s">
        <v>2022</v>
      </c>
      <c r="G1598" s="73"/>
      <c r="H1598" s="76"/>
      <c r="I1598" s="76"/>
      <c r="J1598" s="76"/>
      <c r="K1598" s="76"/>
      <c r="L1598" s="76"/>
      <c r="M1598" s="76"/>
      <c r="N1598" s="76"/>
      <c r="O1598" s="76"/>
      <c r="P1598" s="76"/>
      <c r="Q1598" s="76"/>
      <c r="R1598" s="76"/>
      <c r="S1598" s="76"/>
      <c r="T1598" s="76"/>
      <c r="U1598" s="76"/>
      <c r="V1598" s="76"/>
      <c r="W1598" s="76"/>
      <c r="X1598" s="76"/>
      <c r="Y1598" s="76"/>
      <c r="Z1598" s="76"/>
      <c r="AA1598" s="76"/>
      <c r="AB1598" s="76"/>
      <c r="AC1598" s="76"/>
      <c r="AD1598" s="76"/>
      <c r="AE1598" s="76"/>
      <c r="AF1598" s="76"/>
      <c r="AG1598" s="76"/>
      <c r="AH1598" s="76"/>
      <c r="AI1598" s="76">
        <v>1</v>
      </c>
      <c r="AJ1598" s="76">
        <v>1</v>
      </c>
      <c r="AK1598" s="73"/>
      <c r="AL1598" s="57"/>
      <c r="AM1598" s="45"/>
      <c r="AN1598" s="45"/>
      <c r="AO1598" s="45"/>
    </row>
    <row r="1599" spans="1:41" hidden="1" outlineLevel="3" x14ac:dyDescent="0.25">
      <c r="A1599" s="45"/>
      <c r="B1599" s="54"/>
      <c r="C1599" s="47">
        <f t="shared" si="535"/>
        <v>4</v>
      </c>
      <c r="D1599" s="73"/>
      <c r="E1599" s="70"/>
      <c r="F1599" s="70" t="s">
        <v>2023</v>
      </c>
      <c r="G1599" s="73"/>
      <c r="H1599" s="76"/>
      <c r="I1599" s="76"/>
      <c r="J1599" s="76"/>
      <c r="K1599" s="76"/>
      <c r="L1599" s="76"/>
      <c r="M1599" s="76"/>
      <c r="N1599" s="76"/>
      <c r="O1599" s="76"/>
      <c r="P1599" s="76"/>
      <c r="Q1599" s="76"/>
      <c r="R1599" s="76"/>
      <c r="S1599" s="76"/>
      <c r="T1599" s="76"/>
      <c r="U1599" s="76"/>
      <c r="V1599" s="76"/>
      <c r="W1599" s="76"/>
      <c r="X1599" s="76"/>
      <c r="Y1599" s="76"/>
      <c r="Z1599" s="76"/>
      <c r="AA1599" s="76"/>
      <c r="AB1599" s="76"/>
      <c r="AC1599" s="76"/>
      <c r="AD1599" s="76"/>
      <c r="AE1599" s="76"/>
      <c r="AF1599" s="76"/>
      <c r="AG1599" s="76"/>
      <c r="AH1599" s="76"/>
      <c r="AI1599" s="76">
        <v>1</v>
      </c>
      <c r="AJ1599" s="76">
        <v>1</v>
      </c>
      <c r="AK1599" s="73"/>
      <c r="AL1599" s="57"/>
      <c r="AM1599" s="45"/>
      <c r="AN1599" s="45"/>
      <c r="AO1599" s="45"/>
    </row>
    <row r="1600" spans="1:41" hidden="1" outlineLevel="3" x14ac:dyDescent="0.25">
      <c r="A1600" s="45"/>
      <c r="B1600" s="54"/>
      <c r="C1600" s="47">
        <f t="shared" si="535"/>
        <v>4</v>
      </c>
      <c r="D1600" s="73"/>
      <c r="E1600" s="70"/>
      <c r="F1600" s="70" t="s">
        <v>2024</v>
      </c>
      <c r="G1600" s="73"/>
      <c r="H1600" s="76"/>
      <c r="I1600" s="76"/>
      <c r="J1600" s="76"/>
      <c r="K1600" s="76"/>
      <c r="L1600" s="76"/>
      <c r="M1600" s="76"/>
      <c r="N1600" s="76"/>
      <c r="O1600" s="76"/>
      <c r="P1600" s="76"/>
      <c r="Q1600" s="76"/>
      <c r="R1600" s="76"/>
      <c r="S1600" s="76"/>
      <c r="T1600" s="76"/>
      <c r="U1600" s="76"/>
      <c r="V1600" s="76"/>
      <c r="W1600" s="76"/>
      <c r="X1600" s="76"/>
      <c r="Y1600" s="76"/>
      <c r="Z1600" s="76"/>
      <c r="AA1600" s="76"/>
      <c r="AB1600" s="76"/>
      <c r="AC1600" s="76"/>
      <c r="AD1600" s="76"/>
      <c r="AE1600" s="76"/>
      <c r="AF1600" s="76"/>
      <c r="AG1600" s="76"/>
      <c r="AH1600" s="76"/>
      <c r="AI1600" s="76">
        <v>1</v>
      </c>
      <c r="AJ1600" s="76">
        <v>1</v>
      </c>
      <c r="AK1600" s="73"/>
      <c r="AL1600" s="57"/>
      <c r="AM1600" s="45"/>
      <c r="AN1600" s="45"/>
      <c r="AO1600" s="45"/>
    </row>
    <row r="1601" spans="1:41" hidden="1" outlineLevel="3" x14ac:dyDescent="0.25">
      <c r="A1601" s="45"/>
      <c r="B1601" s="54"/>
      <c r="C1601" s="47"/>
      <c r="D1601" s="73"/>
      <c r="E1601" s="70"/>
      <c r="F1601" s="70" t="s">
        <v>2433</v>
      </c>
      <c r="G1601" s="73"/>
      <c r="H1601" s="76"/>
      <c r="I1601" s="76"/>
      <c r="J1601" s="76"/>
      <c r="K1601" s="76"/>
      <c r="L1601" s="76"/>
      <c r="M1601" s="76"/>
      <c r="N1601" s="76"/>
      <c r="O1601" s="76"/>
      <c r="P1601" s="76"/>
      <c r="Q1601" s="76"/>
      <c r="R1601" s="76"/>
      <c r="S1601" s="76"/>
      <c r="T1601" s="76"/>
      <c r="U1601" s="76"/>
      <c r="V1601" s="76"/>
      <c r="W1601" s="76"/>
      <c r="X1601" s="76"/>
      <c r="Y1601" s="76"/>
      <c r="Z1601" s="76"/>
      <c r="AA1601" s="76"/>
      <c r="AB1601" s="76"/>
      <c r="AC1601" s="76"/>
      <c r="AD1601" s="76"/>
      <c r="AE1601" s="76"/>
      <c r="AF1601" s="76"/>
      <c r="AG1601" s="76"/>
      <c r="AH1601" s="76"/>
      <c r="AI1601" s="76">
        <v>1</v>
      </c>
      <c r="AJ1601" s="76">
        <v>1</v>
      </c>
      <c r="AK1601" s="73"/>
      <c r="AL1601" s="57"/>
      <c r="AM1601" s="45"/>
      <c r="AN1601" s="45"/>
      <c r="AO1601" s="45"/>
    </row>
    <row r="1602" spans="1:41" hidden="1" outlineLevel="3" x14ac:dyDescent="0.25">
      <c r="A1602" s="45"/>
      <c r="B1602" s="54"/>
      <c r="C1602" s="47"/>
      <c r="D1602" s="73"/>
      <c r="E1602" s="70"/>
      <c r="F1602" s="70" t="s">
        <v>2434</v>
      </c>
      <c r="G1602" s="73"/>
      <c r="H1602" s="76"/>
      <c r="I1602" s="76"/>
      <c r="J1602" s="76"/>
      <c r="K1602" s="76"/>
      <c r="L1602" s="76"/>
      <c r="M1602" s="76"/>
      <c r="N1602" s="76"/>
      <c r="O1602" s="76"/>
      <c r="P1602" s="76"/>
      <c r="Q1602" s="76"/>
      <c r="R1602" s="76"/>
      <c r="S1602" s="76"/>
      <c r="T1602" s="76"/>
      <c r="U1602" s="76"/>
      <c r="V1602" s="76"/>
      <c r="W1602" s="76"/>
      <c r="X1602" s="76"/>
      <c r="Y1602" s="76"/>
      <c r="Z1602" s="76"/>
      <c r="AA1602" s="76"/>
      <c r="AB1602" s="76"/>
      <c r="AC1602" s="76"/>
      <c r="AD1602" s="76"/>
      <c r="AE1602" s="76"/>
      <c r="AF1602" s="76"/>
      <c r="AG1602" s="76"/>
      <c r="AH1602" s="76"/>
      <c r="AI1602" s="76">
        <v>1</v>
      </c>
      <c r="AJ1602" s="76">
        <v>1</v>
      </c>
      <c r="AK1602" s="73"/>
      <c r="AL1602" s="57"/>
      <c r="AM1602" s="45"/>
      <c r="AN1602" s="45"/>
      <c r="AO1602" s="45"/>
    </row>
    <row r="1603" spans="1:41" hidden="1" outlineLevel="3" x14ac:dyDescent="0.25">
      <c r="A1603" s="45"/>
      <c r="B1603" s="54"/>
      <c r="C1603" s="47"/>
      <c r="D1603" s="73"/>
      <c r="E1603" s="70"/>
      <c r="F1603" s="70" t="s">
        <v>2435</v>
      </c>
      <c r="G1603" s="73"/>
      <c r="H1603" s="76"/>
      <c r="I1603" s="76"/>
      <c r="J1603" s="76"/>
      <c r="K1603" s="76"/>
      <c r="L1603" s="76"/>
      <c r="M1603" s="76"/>
      <c r="N1603" s="76"/>
      <c r="O1603" s="76"/>
      <c r="P1603" s="76"/>
      <c r="Q1603" s="76"/>
      <c r="R1603" s="76"/>
      <c r="S1603" s="76"/>
      <c r="T1603" s="76"/>
      <c r="U1603" s="76"/>
      <c r="V1603" s="76"/>
      <c r="W1603" s="76"/>
      <c r="X1603" s="76"/>
      <c r="Y1603" s="76"/>
      <c r="Z1603" s="76"/>
      <c r="AA1603" s="76"/>
      <c r="AB1603" s="76"/>
      <c r="AC1603" s="76"/>
      <c r="AD1603" s="76"/>
      <c r="AE1603" s="76"/>
      <c r="AF1603" s="76"/>
      <c r="AG1603" s="76"/>
      <c r="AH1603" s="76"/>
      <c r="AI1603" s="76">
        <v>1</v>
      </c>
      <c r="AJ1603" s="76">
        <v>1</v>
      </c>
      <c r="AK1603" s="73"/>
      <c r="AL1603" s="57"/>
      <c r="AM1603" s="45"/>
      <c r="AN1603" s="45"/>
      <c r="AO1603" s="45"/>
    </row>
    <row r="1604" spans="1:41" hidden="1" outlineLevel="3" x14ac:dyDescent="0.25">
      <c r="A1604" s="45"/>
      <c r="B1604" s="54"/>
      <c r="C1604" s="47">
        <f t="shared" ref="C1604:C1615" si="536">INT($C$29)+3</f>
        <v>4</v>
      </c>
      <c r="D1604" s="73"/>
      <c r="E1604" s="70"/>
      <c r="F1604" s="70" t="str">
        <f>SUBSTITUTE(F1600,",4)",",8)")</f>
        <v>C(U2,18,8)</v>
      </c>
      <c r="G1604" s="73"/>
      <c r="H1604" s="76"/>
      <c r="I1604" s="96"/>
      <c r="J1604" s="76"/>
      <c r="K1604" s="76"/>
      <c r="L1604" s="76"/>
      <c r="M1604" s="76"/>
      <c r="N1604" s="76"/>
      <c r="O1604" s="76"/>
      <c r="P1604" s="76"/>
      <c r="Q1604" s="76"/>
      <c r="R1604" s="76"/>
      <c r="S1604" s="76"/>
      <c r="T1604" s="76"/>
      <c r="U1604" s="76"/>
      <c r="V1604" s="76"/>
      <c r="W1604" s="76"/>
      <c r="X1604" s="76"/>
      <c r="Y1604" s="76"/>
      <c r="Z1604" s="76"/>
      <c r="AA1604" s="76"/>
      <c r="AB1604" s="76"/>
      <c r="AC1604" s="76"/>
      <c r="AD1604" s="76"/>
      <c r="AE1604" s="76"/>
      <c r="AF1604" s="76"/>
      <c r="AG1604" s="76"/>
      <c r="AH1604" s="76"/>
      <c r="AI1604" s="76">
        <v>1</v>
      </c>
      <c r="AJ1604" s="76">
        <v>1</v>
      </c>
      <c r="AK1604" s="73"/>
      <c r="AL1604" s="57"/>
      <c r="AM1604" s="45"/>
      <c r="AN1604" s="45"/>
      <c r="AO1604" s="45"/>
    </row>
    <row r="1605" spans="1:41" hidden="1" outlineLevel="3" x14ac:dyDescent="0.25">
      <c r="A1605" s="45"/>
      <c r="B1605" s="54"/>
      <c r="C1605" s="47">
        <f t="shared" si="536"/>
        <v>4</v>
      </c>
      <c r="D1605" s="73"/>
      <c r="E1605" s="70"/>
      <c r="F1605" s="70" t="str">
        <f>SUBSTITUTE(F1601,",5)",",9)")</f>
        <v>C(U2,18,9)</v>
      </c>
      <c r="G1605" s="73"/>
      <c r="H1605" s="76"/>
      <c r="I1605" s="96"/>
      <c r="J1605" s="76"/>
      <c r="K1605" s="76"/>
      <c r="L1605" s="76"/>
      <c r="M1605" s="76"/>
      <c r="N1605" s="76"/>
      <c r="O1605" s="76"/>
      <c r="P1605" s="76"/>
      <c r="Q1605" s="76"/>
      <c r="R1605" s="76"/>
      <c r="S1605" s="76"/>
      <c r="T1605" s="76"/>
      <c r="U1605" s="76"/>
      <c r="V1605" s="76"/>
      <c r="W1605" s="76"/>
      <c r="X1605" s="76"/>
      <c r="Y1605" s="76"/>
      <c r="Z1605" s="76"/>
      <c r="AA1605" s="76"/>
      <c r="AB1605" s="76"/>
      <c r="AC1605" s="76"/>
      <c r="AD1605" s="76"/>
      <c r="AE1605" s="76"/>
      <c r="AF1605" s="76"/>
      <c r="AG1605" s="76"/>
      <c r="AH1605" s="76"/>
      <c r="AI1605" s="76">
        <v>1</v>
      </c>
      <c r="AJ1605" s="76">
        <v>1</v>
      </c>
      <c r="AK1605" s="73"/>
      <c r="AL1605" s="57"/>
      <c r="AM1605" s="45"/>
      <c r="AN1605" s="45"/>
      <c r="AO1605" s="45"/>
    </row>
    <row r="1606" spans="1:41" hidden="1" outlineLevel="3" x14ac:dyDescent="0.25">
      <c r="A1606" s="45"/>
      <c r="B1606" s="54"/>
      <c r="C1606" s="47">
        <f t="shared" si="536"/>
        <v>4</v>
      </c>
      <c r="D1606" s="73"/>
      <c r="E1606" s="70"/>
      <c r="F1606" s="70" t="str">
        <f>SUBSTITUTE(F1602,",6)",",10)")</f>
        <v>C(U2,18,10)</v>
      </c>
      <c r="G1606" s="73"/>
      <c r="H1606" s="76"/>
      <c r="I1606" s="96"/>
      <c r="J1606" s="76"/>
      <c r="K1606" s="76"/>
      <c r="L1606" s="76"/>
      <c r="M1606" s="76"/>
      <c r="N1606" s="76"/>
      <c r="O1606" s="76"/>
      <c r="P1606" s="76"/>
      <c r="Q1606" s="76"/>
      <c r="R1606" s="76"/>
      <c r="S1606" s="76"/>
      <c r="T1606" s="76"/>
      <c r="U1606" s="76"/>
      <c r="V1606" s="76"/>
      <c r="W1606" s="76"/>
      <c r="X1606" s="76"/>
      <c r="Y1606" s="76"/>
      <c r="Z1606" s="76"/>
      <c r="AA1606" s="76"/>
      <c r="AB1606" s="76"/>
      <c r="AC1606" s="76"/>
      <c r="AD1606" s="76"/>
      <c r="AE1606" s="76"/>
      <c r="AF1606" s="76"/>
      <c r="AG1606" s="76"/>
      <c r="AH1606" s="76"/>
      <c r="AI1606" s="76">
        <v>1</v>
      </c>
      <c r="AJ1606" s="76">
        <v>1</v>
      </c>
      <c r="AK1606" s="73"/>
      <c r="AL1606" s="57"/>
      <c r="AM1606" s="45"/>
      <c r="AN1606" s="45"/>
      <c r="AO1606" s="45"/>
    </row>
    <row r="1607" spans="1:41" hidden="1" outlineLevel="3" x14ac:dyDescent="0.25">
      <c r="A1607" s="45"/>
      <c r="B1607" s="54"/>
      <c r="C1607" s="47">
        <f t="shared" si="536"/>
        <v>4</v>
      </c>
      <c r="D1607" s="73"/>
      <c r="E1607" s="70"/>
      <c r="F1607" s="70" t="str">
        <f>SUBSTITUTE(F1603,",7)",",11)")</f>
        <v>C(U2,18,11)</v>
      </c>
      <c r="G1607" s="73"/>
      <c r="H1607" s="76"/>
      <c r="I1607" s="96"/>
      <c r="J1607" s="76"/>
      <c r="K1607" s="76"/>
      <c r="L1607" s="76"/>
      <c r="M1607" s="76"/>
      <c r="N1607" s="76"/>
      <c r="O1607" s="76"/>
      <c r="P1607" s="76"/>
      <c r="Q1607" s="76"/>
      <c r="R1607" s="76"/>
      <c r="S1607" s="76"/>
      <c r="T1607" s="76"/>
      <c r="U1607" s="76"/>
      <c r="V1607" s="76"/>
      <c r="W1607" s="76"/>
      <c r="X1607" s="76"/>
      <c r="Y1607" s="76"/>
      <c r="Z1607" s="76"/>
      <c r="AA1607" s="76"/>
      <c r="AB1607" s="76"/>
      <c r="AC1607" s="76"/>
      <c r="AD1607" s="76"/>
      <c r="AE1607" s="76"/>
      <c r="AF1607" s="76"/>
      <c r="AG1607" s="76"/>
      <c r="AH1607" s="76"/>
      <c r="AI1607" s="76">
        <v>1</v>
      </c>
      <c r="AJ1607" s="76">
        <v>1</v>
      </c>
      <c r="AK1607" s="73"/>
      <c r="AL1607" s="57"/>
      <c r="AM1607" s="45"/>
      <c r="AN1607" s="45"/>
      <c r="AO1607" s="45"/>
    </row>
    <row r="1608" spans="1:41" hidden="1" outlineLevel="3" x14ac:dyDescent="0.25">
      <c r="A1608" s="45"/>
      <c r="B1608" s="54"/>
      <c r="C1608" s="47">
        <f t="shared" si="536"/>
        <v>4</v>
      </c>
      <c r="D1608" s="73"/>
      <c r="E1608" s="70"/>
      <c r="F1608" s="70" t="str">
        <f>SUBSTITUTE(F1602,",6)",",12)")</f>
        <v>C(U2,18,12)</v>
      </c>
      <c r="G1608" s="73"/>
      <c r="H1608" s="76"/>
      <c r="I1608" s="96"/>
      <c r="J1608" s="76"/>
      <c r="K1608" s="76"/>
      <c r="L1608" s="76"/>
      <c r="M1608" s="76"/>
      <c r="N1608" s="76"/>
      <c r="O1608" s="76"/>
      <c r="P1608" s="76"/>
      <c r="Q1608" s="76"/>
      <c r="R1608" s="76"/>
      <c r="S1608" s="76"/>
      <c r="T1608" s="76"/>
      <c r="U1608" s="76"/>
      <c r="V1608" s="76"/>
      <c r="W1608" s="76"/>
      <c r="X1608" s="76"/>
      <c r="Y1608" s="76"/>
      <c r="Z1608" s="76"/>
      <c r="AA1608" s="76"/>
      <c r="AB1608" s="76"/>
      <c r="AC1608" s="76"/>
      <c r="AD1608" s="76"/>
      <c r="AE1608" s="76"/>
      <c r="AF1608" s="76"/>
      <c r="AG1608" s="76"/>
      <c r="AH1608" s="76"/>
      <c r="AI1608" s="76">
        <v>1</v>
      </c>
      <c r="AJ1608" s="76">
        <v>1</v>
      </c>
      <c r="AK1608" s="73"/>
      <c r="AL1608" s="57"/>
      <c r="AM1608" s="45"/>
      <c r="AN1608" s="45"/>
      <c r="AO1608" s="45"/>
    </row>
    <row r="1609" spans="1:41" hidden="1" outlineLevel="3" x14ac:dyDescent="0.25">
      <c r="A1609" s="45"/>
      <c r="B1609" s="54"/>
      <c r="C1609" s="47">
        <f t="shared" si="536"/>
        <v>4</v>
      </c>
      <c r="D1609" s="73"/>
      <c r="E1609" s="70"/>
      <c r="F1609" s="70" t="str">
        <f>SUBSTITUTE(F1603,",7)",",13)")</f>
        <v>C(U2,18,13)</v>
      </c>
      <c r="G1609" s="73"/>
      <c r="H1609" s="76"/>
      <c r="I1609" s="96"/>
      <c r="J1609" s="76"/>
      <c r="K1609" s="76"/>
      <c r="L1609" s="76"/>
      <c r="M1609" s="76"/>
      <c r="N1609" s="76"/>
      <c r="O1609" s="76"/>
      <c r="P1609" s="76"/>
      <c r="Q1609" s="76"/>
      <c r="R1609" s="76"/>
      <c r="S1609" s="76"/>
      <c r="T1609" s="76"/>
      <c r="U1609" s="76"/>
      <c r="V1609" s="76"/>
      <c r="W1609" s="76"/>
      <c r="X1609" s="76"/>
      <c r="Y1609" s="76"/>
      <c r="Z1609" s="76"/>
      <c r="AA1609" s="76"/>
      <c r="AB1609" s="76"/>
      <c r="AC1609" s="76"/>
      <c r="AD1609" s="76"/>
      <c r="AE1609" s="76"/>
      <c r="AF1609" s="76"/>
      <c r="AG1609" s="76"/>
      <c r="AH1609" s="76"/>
      <c r="AI1609" s="76">
        <v>1</v>
      </c>
      <c r="AJ1609" s="76">
        <v>1</v>
      </c>
      <c r="AK1609" s="73"/>
      <c r="AL1609" s="57"/>
      <c r="AM1609" s="45"/>
      <c r="AN1609" s="45"/>
      <c r="AO1609" s="45"/>
    </row>
    <row r="1610" spans="1:41" hidden="1" outlineLevel="3" x14ac:dyDescent="0.25">
      <c r="A1610" s="45"/>
      <c r="B1610" s="54"/>
      <c r="C1610" s="47">
        <f t="shared" si="536"/>
        <v>4</v>
      </c>
      <c r="D1610" s="73"/>
      <c r="E1610" s="70"/>
      <c r="F1610" s="70" t="s">
        <v>2025</v>
      </c>
      <c r="G1610" s="73"/>
      <c r="H1610" s="76"/>
      <c r="I1610" s="76"/>
      <c r="J1610" s="76"/>
      <c r="K1610" s="76"/>
      <c r="L1610" s="76"/>
      <c r="M1610" s="76"/>
      <c r="N1610" s="76"/>
      <c r="O1610" s="76"/>
      <c r="P1610" s="76"/>
      <c r="Q1610" s="76"/>
      <c r="R1610" s="76"/>
      <c r="S1610" s="76"/>
      <c r="T1610" s="76"/>
      <c r="U1610" s="76"/>
      <c r="V1610" s="76"/>
      <c r="W1610" s="76"/>
      <c r="X1610" s="76"/>
      <c r="Y1610" s="76"/>
      <c r="Z1610" s="76"/>
      <c r="AA1610" s="76"/>
      <c r="AB1610" s="76"/>
      <c r="AC1610" s="76"/>
      <c r="AD1610" s="76"/>
      <c r="AE1610" s="76"/>
      <c r="AF1610" s="76"/>
      <c r="AG1610" s="76"/>
      <c r="AH1610" s="76"/>
      <c r="AI1610" s="76">
        <v>1</v>
      </c>
      <c r="AJ1610" s="76">
        <v>1</v>
      </c>
      <c r="AK1610" s="73"/>
      <c r="AL1610" s="57"/>
      <c r="AM1610" s="45"/>
      <c r="AN1610" s="45"/>
      <c r="AO1610" s="45"/>
    </row>
    <row r="1611" spans="1:41" hidden="1" outlineLevel="3" x14ac:dyDescent="0.25">
      <c r="A1611" s="45"/>
      <c r="B1611" s="54"/>
      <c r="C1611" s="47">
        <f t="shared" si="536"/>
        <v>4</v>
      </c>
      <c r="D1611" s="73"/>
      <c r="E1611" s="70"/>
      <c r="F1611" s="70" t="s">
        <v>2026</v>
      </c>
      <c r="G1611" s="73"/>
      <c r="H1611" s="76" t="s">
        <v>599</v>
      </c>
      <c r="I1611" s="76"/>
      <c r="J1611" s="76"/>
      <c r="K1611" s="76"/>
      <c r="L1611" s="76"/>
      <c r="M1611" s="76"/>
      <c r="N1611" s="76"/>
      <c r="O1611" s="76"/>
      <c r="P1611" s="76"/>
      <c r="Q1611" s="76"/>
      <c r="R1611" s="76"/>
      <c r="S1611" s="76"/>
      <c r="T1611" s="76"/>
      <c r="U1611" s="76"/>
      <c r="V1611" s="76"/>
      <c r="W1611" s="76"/>
      <c r="X1611" s="76"/>
      <c r="Y1611" s="76"/>
      <c r="Z1611" s="76"/>
      <c r="AA1611" s="76"/>
      <c r="AB1611" s="76"/>
      <c r="AC1611" s="76"/>
      <c r="AD1611" s="76"/>
      <c r="AE1611" s="76"/>
      <c r="AF1611" s="76"/>
      <c r="AG1611" s="76"/>
      <c r="AH1611" s="76"/>
      <c r="AI1611" s="76">
        <v>1</v>
      </c>
      <c r="AJ1611" s="76">
        <v>1</v>
      </c>
      <c r="AK1611" s="73"/>
      <c r="AL1611" s="57"/>
      <c r="AM1611" s="45"/>
      <c r="AN1611" s="45"/>
      <c r="AO1611" s="45"/>
    </row>
    <row r="1612" spans="1:41" hidden="1" outlineLevel="3" x14ac:dyDescent="0.25">
      <c r="A1612" s="45"/>
      <c r="B1612" s="54"/>
      <c r="C1612" s="47">
        <f t="shared" si="536"/>
        <v>4</v>
      </c>
      <c r="D1612" s="73"/>
      <c r="E1612" s="70"/>
      <c r="F1612" s="70" t="s">
        <v>2027</v>
      </c>
      <c r="G1612" s="73"/>
      <c r="H1612" s="76"/>
      <c r="I1612" s="76"/>
      <c r="J1612" s="76"/>
      <c r="K1612" s="76"/>
      <c r="L1612" s="76"/>
      <c r="M1612" s="76"/>
      <c r="N1612" s="76"/>
      <c r="O1612" s="76"/>
      <c r="P1612" s="76"/>
      <c r="Q1612" s="76"/>
      <c r="R1612" s="76"/>
      <c r="S1612" s="76"/>
      <c r="T1612" s="76"/>
      <c r="U1612" s="76"/>
      <c r="V1612" s="76"/>
      <c r="W1612" s="76"/>
      <c r="X1612" s="76"/>
      <c r="Y1612" s="76"/>
      <c r="Z1612" s="76"/>
      <c r="AA1612" s="76"/>
      <c r="AB1612" s="76"/>
      <c r="AC1612" s="76"/>
      <c r="AD1612" s="76"/>
      <c r="AE1612" s="76"/>
      <c r="AF1612" s="76"/>
      <c r="AG1612" s="76"/>
      <c r="AH1612" s="76"/>
      <c r="AI1612" s="76">
        <v>1</v>
      </c>
      <c r="AJ1612" s="76">
        <v>1</v>
      </c>
      <c r="AK1612" s="73"/>
      <c r="AL1612" s="57"/>
      <c r="AM1612" s="45"/>
      <c r="AN1612" s="45"/>
      <c r="AO1612" s="45"/>
    </row>
    <row r="1613" spans="1:41" hidden="1" outlineLevel="3" x14ac:dyDescent="0.25">
      <c r="A1613" s="45"/>
      <c r="B1613" s="54"/>
      <c r="C1613" s="47">
        <f t="shared" si="536"/>
        <v>4</v>
      </c>
      <c r="D1613" s="73"/>
      <c r="E1613" s="70"/>
      <c r="F1613" s="70" t="s">
        <v>2028</v>
      </c>
      <c r="G1613" s="73"/>
      <c r="H1613" s="76"/>
      <c r="I1613" s="76"/>
      <c r="J1613" s="76"/>
      <c r="K1613" s="76"/>
      <c r="L1613" s="76"/>
      <c r="M1613" s="76"/>
      <c r="N1613" s="76"/>
      <c r="O1613" s="76"/>
      <c r="P1613" s="76"/>
      <c r="Q1613" s="76"/>
      <c r="R1613" s="76"/>
      <c r="S1613" s="76"/>
      <c r="T1613" s="76"/>
      <c r="U1613" s="76"/>
      <c r="V1613" s="76"/>
      <c r="W1613" s="76"/>
      <c r="X1613" s="76"/>
      <c r="Y1613" s="76"/>
      <c r="Z1613" s="76"/>
      <c r="AA1613" s="76"/>
      <c r="AB1613" s="76"/>
      <c r="AC1613" s="76"/>
      <c r="AD1613" s="76"/>
      <c r="AE1613" s="76"/>
      <c r="AF1613" s="76"/>
      <c r="AG1613" s="76"/>
      <c r="AH1613" s="76"/>
      <c r="AI1613" s="76">
        <v>1</v>
      </c>
      <c r="AJ1613" s="76">
        <v>1</v>
      </c>
      <c r="AK1613" s="73"/>
      <c r="AL1613" s="57"/>
      <c r="AM1613" s="45"/>
      <c r="AN1613" s="45"/>
      <c r="AO1613" s="45"/>
    </row>
    <row r="1614" spans="1:41" hidden="1" outlineLevel="3" x14ac:dyDescent="0.25">
      <c r="A1614" s="45"/>
      <c r="B1614" s="54"/>
      <c r="C1614" s="47">
        <f t="shared" si="536"/>
        <v>4</v>
      </c>
      <c r="D1614" s="73"/>
      <c r="E1614" s="70"/>
      <c r="F1614" s="70" t="s">
        <v>2029</v>
      </c>
      <c r="G1614" s="73"/>
      <c r="H1614" s="76"/>
      <c r="I1614" s="76"/>
      <c r="J1614" s="76"/>
      <c r="K1614" s="76"/>
      <c r="L1614" s="76"/>
      <c r="M1614" s="76"/>
      <c r="N1614" s="76"/>
      <c r="O1614" s="76"/>
      <c r="P1614" s="76"/>
      <c r="Q1614" s="76"/>
      <c r="R1614" s="76"/>
      <c r="S1614" s="76"/>
      <c r="T1614" s="76"/>
      <c r="U1614" s="76"/>
      <c r="V1614" s="76"/>
      <c r="W1614" s="76"/>
      <c r="X1614" s="76"/>
      <c r="Y1614" s="76"/>
      <c r="Z1614" s="76"/>
      <c r="AA1614" s="76"/>
      <c r="AB1614" s="76"/>
      <c r="AC1614" s="76"/>
      <c r="AD1614" s="76"/>
      <c r="AE1614" s="76"/>
      <c r="AF1614" s="76"/>
      <c r="AG1614" s="76"/>
      <c r="AH1614" s="76"/>
      <c r="AI1614" s="76">
        <v>1</v>
      </c>
      <c r="AJ1614" s="76">
        <v>1</v>
      </c>
      <c r="AK1614" s="73"/>
      <c r="AL1614" s="57"/>
      <c r="AM1614" s="45"/>
      <c r="AN1614" s="45"/>
      <c r="AO1614" s="45"/>
    </row>
    <row r="1615" spans="1:41" hidden="1" outlineLevel="3" x14ac:dyDescent="0.25">
      <c r="A1615" s="45"/>
      <c r="B1615" s="54"/>
      <c r="C1615" s="47">
        <f t="shared" si="536"/>
        <v>4</v>
      </c>
      <c r="D1615" s="73"/>
      <c r="E1615" s="70"/>
      <c r="F1615" s="70" t="s">
        <v>2030</v>
      </c>
      <c r="G1615" s="73"/>
      <c r="H1615" s="76"/>
      <c r="I1615" s="76"/>
      <c r="J1615" s="76"/>
      <c r="K1615" s="76"/>
      <c r="L1615" s="76"/>
      <c r="M1615" s="76"/>
      <c r="N1615" s="76"/>
      <c r="O1615" s="76"/>
      <c r="P1615" s="76"/>
      <c r="Q1615" s="76"/>
      <c r="R1615" s="76"/>
      <c r="S1615" s="76"/>
      <c r="T1615" s="76"/>
      <c r="U1615" s="76"/>
      <c r="V1615" s="76"/>
      <c r="W1615" s="76"/>
      <c r="X1615" s="76"/>
      <c r="Y1615" s="76"/>
      <c r="Z1615" s="76"/>
      <c r="AA1615" s="76"/>
      <c r="AB1615" s="76"/>
      <c r="AC1615" s="76"/>
      <c r="AD1615" s="76"/>
      <c r="AE1615" s="76"/>
      <c r="AF1615" s="76"/>
      <c r="AG1615" s="76"/>
      <c r="AH1615" s="76"/>
      <c r="AI1615" s="76">
        <v>1</v>
      </c>
      <c r="AJ1615" s="76">
        <v>1</v>
      </c>
      <c r="AK1615" s="73"/>
      <c r="AL1615" s="57"/>
      <c r="AM1615" s="45"/>
      <c r="AN1615" s="45"/>
      <c r="AO1615" s="45"/>
    </row>
    <row r="1616" spans="1:41" hidden="1" outlineLevel="3" x14ac:dyDescent="0.25">
      <c r="A1616" s="45"/>
      <c r="B1616" s="54"/>
      <c r="C1616" s="47"/>
      <c r="D1616" s="73"/>
      <c r="E1616" s="70"/>
      <c r="F1616" s="70" t="s">
        <v>2436</v>
      </c>
      <c r="G1616" s="73"/>
      <c r="H1616" s="76"/>
      <c r="I1616" s="76"/>
      <c r="J1616" s="76"/>
      <c r="K1616" s="76"/>
      <c r="L1616" s="76"/>
      <c r="M1616" s="76"/>
      <c r="N1616" s="76"/>
      <c r="O1616" s="76"/>
      <c r="P1616" s="76"/>
      <c r="Q1616" s="76"/>
      <c r="R1616" s="76"/>
      <c r="S1616" s="76"/>
      <c r="T1616" s="76"/>
      <c r="U1616" s="76"/>
      <c r="V1616" s="76"/>
      <c r="W1616" s="76"/>
      <c r="X1616" s="76"/>
      <c r="Y1616" s="76"/>
      <c r="Z1616" s="76"/>
      <c r="AA1616" s="76"/>
      <c r="AB1616" s="76"/>
      <c r="AC1616" s="76"/>
      <c r="AD1616" s="76"/>
      <c r="AE1616" s="76"/>
      <c r="AF1616" s="76"/>
      <c r="AG1616" s="76"/>
      <c r="AH1616" s="76"/>
      <c r="AI1616" s="76">
        <v>1</v>
      </c>
      <c r="AJ1616" s="76">
        <v>1</v>
      </c>
      <c r="AK1616" s="73"/>
      <c r="AL1616" s="57"/>
      <c r="AM1616" s="45"/>
      <c r="AN1616" s="45"/>
      <c r="AO1616" s="45"/>
    </row>
    <row r="1617" spans="1:41" hidden="1" outlineLevel="3" x14ac:dyDescent="0.25">
      <c r="A1617" s="45"/>
      <c r="B1617" s="54"/>
      <c r="C1617" s="47"/>
      <c r="D1617" s="73"/>
      <c r="E1617" s="70"/>
      <c r="F1617" s="70" t="s">
        <v>2437</v>
      </c>
      <c r="G1617" s="73"/>
      <c r="H1617" s="76"/>
      <c r="I1617" s="76"/>
      <c r="J1617" s="76"/>
      <c r="K1617" s="76"/>
      <c r="L1617" s="76"/>
      <c r="M1617" s="76"/>
      <c r="N1617" s="76"/>
      <c r="O1617" s="76"/>
      <c r="P1617" s="76"/>
      <c r="Q1617" s="76"/>
      <c r="R1617" s="76"/>
      <c r="S1617" s="76"/>
      <c r="T1617" s="76"/>
      <c r="U1617" s="76"/>
      <c r="V1617" s="76"/>
      <c r="W1617" s="76"/>
      <c r="X1617" s="76"/>
      <c r="Y1617" s="76"/>
      <c r="Z1617" s="76"/>
      <c r="AA1617" s="76"/>
      <c r="AB1617" s="76"/>
      <c r="AC1617" s="76"/>
      <c r="AD1617" s="76"/>
      <c r="AE1617" s="76"/>
      <c r="AF1617" s="76"/>
      <c r="AG1617" s="76"/>
      <c r="AH1617" s="76"/>
      <c r="AI1617" s="76">
        <v>1</v>
      </c>
      <c r="AJ1617" s="76">
        <v>1</v>
      </c>
      <c r="AK1617" s="73"/>
      <c r="AL1617" s="57"/>
      <c r="AM1617" s="45"/>
      <c r="AN1617" s="45"/>
      <c r="AO1617" s="45"/>
    </row>
    <row r="1618" spans="1:41" hidden="1" outlineLevel="3" x14ac:dyDescent="0.25">
      <c r="A1618" s="45"/>
      <c r="B1618" s="54"/>
      <c r="C1618" s="47"/>
      <c r="D1618" s="73"/>
      <c r="E1618" s="70"/>
      <c r="F1618" s="70" t="s">
        <v>2438</v>
      </c>
      <c r="G1618" s="73"/>
      <c r="H1618" s="76"/>
      <c r="I1618" s="76"/>
      <c r="J1618" s="76"/>
      <c r="K1618" s="76"/>
      <c r="L1618" s="76"/>
      <c r="M1618" s="76"/>
      <c r="N1618" s="76"/>
      <c r="O1618" s="76"/>
      <c r="P1618" s="76"/>
      <c r="Q1618" s="76"/>
      <c r="R1618" s="76"/>
      <c r="S1618" s="76"/>
      <c r="T1618" s="76"/>
      <c r="U1618" s="76"/>
      <c r="V1618" s="76"/>
      <c r="W1618" s="76"/>
      <c r="X1618" s="76"/>
      <c r="Y1618" s="76"/>
      <c r="Z1618" s="76"/>
      <c r="AA1618" s="76"/>
      <c r="AB1618" s="76"/>
      <c r="AC1618" s="76"/>
      <c r="AD1618" s="76"/>
      <c r="AE1618" s="76"/>
      <c r="AF1618" s="76"/>
      <c r="AG1618" s="76"/>
      <c r="AH1618" s="76"/>
      <c r="AI1618" s="76">
        <v>1</v>
      </c>
      <c r="AJ1618" s="76">
        <v>1</v>
      </c>
      <c r="AK1618" s="73"/>
      <c r="AL1618" s="57"/>
      <c r="AM1618" s="45"/>
      <c r="AN1618" s="45"/>
      <c r="AO1618" s="45"/>
    </row>
    <row r="1619" spans="1:41" hidden="1" outlineLevel="3" x14ac:dyDescent="0.25">
      <c r="A1619" s="45"/>
      <c r="B1619" s="54"/>
      <c r="C1619" s="47">
        <f>INT($C$29)+3</f>
        <v>4</v>
      </c>
      <c r="D1619" s="73"/>
      <c r="E1619" s="70"/>
      <c r="F1619" s="70" t="str">
        <f>SUBSTITUTE(F1615,",4)",",8)")</f>
        <v>C(U2,19,8)</v>
      </c>
      <c r="G1619" s="73"/>
      <c r="H1619" s="76"/>
      <c r="I1619" s="96"/>
      <c r="J1619" s="76"/>
      <c r="K1619" s="76"/>
      <c r="L1619" s="76"/>
      <c r="M1619" s="76"/>
      <c r="N1619" s="76"/>
      <c r="O1619" s="76"/>
      <c r="P1619" s="76"/>
      <c r="Q1619" s="76"/>
      <c r="R1619" s="76"/>
      <c r="S1619" s="76"/>
      <c r="T1619" s="76"/>
      <c r="U1619" s="76"/>
      <c r="V1619" s="76"/>
      <c r="W1619" s="76"/>
      <c r="X1619" s="76"/>
      <c r="Y1619" s="76"/>
      <c r="Z1619" s="76"/>
      <c r="AA1619" s="76"/>
      <c r="AB1619" s="76"/>
      <c r="AC1619" s="76"/>
      <c r="AD1619" s="76"/>
      <c r="AE1619" s="76"/>
      <c r="AF1619" s="76"/>
      <c r="AG1619" s="76"/>
      <c r="AH1619" s="76"/>
      <c r="AI1619" s="76">
        <v>1</v>
      </c>
      <c r="AJ1619" s="76">
        <v>1</v>
      </c>
      <c r="AK1619" s="73"/>
      <c r="AL1619" s="57"/>
      <c r="AM1619" s="45"/>
      <c r="AN1619" s="45"/>
      <c r="AO1619" s="45"/>
    </row>
    <row r="1620" spans="1:41" hidden="1" outlineLevel="3" x14ac:dyDescent="0.25">
      <c r="A1620" s="45"/>
      <c r="B1620" s="54"/>
      <c r="C1620" s="47">
        <f>INT($C$29)+3</f>
        <v>4</v>
      </c>
      <c r="D1620" s="73"/>
      <c r="E1620" s="70"/>
      <c r="F1620" s="70" t="str">
        <f>SUBSTITUTE(F1616,",5)",",9)")</f>
        <v>C(U2,19,9)</v>
      </c>
      <c r="G1620" s="73"/>
      <c r="H1620" s="76"/>
      <c r="I1620" s="96"/>
      <c r="J1620" s="76"/>
      <c r="K1620" s="76"/>
      <c r="L1620" s="76"/>
      <c r="M1620" s="76"/>
      <c r="N1620" s="76"/>
      <c r="O1620" s="76"/>
      <c r="P1620" s="76"/>
      <c r="Q1620" s="76"/>
      <c r="R1620" s="76"/>
      <c r="S1620" s="76"/>
      <c r="T1620" s="76"/>
      <c r="U1620" s="76"/>
      <c r="V1620" s="76"/>
      <c r="W1620" s="76"/>
      <c r="X1620" s="76"/>
      <c r="Y1620" s="76"/>
      <c r="Z1620" s="76"/>
      <c r="AA1620" s="76"/>
      <c r="AB1620" s="76"/>
      <c r="AC1620" s="76"/>
      <c r="AD1620" s="76"/>
      <c r="AE1620" s="76"/>
      <c r="AF1620" s="76"/>
      <c r="AG1620" s="76"/>
      <c r="AH1620" s="76"/>
      <c r="AI1620" s="76">
        <v>1</v>
      </c>
      <c r="AJ1620" s="76">
        <v>1</v>
      </c>
      <c r="AK1620" s="73"/>
      <c r="AL1620" s="57"/>
      <c r="AM1620" s="45"/>
      <c r="AN1620" s="45"/>
      <c r="AO1620" s="45"/>
    </row>
    <row r="1621" spans="1:41" hidden="1" outlineLevel="3" x14ac:dyDescent="0.25">
      <c r="A1621" s="45"/>
      <c r="B1621" s="54"/>
      <c r="C1621" s="47">
        <f>INT($C$29)+3</f>
        <v>4</v>
      </c>
      <c r="D1621" s="73"/>
      <c r="E1621" s="70"/>
      <c r="F1621" s="70" t="str">
        <f>SUBSTITUTE(F1617,",6)",",10)")</f>
        <v>C(U2,19,10)</v>
      </c>
      <c r="G1621" s="73"/>
      <c r="H1621" s="76"/>
      <c r="I1621" s="96"/>
      <c r="J1621" s="76"/>
      <c r="K1621" s="76"/>
      <c r="L1621" s="76"/>
      <c r="M1621" s="76"/>
      <c r="N1621" s="76"/>
      <c r="O1621" s="76"/>
      <c r="P1621" s="76"/>
      <c r="Q1621" s="76"/>
      <c r="R1621" s="76"/>
      <c r="S1621" s="76"/>
      <c r="T1621" s="76"/>
      <c r="U1621" s="76"/>
      <c r="V1621" s="76"/>
      <c r="W1621" s="76"/>
      <c r="X1621" s="76"/>
      <c r="Y1621" s="76"/>
      <c r="Z1621" s="76"/>
      <c r="AA1621" s="76"/>
      <c r="AB1621" s="76"/>
      <c r="AC1621" s="76"/>
      <c r="AD1621" s="76"/>
      <c r="AE1621" s="76"/>
      <c r="AF1621" s="76"/>
      <c r="AG1621" s="76"/>
      <c r="AH1621" s="76"/>
      <c r="AI1621" s="76">
        <v>1</v>
      </c>
      <c r="AJ1621" s="76">
        <v>1</v>
      </c>
      <c r="AK1621" s="73"/>
      <c r="AL1621" s="57"/>
      <c r="AM1621" s="45"/>
      <c r="AN1621" s="45"/>
      <c r="AO1621" s="45"/>
    </row>
    <row r="1622" spans="1:41" hidden="1" outlineLevel="3" x14ac:dyDescent="0.25">
      <c r="A1622" s="45"/>
      <c r="B1622" s="54"/>
      <c r="C1622" s="47">
        <f>INT($C$29)+3</f>
        <v>4</v>
      </c>
      <c r="D1622" s="73"/>
      <c r="E1622" s="70"/>
      <c r="F1622" s="70" t="str">
        <f>SUBSTITUTE(F1618,",7)",",11)")</f>
        <v>C(U2,19,11)</v>
      </c>
      <c r="G1622" s="73"/>
      <c r="H1622" s="76"/>
      <c r="I1622" s="96"/>
      <c r="J1622" s="76"/>
      <c r="K1622" s="76"/>
      <c r="L1622" s="76"/>
      <c r="M1622" s="76"/>
      <c r="N1622" s="76"/>
      <c r="O1622" s="76"/>
      <c r="P1622" s="76"/>
      <c r="Q1622" s="76"/>
      <c r="R1622" s="76"/>
      <c r="S1622" s="76"/>
      <c r="T1622" s="76"/>
      <c r="U1622" s="76"/>
      <c r="V1622" s="76"/>
      <c r="W1622" s="76"/>
      <c r="X1622" s="76"/>
      <c r="Y1622" s="76"/>
      <c r="Z1622" s="76"/>
      <c r="AA1622" s="76"/>
      <c r="AB1622" s="76"/>
      <c r="AC1622" s="76"/>
      <c r="AD1622" s="76"/>
      <c r="AE1622" s="76"/>
      <c r="AF1622" s="76"/>
      <c r="AG1622" s="76"/>
      <c r="AH1622" s="76"/>
      <c r="AI1622" s="76">
        <v>1</v>
      </c>
      <c r="AJ1622" s="76">
        <v>1</v>
      </c>
      <c r="AK1622" s="73"/>
      <c r="AL1622" s="57"/>
      <c r="AM1622" s="45"/>
      <c r="AN1622" s="45"/>
      <c r="AO1622" s="45"/>
    </row>
    <row r="1623" spans="1:41" hidden="1" outlineLevel="3" x14ac:dyDescent="0.25">
      <c r="A1623" s="45"/>
      <c r="B1623" s="54"/>
      <c r="C1623" s="47">
        <f t="shared" ref="C1623:C1624" si="537">INT($C$29)+3</f>
        <v>4</v>
      </c>
      <c r="D1623" s="73"/>
      <c r="E1623" s="70"/>
      <c r="F1623" s="70" t="str">
        <f>SUBSTITUTE(F1617,",6)",",12)")</f>
        <v>C(U2,19,12)</v>
      </c>
      <c r="G1623" s="73"/>
      <c r="H1623" s="76"/>
      <c r="I1623" s="96"/>
      <c r="J1623" s="76"/>
      <c r="K1623" s="76"/>
      <c r="L1623" s="76"/>
      <c r="M1623" s="76"/>
      <c r="N1623" s="76"/>
      <c r="O1623" s="76"/>
      <c r="P1623" s="76"/>
      <c r="Q1623" s="76"/>
      <c r="R1623" s="76"/>
      <c r="S1623" s="76"/>
      <c r="T1623" s="76"/>
      <c r="U1623" s="76"/>
      <c r="V1623" s="76"/>
      <c r="W1623" s="76"/>
      <c r="X1623" s="76"/>
      <c r="Y1623" s="76"/>
      <c r="Z1623" s="76"/>
      <c r="AA1623" s="76"/>
      <c r="AB1623" s="76"/>
      <c r="AC1623" s="76"/>
      <c r="AD1623" s="76"/>
      <c r="AE1623" s="76"/>
      <c r="AF1623" s="76"/>
      <c r="AG1623" s="76"/>
      <c r="AH1623" s="76"/>
      <c r="AI1623" s="76">
        <v>1</v>
      </c>
      <c r="AJ1623" s="76">
        <v>1</v>
      </c>
      <c r="AK1623" s="73"/>
      <c r="AL1623" s="57"/>
      <c r="AM1623" s="45"/>
      <c r="AN1623" s="45"/>
      <c r="AO1623" s="45"/>
    </row>
    <row r="1624" spans="1:41" hidden="1" outlineLevel="3" x14ac:dyDescent="0.25">
      <c r="A1624" s="45"/>
      <c r="B1624" s="54"/>
      <c r="C1624" s="47">
        <f t="shared" si="537"/>
        <v>4</v>
      </c>
      <c r="D1624" s="73"/>
      <c r="E1624" s="70"/>
      <c r="F1624" s="70" t="str">
        <f>SUBSTITUTE(F1618,",7)",",13)")</f>
        <v>C(U2,19,13)</v>
      </c>
      <c r="G1624" s="73"/>
      <c r="H1624" s="76"/>
      <c r="I1624" s="96"/>
      <c r="J1624" s="76"/>
      <c r="K1624" s="76"/>
      <c r="L1624" s="76"/>
      <c r="M1624" s="76"/>
      <c r="N1624" s="76"/>
      <c r="O1624" s="76"/>
      <c r="P1624" s="76"/>
      <c r="Q1624" s="76"/>
      <c r="R1624" s="76"/>
      <c r="S1624" s="76"/>
      <c r="T1624" s="76"/>
      <c r="U1624" s="76"/>
      <c r="V1624" s="76"/>
      <c r="W1624" s="76"/>
      <c r="X1624" s="76"/>
      <c r="Y1624" s="76"/>
      <c r="Z1624" s="76"/>
      <c r="AA1624" s="76"/>
      <c r="AB1624" s="76"/>
      <c r="AC1624" s="76"/>
      <c r="AD1624" s="76"/>
      <c r="AE1624" s="76"/>
      <c r="AF1624" s="76"/>
      <c r="AG1624" s="76"/>
      <c r="AH1624" s="76"/>
      <c r="AI1624" s="76">
        <v>1</v>
      </c>
      <c r="AJ1624" s="76">
        <v>1</v>
      </c>
      <c r="AK1624" s="73"/>
      <c r="AL1624" s="57"/>
      <c r="AM1624" s="45"/>
      <c r="AN1624" s="45"/>
      <c r="AO1624" s="45"/>
    </row>
    <row r="1625" spans="1:41" hidden="1" outlineLevel="3" x14ac:dyDescent="0.25">
      <c r="A1625" s="45"/>
      <c r="B1625" s="54"/>
      <c r="C1625" s="47">
        <f>INT($C$29)+3</f>
        <v>4</v>
      </c>
      <c r="D1625" s="73"/>
      <c r="E1625" s="70"/>
      <c r="F1625" s="70" t="s">
        <v>2031</v>
      </c>
      <c r="G1625" s="73"/>
      <c r="H1625" s="76"/>
      <c r="I1625" s="76"/>
      <c r="J1625" s="76"/>
      <c r="K1625" s="76"/>
      <c r="L1625" s="76"/>
      <c r="M1625" s="76"/>
      <c r="N1625" s="76"/>
      <c r="O1625" s="76"/>
      <c r="P1625" s="76"/>
      <c r="Q1625" s="76"/>
      <c r="R1625" s="76"/>
      <c r="S1625" s="76"/>
      <c r="T1625" s="76"/>
      <c r="U1625" s="76"/>
      <c r="V1625" s="76"/>
      <c r="W1625" s="76"/>
      <c r="X1625" s="76"/>
      <c r="Y1625" s="76"/>
      <c r="Z1625" s="76"/>
      <c r="AA1625" s="76"/>
      <c r="AB1625" s="76"/>
      <c r="AC1625" s="76"/>
      <c r="AD1625" s="76"/>
      <c r="AE1625" s="76"/>
      <c r="AF1625" s="76"/>
      <c r="AG1625" s="76"/>
      <c r="AH1625" s="76"/>
      <c r="AI1625" s="76">
        <v>1</v>
      </c>
      <c r="AJ1625" s="76">
        <v>1</v>
      </c>
      <c r="AK1625" s="73"/>
      <c r="AL1625" s="57"/>
      <c r="AM1625" s="45"/>
      <c r="AN1625" s="45"/>
      <c r="AO1625" s="45"/>
    </row>
    <row r="1626" spans="1:41" hidden="1" outlineLevel="2" x14ac:dyDescent="0.25">
      <c r="A1626" s="45"/>
      <c r="B1626" s="54"/>
      <c r="C1626" s="47">
        <f>INT($C$29)+2</f>
        <v>3</v>
      </c>
      <c r="D1626" s="73"/>
      <c r="E1626" s="70"/>
      <c r="F1626" s="70" t="s">
        <v>2032</v>
      </c>
      <c r="G1626" s="73"/>
      <c r="H1626" s="76" t="s">
        <v>2033</v>
      </c>
      <c r="I1626" s="76"/>
      <c r="J1626" s="76"/>
      <c r="K1626" s="76"/>
      <c r="L1626" s="76"/>
      <c r="M1626" s="76"/>
      <c r="N1626" s="76"/>
      <c r="O1626" s="76"/>
      <c r="P1626" s="76"/>
      <c r="Q1626" s="76"/>
      <c r="R1626" s="76"/>
      <c r="S1626" s="76"/>
      <c r="T1626" s="76"/>
      <c r="U1626" s="97">
        <v>0.57699999999999996</v>
      </c>
      <c r="V1626" s="97">
        <v>0.57699999999999996</v>
      </c>
      <c r="W1626" s="97">
        <v>0.57699999999999996</v>
      </c>
      <c r="X1626" s="97">
        <v>0.57699999999999996</v>
      </c>
      <c r="Y1626" s="97">
        <v>0.57699999999999996</v>
      </c>
      <c r="Z1626" s="97">
        <v>0.57699999999999996</v>
      </c>
      <c r="AA1626" s="97">
        <v>0.57699999999999996</v>
      </c>
      <c r="AB1626" s="255">
        <f t="shared" ref="AB1626:AE1627" si="538">AA1626</f>
        <v>0.57699999999999996</v>
      </c>
      <c r="AC1626" s="255">
        <f t="shared" si="538"/>
        <v>0.57699999999999996</v>
      </c>
      <c r="AD1626" s="255">
        <f t="shared" si="538"/>
        <v>0.57699999999999996</v>
      </c>
      <c r="AE1626" s="255">
        <f t="shared" si="538"/>
        <v>0.57699999999999996</v>
      </c>
      <c r="AF1626" s="76"/>
      <c r="AG1626" s="97" t="s">
        <v>2034</v>
      </c>
      <c r="AH1626" s="76"/>
      <c r="AI1626" s="97">
        <v>1</v>
      </c>
      <c r="AJ1626" s="97">
        <v>1</v>
      </c>
      <c r="AK1626" s="73"/>
      <c r="AL1626" s="57"/>
      <c r="AM1626" s="45"/>
      <c r="AN1626" s="45"/>
      <c r="AO1626" s="45"/>
    </row>
    <row r="1627" spans="1:41" hidden="1" outlineLevel="2" collapsed="1" x14ac:dyDescent="0.25">
      <c r="A1627" s="45"/>
      <c r="B1627" s="54"/>
      <c r="C1627" s="47">
        <f>INT($C$29)+2</f>
        <v>3</v>
      </c>
      <c r="D1627" s="73"/>
      <c r="E1627" s="70"/>
      <c r="F1627" s="70" t="s">
        <v>2035</v>
      </c>
      <c r="G1627" s="73"/>
      <c r="H1627" s="76" t="s">
        <v>2036</v>
      </c>
      <c r="I1627" s="76"/>
      <c r="J1627" s="76"/>
      <c r="K1627" s="76"/>
      <c r="L1627" s="76"/>
      <c r="M1627" s="76"/>
      <c r="N1627" s="76"/>
      <c r="O1627" s="76"/>
      <c r="P1627" s="76"/>
      <c r="Q1627" s="76"/>
      <c r="R1627" s="76"/>
      <c r="S1627" s="76"/>
      <c r="T1627" s="76"/>
      <c r="U1627" s="97">
        <v>-1.2E-2</v>
      </c>
      <c r="V1627" s="97">
        <v>-1.2E-2</v>
      </c>
      <c r="W1627" s="97">
        <v>-1.2E-2</v>
      </c>
      <c r="X1627" s="97">
        <v>-1.2E-2</v>
      </c>
      <c r="Y1627" s="97">
        <v>-1.2E-2</v>
      </c>
      <c r="Z1627" s="97">
        <v>-1.2E-2</v>
      </c>
      <c r="AA1627" s="97">
        <v>-1.2E-2</v>
      </c>
      <c r="AB1627" s="255">
        <f t="shared" si="538"/>
        <v>-1.2E-2</v>
      </c>
      <c r="AC1627" s="255">
        <f t="shared" si="538"/>
        <v>-1.2E-2</v>
      </c>
      <c r="AD1627" s="255">
        <f t="shared" si="538"/>
        <v>-1.2E-2</v>
      </c>
      <c r="AE1627" s="255">
        <f t="shared" si="538"/>
        <v>-1.2E-2</v>
      </c>
      <c r="AF1627" s="76"/>
      <c r="AG1627" s="76"/>
      <c r="AH1627" s="76"/>
      <c r="AI1627" s="97">
        <v>1</v>
      </c>
      <c r="AJ1627" s="97">
        <v>1</v>
      </c>
      <c r="AK1627" s="73"/>
      <c r="AL1627" s="57"/>
      <c r="AM1627" s="45"/>
      <c r="AN1627" s="45"/>
      <c r="AO1627" s="45"/>
    </row>
    <row r="1628" spans="1:41" hidden="1" outlineLevel="3" x14ac:dyDescent="0.25">
      <c r="A1628" s="45"/>
      <c r="B1628" s="54"/>
      <c r="C1628" s="47">
        <f>INT($C$29)+2</f>
        <v>3</v>
      </c>
      <c r="D1628" s="73"/>
      <c r="E1628" s="70"/>
      <c r="F1628" s="70" t="s">
        <v>2037</v>
      </c>
      <c r="G1628" s="73"/>
      <c r="H1628" s="76" t="s">
        <v>2038</v>
      </c>
      <c r="I1628" s="76"/>
      <c r="J1628" s="76"/>
      <c r="K1628" s="76"/>
      <c r="L1628" s="76"/>
      <c r="M1628" s="76"/>
      <c r="N1628" s="76"/>
      <c r="O1628" s="76"/>
      <c r="P1628" s="76"/>
      <c r="Q1628" s="76"/>
      <c r="R1628" s="76"/>
      <c r="S1628" s="76"/>
      <c r="T1628" s="76"/>
      <c r="U1628" s="76">
        <v>0</v>
      </c>
      <c r="V1628" s="76">
        <v>0</v>
      </c>
      <c r="W1628" s="76">
        <v>0</v>
      </c>
      <c r="X1628" s="76">
        <v>0</v>
      </c>
      <c r="Y1628" s="76">
        <v>0</v>
      </c>
      <c r="Z1628" s="76">
        <v>0</v>
      </c>
      <c r="AA1628" s="76">
        <v>0</v>
      </c>
      <c r="AB1628" s="76">
        <v>0</v>
      </c>
      <c r="AC1628" s="76">
        <v>0</v>
      </c>
      <c r="AD1628" s="76">
        <v>0</v>
      </c>
      <c r="AE1628" s="76">
        <v>0</v>
      </c>
      <c r="AF1628" s="76"/>
      <c r="AG1628" s="76"/>
      <c r="AH1628" s="76"/>
      <c r="AI1628" s="76">
        <v>1</v>
      </c>
      <c r="AJ1628" s="76">
        <v>1</v>
      </c>
      <c r="AK1628" s="73"/>
      <c r="AL1628" s="57"/>
      <c r="AM1628" s="45"/>
      <c r="AN1628" s="45"/>
      <c r="AO1628" s="45"/>
    </row>
    <row r="1629" spans="1:41" hidden="1" outlineLevel="3" x14ac:dyDescent="0.25">
      <c r="A1629" s="45"/>
      <c r="B1629" s="54"/>
      <c r="C1629" s="47">
        <f>INT($C$29)+3</f>
        <v>4</v>
      </c>
      <c r="D1629" s="73"/>
      <c r="E1629" s="70"/>
      <c r="F1629" s="70" t="s">
        <v>2039</v>
      </c>
      <c r="G1629" s="73"/>
      <c r="H1629" s="373" t="s">
        <v>2452</v>
      </c>
      <c r="I1629" s="76"/>
      <c r="J1629" s="76"/>
      <c r="K1629" s="76"/>
      <c r="L1629" s="76"/>
      <c r="M1629" s="76"/>
      <c r="N1629" s="76"/>
      <c r="O1629" s="76"/>
      <c r="P1629" s="76"/>
      <c r="Q1629" s="76"/>
      <c r="R1629" s="76"/>
      <c r="S1629" s="76"/>
      <c r="T1629" s="76"/>
      <c r="U1629" s="76">
        <v>0</v>
      </c>
      <c r="V1629" s="76">
        <v>0</v>
      </c>
      <c r="W1629" s="76">
        <v>0</v>
      </c>
      <c r="X1629" s="76">
        <v>0</v>
      </c>
      <c r="Y1629" s="76">
        <v>0</v>
      </c>
      <c r="Z1629" s="76">
        <v>0</v>
      </c>
      <c r="AA1629" s="76">
        <v>0</v>
      </c>
      <c r="AB1629" s="76">
        <v>0</v>
      </c>
      <c r="AC1629" s="76">
        <v>0</v>
      </c>
      <c r="AD1629" s="76">
        <v>0</v>
      </c>
      <c r="AE1629" s="76">
        <v>0</v>
      </c>
      <c r="AF1629" s="76"/>
      <c r="AG1629" s="76"/>
      <c r="AH1629" s="76"/>
      <c r="AI1629" s="76">
        <v>1</v>
      </c>
      <c r="AJ1629" s="76">
        <v>1</v>
      </c>
      <c r="AK1629" s="73"/>
      <c r="AL1629" s="57"/>
      <c r="AM1629" s="45"/>
      <c r="AN1629" s="45"/>
      <c r="AO1629" s="45"/>
    </row>
    <row r="1630" spans="1:41" hidden="1" outlineLevel="3" x14ac:dyDescent="0.25">
      <c r="A1630" s="45"/>
      <c r="B1630" s="54"/>
      <c r="C1630" s="47">
        <f>INT($C$29)+2</f>
        <v>3</v>
      </c>
      <c r="D1630" s="73"/>
      <c r="E1630" s="70"/>
      <c r="F1630" s="70" t="s">
        <v>2041</v>
      </c>
      <c r="G1630" s="73"/>
      <c r="H1630" s="76" t="s">
        <v>2040</v>
      </c>
      <c r="I1630" s="76"/>
      <c r="J1630" s="76"/>
      <c r="K1630" s="76"/>
      <c r="L1630" s="76"/>
      <c r="M1630" s="76"/>
      <c r="N1630" s="76"/>
      <c r="O1630" s="76"/>
      <c r="P1630" s="76"/>
      <c r="Q1630" s="76"/>
      <c r="R1630" s="76"/>
      <c r="S1630" s="76"/>
      <c r="T1630" s="76"/>
      <c r="U1630" s="76">
        <v>0</v>
      </c>
      <c r="V1630" s="76">
        <v>0</v>
      </c>
      <c r="W1630" s="76">
        <v>0</v>
      </c>
      <c r="X1630" s="76">
        <v>0</v>
      </c>
      <c r="Y1630" s="76">
        <v>0</v>
      </c>
      <c r="Z1630" s="76">
        <v>0</v>
      </c>
      <c r="AA1630" s="76">
        <v>0</v>
      </c>
      <c r="AB1630" s="76">
        <v>0</v>
      </c>
      <c r="AC1630" s="76">
        <v>0</v>
      </c>
      <c r="AD1630" s="76">
        <v>0</v>
      </c>
      <c r="AE1630" s="76">
        <v>0</v>
      </c>
      <c r="AF1630" s="76"/>
      <c r="AG1630" s="76"/>
      <c r="AH1630" s="76"/>
      <c r="AI1630" s="76">
        <v>1</v>
      </c>
      <c r="AJ1630" s="76">
        <v>1</v>
      </c>
      <c r="AK1630" s="73"/>
      <c r="AL1630" s="57"/>
      <c r="AM1630" s="45"/>
      <c r="AN1630" s="45"/>
      <c r="AO1630" s="45"/>
    </row>
    <row r="1631" spans="1:41" hidden="1" outlineLevel="3" x14ac:dyDescent="0.25">
      <c r="A1631" s="45"/>
      <c r="B1631" s="54"/>
      <c r="C1631" s="47">
        <f>INT($C$29)+2</f>
        <v>3</v>
      </c>
      <c r="D1631" s="73"/>
      <c r="E1631" s="70"/>
      <c r="F1631" s="70" t="s">
        <v>2457</v>
      </c>
      <c r="G1631" s="73"/>
      <c r="H1631" s="76" t="s">
        <v>2042</v>
      </c>
      <c r="I1631" s="76"/>
      <c r="J1631" s="76"/>
      <c r="K1631" s="76"/>
      <c r="L1631" s="76"/>
      <c r="M1631" s="76"/>
      <c r="N1631" s="76"/>
      <c r="O1631" s="76"/>
      <c r="P1631" s="76"/>
      <c r="Q1631" s="76"/>
      <c r="R1631" s="76"/>
      <c r="S1631" s="76"/>
      <c r="T1631" s="76"/>
      <c r="U1631" s="76">
        <v>0</v>
      </c>
      <c r="V1631" s="76">
        <v>0</v>
      </c>
      <c r="W1631" s="76">
        <v>0</v>
      </c>
      <c r="X1631" s="76">
        <v>0</v>
      </c>
      <c r="Y1631" s="76">
        <v>0</v>
      </c>
      <c r="Z1631" s="76">
        <v>0</v>
      </c>
      <c r="AA1631" s="76">
        <v>0</v>
      </c>
      <c r="AB1631" s="76">
        <v>0</v>
      </c>
      <c r="AC1631" s="76">
        <v>0</v>
      </c>
      <c r="AD1631" s="76">
        <v>0</v>
      </c>
      <c r="AE1631" s="76">
        <v>0</v>
      </c>
      <c r="AF1631" s="76"/>
      <c r="AG1631" s="76"/>
      <c r="AH1631" s="76"/>
      <c r="AI1631" s="76">
        <v>1</v>
      </c>
      <c r="AJ1631" s="76">
        <v>1</v>
      </c>
      <c r="AK1631" s="73"/>
      <c r="AL1631" s="57"/>
      <c r="AM1631" s="45"/>
      <c r="AN1631" s="45"/>
      <c r="AO1631" s="45"/>
    </row>
    <row r="1632" spans="1:41" hidden="1" outlineLevel="3" x14ac:dyDescent="0.25">
      <c r="A1632" s="45"/>
      <c r="B1632" s="54"/>
      <c r="C1632" s="47">
        <f t="shared" ref="C1632:C1639" si="539">INT($C$29)+3</f>
        <v>4</v>
      </c>
      <c r="D1632" s="73"/>
      <c r="E1632" s="70"/>
      <c r="F1632" s="70" t="s">
        <v>2455</v>
      </c>
      <c r="G1632" s="73"/>
      <c r="H1632" s="373" t="s">
        <v>2453</v>
      </c>
      <c r="I1632" s="76"/>
      <c r="J1632" s="76"/>
      <c r="K1632" s="76"/>
      <c r="L1632" s="76"/>
      <c r="M1632" s="76"/>
      <c r="N1632" s="76"/>
      <c r="O1632" s="76"/>
      <c r="P1632" s="76"/>
      <c r="Q1632" s="76"/>
      <c r="R1632" s="76"/>
      <c r="S1632" s="76"/>
      <c r="T1632" s="76"/>
      <c r="U1632" s="76">
        <v>0</v>
      </c>
      <c r="V1632" s="76">
        <v>0</v>
      </c>
      <c r="W1632" s="76">
        <v>0</v>
      </c>
      <c r="X1632" s="76">
        <v>0</v>
      </c>
      <c r="Y1632" s="76">
        <v>0</v>
      </c>
      <c r="Z1632" s="76">
        <v>0</v>
      </c>
      <c r="AA1632" s="76">
        <v>0</v>
      </c>
      <c r="AB1632" s="76">
        <v>0</v>
      </c>
      <c r="AC1632" s="76">
        <v>0</v>
      </c>
      <c r="AD1632" s="76">
        <v>0</v>
      </c>
      <c r="AE1632" s="76">
        <v>0</v>
      </c>
      <c r="AF1632" s="76"/>
      <c r="AG1632" s="76"/>
      <c r="AH1632" s="76"/>
      <c r="AI1632" s="76">
        <v>1</v>
      </c>
      <c r="AJ1632" s="76">
        <v>1</v>
      </c>
      <c r="AK1632" s="73"/>
      <c r="AL1632" s="57"/>
      <c r="AM1632" s="45"/>
      <c r="AN1632" s="45"/>
      <c r="AO1632" s="45"/>
    </row>
    <row r="1633" spans="1:41" hidden="1" outlineLevel="3" x14ac:dyDescent="0.25">
      <c r="A1633" s="45"/>
      <c r="B1633" s="54"/>
      <c r="C1633" s="47">
        <f t="shared" si="539"/>
        <v>4</v>
      </c>
      <c r="D1633" s="73"/>
      <c r="E1633" s="70"/>
      <c r="F1633" s="70" t="s">
        <v>2456</v>
      </c>
      <c r="G1633" s="73"/>
      <c r="H1633" s="373" t="s">
        <v>2454</v>
      </c>
      <c r="I1633" s="76"/>
      <c r="J1633" s="76"/>
      <c r="K1633" s="76"/>
      <c r="L1633" s="76"/>
      <c r="M1633" s="76"/>
      <c r="N1633" s="76"/>
      <c r="O1633" s="76"/>
      <c r="P1633" s="76"/>
      <c r="Q1633" s="76"/>
      <c r="R1633" s="76"/>
      <c r="S1633" s="76"/>
      <c r="T1633" s="76"/>
      <c r="U1633" s="76">
        <v>0</v>
      </c>
      <c r="V1633" s="76">
        <v>0</v>
      </c>
      <c r="W1633" s="76">
        <v>0</v>
      </c>
      <c r="X1633" s="76">
        <v>0</v>
      </c>
      <c r="Y1633" s="76">
        <v>0</v>
      </c>
      <c r="Z1633" s="76">
        <v>0</v>
      </c>
      <c r="AA1633" s="76">
        <v>0</v>
      </c>
      <c r="AB1633" s="76">
        <v>0</v>
      </c>
      <c r="AC1633" s="76">
        <v>0</v>
      </c>
      <c r="AD1633" s="76">
        <v>0</v>
      </c>
      <c r="AE1633" s="76">
        <v>0</v>
      </c>
      <c r="AF1633" s="76"/>
      <c r="AG1633" s="76"/>
      <c r="AH1633" s="76"/>
      <c r="AI1633" s="76">
        <v>1</v>
      </c>
      <c r="AJ1633" s="76">
        <v>1</v>
      </c>
      <c r="AK1633" s="73"/>
      <c r="AL1633" s="57"/>
      <c r="AM1633" s="45"/>
      <c r="AN1633" s="45"/>
      <c r="AO1633" s="45"/>
    </row>
    <row r="1634" spans="1:41" hidden="1" outlineLevel="3" x14ac:dyDescent="0.25">
      <c r="A1634" s="45"/>
      <c r="B1634" s="54"/>
      <c r="C1634" s="47">
        <f t="shared" si="539"/>
        <v>4</v>
      </c>
      <c r="D1634" s="73"/>
      <c r="E1634" s="70"/>
      <c r="F1634" s="70" t="str">
        <f>SUBSTITUTE(F1630,",4)",",8)")</f>
        <v>C(U2,20,8)</v>
      </c>
      <c r="G1634" s="73"/>
      <c r="H1634" s="76" t="s">
        <v>2710</v>
      </c>
      <c r="I1634" s="96"/>
      <c r="J1634" s="76"/>
      <c r="K1634" s="76"/>
      <c r="L1634" s="76"/>
      <c r="M1634" s="76"/>
      <c r="N1634" s="76"/>
      <c r="O1634" s="76"/>
      <c r="P1634" s="76"/>
      <c r="Q1634" s="76"/>
      <c r="R1634" s="76"/>
      <c r="S1634" s="76"/>
      <c r="T1634" s="76"/>
      <c r="U1634" s="76"/>
      <c r="V1634" s="76"/>
      <c r="W1634" s="76"/>
      <c r="X1634" s="76"/>
      <c r="Y1634" s="76"/>
      <c r="Z1634" s="76"/>
      <c r="AA1634" s="76"/>
      <c r="AB1634" s="76"/>
      <c r="AC1634" s="76"/>
      <c r="AD1634" s="76"/>
      <c r="AE1634" s="76"/>
      <c r="AF1634" s="76"/>
      <c r="AG1634" s="76"/>
      <c r="AH1634" s="76"/>
      <c r="AI1634" s="76">
        <v>1</v>
      </c>
      <c r="AJ1634" s="76">
        <v>1</v>
      </c>
      <c r="AK1634" s="73"/>
      <c r="AL1634" s="57"/>
      <c r="AM1634" s="45"/>
      <c r="AN1634" s="45"/>
      <c r="AO1634" s="45"/>
    </row>
    <row r="1635" spans="1:41" hidden="1" outlineLevel="3" x14ac:dyDescent="0.25">
      <c r="A1635" s="45"/>
      <c r="B1635" s="54"/>
      <c r="C1635" s="47">
        <f t="shared" si="539"/>
        <v>4</v>
      </c>
      <c r="D1635" s="73"/>
      <c r="E1635" s="70"/>
      <c r="F1635" s="70" t="str">
        <f>SUBSTITUTE(F1631,",5)",",9)")</f>
        <v>C(U2,20,9)</v>
      </c>
      <c r="G1635" s="73"/>
      <c r="H1635" s="76" t="s">
        <v>2711</v>
      </c>
      <c r="I1635" s="96"/>
      <c r="J1635" s="76"/>
      <c r="K1635" s="76"/>
      <c r="L1635" s="76"/>
      <c r="M1635" s="76"/>
      <c r="N1635" s="76"/>
      <c r="O1635" s="76"/>
      <c r="P1635" s="76"/>
      <c r="Q1635" s="76"/>
      <c r="R1635" s="76"/>
      <c r="S1635" s="76"/>
      <c r="T1635" s="76"/>
      <c r="U1635" s="76"/>
      <c r="V1635" s="76"/>
      <c r="W1635" s="76"/>
      <c r="X1635" s="76"/>
      <c r="Y1635" s="76"/>
      <c r="Z1635" s="76"/>
      <c r="AA1635" s="76"/>
      <c r="AB1635" s="76"/>
      <c r="AC1635" s="76"/>
      <c r="AD1635" s="76"/>
      <c r="AE1635" s="76"/>
      <c r="AF1635" s="76"/>
      <c r="AG1635" s="76"/>
      <c r="AH1635" s="76"/>
      <c r="AI1635" s="76">
        <v>1</v>
      </c>
      <c r="AJ1635" s="76">
        <v>1</v>
      </c>
      <c r="AK1635" s="73"/>
      <c r="AL1635" s="57"/>
      <c r="AM1635" s="45"/>
      <c r="AN1635" s="45"/>
      <c r="AO1635" s="45"/>
    </row>
    <row r="1636" spans="1:41" hidden="1" outlineLevel="3" x14ac:dyDescent="0.25">
      <c r="A1636" s="45"/>
      <c r="B1636" s="54"/>
      <c r="C1636" s="47">
        <f t="shared" si="539"/>
        <v>4</v>
      </c>
      <c r="D1636" s="73"/>
      <c r="E1636" s="70"/>
      <c r="F1636" s="70" t="str">
        <f>SUBSTITUTE(F1632,",6)",",10)")</f>
        <v>C(U2,20,10)</v>
      </c>
      <c r="G1636" s="73"/>
      <c r="H1636" s="76" t="s">
        <v>2712</v>
      </c>
      <c r="I1636" s="96"/>
      <c r="J1636" s="76"/>
      <c r="K1636" s="76"/>
      <c r="L1636" s="76"/>
      <c r="M1636" s="76"/>
      <c r="N1636" s="76"/>
      <c r="O1636" s="76"/>
      <c r="P1636" s="76"/>
      <c r="Q1636" s="76"/>
      <c r="R1636" s="76"/>
      <c r="S1636" s="76"/>
      <c r="T1636" s="76"/>
      <c r="U1636" s="76"/>
      <c r="V1636" s="76"/>
      <c r="W1636" s="76"/>
      <c r="X1636" s="76"/>
      <c r="Y1636" s="76"/>
      <c r="Z1636" s="76"/>
      <c r="AA1636" s="76"/>
      <c r="AB1636" s="76"/>
      <c r="AC1636" s="76"/>
      <c r="AD1636" s="76"/>
      <c r="AE1636" s="76"/>
      <c r="AF1636" s="76"/>
      <c r="AG1636" s="76"/>
      <c r="AH1636" s="76"/>
      <c r="AI1636" s="76">
        <v>1</v>
      </c>
      <c r="AJ1636" s="76">
        <v>1</v>
      </c>
      <c r="AK1636" s="73"/>
      <c r="AL1636" s="57"/>
      <c r="AM1636" s="45"/>
      <c r="AN1636" s="45"/>
      <c r="AO1636" s="45"/>
    </row>
    <row r="1637" spans="1:41" hidden="1" outlineLevel="3" x14ac:dyDescent="0.25">
      <c r="A1637" s="45"/>
      <c r="B1637" s="54"/>
      <c r="C1637" s="47">
        <f t="shared" si="539"/>
        <v>4</v>
      </c>
      <c r="D1637" s="73"/>
      <c r="E1637" s="70"/>
      <c r="F1637" s="70" t="str">
        <f>SUBSTITUTE(F1633,",7)",",11)")</f>
        <v>C(U2,20,11)</v>
      </c>
      <c r="G1637" s="73"/>
      <c r="H1637" s="76" t="s">
        <v>2713</v>
      </c>
      <c r="I1637" s="96"/>
      <c r="J1637" s="76"/>
      <c r="K1637" s="76"/>
      <c r="L1637" s="76"/>
      <c r="M1637" s="76"/>
      <c r="N1637" s="76"/>
      <c r="O1637" s="76"/>
      <c r="P1637" s="76"/>
      <c r="Q1637" s="76"/>
      <c r="R1637" s="76"/>
      <c r="S1637" s="76"/>
      <c r="T1637" s="76"/>
      <c r="U1637" s="76"/>
      <c r="V1637" s="76"/>
      <c r="W1637" s="76"/>
      <c r="X1637" s="76"/>
      <c r="Y1637" s="76"/>
      <c r="Z1637" s="76"/>
      <c r="AA1637" s="76"/>
      <c r="AB1637" s="76"/>
      <c r="AC1637" s="76"/>
      <c r="AD1637" s="76"/>
      <c r="AE1637" s="76"/>
      <c r="AF1637" s="76"/>
      <c r="AG1637" s="76"/>
      <c r="AH1637" s="76"/>
      <c r="AI1637" s="76">
        <v>1</v>
      </c>
      <c r="AJ1637" s="76">
        <v>1</v>
      </c>
      <c r="AK1637" s="73"/>
      <c r="AL1637" s="57"/>
      <c r="AM1637" s="45"/>
      <c r="AN1637" s="45"/>
      <c r="AO1637" s="45"/>
    </row>
    <row r="1638" spans="1:41" hidden="1" outlineLevel="3" x14ac:dyDescent="0.25">
      <c r="A1638" s="45"/>
      <c r="B1638" s="54"/>
      <c r="C1638" s="47">
        <f t="shared" si="539"/>
        <v>4</v>
      </c>
      <c r="D1638" s="73"/>
      <c r="E1638" s="70"/>
      <c r="F1638" s="70" t="str">
        <f>SUBSTITUTE(F1632,",6)",",12)")</f>
        <v>C(U2,20,12)</v>
      </c>
      <c r="G1638" s="73"/>
      <c r="H1638" s="76"/>
      <c r="I1638" s="96"/>
      <c r="J1638" s="76"/>
      <c r="K1638" s="76"/>
      <c r="L1638" s="76"/>
      <c r="M1638" s="76"/>
      <c r="N1638" s="76"/>
      <c r="O1638" s="76"/>
      <c r="P1638" s="76"/>
      <c r="Q1638" s="76"/>
      <c r="R1638" s="76"/>
      <c r="S1638" s="76"/>
      <c r="T1638" s="76"/>
      <c r="U1638" s="76"/>
      <c r="V1638" s="76"/>
      <c r="W1638" s="76"/>
      <c r="X1638" s="76"/>
      <c r="Y1638" s="76"/>
      <c r="Z1638" s="76"/>
      <c r="AA1638" s="76"/>
      <c r="AB1638" s="76"/>
      <c r="AC1638" s="76"/>
      <c r="AD1638" s="76"/>
      <c r="AE1638" s="76"/>
      <c r="AF1638" s="76"/>
      <c r="AG1638" s="76"/>
      <c r="AH1638" s="76"/>
      <c r="AI1638" s="76">
        <v>1</v>
      </c>
      <c r="AJ1638" s="76">
        <v>1</v>
      </c>
      <c r="AK1638" s="73"/>
      <c r="AL1638" s="57"/>
      <c r="AM1638" s="45"/>
      <c r="AN1638" s="45"/>
      <c r="AO1638" s="45"/>
    </row>
    <row r="1639" spans="1:41" hidden="1" outlineLevel="3" x14ac:dyDescent="0.25">
      <c r="A1639" s="45"/>
      <c r="B1639" s="54"/>
      <c r="C1639" s="47">
        <f t="shared" si="539"/>
        <v>4</v>
      </c>
      <c r="D1639" s="73"/>
      <c r="E1639" s="70"/>
      <c r="F1639" s="70" t="str">
        <f>SUBSTITUTE(F1633,",7)",",13)")</f>
        <v>C(U2,20,13)</v>
      </c>
      <c r="G1639" s="73"/>
      <c r="H1639" s="76"/>
      <c r="I1639" s="96"/>
      <c r="J1639" s="76"/>
      <c r="K1639" s="76"/>
      <c r="L1639" s="76"/>
      <c r="M1639" s="76"/>
      <c r="N1639" s="76"/>
      <c r="O1639" s="76"/>
      <c r="P1639" s="76"/>
      <c r="Q1639" s="76"/>
      <c r="R1639" s="76"/>
      <c r="S1639" s="76"/>
      <c r="T1639" s="76"/>
      <c r="U1639" s="76"/>
      <c r="V1639" s="76"/>
      <c r="W1639" s="76"/>
      <c r="X1639" s="76"/>
      <c r="Y1639" s="76"/>
      <c r="Z1639" s="76"/>
      <c r="AA1639" s="76"/>
      <c r="AB1639" s="76"/>
      <c r="AC1639" s="76"/>
      <c r="AD1639" s="76"/>
      <c r="AE1639" s="76"/>
      <c r="AF1639" s="76"/>
      <c r="AG1639" s="76"/>
      <c r="AH1639" s="76"/>
      <c r="AI1639" s="76">
        <v>1</v>
      </c>
      <c r="AJ1639" s="76">
        <v>1</v>
      </c>
      <c r="AK1639" s="73"/>
      <c r="AL1639" s="57"/>
      <c r="AM1639" s="45"/>
      <c r="AN1639" s="45"/>
      <c r="AO1639" s="45"/>
    </row>
    <row r="1640" spans="1:41" hidden="1" outlineLevel="2" collapsed="1" x14ac:dyDescent="0.25">
      <c r="A1640" s="45"/>
      <c r="B1640" s="54"/>
      <c r="C1640" s="47">
        <f>INT($C$29)+2</f>
        <v>3</v>
      </c>
      <c r="D1640" s="73"/>
      <c r="E1640" s="70"/>
      <c r="F1640" s="70" t="s">
        <v>2043</v>
      </c>
      <c r="G1640" s="73"/>
      <c r="H1640" s="76" t="s">
        <v>2044</v>
      </c>
      <c r="I1640" s="76"/>
      <c r="J1640" s="76"/>
      <c r="K1640" s="76"/>
      <c r="L1640" s="76"/>
      <c r="M1640" s="76"/>
      <c r="N1640" s="76"/>
      <c r="O1640" s="76"/>
      <c r="P1640" s="76"/>
      <c r="Q1640" s="76"/>
      <c r="R1640" s="76"/>
      <c r="S1640" s="76"/>
      <c r="T1640" s="76"/>
      <c r="U1640" s="97">
        <v>-4.07</v>
      </c>
      <c r="V1640" s="97">
        <v>-4.07</v>
      </c>
      <c r="W1640" s="97">
        <v>-4.07</v>
      </c>
      <c r="X1640" s="97">
        <v>-4.07</v>
      </c>
      <c r="Y1640" s="97">
        <v>-4.07</v>
      </c>
      <c r="Z1640" s="97">
        <v>-4.07</v>
      </c>
      <c r="AA1640" s="97">
        <v>-4.07</v>
      </c>
      <c r="AB1640" s="255">
        <f>AA1640</f>
        <v>-4.07</v>
      </c>
      <c r="AC1640" s="255">
        <f>AB1640</f>
        <v>-4.07</v>
      </c>
      <c r="AD1640" s="255">
        <f>AC1640</f>
        <v>-4.07</v>
      </c>
      <c r="AE1640" s="255">
        <f>AD1640</f>
        <v>-4.07</v>
      </c>
      <c r="AF1640" s="76"/>
      <c r="AG1640" s="76"/>
      <c r="AH1640" s="76"/>
      <c r="AI1640" s="97">
        <v>1</v>
      </c>
      <c r="AJ1640" s="97">
        <v>1</v>
      </c>
      <c r="AK1640" s="73"/>
      <c r="AL1640" s="57"/>
      <c r="AM1640" s="45"/>
      <c r="AN1640" s="45"/>
      <c r="AO1640" s="45"/>
    </row>
    <row r="1641" spans="1:41" hidden="1" outlineLevel="3" x14ac:dyDescent="0.25">
      <c r="A1641" s="45"/>
      <c r="B1641" s="54"/>
      <c r="C1641" s="47">
        <f>INT($C$29)+3</f>
        <v>4</v>
      </c>
      <c r="D1641" s="73"/>
      <c r="E1641" s="70"/>
      <c r="F1641" s="70" t="s">
        <v>2045</v>
      </c>
      <c r="G1641" s="73"/>
      <c r="H1641" s="76" t="s">
        <v>599</v>
      </c>
      <c r="I1641" s="76"/>
      <c r="J1641" s="76"/>
      <c r="K1641" s="76"/>
      <c r="L1641" s="76"/>
      <c r="M1641" s="76"/>
      <c r="N1641" s="76"/>
      <c r="O1641" s="76"/>
      <c r="P1641" s="76"/>
      <c r="Q1641" s="76"/>
      <c r="R1641" s="76"/>
      <c r="S1641" s="76"/>
      <c r="T1641" s="76"/>
      <c r="U1641" s="76"/>
      <c r="V1641" s="76"/>
      <c r="W1641" s="76"/>
      <c r="X1641" s="76"/>
      <c r="Y1641" s="76"/>
      <c r="Z1641" s="76"/>
      <c r="AA1641" s="76"/>
      <c r="AB1641" s="76"/>
      <c r="AC1641" s="76"/>
      <c r="AD1641" s="76"/>
      <c r="AE1641" s="76"/>
      <c r="AF1641" s="76"/>
      <c r="AG1641" s="76"/>
      <c r="AH1641" s="76"/>
      <c r="AI1641" s="76">
        <v>1</v>
      </c>
      <c r="AJ1641" s="76">
        <v>1</v>
      </c>
      <c r="AK1641" s="73"/>
      <c r="AL1641" s="57"/>
      <c r="AM1641" s="45"/>
      <c r="AN1641" s="45"/>
      <c r="AO1641" s="45"/>
    </row>
    <row r="1642" spans="1:41" hidden="1" outlineLevel="3" x14ac:dyDescent="0.25">
      <c r="A1642" s="45"/>
      <c r="B1642" s="54"/>
      <c r="C1642" s="47">
        <f>INT($C$29)+3</f>
        <v>4</v>
      </c>
      <c r="D1642" s="73"/>
      <c r="E1642" s="70"/>
      <c r="F1642" s="70" t="s">
        <v>2046</v>
      </c>
      <c r="G1642" s="73"/>
      <c r="H1642" s="76"/>
      <c r="I1642" s="76"/>
      <c r="J1642" s="76"/>
      <c r="K1642" s="76"/>
      <c r="L1642" s="76"/>
      <c r="M1642" s="76"/>
      <c r="N1642" s="76"/>
      <c r="O1642" s="76"/>
      <c r="P1642" s="76"/>
      <c r="Q1642" s="76"/>
      <c r="R1642" s="76"/>
      <c r="S1642" s="76"/>
      <c r="T1642" s="76"/>
      <c r="U1642" s="76"/>
      <c r="V1642" s="76"/>
      <c r="W1642" s="76"/>
      <c r="X1642" s="76"/>
      <c r="Y1642" s="76"/>
      <c r="Z1642" s="76"/>
      <c r="AA1642" s="76"/>
      <c r="AB1642" s="76"/>
      <c r="AC1642" s="76"/>
      <c r="AD1642" s="76"/>
      <c r="AE1642" s="76"/>
      <c r="AF1642" s="76"/>
      <c r="AG1642" s="76"/>
      <c r="AH1642" s="76"/>
      <c r="AI1642" s="76">
        <v>1</v>
      </c>
      <c r="AJ1642" s="76">
        <v>1</v>
      </c>
      <c r="AK1642" s="73"/>
      <c r="AL1642" s="57"/>
      <c r="AM1642" s="45"/>
      <c r="AN1642" s="45"/>
      <c r="AO1642" s="45"/>
    </row>
    <row r="1643" spans="1:41" hidden="1" outlineLevel="3" x14ac:dyDescent="0.25">
      <c r="A1643" s="45"/>
      <c r="B1643" s="54"/>
      <c r="C1643" s="47">
        <f>INT($C$29)+3</f>
        <v>4</v>
      </c>
      <c r="D1643" s="73"/>
      <c r="E1643" s="70"/>
      <c r="F1643" s="70" t="s">
        <v>2047</v>
      </c>
      <c r="G1643" s="73"/>
      <c r="H1643" s="76"/>
      <c r="I1643" s="76"/>
      <c r="J1643" s="76"/>
      <c r="K1643" s="76"/>
      <c r="L1643" s="76"/>
      <c r="M1643" s="76"/>
      <c r="N1643" s="76"/>
      <c r="O1643" s="76"/>
      <c r="P1643" s="76"/>
      <c r="Q1643" s="76"/>
      <c r="R1643" s="76"/>
      <c r="S1643" s="76"/>
      <c r="T1643" s="76"/>
      <c r="U1643" s="76"/>
      <c r="V1643" s="76"/>
      <c r="W1643" s="76"/>
      <c r="X1643" s="76"/>
      <c r="Y1643" s="76"/>
      <c r="Z1643" s="76"/>
      <c r="AA1643" s="76"/>
      <c r="AB1643" s="76"/>
      <c r="AC1643" s="76"/>
      <c r="AD1643" s="76"/>
      <c r="AE1643" s="76"/>
      <c r="AF1643" s="76"/>
      <c r="AG1643" s="76"/>
      <c r="AH1643" s="76"/>
      <c r="AI1643" s="76">
        <v>1</v>
      </c>
      <c r="AJ1643" s="76">
        <v>1</v>
      </c>
      <c r="AK1643" s="73"/>
      <c r="AL1643" s="57"/>
      <c r="AM1643" s="45"/>
      <c r="AN1643" s="45"/>
      <c r="AO1643" s="45"/>
    </row>
    <row r="1644" spans="1:41" hidden="1" outlineLevel="3" x14ac:dyDescent="0.25">
      <c r="A1644" s="45"/>
      <c r="B1644" s="54"/>
      <c r="C1644" s="47">
        <f>INT($C$29)+3</f>
        <v>4</v>
      </c>
      <c r="D1644" s="73"/>
      <c r="E1644" s="70"/>
      <c r="F1644" s="70" t="s">
        <v>2048</v>
      </c>
      <c r="G1644" s="73"/>
      <c r="H1644" s="76"/>
      <c r="I1644" s="76"/>
      <c r="J1644" s="76"/>
      <c r="K1644" s="76"/>
      <c r="L1644" s="76"/>
      <c r="M1644" s="76"/>
      <c r="N1644" s="76"/>
      <c r="O1644" s="76"/>
      <c r="P1644" s="76"/>
      <c r="Q1644" s="76"/>
      <c r="R1644" s="76"/>
      <c r="S1644" s="76"/>
      <c r="T1644" s="76"/>
      <c r="U1644" s="76"/>
      <c r="V1644" s="76"/>
      <c r="W1644" s="76"/>
      <c r="X1644" s="76"/>
      <c r="Y1644" s="76"/>
      <c r="Z1644" s="76"/>
      <c r="AA1644" s="76"/>
      <c r="AB1644" s="76"/>
      <c r="AC1644" s="76"/>
      <c r="AD1644" s="76"/>
      <c r="AE1644" s="76"/>
      <c r="AF1644" s="76"/>
      <c r="AG1644" s="76"/>
      <c r="AH1644" s="76"/>
      <c r="AI1644" s="76">
        <v>1</v>
      </c>
      <c r="AJ1644" s="76">
        <v>1</v>
      </c>
      <c r="AK1644" s="73"/>
      <c r="AL1644" s="57"/>
      <c r="AM1644" s="45"/>
      <c r="AN1644" s="45"/>
      <c r="AO1644" s="45"/>
    </row>
    <row r="1645" spans="1:41" hidden="1" outlineLevel="3" x14ac:dyDescent="0.25">
      <c r="A1645" s="45"/>
      <c r="B1645" s="54"/>
      <c r="C1645" s="47">
        <f>INT($C$29)+3</f>
        <v>4</v>
      </c>
      <c r="D1645" s="73"/>
      <c r="E1645" s="70"/>
      <c r="F1645" s="70" t="s">
        <v>2049</v>
      </c>
      <c r="G1645" s="73"/>
      <c r="H1645" s="76"/>
      <c r="I1645" s="76"/>
      <c r="J1645" s="76"/>
      <c r="K1645" s="76"/>
      <c r="L1645" s="76"/>
      <c r="M1645" s="76"/>
      <c r="N1645" s="76"/>
      <c r="O1645" s="76"/>
      <c r="P1645" s="76"/>
      <c r="Q1645" s="76"/>
      <c r="R1645" s="76"/>
      <c r="S1645" s="76"/>
      <c r="T1645" s="76"/>
      <c r="U1645" s="76"/>
      <c r="V1645" s="76"/>
      <c r="W1645" s="76"/>
      <c r="X1645" s="76"/>
      <c r="Y1645" s="76"/>
      <c r="Z1645" s="76"/>
      <c r="AA1645" s="76"/>
      <c r="AB1645" s="76"/>
      <c r="AC1645" s="76"/>
      <c r="AD1645" s="76"/>
      <c r="AE1645" s="76"/>
      <c r="AF1645" s="76"/>
      <c r="AG1645" s="76"/>
      <c r="AH1645" s="76"/>
      <c r="AI1645" s="76">
        <v>1</v>
      </c>
      <c r="AJ1645" s="76">
        <v>1</v>
      </c>
      <c r="AK1645" s="73"/>
      <c r="AL1645" s="57"/>
      <c r="AM1645" s="45"/>
      <c r="AN1645" s="45"/>
      <c r="AO1645" s="45"/>
    </row>
    <row r="1646" spans="1:41" hidden="1" outlineLevel="3" x14ac:dyDescent="0.25">
      <c r="A1646" s="45"/>
      <c r="B1646" s="54"/>
      <c r="C1646" s="47"/>
      <c r="D1646" s="73"/>
      <c r="E1646" s="70"/>
      <c r="F1646" s="70" t="s">
        <v>2439</v>
      </c>
      <c r="G1646" s="73"/>
      <c r="H1646" s="76"/>
      <c r="I1646" s="76"/>
      <c r="J1646" s="76"/>
      <c r="K1646" s="76"/>
      <c r="L1646" s="76"/>
      <c r="M1646" s="76"/>
      <c r="N1646" s="76"/>
      <c r="O1646" s="76"/>
      <c r="P1646" s="76"/>
      <c r="Q1646" s="76"/>
      <c r="R1646" s="76"/>
      <c r="S1646" s="76"/>
      <c r="T1646" s="76"/>
      <c r="U1646" s="76"/>
      <c r="V1646" s="76"/>
      <c r="W1646" s="76"/>
      <c r="X1646" s="76"/>
      <c r="Y1646" s="76"/>
      <c r="Z1646" s="76"/>
      <c r="AA1646" s="76"/>
      <c r="AB1646" s="76"/>
      <c r="AC1646" s="76"/>
      <c r="AD1646" s="76"/>
      <c r="AE1646" s="76"/>
      <c r="AF1646" s="76"/>
      <c r="AG1646" s="76"/>
      <c r="AH1646" s="76"/>
      <c r="AI1646" s="76">
        <v>1</v>
      </c>
      <c r="AJ1646" s="76">
        <v>1</v>
      </c>
      <c r="AK1646" s="73"/>
      <c r="AL1646" s="57"/>
      <c r="AM1646" s="45"/>
      <c r="AN1646" s="45"/>
      <c r="AO1646" s="45"/>
    </row>
    <row r="1647" spans="1:41" hidden="1" outlineLevel="3" x14ac:dyDescent="0.25">
      <c r="A1647" s="45"/>
      <c r="B1647" s="54"/>
      <c r="C1647" s="47"/>
      <c r="D1647" s="73"/>
      <c r="E1647" s="70"/>
      <c r="F1647" s="70" t="s">
        <v>2440</v>
      </c>
      <c r="G1647" s="73"/>
      <c r="H1647" s="76"/>
      <c r="I1647" s="76"/>
      <c r="J1647" s="76"/>
      <c r="K1647" s="76"/>
      <c r="L1647" s="76"/>
      <c r="M1647" s="76"/>
      <c r="N1647" s="76"/>
      <c r="O1647" s="76"/>
      <c r="P1647" s="76"/>
      <c r="Q1647" s="76"/>
      <c r="R1647" s="76"/>
      <c r="S1647" s="76"/>
      <c r="T1647" s="76"/>
      <c r="U1647" s="76"/>
      <c r="V1647" s="76"/>
      <c r="W1647" s="76"/>
      <c r="X1647" s="76"/>
      <c r="Y1647" s="76"/>
      <c r="Z1647" s="76"/>
      <c r="AA1647" s="76"/>
      <c r="AB1647" s="76"/>
      <c r="AC1647" s="76"/>
      <c r="AD1647" s="76"/>
      <c r="AE1647" s="76"/>
      <c r="AF1647" s="76"/>
      <c r="AG1647" s="76"/>
      <c r="AH1647" s="76"/>
      <c r="AI1647" s="76">
        <v>1</v>
      </c>
      <c r="AJ1647" s="76">
        <v>1</v>
      </c>
      <c r="AK1647" s="73"/>
      <c r="AL1647" s="57"/>
      <c r="AM1647" s="45"/>
      <c r="AN1647" s="45"/>
      <c r="AO1647" s="45"/>
    </row>
    <row r="1648" spans="1:41" hidden="1" outlineLevel="3" x14ac:dyDescent="0.25">
      <c r="A1648" s="45"/>
      <c r="B1648" s="54"/>
      <c r="C1648" s="47"/>
      <c r="D1648" s="73"/>
      <c r="E1648" s="70"/>
      <c r="F1648" s="70" t="s">
        <v>2441</v>
      </c>
      <c r="G1648" s="73"/>
      <c r="H1648" s="76"/>
      <c r="I1648" s="76"/>
      <c r="J1648" s="76"/>
      <c r="K1648" s="76"/>
      <c r="L1648" s="76"/>
      <c r="M1648" s="76"/>
      <c r="N1648" s="76"/>
      <c r="O1648" s="76"/>
      <c r="P1648" s="76"/>
      <c r="Q1648" s="76"/>
      <c r="R1648" s="76"/>
      <c r="S1648" s="76"/>
      <c r="T1648" s="76"/>
      <c r="U1648" s="76"/>
      <c r="V1648" s="76"/>
      <c r="W1648" s="76"/>
      <c r="X1648" s="76"/>
      <c r="Y1648" s="76"/>
      <c r="Z1648" s="76"/>
      <c r="AA1648" s="76"/>
      <c r="AB1648" s="76"/>
      <c r="AC1648" s="76"/>
      <c r="AD1648" s="76"/>
      <c r="AE1648" s="76"/>
      <c r="AF1648" s="76"/>
      <c r="AG1648" s="76"/>
      <c r="AH1648" s="76"/>
      <c r="AI1648" s="76">
        <v>1</v>
      </c>
      <c r="AJ1648" s="76">
        <v>1</v>
      </c>
      <c r="AK1648" s="73"/>
      <c r="AL1648" s="57"/>
      <c r="AM1648" s="45"/>
      <c r="AN1648" s="45"/>
      <c r="AO1648" s="45"/>
    </row>
    <row r="1649" spans="1:41" hidden="1" outlineLevel="3" x14ac:dyDescent="0.25">
      <c r="A1649" s="45"/>
      <c r="B1649" s="54"/>
      <c r="C1649" s="47">
        <f>INT($C$29)+3</f>
        <v>4</v>
      </c>
      <c r="D1649" s="73"/>
      <c r="E1649" s="70"/>
      <c r="F1649" s="70" t="str">
        <f>SUBSTITUTE(F1645,",4)",",8)")</f>
        <v>C(U2,21,8)</v>
      </c>
      <c r="G1649" s="73"/>
      <c r="H1649" s="76"/>
      <c r="I1649" s="96"/>
      <c r="J1649" s="76"/>
      <c r="K1649" s="76"/>
      <c r="L1649" s="76"/>
      <c r="M1649" s="76"/>
      <c r="N1649" s="76"/>
      <c r="O1649" s="76"/>
      <c r="P1649" s="76"/>
      <c r="Q1649" s="76"/>
      <c r="R1649" s="76"/>
      <c r="S1649" s="76"/>
      <c r="T1649" s="76"/>
      <c r="U1649" s="76"/>
      <c r="V1649" s="76"/>
      <c r="W1649" s="76"/>
      <c r="X1649" s="76"/>
      <c r="Y1649" s="76"/>
      <c r="Z1649" s="76"/>
      <c r="AA1649" s="76"/>
      <c r="AB1649" s="76"/>
      <c r="AC1649" s="76"/>
      <c r="AD1649" s="76"/>
      <c r="AE1649" s="76"/>
      <c r="AF1649" s="76"/>
      <c r="AG1649" s="76"/>
      <c r="AH1649" s="76"/>
      <c r="AI1649" s="76">
        <v>1</v>
      </c>
      <c r="AJ1649" s="76">
        <v>1</v>
      </c>
      <c r="AK1649" s="73"/>
      <c r="AL1649" s="57"/>
      <c r="AM1649" s="45"/>
      <c r="AN1649" s="45"/>
      <c r="AO1649" s="45"/>
    </row>
    <row r="1650" spans="1:41" hidden="1" outlineLevel="3" x14ac:dyDescent="0.25">
      <c r="A1650" s="45"/>
      <c r="B1650" s="54"/>
      <c r="C1650" s="47">
        <f>INT($C$29)+3</f>
        <v>4</v>
      </c>
      <c r="D1650" s="73"/>
      <c r="E1650" s="70"/>
      <c r="F1650" s="70" t="str">
        <f>SUBSTITUTE(F1646,",5)",",9)")</f>
        <v>C(U2,21,9)</v>
      </c>
      <c r="G1650" s="73"/>
      <c r="H1650" s="76"/>
      <c r="I1650" s="96"/>
      <c r="J1650" s="76"/>
      <c r="K1650" s="76"/>
      <c r="L1650" s="76"/>
      <c r="M1650" s="76"/>
      <c r="N1650" s="76"/>
      <c r="O1650" s="76"/>
      <c r="P1650" s="76"/>
      <c r="Q1650" s="76"/>
      <c r="R1650" s="76"/>
      <c r="S1650" s="76"/>
      <c r="T1650" s="76"/>
      <c r="U1650" s="76"/>
      <c r="V1650" s="76"/>
      <c r="W1650" s="76"/>
      <c r="X1650" s="76"/>
      <c r="Y1650" s="76"/>
      <c r="Z1650" s="76"/>
      <c r="AA1650" s="76"/>
      <c r="AB1650" s="76"/>
      <c r="AC1650" s="76"/>
      <c r="AD1650" s="76"/>
      <c r="AE1650" s="76"/>
      <c r="AF1650" s="76"/>
      <c r="AG1650" s="76"/>
      <c r="AH1650" s="76"/>
      <c r="AI1650" s="76">
        <v>1</v>
      </c>
      <c r="AJ1650" s="76">
        <v>1</v>
      </c>
      <c r="AK1650" s="73"/>
      <c r="AL1650" s="57"/>
      <c r="AM1650" s="45"/>
      <c r="AN1650" s="45"/>
      <c r="AO1650" s="45"/>
    </row>
    <row r="1651" spans="1:41" hidden="1" outlineLevel="3" x14ac:dyDescent="0.25">
      <c r="A1651" s="45"/>
      <c r="B1651" s="54"/>
      <c r="C1651" s="47">
        <f>INT($C$29)+3</f>
        <v>4</v>
      </c>
      <c r="D1651" s="73"/>
      <c r="E1651" s="70"/>
      <c r="F1651" s="70" t="str">
        <f>SUBSTITUTE(F1647,",6)",",10)")</f>
        <v>C(U2,21,10)</v>
      </c>
      <c r="G1651" s="73"/>
      <c r="H1651" s="76"/>
      <c r="I1651" s="96"/>
      <c r="J1651" s="76"/>
      <c r="K1651" s="76"/>
      <c r="L1651" s="76"/>
      <c r="M1651" s="76"/>
      <c r="N1651" s="76"/>
      <c r="O1651" s="76"/>
      <c r="P1651" s="76"/>
      <c r="Q1651" s="76"/>
      <c r="R1651" s="76"/>
      <c r="S1651" s="76"/>
      <c r="T1651" s="76"/>
      <c r="U1651" s="76"/>
      <c r="V1651" s="76"/>
      <c r="W1651" s="76"/>
      <c r="X1651" s="76"/>
      <c r="Y1651" s="76"/>
      <c r="Z1651" s="76"/>
      <c r="AA1651" s="76"/>
      <c r="AB1651" s="76"/>
      <c r="AC1651" s="76"/>
      <c r="AD1651" s="76"/>
      <c r="AE1651" s="76"/>
      <c r="AF1651" s="76"/>
      <c r="AG1651" s="76"/>
      <c r="AH1651" s="76"/>
      <c r="AI1651" s="76">
        <v>1</v>
      </c>
      <c r="AJ1651" s="76">
        <v>1</v>
      </c>
      <c r="AK1651" s="73"/>
      <c r="AL1651" s="57"/>
      <c r="AM1651" s="45"/>
      <c r="AN1651" s="45"/>
      <c r="AO1651" s="45"/>
    </row>
    <row r="1652" spans="1:41" hidden="1" outlineLevel="3" x14ac:dyDescent="0.25">
      <c r="A1652" s="45"/>
      <c r="B1652" s="54"/>
      <c r="C1652" s="47">
        <f>INT($C$29)+3</f>
        <v>4</v>
      </c>
      <c r="D1652" s="73"/>
      <c r="E1652" s="70"/>
      <c r="F1652" s="70" t="str">
        <f>SUBSTITUTE(F1648,",7)",",11)")</f>
        <v>C(U2,21,11)</v>
      </c>
      <c r="G1652" s="73"/>
      <c r="H1652" s="76"/>
      <c r="I1652" s="96"/>
      <c r="J1652" s="76"/>
      <c r="K1652" s="76"/>
      <c r="L1652" s="76"/>
      <c r="M1652" s="76"/>
      <c r="N1652" s="76"/>
      <c r="O1652" s="76"/>
      <c r="P1652" s="76"/>
      <c r="Q1652" s="76"/>
      <c r="R1652" s="76"/>
      <c r="S1652" s="76"/>
      <c r="T1652" s="76"/>
      <c r="U1652" s="76"/>
      <c r="V1652" s="76"/>
      <c r="W1652" s="76"/>
      <c r="X1652" s="76"/>
      <c r="Y1652" s="76"/>
      <c r="Z1652" s="76"/>
      <c r="AA1652" s="76"/>
      <c r="AB1652" s="76"/>
      <c r="AC1652" s="76"/>
      <c r="AD1652" s="76"/>
      <c r="AE1652" s="76"/>
      <c r="AF1652" s="76"/>
      <c r="AG1652" s="76"/>
      <c r="AH1652" s="76"/>
      <c r="AI1652" s="76">
        <v>1</v>
      </c>
      <c r="AJ1652" s="76">
        <v>1</v>
      </c>
      <c r="AK1652" s="73"/>
      <c r="AL1652" s="57"/>
      <c r="AM1652" s="45"/>
      <c r="AN1652" s="45"/>
      <c r="AO1652" s="45"/>
    </row>
    <row r="1653" spans="1:41" hidden="1" outlineLevel="3" x14ac:dyDescent="0.25">
      <c r="A1653" s="45"/>
      <c r="B1653" s="54"/>
      <c r="C1653" s="47">
        <f t="shared" ref="C1653:C1654" si="540">INT($C$29)+3</f>
        <v>4</v>
      </c>
      <c r="D1653" s="73"/>
      <c r="E1653" s="70"/>
      <c r="F1653" s="70" t="str">
        <f>SUBSTITUTE(F1647,",6)",",12)")</f>
        <v>C(U2,21,12)</v>
      </c>
      <c r="G1653" s="73"/>
      <c r="H1653" s="76"/>
      <c r="I1653" s="96"/>
      <c r="J1653" s="76"/>
      <c r="K1653" s="76"/>
      <c r="L1653" s="76"/>
      <c r="M1653" s="76"/>
      <c r="N1653" s="76"/>
      <c r="O1653" s="76"/>
      <c r="P1653" s="76"/>
      <c r="Q1653" s="76"/>
      <c r="R1653" s="76"/>
      <c r="S1653" s="76"/>
      <c r="T1653" s="76"/>
      <c r="U1653" s="76"/>
      <c r="V1653" s="76"/>
      <c r="W1653" s="76"/>
      <c r="X1653" s="76"/>
      <c r="Y1653" s="76"/>
      <c r="Z1653" s="76"/>
      <c r="AA1653" s="76"/>
      <c r="AB1653" s="76"/>
      <c r="AC1653" s="76"/>
      <c r="AD1653" s="76"/>
      <c r="AE1653" s="76"/>
      <c r="AF1653" s="76"/>
      <c r="AG1653" s="76"/>
      <c r="AH1653" s="76"/>
      <c r="AI1653" s="76">
        <v>1</v>
      </c>
      <c r="AJ1653" s="76">
        <v>1</v>
      </c>
      <c r="AK1653" s="73"/>
      <c r="AL1653" s="57"/>
      <c r="AM1653" s="45"/>
      <c r="AN1653" s="45"/>
      <c r="AO1653" s="45"/>
    </row>
    <row r="1654" spans="1:41" hidden="1" outlineLevel="3" x14ac:dyDescent="0.25">
      <c r="A1654" s="45"/>
      <c r="B1654" s="54"/>
      <c r="C1654" s="47">
        <f t="shared" si="540"/>
        <v>4</v>
      </c>
      <c r="D1654" s="73"/>
      <c r="E1654" s="70"/>
      <c r="F1654" s="70" t="str">
        <f>SUBSTITUTE(F1648,",7)",",13)")</f>
        <v>C(U2,21,13)</v>
      </c>
      <c r="G1654" s="73"/>
      <c r="H1654" s="76"/>
      <c r="I1654" s="96"/>
      <c r="J1654" s="76"/>
      <c r="K1654" s="76"/>
      <c r="L1654" s="76"/>
      <c r="M1654" s="76"/>
      <c r="N1654" s="76"/>
      <c r="O1654" s="76"/>
      <c r="P1654" s="76"/>
      <c r="Q1654" s="76"/>
      <c r="R1654" s="76"/>
      <c r="S1654" s="76"/>
      <c r="T1654" s="76"/>
      <c r="U1654" s="76"/>
      <c r="V1654" s="76"/>
      <c r="W1654" s="76"/>
      <c r="X1654" s="76"/>
      <c r="Y1654" s="76"/>
      <c r="Z1654" s="76"/>
      <c r="AA1654" s="76"/>
      <c r="AB1654" s="76"/>
      <c r="AC1654" s="76"/>
      <c r="AD1654" s="76"/>
      <c r="AE1654" s="76"/>
      <c r="AF1654" s="76"/>
      <c r="AG1654" s="76"/>
      <c r="AH1654" s="76"/>
      <c r="AI1654" s="76">
        <v>1</v>
      </c>
      <c r="AJ1654" s="76">
        <v>1</v>
      </c>
      <c r="AK1654" s="73"/>
      <c r="AL1654" s="57"/>
      <c r="AM1654" s="45"/>
      <c r="AN1654" s="45"/>
      <c r="AO1654" s="45"/>
    </row>
    <row r="1655" spans="1:41" hidden="1" outlineLevel="3" x14ac:dyDescent="0.25">
      <c r="A1655" s="45"/>
      <c r="B1655" s="54"/>
      <c r="C1655" s="47">
        <f>INT($C$29)+3</f>
        <v>4</v>
      </c>
      <c r="D1655" s="73"/>
      <c r="E1655" s="70"/>
      <c r="F1655" s="70" t="s">
        <v>2050</v>
      </c>
      <c r="G1655" s="73"/>
      <c r="H1655" s="76"/>
      <c r="I1655" s="76"/>
      <c r="J1655" s="76"/>
      <c r="K1655" s="76"/>
      <c r="L1655" s="76"/>
      <c r="M1655" s="76"/>
      <c r="N1655" s="76"/>
      <c r="O1655" s="76"/>
      <c r="P1655" s="76"/>
      <c r="Q1655" s="76"/>
      <c r="R1655" s="76"/>
      <c r="S1655" s="76"/>
      <c r="T1655" s="76"/>
      <c r="U1655" s="76"/>
      <c r="V1655" s="76"/>
      <c r="W1655" s="76"/>
      <c r="X1655" s="76"/>
      <c r="Y1655" s="76"/>
      <c r="Z1655" s="76"/>
      <c r="AA1655" s="76"/>
      <c r="AB1655" s="76"/>
      <c r="AC1655" s="76"/>
      <c r="AD1655" s="76"/>
      <c r="AE1655" s="76"/>
      <c r="AF1655" s="76"/>
      <c r="AG1655" s="76"/>
      <c r="AH1655" s="76"/>
      <c r="AI1655" s="76">
        <v>1</v>
      </c>
      <c r="AJ1655" s="76">
        <v>1</v>
      </c>
      <c r="AK1655" s="73"/>
      <c r="AL1655" s="57"/>
      <c r="AM1655" s="45"/>
      <c r="AN1655" s="45"/>
      <c r="AO1655" s="45"/>
    </row>
    <row r="1656" spans="1:41" hidden="1" outlineLevel="2" x14ac:dyDescent="0.25">
      <c r="A1656" s="45"/>
      <c r="B1656" s="54"/>
      <c r="C1656" s="47">
        <f>INT($C$29)+2</f>
        <v>3</v>
      </c>
      <c r="D1656" s="73"/>
      <c r="E1656" s="70"/>
      <c r="F1656" s="70" t="s">
        <v>2051</v>
      </c>
      <c r="G1656" s="73"/>
      <c r="H1656" s="76" t="s">
        <v>2728</v>
      </c>
      <c r="I1656" s="76"/>
      <c r="J1656" s="76"/>
      <c r="K1656" s="76"/>
      <c r="L1656" s="76"/>
      <c r="M1656" s="76"/>
      <c r="N1656" s="76"/>
      <c r="O1656" s="76"/>
      <c r="P1656" s="76"/>
      <c r="Q1656" s="76"/>
      <c r="R1656" s="76"/>
      <c r="S1656" s="76"/>
      <c r="T1656" s="76"/>
      <c r="U1656" s="97">
        <v>-8.4959000000000007</v>
      </c>
      <c r="V1656" s="255">
        <f t="shared" ref="V1656:AE1656" si="541">U1656</f>
        <v>-8.4959000000000007</v>
      </c>
      <c r="W1656" s="255">
        <f t="shared" si="541"/>
        <v>-8.4959000000000007</v>
      </c>
      <c r="X1656" s="255">
        <f t="shared" si="541"/>
        <v>-8.4959000000000007</v>
      </c>
      <c r="Y1656" s="255">
        <f t="shared" si="541"/>
        <v>-8.4959000000000007</v>
      </c>
      <c r="Z1656" s="255">
        <f t="shared" si="541"/>
        <v>-8.4959000000000007</v>
      </c>
      <c r="AA1656" s="255">
        <f t="shared" si="541"/>
        <v>-8.4959000000000007</v>
      </c>
      <c r="AB1656" s="255">
        <f t="shared" si="541"/>
        <v>-8.4959000000000007</v>
      </c>
      <c r="AC1656" s="255">
        <f t="shared" si="541"/>
        <v>-8.4959000000000007</v>
      </c>
      <c r="AD1656" s="255">
        <f t="shared" si="541"/>
        <v>-8.4959000000000007</v>
      </c>
      <c r="AE1656" s="255">
        <f t="shared" si="541"/>
        <v>-8.4959000000000007</v>
      </c>
      <c r="AF1656" s="76"/>
      <c r="AG1656" s="97" t="s">
        <v>2729</v>
      </c>
      <c r="AH1656" s="76"/>
      <c r="AI1656" s="97">
        <v>1</v>
      </c>
      <c r="AJ1656" s="97">
        <v>1</v>
      </c>
      <c r="AK1656" s="73"/>
      <c r="AL1656" s="57"/>
      <c r="AM1656" s="45"/>
      <c r="AN1656" s="45"/>
      <c r="AO1656" s="45"/>
    </row>
    <row r="1657" spans="1:41" hidden="1" outlineLevel="2" collapsed="1" x14ac:dyDescent="0.25">
      <c r="A1657" s="45"/>
      <c r="B1657" s="54"/>
      <c r="C1657" s="47">
        <f>INT($C$29)+2</f>
        <v>3</v>
      </c>
      <c r="D1657" s="73"/>
      <c r="E1657" s="70"/>
      <c r="F1657" s="70" t="s">
        <v>2052</v>
      </c>
      <c r="G1657" s="73"/>
      <c r="H1657" s="76" t="s">
        <v>2464</v>
      </c>
      <c r="I1657" s="76"/>
      <c r="J1657" s="76"/>
      <c r="K1657" s="76"/>
      <c r="L1657" s="76"/>
      <c r="M1657" s="76"/>
      <c r="N1657" s="76"/>
      <c r="O1657" s="76"/>
      <c r="P1657" s="76"/>
      <c r="Q1657" s="76"/>
      <c r="R1657" s="76"/>
      <c r="S1657" s="76"/>
      <c r="T1657" s="76"/>
      <c r="U1657" s="97">
        <v>1.38185</v>
      </c>
      <c r="V1657" s="255">
        <f t="shared" ref="V1657:AE1657" si="542">U1657</f>
        <v>1.38185</v>
      </c>
      <c r="W1657" s="255">
        <f t="shared" si="542"/>
        <v>1.38185</v>
      </c>
      <c r="X1657" s="255">
        <f t="shared" si="542"/>
        <v>1.38185</v>
      </c>
      <c r="Y1657" s="255">
        <f t="shared" si="542"/>
        <v>1.38185</v>
      </c>
      <c r="Z1657" s="255">
        <f t="shared" si="542"/>
        <v>1.38185</v>
      </c>
      <c r="AA1657" s="255">
        <f t="shared" si="542"/>
        <v>1.38185</v>
      </c>
      <c r="AB1657" s="255">
        <f t="shared" si="542"/>
        <v>1.38185</v>
      </c>
      <c r="AC1657" s="255">
        <f t="shared" si="542"/>
        <v>1.38185</v>
      </c>
      <c r="AD1657" s="255">
        <f t="shared" si="542"/>
        <v>1.38185</v>
      </c>
      <c r="AE1657" s="255">
        <f t="shared" si="542"/>
        <v>1.38185</v>
      </c>
      <c r="AF1657" s="76"/>
      <c r="AG1657" s="76"/>
      <c r="AH1657" s="76"/>
      <c r="AI1657" s="97">
        <v>1</v>
      </c>
      <c r="AJ1657" s="97">
        <v>1</v>
      </c>
      <c r="AK1657" s="73"/>
      <c r="AL1657" s="57"/>
      <c r="AM1657" s="45"/>
      <c r="AN1657" s="45"/>
      <c r="AO1657" s="45"/>
    </row>
    <row r="1658" spans="1:41" hidden="1" outlineLevel="3" x14ac:dyDescent="0.25">
      <c r="A1658" s="45"/>
      <c r="B1658" s="54"/>
      <c r="C1658" s="47">
        <f t="shared" ref="C1658:C1669" si="543">INT($C$29)+3</f>
        <v>4</v>
      </c>
      <c r="D1658" s="73"/>
      <c r="E1658" s="70"/>
      <c r="F1658" s="70" t="s">
        <v>2053</v>
      </c>
      <c r="G1658" s="73"/>
      <c r="H1658" s="373" t="s">
        <v>2471</v>
      </c>
      <c r="I1658" s="76"/>
      <c r="J1658" s="76"/>
      <c r="K1658" s="76"/>
      <c r="L1658" s="76"/>
      <c r="M1658" s="76"/>
      <c r="N1658" s="76"/>
      <c r="O1658" s="76"/>
      <c r="P1658" s="76"/>
      <c r="Q1658" s="76"/>
      <c r="R1658" s="76"/>
      <c r="S1658" s="76"/>
      <c r="T1658" s="76"/>
      <c r="U1658" s="76">
        <v>0</v>
      </c>
      <c r="V1658" s="76">
        <v>0</v>
      </c>
      <c r="W1658" s="76">
        <v>0</v>
      </c>
      <c r="X1658" s="76">
        <v>0</v>
      </c>
      <c r="Y1658" s="76">
        <v>0</v>
      </c>
      <c r="Z1658" s="76">
        <v>0</v>
      </c>
      <c r="AA1658" s="76">
        <v>0</v>
      </c>
      <c r="AB1658" s="76">
        <v>0</v>
      </c>
      <c r="AC1658" s="76">
        <v>0</v>
      </c>
      <c r="AD1658" s="76">
        <v>0</v>
      </c>
      <c r="AE1658" s="76">
        <v>0</v>
      </c>
      <c r="AF1658" s="76"/>
      <c r="AG1658" s="76"/>
      <c r="AH1658" s="76"/>
      <c r="AI1658" s="76">
        <v>1</v>
      </c>
      <c r="AJ1658" s="76">
        <v>1</v>
      </c>
      <c r="AK1658" s="73"/>
      <c r="AL1658" s="57"/>
      <c r="AM1658" s="45"/>
      <c r="AN1658" s="45"/>
      <c r="AO1658" s="45"/>
    </row>
    <row r="1659" spans="1:41" hidden="1" outlineLevel="3" x14ac:dyDescent="0.25">
      <c r="A1659" s="45"/>
      <c r="B1659" s="54"/>
      <c r="C1659" s="47">
        <f t="shared" si="543"/>
        <v>4</v>
      </c>
      <c r="D1659" s="73"/>
      <c r="E1659" s="70"/>
      <c r="F1659" s="70" t="s">
        <v>2054</v>
      </c>
      <c r="G1659" s="73"/>
      <c r="H1659" s="373" t="s">
        <v>2472</v>
      </c>
      <c r="I1659" s="76"/>
      <c r="J1659" s="76"/>
      <c r="K1659" s="76"/>
      <c r="L1659" s="76"/>
      <c r="M1659" s="76"/>
      <c r="N1659" s="76"/>
      <c r="O1659" s="76"/>
      <c r="P1659" s="76"/>
      <c r="Q1659" s="76"/>
      <c r="R1659" s="76"/>
      <c r="S1659" s="76"/>
      <c r="T1659" s="76"/>
      <c r="U1659" s="76">
        <v>0</v>
      </c>
      <c r="V1659" s="76">
        <v>0</v>
      </c>
      <c r="W1659" s="76">
        <v>0</v>
      </c>
      <c r="X1659" s="76">
        <v>0</v>
      </c>
      <c r="Y1659" s="76">
        <v>0</v>
      </c>
      <c r="Z1659" s="76">
        <v>0</v>
      </c>
      <c r="AA1659" s="76">
        <v>0</v>
      </c>
      <c r="AB1659" s="76">
        <v>0</v>
      </c>
      <c r="AC1659" s="76">
        <v>0</v>
      </c>
      <c r="AD1659" s="76">
        <v>0</v>
      </c>
      <c r="AE1659" s="76">
        <v>0</v>
      </c>
      <c r="AF1659" s="76"/>
      <c r="AG1659" s="76"/>
      <c r="AH1659" s="76"/>
      <c r="AI1659" s="76">
        <v>1</v>
      </c>
      <c r="AJ1659" s="76">
        <v>1</v>
      </c>
      <c r="AK1659" s="73"/>
      <c r="AL1659" s="57"/>
      <c r="AM1659" s="45"/>
      <c r="AN1659" s="45"/>
      <c r="AO1659" s="45"/>
    </row>
    <row r="1660" spans="1:41" hidden="1" outlineLevel="3" x14ac:dyDescent="0.25">
      <c r="A1660" s="45"/>
      <c r="B1660" s="54"/>
      <c r="C1660" s="47">
        <f t="shared" si="543"/>
        <v>4</v>
      </c>
      <c r="D1660" s="73"/>
      <c r="E1660" s="70"/>
      <c r="F1660" s="70" t="s">
        <v>2055</v>
      </c>
      <c r="G1660" s="73"/>
      <c r="H1660" s="373" t="s">
        <v>2473</v>
      </c>
      <c r="I1660" s="76"/>
      <c r="J1660" s="76"/>
      <c r="K1660" s="76"/>
      <c r="L1660" s="76"/>
      <c r="M1660" s="76"/>
      <c r="N1660" s="76"/>
      <c r="O1660" s="76"/>
      <c r="P1660" s="76"/>
      <c r="Q1660" s="76"/>
      <c r="R1660" s="76"/>
      <c r="S1660" s="76"/>
      <c r="T1660" s="76"/>
      <c r="U1660" s="76">
        <v>0</v>
      </c>
      <c r="V1660" s="76">
        <v>0</v>
      </c>
      <c r="W1660" s="76">
        <v>0</v>
      </c>
      <c r="X1660" s="76">
        <v>0</v>
      </c>
      <c r="Y1660" s="76">
        <v>0</v>
      </c>
      <c r="Z1660" s="76">
        <v>0</v>
      </c>
      <c r="AA1660" s="76">
        <v>0</v>
      </c>
      <c r="AB1660" s="76">
        <v>0</v>
      </c>
      <c r="AC1660" s="76">
        <v>0</v>
      </c>
      <c r="AD1660" s="76">
        <v>0</v>
      </c>
      <c r="AE1660" s="76">
        <v>0</v>
      </c>
      <c r="AF1660" s="76"/>
      <c r="AG1660" s="76"/>
      <c r="AH1660" s="76"/>
      <c r="AI1660" s="76">
        <v>1</v>
      </c>
      <c r="AJ1660" s="76">
        <v>1</v>
      </c>
      <c r="AK1660" s="73"/>
      <c r="AL1660" s="57"/>
      <c r="AM1660" s="45"/>
      <c r="AN1660" s="45"/>
      <c r="AO1660" s="45"/>
    </row>
    <row r="1661" spans="1:41" hidden="1" outlineLevel="3" x14ac:dyDescent="0.25">
      <c r="A1661" s="45"/>
      <c r="B1661" s="54"/>
      <c r="C1661" s="47">
        <f t="shared" si="543"/>
        <v>4</v>
      </c>
      <c r="D1661" s="73"/>
      <c r="E1661" s="70"/>
      <c r="F1661" s="70" t="s">
        <v>2373</v>
      </c>
      <c r="G1661" s="73"/>
      <c r="H1661" s="373" t="s">
        <v>2474</v>
      </c>
      <c r="I1661" s="76"/>
      <c r="J1661" s="76"/>
      <c r="K1661" s="76"/>
      <c r="L1661" s="76"/>
      <c r="M1661" s="76"/>
      <c r="N1661" s="76"/>
      <c r="O1661" s="76"/>
      <c r="P1661" s="76"/>
      <c r="Q1661" s="76"/>
      <c r="R1661" s="76"/>
      <c r="S1661" s="76"/>
      <c r="T1661" s="76"/>
      <c r="U1661" s="76">
        <v>0</v>
      </c>
      <c r="V1661" s="76">
        <v>0</v>
      </c>
      <c r="W1661" s="76">
        <v>0</v>
      </c>
      <c r="X1661" s="76">
        <v>0</v>
      </c>
      <c r="Y1661" s="76">
        <v>0</v>
      </c>
      <c r="Z1661" s="76">
        <v>0</v>
      </c>
      <c r="AA1661" s="76">
        <v>0</v>
      </c>
      <c r="AB1661" s="76">
        <v>0</v>
      </c>
      <c r="AC1661" s="76">
        <v>0</v>
      </c>
      <c r="AD1661" s="76">
        <v>0</v>
      </c>
      <c r="AE1661" s="76">
        <v>0</v>
      </c>
      <c r="AF1661" s="76"/>
      <c r="AG1661" s="76"/>
      <c r="AH1661" s="76"/>
      <c r="AI1661" s="76">
        <v>1</v>
      </c>
      <c r="AJ1661" s="76">
        <v>1</v>
      </c>
      <c r="AK1661" s="73"/>
      <c r="AL1661" s="57"/>
      <c r="AM1661" s="45"/>
      <c r="AN1661" s="45"/>
      <c r="AO1661" s="45"/>
    </row>
    <row r="1662" spans="1:41" hidden="1" outlineLevel="3" x14ac:dyDescent="0.25">
      <c r="A1662" s="45"/>
      <c r="B1662" s="54"/>
      <c r="C1662" s="47">
        <f t="shared" si="543"/>
        <v>4</v>
      </c>
      <c r="D1662" s="73"/>
      <c r="E1662" s="70"/>
      <c r="F1662" s="70" t="s">
        <v>2374</v>
      </c>
      <c r="G1662" s="73"/>
      <c r="H1662" s="373" t="s">
        <v>2475</v>
      </c>
      <c r="I1662" s="76"/>
      <c r="J1662" s="76"/>
      <c r="K1662" s="76"/>
      <c r="L1662" s="76"/>
      <c r="M1662" s="76"/>
      <c r="N1662" s="76"/>
      <c r="O1662" s="76"/>
      <c r="P1662" s="76"/>
      <c r="Q1662" s="76"/>
      <c r="R1662" s="76"/>
      <c r="S1662" s="76"/>
      <c r="T1662" s="76"/>
      <c r="U1662" s="76">
        <v>0</v>
      </c>
      <c r="V1662" s="76">
        <v>0</v>
      </c>
      <c r="W1662" s="76">
        <v>0</v>
      </c>
      <c r="X1662" s="76">
        <v>0</v>
      </c>
      <c r="Y1662" s="76">
        <v>0</v>
      </c>
      <c r="Z1662" s="76">
        <v>0</v>
      </c>
      <c r="AA1662" s="76">
        <v>0</v>
      </c>
      <c r="AB1662" s="76">
        <v>0</v>
      </c>
      <c r="AC1662" s="76">
        <v>0</v>
      </c>
      <c r="AD1662" s="76">
        <v>0</v>
      </c>
      <c r="AE1662" s="76">
        <v>0</v>
      </c>
      <c r="AF1662" s="76"/>
      <c r="AG1662" s="76"/>
      <c r="AH1662" s="76"/>
      <c r="AI1662" s="76">
        <v>1</v>
      </c>
      <c r="AJ1662" s="76">
        <v>1</v>
      </c>
      <c r="AK1662" s="73"/>
      <c r="AL1662" s="57"/>
      <c r="AM1662" s="45"/>
      <c r="AN1662" s="45"/>
      <c r="AO1662" s="45"/>
    </row>
    <row r="1663" spans="1:41" hidden="1" outlineLevel="3" x14ac:dyDescent="0.25">
      <c r="A1663" s="45"/>
      <c r="B1663" s="54"/>
      <c r="C1663" s="47">
        <f t="shared" si="543"/>
        <v>4</v>
      </c>
      <c r="D1663" s="73"/>
      <c r="E1663" s="70"/>
      <c r="F1663" s="70" t="s">
        <v>2375</v>
      </c>
      <c r="G1663" s="73"/>
      <c r="H1663" s="373" t="s">
        <v>2476</v>
      </c>
      <c r="I1663" s="76"/>
      <c r="J1663" s="76"/>
      <c r="K1663" s="76"/>
      <c r="L1663" s="76"/>
      <c r="M1663" s="76"/>
      <c r="N1663" s="76"/>
      <c r="O1663" s="76"/>
      <c r="P1663" s="76"/>
      <c r="Q1663" s="76"/>
      <c r="R1663" s="76"/>
      <c r="S1663" s="76"/>
      <c r="T1663" s="76"/>
      <c r="U1663" s="76">
        <v>0</v>
      </c>
      <c r="V1663" s="76">
        <v>0</v>
      </c>
      <c r="W1663" s="76">
        <v>0</v>
      </c>
      <c r="X1663" s="76">
        <v>0</v>
      </c>
      <c r="Y1663" s="76">
        <v>0</v>
      </c>
      <c r="Z1663" s="76">
        <v>0</v>
      </c>
      <c r="AA1663" s="76">
        <v>0</v>
      </c>
      <c r="AB1663" s="76">
        <v>0</v>
      </c>
      <c r="AC1663" s="76">
        <v>0</v>
      </c>
      <c r="AD1663" s="76">
        <v>0</v>
      </c>
      <c r="AE1663" s="76">
        <v>0</v>
      </c>
      <c r="AF1663" s="76"/>
      <c r="AG1663" s="76"/>
      <c r="AH1663" s="76"/>
      <c r="AI1663" s="76">
        <v>1</v>
      </c>
      <c r="AJ1663" s="76">
        <v>1</v>
      </c>
      <c r="AK1663" s="73"/>
      <c r="AL1663" s="57"/>
      <c r="AM1663" s="45"/>
      <c r="AN1663" s="45"/>
      <c r="AO1663" s="45"/>
    </row>
    <row r="1664" spans="1:41" hidden="1" outlineLevel="3" x14ac:dyDescent="0.25">
      <c r="A1664" s="45"/>
      <c r="B1664" s="54"/>
      <c r="C1664" s="47">
        <f t="shared" si="543"/>
        <v>4</v>
      </c>
      <c r="D1664" s="73"/>
      <c r="E1664" s="70"/>
      <c r="F1664" s="70" t="str">
        <f>SUBSTITUTE(F1660,",4)",",8)")</f>
        <v>C(U2,22,8)</v>
      </c>
      <c r="G1664" s="73"/>
      <c r="H1664" s="373" t="s">
        <v>2734</v>
      </c>
      <c r="I1664" s="96"/>
      <c r="J1664" s="76"/>
      <c r="K1664" s="76"/>
      <c r="L1664" s="76"/>
      <c r="M1664" s="76"/>
      <c r="N1664" s="76"/>
      <c r="O1664" s="76"/>
      <c r="P1664" s="76"/>
      <c r="Q1664" s="76"/>
      <c r="R1664" s="76"/>
      <c r="S1664" s="76"/>
      <c r="T1664" s="76"/>
      <c r="U1664" s="76"/>
      <c r="V1664" s="76"/>
      <c r="W1664" s="76"/>
      <c r="X1664" s="76"/>
      <c r="Y1664" s="76"/>
      <c r="Z1664" s="76"/>
      <c r="AA1664" s="76"/>
      <c r="AB1664" s="76"/>
      <c r="AC1664" s="76"/>
      <c r="AD1664" s="76"/>
      <c r="AE1664" s="76"/>
      <c r="AF1664" s="76"/>
      <c r="AG1664" s="76"/>
      <c r="AH1664" s="76"/>
      <c r="AI1664" s="76">
        <v>1</v>
      </c>
      <c r="AJ1664" s="76">
        <v>1</v>
      </c>
      <c r="AK1664" s="73"/>
      <c r="AL1664" s="57"/>
      <c r="AM1664" s="45"/>
      <c r="AN1664" s="45"/>
      <c r="AO1664" s="45"/>
    </row>
    <row r="1665" spans="1:41" hidden="1" outlineLevel="3" x14ac:dyDescent="0.25">
      <c r="A1665" s="45"/>
      <c r="B1665" s="54"/>
      <c r="C1665" s="47">
        <f t="shared" si="543"/>
        <v>4</v>
      </c>
      <c r="D1665" s="73"/>
      <c r="E1665" s="70"/>
      <c r="F1665" s="70" t="str">
        <f>SUBSTITUTE(F1661,",5)",",9)")</f>
        <v>C(U2,22,9)</v>
      </c>
      <c r="G1665" s="73"/>
      <c r="H1665" s="373" t="s">
        <v>2735</v>
      </c>
      <c r="I1665" s="96"/>
      <c r="J1665" s="76"/>
      <c r="K1665" s="76"/>
      <c r="L1665" s="76"/>
      <c r="M1665" s="76"/>
      <c r="N1665" s="76"/>
      <c r="O1665" s="76"/>
      <c r="P1665" s="76"/>
      <c r="Q1665" s="76"/>
      <c r="R1665" s="76"/>
      <c r="S1665" s="76"/>
      <c r="T1665" s="76"/>
      <c r="U1665" s="76"/>
      <c r="V1665" s="76"/>
      <c r="W1665" s="76"/>
      <c r="X1665" s="76"/>
      <c r="Y1665" s="76"/>
      <c r="Z1665" s="76"/>
      <c r="AA1665" s="76"/>
      <c r="AB1665" s="76"/>
      <c r="AC1665" s="76"/>
      <c r="AD1665" s="76"/>
      <c r="AE1665" s="76"/>
      <c r="AF1665" s="76"/>
      <c r="AG1665" s="76"/>
      <c r="AH1665" s="76"/>
      <c r="AI1665" s="76">
        <v>1</v>
      </c>
      <c r="AJ1665" s="76">
        <v>1</v>
      </c>
      <c r="AK1665" s="73"/>
      <c r="AL1665" s="57"/>
      <c r="AM1665" s="45"/>
      <c r="AN1665" s="45"/>
      <c r="AO1665" s="45"/>
    </row>
    <row r="1666" spans="1:41" hidden="1" outlineLevel="3" x14ac:dyDescent="0.25">
      <c r="A1666" s="45"/>
      <c r="B1666" s="54"/>
      <c r="C1666" s="47">
        <f t="shared" si="543"/>
        <v>4</v>
      </c>
      <c r="D1666" s="73"/>
      <c r="E1666" s="70"/>
      <c r="F1666" s="70" t="str">
        <f>SUBSTITUTE(F1662,",6)",",10)")</f>
        <v>C(U2,22,10)</v>
      </c>
      <c r="G1666" s="73"/>
      <c r="H1666" s="373" t="s">
        <v>2736</v>
      </c>
      <c r="I1666" s="96"/>
      <c r="J1666" s="76"/>
      <c r="K1666" s="76"/>
      <c r="L1666" s="76"/>
      <c r="M1666" s="76"/>
      <c r="N1666" s="76"/>
      <c r="O1666" s="76"/>
      <c r="P1666" s="76"/>
      <c r="Q1666" s="76"/>
      <c r="R1666" s="76"/>
      <c r="S1666" s="76"/>
      <c r="T1666" s="76"/>
      <c r="U1666" s="76"/>
      <c r="V1666" s="76"/>
      <c r="W1666" s="76"/>
      <c r="X1666" s="76"/>
      <c r="Y1666" s="76"/>
      <c r="Z1666" s="76"/>
      <c r="AA1666" s="76"/>
      <c r="AB1666" s="76"/>
      <c r="AC1666" s="76"/>
      <c r="AD1666" s="76"/>
      <c r="AE1666" s="76"/>
      <c r="AF1666" s="76"/>
      <c r="AG1666" s="76"/>
      <c r="AH1666" s="76"/>
      <c r="AI1666" s="76">
        <v>1</v>
      </c>
      <c r="AJ1666" s="76">
        <v>1</v>
      </c>
      <c r="AK1666" s="73"/>
      <c r="AL1666" s="57"/>
      <c r="AM1666" s="45"/>
      <c r="AN1666" s="45"/>
      <c r="AO1666" s="45"/>
    </row>
    <row r="1667" spans="1:41" hidden="1" outlineLevel="3" x14ac:dyDescent="0.25">
      <c r="A1667" s="45"/>
      <c r="B1667" s="54"/>
      <c r="C1667" s="47">
        <f t="shared" si="543"/>
        <v>4</v>
      </c>
      <c r="D1667" s="73"/>
      <c r="E1667" s="70"/>
      <c r="F1667" s="70" t="str">
        <f>SUBSTITUTE(F1663,",7)",",11)")</f>
        <v>C(U2,22,11)</v>
      </c>
      <c r="G1667" s="73"/>
      <c r="H1667" s="373" t="s">
        <v>3319</v>
      </c>
      <c r="I1667" s="96"/>
      <c r="J1667" s="76"/>
      <c r="K1667" s="76"/>
      <c r="L1667" s="76"/>
      <c r="M1667" s="76"/>
      <c r="N1667" s="76"/>
      <c r="O1667" s="76"/>
      <c r="P1667" s="76"/>
      <c r="Q1667" s="76"/>
      <c r="R1667" s="76"/>
      <c r="S1667" s="76"/>
      <c r="T1667" s="76"/>
      <c r="U1667" s="76"/>
      <c r="V1667" s="76"/>
      <c r="W1667" s="76"/>
      <c r="X1667" s="76"/>
      <c r="Y1667" s="76"/>
      <c r="Z1667" s="76"/>
      <c r="AA1667" s="76"/>
      <c r="AB1667" s="76"/>
      <c r="AC1667" s="76"/>
      <c r="AD1667" s="76"/>
      <c r="AE1667" s="76"/>
      <c r="AF1667" s="76"/>
      <c r="AG1667" s="76"/>
      <c r="AH1667" s="76"/>
      <c r="AI1667" s="76">
        <v>1</v>
      </c>
      <c r="AJ1667" s="76">
        <v>1</v>
      </c>
      <c r="AK1667" s="73"/>
      <c r="AL1667" s="57"/>
      <c r="AM1667" s="45"/>
      <c r="AN1667" s="45"/>
      <c r="AO1667" s="45"/>
    </row>
    <row r="1668" spans="1:41" hidden="1" outlineLevel="3" x14ac:dyDescent="0.25">
      <c r="A1668" s="45"/>
      <c r="B1668" s="54"/>
      <c r="C1668" s="47">
        <f t="shared" si="543"/>
        <v>4</v>
      </c>
      <c r="D1668" s="73"/>
      <c r="E1668" s="70"/>
      <c r="F1668" s="70" t="str">
        <f>SUBSTITUTE(F1662,",6)",",12)")</f>
        <v>C(U2,22,12)</v>
      </c>
      <c r="G1668" s="73"/>
      <c r="H1668" s="373" t="s">
        <v>3320</v>
      </c>
      <c r="I1668" s="96"/>
      <c r="J1668" s="76"/>
      <c r="K1668" s="76"/>
      <c r="L1668" s="76"/>
      <c r="M1668" s="76"/>
      <c r="N1668" s="76"/>
      <c r="O1668" s="76"/>
      <c r="P1668" s="76"/>
      <c r="Q1668" s="76"/>
      <c r="R1668" s="76"/>
      <c r="S1668" s="76"/>
      <c r="T1668" s="76"/>
      <c r="U1668" s="76"/>
      <c r="V1668" s="76"/>
      <c r="W1668" s="76"/>
      <c r="X1668" s="76"/>
      <c r="Y1668" s="76"/>
      <c r="Z1668" s="76"/>
      <c r="AA1668" s="76"/>
      <c r="AB1668" s="76"/>
      <c r="AC1668" s="76"/>
      <c r="AD1668" s="76"/>
      <c r="AE1668" s="76"/>
      <c r="AF1668" s="76"/>
      <c r="AG1668" s="76"/>
      <c r="AH1668" s="76"/>
      <c r="AI1668" s="76">
        <v>1</v>
      </c>
      <c r="AJ1668" s="76">
        <v>1</v>
      </c>
      <c r="AK1668" s="73"/>
      <c r="AL1668" s="57"/>
      <c r="AM1668" s="45"/>
      <c r="AN1668" s="45"/>
      <c r="AO1668" s="45"/>
    </row>
    <row r="1669" spans="1:41" hidden="1" outlineLevel="3" x14ac:dyDescent="0.25">
      <c r="A1669" s="45"/>
      <c r="B1669" s="54"/>
      <c r="C1669" s="47">
        <f t="shared" si="543"/>
        <v>4</v>
      </c>
      <c r="D1669" s="73"/>
      <c r="E1669" s="70"/>
      <c r="F1669" s="70" t="str">
        <f>SUBSTITUTE(F1663,",7)",",13)")</f>
        <v>C(U2,22,13)</v>
      </c>
      <c r="G1669" s="73"/>
      <c r="H1669" s="373" t="s">
        <v>3321</v>
      </c>
      <c r="I1669" s="96"/>
      <c r="J1669" s="76"/>
      <c r="K1669" s="76"/>
      <c r="L1669" s="76"/>
      <c r="M1669" s="76"/>
      <c r="N1669" s="76"/>
      <c r="O1669" s="76"/>
      <c r="P1669" s="76"/>
      <c r="Q1669" s="76"/>
      <c r="R1669" s="76"/>
      <c r="S1669" s="76"/>
      <c r="T1669" s="76"/>
      <c r="U1669" s="76"/>
      <c r="V1669" s="76"/>
      <c r="W1669" s="76"/>
      <c r="X1669" s="76"/>
      <c r="Y1669" s="76"/>
      <c r="Z1669" s="76"/>
      <c r="AA1669" s="76"/>
      <c r="AB1669" s="76"/>
      <c r="AC1669" s="76"/>
      <c r="AD1669" s="76"/>
      <c r="AE1669" s="76"/>
      <c r="AF1669" s="76"/>
      <c r="AG1669" s="76"/>
      <c r="AH1669" s="76"/>
      <c r="AI1669" s="76">
        <v>1</v>
      </c>
      <c r="AJ1669" s="76">
        <v>1</v>
      </c>
      <c r="AK1669" s="73"/>
      <c r="AL1669" s="57"/>
      <c r="AM1669" s="45"/>
      <c r="AN1669" s="45"/>
      <c r="AO1669" s="45"/>
    </row>
    <row r="1670" spans="1:41" hidden="1" outlineLevel="2" x14ac:dyDescent="0.25">
      <c r="A1670" s="45"/>
      <c r="B1670" s="54"/>
      <c r="C1670" s="47">
        <f>INT($C$29)+2</f>
        <v>3</v>
      </c>
      <c r="D1670" s="73"/>
      <c r="E1670" s="70"/>
      <c r="F1670" s="70" t="s">
        <v>2056</v>
      </c>
      <c r="G1670" s="73"/>
      <c r="H1670" s="76" t="s">
        <v>2620</v>
      </c>
      <c r="I1670" s="76"/>
      <c r="J1670" s="76"/>
      <c r="K1670" s="76"/>
      <c r="L1670" s="76"/>
      <c r="M1670" s="76"/>
      <c r="N1670" s="76"/>
      <c r="O1670" s="76"/>
      <c r="P1670" s="76"/>
      <c r="Q1670" s="76"/>
      <c r="R1670" s="76"/>
      <c r="S1670" s="76"/>
      <c r="T1670" s="76"/>
      <c r="U1670" s="97">
        <v>7.50061</v>
      </c>
      <c r="V1670" s="255">
        <f t="shared" ref="V1670" si="544">U1670</f>
        <v>7.50061</v>
      </c>
      <c r="W1670" s="255">
        <f t="shared" ref="W1670" si="545">V1670</f>
        <v>7.50061</v>
      </c>
      <c r="X1670" s="255">
        <f t="shared" ref="X1670" si="546">W1670</f>
        <v>7.50061</v>
      </c>
      <c r="Y1670" s="255">
        <f t="shared" ref="Y1670" si="547">X1670</f>
        <v>7.50061</v>
      </c>
      <c r="Z1670" s="255">
        <f t="shared" ref="Z1670" si="548">Y1670</f>
        <v>7.50061</v>
      </c>
      <c r="AA1670" s="255">
        <f t="shared" ref="AA1670" si="549">Z1670</f>
        <v>7.50061</v>
      </c>
      <c r="AB1670" s="255">
        <f t="shared" ref="AB1670" si="550">AA1670</f>
        <v>7.50061</v>
      </c>
      <c r="AC1670" s="255">
        <f t="shared" ref="AC1670" si="551">AB1670</f>
        <v>7.50061</v>
      </c>
      <c r="AD1670" s="255">
        <f t="shared" ref="AD1670" si="552">AC1670</f>
        <v>7.50061</v>
      </c>
      <c r="AE1670" s="255">
        <f t="shared" ref="AE1670" si="553">AD1670</f>
        <v>7.50061</v>
      </c>
      <c r="AF1670" s="76"/>
      <c r="AG1670" s="97"/>
      <c r="AH1670" s="76"/>
      <c r="AI1670" s="97">
        <v>1</v>
      </c>
      <c r="AJ1670" s="97">
        <v>1</v>
      </c>
      <c r="AK1670" s="73"/>
      <c r="AL1670" s="57"/>
      <c r="AM1670" s="45"/>
      <c r="AN1670" s="45"/>
      <c r="AO1670" s="45"/>
    </row>
    <row r="1671" spans="1:41" hidden="1" outlineLevel="2" x14ac:dyDescent="0.25">
      <c r="A1671" s="45"/>
      <c r="B1671" s="54"/>
      <c r="C1671" s="47">
        <f>INT($C$29)+2</f>
        <v>3</v>
      </c>
      <c r="D1671" s="73"/>
      <c r="E1671" s="70"/>
      <c r="F1671" s="70" t="s">
        <v>2376</v>
      </c>
      <c r="G1671" s="73"/>
      <c r="H1671" s="76" t="s">
        <v>2730</v>
      </c>
      <c r="I1671" s="76"/>
      <c r="J1671" s="76"/>
      <c r="K1671" s="76"/>
      <c r="L1671" s="76"/>
      <c r="M1671" s="76"/>
      <c r="N1671" s="76"/>
      <c r="O1671" s="76"/>
      <c r="P1671" s="76"/>
      <c r="Q1671" s="76"/>
      <c r="R1671" s="76"/>
      <c r="S1671" s="76"/>
      <c r="T1671" s="76"/>
      <c r="U1671" s="97">
        <f>AB1671</f>
        <v>-4.5568499999999998</v>
      </c>
      <c r="V1671" s="255">
        <f>U1671</f>
        <v>-4.5568499999999998</v>
      </c>
      <c r="W1671" s="255">
        <f t="shared" ref="W1671:X1673" si="554">U1671</f>
        <v>-4.5568499999999998</v>
      </c>
      <c r="X1671" s="255">
        <f t="shared" si="554"/>
        <v>-4.5568499999999998</v>
      </c>
      <c r="Y1671" s="255">
        <f t="shared" ref="Y1671:Y1673" si="555">W1671</f>
        <v>-4.5568499999999998</v>
      </c>
      <c r="Z1671" s="255">
        <f t="shared" ref="Z1671:Z1673" si="556">X1671</f>
        <v>-4.5568499999999998</v>
      </c>
      <c r="AA1671" s="255">
        <f t="shared" ref="AA1671:AA1673" si="557">Y1671</f>
        <v>-4.5568499999999998</v>
      </c>
      <c r="AB1671" s="97">
        <f>-(4.55685)</f>
        <v>-4.5568499999999998</v>
      </c>
      <c r="AC1671" s="255">
        <f t="shared" ref="AC1671:AD1673" si="558">AB1671</f>
        <v>-4.5568499999999998</v>
      </c>
      <c r="AD1671" s="255">
        <f t="shared" si="558"/>
        <v>-4.5568499999999998</v>
      </c>
      <c r="AE1671" s="255">
        <f>AD1671</f>
        <v>-4.5568499999999998</v>
      </c>
      <c r="AF1671" s="76"/>
      <c r="AG1671" s="97" t="s">
        <v>3318</v>
      </c>
      <c r="AH1671" s="76"/>
      <c r="AI1671" s="76">
        <v>1</v>
      </c>
      <c r="AJ1671" s="76">
        <v>1</v>
      </c>
      <c r="AK1671" s="73"/>
      <c r="AL1671" s="57"/>
      <c r="AM1671" s="45"/>
      <c r="AN1671" s="45"/>
      <c r="AO1671" s="45"/>
    </row>
    <row r="1672" spans="1:41" hidden="1" outlineLevel="2" x14ac:dyDescent="0.25">
      <c r="A1672" s="45"/>
      <c r="B1672" s="54"/>
      <c r="C1672" s="47">
        <f>INT($C$29)+2</f>
        <v>3</v>
      </c>
      <c r="D1672" s="73"/>
      <c r="E1672" s="70"/>
      <c r="F1672" s="70" t="s">
        <v>2377</v>
      </c>
      <c r="G1672" s="73"/>
      <c r="H1672" s="76" t="s">
        <v>2464</v>
      </c>
      <c r="I1672" s="76"/>
      <c r="J1672" s="76"/>
      <c r="K1672" s="76"/>
      <c r="L1672" s="76"/>
      <c r="M1672" s="76"/>
      <c r="N1672" s="76"/>
      <c r="O1672" s="76"/>
      <c r="P1672" s="76"/>
      <c r="Q1672" s="76"/>
      <c r="R1672" s="76"/>
      <c r="S1672" s="76"/>
      <c r="T1672" s="76"/>
      <c r="U1672" s="97">
        <f t="shared" ref="U1672:U1673" si="559">AB1672</f>
        <v>0.69092500000000001</v>
      </c>
      <c r="V1672" s="255">
        <f>U1672</f>
        <v>0.69092500000000001</v>
      </c>
      <c r="W1672" s="255">
        <f t="shared" si="554"/>
        <v>0.69092500000000001</v>
      </c>
      <c r="X1672" s="255">
        <f t="shared" si="554"/>
        <v>0.69092500000000001</v>
      </c>
      <c r="Y1672" s="255">
        <f t="shared" si="555"/>
        <v>0.69092500000000001</v>
      </c>
      <c r="Z1672" s="255">
        <f t="shared" si="556"/>
        <v>0.69092500000000001</v>
      </c>
      <c r="AA1672" s="255">
        <f t="shared" si="557"/>
        <v>0.69092500000000001</v>
      </c>
      <c r="AB1672" s="97">
        <f>-(-0.690925)</f>
        <v>0.69092500000000001</v>
      </c>
      <c r="AC1672" s="255">
        <f t="shared" si="558"/>
        <v>0.69092500000000001</v>
      </c>
      <c r="AD1672" s="255">
        <f t="shared" si="558"/>
        <v>0.69092500000000001</v>
      </c>
      <c r="AE1672" s="255">
        <f>AD1672</f>
        <v>0.69092500000000001</v>
      </c>
      <c r="AF1672" s="76"/>
      <c r="AG1672" s="76"/>
      <c r="AH1672" s="76"/>
      <c r="AI1672" s="76">
        <v>1</v>
      </c>
      <c r="AJ1672" s="76">
        <v>1</v>
      </c>
      <c r="AK1672" s="73"/>
      <c r="AL1672" s="57"/>
      <c r="AM1672" s="45"/>
      <c r="AN1672" s="45"/>
      <c r="AO1672" s="45"/>
    </row>
    <row r="1673" spans="1:41" hidden="1" outlineLevel="2" collapsed="1" x14ac:dyDescent="0.25">
      <c r="A1673" s="45"/>
      <c r="B1673" s="54"/>
      <c r="C1673" s="47">
        <f t="shared" ref="C1673:C1684" si="560">INT($C$29)+3</f>
        <v>4</v>
      </c>
      <c r="D1673" s="73"/>
      <c r="E1673" s="70"/>
      <c r="F1673" s="70" t="s">
        <v>2378</v>
      </c>
      <c r="G1673" s="73"/>
      <c r="H1673" s="374" t="s">
        <v>2731</v>
      </c>
      <c r="I1673" s="76"/>
      <c r="J1673" s="76"/>
      <c r="K1673" s="76"/>
      <c r="L1673" s="76"/>
      <c r="M1673" s="76"/>
      <c r="N1673" s="76"/>
      <c r="O1673" s="76"/>
      <c r="P1673" s="76"/>
      <c r="Q1673" s="76"/>
      <c r="R1673" s="76"/>
      <c r="S1673" s="76"/>
      <c r="T1673" s="76"/>
      <c r="U1673" s="97">
        <f t="shared" si="559"/>
        <v>-0.15570000000000001</v>
      </c>
      <c r="V1673" s="255">
        <f>U1673</f>
        <v>-0.15570000000000001</v>
      </c>
      <c r="W1673" s="255">
        <f t="shared" si="554"/>
        <v>-0.15570000000000001</v>
      </c>
      <c r="X1673" s="255">
        <f t="shared" si="554"/>
        <v>-0.15570000000000001</v>
      </c>
      <c r="Y1673" s="255">
        <f t="shared" si="555"/>
        <v>-0.15570000000000001</v>
      </c>
      <c r="Z1673" s="255">
        <f t="shared" si="556"/>
        <v>-0.15570000000000001</v>
      </c>
      <c r="AA1673" s="255">
        <f t="shared" si="557"/>
        <v>-0.15570000000000001</v>
      </c>
      <c r="AB1673" s="97">
        <f>-(0.1557)</f>
        <v>-0.15570000000000001</v>
      </c>
      <c r="AC1673" s="255">
        <f t="shared" si="558"/>
        <v>-0.15570000000000001</v>
      </c>
      <c r="AD1673" s="255">
        <f t="shared" si="558"/>
        <v>-0.15570000000000001</v>
      </c>
      <c r="AE1673" s="255">
        <f>AD1673</f>
        <v>-0.15570000000000001</v>
      </c>
      <c r="AF1673" s="76"/>
      <c r="AG1673" s="97"/>
      <c r="AH1673" s="76"/>
      <c r="AI1673" s="97">
        <v>1</v>
      </c>
      <c r="AJ1673" s="97">
        <v>1</v>
      </c>
      <c r="AK1673" s="73"/>
      <c r="AL1673" s="57"/>
      <c r="AM1673" s="45"/>
      <c r="AN1673" s="45"/>
      <c r="AO1673" s="45"/>
    </row>
    <row r="1674" spans="1:41" hidden="1" outlineLevel="3" collapsed="1" x14ac:dyDescent="0.25">
      <c r="A1674" s="45"/>
      <c r="B1674" s="54"/>
      <c r="C1674" s="47">
        <f t="shared" si="560"/>
        <v>4</v>
      </c>
      <c r="D1674" s="73"/>
      <c r="E1674" s="70"/>
      <c r="F1674" s="70" t="s">
        <v>2379</v>
      </c>
      <c r="G1674" s="73"/>
      <c r="H1674" s="374" t="s">
        <v>2732</v>
      </c>
      <c r="I1674" s="76"/>
      <c r="J1674" s="76"/>
      <c r="K1674" s="76"/>
      <c r="L1674" s="76"/>
      <c r="M1674" s="76"/>
      <c r="N1674" s="76"/>
      <c r="O1674" s="76"/>
      <c r="P1674" s="76"/>
      <c r="Q1674" s="76"/>
      <c r="R1674" s="76"/>
      <c r="S1674" s="76"/>
      <c r="T1674" s="76"/>
      <c r="U1674" s="76"/>
      <c r="V1674" s="76"/>
      <c r="W1674" s="76"/>
      <c r="X1674" s="76"/>
      <c r="Y1674" s="76"/>
      <c r="Z1674" s="76"/>
      <c r="AA1674" s="76"/>
      <c r="AB1674" s="76"/>
      <c r="AC1674" s="76"/>
      <c r="AD1674" s="76"/>
      <c r="AE1674" s="76"/>
      <c r="AF1674" s="76"/>
      <c r="AG1674" s="76"/>
      <c r="AH1674" s="76"/>
      <c r="AI1674" s="76">
        <v>1</v>
      </c>
      <c r="AJ1674" s="76">
        <v>1</v>
      </c>
      <c r="AK1674" s="73"/>
      <c r="AL1674" s="57"/>
      <c r="AM1674" s="45"/>
      <c r="AN1674" s="45"/>
      <c r="AO1674" s="45"/>
    </row>
    <row r="1675" spans="1:41" hidden="1" outlineLevel="3" x14ac:dyDescent="0.25">
      <c r="A1675" s="45"/>
      <c r="B1675" s="54"/>
      <c r="C1675" s="47">
        <f t="shared" si="560"/>
        <v>4</v>
      </c>
      <c r="D1675" s="73"/>
      <c r="E1675" s="70"/>
      <c r="F1675" s="70" t="s">
        <v>2380</v>
      </c>
      <c r="G1675" s="73"/>
      <c r="H1675" s="373" t="s">
        <v>2473</v>
      </c>
      <c r="I1675" s="76"/>
      <c r="J1675" s="76"/>
      <c r="K1675" s="76"/>
      <c r="L1675" s="76"/>
      <c r="M1675" s="76"/>
      <c r="N1675" s="76"/>
      <c r="O1675" s="76"/>
      <c r="P1675" s="76"/>
      <c r="Q1675" s="76"/>
      <c r="R1675" s="76"/>
      <c r="S1675" s="76"/>
      <c r="T1675" s="76"/>
      <c r="U1675" s="76"/>
      <c r="V1675" s="76"/>
      <c r="W1675" s="76"/>
      <c r="X1675" s="76"/>
      <c r="Y1675" s="76"/>
      <c r="Z1675" s="76"/>
      <c r="AA1675" s="76"/>
      <c r="AB1675" s="76"/>
      <c r="AC1675" s="76"/>
      <c r="AD1675" s="76"/>
      <c r="AE1675" s="76"/>
      <c r="AF1675" s="76"/>
      <c r="AG1675" s="76"/>
      <c r="AH1675" s="76"/>
      <c r="AI1675" s="76">
        <v>1</v>
      </c>
      <c r="AJ1675" s="76">
        <v>1</v>
      </c>
      <c r="AK1675" s="73"/>
      <c r="AL1675" s="57"/>
      <c r="AM1675" s="45"/>
      <c r="AN1675" s="45"/>
      <c r="AO1675" s="45"/>
    </row>
    <row r="1676" spans="1:41" hidden="1" outlineLevel="3" x14ac:dyDescent="0.25">
      <c r="A1676" s="45"/>
      <c r="B1676" s="54"/>
      <c r="C1676" s="47">
        <f t="shared" si="560"/>
        <v>4</v>
      </c>
      <c r="D1676" s="73"/>
      <c r="E1676" s="70"/>
      <c r="F1676" s="70" t="s">
        <v>2381</v>
      </c>
      <c r="G1676" s="73"/>
      <c r="H1676" s="373" t="s">
        <v>2474</v>
      </c>
      <c r="I1676" s="76"/>
      <c r="J1676" s="76"/>
      <c r="K1676" s="76"/>
      <c r="L1676" s="76"/>
      <c r="M1676" s="76"/>
      <c r="N1676" s="76"/>
      <c r="O1676" s="76"/>
      <c r="P1676" s="76"/>
      <c r="Q1676" s="76"/>
      <c r="R1676" s="76"/>
      <c r="S1676" s="76"/>
      <c r="T1676" s="76"/>
      <c r="U1676" s="76"/>
      <c r="V1676" s="76"/>
      <c r="W1676" s="76"/>
      <c r="X1676" s="76"/>
      <c r="Y1676" s="76"/>
      <c r="Z1676" s="76"/>
      <c r="AA1676" s="76"/>
      <c r="AB1676" s="76"/>
      <c r="AC1676" s="76"/>
      <c r="AD1676" s="76"/>
      <c r="AE1676" s="76"/>
      <c r="AF1676" s="76"/>
      <c r="AG1676" s="76"/>
      <c r="AH1676" s="76"/>
      <c r="AI1676" s="76">
        <v>1</v>
      </c>
      <c r="AJ1676" s="76">
        <v>1</v>
      </c>
      <c r="AK1676" s="73"/>
      <c r="AL1676" s="57"/>
      <c r="AM1676" s="45"/>
      <c r="AN1676" s="45"/>
      <c r="AO1676" s="45"/>
    </row>
    <row r="1677" spans="1:41" hidden="1" outlineLevel="3" x14ac:dyDescent="0.25">
      <c r="A1677" s="45"/>
      <c r="B1677" s="54"/>
      <c r="C1677" s="47">
        <f t="shared" si="560"/>
        <v>4</v>
      </c>
      <c r="D1677" s="73"/>
      <c r="E1677" s="70"/>
      <c r="F1677" s="70" t="s">
        <v>2382</v>
      </c>
      <c r="G1677" s="73"/>
      <c r="H1677" s="373" t="s">
        <v>2475</v>
      </c>
      <c r="I1677" s="76"/>
      <c r="J1677" s="76"/>
      <c r="K1677" s="76"/>
      <c r="L1677" s="76"/>
      <c r="M1677" s="76"/>
      <c r="N1677" s="76"/>
      <c r="O1677" s="76"/>
      <c r="P1677" s="76"/>
      <c r="Q1677" s="76"/>
      <c r="R1677" s="76"/>
      <c r="S1677" s="76"/>
      <c r="T1677" s="76"/>
      <c r="U1677" s="76"/>
      <c r="V1677" s="76"/>
      <c r="W1677" s="76"/>
      <c r="X1677" s="76"/>
      <c r="Y1677" s="76"/>
      <c r="Z1677" s="76"/>
      <c r="AA1677" s="76"/>
      <c r="AB1677" s="76"/>
      <c r="AC1677" s="76"/>
      <c r="AD1677" s="76"/>
      <c r="AE1677" s="76"/>
      <c r="AF1677" s="76"/>
      <c r="AG1677" s="76"/>
      <c r="AH1677" s="76"/>
      <c r="AI1677" s="76">
        <v>1</v>
      </c>
      <c r="AJ1677" s="76">
        <v>1</v>
      </c>
      <c r="AK1677" s="73"/>
      <c r="AL1677" s="57"/>
      <c r="AM1677" s="45"/>
      <c r="AN1677" s="45"/>
      <c r="AO1677" s="45"/>
    </row>
    <row r="1678" spans="1:41" hidden="1" outlineLevel="3" x14ac:dyDescent="0.25">
      <c r="A1678" s="45"/>
      <c r="B1678" s="54"/>
      <c r="C1678" s="47">
        <f t="shared" si="560"/>
        <v>4</v>
      </c>
      <c r="D1678" s="73"/>
      <c r="E1678" s="70"/>
      <c r="F1678" s="70" t="s">
        <v>2383</v>
      </c>
      <c r="G1678" s="73"/>
      <c r="H1678" s="373" t="s">
        <v>2476</v>
      </c>
      <c r="I1678" s="76"/>
      <c r="J1678" s="76"/>
      <c r="K1678" s="76"/>
      <c r="L1678" s="76"/>
      <c r="M1678" s="76"/>
      <c r="N1678" s="76"/>
      <c r="O1678" s="76"/>
      <c r="P1678" s="76"/>
      <c r="Q1678" s="76"/>
      <c r="R1678" s="76"/>
      <c r="S1678" s="76"/>
      <c r="T1678" s="76"/>
      <c r="U1678" s="76"/>
      <c r="V1678" s="76"/>
      <c r="W1678" s="76"/>
      <c r="X1678" s="76"/>
      <c r="Y1678" s="76"/>
      <c r="Z1678" s="76"/>
      <c r="AA1678" s="76"/>
      <c r="AB1678" s="76"/>
      <c r="AC1678" s="76"/>
      <c r="AD1678" s="76"/>
      <c r="AE1678" s="76"/>
      <c r="AF1678" s="76"/>
      <c r="AG1678" s="76"/>
      <c r="AH1678" s="76"/>
      <c r="AI1678" s="76">
        <v>1</v>
      </c>
      <c r="AJ1678" s="76">
        <v>1</v>
      </c>
      <c r="AK1678" s="73"/>
      <c r="AL1678" s="57"/>
      <c r="AM1678" s="45"/>
      <c r="AN1678" s="45"/>
      <c r="AO1678" s="45"/>
    </row>
    <row r="1679" spans="1:41" hidden="1" outlineLevel="3" x14ac:dyDescent="0.25">
      <c r="A1679" s="45"/>
      <c r="B1679" s="54"/>
      <c r="C1679" s="47">
        <f t="shared" si="560"/>
        <v>4</v>
      </c>
      <c r="D1679" s="73"/>
      <c r="E1679" s="70"/>
      <c r="F1679" s="70" t="str">
        <f>SUBSTITUTE(F1675,",4)",",8)")</f>
        <v>C(U2,23,8)</v>
      </c>
      <c r="G1679" s="73"/>
      <c r="H1679" s="373" t="s">
        <v>2734</v>
      </c>
      <c r="I1679" s="96"/>
      <c r="J1679" s="76"/>
      <c r="K1679" s="76"/>
      <c r="L1679" s="76"/>
      <c r="M1679" s="76"/>
      <c r="N1679" s="76"/>
      <c r="O1679" s="76"/>
      <c r="P1679" s="76"/>
      <c r="Q1679" s="76"/>
      <c r="R1679" s="76"/>
      <c r="S1679" s="76"/>
      <c r="T1679" s="76"/>
      <c r="U1679" s="76"/>
      <c r="V1679" s="76"/>
      <c r="W1679" s="76"/>
      <c r="X1679" s="76"/>
      <c r="Y1679" s="76"/>
      <c r="Z1679" s="76"/>
      <c r="AA1679" s="76"/>
      <c r="AB1679" s="76"/>
      <c r="AC1679" s="76"/>
      <c r="AD1679" s="76"/>
      <c r="AE1679" s="76"/>
      <c r="AF1679" s="76"/>
      <c r="AG1679" s="76"/>
      <c r="AH1679" s="76"/>
      <c r="AI1679" s="76">
        <v>1</v>
      </c>
      <c r="AJ1679" s="76">
        <v>1</v>
      </c>
      <c r="AK1679" s="73"/>
      <c r="AL1679" s="57"/>
      <c r="AM1679" s="45"/>
      <c r="AN1679" s="45"/>
      <c r="AO1679" s="45"/>
    </row>
    <row r="1680" spans="1:41" hidden="1" outlineLevel="3" x14ac:dyDescent="0.25">
      <c r="A1680" s="45"/>
      <c r="B1680" s="54"/>
      <c r="C1680" s="47">
        <f t="shared" si="560"/>
        <v>4</v>
      </c>
      <c r="D1680" s="73"/>
      <c r="E1680" s="70"/>
      <c r="F1680" s="70" t="str">
        <f>SUBSTITUTE(F1676,",5)",",9)")</f>
        <v>C(U2,23,9)</v>
      </c>
      <c r="G1680" s="73"/>
      <c r="H1680" s="373" t="s">
        <v>2735</v>
      </c>
      <c r="I1680" s="96"/>
      <c r="J1680" s="76"/>
      <c r="K1680" s="76"/>
      <c r="L1680" s="76"/>
      <c r="M1680" s="76"/>
      <c r="N1680" s="76"/>
      <c r="O1680" s="76"/>
      <c r="P1680" s="76"/>
      <c r="Q1680" s="76"/>
      <c r="R1680" s="76"/>
      <c r="S1680" s="76"/>
      <c r="T1680" s="76"/>
      <c r="U1680" s="76"/>
      <c r="V1680" s="76"/>
      <c r="W1680" s="76"/>
      <c r="X1680" s="76"/>
      <c r="Y1680" s="76"/>
      <c r="Z1680" s="76"/>
      <c r="AA1680" s="76"/>
      <c r="AB1680" s="76"/>
      <c r="AC1680" s="76"/>
      <c r="AD1680" s="76"/>
      <c r="AE1680" s="76"/>
      <c r="AF1680" s="76"/>
      <c r="AG1680" s="76"/>
      <c r="AH1680" s="76"/>
      <c r="AI1680" s="76">
        <v>1</v>
      </c>
      <c r="AJ1680" s="76">
        <v>1</v>
      </c>
      <c r="AK1680" s="73"/>
      <c r="AL1680" s="57"/>
      <c r="AM1680" s="45"/>
      <c r="AN1680" s="45"/>
      <c r="AO1680" s="45"/>
    </row>
    <row r="1681" spans="1:41" hidden="1" outlineLevel="3" x14ac:dyDescent="0.25">
      <c r="A1681" s="45"/>
      <c r="B1681" s="54"/>
      <c r="C1681" s="47">
        <f t="shared" si="560"/>
        <v>4</v>
      </c>
      <c r="D1681" s="73"/>
      <c r="E1681" s="70"/>
      <c r="F1681" s="70" t="str">
        <f>SUBSTITUTE(F1677,",6)",",10)")</f>
        <v>C(U2,23,10)</v>
      </c>
      <c r="G1681" s="73"/>
      <c r="H1681" s="373" t="s">
        <v>2736</v>
      </c>
      <c r="I1681" s="96"/>
      <c r="J1681" s="76"/>
      <c r="K1681" s="76"/>
      <c r="L1681" s="76"/>
      <c r="M1681" s="76"/>
      <c r="N1681" s="76"/>
      <c r="O1681" s="76"/>
      <c r="P1681" s="76"/>
      <c r="Q1681" s="76"/>
      <c r="R1681" s="76"/>
      <c r="S1681" s="76"/>
      <c r="T1681" s="76"/>
      <c r="U1681" s="76"/>
      <c r="V1681" s="76"/>
      <c r="W1681" s="76"/>
      <c r="X1681" s="76"/>
      <c r="Y1681" s="76"/>
      <c r="Z1681" s="76"/>
      <c r="AA1681" s="76"/>
      <c r="AB1681" s="76"/>
      <c r="AC1681" s="76"/>
      <c r="AD1681" s="76"/>
      <c r="AE1681" s="76"/>
      <c r="AF1681" s="76"/>
      <c r="AG1681" s="76"/>
      <c r="AH1681" s="76"/>
      <c r="AI1681" s="76">
        <v>1</v>
      </c>
      <c r="AJ1681" s="76">
        <v>1</v>
      </c>
      <c r="AK1681" s="73"/>
      <c r="AL1681" s="57"/>
      <c r="AM1681" s="45"/>
      <c r="AN1681" s="45"/>
      <c r="AO1681" s="45"/>
    </row>
    <row r="1682" spans="1:41" hidden="1" outlineLevel="3" x14ac:dyDescent="0.25">
      <c r="A1682" s="45"/>
      <c r="B1682" s="54"/>
      <c r="C1682" s="47">
        <f t="shared" si="560"/>
        <v>4</v>
      </c>
      <c r="D1682" s="73"/>
      <c r="E1682" s="70"/>
      <c r="F1682" s="70" t="str">
        <f>SUBSTITUTE(F1678,",7)",",11)")</f>
        <v>C(U2,23,11)</v>
      </c>
      <c r="G1682" s="73"/>
      <c r="H1682" s="373" t="s">
        <v>3319</v>
      </c>
      <c r="I1682" s="76"/>
      <c r="J1682" s="76"/>
      <c r="K1682" s="76"/>
      <c r="L1682" s="76"/>
      <c r="M1682" s="76"/>
      <c r="N1682" s="76"/>
      <c r="O1682" s="76"/>
      <c r="P1682" s="76"/>
      <c r="Q1682" s="76"/>
      <c r="R1682" s="76"/>
      <c r="S1682" s="76"/>
      <c r="T1682" s="76"/>
      <c r="U1682" s="76"/>
      <c r="V1682" s="76"/>
      <c r="W1682" s="76"/>
      <c r="X1682" s="76"/>
      <c r="Y1682" s="76"/>
      <c r="Z1682" s="76"/>
      <c r="AA1682" s="76"/>
      <c r="AB1682" s="76"/>
      <c r="AC1682" s="76"/>
      <c r="AD1682" s="76"/>
      <c r="AE1682" s="76"/>
      <c r="AF1682" s="76"/>
      <c r="AG1682" s="76"/>
      <c r="AH1682" s="76"/>
      <c r="AI1682" s="76">
        <v>1</v>
      </c>
      <c r="AJ1682" s="76">
        <v>1</v>
      </c>
      <c r="AK1682" s="73"/>
      <c r="AL1682" s="57"/>
      <c r="AM1682" s="45"/>
      <c r="AN1682" s="45"/>
      <c r="AO1682" s="45"/>
    </row>
    <row r="1683" spans="1:41" hidden="1" outlineLevel="3" x14ac:dyDescent="0.25">
      <c r="A1683" s="45"/>
      <c r="B1683" s="54"/>
      <c r="C1683" s="47">
        <f t="shared" si="560"/>
        <v>4</v>
      </c>
      <c r="D1683" s="73"/>
      <c r="E1683" s="70"/>
      <c r="F1683" s="70" t="str">
        <f>SUBSTITUTE(F1677,",6)",",12)")</f>
        <v>C(U2,23,12)</v>
      </c>
      <c r="G1683" s="73"/>
      <c r="H1683" s="373" t="s">
        <v>3470</v>
      </c>
      <c r="I1683" s="96"/>
      <c r="J1683" s="76"/>
      <c r="K1683" s="76"/>
      <c r="L1683" s="76"/>
      <c r="M1683" s="76"/>
      <c r="N1683" s="76"/>
      <c r="O1683" s="76"/>
      <c r="P1683" s="76"/>
      <c r="Q1683" s="76"/>
      <c r="R1683" s="76"/>
      <c r="S1683" s="76"/>
      <c r="T1683" s="76"/>
      <c r="U1683" s="76"/>
      <c r="V1683" s="76"/>
      <c r="W1683" s="76"/>
      <c r="X1683" s="76"/>
      <c r="Y1683" s="76"/>
      <c r="Z1683" s="76"/>
      <c r="AA1683" s="76"/>
      <c r="AB1683" s="76"/>
      <c r="AC1683" s="76"/>
      <c r="AD1683" s="76"/>
      <c r="AE1683" s="76"/>
      <c r="AF1683" s="76"/>
      <c r="AG1683" s="76"/>
      <c r="AH1683" s="76"/>
      <c r="AI1683" s="76">
        <v>1</v>
      </c>
      <c r="AJ1683" s="76">
        <v>1</v>
      </c>
      <c r="AK1683" s="73"/>
      <c r="AL1683" s="57"/>
      <c r="AM1683" s="45"/>
      <c r="AN1683" s="45"/>
      <c r="AO1683" s="45"/>
    </row>
    <row r="1684" spans="1:41" hidden="1" outlineLevel="2" x14ac:dyDescent="0.25">
      <c r="A1684" s="45"/>
      <c r="B1684" s="54"/>
      <c r="C1684" s="47">
        <f t="shared" si="560"/>
        <v>4</v>
      </c>
      <c r="D1684" s="73"/>
      <c r="E1684" s="70"/>
      <c r="F1684" s="70" t="s">
        <v>3471</v>
      </c>
      <c r="G1684" s="73"/>
      <c r="H1684" s="374" t="s">
        <v>2786</v>
      </c>
      <c r="I1684" s="96"/>
      <c r="J1684" s="76"/>
      <c r="K1684" s="76"/>
      <c r="L1684" s="76"/>
      <c r="M1684" s="76"/>
      <c r="N1684" s="76"/>
      <c r="O1684" s="76"/>
      <c r="P1684" s="76"/>
      <c r="Q1684" s="76"/>
      <c r="R1684" s="76"/>
      <c r="S1684" s="76"/>
      <c r="T1684" s="76"/>
      <c r="U1684" s="337">
        <f t="shared" ref="U1684:AE1684" si="561">-U$1671/(2*U$1672)</f>
        <v>3.2976444621340955</v>
      </c>
      <c r="V1684" s="337">
        <f t="shared" si="561"/>
        <v>3.2976444621340955</v>
      </c>
      <c r="W1684" s="337">
        <f t="shared" si="561"/>
        <v>3.2976444621340955</v>
      </c>
      <c r="X1684" s="337">
        <f t="shared" si="561"/>
        <v>3.2976444621340955</v>
      </c>
      <c r="Y1684" s="337">
        <f t="shared" si="561"/>
        <v>3.2976444621340955</v>
      </c>
      <c r="Z1684" s="337">
        <f t="shared" si="561"/>
        <v>3.2976444621340955</v>
      </c>
      <c r="AA1684" s="337">
        <f t="shared" si="561"/>
        <v>3.2976444621340955</v>
      </c>
      <c r="AB1684" s="337">
        <f t="shared" si="561"/>
        <v>3.2976444621340955</v>
      </c>
      <c r="AC1684" s="337">
        <f t="shared" si="561"/>
        <v>3.2976444621340955</v>
      </c>
      <c r="AD1684" s="337">
        <f t="shared" si="561"/>
        <v>3.2976444621340955</v>
      </c>
      <c r="AE1684" s="337">
        <f t="shared" si="561"/>
        <v>3.2976444621340955</v>
      </c>
      <c r="AF1684" s="76"/>
      <c r="AG1684" s="76"/>
      <c r="AH1684" s="76"/>
      <c r="AI1684" s="76">
        <v>1</v>
      </c>
      <c r="AJ1684" s="76">
        <v>1</v>
      </c>
      <c r="AK1684" s="73"/>
      <c r="AL1684" s="57"/>
      <c r="AM1684" s="45"/>
      <c r="AN1684" s="45"/>
      <c r="AO1684" s="45"/>
    </row>
    <row r="1685" spans="1:41" hidden="1" outlineLevel="2" x14ac:dyDescent="0.25">
      <c r="A1685" s="45"/>
      <c r="B1685" s="54"/>
      <c r="C1685" s="47">
        <f>INT($C$29)+2</f>
        <v>3</v>
      </c>
      <c r="D1685" s="73"/>
      <c r="E1685" s="70"/>
      <c r="F1685" s="70" t="s">
        <v>2384</v>
      </c>
      <c r="G1685" s="73"/>
      <c r="H1685" s="76" t="s">
        <v>2733</v>
      </c>
      <c r="I1685" s="76"/>
      <c r="J1685" s="76"/>
      <c r="K1685" s="76"/>
      <c r="L1685" s="76"/>
      <c r="M1685" s="76"/>
      <c r="N1685" s="76"/>
      <c r="O1685" s="76"/>
      <c r="P1685" s="76"/>
      <c r="Q1685" s="76"/>
      <c r="R1685" s="76"/>
      <c r="S1685" s="76"/>
      <c r="T1685" s="76" t="s">
        <v>3273</v>
      </c>
      <c r="U1685" s="97">
        <f>AB1685-(1.61859)</f>
        <v>2.0276899999999998</v>
      </c>
      <c r="V1685" s="255">
        <f t="shared" ref="V1685:V1691" si="562">U1685</f>
        <v>2.0276899999999998</v>
      </c>
      <c r="W1685" s="255">
        <f t="shared" ref="W1685:X1691" si="563">U1685</f>
        <v>2.0276899999999998</v>
      </c>
      <c r="X1685" s="255">
        <f t="shared" si="563"/>
        <v>2.0276899999999998</v>
      </c>
      <c r="Y1685" s="255">
        <f t="shared" ref="Y1685:Y1687" si="564">W1685</f>
        <v>2.0276899999999998</v>
      </c>
      <c r="Z1685" s="255">
        <f t="shared" ref="Z1685:Z1688" si="565">X1685</f>
        <v>2.0276899999999998</v>
      </c>
      <c r="AA1685" s="255">
        <f t="shared" ref="AA1685:AA1688" si="566">Y1685</f>
        <v>2.0276899999999998</v>
      </c>
      <c r="AB1685" s="97">
        <f>-(-3.64628)</f>
        <v>3.64628</v>
      </c>
      <c r="AC1685" s="255">
        <f t="shared" ref="AC1685:AD1691" si="567">AB1685</f>
        <v>3.64628</v>
      </c>
      <c r="AD1685" s="255">
        <f t="shared" si="567"/>
        <v>3.64628</v>
      </c>
      <c r="AE1685" s="255">
        <f>AD1685</f>
        <v>3.64628</v>
      </c>
      <c r="AF1685" s="76"/>
      <c r="AG1685" s="97"/>
      <c r="AH1685" s="76"/>
      <c r="AI1685" s="97">
        <v>1</v>
      </c>
      <c r="AJ1685" s="97">
        <v>1</v>
      </c>
      <c r="AK1685" s="73"/>
      <c r="AL1685" s="57"/>
      <c r="AM1685" s="45"/>
      <c r="AN1685" s="45"/>
      <c r="AO1685" s="45"/>
    </row>
    <row r="1686" spans="1:41" hidden="1" outlineLevel="2" x14ac:dyDescent="0.25">
      <c r="A1686" s="45"/>
      <c r="B1686" s="54"/>
      <c r="C1686" s="47">
        <f>INT($C$29)+2</f>
        <v>3</v>
      </c>
      <c r="D1686" s="73"/>
      <c r="E1686" s="70"/>
      <c r="F1686" s="70" t="s">
        <v>2385</v>
      </c>
      <c r="G1686" s="73"/>
      <c r="H1686" s="76" t="s">
        <v>2451</v>
      </c>
      <c r="I1686" s="76"/>
      <c r="J1686" s="76"/>
      <c r="K1686" s="76"/>
      <c r="L1686" s="76"/>
      <c r="M1686" s="76"/>
      <c r="N1686" s="76"/>
      <c r="O1686" s="76"/>
      <c r="P1686" s="76"/>
      <c r="Q1686" s="76"/>
      <c r="R1686" s="76"/>
      <c r="S1686" s="76"/>
      <c r="T1686" s="76"/>
      <c r="U1686" s="97">
        <v>-0.26</v>
      </c>
      <c r="V1686" s="255">
        <f t="shared" si="562"/>
        <v>-0.26</v>
      </c>
      <c r="W1686" s="255">
        <f t="shared" si="563"/>
        <v>-0.26</v>
      </c>
      <c r="X1686" s="255">
        <f t="shared" si="563"/>
        <v>-0.26</v>
      </c>
      <c r="Y1686" s="255">
        <f t="shared" si="564"/>
        <v>-0.26</v>
      </c>
      <c r="Z1686" s="255">
        <f t="shared" si="565"/>
        <v>-0.26</v>
      </c>
      <c r="AA1686" s="255">
        <f t="shared" si="566"/>
        <v>-0.26</v>
      </c>
      <c r="AB1686" s="97">
        <v>-0.27389999999999998</v>
      </c>
      <c r="AC1686" s="255">
        <f t="shared" si="567"/>
        <v>-0.27389999999999998</v>
      </c>
      <c r="AD1686" s="255">
        <f t="shared" si="567"/>
        <v>-0.27389999999999998</v>
      </c>
      <c r="AE1686" s="255">
        <f>AD1686</f>
        <v>-0.27389999999999998</v>
      </c>
      <c r="AF1686" s="76"/>
      <c r="AG1686" s="97" t="s">
        <v>3773</v>
      </c>
      <c r="AH1686" s="76"/>
      <c r="AI1686" s="97">
        <v>1</v>
      </c>
      <c r="AJ1686" s="97">
        <v>1</v>
      </c>
      <c r="AK1686" s="73"/>
      <c r="AL1686" s="57"/>
      <c r="AM1686" s="45"/>
      <c r="AN1686" s="45"/>
      <c r="AO1686" s="45"/>
    </row>
    <row r="1687" spans="1:41" hidden="1" outlineLevel="2" x14ac:dyDescent="0.25">
      <c r="A1687" s="45"/>
      <c r="B1687" s="54"/>
      <c r="C1687" s="47">
        <f>INT($C$29)+2</f>
        <v>3</v>
      </c>
      <c r="D1687" s="73"/>
      <c r="E1687" s="70"/>
      <c r="F1687" s="70" t="s">
        <v>2386</v>
      </c>
      <c r="G1687" s="73"/>
      <c r="H1687" s="76" t="s">
        <v>2465</v>
      </c>
      <c r="I1687" s="76"/>
      <c r="J1687" s="76"/>
      <c r="K1687" s="76"/>
      <c r="L1687" s="76"/>
      <c r="M1687" s="76"/>
      <c r="N1687" s="76"/>
      <c r="O1687" s="76"/>
      <c r="P1687" s="76"/>
      <c r="Q1687" s="76"/>
      <c r="R1687" s="76"/>
      <c r="S1687" s="76"/>
      <c r="T1687" s="76"/>
      <c r="U1687" s="97">
        <v>1.91E-3</v>
      </c>
      <c r="V1687" s="255">
        <f t="shared" si="562"/>
        <v>1.91E-3</v>
      </c>
      <c r="W1687" s="255">
        <f t="shared" si="563"/>
        <v>1.91E-3</v>
      </c>
      <c r="X1687" s="255">
        <f t="shared" si="563"/>
        <v>1.91E-3</v>
      </c>
      <c r="Y1687" s="255">
        <f t="shared" si="564"/>
        <v>1.91E-3</v>
      </c>
      <c r="Z1687" s="255">
        <f t="shared" si="565"/>
        <v>1.91E-3</v>
      </c>
      <c r="AA1687" s="255">
        <f t="shared" si="566"/>
        <v>1.91E-3</v>
      </c>
      <c r="AB1687" s="97">
        <v>2.1199999999999999E-3</v>
      </c>
      <c r="AC1687" s="255">
        <f t="shared" si="567"/>
        <v>2.1199999999999999E-3</v>
      </c>
      <c r="AD1687" s="255">
        <f t="shared" si="567"/>
        <v>2.1199999999999999E-3</v>
      </c>
      <c r="AE1687" s="255">
        <f>AD1687</f>
        <v>2.1199999999999999E-3</v>
      </c>
      <c r="AF1687" s="76"/>
      <c r="AG1687" s="97" t="s">
        <v>3772</v>
      </c>
      <c r="AH1687" s="76"/>
      <c r="AI1687" s="97">
        <v>1</v>
      </c>
      <c r="AJ1687" s="97">
        <v>1</v>
      </c>
      <c r="AK1687" s="73"/>
      <c r="AL1687" s="57"/>
      <c r="AM1687" s="45"/>
      <c r="AN1687" s="45"/>
      <c r="AO1687" s="45"/>
    </row>
    <row r="1688" spans="1:41" hidden="1" outlineLevel="2" collapsed="1" x14ac:dyDescent="0.25">
      <c r="A1688" s="45"/>
      <c r="B1688" s="54"/>
      <c r="C1688" s="47">
        <f t="shared" ref="C1688:C1699" si="568">INT($C$29)+3</f>
        <v>4</v>
      </c>
      <c r="D1688" s="73"/>
      <c r="E1688" s="70"/>
      <c r="F1688" s="70" t="s">
        <v>2387</v>
      </c>
      <c r="G1688" s="73"/>
      <c r="H1688" s="374" t="s">
        <v>2781</v>
      </c>
      <c r="I1688" s="76"/>
      <c r="J1688" s="76"/>
      <c r="K1688" s="76"/>
      <c r="L1688" s="76"/>
      <c r="M1688" s="76"/>
      <c r="N1688" s="76"/>
      <c r="O1688" s="76"/>
      <c r="P1688" s="76"/>
      <c r="Q1688" s="76"/>
      <c r="R1688" s="76"/>
      <c r="S1688" s="76"/>
      <c r="T1688" s="76"/>
      <c r="U1688" s="97">
        <v>-4.0000000000000001E-3</v>
      </c>
      <c r="V1688" s="255">
        <f>U1688</f>
        <v>-4.0000000000000001E-3</v>
      </c>
      <c r="W1688" s="255">
        <f>U1688</f>
        <v>-4.0000000000000001E-3</v>
      </c>
      <c r="X1688" s="255">
        <f>V1688</f>
        <v>-4.0000000000000001E-3</v>
      </c>
      <c r="Y1688" s="255">
        <f>W1688</f>
        <v>-4.0000000000000001E-3</v>
      </c>
      <c r="Z1688" s="255">
        <f t="shared" si="565"/>
        <v>-4.0000000000000001E-3</v>
      </c>
      <c r="AA1688" s="255">
        <f t="shared" si="566"/>
        <v>-4.0000000000000001E-3</v>
      </c>
      <c r="AB1688" s="97">
        <v>-4.0000000000000001E-3</v>
      </c>
      <c r="AC1688" s="255">
        <f>AB1688</f>
        <v>-4.0000000000000001E-3</v>
      </c>
      <c r="AD1688" s="255">
        <f>AC1688</f>
        <v>-4.0000000000000001E-3</v>
      </c>
      <c r="AE1688" s="255">
        <f>AD1688</f>
        <v>-4.0000000000000001E-3</v>
      </c>
      <c r="AF1688" s="76"/>
      <c r="AG1688" s="76"/>
      <c r="AH1688" s="76"/>
      <c r="AI1688" s="97">
        <v>1</v>
      </c>
      <c r="AJ1688" s="97">
        <v>1</v>
      </c>
      <c r="AK1688" s="73"/>
      <c r="AL1688" s="57"/>
      <c r="AM1688" s="45"/>
      <c r="AN1688" s="45"/>
      <c r="AO1688" s="45"/>
    </row>
    <row r="1689" spans="1:41" hidden="1" outlineLevel="3" x14ac:dyDescent="0.25">
      <c r="A1689" s="45"/>
      <c r="B1689" s="54"/>
      <c r="C1689" s="47">
        <f t="shared" si="568"/>
        <v>4</v>
      </c>
      <c r="D1689" s="73"/>
      <c r="E1689" s="70"/>
      <c r="F1689" s="70" t="s">
        <v>2388</v>
      </c>
      <c r="G1689" s="73"/>
      <c r="H1689" s="373" t="s">
        <v>2782</v>
      </c>
      <c r="I1689" s="76"/>
      <c r="J1689" s="76"/>
      <c r="K1689" s="76"/>
      <c r="L1689" s="76"/>
      <c r="M1689" s="76"/>
      <c r="N1689" s="76"/>
      <c r="O1689" s="76"/>
      <c r="P1689" s="76"/>
      <c r="Q1689" s="76"/>
      <c r="R1689" s="76"/>
      <c r="S1689" s="76"/>
      <c r="T1689" s="76"/>
      <c r="U1689" s="76">
        <v>0</v>
      </c>
      <c r="V1689" s="76">
        <v>0</v>
      </c>
      <c r="W1689" s="76">
        <v>0</v>
      </c>
      <c r="X1689" s="76">
        <v>0</v>
      </c>
      <c r="Y1689" s="76">
        <v>0</v>
      </c>
      <c r="Z1689" s="76">
        <v>0</v>
      </c>
      <c r="AA1689" s="76">
        <v>0</v>
      </c>
      <c r="AB1689" s="76">
        <v>0</v>
      </c>
      <c r="AC1689" s="76">
        <v>0</v>
      </c>
      <c r="AD1689" s="76">
        <v>0</v>
      </c>
      <c r="AE1689" s="76">
        <v>0</v>
      </c>
      <c r="AF1689" s="76"/>
      <c r="AG1689" s="76"/>
      <c r="AH1689" s="76"/>
      <c r="AI1689" s="76">
        <v>1</v>
      </c>
      <c r="AJ1689" s="76">
        <v>1</v>
      </c>
      <c r="AK1689" s="73"/>
      <c r="AL1689" s="57"/>
      <c r="AM1689" s="45"/>
      <c r="AN1689" s="45"/>
      <c r="AO1689" s="45"/>
    </row>
    <row r="1690" spans="1:41" hidden="1" outlineLevel="2" x14ac:dyDescent="0.25">
      <c r="A1690" s="45"/>
      <c r="B1690" s="54"/>
      <c r="C1690" s="47">
        <f t="shared" si="568"/>
        <v>4</v>
      </c>
      <c r="D1690" s="73"/>
      <c r="E1690" s="70"/>
      <c r="F1690" s="70" t="s">
        <v>2389</v>
      </c>
      <c r="G1690" s="73"/>
      <c r="H1690" s="374" t="s">
        <v>2779</v>
      </c>
      <c r="I1690" s="76"/>
      <c r="J1690" s="76"/>
      <c r="K1690" s="76"/>
      <c r="L1690" s="76"/>
      <c r="M1690" s="76"/>
      <c r="N1690" s="76"/>
      <c r="O1690" s="76"/>
      <c r="P1690" s="76"/>
      <c r="Q1690" s="76"/>
      <c r="R1690" s="76"/>
      <c r="S1690" s="76"/>
      <c r="T1690" s="76"/>
      <c r="U1690" s="97">
        <v>-5.1499999999999997E-2</v>
      </c>
      <c r="V1690" s="255">
        <f t="shared" si="562"/>
        <v>-5.1499999999999997E-2</v>
      </c>
      <c r="W1690" s="255">
        <f t="shared" si="563"/>
        <v>-5.1499999999999997E-2</v>
      </c>
      <c r="X1690" s="255">
        <f t="shared" si="563"/>
        <v>-5.1499999999999997E-2</v>
      </c>
      <c r="Y1690" s="255">
        <f t="shared" ref="Y1690:Y1691" si="569">W1690</f>
        <v>-5.1499999999999997E-2</v>
      </c>
      <c r="Z1690" s="255">
        <f t="shared" ref="Z1690:Z1692" si="570">X1690</f>
        <v>-5.1499999999999997E-2</v>
      </c>
      <c r="AA1690" s="255">
        <f t="shared" ref="AA1690:AA1692" si="571">Y1690</f>
        <v>-5.1499999999999997E-2</v>
      </c>
      <c r="AB1690" s="97">
        <v>-2.75E-2</v>
      </c>
      <c r="AC1690" s="255">
        <f t="shared" si="567"/>
        <v>-2.75E-2</v>
      </c>
      <c r="AD1690" s="255">
        <f t="shared" si="567"/>
        <v>-2.75E-2</v>
      </c>
      <c r="AE1690" s="255">
        <f>AD1690</f>
        <v>-2.75E-2</v>
      </c>
      <c r="AF1690" s="76"/>
      <c r="AG1690" s="76"/>
      <c r="AH1690" s="76"/>
      <c r="AI1690" s="97">
        <v>1</v>
      </c>
      <c r="AJ1690" s="97">
        <v>1</v>
      </c>
      <c r="AK1690" s="73"/>
      <c r="AL1690" s="57"/>
      <c r="AM1690" s="45"/>
      <c r="AN1690" s="45"/>
      <c r="AO1690" s="45"/>
    </row>
    <row r="1691" spans="1:41" hidden="1" outlineLevel="2" x14ac:dyDescent="0.25">
      <c r="A1691" s="45"/>
      <c r="B1691" s="54"/>
      <c r="C1691" s="47">
        <f t="shared" si="568"/>
        <v>4</v>
      </c>
      <c r="D1691" s="73"/>
      <c r="E1691" s="70"/>
      <c r="F1691" s="70" t="s">
        <v>2390</v>
      </c>
      <c r="G1691" s="73"/>
      <c r="H1691" s="374" t="s">
        <v>2780</v>
      </c>
      <c r="I1691" s="76"/>
      <c r="J1691" s="76"/>
      <c r="K1691" s="76"/>
      <c r="L1691" s="76"/>
      <c r="M1691" s="76"/>
      <c r="N1691" s="76"/>
      <c r="O1691" s="76"/>
      <c r="P1691" s="76"/>
      <c r="Q1691" s="76"/>
      <c r="R1691" s="76"/>
      <c r="S1691" s="76"/>
      <c r="T1691" s="76"/>
      <c r="U1691" s="97">
        <f>-U1690/(2*9.5*30.4)</f>
        <v>8.916204986149583E-5</v>
      </c>
      <c r="V1691" s="255">
        <f t="shared" si="562"/>
        <v>8.916204986149583E-5</v>
      </c>
      <c r="W1691" s="255">
        <f t="shared" si="563"/>
        <v>8.916204986149583E-5</v>
      </c>
      <c r="X1691" s="255">
        <f t="shared" si="563"/>
        <v>8.916204986149583E-5</v>
      </c>
      <c r="Y1691" s="255">
        <f t="shared" si="569"/>
        <v>8.916204986149583E-5</v>
      </c>
      <c r="Z1691" s="255">
        <f t="shared" si="570"/>
        <v>8.916204986149583E-5</v>
      </c>
      <c r="AA1691" s="255">
        <f t="shared" si="571"/>
        <v>8.916204986149583E-5</v>
      </c>
      <c r="AB1691" s="97">
        <f>-AB1690/(2*9.5*30.4)</f>
        <v>4.7610803324099718E-5</v>
      </c>
      <c r="AC1691" s="255">
        <f t="shared" si="567"/>
        <v>4.7610803324099718E-5</v>
      </c>
      <c r="AD1691" s="255">
        <f t="shared" si="567"/>
        <v>4.7610803324099718E-5</v>
      </c>
      <c r="AE1691" s="255">
        <f>AD1691</f>
        <v>4.7610803324099718E-5</v>
      </c>
      <c r="AF1691" s="76"/>
      <c r="AG1691" s="76"/>
      <c r="AH1691" s="76"/>
      <c r="AI1691" s="76">
        <v>1</v>
      </c>
      <c r="AJ1691" s="76">
        <v>1</v>
      </c>
      <c r="AK1691" s="73"/>
      <c r="AL1691" s="57"/>
      <c r="AM1691" s="45"/>
      <c r="AN1691" s="45"/>
      <c r="AO1691" s="45"/>
    </row>
    <row r="1692" spans="1:41" hidden="1" outlineLevel="2" collapsed="1" x14ac:dyDescent="0.25">
      <c r="A1692" s="45"/>
      <c r="B1692" s="54"/>
      <c r="C1692" s="47">
        <f t="shared" si="568"/>
        <v>4</v>
      </c>
      <c r="D1692" s="73"/>
      <c r="E1692" s="70"/>
      <c r="F1692" s="70" t="s">
        <v>2391</v>
      </c>
      <c r="G1692" s="73"/>
      <c r="H1692" s="374" t="s">
        <v>2783</v>
      </c>
      <c r="I1692" s="76"/>
      <c r="J1692" s="76"/>
      <c r="K1692" s="76"/>
      <c r="L1692" s="76"/>
      <c r="M1692" s="76"/>
      <c r="N1692" s="76"/>
      <c r="O1692" s="76"/>
      <c r="P1692" s="76"/>
      <c r="Q1692" s="76"/>
      <c r="R1692" s="76"/>
      <c r="S1692" s="76"/>
      <c r="T1692" s="76"/>
      <c r="U1692" s="97">
        <v>-2.75E-2</v>
      </c>
      <c r="V1692" s="255">
        <f>U1692</f>
        <v>-2.75E-2</v>
      </c>
      <c r="W1692" s="255">
        <f>U1692</f>
        <v>-2.75E-2</v>
      </c>
      <c r="X1692" s="255">
        <f>V1692</f>
        <v>-2.75E-2</v>
      </c>
      <c r="Y1692" s="255">
        <f>W1692</f>
        <v>-2.75E-2</v>
      </c>
      <c r="Z1692" s="255">
        <f t="shared" si="570"/>
        <v>-2.75E-2</v>
      </c>
      <c r="AA1692" s="255">
        <f t="shared" si="571"/>
        <v>-2.75E-2</v>
      </c>
      <c r="AB1692" s="97">
        <v>-2.5499999999999998E-2</v>
      </c>
      <c r="AC1692" s="255">
        <f>AB1692</f>
        <v>-2.5499999999999998E-2</v>
      </c>
      <c r="AD1692" s="255">
        <f>AC1692</f>
        <v>-2.5499999999999998E-2</v>
      </c>
      <c r="AE1692" s="255">
        <f>AD1692</f>
        <v>-2.5499999999999998E-2</v>
      </c>
      <c r="AF1692" s="76"/>
      <c r="AG1692" s="76"/>
      <c r="AH1692" s="76"/>
      <c r="AI1692" s="97">
        <v>1</v>
      </c>
      <c r="AJ1692" s="97">
        <v>1</v>
      </c>
      <c r="AK1692" s="73"/>
      <c r="AL1692" s="57"/>
      <c r="AM1692" s="45"/>
      <c r="AN1692" s="45"/>
      <c r="AO1692" s="45"/>
    </row>
    <row r="1693" spans="1:41" hidden="1" outlineLevel="3" x14ac:dyDescent="0.25">
      <c r="A1693" s="45"/>
      <c r="B1693" s="54"/>
      <c r="C1693" s="47">
        <f t="shared" si="568"/>
        <v>4</v>
      </c>
      <c r="D1693" s="73"/>
      <c r="E1693" s="70"/>
      <c r="F1693" s="70" t="s">
        <v>2392</v>
      </c>
      <c r="G1693" s="73"/>
      <c r="H1693" s="373" t="s">
        <v>2784</v>
      </c>
      <c r="I1693" s="76"/>
      <c r="J1693" s="76"/>
      <c r="K1693" s="76"/>
      <c r="L1693" s="76"/>
      <c r="M1693" s="76"/>
      <c r="N1693" s="76"/>
      <c r="O1693" s="76"/>
      <c r="P1693" s="76"/>
      <c r="Q1693" s="76"/>
      <c r="R1693" s="76"/>
      <c r="S1693" s="76"/>
      <c r="T1693" s="76"/>
      <c r="U1693" s="76">
        <v>0</v>
      </c>
      <c r="V1693" s="76">
        <v>0</v>
      </c>
      <c r="W1693" s="76">
        <v>0</v>
      </c>
      <c r="X1693" s="76">
        <v>0</v>
      </c>
      <c r="Y1693" s="76">
        <v>0</v>
      </c>
      <c r="Z1693" s="76">
        <v>0</v>
      </c>
      <c r="AA1693" s="76">
        <v>0</v>
      </c>
      <c r="AB1693" s="76">
        <v>0</v>
      </c>
      <c r="AC1693" s="76">
        <v>0</v>
      </c>
      <c r="AD1693" s="76">
        <v>0</v>
      </c>
      <c r="AE1693" s="76">
        <v>0</v>
      </c>
      <c r="AF1693" s="76"/>
      <c r="AG1693" s="76"/>
      <c r="AH1693" s="76"/>
      <c r="AI1693" s="76">
        <v>1</v>
      </c>
      <c r="AJ1693" s="76">
        <v>1</v>
      </c>
      <c r="AK1693" s="73"/>
      <c r="AL1693" s="57"/>
      <c r="AM1693" s="45"/>
      <c r="AN1693" s="45"/>
      <c r="AO1693" s="45"/>
    </row>
    <row r="1694" spans="1:41" hidden="1" outlineLevel="3" x14ac:dyDescent="0.25">
      <c r="A1694" s="45"/>
      <c r="B1694" s="54"/>
      <c r="C1694" s="47">
        <f t="shared" si="568"/>
        <v>4</v>
      </c>
      <c r="D1694" s="73"/>
      <c r="E1694" s="70"/>
      <c r="F1694" s="70" t="str">
        <f>SUBSTITUTE(F1688,",4)",",8)")</f>
        <v>C(U2,24,2)</v>
      </c>
      <c r="G1694" s="73"/>
      <c r="H1694" s="374" t="s">
        <v>2778</v>
      </c>
      <c r="I1694" s="96"/>
      <c r="J1694" s="76"/>
      <c r="K1694" s="76"/>
      <c r="L1694" s="76"/>
      <c r="M1694" s="76"/>
      <c r="N1694" s="76"/>
      <c r="O1694" s="76"/>
      <c r="P1694" s="76"/>
      <c r="Q1694" s="76"/>
      <c r="R1694" s="76"/>
      <c r="S1694" s="76"/>
      <c r="T1694" s="76"/>
      <c r="U1694" s="76"/>
      <c r="V1694" s="76"/>
      <c r="W1694" s="76"/>
      <c r="X1694" s="76"/>
      <c r="Y1694" s="76"/>
      <c r="Z1694" s="76"/>
      <c r="AA1694" s="76"/>
      <c r="AB1694" s="76"/>
      <c r="AC1694" s="76"/>
      <c r="AD1694" s="76"/>
      <c r="AE1694" s="76"/>
      <c r="AF1694" s="76"/>
      <c r="AG1694" s="76"/>
      <c r="AH1694" s="76"/>
      <c r="AI1694" s="76">
        <v>1</v>
      </c>
      <c r="AJ1694" s="76">
        <v>1</v>
      </c>
      <c r="AK1694" s="73"/>
      <c r="AL1694" s="57"/>
      <c r="AM1694" s="45"/>
      <c r="AN1694" s="45"/>
      <c r="AO1694" s="45"/>
    </row>
    <row r="1695" spans="1:41" hidden="1" outlineLevel="3" x14ac:dyDescent="0.25">
      <c r="A1695" s="45"/>
      <c r="B1695" s="54"/>
      <c r="C1695" s="47">
        <f t="shared" si="568"/>
        <v>4</v>
      </c>
      <c r="D1695" s="73"/>
      <c r="E1695" s="70"/>
      <c r="F1695" s="70" t="str">
        <f>SUBSTITUTE(F1689,",5)",",9)")</f>
        <v>C(U2,24,3)</v>
      </c>
      <c r="G1695" s="73"/>
      <c r="H1695" s="374" t="s">
        <v>2775</v>
      </c>
      <c r="I1695" s="96"/>
      <c r="J1695" s="76"/>
      <c r="K1695" s="76"/>
      <c r="L1695" s="76"/>
      <c r="M1695" s="76"/>
      <c r="N1695" s="76"/>
      <c r="O1695" s="76"/>
      <c r="P1695" s="76"/>
      <c r="Q1695" s="76"/>
      <c r="R1695" s="76"/>
      <c r="S1695" s="76"/>
      <c r="T1695" s="76"/>
      <c r="U1695" s="76"/>
      <c r="V1695" s="76"/>
      <c r="W1695" s="76"/>
      <c r="X1695" s="76"/>
      <c r="Y1695" s="76"/>
      <c r="Z1695" s="76"/>
      <c r="AA1695" s="76"/>
      <c r="AB1695" s="76"/>
      <c r="AC1695" s="76"/>
      <c r="AD1695" s="76"/>
      <c r="AE1695" s="76"/>
      <c r="AF1695" s="76"/>
      <c r="AG1695" s="76"/>
      <c r="AH1695" s="76"/>
      <c r="AI1695" s="76">
        <v>1</v>
      </c>
      <c r="AJ1695" s="76">
        <v>1</v>
      </c>
      <c r="AK1695" s="73"/>
      <c r="AL1695" s="57"/>
      <c r="AM1695" s="45"/>
      <c r="AN1695" s="45"/>
      <c r="AO1695" s="45"/>
    </row>
    <row r="1696" spans="1:41" hidden="1" outlineLevel="3" x14ac:dyDescent="0.25">
      <c r="A1696" s="45"/>
      <c r="B1696" s="54"/>
      <c r="C1696" s="47">
        <f t="shared" si="568"/>
        <v>4</v>
      </c>
      <c r="D1696" s="73"/>
      <c r="E1696" s="70"/>
      <c r="F1696" s="70" t="str">
        <f>SUBSTITUTE(F1692,",6)",",10)")</f>
        <v>C(U2,24,10)</v>
      </c>
      <c r="G1696" s="73"/>
      <c r="H1696" s="374" t="s">
        <v>2776</v>
      </c>
      <c r="I1696" s="96"/>
      <c r="J1696" s="76"/>
      <c r="K1696" s="76"/>
      <c r="L1696" s="76"/>
      <c r="M1696" s="76"/>
      <c r="N1696" s="76"/>
      <c r="O1696" s="76"/>
      <c r="P1696" s="76"/>
      <c r="Q1696" s="76"/>
      <c r="R1696" s="76"/>
      <c r="S1696" s="76"/>
      <c r="T1696" s="76"/>
      <c r="U1696" s="76"/>
      <c r="V1696" s="76"/>
      <c r="W1696" s="76"/>
      <c r="X1696" s="76"/>
      <c r="Y1696" s="76"/>
      <c r="Z1696" s="76"/>
      <c r="AA1696" s="76"/>
      <c r="AB1696" s="76"/>
      <c r="AC1696" s="76"/>
      <c r="AD1696" s="76"/>
      <c r="AE1696" s="76"/>
      <c r="AF1696" s="76"/>
      <c r="AG1696" s="76"/>
      <c r="AH1696" s="76"/>
      <c r="AI1696" s="76">
        <v>1</v>
      </c>
      <c r="AJ1696" s="76">
        <v>1</v>
      </c>
      <c r="AK1696" s="73"/>
      <c r="AL1696" s="57"/>
      <c r="AM1696" s="45"/>
      <c r="AN1696" s="45"/>
      <c r="AO1696" s="45"/>
    </row>
    <row r="1697" spans="1:41" hidden="1" outlineLevel="3" x14ac:dyDescent="0.25">
      <c r="A1697" s="45"/>
      <c r="B1697" s="54"/>
      <c r="C1697" s="47">
        <f t="shared" si="568"/>
        <v>4</v>
      </c>
      <c r="D1697" s="73"/>
      <c r="E1697" s="70"/>
      <c r="F1697" s="70" t="str">
        <f>SUBSTITUTE(F1693,",7)",",11)")</f>
        <v>C(U2,24,11)</v>
      </c>
      <c r="G1697" s="73"/>
      <c r="H1697" s="374" t="s">
        <v>2777</v>
      </c>
      <c r="I1697" s="96"/>
      <c r="J1697" s="76"/>
      <c r="K1697" s="76"/>
      <c r="L1697" s="76"/>
      <c r="M1697" s="76"/>
      <c r="N1697" s="76"/>
      <c r="O1697" s="76"/>
      <c r="P1697" s="76"/>
      <c r="Q1697" s="76"/>
      <c r="R1697" s="76"/>
      <c r="S1697" s="76"/>
      <c r="T1697" s="76"/>
      <c r="U1697" s="76"/>
      <c r="V1697" s="76"/>
      <c r="W1697" s="76"/>
      <c r="X1697" s="76"/>
      <c r="Y1697" s="76"/>
      <c r="Z1697" s="76"/>
      <c r="AA1697" s="76"/>
      <c r="AB1697" s="76"/>
      <c r="AC1697" s="76"/>
      <c r="AD1697" s="76"/>
      <c r="AE1697" s="76"/>
      <c r="AF1697" s="76"/>
      <c r="AG1697" s="76"/>
      <c r="AH1697" s="76"/>
      <c r="AI1697" s="76">
        <v>1</v>
      </c>
      <c r="AJ1697" s="76">
        <v>1</v>
      </c>
      <c r="AK1697" s="73"/>
      <c r="AL1697" s="57"/>
      <c r="AM1697" s="45"/>
      <c r="AN1697" s="45"/>
      <c r="AO1697" s="45"/>
    </row>
    <row r="1698" spans="1:41" hidden="1" outlineLevel="2" x14ac:dyDescent="0.25">
      <c r="A1698" s="45"/>
      <c r="B1698" s="54"/>
      <c r="C1698" s="47">
        <f t="shared" si="568"/>
        <v>4</v>
      </c>
      <c r="D1698" s="73"/>
      <c r="E1698" s="70"/>
      <c r="F1698" s="70" t="s">
        <v>3312</v>
      </c>
      <c r="G1698" s="73"/>
      <c r="H1698" s="374" t="s">
        <v>3311</v>
      </c>
      <c r="I1698" s="96"/>
      <c r="J1698" s="76"/>
      <c r="K1698" s="76"/>
      <c r="L1698" s="76"/>
      <c r="M1698" s="76"/>
      <c r="N1698" s="76"/>
      <c r="O1698" s="76"/>
      <c r="P1698" s="76"/>
      <c r="Q1698" s="76"/>
      <c r="R1698" s="76"/>
      <c r="S1698" s="76"/>
      <c r="T1698" s="76"/>
      <c r="U1698" s="97">
        <v>0</v>
      </c>
      <c r="V1698" s="97">
        <v>0</v>
      </c>
      <c r="W1698" s="97">
        <v>0</v>
      </c>
      <c r="X1698" s="97">
        <v>0</v>
      </c>
      <c r="Y1698" s="97">
        <v>0</v>
      </c>
      <c r="Z1698" s="97">
        <v>0</v>
      </c>
      <c r="AA1698" s="97">
        <v>0</v>
      </c>
      <c r="AB1698" s="97">
        <v>0</v>
      </c>
      <c r="AC1698" s="97">
        <v>0</v>
      </c>
      <c r="AD1698" s="97">
        <v>0</v>
      </c>
      <c r="AE1698" s="97">
        <v>0</v>
      </c>
      <c r="AF1698" s="76"/>
      <c r="AG1698" s="76"/>
      <c r="AH1698" s="76"/>
      <c r="AI1698" s="76">
        <v>1</v>
      </c>
      <c r="AJ1698" s="76">
        <v>1</v>
      </c>
      <c r="AK1698" s="73"/>
      <c r="AL1698" s="57"/>
      <c r="AM1698" s="45"/>
      <c r="AN1698" s="45"/>
      <c r="AO1698" s="45"/>
    </row>
    <row r="1699" spans="1:41" hidden="1" outlineLevel="2" x14ac:dyDescent="0.25">
      <c r="A1699" s="45"/>
      <c r="B1699" s="54"/>
      <c r="C1699" s="47">
        <f t="shared" si="568"/>
        <v>4</v>
      </c>
      <c r="D1699" s="73"/>
      <c r="E1699" s="70"/>
      <c r="F1699" s="70" t="s">
        <v>3313</v>
      </c>
      <c r="G1699" s="73"/>
      <c r="H1699" s="374" t="s">
        <v>3310</v>
      </c>
      <c r="I1699" s="96"/>
      <c r="J1699" s="76"/>
      <c r="K1699" s="76"/>
      <c r="L1699" s="76"/>
      <c r="M1699" s="76"/>
      <c r="N1699" s="76"/>
      <c r="O1699" s="76"/>
      <c r="P1699" s="76"/>
      <c r="Q1699" s="76"/>
      <c r="R1699" s="76"/>
      <c r="S1699" s="76"/>
      <c r="T1699" s="76"/>
      <c r="U1699" s="97">
        <v>0</v>
      </c>
      <c r="V1699" s="97">
        <v>0</v>
      </c>
      <c r="W1699" s="97">
        <v>0</v>
      </c>
      <c r="X1699" s="97">
        <v>0</v>
      </c>
      <c r="Y1699" s="97">
        <v>0</v>
      </c>
      <c r="Z1699" s="97">
        <v>0</v>
      </c>
      <c r="AA1699" s="97">
        <v>0</v>
      </c>
      <c r="AB1699" s="97">
        <v>0</v>
      </c>
      <c r="AC1699" s="97">
        <v>0</v>
      </c>
      <c r="AD1699" s="97">
        <v>0</v>
      </c>
      <c r="AE1699" s="97">
        <v>0</v>
      </c>
      <c r="AF1699" s="76"/>
      <c r="AG1699" s="76"/>
      <c r="AH1699" s="76"/>
      <c r="AI1699" s="76">
        <v>1</v>
      </c>
      <c r="AJ1699" s="76">
        <v>1</v>
      </c>
      <c r="AK1699" s="73"/>
      <c r="AL1699" s="57"/>
      <c r="AM1699" s="45"/>
      <c r="AN1699" s="45"/>
      <c r="AO1699" s="45"/>
    </row>
    <row r="1700" spans="1:41" hidden="1" outlineLevel="2" x14ac:dyDescent="0.25">
      <c r="A1700" s="45"/>
      <c r="B1700" s="54"/>
      <c r="C1700" s="47">
        <f>INT($C$29)+2</f>
        <v>3</v>
      </c>
      <c r="D1700" s="73"/>
      <c r="E1700" s="70"/>
      <c r="F1700" s="70" t="s">
        <v>2393</v>
      </c>
      <c r="G1700" s="73"/>
      <c r="H1700" s="76" t="s">
        <v>2785</v>
      </c>
      <c r="I1700" s="76"/>
      <c r="J1700" s="76"/>
      <c r="K1700" s="76"/>
      <c r="L1700" s="76"/>
      <c r="M1700" s="76"/>
      <c r="N1700" s="76"/>
      <c r="O1700" s="76"/>
      <c r="P1700" s="76"/>
      <c r="Q1700" s="76"/>
      <c r="R1700" s="76"/>
      <c r="S1700" s="76"/>
      <c r="T1700" s="76"/>
      <c r="U1700" s="97">
        <v>15.275</v>
      </c>
      <c r="V1700" s="255">
        <f>U1700</f>
        <v>15.275</v>
      </c>
      <c r="W1700" s="255">
        <f t="shared" ref="W1700:X1717" si="572">U1700</f>
        <v>15.275</v>
      </c>
      <c r="X1700" s="255">
        <f t="shared" si="572"/>
        <v>15.275</v>
      </c>
      <c r="Y1700" s="255">
        <f t="shared" ref="Y1700" si="573">W1700</f>
        <v>15.275</v>
      </c>
      <c r="Z1700" s="255">
        <f t="shared" ref="Z1700" si="574">X1700</f>
        <v>15.275</v>
      </c>
      <c r="AA1700" s="255">
        <f t="shared" ref="AA1700" si="575">Y1700</f>
        <v>15.275</v>
      </c>
      <c r="AB1700" s="97">
        <v>11.141</v>
      </c>
      <c r="AC1700" s="255">
        <f t="shared" ref="AC1700:AD1717" si="576">AB1700</f>
        <v>11.141</v>
      </c>
      <c r="AD1700" s="255">
        <f t="shared" si="576"/>
        <v>11.141</v>
      </c>
      <c r="AE1700" s="255">
        <f>AD1700</f>
        <v>11.141</v>
      </c>
      <c r="AF1700" s="76"/>
      <c r="AG1700" s="76"/>
      <c r="AH1700" s="76"/>
      <c r="AI1700" s="97">
        <v>1</v>
      </c>
      <c r="AJ1700" s="97">
        <v>1</v>
      </c>
      <c r="AK1700" s="73"/>
      <c r="AL1700" s="57"/>
      <c r="AM1700" s="45"/>
      <c r="AN1700" s="45"/>
      <c r="AO1700" s="45"/>
    </row>
    <row r="1701" spans="1:41" hidden="1" outlineLevel="2" x14ac:dyDescent="0.25">
      <c r="A1701" s="45"/>
      <c r="B1701" s="54"/>
      <c r="C1701" s="47">
        <f>INT($C$29)+2</f>
        <v>3</v>
      </c>
      <c r="D1701" s="73"/>
      <c r="E1701" s="70"/>
      <c r="F1701" s="70" t="s">
        <v>2442</v>
      </c>
      <c r="G1701" s="73"/>
      <c r="H1701" s="76" t="s">
        <v>3762</v>
      </c>
      <c r="I1701" s="76"/>
      <c r="J1701" s="76"/>
      <c r="K1701" s="76"/>
      <c r="L1701" s="76"/>
      <c r="M1701" s="76"/>
      <c r="N1701" s="76"/>
      <c r="O1701" s="76"/>
      <c r="P1701" s="76"/>
      <c r="Q1701" s="76"/>
      <c r="R1701" s="76"/>
      <c r="S1701" s="76"/>
      <c r="T1701" s="76"/>
      <c r="U1701" s="97">
        <v>-0.24499299999999999</v>
      </c>
      <c r="V1701" s="255">
        <f t="shared" ref="V1701:V1715" si="577">U1701</f>
        <v>-0.24499299999999999</v>
      </c>
      <c r="W1701" s="255">
        <f t="shared" ref="W1701:W1703" si="578">V1701</f>
        <v>-0.24499299999999999</v>
      </c>
      <c r="X1701" s="255">
        <f t="shared" ref="X1701:X1703" si="579">W1701</f>
        <v>-0.24499299999999999</v>
      </c>
      <c r="Y1701" s="255">
        <f t="shared" ref="Y1701:Y1703" si="580">X1701</f>
        <v>-0.24499299999999999</v>
      </c>
      <c r="Z1701" s="255">
        <f t="shared" ref="Z1701:Z1703" si="581">Y1701</f>
        <v>-0.24499299999999999</v>
      </c>
      <c r="AA1701" s="255">
        <f t="shared" ref="AA1701:AA1703" si="582">Z1701</f>
        <v>-0.24499299999999999</v>
      </c>
      <c r="AB1701" s="97">
        <f>$U1701</f>
        <v>-0.24499299999999999</v>
      </c>
      <c r="AC1701" s="255">
        <f t="shared" si="576"/>
        <v>-0.24499299999999999</v>
      </c>
      <c r="AD1701" s="255">
        <f t="shared" si="576"/>
        <v>-0.24499299999999999</v>
      </c>
      <c r="AE1701" s="255">
        <f>AD1701</f>
        <v>-0.24499299999999999</v>
      </c>
      <c r="AF1701" s="76"/>
      <c r="AG1701" s="97" t="s">
        <v>3761</v>
      </c>
      <c r="AH1701" s="76"/>
      <c r="AI1701" s="97">
        <v>1</v>
      </c>
      <c r="AJ1701" s="97">
        <v>1</v>
      </c>
      <c r="AK1701" s="73"/>
      <c r="AL1701" s="57"/>
      <c r="AM1701" s="45"/>
      <c r="AN1701" s="45"/>
      <c r="AO1701" s="45"/>
    </row>
    <row r="1702" spans="1:41" hidden="1" outlineLevel="2" x14ac:dyDescent="0.25">
      <c r="A1702" s="45"/>
      <c r="B1702" s="54"/>
      <c r="C1702" s="47">
        <f>INT($C$29)+2</f>
        <v>3</v>
      </c>
      <c r="D1702" s="73"/>
      <c r="E1702" s="70"/>
      <c r="F1702" s="70" t="s">
        <v>2443</v>
      </c>
      <c r="G1702" s="73"/>
      <c r="H1702" s="76" t="s">
        <v>2466</v>
      </c>
      <c r="I1702" s="76"/>
      <c r="J1702" s="76"/>
      <c r="K1702" s="76"/>
      <c r="L1702" s="76"/>
      <c r="M1702" s="76"/>
      <c r="N1702" s="76"/>
      <c r="O1702" s="76"/>
      <c r="P1702" s="76"/>
      <c r="Q1702" s="76"/>
      <c r="R1702" s="76"/>
      <c r="S1702" s="76"/>
      <c r="T1702" s="76"/>
      <c r="U1702" s="97">
        <v>1.5045E-3</v>
      </c>
      <c r="V1702" s="255">
        <f t="shared" ref="V1702" si="583">U1702</f>
        <v>1.5045E-3</v>
      </c>
      <c r="W1702" s="255">
        <f t="shared" si="578"/>
        <v>1.5045E-3</v>
      </c>
      <c r="X1702" s="255">
        <f t="shared" si="579"/>
        <v>1.5045E-3</v>
      </c>
      <c r="Y1702" s="255">
        <f t="shared" si="580"/>
        <v>1.5045E-3</v>
      </c>
      <c r="Z1702" s="255">
        <f t="shared" si="581"/>
        <v>1.5045E-3</v>
      </c>
      <c r="AA1702" s="255">
        <f t="shared" si="582"/>
        <v>1.5045E-3</v>
      </c>
      <c r="AB1702" s="97">
        <f>$U1702</f>
        <v>1.5045E-3</v>
      </c>
      <c r="AC1702" s="255">
        <f t="shared" ref="AC1702" si="584">AB1702</f>
        <v>1.5045E-3</v>
      </c>
      <c r="AD1702" s="255">
        <f t="shared" ref="AD1702" si="585">AC1702</f>
        <v>1.5045E-3</v>
      </c>
      <c r="AE1702" s="255">
        <f>AD1702</f>
        <v>1.5045E-3</v>
      </c>
      <c r="AF1702" s="76"/>
      <c r="AG1702" s="76"/>
      <c r="AH1702" s="76"/>
      <c r="AI1702" s="76">
        <v>1</v>
      </c>
      <c r="AJ1702" s="76">
        <v>1</v>
      </c>
      <c r="AK1702" s="73"/>
      <c r="AL1702" s="57"/>
      <c r="AM1702" s="45"/>
      <c r="AN1702" s="45"/>
      <c r="AO1702" s="45"/>
    </row>
    <row r="1703" spans="1:41" hidden="1" outlineLevel="2" collapsed="1" x14ac:dyDescent="0.25">
      <c r="A1703" s="45"/>
      <c r="B1703" s="54"/>
      <c r="C1703" s="47">
        <f t="shared" ref="C1703:C1714" si="586">INT($C$29)+3</f>
        <v>4</v>
      </c>
      <c r="D1703" s="73"/>
      <c r="E1703" s="70"/>
      <c r="F1703" s="70" t="s">
        <v>2444</v>
      </c>
      <c r="G1703" s="73"/>
      <c r="H1703" s="374" t="s">
        <v>2468</v>
      </c>
      <c r="I1703" s="76"/>
      <c r="J1703" s="76"/>
      <c r="K1703" s="76"/>
      <c r="L1703" s="76"/>
      <c r="M1703" s="76"/>
      <c r="N1703" s="76"/>
      <c r="O1703" s="76"/>
      <c r="P1703" s="76"/>
      <c r="Q1703" s="76"/>
      <c r="R1703" s="76"/>
      <c r="S1703" s="76"/>
      <c r="T1703" s="76"/>
      <c r="U1703" s="97">
        <v>-1.0594000000000001E-4</v>
      </c>
      <c r="V1703" s="255">
        <f>U1703</f>
        <v>-1.0594000000000001E-4</v>
      </c>
      <c r="W1703" s="255">
        <f t="shared" si="578"/>
        <v>-1.0594000000000001E-4</v>
      </c>
      <c r="X1703" s="255">
        <f t="shared" si="579"/>
        <v>-1.0594000000000001E-4</v>
      </c>
      <c r="Y1703" s="255">
        <f t="shared" si="580"/>
        <v>-1.0594000000000001E-4</v>
      </c>
      <c r="Z1703" s="255">
        <f t="shared" si="581"/>
        <v>-1.0594000000000001E-4</v>
      </c>
      <c r="AA1703" s="255">
        <f t="shared" si="582"/>
        <v>-1.0594000000000001E-4</v>
      </c>
      <c r="AB1703" s="97">
        <f t="shared" ref="AB1703:AB1715" si="587">$U1703</f>
        <v>-1.0594000000000001E-4</v>
      </c>
      <c r="AC1703" s="255">
        <f>AB1703</f>
        <v>-1.0594000000000001E-4</v>
      </c>
      <c r="AD1703" s="255">
        <f>AC1703</f>
        <v>-1.0594000000000001E-4</v>
      </c>
      <c r="AE1703" s="255">
        <f>AD1703</f>
        <v>-1.0594000000000001E-4</v>
      </c>
      <c r="AF1703" s="76"/>
      <c r="AG1703" s="97" t="s">
        <v>3780</v>
      </c>
      <c r="AH1703" s="76"/>
      <c r="AI1703" s="97">
        <v>1</v>
      </c>
      <c r="AJ1703" s="97">
        <v>1</v>
      </c>
      <c r="AK1703" s="73"/>
      <c r="AL1703" s="57"/>
      <c r="AM1703" s="45"/>
      <c r="AN1703" s="45"/>
      <c r="AO1703" s="45"/>
    </row>
    <row r="1704" spans="1:41" hidden="1" outlineLevel="3" x14ac:dyDescent="0.25">
      <c r="A1704" s="45"/>
      <c r="B1704" s="54"/>
      <c r="C1704" s="47">
        <f t="shared" si="586"/>
        <v>4</v>
      </c>
      <c r="D1704" s="73"/>
      <c r="E1704" s="70"/>
      <c r="F1704" s="70" t="s">
        <v>2445</v>
      </c>
      <c r="G1704" s="73"/>
      <c r="H1704" s="373" t="s">
        <v>2721</v>
      </c>
      <c r="I1704" s="76"/>
      <c r="J1704" s="76"/>
      <c r="K1704" s="76"/>
      <c r="L1704" s="76"/>
      <c r="M1704" s="76"/>
      <c r="N1704" s="76"/>
      <c r="O1704" s="76"/>
      <c r="P1704" s="76"/>
      <c r="Q1704" s="76"/>
      <c r="R1704" s="76"/>
      <c r="S1704" s="76"/>
      <c r="T1704" s="76"/>
      <c r="U1704" s="76">
        <v>0</v>
      </c>
      <c r="V1704" s="76">
        <v>0</v>
      </c>
      <c r="W1704" s="76">
        <v>0</v>
      </c>
      <c r="X1704" s="76">
        <v>0</v>
      </c>
      <c r="Y1704" s="76">
        <v>0</v>
      </c>
      <c r="Z1704" s="76">
        <v>0</v>
      </c>
      <c r="AA1704" s="76">
        <v>0</v>
      </c>
      <c r="AB1704" s="76">
        <f t="shared" si="587"/>
        <v>0</v>
      </c>
      <c r="AC1704" s="76">
        <v>0</v>
      </c>
      <c r="AD1704" s="76">
        <v>0</v>
      </c>
      <c r="AE1704" s="76">
        <v>0</v>
      </c>
      <c r="AF1704" s="76"/>
      <c r="AG1704" s="76"/>
      <c r="AH1704" s="76"/>
      <c r="AI1704" s="76">
        <v>1</v>
      </c>
      <c r="AJ1704" s="76">
        <v>1</v>
      </c>
      <c r="AK1704" s="73"/>
      <c r="AL1704" s="57"/>
      <c r="AM1704" s="45"/>
      <c r="AN1704" s="45"/>
      <c r="AO1704" s="45"/>
    </row>
    <row r="1705" spans="1:41" hidden="1" outlineLevel="3" collapsed="1" x14ac:dyDescent="0.25">
      <c r="A1705" s="45"/>
      <c r="B1705" s="54"/>
      <c r="C1705" s="47">
        <f t="shared" si="586"/>
        <v>4</v>
      </c>
      <c r="D1705" s="73"/>
      <c r="E1705" s="70"/>
      <c r="F1705" s="70" t="s">
        <v>2446</v>
      </c>
      <c r="G1705" s="73"/>
      <c r="H1705" s="374" t="s">
        <v>2467</v>
      </c>
      <c r="I1705" s="76"/>
      <c r="J1705" s="76"/>
      <c r="K1705" s="76"/>
      <c r="L1705" s="76"/>
      <c r="M1705" s="76"/>
      <c r="N1705" s="76"/>
      <c r="O1705" s="76"/>
      <c r="P1705" s="76"/>
      <c r="Q1705" s="76"/>
      <c r="R1705" s="76"/>
      <c r="S1705" s="76"/>
      <c r="T1705" s="76"/>
      <c r="U1705" s="76">
        <v>0</v>
      </c>
      <c r="V1705" s="76">
        <v>0</v>
      </c>
      <c r="W1705" s="76">
        <v>0</v>
      </c>
      <c r="X1705" s="76">
        <v>0</v>
      </c>
      <c r="Y1705" s="76">
        <v>0</v>
      </c>
      <c r="Z1705" s="76">
        <v>0</v>
      </c>
      <c r="AA1705" s="76">
        <v>0</v>
      </c>
      <c r="AB1705" s="76">
        <f t="shared" si="587"/>
        <v>0</v>
      </c>
      <c r="AC1705" s="76">
        <v>0</v>
      </c>
      <c r="AD1705" s="76">
        <v>0</v>
      </c>
      <c r="AE1705" s="76">
        <v>0</v>
      </c>
      <c r="AF1705" s="76"/>
      <c r="AG1705" s="76"/>
      <c r="AH1705" s="76"/>
      <c r="AI1705" s="97">
        <v>1</v>
      </c>
      <c r="AJ1705" s="97">
        <v>1</v>
      </c>
      <c r="AK1705" s="73"/>
      <c r="AL1705" s="57"/>
      <c r="AM1705" s="45"/>
      <c r="AN1705" s="45"/>
      <c r="AO1705" s="45"/>
    </row>
    <row r="1706" spans="1:41" hidden="1" outlineLevel="3" x14ac:dyDescent="0.25">
      <c r="A1706" s="45"/>
      <c r="B1706" s="54"/>
      <c r="C1706" s="47">
        <f t="shared" si="586"/>
        <v>4</v>
      </c>
      <c r="D1706" s="73"/>
      <c r="E1706" s="70"/>
      <c r="F1706" s="70" t="s">
        <v>2447</v>
      </c>
      <c r="G1706" s="73"/>
      <c r="H1706" s="374" t="s">
        <v>2722</v>
      </c>
      <c r="I1706" s="76"/>
      <c r="J1706" s="76"/>
      <c r="K1706" s="76"/>
      <c r="L1706" s="76"/>
      <c r="M1706" s="76"/>
      <c r="N1706" s="76"/>
      <c r="O1706" s="76"/>
      <c r="P1706" s="76"/>
      <c r="Q1706" s="76"/>
      <c r="R1706" s="76"/>
      <c r="S1706" s="76"/>
      <c r="T1706" s="76"/>
      <c r="U1706" s="76">
        <v>0</v>
      </c>
      <c r="V1706" s="76">
        <v>0</v>
      </c>
      <c r="W1706" s="76">
        <v>0</v>
      </c>
      <c r="X1706" s="76">
        <v>0</v>
      </c>
      <c r="Y1706" s="76">
        <v>0</v>
      </c>
      <c r="Z1706" s="76">
        <v>0</v>
      </c>
      <c r="AA1706" s="76">
        <v>0</v>
      </c>
      <c r="AB1706" s="76">
        <f t="shared" si="587"/>
        <v>0</v>
      </c>
      <c r="AC1706" s="76">
        <v>0</v>
      </c>
      <c r="AD1706" s="76">
        <v>0</v>
      </c>
      <c r="AE1706" s="76">
        <v>0</v>
      </c>
      <c r="AF1706" s="76"/>
      <c r="AG1706" s="76"/>
      <c r="AH1706" s="76"/>
      <c r="AI1706" s="76">
        <v>1</v>
      </c>
      <c r="AJ1706" s="76">
        <v>1</v>
      </c>
      <c r="AK1706" s="73"/>
      <c r="AL1706" s="57"/>
      <c r="AM1706" s="45"/>
      <c r="AN1706" s="45"/>
      <c r="AO1706" s="45"/>
    </row>
    <row r="1707" spans="1:41" hidden="1" outlineLevel="2" collapsed="1" x14ac:dyDescent="0.25">
      <c r="A1707" s="45"/>
      <c r="B1707" s="54"/>
      <c r="C1707" s="47">
        <f t="shared" si="586"/>
        <v>4</v>
      </c>
      <c r="D1707" s="73"/>
      <c r="E1707" s="70"/>
      <c r="F1707" s="70" t="s">
        <v>2448</v>
      </c>
      <c r="G1707" s="73"/>
      <c r="H1707" s="374" t="s">
        <v>2469</v>
      </c>
      <c r="I1707" s="76"/>
      <c r="J1707" s="76"/>
      <c r="K1707" s="76"/>
      <c r="L1707" s="76"/>
      <c r="M1707" s="76"/>
      <c r="N1707" s="76"/>
      <c r="O1707" s="76"/>
      <c r="P1707" s="76"/>
      <c r="Q1707" s="76"/>
      <c r="R1707" s="76"/>
      <c r="S1707" s="76"/>
      <c r="T1707" s="76"/>
      <c r="U1707" s="97">
        <v>-3.6999999999999998E-2</v>
      </c>
      <c r="V1707" s="255">
        <f t="shared" si="577"/>
        <v>-3.6999999999999998E-2</v>
      </c>
      <c r="W1707" s="255">
        <f t="shared" ref="W1707:W1708" si="588">V1707</f>
        <v>-3.6999999999999998E-2</v>
      </c>
      <c r="X1707" s="255">
        <f t="shared" ref="X1707:X1708" si="589">W1707</f>
        <v>-3.6999999999999998E-2</v>
      </c>
      <c r="Y1707" s="255">
        <f t="shared" ref="Y1707:Y1708" si="590">X1707</f>
        <v>-3.6999999999999998E-2</v>
      </c>
      <c r="Z1707" s="255">
        <f t="shared" ref="Z1707:Z1708" si="591">Y1707</f>
        <v>-3.6999999999999998E-2</v>
      </c>
      <c r="AA1707" s="255">
        <f t="shared" ref="AA1707:AA1708" si="592">Z1707</f>
        <v>-3.6999999999999998E-2</v>
      </c>
      <c r="AB1707" s="97">
        <f t="shared" si="587"/>
        <v>-3.6999999999999998E-2</v>
      </c>
      <c r="AC1707" s="255">
        <f>AB1707</f>
        <v>-3.6999999999999998E-2</v>
      </c>
      <c r="AD1707" s="255">
        <f>AC1707</f>
        <v>-3.6999999999999998E-2</v>
      </c>
      <c r="AE1707" s="255">
        <f>AD1707</f>
        <v>-3.6999999999999998E-2</v>
      </c>
      <c r="AF1707" s="76"/>
      <c r="AG1707" s="76"/>
      <c r="AH1707" s="76"/>
      <c r="AI1707" s="97">
        <v>1</v>
      </c>
      <c r="AJ1707" s="97">
        <v>1</v>
      </c>
      <c r="AK1707" s="73"/>
      <c r="AL1707" s="57"/>
      <c r="AM1707" s="45"/>
      <c r="AN1707" s="45"/>
      <c r="AO1707" s="45"/>
    </row>
    <row r="1708" spans="1:41" hidden="1" outlineLevel="3" x14ac:dyDescent="0.25">
      <c r="A1708" s="45"/>
      <c r="B1708" s="54"/>
      <c r="C1708" s="47">
        <f t="shared" si="586"/>
        <v>4</v>
      </c>
      <c r="D1708" s="73"/>
      <c r="E1708" s="70"/>
      <c r="F1708" s="70" t="s">
        <v>2449</v>
      </c>
      <c r="G1708" s="73"/>
      <c r="H1708" s="373" t="s">
        <v>2723</v>
      </c>
      <c r="I1708" s="76"/>
      <c r="J1708" s="76"/>
      <c r="K1708" s="76"/>
      <c r="L1708" s="76"/>
      <c r="M1708" s="76"/>
      <c r="N1708" s="76"/>
      <c r="O1708" s="76"/>
      <c r="P1708" s="76"/>
      <c r="Q1708" s="76"/>
      <c r="R1708" s="76"/>
      <c r="S1708" s="76"/>
      <c r="T1708" s="76"/>
      <c r="U1708" s="76">
        <v>0</v>
      </c>
      <c r="V1708" s="255">
        <f t="shared" si="577"/>
        <v>0</v>
      </c>
      <c r="W1708" s="255">
        <f t="shared" si="588"/>
        <v>0</v>
      </c>
      <c r="X1708" s="255">
        <f t="shared" si="589"/>
        <v>0</v>
      </c>
      <c r="Y1708" s="255">
        <f t="shared" si="590"/>
        <v>0</v>
      </c>
      <c r="Z1708" s="255">
        <f t="shared" si="591"/>
        <v>0</v>
      </c>
      <c r="AA1708" s="255">
        <f t="shared" si="592"/>
        <v>0</v>
      </c>
      <c r="AB1708" s="76">
        <f t="shared" si="587"/>
        <v>0</v>
      </c>
      <c r="AC1708" s="76">
        <v>0</v>
      </c>
      <c r="AD1708" s="76">
        <v>0</v>
      </c>
      <c r="AE1708" s="76">
        <v>0</v>
      </c>
      <c r="AF1708" s="76"/>
      <c r="AG1708" s="76"/>
      <c r="AH1708" s="76"/>
      <c r="AI1708" s="76">
        <v>1</v>
      </c>
      <c r="AJ1708" s="76">
        <v>1</v>
      </c>
      <c r="AK1708" s="73"/>
      <c r="AL1708" s="57"/>
      <c r="AM1708" s="45"/>
      <c r="AN1708" s="45"/>
      <c r="AO1708" s="45"/>
    </row>
    <row r="1709" spans="1:41" hidden="1" outlineLevel="2" x14ac:dyDescent="0.25">
      <c r="A1709" s="45"/>
      <c r="B1709" s="54"/>
      <c r="C1709" s="47">
        <f t="shared" si="586"/>
        <v>4</v>
      </c>
      <c r="D1709" s="73"/>
      <c r="E1709" s="70"/>
      <c r="F1709" s="70" t="str">
        <f>SUBSTITUTE(F1703,",4)",",8)")</f>
        <v>C(U2,25,2)</v>
      </c>
      <c r="G1709" s="73"/>
      <c r="H1709" s="374" t="s">
        <v>2718</v>
      </c>
      <c r="I1709" s="96"/>
      <c r="J1709" s="76"/>
      <c r="K1709" s="76"/>
      <c r="L1709" s="76"/>
      <c r="M1709" s="76"/>
      <c r="N1709" s="76"/>
      <c r="O1709" s="76"/>
      <c r="P1709" s="76"/>
      <c r="Q1709" s="76"/>
      <c r="R1709" s="76"/>
      <c r="S1709" s="76"/>
      <c r="T1709" s="76"/>
      <c r="U1709" s="76">
        <v>0</v>
      </c>
      <c r="V1709" s="76">
        <v>0</v>
      </c>
      <c r="W1709" s="76">
        <v>0</v>
      </c>
      <c r="X1709" s="76">
        <v>0</v>
      </c>
      <c r="Y1709" s="76">
        <v>0</v>
      </c>
      <c r="Z1709" s="76">
        <v>0</v>
      </c>
      <c r="AA1709" s="76">
        <v>0</v>
      </c>
      <c r="AB1709" s="76">
        <f t="shared" si="587"/>
        <v>0</v>
      </c>
      <c r="AC1709" s="76">
        <v>0</v>
      </c>
      <c r="AD1709" s="76">
        <v>0</v>
      </c>
      <c r="AE1709" s="76">
        <v>0</v>
      </c>
      <c r="AF1709" s="76"/>
      <c r="AG1709" s="76"/>
      <c r="AH1709" s="76"/>
      <c r="AI1709" s="76">
        <v>1</v>
      </c>
      <c r="AJ1709" s="76">
        <v>1</v>
      </c>
      <c r="AK1709" s="73"/>
      <c r="AL1709" s="57"/>
      <c r="AM1709" s="45"/>
      <c r="AN1709" s="45"/>
      <c r="AO1709" s="45"/>
    </row>
    <row r="1710" spans="1:41" hidden="1" outlineLevel="2" x14ac:dyDescent="0.25">
      <c r="A1710" s="45"/>
      <c r="B1710" s="54"/>
      <c r="C1710" s="47">
        <f t="shared" si="586"/>
        <v>4</v>
      </c>
      <c r="D1710" s="73"/>
      <c r="E1710" s="70"/>
      <c r="F1710" s="70" t="str">
        <f>SUBSTITUTE(F1704,",5)",",9)")</f>
        <v>C(U2,25,3)</v>
      </c>
      <c r="G1710" s="73"/>
      <c r="H1710" s="374" t="s">
        <v>2774</v>
      </c>
      <c r="I1710" s="96"/>
      <c r="J1710" s="76"/>
      <c r="K1710" s="76"/>
      <c r="L1710" s="76"/>
      <c r="M1710" s="76"/>
      <c r="N1710" s="76"/>
      <c r="O1710" s="76"/>
      <c r="P1710" s="76"/>
      <c r="Q1710" s="76"/>
      <c r="R1710" s="76"/>
      <c r="S1710" s="76"/>
      <c r="T1710" s="76"/>
      <c r="U1710" s="97">
        <v>-9.3500000000000007E-3</v>
      </c>
      <c r="V1710" s="255">
        <f t="shared" si="577"/>
        <v>-9.3500000000000007E-3</v>
      </c>
      <c r="W1710" s="255">
        <f t="shared" ref="W1710:W1713" si="593">V1710</f>
        <v>-9.3500000000000007E-3</v>
      </c>
      <c r="X1710" s="255">
        <f t="shared" ref="X1710:X1713" si="594">W1710</f>
        <v>-9.3500000000000007E-3</v>
      </c>
      <c r="Y1710" s="255">
        <f t="shared" ref="Y1710:Y1713" si="595">X1710</f>
        <v>-9.3500000000000007E-3</v>
      </c>
      <c r="Z1710" s="255">
        <f t="shared" ref="Z1710:Z1713" si="596">Y1710</f>
        <v>-9.3500000000000007E-3</v>
      </c>
      <c r="AA1710" s="255">
        <f t="shared" ref="AA1710:AA1713" si="597">Z1710</f>
        <v>-9.3500000000000007E-3</v>
      </c>
      <c r="AB1710" s="97">
        <f t="shared" si="587"/>
        <v>-9.3500000000000007E-3</v>
      </c>
      <c r="AC1710" s="255">
        <f t="shared" ref="AC1710:AC1715" si="598">AB1710</f>
        <v>-9.3500000000000007E-3</v>
      </c>
      <c r="AD1710" s="255">
        <f t="shared" ref="AD1710:AD1715" si="599">AC1710</f>
        <v>-9.3500000000000007E-3</v>
      </c>
      <c r="AE1710" s="255">
        <f>AD1710</f>
        <v>-9.3500000000000007E-3</v>
      </c>
      <c r="AF1710" s="76"/>
      <c r="AG1710" s="76"/>
      <c r="AH1710" s="76"/>
      <c r="AI1710" s="76">
        <v>1</v>
      </c>
      <c r="AJ1710" s="76">
        <v>1</v>
      </c>
      <c r="AK1710" s="73"/>
      <c r="AL1710" s="57"/>
      <c r="AM1710" s="45"/>
      <c r="AN1710" s="45"/>
      <c r="AO1710" s="45"/>
    </row>
    <row r="1711" spans="1:41" hidden="1" outlineLevel="2" x14ac:dyDescent="0.25">
      <c r="A1711" s="45"/>
      <c r="B1711" s="54"/>
      <c r="C1711" s="47">
        <f t="shared" si="586"/>
        <v>4</v>
      </c>
      <c r="D1711" s="73"/>
      <c r="E1711" s="70"/>
      <c r="F1711" s="70" t="str">
        <f>SUBSTITUTE(F1707,",6)",",10)")</f>
        <v>C(U2,25,10)</v>
      </c>
      <c r="G1711" s="73"/>
      <c r="H1711" s="374" t="s">
        <v>2773</v>
      </c>
      <c r="I1711" s="96"/>
      <c r="J1711" s="76"/>
      <c r="K1711" s="76"/>
      <c r="L1711" s="76"/>
      <c r="M1711" s="76"/>
      <c r="N1711" s="76"/>
      <c r="O1711" s="76"/>
      <c r="P1711" s="76"/>
      <c r="Q1711" s="76"/>
      <c r="R1711" s="76"/>
      <c r="S1711" s="76"/>
      <c r="T1711" s="76"/>
      <c r="U1711" s="97">
        <v>-7.0369200000000003E-3</v>
      </c>
      <c r="V1711" s="255">
        <f t="shared" si="577"/>
        <v>-7.0369200000000003E-3</v>
      </c>
      <c r="W1711" s="255">
        <f t="shared" si="593"/>
        <v>-7.0369200000000003E-3</v>
      </c>
      <c r="X1711" s="255">
        <f t="shared" si="594"/>
        <v>-7.0369200000000003E-3</v>
      </c>
      <c r="Y1711" s="255">
        <f t="shared" si="595"/>
        <v>-7.0369200000000003E-3</v>
      </c>
      <c r="Z1711" s="255">
        <f t="shared" si="596"/>
        <v>-7.0369200000000003E-3</v>
      </c>
      <c r="AA1711" s="255">
        <f t="shared" si="597"/>
        <v>-7.0369200000000003E-3</v>
      </c>
      <c r="AB1711" s="97">
        <f t="shared" si="587"/>
        <v>-7.0369200000000003E-3</v>
      </c>
      <c r="AC1711" s="255">
        <f t="shared" si="598"/>
        <v>-7.0369200000000003E-3</v>
      </c>
      <c r="AD1711" s="255">
        <f t="shared" si="599"/>
        <v>-7.0369200000000003E-3</v>
      </c>
      <c r="AE1711" s="255">
        <f>AD1711</f>
        <v>-7.0369200000000003E-3</v>
      </c>
      <c r="AF1711" s="76"/>
      <c r="AG1711" s="76"/>
      <c r="AH1711" s="76"/>
      <c r="AI1711" s="76">
        <v>1</v>
      </c>
      <c r="AJ1711" s="76">
        <v>1</v>
      </c>
      <c r="AK1711" s="73"/>
      <c r="AL1711" s="57"/>
      <c r="AM1711" s="45"/>
      <c r="AN1711" s="45"/>
      <c r="AO1711" s="45"/>
    </row>
    <row r="1712" spans="1:41" hidden="1" outlineLevel="2" x14ac:dyDescent="0.25">
      <c r="A1712" s="45"/>
      <c r="B1712" s="54"/>
      <c r="C1712" s="47">
        <f t="shared" si="586"/>
        <v>4</v>
      </c>
      <c r="D1712" s="73"/>
      <c r="E1712" s="70"/>
      <c r="F1712" s="70" t="str">
        <f>SUBSTITUTE(F1708,",7)",",11)")</f>
        <v>C(U2,25,11)</v>
      </c>
      <c r="G1712" s="73"/>
      <c r="H1712" s="374" t="s">
        <v>2724</v>
      </c>
      <c r="I1712" s="96"/>
      <c r="J1712" s="76"/>
      <c r="K1712" s="76"/>
      <c r="L1712" s="76"/>
      <c r="M1712" s="76"/>
      <c r="N1712" s="76"/>
      <c r="O1712" s="76"/>
      <c r="P1712" s="76"/>
      <c r="Q1712" s="76"/>
      <c r="R1712" s="76"/>
      <c r="S1712" s="76"/>
      <c r="T1712" s="76"/>
      <c r="U1712" s="97">
        <v>7.4569999999999999E-5</v>
      </c>
      <c r="V1712" s="255">
        <f t="shared" si="577"/>
        <v>7.4569999999999999E-5</v>
      </c>
      <c r="W1712" s="255">
        <f t="shared" si="593"/>
        <v>7.4569999999999999E-5</v>
      </c>
      <c r="X1712" s="255">
        <f t="shared" si="594"/>
        <v>7.4569999999999999E-5</v>
      </c>
      <c r="Y1712" s="255">
        <f t="shared" si="595"/>
        <v>7.4569999999999999E-5</v>
      </c>
      <c r="Z1712" s="255">
        <f t="shared" si="596"/>
        <v>7.4569999999999999E-5</v>
      </c>
      <c r="AA1712" s="255">
        <f t="shared" si="597"/>
        <v>7.4569999999999999E-5</v>
      </c>
      <c r="AB1712" s="97">
        <f t="shared" si="587"/>
        <v>7.4569999999999999E-5</v>
      </c>
      <c r="AC1712" s="255">
        <f t="shared" si="598"/>
        <v>7.4569999999999999E-5</v>
      </c>
      <c r="AD1712" s="255">
        <f t="shared" si="599"/>
        <v>7.4569999999999999E-5</v>
      </c>
      <c r="AE1712" s="255">
        <f>AD1712</f>
        <v>7.4569999999999999E-5</v>
      </c>
      <c r="AF1712" s="76"/>
      <c r="AG1712" s="76"/>
      <c r="AH1712" s="76"/>
      <c r="AI1712" s="76">
        <v>1</v>
      </c>
      <c r="AJ1712" s="76">
        <v>1</v>
      </c>
      <c r="AK1712" s="73"/>
      <c r="AL1712" s="57"/>
      <c r="AM1712" s="45"/>
      <c r="AN1712" s="45"/>
      <c r="AO1712" s="45"/>
    </row>
    <row r="1713" spans="1:41" hidden="1" outlineLevel="2" collapsed="1" x14ac:dyDescent="0.25">
      <c r="A1713" s="45"/>
      <c r="B1713" s="54"/>
      <c r="C1713" s="47">
        <f t="shared" si="586"/>
        <v>4</v>
      </c>
      <c r="D1713" s="73"/>
      <c r="E1713" s="70"/>
      <c r="F1713" s="70" t="s">
        <v>3314</v>
      </c>
      <c r="G1713" s="73"/>
      <c r="H1713" s="374" t="s">
        <v>3311</v>
      </c>
      <c r="I1713" s="96"/>
      <c r="J1713" s="76"/>
      <c r="K1713" s="76"/>
      <c r="L1713" s="76"/>
      <c r="M1713" s="76"/>
      <c r="N1713" s="76"/>
      <c r="O1713" s="76"/>
      <c r="P1713" s="76"/>
      <c r="Q1713" s="76"/>
      <c r="R1713" s="76"/>
      <c r="S1713" s="76"/>
      <c r="T1713" s="76"/>
      <c r="U1713" s="97">
        <v>-0.63980999999999999</v>
      </c>
      <c r="V1713" s="255">
        <f t="shared" si="577"/>
        <v>-0.63980999999999999</v>
      </c>
      <c r="W1713" s="255">
        <f t="shared" si="593"/>
        <v>-0.63980999999999999</v>
      </c>
      <c r="X1713" s="255">
        <f t="shared" si="594"/>
        <v>-0.63980999999999999</v>
      </c>
      <c r="Y1713" s="255">
        <f t="shared" si="595"/>
        <v>-0.63980999999999999</v>
      </c>
      <c r="Z1713" s="255">
        <f t="shared" si="596"/>
        <v>-0.63980999999999999</v>
      </c>
      <c r="AA1713" s="255">
        <f t="shared" si="597"/>
        <v>-0.63980999999999999</v>
      </c>
      <c r="AB1713" s="97">
        <f t="shared" si="587"/>
        <v>-0.63980999999999999</v>
      </c>
      <c r="AC1713" s="255">
        <f t="shared" ref="AC1713" si="600">AB1713</f>
        <v>-0.63980999999999999</v>
      </c>
      <c r="AD1713" s="255">
        <f t="shared" ref="AD1713" si="601">AC1713</f>
        <v>-0.63980999999999999</v>
      </c>
      <c r="AE1713" s="255">
        <f>AD1713</f>
        <v>-0.63980999999999999</v>
      </c>
      <c r="AF1713" s="76"/>
      <c r="AG1713" s="76"/>
      <c r="AH1713" s="76"/>
      <c r="AI1713" s="97">
        <v>1</v>
      </c>
      <c r="AJ1713" s="97">
        <v>1</v>
      </c>
      <c r="AK1713" s="73"/>
      <c r="AL1713" s="57"/>
      <c r="AM1713" s="45"/>
      <c r="AN1713" s="45"/>
      <c r="AO1713" s="45"/>
    </row>
    <row r="1714" spans="1:41" hidden="1" outlineLevel="3" x14ac:dyDescent="0.25">
      <c r="A1714" s="45"/>
      <c r="B1714" s="54"/>
      <c r="C1714" s="47">
        <f t="shared" si="586"/>
        <v>4</v>
      </c>
      <c r="D1714" s="73"/>
      <c r="E1714" s="70"/>
      <c r="F1714" s="70" t="s">
        <v>3315</v>
      </c>
      <c r="G1714" s="73"/>
      <c r="H1714" s="374" t="s">
        <v>3310</v>
      </c>
      <c r="I1714" s="96"/>
      <c r="J1714" s="76"/>
      <c r="K1714" s="76"/>
      <c r="L1714" s="76"/>
      <c r="M1714" s="76"/>
      <c r="N1714" s="76"/>
      <c r="O1714" s="76"/>
      <c r="P1714" s="76"/>
      <c r="Q1714" s="76"/>
      <c r="R1714" s="76"/>
      <c r="S1714" s="76"/>
      <c r="T1714" s="76"/>
      <c r="U1714" s="76">
        <v>0</v>
      </c>
      <c r="V1714" s="76">
        <v>0</v>
      </c>
      <c r="W1714" s="76">
        <v>0</v>
      </c>
      <c r="X1714" s="76">
        <v>0</v>
      </c>
      <c r="Y1714" s="76">
        <v>0</v>
      </c>
      <c r="Z1714" s="76">
        <v>0</v>
      </c>
      <c r="AA1714" s="76">
        <v>0</v>
      </c>
      <c r="AB1714" s="76">
        <f t="shared" si="587"/>
        <v>0</v>
      </c>
      <c r="AC1714" s="76">
        <v>0</v>
      </c>
      <c r="AD1714" s="76">
        <v>0</v>
      </c>
      <c r="AE1714" s="76">
        <v>0</v>
      </c>
      <c r="AF1714" s="76"/>
      <c r="AG1714" s="76"/>
      <c r="AH1714" s="76"/>
      <c r="AI1714" s="76">
        <v>1</v>
      </c>
      <c r="AJ1714" s="76">
        <v>1</v>
      </c>
      <c r="AK1714" s="73"/>
      <c r="AL1714" s="57"/>
      <c r="AM1714" s="45"/>
      <c r="AN1714" s="45"/>
      <c r="AO1714" s="45"/>
    </row>
    <row r="1715" spans="1:41" hidden="1" outlineLevel="2" x14ac:dyDescent="0.25">
      <c r="A1715" s="45"/>
      <c r="B1715" s="54"/>
      <c r="C1715" s="47">
        <f>INT($C$29)+2</f>
        <v>3</v>
      </c>
      <c r="D1715" s="73"/>
      <c r="E1715" s="70"/>
      <c r="F1715" s="70" t="s">
        <v>2450</v>
      </c>
      <c r="G1715" s="73"/>
      <c r="H1715" s="76" t="s">
        <v>2470</v>
      </c>
      <c r="I1715" s="76"/>
      <c r="J1715" s="76"/>
      <c r="K1715" s="76"/>
      <c r="L1715" s="76"/>
      <c r="M1715" s="76"/>
      <c r="N1715" s="76"/>
      <c r="O1715" s="76"/>
      <c r="P1715" s="76"/>
      <c r="Q1715" s="76"/>
      <c r="R1715" s="76"/>
      <c r="S1715" s="76"/>
      <c r="T1715" s="76"/>
      <c r="U1715" s="97">
        <v>7.5825149999999999</v>
      </c>
      <c r="V1715" s="255">
        <f t="shared" si="577"/>
        <v>7.5825149999999999</v>
      </c>
      <c r="W1715" s="255">
        <f t="shared" ref="W1715" si="602">V1715</f>
        <v>7.5825149999999999</v>
      </c>
      <c r="X1715" s="255">
        <f t="shared" ref="X1715" si="603">W1715</f>
        <v>7.5825149999999999</v>
      </c>
      <c r="Y1715" s="255">
        <f t="shared" ref="Y1715" si="604">X1715</f>
        <v>7.5825149999999999</v>
      </c>
      <c r="Z1715" s="255">
        <f t="shared" ref="Z1715" si="605">Y1715</f>
        <v>7.5825149999999999</v>
      </c>
      <c r="AA1715" s="255">
        <f t="shared" ref="AA1715" si="606">Z1715</f>
        <v>7.5825149999999999</v>
      </c>
      <c r="AB1715" s="97">
        <f t="shared" si="587"/>
        <v>7.5825149999999999</v>
      </c>
      <c r="AC1715" s="255">
        <f t="shared" si="598"/>
        <v>7.5825149999999999</v>
      </c>
      <c r="AD1715" s="255">
        <f t="shared" si="599"/>
        <v>7.5825149999999999</v>
      </c>
      <c r="AE1715" s="255">
        <f>AD1715</f>
        <v>7.5825149999999999</v>
      </c>
      <c r="AF1715" s="76"/>
      <c r="AG1715" s="97" t="s">
        <v>2720</v>
      </c>
      <c r="AH1715" s="76"/>
      <c r="AI1715" s="97">
        <v>1</v>
      </c>
      <c r="AJ1715" s="97">
        <v>1</v>
      </c>
      <c r="AK1715" s="73"/>
      <c r="AL1715" s="57"/>
      <c r="AM1715" s="45"/>
      <c r="AN1715" s="45"/>
      <c r="AO1715" s="45"/>
    </row>
    <row r="1716" spans="1:41" hidden="1" outlineLevel="2" x14ac:dyDescent="0.25">
      <c r="A1716" s="45"/>
      <c r="B1716" s="54"/>
      <c r="C1716" s="47">
        <f>INT($C$29)+2</f>
        <v>3</v>
      </c>
      <c r="D1716" s="73"/>
      <c r="E1716" s="70"/>
      <c r="F1716" s="70" t="s">
        <v>3287</v>
      </c>
      <c r="G1716" s="73"/>
      <c r="H1716" s="76" t="s">
        <v>3779</v>
      </c>
      <c r="I1716" s="76"/>
      <c r="J1716" s="76"/>
      <c r="K1716" s="76"/>
      <c r="L1716" s="76"/>
      <c r="M1716" s="76"/>
      <c r="N1716" s="76"/>
      <c r="O1716" s="76"/>
      <c r="P1716" s="76"/>
      <c r="Q1716" s="76"/>
      <c r="R1716" s="76"/>
      <c r="S1716" s="76"/>
      <c r="T1716" s="76"/>
      <c r="U1716" s="97">
        <v>-9.8000000000000004E-2</v>
      </c>
      <c r="V1716" s="255">
        <f>U1716</f>
        <v>-9.8000000000000004E-2</v>
      </c>
      <c r="W1716" s="255">
        <f t="shared" si="572"/>
        <v>-9.8000000000000004E-2</v>
      </c>
      <c r="X1716" s="255">
        <f t="shared" si="572"/>
        <v>-9.8000000000000004E-2</v>
      </c>
      <c r="Y1716" s="255">
        <f t="shared" ref="Y1716:Y1717" si="607">W1716</f>
        <v>-9.8000000000000004E-2</v>
      </c>
      <c r="Z1716" s="255">
        <f t="shared" ref="Z1716:Z1718" si="608">X1716</f>
        <v>-9.8000000000000004E-2</v>
      </c>
      <c r="AA1716" s="255">
        <f t="shared" ref="AA1716:AA1718" si="609">Y1716</f>
        <v>-9.8000000000000004E-2</v>
      </c>
      <c r="AB1716" s="97">
        <v>-3.9480000000000001E-2</v>
      </c>
      <c r="AC1716" s="255">
        <f t="shared" si="576"/>
        <v>-3.9480000000000001E-2</v>
      </c>
      <c r="AD1716" s="255">
        <f t="shared" si="576"/>
        <v>-3.9480000000000001E-2</v>
      </c>
      <c r="AE1716" s="255">
        <f>AD1716</f>
        <v>-3.9480000000000001E-2</v>
      </c>
      <c r="AF1716" s="76"/>
      <c r="AG1716" s="97" t="s">
        <v>3763</v>
      </c>
      <c r="AH1716" s="76"/>
      <c r="AI1716" s="97">
        <v>1</v>
      </c>
      <c r="AJ1716" s="97">
        <v>1</v>
      </c>
      <c r="AK1716" s="73"/>
      <c r="AL1716" s="57"/>
      <c r="AM1716" s="45"/>
      <c r="AN1716" s="45"/>
      <c r="AO1716" s="45"/>
    </row>
    <row r="1717" spans="1:41" hidden="1" outlineLevel="2" collapsed="1" x14ac:dyDescent="0.25">
      <c r="A1717" s="45"/>
      <c r="B1717" s="54"/>
      <c r="C1717" s="47">
        <f>INT($C$29)+2</f>
        <v>3</v>
      </c>
      <c r="D1717" s="73"/>
      <c r="E1717" s="70"/>
      <c r="F1717" s="70" t="s">
        <v>3289</v>
      </c>
      <c r="G1717" s="73"/>
      <c r="H1717" s="76" t="s">
        <v>2466</v>
      </c>
      <c r="I1717" s="76"/>
      <c r="J1717" s="76"/>
      <c r="K1717" s="76"/>
      <c r="L1717" s="76"/>
      <c r="M1717" s="76"/>
      <c r="N1717" s="76"/>
      <c r="O1717" s="76"/>
      <c r="P1717" s="76"/>
      <c r="Q1717" s="76"/>
      <c r="R1717" s="76"/>
      <c r="S1717" s="76"/>
      <c r="T1717" s="76"/>
      <c r="U1717" s="97">
        <v>0</v>
      </c>
      <c r="V1717" s="255">
        <f>U1717</f>
        <v>0</v>
      </c>
      <c r="W1717" s="255">
        <f t="shared" si="572"/>
        <v>0</v>
      </c>
      <c r="X1717" s="255">
        <f t="shared" si="572"/>
        <v>0</v>
      </c>
      <c r="Y1717" s="255">
        <f t="shared" si="607"/>
        <v>0</v>
      </c>
      <c r="Z1717" s="255">
        <f t="shared" si="608"/>
        <v>0</v>
      </c>
      <c r="AA1717" s="255">
        <f t="shared" si="609"/>
        <v>0</v>
      </c>
      <c r="AB1717" s="97">
        <v>0</v>
      </c>
      <c r="AC1717" s="255">
        <f t="shared" si="576"/>
        <v>0</v>
      </c>
      <c r="AD1717" s="255">
        <f t="shared" si="576"/>
        <v>0</v>
      </c>
      <c r="AE1717" s="255">
        <f>AD1717</f>
        <v>0</v>
      </c>
      <c r="AF1717" s="76"/>
      <c r="AG1717" s="97" t="s">
        <v>3774</v>
      </c>
      <c r="AH1717" s="76"/>
      <c r="AI1717" s="97">
        <v>1</v>
      </c>
      <c r="AJ1717" s="97">
        <v>1</v>
      </c>
      <c r="AK1717" s="73"/>
      <c r="AL1717" s="57"/>
      <c r="AM1717" s="45"/>
      <c r="AN1717" s="45"/>
      <c r="AO1717" s="45"/>
    </row>
    <row r="1718" spans="1:41" hidden="1" outlineLevel="3" collapsed="1" x14ac:dyDescent="0.25">
      <c r="A1718" s="45"/>
      <c r="B1718" s="54"/>
      <c r="C1718" s="47">
        <f t="shared" ref="C1718:C1729" si="610">INT($C$29)+3</f>
        <v>4</v>
      </c>
      <c r="D1718" s="73"/>
      <c r="E1718" s="70"/>
      <c r="F1718" s="70" t="s">
        <v>3288</v>
      </c>
      <c r="G1718" s="73"/>
      <c r="H1718" s="374" t="s">
        <v>2468</v>
      </c>
      <c r="I1718" s="76"/>
      <c r="J1718" s="76"/>
      <c r="K1718" s="76"/>
      <c r="L1718" s="76"/>
      <c r="M1718" s="76"/>
      <c r="N1718" s="76"/>
      <c r="O1718" s="76"/>
      <c r="P1718" s="76"/>
      <c r="Q1718" s="76"/>
      <c r="R1718" s="76"/>
      <c r="S1718" s="76"/>
      <c r="T1718" s="76"/>
      <c r="U1718" s="97">
        <v>0</v>
      </c>
      <c r="V1718" s="255">
        <f>U1718</f>
        <v>0</v>
      </c>
      <c r="W1718" s="255">
        <f>U1718</f>
        <v>0</v>
      </c>
      <c r="X1718" s="255">
        <f>V1718</f>
        <v>0</v>
      </c>
      <c r="Y1718" s="255">
        <f>W1718</f>
        <v>0</v>
      </c>
      <c r="Z1718" s="255">
        <f t="shared" si="608"/>
        <v>0</v>
      </c>
      <c r="AA1718" s="255">
        <f t="shared" si="609"/>
        <v>0</v>
      </c>
      <c r="AB1718" s="97">
        <v>0</v>
      </c>
      <c r="AC1718" s="255">
        <f>AB1718</f>
        <v>0</v>
      </c>
      <c r="AD1718" s="255">
        <f>AC1718</f>
        <v>0</v>
      </c>
      <c r="AE1718" s="255">
        <f>AD1718</f>
        <v>0</v>
      </c>
      <c r="AF1718" s="76"/>
      <c r="AG1718" s="76"/>
      <c r="AH1718" s="76"/>
      <c r="AI1718" s="97">
        <v>1</v>
      </c>
      <c r="AJ1718" s="97">
        <v>1</v>
      </c>
      <c r="AK1718" s="73"/>
      <c r="AL1718" s="57"/>
      <c r="AM1718" s="45"/>
      <c r="AN1718" s="45"/>
      <c r="AO1718" s="45"/>
    </row>
    <row r="1719" spans="1:41" hidden="1" outlineLevel="3" x14ac:dyDescent="0.25">
      <c r="A1719" s="45"/>
      <c r="B1719" s="54"/>
      <c r="C1719" s="47">
        <f t="shared" si="610"/>
        <v>4</v>
      </c>
      <c r="D1719" s="73"/>
      <c r="E1719" s="70"/>
      <c r="F1719" s="70" t="s">
        <v>3290</v>
      </c>
      <c r="G1719" s="73"/>
      <c r="H1719" s="373" t="s">
        <v>2721</v>
      </c>
      <c r="I1719" s="76"/>
      <c r="J1719" s="76"/>
      <c r="K1719" s="76"/>
      <c r="L1719" s="76"/>
      <c r="M1719" s="76"/>
      <c r="N1719" s="76"/>
      <c r="O1719" s="76"/>
      <c r="P1719" s="76"/>
      <c r="Q1719" s="76"/>
      <c r="R1719" s="76"/>
      <c r="S1719" s="76"/>
      <c r="T1719" s="76"/>
      <c r="U1719" s="76">
        <v>0</v>
      </c>
      <c r="V1719" s="76">
        <v>0</v>
      </c>
      <c r="W1719" s="76">
        <v>0</v>
      </c>
      <c r="X1719" s="76">
        <v>0</v>
      </c>
      <c r="Y1719" s="76">
        <v>0</v>
      </c>
      <c r="Z1719" s="76">
        <v>0</v>
      </c>
      <c r="AA1719" s="76">
        <v>0</v>
      </c>
      <c r="AB1719" s="76">
        <v>0</v>
      </c>
      <c r="AC1719" s="76">
        <v>0</v>
      </c>
      <c r="AD1719" s="76">
        <v>0</v>
      </c>
      <c r="AE1719" s="76">
        <v>0</v>
      </c>
      <c r="AF1719" s="76"/>
      <c r="AG1719" s="76"/>
      <c r="AH1719" s="76"/>
      <c r="AI1719" s="76">
        <v>1</v>
      </c>
      <c r="AJ1719" s="76">
        <v>1</v>
      </c>
      <c r="AK1719" s="73"/>
      <c r="AL1719" s="57"/>
      <c r="AM1719" s="45"/>
      <c r="AN1719" s="45"/>
      <c r="AO1719" s="45"/>
    </row>
    <row r="1720" spans="1:41" hidden="1" outlineLevel="3" collapsed="1" x14ac:dyDescent="0.25">
      <c r="A1720" s="45"/>
      <c r="B1720" s="54"/>
      <c r="C1720" s="47">
        <f t="shared" si="610"/>
        <v>4</v>
      </c>
      <c r="D1720" s="73"/>
      <c r="E1720" s="70"/>
      <c r="F1720" s="70" t="s">
        <v>3291</v>
      </c>
      <c r="G1720" s="73"/>
      <c r="H1720" s="374" t="s">
        <v>2467</v>
      </c>
      <c r="I1720" s="76"/>
      <c r="J1720" s="76"/>
      <c r="K1720" s="76"/>
      <c r="L1720" s="76"/>
      <c r="M1720" s="76"/>
      <c r="N1720" s="76"/>
      <c r="O1720" s="76"/>
      <c r="P1720" s="76"/>
      <c r="Q1720" s="76"/>
      <c r="R1720" s="76"/>
      <c r="S1720" s="76"/>
      <c r="T1720" s="76"/>
      <c r="U1720" s="76">
        <v>0</v>
      </c>
      <c r="V1720" s="76">
        <v>0</v>
      </c>
      <c r="W1720" s="76">
        <v>0</v>
      </c>
      <c r="X1720" s="76">
        <v>0</v>
      </c>
      <c r="Y1720" s="76">
        <v>0</v>
      </c>
      <c r="Z1720" s="76">
        <v>0</v>
      </c>
      <c r="AA1720" s="76">
        <v>0</v>
      </c>
      <c r="AB1720" s="76">
        <v>0</v>
      </c>
      <c r="AC1720" s="76">
        <v>0</v>
      </c>
      <c r="AD1720" s="76">
        <v>0</v>
      </c>
      <c r="AE1720" s="76">
        <v>0</v>
      </c>
      <c r="AF1720" s="76"/>
      <c r="AG1720" s="76"/>
      <c r="AH1720" s="76"/>
      <c r="AI1720" s="76">
        <v>1</v>
      </c>
      <c r="AJ1720" s="76">
        <v>1</v>
      </c>
      <c r="AK1720" s="73"/>
      <c r="AL1720" s="57"/>
      <c r="AM1720" s="45"/>
      <c r="AN1720" s="45"/>
      <c r="AO1720" s="45"/>
    </row>
    <row r="1721" spans="1:41" hidden="1" outlineLevel="3" x14ac:dyDescent="0.25">
      <c r="A1721" s="45"/>
      <c r="B1721" s="54"/>
      <c r="C1721" s="47">
        <f t="shared" si="610"/>
        <v>4</v>
      </c>
      <c r="D1721" s="73"/>
      <c r="E1721" s="70"/>
      <c r="F1721" s="70" t="s">
        <v>3292</v>
      </c>
      <c r="G1721" s="73"/>
      <c r="H1721" s="374" t="s">
        <v>2722</v>
      </c>
      <c r="I1721" s="76"/>
      <c r="J1721" s="76"/>
      <c r="K1721" s="76"/>
      <c r="L1721" s="76"/>
      <c r="M1721" s="76"/>
      <c r="N1721" s="76"/>
      <c r="O1721" s="76"/>
      <c r="P1721" s="76"/>
      <c r="Q1721" s="76"/>
      <c r="R1721" s="76"/>
      <c r="S1721" s="76"/>
      <c r="T1721" s="76"/>
      <c r="U1721" s="76">
        <v>0</v>
      </c>
      <c r="V1721" s="76">
        <v>0</v>
      </c>
      <c r="W1721" s="76">
        <v>0</v>
      </c>
      <c r="X1721" s="76">
        <v>0</v>
      </c>
      <c r="Y1721" s="76">
        <v>0</v>
      </c>
      <c r="Z1721" s="76">
        <v>0</v>
      </c>
      <c r="AA1721" s="76">
        <v>0</v>
      </c>
      <c r="AB1721" s="76">
        <v>0</v>
      </c>
      <c r="AC1721" s="76">
        <v>0</v>
      </c>
      <c r="AD1721" s="76">
        <v>0</v>
      </c>
      <c r="AE1721" s="76">
        <v>0</v>
      </c>
      <c r="AF1721" s="76"/>
      <c r="AG1721" s="76"/>
      <c r="AH1721" s="76"/>
      <c r="AI1721" s="76">
        <v>1</v>
      </c>
      <c r="AJ1721" s="76">
        <v>1</v>
      </c>
      <c r="AK1721" s="73"/>
      <c r="AL1721" s="57"/>
      <c r="AM1721" s="45"/>
      <c r="AN1721" s="45"/>
      <c r="AO1721" s="45"/>
    </row>
    <row r="1722" spans="1:41" hidden="1" outlineLevel="2" collapsed="1" x14ac:dyDescent="0.25">
      <c r="A1722" s="45"/>
      <c r="B1722" s="54"/>
      <c r="C1722" s="47">
        <f t="shared" si="610"/>
        <v>4</v>
      </c>
      <c r="D1722" s="73"/>
      <c r="E1722" s="70"/>
      <c r="F1722" s="70" t="s">
        <v>3293</v>
      </c>
      <c r="G1722" s="73"/>
      <c r="H1722" s="374" t="s">
        <v>2469</v>
      </c>
      <c r="I1722" s="76"/>
      <c r="J1722" s="76"/>
      <c r="K1722" s="76"/>
      <c r="L1722" s="76"/>
      <c r="M1722" s="76"/>
      <c r="N1722" s="76"/>
      <c r="O1722" s="76"/>
      <c r="P1722" s="76"/>
      <c r="Q1722" s="76"/>
      <c r="R1722" s="76"/>
      <c r="S1722" s="76"/>
      <c r="T1722" s="76"/>
      <c r="U1722" s="97">
        <v>-3.7749999999999999E-2</v>
      </c>
      <c r="V1722" s="255">
        <f>U1722</f>
        <v>-3.7749999999999999E-2</v>
      </c>
      <c r="W1722" s="255">
        <f>U1722</f>
        <v>-3.7749999999999999E-2</v>
      </c>
      <c r="X1722" s="255">
        <f>V1722</f>
        <v>-3.7749999999999999E-2</v>
      </c>
      <c r="Y1722" s="255">
        <f>W1722</f>
        <v>-3.7749999999999999E-2</v>
      </c>
      <c r="Z1722" s="255">
        <f t="shared" ref="Z1722:AA1722" si="611">X1722</f>
        <v>-3.7749999999999999E-2</v>
      </c>
      <c r="AA1722" s="255">
        <f t="shared" si="611"/>
        <v>-3.7749999999999999E-2</v>
      </c>
      <c r="AB1722" s="97">
        <v>-2.775E-2</v>
      </c>
      <c r="AC1722" s="255">
        <f>AB1722</f>
        <v>-2.775E-2</v>
      </c>
      <c r="AD1722" s="255">
        <f>AC1722</f>
        <v>-2.775E-2</v>
      </c>
      <c r="AE1722" s="255">
        <f>AD1722</f>
        <v>-2.775E-2</v>
      </c>
      <c r="AF1722" s="76"/>
      <c r="AG1722" s="76"/>
      <c r="AH1722" s="76"/>
      <c r="AI1722" s="97">
        <v>1</v>
      </c>
      <c r="AJ1722" s="97">
        <v>1</v>
      </c>
      <c r="AK1722" s="73"/>
      <c r="AL1722" s="57"/>
      <c r="AM1722" s="45"/>
      <c r="AN1722" s="45"/>
      <c r="AO1722" s="45"/>
    </row>
    <row r="1723" spans="1:41" hidden="1" outlineLevel="3" x14ac:dyDescent="0.25">
      <c r="A1723" s="45"/>
      <c r="B1723" s="54"/>
      <c r="C1723" s="47">
        <f t="shared" si="610"/>
        <v>4</v>
      </c>
      <c r="D1723" s="73"/>
      <c r="E1723" s="70"/>
      <c r="F1723" s="70" t="s">
        <v>3294</v>
      </c>
      <c r="G1723" s="73"/>
      <c r="H1723" s="373" t="s">
        <v>2723</v>
      </c>
      <c r="I1723" s="76"/>
      <c r="J1723" s="76"/>
      <c r="K1723" s="76"/>
      <c r="L1723" s="76"/>
      <c r="M1723" s="76"/>
      <c r="N1723" s="76"/>
      <c r="O1723" s="76"/>
      <c r="P1723" s="76"/>
      <c r="Q1723" s="76"/>
      <c r="R1723" s="76"/>
      <c r="S1723" s="76"/>
      <c r="T1723" s="76"/>
      <c r="U1723" s="76">
        <v>0</v>
      </c>
      <c r="V1723" s="76">
        <v>0</v>
      </c>
      <c r="W1723" s="76">
        <v>0</v>
      </c>
      <c r="X1723" s="76">
        <v>0</v>
      </c>
      <c r="Y1723" s="76">
        <v>0</v>
      </c>
      <c r="Z1723" s="76">
        <v>0</v>
      </c>
      <c r="AA1723" s="76">
        <v>0</v>
      </c>
      <c r="AB1723" s="76">
        <v>0</v>
      </c>
      <c r="AC1723" s="76">
        <v>0</v>
      </c>
      <c r="AD1723" s="76">
        <v>0</v>
      </c>
      <c r="AE1723" s="76">
        <v>0</v>
      </c>
      <c r="AF1723" s="76"/>
      <c r="AG1723" s="76"/>
      <c r="AH1723" s="76"/>
      <c r="AI1723" s="76">
        <v>1</v>
      </c>
      <c r="AJ1723" s="76">
        <v>1</v>
      </c>
      <c r="AK1723" s="73"/>
      <c r="AL1723" s="57"/>
      <c r="AM1723" s="45"/>
      <c r="AN1723" s="45"/>
      <c r="AO1723" s="45"/>
    </row>
    <row r="1724" spans="1:41" hidden="1" outlineLevel="2" x14ac:dyDescent="0.25">
      <c r="A1724" s="45"/>
      <c r="B1724" s="54"/>
      <c r="C1724" s="47">
        <f t="shared" si="610"/>
        <v>4</v>
      </c>
      <c r="D1724" s="73"/>
      <c r="E1724" s="70"/>
      <c r="F1724" s="70" t="s">
        <v>3295</v>
      </c>
      <c r="G1724" s="73"/>
      <c r="H1724" s="374" t="s">
        <v>2718</v>
      </c>
      <c r="I1724" s="96"/>
      <c r="J1724" s="76"/>
      <c r="K1724" s="76"/>
      <c r="L1724" s="76"/>
      <c r="M1724" s="76"/>
      <c r="N1724" s="76"/>
      <c r="O1724" s="76"/>
      <c r="P1724" s="76"/>
      <c r="Q1724" s="76"/>
      <c r="R1724" s="76"/>
      <c r="S1724" s="76"/>
      <c r="T1724" s="76"/>
      <c r="U1724" s="97">
        <v>0.05</v>
      </c>
      <c r="V1724" s="255">
        <f>U1724</f>
        <v>0.05</v>
      </c>
      <c r="W1724" s="255">
        <f t="shared" ref="W1724:X1733" si="612">U1724</f>
        <v>0.05</v>
      </c>
      <c r="X1724" s="255">
        <f t="shared" si="612"/>
        <v>0.05</v>
      </c>
      <c r="Y1724" s="255">
        <f t="shared" ref="Y1724:Y1727" si="613">W1724</f>
        <v>0.05</v>
      </c>
      <c r="Z1724" s="255">
        <f t="shared" ref="Z1724:Z1727" si="614">X1724</f>
        <v>0.05</v>
      </c>
      <c r="AA1724" s="255">
        <f t="shared" ref="AA1724:AA1727" si="615">Y1724</f>
        <v>0.05</v>
      </c>
      <c r="AB1724" s="97">
        <v>0</v>
      </c>
      <c r="AC1724" s="255">
        <f t="shared" ref="AC1724:AD1733" si="616">AB1724</f>
        <v>0</v>
      </c>
      <c r="AD1724" s="255">
        <f t="shared" si="616"/>
        <v>0</v>
      </c>
      <c r="AE1724" s="255">
        <f>AD1724</f>
        <v>0</v>
      </c>
      <c r="AF1724" s="76"/>
      <c r="AG1724" s="76"/>
      <c r="AH1724" s="76"/>
      <c r="AI1724" s="76">
        <v>1</v>
      </c>
      <c r="AJ1724" s="76">
        <v>1</v>
      </c>
      <c r="AK1724" s="73"/>
      <c r="AL1724" s="57"/>
      <c r="AM1724" s="45"/>
      <c r="AN1724" s="45"/>
      <c r="AO1724" s="45"/>
    </row>
    <row r="1725" spans="1:41" hidden="1" outlineLevel="2" x14ac:dyDescent="0.25">
      <c r="A1725" s="45"/>
      <c r="B1725" s="54"/>
      <c r="C1725" s="47">
        <f t="shared" si="610"/>
        <v>4</v>
      </c>
      <c r="D1725" s="73"/>
      <c r="E1725" s="70"/>
      <c r="F1725" s="70" t="s">
        <v>3296</v>
      </c>
      <c r="G1725" s="73"/>
      <c r="H1725" s="374" t="s">
        <v>2774</v>
      </c>
      <c r="I1725" s="96"/>
      <c r="J1725" s="76"/>
      <c r="K1725" s="76"/>
      <c r="L1725" s="76"/>
      <c r="M1725" s="76"/>
      <c r="N1725" s="76"/>
      <c r="O1725" s="76"/>
      <c r="P1725" s="76"/>
      <c r="Q1725" s="76"/>
      <c r="R1725" s="76"/>
      <c r="S1725" s="76"/>
      <c r="T1725" s="76"/>
      <c r="U1725" s="97">
        <v>-9.3500000000000007E-3</v>
      </c>
      <c r="V1725" s="255">
        <f>U1725</f>
        <v>-9.3500000000000007E-3</v>
      </c>
      <c r="W1725" s="255">
        <f t="shared" si="612"/>
        <v>-9.3500000000000007E-3</v>
      </c>
      <c r="X1725" s="255">
        <f t="shared" si="612"/>
        <v>-9.3500000000000007E-3</v>
      </c>
      <c r="Y1725" s="255">
        <f t="shared" si="613"/>
        <v>-9.3500000000000007E-3</v>
      </c>
      <c r="Z1725" s="255">
        <f t="shared" si="614"/>
        <v>-9.3500000000000007E-3</v>
      </c>
      <c r="AA1725" s="255">
        <f t="shared" si="615"/>
        <v>-9.3500000000000007E-3</v>
      </c>
      <c r="AB1725" s="97">
        <v>-9.3500000000000007E-3</v>
      </c>
      <c r="AC1725" s="255">
        <f t="shared" si="616"/>
        <v>-9.3500000000000007E-3</v>
      </c>
      <c r="AD1725" s="255">
        <f t="shared" si="616"/>
        <v>-9.3500000000000007E-3</v>
      </c>
      <c r="AE1725" s="255">
        <f>AD1725</f>
        <v>-9.3500000000000007E-3</v>
      </c>
      <c r="AF1725" s="76"/>
      <c r="AG1725" s="76"/>
      <c r="AH1725" s="76"/>
      <c r="AI1725" s="76">
        <v>1</v>
      </c>
      <c r="AJ1725" s="76">
        <v>1</v>
      </c>
      <c r="AK1725" s="73"/>
      <c r="AL1725" s="57"/>
      <c r="AM1725" s="45"/>
      <c r="AN1725" s="45"/>
      <c r="AO1725" s="45"/>
    </row>
    <row r="1726" spans="1:41" hidden="1" outlineLevel="2" x14ac:dyDescent="0.25">
      <c r="A1726" s="45"/>
      <c r="B1726" s="54"/>
      <c r="C1726" s="47">
        <f t="shared" si="610"/>
        <v>4</v>
      </c>
      <c r="D1726" s="73"/>
      <c r="E1726" s="70"/>
      <c r="F1726" s="70" t="s">
        <v>3297</v>
      </c>
      <c r="G1726" s="73"/>
      <c r="H1726" s="374" t="s">
        <v>2773</v>
      </c>
      <c r="I1726" s="96"/>
      <c r="J1726" s="76"/>
      <c r="K1726" s="76"/>
      <c r="L1726" s="76"/>
      <c r="M1726" s="76"/>
      <c r="N1726" s="76"/>
      <c r="O1726" s="76"/>
      <c r="P1726" s="76"/>
      <c r="Q1726" s="76"/>
      <c r="R1726" s="76"/>
      <c r="S1726" s="76"/>
      <c r="T1726" s="76"/>
      <c r="U1726" s="97">
        <v>-7.0369200000000003E-3</v>
      </c>
      <c r="V1726" s="255">
        <f>U1726</f>
        <v>-7.0369200000000003E-3</v>
      </c>
      <c r="W1726" s="255">
        <f t="shared" si="612"/>
        <v>-7.0369200000000003E-3</v>
      </c>
      <c r="X1726" s="255">
        <f t="shared" si="612"/>
        <v>-7.0369200000000003E-3</v>
      </c>
      <c r="Y1726" s="255">
        <f t="shared" si="613"/>
        <v>-7.0369200000000003E-3</v>
      </c>
      <c r="Z1726" s="255">
        <f t="shared" si="614"/>
        <v>-7.0369200000000003E-3</v>
      </c>
      <c r="AA1726" s="255">
        <f t="shared" si="615"/>
        <v>-7.0369200000000003E-3</v>
      </c>
      <c r="AB1726" s="97">
        <v>-7.0369200000000003E-3</v>
      </c>
      <c r="AC1726" s="255">
        <f t="shared" si="616"/>
        <v>-7.0369200000000003E-3</v>
      </c>
      <c r="AD1726" s="255">
        <f t="shared" si="616"/>
        <v>-7.0369200000000003E-3</v>
      </c>
      <c r="AE1726" s="255">
        <f>AD1726</f>
        <v>-7.0369200000000003E-3</v>
      </c>
      <c r="AF1726" s="76"/>
      <c r="AG1726" s="76"/>
      <c r="AH1726" s="76"/>
      <c r="AI1726" s="76">
        <v>1</v>
      </c>
      <c r="AJ1726" s="76">
        <v>1</v>
      </c>
      <c r="AK1726" s="73"/>
      <c r="AL1726" s="57"/>
      <c r="AM1726" s="45"/>
      <c r="AN1726" s="45"/>
      <c r="AO1726" s="45"/>
    </row>
    <row r="1727" spans="1:41" hidden="1" outlineLevel="2" collapsed="1" x14ac:dyDescent="0.25">
      <c r="A1727" s="45"/>
      <c r="B1727" s="54"/>
      <c r="C1727" s="47">
        <f t="shared" si="610"/>
        <v>4</v>
      </c>
      <c r="D1727" s="73"/>
      <c r="E1727" s="70"/>
      <c r="F1727" s="70" t="s">
        <v>3298</v>
      </c>
      <c r="G1727" s="73"/>
      <c r="H1727" s="374" t="s">
        <v>2724</v>
      </c>
      <c r="I1727" s="96"/>
      <c r="J1727" s="76"/>
      <c r="K1727" s="76"/>
      <c r="L1727" s="76"/>
      <c r="M1727" s="76"/>
      <c r="N1727" s="76"/>
      <c r="O1727" s="76"/>
      <c r="P1727" s="76"/>
      <c r="Q1727" s="76"/>
      <c r="R1727" s="76"/>
      <c r="S1727" s="76"/>
      <c r="T1727" s="76"/>
      <c r="U1727" s="97">
        <v>7.4569999999999999E-5</v>
      </c>
      <c r="V1727" s="255">
        <f>U1727</f>
        <v>7.4569999999999999E-5</v>
      </c>
      <c r="W1727" s="255">
        <f t="shared" si="612"/>
        <v>7.4569999999999999E-5</v>
      </c>
      <c r="X1727" s="255">
        <f t="shared" si="612"/>
        <v>7.4569999999999999E-5</v>
      </c>
      <c r="Y1727" s="255">
        <f t="shared" si="613"/>
        <v>7.4569999999999999E-5</v>
      </c>
      <c r="Z1727" s="255">
        <f t="shared" si="614"/>
        <v>7.4569999999999999E-5</v>
      </c>
      <c r="AA1727" s="255">
        <f t="shared" si="615"/>
        <v>7.4569999999999999E-5</v>
      </c>
      <c r="AB1727" s="97">
        <v>7.4569999999999999E-5</v>
      </c>
      <c r="AC1727" s="255">
        <f t="shared" si="616"/>
        <v>7.4569999999999999E-5</v>
      </c>
      <c r="AD1727" s="255">
        <f t="shared" si="616"/>
        <v>7.4569999999999999E-5</v>
      </c>
      <c r="AE1727" s="255">
        <f>AD1727</f>
        <v>7.4569999999999999E-5</v>
      </c>
      <c r="AF1727" s="76"/>
      <c r="AG1727" s="76"/>
      <c r="AH1727" s="76"/>
      <c r="AI1727" s="76">
        <v>1</v>
      </c>
      <c r="AJ1727" s="76">
        <v>1</v>
      </c>
      <c r="AK1727" s="73"/>
      <c r="AL1727" s="57"/>
      <c r="AM1727" s="45"/>
      <c r="AN1727" s="45"/>
      <c r="AO1727" s="45"/>
    </row>
    <row r="1728" spans="1:41" hidden="1" outlineLevel="3" x14ac:dyDescent="0.25">
      <c r="A1728" s="45"/>
      <c r="B1728" s="54"/>
      <c r="C1728" s="47">
        <f t="shared" si="610"/>
        <v>4</v>
      </c>
      <c r="D1728" s="73"/>
      <c r="E1728" s="70"/>
      <c r="F1728" s="70" t="s">
        <v>3308</v>
      </c>
      <c r="G1728" s="73"/>
      <c r="H1728" s="374" t="s">
        <v>3311</v>
      </c>
      <c r="I1728" s="96"/>
      <c r="J1728" s="76"/>
      <c r="K1728" s="76"/>
      <c r="L1728" s="76"/>
      <c r="M1728" s="76"/>
      <c r="N1728" s="76"/>
      <c r="O1728" s="76"/>
      <c r="P1728" s="76"/>
      <c r="Q1728" s="76"/>
      <c r="R1728" s="76"/>
      <c r="S1728" s="76"/>
      <c r="T1728" s="76"/>
      <c r="U1728" s="97">
        <v>0</v>
      </c>
      <c r="V1728" s="97">
        <v>0</v>
      </c>
      <c r="W1728" s="97">
        <v>0</v>
      </c>
      <c r="X1728" s="97">
        <v>0</v>
      </c>
      <c r="Y1728" s="97">
        <v>0</v>
      </c>
      <c r="Z1728" s="97">
        <v>0</v>
      </c>
      <c r="AA1728" s="97">
        <v>0</v>
      </c>
      <c r="AB1728" s="97">
        <v>0</v>
      </c>
      <c r="AC1728" s="97">
        <v>0</v>
      </c>
      <c r="AD1728" s="97">
        <v>0</v>
      </c>
      <c r="AE1728" s="97">
        <v>0</v>
      </c>
      <c r="AF1728" s="76"/>
      <c r="AG1728" s="76"/>
      <c r="AH1728" s="76"/>
      <c r="AI1728" s="76">
        <v>1</v>
      </c>
      <c r="AJ1728" s="76">
        <v>1</v>
      </c>
      <c r="AK1728" s="73"/>
      <c r="AL1728" s="57"/>
      <c r="AM1728" s="45"/>
      <c r="AN1728" s="45"/>
      <c r="AO1728" s="45"/>
    </row>
    <row r="1729" spans="1:41" hidden="1" outlineLevel="3" x14ac:dyDescent="0.25">
      <c r="A1729" s="45"/>
      <c r="B1729" s="54"/>
      <c r="C1729" s="47">
        <f t="shared" si="610"/>
        <v>4</v>
      </c>
      <c r="D1729" s="73"/>
      <c r="E1729" s="70"/>
      <c r="F1729" s="70" t="s">
        <v>3309</v>
      </c>
      <c r="G1729" s="73"/>
      <c r="H1729" s="374" t="s">
        <v>3310</v>
      </c>
      <c r="I1729" s="96"/>
      <c r="J1729" s="76"/>
      <c r="K1729" s="76"/>
      <c r="L1729" s="76"/>
      <c r="M1729" s="76"/>
      <c r="N1729" s="76"/>
      <c r="O1729" s="76"/>
      <c r="P1729" s="76"/>
      <c r="Q1729" s="76"/>
      <c r="R1729" s="76"/>
      <c r="S1729" s="76"/>
      <c r="T1729" s="76"/>
      <c r="U1729" s="97">
        <v>0</v>
      </c>
      <c r="V1729" s="97">
        <v>0</v>
      </c>
      <c r="W1729" s="97">
        <v>0</v>
      </c>
      <c r="X1729" s="97">
        <v>0</v>
      </c>
      <c r="Y1729" s="97">
        <v>0</v>
      </c>
      <c r="Z1729" s="97">
        <v>0</v>
      </c>
      <c r="AA1729" s="97">
        <v>0</v>
      </c>
      <c r="AB1729" s="97">
        <v>0</v>
      </c>
      <c r="AC1729" s="97">
        <v>0</v>
      </c>
      <c r="AD1729" s="97">
        <v>0</v>
      </c>
      <c r="AE1729" s="97">
        <v>0</v>
      </c>
      <c r="AF1729" s="76"/>
      <c r="AG1729" s="76"/>
      <c r="AH1729" s="76"/>
      <c r="AI1729" s="76">
        <v>1</v>
      </c>
      <c r="AJ1729" s="76">
        <v>1</v>
      </c>
      <c r="AK1729" s="73"/>
      <c r="AL1729" s="57"/>
      <c r="AM1729" s="45"/>
      <c r="AN1729" s="45"/>
      <c r="AO1729" s="45"/>
    </row>
    <row r="1730" spans="1:41" hidden="1" outlineLevel="2" x14ac:dyDescent="0.25">
      <c r="A1730" s="45"/>
      <c r="B1730" s="54"/>
      <c r="C1730" s="47">
        <f>INT($C$29)+2</f>
        <v>3</v>
      </c>
      <c r="D1730" s="73"/>
      <c r="E1730" s="70"/>
      <c r="F1730" s="70" t="s">
        <v>3299</v>
      </c>
      <c r="G1730" s="73"/>
      <c r="H1730" s="76" t="s">
        <v>2470</v>
      </c>
      <c r="I1730" s="76"/>
      <c r="J1730" s="76"/>
      <c r="K1730" s="155"/>
      <c r="L1730" s="76"/>
      <c r="M1730" s="76"/>
      <c r="N1730" s="76"/>
      <c r="O1730" s="76"/>
      <c r="P1730" s="76"/>
      <c r="Q1730" s="76"/>
      <c r="R1730" s="76"/>
      <c r="S1730" s="76"/>
      <c r="T1730" s="76"/>
      <c r="U1730" s="97">
        <v>-1.8110552</v>
      </c>
      <c r="V1730" s="255">
        <f>U1730</f>
        <v>-1.8110552</v>
      </c>
      <c r="W1730" s="255">
        <f t="shared" si="612"/>
        <v>-1.8110552</v>
      </c>
      <c r="X1730" s="255">
        <f t="shared" si="612"/>
        <v>-1.8110552</v>
      </c>
      <c r="Y1730" s="255">
        <f t="shared" ref="Y1730:Y1736" si="617">W1730</f>
        <v>-1.8110552</v>
      </c>
      <c r="Z1730" s="255">
        <f t="shared" ref="Z1730:Z1736" si="618">X1730</f>
        <v>-1.8110552</v>
      </c>
      <c r="AA1730" s="255">
        <f t="shared" ref="AA1730:AA1736" si="619">Y1730</f>
        <v>-1.8110552</v>
      </c>
      <c r="AB1730" s="97">
        <v>-0.49941732500000002</v>
      </c>
      <c r="AC1730" s="255">
        <f t="shared" si="616"/>
        <v>-0.49941732500000002</v>
      </c>
      <c r="AD1730" s="255">
        <f t="shared" si="616"/>
        <v>-0.49941732500000002</v>
      </c>
      <c r="AE1730" s="255">
        <f t="shared" ref="AE1730:AE1736" si="620">AD1730</f>
        <v>-0.49941732500000002</v>
      </c>
      <c r="AF1730" s="76"/>
      <c r="AG1730" s="76"/>
      <c r="AH1730" s="76"/>
      <c r="AI1730" s="97">
        <v>1</v>
      </c>
      <c r="AJ1730" s="97">
        <v>1</v>
      </c>
      <c r="AK1730" s="73"/>
      <c r="AL1730" s="57"/>
      <c r="AM1730" s="45"/>
      <c r="AN1730" s="45"/>
      <c r="AO1730" s="45"/>
    </row>
    <row r="1731" spans="1:41" hidden="1" outlineLevel="2" x14ac:dyDescent="0.25">
      <c r="A1731" s="45"/>
      <c r="B1731" s="54"/>
      <c r="C1731" s="47">
        <f>INT($C$29)+2</f>
        <v>3</v>
      </c>
      <c r="D1731" s="73"/>
      <c r="E1731" s="70"/>
      <c r="F1731" s="70" t="s">
        <v>3330</v>
      </c>
      <c r="G1731" s="73"/>
      <c r="H1731" s="76" t="s">
        <v>3339</v>
      </c>
      <c r="I1731" s="76"/>
      <c r="J1731" s="76"/>
      <c r="K1731" s="76"/>
      <c r="L1731" s="76"/>
      <c r="M1731" s="76"/>
      <c r="N1731" s="76"/>
      <c r="O1731" s="76"/>
      <c r="P1731" s="76"/>
      <c r="Q1731" s="76"/>
      <c r="R1731" s="76"/>
      <c r="S1731" s="76"/>
      <c r="T1731" s="76"/>
      <c r="U1731" s="97">
        <v>-1.0469999999999999</v>
      </c>
      <c r="V1731" s="255">
        <f>U1731</f>
        <v>-1.0469999999999999</v>
      </c>
      <c r="W1731" s="255">
        <f t="shared" si="612"/>
        <v>-1.0469999999999999</v>
      </c>
      <c r="X1731" s="255">
        <f t="shared" si="612"/>
        <v>-1.0469999999999999</v>
      </c>
      <c r="Y1731" s="255">
        <f t="shared" si="617"/>
        <v>-1.0469999999999999</v>
      </c>
      <c r="Z1731" s="255">
        <f t="shared" si="618"/>
        <v>-1.0469999999999999</v>
      </c>
      <c r="AA1731" s="255">
        <f t="shared" si="619"/>
        <v>-1.0469999999999999</v>
      </c>
      <c r="AB1731" s="97">
        <f t="shared" ref="AB1731:AB1736" si="621">U1731</f>
        <v>-1.0469999999999999</v>
      </c>
      <c r="AC1731" s="255">
        <f t="shared" si="616"/>
        <v>-1.0469999999999999</v>
      </c>
      <c r="AD1731" s="255">
        <f t="shared" si="616"/>
        <v>-1.0469999999999999</v>
      </c>
      <c r="AE1731" s="255">
        <f t="shared" si="620"/>
        <v>-1.0469999999999999</v>
      </c>
      <c r="AF1731" s="76"/>
      <c r="AG1731" s="97" t="s">
        <v>3582</v>
      </c>
      <c r="AH1731" s="76"/>
      <c r="AI1731" s="76">
        <v>1</v>
      </c>
      <c r="AJ1731" s="76">
        <v>1</v>
      </c>
      <c r="AK1731" s="73"/>
      <c r="AL1731" s="57"/>
      <c r="AM1731" s="45"/>
      <c r="AN1731" s="45"/>
      <c r="AO1731" s="45"/>
    </row>
    <row r="1732" spans="1:41" hidden="1" outlineLevel="2" x14ac:dyDescent="0.25">
      <c r="A1732" s="45"/>
      <c r="B1732" s="54"/>
      <c r="C1732" s="47">
        <f>INT($C$29)+2</f>
        <v>3</v>
      </c>
      <c r="D1732" s="73"/>
      <c r="E1732" s="70"/>
      <c r="F1732" s="70" t="s">
        <v>3331</v>
      </c>
      <c r="G1732" s="73"/>
      <c r="H1732" s="76" t="s">
        <v>3340</v>
      </c>
      <c r="I1732" s="76"/>
      <c r="J1732" s="76"/>
      <c r="K1732" s="76"/>
      <c r="L1732" s="76"/>
      <c r="M1732" s="76"/>
      <c r="N1732" s="76"/>
      <c r="O1732" s="76"/>
      <c r="P1732" s="76"/>
      <c r="Q1732" s="76"/>
      <c r="R1732" s="76"/>
      <c r="S1732" s="76"/>
      <c r="T1732" s="76"/>
      <c r="U1732" s="97">
        <v>7.5389999999999997E-3</v>
      </c>
      <c r="V1732" s="255">
        <f>U1732</f>
        <v>7.5389999999999997E-3</v>
      </c>
      <c r="W1732" s="255">
        <f t="shared" si="612"/>
        <v>7.5389999999999997E-3</v>
      </c>
      <c r="X1732" s="255">
        <f t="shared" si="612"/>
        <v>7.5389999999999997E-3</v>
      </c>
      <c r="Y1732" s="255">
        <f t="shared" si="617"/>
        <v>7.5389999999999997E-3</v>
      </c>
      <c r="Z1732" s="255">
        <f t="shared" si="618"/>
        <v>7.5389999999999997E-3</v>
      </c>
      <c r="AA1732" s="255">
        <f t="shared" si="619"/>
        <v>7.5389999999999997E-3</v>
      </c>
      <c r="AB1732" s="97">
        <f t="shared" si="621"/>
        <v>7.5389999999999997E-3</v>
      </c>
      <c r="AC1732" s="255">
        <f t="shared" si="616"/>
        <v>7.5389999999999997E-3</v>
      </c>
      <c r="AD1732" s="255">
        <f t="shared" si="616"/>
        <v>7.5389999999999997E-3</v>
      </c>
      <c r="AE1732" s="255">
        <f t="shared" si="620"/>
        <v>7.5389999999999997E-3</v>
      </c>
      <c r="AF1732" s="76"/>
      <c r="AG1732" s="97" t="s">
        <v>3341</v>
      </c>
      <c r="AH1732" s="76"/>
      <c r="AI1732" s="76">
        <v>1</v>
      </c>
      <c r="AJ1732" s="76">
        <v>1</v>
      </c>
      <c r="AK1732" s="73"/>
      <c r="AL1732" s="57"/>
      <c r="AM1732" s="45"/>
      <c r="AN1732" s="45"/>
      <c r="AO1732" s="45"/>
    </row>
    <row r="1733" spans="1:41" hidden="1" outlineLevel="2" x14ac:dyDescent="0.25">
      <c r="A1733" s="45"/>
      <c r="B1733" s="54"/>
      <c r="C1733" s="47">
        <f t="shared" ref="C1733:C1744" si="622">INT($C$29)+3</f>
        <v>4</v>
      </c>
      <c r="D1733" s="73"/>
      <c r="E1733" s="70"/>
      <c r="F1733" s="70" t="s">
        <v>3332</v>
      </c>
      <c r="G1733" s="73"/>
      <c r="H1733" s="76" t="s">
        <v>3578</v>
      </c>
      <c r="I1733" s="76"/>
      <c r="J1733" s="76"/>
      <c r="K1733" s="76"/>
      <c r="L1733" s="76"/>
      <c r="M1733" s="76"/>
      <c r="N1733" s="76"/>
      <c r="O1733" s="76"/>
      <c r="P1733" s="76"/>
      <c r="Q1733" s="76"/>
      <c r="R1733" s="76"/>
      <c r="S1733" s="76"/>
      <c r="T1733" s="76"/>
      <c r="U1733" s="97">
        <v>0.24360000000000001</v>
      </c>
      <c r="V1733" s="255">
        <f>U1733</f>
        <v>0.24360000000000001</v>
      </c>
      <c r="W1733" s="255">
        <f t="shared" si="612"/>
        <v>0.24360000000000001</v>
      </c>
      <c r="X1733" s="255">
        <f t="shared" si="612"/>
        <v>0.24360000000000001</v>
      </c>
      <c r="Y1733" s="255">
        <f t="shared" si="617"/>
        <v>0.24360000000000001</v>
      </c>
      <c r="Z1733" s="255">
        <f t="shared" si="618"/>
        <v>0.24360000000000001</v>
      </c>
      <c r="AA1733" s="255">
        <f t="shared" si="619"/>
        <v>0.24360000000000001</v>
      </c>
      <c r="AB1733" s="97">
        <f t="shared" si="621"/>
        <v>0.24360000000000001</v>
      </c>
      <c r="AC1733" s="255">
        <f t="shared" si="616"/>
        <v>0.24360000000000001</v>
      </c>
      <c r="AD1733" s="255">
        <f t="shared" si="616"/>
        <v>0.24360000000000001</v>
      </c>
      <c r="AE1733" s="255">
        <f t="shared" si="620"/>
        <v>0.24360000000000001</v>
      </c>
      <c r="AF1733" s="76"/>
      <c r="AG1733" s="97" t="s">
        <v>3342</v>
      </c>
      <c r="AH1733" s="76"/>
      <c r="AI1733" s="97">
        <v>1</v>
      </c>
      <c r="AJ1733" s="97">
        <v>1</v>
      </c>
      <c r="AK1733" s="73"/>
      <c r="AL1733" s="57"/>
      <c r="AM1733" s="45"/>
      <c r="AN1733" s="45"/>
      <c r="AO1733" s="45"/>
    </row>
    <row r="1734" spans="1:41" hidden="1" outlineLevel="2" x14ac:dyDescent="0.25">
      <c r="A1734" s="45"/>
      <c r="B1734" s="54"/>
      <c r="C1734" s="47">
        <f t="shared" si="622"/>
        <v>4</v>
      </c>
      <c r="D1734" s="73"/>
      <c r="E1734" s="70"/>
      <c r="F1734" s="70" t="s">
        <v>3333</v>
      </c>
      <c r="G1734" s="73"/>
      <c r="H1734" s="76" t="s">
        <v>3579</v>
      </c>
      <c r="I1734" s="76"/>
      <c r="J1734" s="76"/>
      <c r="K1734" s="76"/>
      <c r="L1734" s="76"/>
      <c r="M1734" s="76"/>
      <c r="N1734" s="76"/>
      <c r="O1734" s="76"/>
      <c r="P1734" s="76"/>
      <c r="Q1734" s="76"/>
      <c r="R1734" s="76"/>
      <c r="S1734" s="76"/>
      <c r="T1734" s="76"/>
      <c r="U1734" s="97"/>
      <c r="V1734" s="255">
        <f t="shared" ref="V1734" si="623">U1734</f>
        <v>0</v>
      </c>
      <c r="W1734" s="255">
        <f t="shared" ref="W1734:W1735" si="624">U1734</f>
        <v>0</v>
      </c>
      <c r="X1734" s="255">
        <f t="shared" ref="X1734:X1735" si="625">V1734</f>
        <v>0</v>
      </c>
      <c r="Y1734" s="255">
        <f t="shared" si="617"/>
        <v>0</v>
      </c>
      <c r="Z1734" s="255">
        <f t="shared" si="618"/>
        <v>0</v>
      </c>
      <c r="AA1734" s="255">
        <f t="shared" si="619"/>
        <v>0</v>
      </c>
      <c r="AB1734" s="97">
        <f t="shared" si="621"/>
        <v>0</v>
      </c>
      <c r="AC1734" s="255">
        <f t="shared" ref="AC1734:AC1735" si="626">AB1734</f>
        <v>0</v>
      </c>
      <c r="AD1734" s="255">
        <f t="shared" ref="AD1734:AD1735" si="627">AC1734</f>
        <v>0</v>
      </c>
      <c r="AE1734" s="255">
        <f t="shared" si="620"/>
        <v>0</v>
      </c>
      <c r="AF1734" s="76"/>
      <c r="AG1734" s="76"/>
      <c r="AH1734" s="76"/>
      <c r="AI1734" s="76">
        <v>1</v>
      </c>
      <c r="AJ1734" s="76">
        <v>1</v>
      </c>
      <c r="AK1734" s="73"/>
      <c r="AL1734" s="57"/>
      <c r="AM1734" s="45"/>
      <c r="AN1734" s="45"/>
      <c r="AO1734" s="45"/>
    </row>
    <row r="1735" spans="1:41" hidden="1" outlineLevel="2" collapsed="1" x14ac:dyDescent="0.25">
      <c r="A1735" s="45"/>
      <c r="B1735" s="54"/>
      <c r="C1735" s="47">
        <f t="shared" si="622"/>
        <v>4</v>
      </c>
      <c r="D1735" s="73"/>
      <c r="E1735" s="70"/>
      <c r="F1735" s="70" t="s">
        <v>3334</v>
      </c>
      <c r="G1735" s="73"/>
      <c r="H1735" s="76" t="s">
        <v>3580</v>
      </c>
      <c r="I1735" s="76"/>
      <c r="J1735" s="76"/>
      <c r="K1735" s="76"/>
      <c r="L1735" s="76"/>
      <c r="M1735" s="76"/>
      <c r="N1735" s="76"/>
      <c r="O1735" s="76"/>
      <c r="P1735" s="76"/>
      <c r="Q1735" s="76"/>
      <c r="R1735" s="76"/>
      <c r="S1735" s="76"/>
      <c r="T1735" s="76"/>
      <c r="U1735" s="97">
        <v>0.24360000000000001</v>
      </c>
      <c r="V1735" s="255">
        <f>U1735</f>
        <v>0.24360000000000001</v>
      </c>
      <c r="W1735" s="255">
        <f t="shared" si="624"/>
        <v>0.24360000000000001</v>
      </c>
      <c r="X1735" s="255">
        <f t="shared" si="625"/>
        <v>0.24360000000000001</v>
      </c>
      <c r="Y1735" s="255">
        <f t="shared" si="617"/>
        <v>0.24360000000000001</v>
      </c>
      <c r="Z1735" s="255">
        <f t="shared" si="618"/>
        <v>0.24360000000000001</v>
      </c>
      <c r="AA1735" s="255">
        <f t="shared" si="619"/>
        <v>0.24360000000000001</v>
      </c>
      <c r="AB1735" s="97">
        <f t="shared" si="621"/>
        <v>0.24360000000000001</v>
      </c>
      <c r="AC1735" s="255">
        <f t="shared" si="626"/>
        <v>0.24360000000000001</v>
      </c>
      <c r="AD1735" s="255">
        <f t="shared" si="627"/>
        <v>0.24360000000000001</v>
      </c>
      <c r="AE1735" s="255">
        <f t="shared" si="620"/>
        <v>0.24360000000000001</v>
      </c>
      <c r="AF1735" s="76"/>
      <c r="AG1735" s="76"/>
      <c r="AH1735" s="76"/>
      <c r="AI1735" s="97">
        <v>1</v>
      </c>
      <c r="AJ1735" s="97">
        <v>1</v>
      </c>
      <c r="AK1735" s="73"/>
      <c r="AL1735" s="57"/>
      <c r="AM1735" s="45"/>
      <c r="AN1735" s="45"/>
      <c r="AO1735" s="45"/>
    </row>
    <row r="1736" spans="1:41" hidden="1" outlineLevel="3" x14ac:dyDescent="0.25">
      <c r="A1736" s="45"/>
      <c r="B1736" s="54"/>
      <c r="C1736" s="47">
        <f t="shared" si="622"/>
        <v>4</v>
      </c>
      <c r="D1736" s="73"/>
      <c r="E1736" s="70"/>
      <c r="F1736" s="70" t="s">
        <v>3335</v>
      </c>
      <c r="G1736" s="73"/>
      <c r="H1736" s="76" t="s">
        <v>3581</v>
      </c>
      <c r="I1736" s="76"/>
      <c r="J1736" s="76"/>
      <c r="K1736" s="76"/>
      <c r="L1736" s="76"/>
      <c r="M1736" s="76"/>
      <c r="N1736" s="76"/>
      <c r="O1736" s="76"/>
      <c r="P1736" s="76"/>
      <c r="Q1736" s="76"/>
      <c r="R1736" s="76"/>
      <c r="S1736" s="76"/>
      <c r="T1736" s="76"/>
      <c r="U1736" s="97"/>
      <c r="V1736" s="255">
        <f t="shared" ref="V1736" si="628">U1736</f>
        <v>0</v>
      </c>
      <c r="W1736" s="255">
        <f t="shared" ref="W1736" si="629">U1736</f>
        <v>0</v>
      </c>
      <c r="X1736" s="255">
        <f t="shared" ref="X1736" si="630">V1736</f>
        <v>0</v>
      </c>
      <c r="Y1736" s="255">
        <f t="shared" si="617"/>
        <v>0</v>
      </c>
      <c r="Z1736" s="255">
        <f t="shared" si="618"/>
        <v>0</v>
      </c>
      <c r="AA1736" s="255">
        <f t="shared" si="619"/>
        <v>0</v>
      </c>
      <c r="AB1736" s="97">
        <f t="shared" si="621"/>
        <v>0</v>
      </c>
      <c r="AC1736" s="255">
        <f t="shared" ref="AC1736" si="631">AB1736</f>
        <v>0</v>
      </c>
      <c r="AD1736" s="255">
        <f t="shared" ref="AD1736" si="632">AC1736</f>
        <v>0</v>
      </c>
      <c r="AE1736" s="255">
        <f t="shared" si="620"/>
        <v>0</v>
      </c>
      <c r="AF1736" s="76"/>
      <c r="AG1736" s="76"/>
      <c r="AH1736" s="76"/>
      <c r="AI1736" s="76">
        <v>1</v>
      </c>
      <c r="AJ1736" s="76">
        <v>1</v>
      </c>
      <c r="AK1736" s="73"/>
      <c r="AL1736" s="57"/>
      <c r="AM1736" s="45"/>
      <c r="AN1736" s="45"/>
      <c r="AO1736" s="45"/>
    </row>
    <row r="1737" spans="1:41" hidden="1" outlineLevel="3" x14ac:dyDescent="0.25">
      <c r="A1737" s="45"/>
      <c r="B1737" s="54"/>
      <c r="C1737" s="47">
        <f t="shared" si="622"/>
        <v>4</v>
      </c>
      <c r="D1737" s="73"/>
      <c r="E1737" s="70"/>
      <c r="F1737" s="70" t="s">
        <v>3336</v>
      </c>
      <c r="G1737" s="73"/>
      <c r="H1737" s="373" t="s">
        <v>3343</v>
      </c>
      <c r="I1737" s="76"/>
      <c r="J1737" s="76"/>
      <c r="K1737" s="76"/>
      <c r="L1737" s="76"/>
      <c r="M1737" s="76"/>
      <c r="N1737" s="76"/>
      <c r="O1737" s="76"/>
      <c r="P1737" s="76"/>
      <c r="Q1737" s="76"/>
      <c r="R1737" s="76"/>
      <c r="S1737" s="76"/>
      <c r="T1737" s="76"/>
      <c r="U1737" s="76"/>
      <c r="V1737" s="76"/>
      <c r="W1737" s="76"/>
      <c r="X1737" s="76"/>
      <c r="Y1737" s="76"/>
      <c r="Z1737" s="76"/>
      <c r="AA1737" s="76"/>
      <c r="AB1737" s="76"/>
      <c r="AC1737" s="76"/>
      <c r="AD1737" s="76"/>
      <c r="AE1737" s="76"/>
      <c r="AF1737" s="76"/>
      <c r="AG1737" s="76"/>
      <c r="AH1737" s="76"/>
      <c r="AI1737" s="76">
        <v>1</v>
      </c>
      <c r="AJ1737" s="76">
        <v>1</v>
      </c>
      <c r="AK1737" s="73"/>
      <c r="AL1737" s="57"/>
      <c r="AM1737" s="45"/>
      <c r="AN1737" s="45"/>
      <c r="AO1737" s="45"/>
    </row>
    <row r="1738" spans="1:41" hidden="1" outlineLevel="3" x14ac:dyDescent="0.25">
      <c r="A1738" s="45"/>
      <c r="B1738" s="54"/>
      <c r="C1738" s="47">
        <f t="shared" si="622"/>
        <v>4</v>
      </c>
      <c r="D1738" s="73"/>
      <c r="E1738" s="70"/>
      <c r="F1738" s="70" t="s">
        <v>3337</v>
      </c>
      <c r="G1738" s="73"/>
      <c r="H1738" s="373" t="s">
        <v>3344</v>
      </c>
      <c r="I1738" s="76"/>
      <c r="J1738" s="76"/>
      <c r="K1738" s="76"/>
      <c r="L1738" s="76"/>
      <c r="M1738" s="76"/>
      <c r="N1738" s="76"/>
      <c r="O1738" s="76"/>
      <c r="P1738" s="76"/>
      <c r="Q1738" s="76"/>
      <c r="R1738" s="76"/>
      <c r="S1738" s="76"/>
      <c r="T1738" s="76"/>
      <c r="U1738" s="76"/>
      <c r="V1738" s="76"/>
      <c r="W1738" s="76"/>
      <c r="X1738" s="76"/>
      <c r="Y1738" s="76"/>
      <c r="Z1738" s="76"/>
      <c r="AA1738" s="76"/>
      <c r="AB1738" s="76"/>
      <c r="AC1738" s="76"/>
      <c r="AD1738" s="76"/>
      <c r="AE1738" s="76"/>
      <c r="AF1738" s="76"/>
      <c r="AG1738" s="76"/>
      <c r="AH1738" s="76"/>
      <c r="AI1738" s="76">
        <v>1</v>
      </c>
      <c r="AJ1738" s="76">
        <v>1</v>
      </c>
      <c r="AK1738" s="73"/>
      <c r="AL1738" s="57"/>
      <c r="AM1738" s="45"/>
      <c r="AN1738" s="45"/>
      <c r="AO1738" s="45"/>
    </row>
    <row r="1739" spans="1:41" hidden="1" outlineLevel="3" x14ac:dyDescent="0.25">
      <c r="A1739" s="45"/>
      <c r="B1739" s="54"/>
      <c r="C1739" s="47">
        <f t="shared" si="622"/>
        <v>4</v>
      </c>
      <c r="D1739" s="73"/>
      <c r="E1739" s="70"/>
      <c r="F1739" s="70" t="str">
        <f>SUBSTITUTE(F1735,",4)",",8)")</f>
        <v>C(U2,27,8)</v>
      </c>
      <c r="G1739" s="73"/>
      <c r="H1739" s="373" t="s">
        <v>3345</v>
      </c>
      <c r="I1739" s="96"/>
      <c r="J1739" s="76"/>
      <c r="K1739" s="76"/>
      <c r="L1739" s="76"/>
      <c r="M1739" s="76"/>
      <c r="N1739" s="76"/>
      <c r="O1739" s="76"/>
      <c r="P1739" s="76"/>
      <c r="Q1739" s="76"/>
      <c r="R1739" s="76"/>
      <c r="S1739" s="76"/>
      <c r="T1739" s="76"/>
      <c r="U1739" s="76"/>
      <c r="V1739" s="76"/>
      <c r="W1739" s="76"/>
      <c r="X1739" s="76"/>
      <c r="Y1739" s="76"/>
      <c r="Z1739" s="76"/>
      <c r="AA1739" s="76"/>
      <c r="AB1739" s="76"/>
      <c r="AC1739" s="76"/>
      <c r="AD1739" s="76"/>
      <c r="AE1739" s="76"/>
      <c r="AF1739" s="76"/>
      <c r="AG1739" s="76"/>
      <c r="AH1739" s="76"/>
      <c r="AI1739" s="76">
        <v>1</v>
      </c>
      <c r="AJ1739" s="76">
        <v>1</v>
      </c>
      <c r="AK1739" s="73"/>
      <c r="AL1739" s="57"/>
      <c r="AM1739" s="45"/>
      <c r="AN1739" s="45"/>
      <c r="AO1739" s="45"/>
    </row>
    <row r="1740" spans="1:41" hidden="1" outlineLevel="3" x14ac:dyDescent="0.25">
      <c r="A1740" s="45"/>
      <c r="B1740" s="54"/>
      <c r="C1740" s="47">
        <f t="shared" si="622"/>
        <v>4</v>
      </c>
      <c r="D1740" s="73"/>
      <c r="E1740" s="70"/>
      <c r="F1740" s="70" t="str">
        <f>SUBSTITUTE(F1736,",5)",",9)")</f>
        <v>C(U2,27,9)</v>
      </c>
      <c r="G1740" s="73"/>
      <c r="H1740" s="373" t="s">
        <v>3346</v>
      </c>
      <c r="I1740" s="96"/>
      <c r="J1740" s="76"/>
      <c r="K1740" s="76"/>
      <c r="L1740" s="76"/>
      <c r="M1740" s="76"/>
      <c r="N1740" s="76"/>
      <c r="O1740" s="76"/>
      <c r="P1740" s="76"/>
      <c r="Q1740" s="76"/>
      <c r="R1740" s="76"/>
      <c r="S1740" s="76"/>
      <c r="T1740" s="76"/>
      <c r="U1740" s="76"/>
      <c r="V1740" s="76"/>
      <c r="W1740" s="76"/>
      <c r="X1740" s="76"/>
      <c r="Y1740" s="76"/>
      <c r="Z1740" s="76"/>
      <c r="AA1740" s="76"/>
      <c r="AB1740" s="76"/>
      <c r="AC1740" s="76"/>
      <c r="AD1740" s="76"/>
      <c r="AE1740" s="76"/>
      <c r="AF1740" s="76"/>
      <c r="AG1740" s="76"/>
      <c r="AH1740" s="76"/>
      <c r="AI1740" s="76">
        <v>1</v>
      </c>
      <c r="AJ1740" s="76">
        <v>1</v>
      </c>
      <c r="AK1740" s="73"/>
      <c r="AL1740" s="57"/>
      <c r="AM1740" s="45"/>
      <c r="AN1740" s="45"/>
      <c r="AO1740" s="45"/>
    </row>
    <row r="1741" spans="1:41" hidden="1" outlineLevel="3" x14ac:dyDescent="0.25">
      <c r="A1741" s="45"/>
      <c r="B1741" s="54"/>
      <c r="C1741" s="47">
        <f t="shared" si="622"/>
        <v>4</v>
      </c>
      <c r="D1741" s="73"/>
      <c r="E1741" s="70"/>
      <c r="F1741" s="70" t="str">
        <f>SUBSTITUTE(F1737,",6)",",10)")</f>
        <v>C(U2,27,10)</v>
      </c>
      <c r="G1741" s="73"/>
      <c r="H1741" s="373" t="s">
        <v>3347</v>
      </c>
      <c r="I1741" s="96"/>
      <c r="J1741" s="76"/>
      <c r="K1741" s="76"/>
      <c r="L1741" s="76"/>
      <c r="M1741" s="76"/>
      <c r="N1741" s="76"/>
      <c r="O1741" s="76"/>
      <c r="P1741" s="76"/>
      <c r="Q1741" s="76"/>
      <c r="R1741" s="76"/>
      <c r="S1741" s="76"/>
      <c r="T1741" s="76"/>
      <c r="U1741" s="76"/>
      <c r="V1741" s="76"/>
      <c r="W1741" s="76"/>
      <c r="X1741" s="76"/>
      <c r="Y1741" s="76"/>
      <c r="Z1741" s="76"/>
      <c r="AA1741" s="76"/>
      <c r="AB1741" s="76"/>
      <c r="AC1741" s="76"/>
      <c r="AD1741" s="76"/>
      <c r="AE1741" s="76"/>
      <c r="AF1741" s="76"/>
      <c r="AG1741" s="76"/>
      <c r="AH1741" s="76"/>
      <c r="AI1741" s="76">
        <v>1</v>
      </c>
      <c r="AJ1741" s="76">
        <v>1</v>
      </c>
      <c r="AK1741" s="73"/>
      <c r="AL1741" s="57"/>
      <c r="AM1741" s="45"/>
      <c r="AN1741" s="45"/>
      <c r="AO1741" s="45"/>
    </row>
    <row r="1742" spans="1:41" hidden="1" outlineLevel="3" collapsed="1" x14ac:dyDescent="0.25">
      <c r="A1742" s="45"/>
      <c r="B1742" s="54"/>
      <c r="C1742" s="47">
        <f t="shared" si="622"/>
        <v>4</v>
      </c>
      <c r="D1742" s="73"/>
      <c r="E1742" s="70"/>
      <c r="F1742" s="70" t="str">
        <f>SUBSTITUTE(F1738,",7)",",11)")</f>
        <v>C(U2,27,11)</v>
      </c>
      <c r="G1742" s="73"/>
      <c r="H1742" s="373" t="s">
        <v>3348</v>
      </c>
      <c r="I1742" s="96"/>
      <c r="J1742" s="76"/>
      <c r="K1742" s="76"/>
      <c r="L1742" s="76"/>
      <c r="M1742" s="76"/>
      <c r="N1742" s="76"/>
      <c r="O1742" s="76"/>
      <c r="P1742" s="76"/>
      <c r="Q1742" s="76"/>
      <c r="R1742" s="76"/>
      <c r="S1742" s="76"/>
      <c r="T1742" s="76"/>
      <c r="U1742" s="76"/>
      <c r="V1742" s="76"/>
      <c r="W1742" s="76"/>
      <c r="X1742" s="76"/>
      <c r="Y1742" s="76"/>
      <c r="Z1742" s="76"/>
      <c r="AA1742" s="76"/>
      <c r="AB1742" s="76"/>
      <c r="AC1742" s="76"/>
      <c r="AD1742" s="76"/>
      <c r="AE1742" s="76"/>
      <c r="AF1742" s="76"/>
      <c r="AG1742" s="76"/>
      <c r="AH1742" s="76"/>
      <c r="AI1742" s="76">
        <v>1</v>
      </c>
      <c r="AJ1742" s="76">
        <v>1</v>
      </c>
      <c r="AK1742" s="73"/>
      <c r="AL1742" s="57"/>
      <c r="AM1742" s="45"/>
      <c r="AN1742" s="45"/>
      <c r="AO1742" s="45"/>
    </row>
    <row r="1743" spans="1:41" hidden="1" outlineLevel="3" x14ac:dyDescent="0.25">
      <c r="A1743" s="45"/>
      <c r="B1743" s="54"/>
      <c r="C1743" s="47">
        <f t="shared" si="622"/>
        <v>4</v>
      </c>
      <c r="D1743" s="73"/>
      <c r="E1743" s="70"/>
      <c r="F1743" s="70" t="str">
        <f>SUBSTITUTE(F1737,",6)",",12)")</f>
        <v>C(U2,27,12)</v>
      </c>
      <c r="G1743" s="73"/>
      <c r="H1743" s="373" t="s">
        <v>3349</v>
      </c>
      <c r="I1743" s="96"/>
      <c r="J1743" s="76"/>
      <c r="K1743" s="76"/>
      <c r="L1743" s="76"/>
      <c r="M1743" s="76"/>
      <c r="N1743" s="76"/>
      <c r="O1743" s="76"/>
      <c r="P1743" s="76"/>
      <c r="Q1743" s="76"/>
      <c r="R1743" s="76"/>
      <c r="S1743" s="76"/>
      <c r="T1743" s="76"/>
      <c r="U1743" s="76"/>
      <c r="V1743" s="76"/>
      <c r="W1743" s="76"/>
      <c r="X1743" s="76"/>
      <c r="Y1743" s="76"/>
      <c r="Z1743" s="76"/>
      <c r="AA1743" s="76"/>
      <c r="AB1743" s="76"/>
      <c r="AC1743" s="76"/>
      <c r="AD1743" s="76"/>
      <c r="AE1743" s="76"/>
      <c r="AF1743" s="76"/>
      <c r="AG1743" s="76"/>
      <c r="AH1743" s="76"/>
      <c r="AI1743" s="76">
        <v>1</v>
      </c>
      <c r="AJ1743" s="76">
        <v>1</v>
      </c>
      <c r="AK1743" s="73"/>
      <c r="AL1743" s="57"/>
      <c r="AM1743" s="45"/>
      <c r="AN1743" s="45"/>
      <c r="AO1743" s="45"/>
    </row>
    <row r="1744" spans="1:41" hidden="1" outlineLevel="3" x14ac:dyDescent="0.25">
      <c r="A1744" s="45"/>
      <c r="B1744" s="54"/>
      <c r="C1744" s="47">
        <f t="shared" si="622"/>
        <v>4</v>
      </c>
      <c r="D1744" s="73"/>
      <c r="E1744" s="70"/>
      <c r="F1744" s="70" t="str">
        <f>SUBSTITUTE(F1738,",7)",",13)")</f>
        <v>C(U2,27,13)</v>
      </c>
      <c r="G1744" s="73"/>
      <c r="H1744" s="373" t="s">
        <v>3350</v>
      </c>
      <c r="I1744" s="96"/>
      <c r="J1744" s="76"/>
      <c r="K1744" s="76"/>
      <c r="L1744" s="76"/>
      <c r="M1744" s="76"/>
      <c r="N1744" s="76"/>
      <c r="O1744" s="76"/>
      <c r="P1744" s="76"/>
      <c r="Q1744" s="76"/>
      <c r="R1744" s="76"/>
      <c r="S1744" s="76"/>
      <c r="T1744" s="76"/>
      <c r="U1744" s="76"/>
      <c r="V1744" s="76"/>
      <c r="W1744" s="76"/>
      <c r="X1744" s="76"/>
      <c r="Y1744" s="76"/>
      <c r="Z1744" s="76"/>
      <c r="AA1744" s="76"/>
      <c r="AB1744" s="76"/>
      <c r="AC1744" s="76"/>
      <c r="AD1744" s="76"/>
      <c r="AE1744" s="76"/>
      <c r="AF1744" s="76"/>
      <c r="AG1744" s="76"/>
      <c r="AH1744" s="76"/>
      <c r="AI1744" s="76">
        <v>1</v>
      </c>
      <c r="AJ1744" s="76">
        <v>1</v>
      </c>
      <c r="AK1744" s="73"/>
      <c r="AL1744" s="57"/>
      <c r="AM1744" s="45"/>
      <c r="AN1744" s="45"/>
      <c r="AO1744" s="45"/>
    </row>
    <row r="1745" spans="1:41" hidden="1" outlineLevel="2" x14ac:dyDescent="0.25">
      <c r="A1745" s="45"/>
      <c r="B1745" s="54"/>
      <c r="C1745" s="47">
        <f>INT($C$29)+2</f>
        <v>3</v>
      </c>
      <c r="D1745" s="73"/>
      <c r="E1745" s="70"/>
      <c r="F1745" s="70" t="s">
        <v>3338</v>
      </c>
      <c r="G1745" s="73"/>
      <c r="H1745" s="76" t="s">
        <v>3351</v>
      </c>
      <c r="I1745" s="76"/>
      <c r="J1745" s="76"/>
      <c r="K1745" s="76"/>
      <c r="L1745" s="76"/>
      <c r="M1745" s="76"/>
      <c r="N1745" s="76"/>
      <c r="O1745" s="76"/>
      <c r="P1745" s="76"/>
      <c r="Q1745" s="76"/>
      <c r="R1745" s="76"/>
      <c r="S1745" s="76"/>
      <c r="T1745" s="76"/>
      <c r="U1745" s="97">
        <v>28.52</v>
      </c>
      <c r="V1745" s="255">
        <f t="shared" ref="V1745" si="633">U1745</f>
        <v>28.52</v>
      </c>
      <c r="W1745" s="255">
        <f t="shared" ref="W1745" si="634">U1745</f>
        <v>28.52</v>
      </c>
      <c r="X1745" s="255">
        <f t="shared" ref="X1745" si="635">V1745</f>
        <v>28.52</v>
      </c>
      <c r="Y1745" s="255">
        <f t="shared" ref="Y1745" si="636">W1745</f>
        <v>28.52</v>
      </c>
      <c r="Z1745" s="255">
        <f t="shared" ref="Z1745" si="637">X1745</f>
        <v>28.52</v>
      </c>
      <c r="AA1745" s="255">
        <f t="shared" ref="AA1745" si="638">Y1745</f>
        <v>28.52</v>
      </c>
      <c r="AB1745" s="97">
        <f>U1745</f>
        <v>28.52</v>
      </c>
      <c r="AC1745" s="255">
        <f t="shared" ref="AC1745" si="639">AB1745</f>
        <v>28.52</v>
      </c>
      <c r="AD1745" s="255">
        <f t="shared" ref="AD1745" si="640">AC1745</f>
        <v>28.52</v>
      </c>
      <c r="AE1745" s="255">
        <f>AD1745</f>
        <v>28.52</v>
      </c>
      <c r="AF1745" s="76"/>
      <c r="AG1745" s="97"/>
      <c r="AH1745" s="76"/>
      <c r="AI1745" s="97">
        <v>1</v>
      </c>
      <c r="AJ1745" s="97">
        <v>1</v>
      </c>
      <c r="AK1745" s="73"/>
      <c r="AL1745" s="57"/>
      <c r="AM1745" s="45"/>
      <c r="AN1745" s="45"/>
      <c r="AO1745" s="45"/>
    </row>
    <row r="1746" spans="1:41" outlineLevel="1" collapsed="1" x14ac:dyDescent="0.25">
      <c r="A1746" s="45"/>
      <c r="B1746" s="54"/>
      <c r="C1746" s="47">
        <f>INT($C$29)+1</f>
        <v>2</v>
      </c>
      <c r="D1746" s="73"/>
      <c r="E1746" s="70"/>
      <c r="F1746" s="265" t="s">
        <v>1695</v>
      </c>
      <c r="G1746" s="73"/>
      <c r="H1746" s="267" t="s">
        <v>3726</v>
      </c>
      <c r="I1746" s="129"/>
      <c r="J1746" s="129" t="s">
        <v>1038</v>
      </c>
      <c r="K1746" s="79">
        <v>24</v>
      </c>
      <c r="L1746" s="79">
        <v>15</v>
      </c>
      <c r="M1746" s="79">
        <v>0</v>
      </c>
      <c r="N1746" s="76"/>
      <c r="O1746" s="76"/>
      <c r="P1746" s="76"/>
      <c r="Q1746" s="76"/>
      <c r="R1746" s="76"/>
      <c r="S1746" s="76"/>
      <c r="T1746" s="76"/>
      <c r="U1746" s="76"/>
      <c r="V1746" s="76"/>
      <c r="W1746" s="76"/>
      <c r="X1746" s="76"/>
      <c r="Y1746" s="76"/>
      <c r="Z1746" s="76"/>
      <c r="AA1746" s="76"/>
      <c r="AB1746" s="76"/>
      <c r="AC1746" s="76"/>
      <c r="AD1746" s="76"/>
      <c r="AE1746" s="76"/>
      <c r="AF1746" s="76"/>
      <c r="AG1746" s="76"/>
      <c r="AH1746" s="76"/>
      <c r="AI1746" s="76"/>
      <c r="AJ1746" s="76"/>
      <c r="AK1746" s="73"/>
      <c r="AL1746" s="57"/>
      <c r="AM1746" s="45"/>
      <c r="AN1746" s="45"/>
      <c r="AO1746" s="45"/>
    </row>
    <row r="1747" spans="1:41" hidden="1" outlineLevel="2" collapsed="1" x14ac:dyDescent="0.25">
      <c r="A1747" s="45"/>
      <c r="B1747" s="54"/>
      <c r="C1747" s="47">
        <f t="shared" ref="C1747:C1766" si="641">INT($C$29)+3</f>
        <v>4</v>
      </c>
      <c r="D1747" s="73"/>
      <c r="E1747" s="70"/>
      <c r="F1747" s="70" t="s">
        <v>3497</v>
      </c>
      <c r="G1747" s="73"/>
      <c r="H1747" s="76" t="s">
        <v>3493</v>
      </c>
      <c r="I1747" s="96" t="s">
        <v>2321</v>
      </c>
      <c r="J1747" s="76"/>
      <c r="K1747" s="76"/>
      <c r="L1747" s="76"/>
      <c r="M1747" s="76"/>
      <c r="N1747" s="76"/>
      <c r="O1747" s="76"/>
      <c r="P1747" s="76"/>
      <c r="Q1747" s="76"/>
      <c r="R1747" s="76"/>
      <c r="S1747" s="76"/>
      <c r="T1747" s="76"/>
      <c r="U1747" s="76"/>
      <c r="V1747" s="76"/>
      <c r="W1747" s="76"/>
      <c r="X1747" s="76"/>
      <c r="Y1747" s="76"/>
      <c r="Z1747" s="76"/>
      <c r="AA1747" s="76"/>
      <c r="AB1747" s="76"/>
      <c r="AC1747" s="76"/>
      <c r="AD1747" s="76"/>
      <c r="AE1747" s="76"/>
      <c r="AF1747" s="76"/>
      <c r="AG1747" s="76"/>
      <c r="AH1747" s="76"/>
      <c r="AI1747" s="76">
        <v>1</v>
      </c>
      <c r="AJ1747" s="76">
        <v>1</v>
      </c>
      <c r="AK1747" s="73"/>
      <c r="AL1747" s="57"/>
      <c r="AM1747" s="45"/>
      <c r="AN1747" s="45"/>
      <c r="AO1747" s="45"/>
    </row>
    <row r="1748" spans="1:41" hidden="1" outlineLevel="3" x14ac:dyDescent="0.25">
      <c r="A1748" s="45"/>
      <c r="B1748" s="54"/>
      <c r="C1748" s="47">
        <f t="shared" si="641"/>
        <v>4</v>
      </c>
      <c r="D1748" s="73"/>
      <c r="E1748" s="70"/>
      <c r="F1748" s="70" t="s">
        <v>3498</v>
      </c>
      <c r="G1748" s="73"/>
      <c r="H1748" s="76" t="s">
        <v>3481</v>
      </c>
      <c r="I1748" s="96" t="s">
        <v>2322</v>
      </c>
      <c r="J1748" s="76"/>
      <c r="K1748" s="76"/>
      <c r="L1748" s="76"/>
      <c r="M1748" s="76"/>
      <c r="N1748" s="76"/>
      <c r="O1748" s="76"/>
      <c r="P1748" s="76"/>
      <c r="Q1748" s="76"/>
      <c r="R1748" s="76"/>
      <c r="S1748" s="76"/>
      <c r="T1748" s="76"/>
      <c r="U1748" s="76"/>
      <c r="V1748" s="76"/>
      <c r="W1748" s="76"/>
      <c r="X1748" s="76"/>
      <c r="Y1748" s="76"/>
      <c r="Z1748" s="76"/>
      <c r="AA1748" s="76"/>
      <c r="AB1748" s="76"/>
      <c r="AC1748" s="76"/>
      <c r="AD1748" s="76"/>
      <c r="AE1748" s="76"/>
      <c r="AF1748" s="76"/>
      <c r="AG1748" s="76"/>
      <c r="AH1748" s="76"/>
      <c r="AI1748" s="76">
        <v>1</v>
      </c>
      <c r="AJ1748" s="76">
        <v>1</v>
      </c>
      <c r="AK1748" s="73"/>
      <c r="AL1748" s="57"/>
      <c r="AM1748" s="45"/>
      <c r="AN1748" s="45"/>
      <c r="AO1748" s="45"/>
    </row>
    <row r="1749" spans="1:41" hidden="1" outlineLevel="3" x14ac:dyDescent="0.25">
      <c r="A1749" s="45"/>
      <c r="B1749" s="54"/>
      <c r="C1749" s="47">
        <f t="shared" si="641"/>
        <v>4</v>
      </c>
      <c r="D1749" s="73"/>
      <c r="E1749" s="70"/>
      <c r="F1749" s="70" t="s">
        <v>3499</v>
      </c>
      <c r="G1749" s="73"/>
      <c r="H1749" s="76" t="s">
        <v>3488</v>
      </c>
      <c r="I1749" s="96" t="s">
        <v>2323</v>
      </c>
      <c r="J1749" s="76"/>
      <c r="K1749" s="76"/>
      <c r="L1749" s="76"/>
      <c r="M1749" s="76"/>
      <c r="N1749" s="76"/>
      <c r="O1749" s="76"/>
      <c r="P1749" s="76"/>
      <c r="Q1749" s="76"/>
      <c r="R1749" s="76"/>
      <c r="S1749" s="76"/>
      <c r="T1749" s="76"/>
      <c r="U1749" s="76"/>
      <c r="V1749" s="76"/>
      <c r="W1749" s="76"/>
      <c r="X1749" s="76"/>
      <c r="Y1749" s="76"/>
      <c r="Z1749" s="76"/>
      <c r="AA1749" s="76"/>
      <c r="AB1749" s="76"/>
      <c r="AC1749" s="76"/>
      <c r="AD1749" s="76"/>
      <c r="AE1749" s="76"/>
      <c r="AF1749" s="76"/>
      <c r="AG1749" s="76"/>
      <c r="AH1749" s="76"/>
      <c r="AI1749" s="76">
        <v>1</v>
      </c>
      <c r="AJ1749" s="76">
        <v>1</v>
      </c>
      <c r="AK1749" s="73"/>
      <c r="AL1749" s="57"/>
      <c r="AM1749" s="45"/>
      <c r="AN1749" s="45"/>
      <c r="AO1749" s="45"/>
    </row>
    <row r="1750" spans="1:41" hidden="1" outlineLevel="3" x14ac:dyDescent="0.25">
      <c r="A1750" s="45"/>
      <c r="B1750" s="54"/>
      <c r="C1750" s="47">
        <f t="shared" si="641"/>
        <v>4</v>
      </c>
      <c r="D1750" s="73"/>
      <c r="E1750" s="70"/>
      <c r="F1750" s="70" t="s">
        <v>3500</v>
      </c>
      <c r="G1750" s="73"/>
      <c r="H1750" s="76" t="s">
        <v>3482</v>
      </c>
      <c r="I1750" s="96" t="s">
        <v>2356</v>
      </c>
      <c r="J1750" s="76"/>
      <c r="K1750" s="76"/>
      <c r="L1750" s="76"/>
      <c r="M1750" s="76"/>
      <c r="N1750" s="76"/>
      <c r="O1750" s="76"/>
      <c r="P1750" s="76"/>
      <c r="Q1750" s="76"/>
      <c r="R1750" s="76"/>
      <c r="S1750" s="76"/>
      <c r="T1750" s="76"/>
      <c r="U1750" s="76"/>
      <c r="V1750" s="76"/>
      <c r="W1750" s="76"/>
      <c r="X1750" s="76"/>
      <c r="Y1750" s="76"/>
      <c r="Z1750" s="76"/>
      <c r="AA1750" s="76"/>
      <c r="AB1750" s="76"/>
      <c r="AC1750" s="76"/>
      <c r="AD1750" s="76"/>
      <c r="AE1750" s="76"/>
      <c r="AF1750" s="76"/>
      <c r="AG1750" s="76"/>
      <c r="AH1750" s="76"/>
      <c r="AI1750" s="76">
        <v>1</v>
      </c>
      <c r="AJ1750" s="76">
        <v>1</v>
      </c>
      <c r="AK1750" s="73"/>
      <c r="AL1750" s="57"/>
      <c r="AM1750" s="45"/>
      <c r="AN1750" s="45"/>
      <c r="AO1750" s="45"/>
    </row>
    <row r="1751" spans="1:41" hidden="1" outlineLevel="3" x14ac:dyDescent="0.25">
      <c r="A1751" s="45"/>
      <c r="B1751" s="54"/>
      <c r="C1751" s="47">
        <f t="shared" si="641"/>
        <v>4</v>
      </c>
      <c r="D1751" s="73"/>
      <c r="E1751" s="70"/>
      <c r="F1751" s="70" t="s">
        <v>3501</v>
      </c>
      <c r="G1751" s="73"/>
      <c r="H1751" s="76" t="s">
        <v>3489</v>
      </c>
      <c r="I1751" s="96" t="s">
        <v>2324</v>
      </c>
      <c r="J1751" s="76"/>
      <c r="K1751" s="76"/>
      <c r="L1751" s="76"/>
      <c r="M1751" s="76"/>
      <c r="N1751" s="76"/>
      <c r="O1751" s="76"/>
      <c r="P1751" s="76"/>
      <c r="Q1751" s="76"/>
      <c r="R1751" s="76"/>
      <c r="S1751" s="76"/>
      <c r="T1751" s="76"/>
      <c r="U1751" s="76"/>
      <c r="V1751" s="76"/>
      <c r="W1751" s="76"/>
      <c r="X1751" s="76"/>
      <c r="Y1751" s="76"/>
      <c r="Z1751" s="76"/>
      <c r="AA1751" s="76"/>
      <c r="AB1751" s="76"/>
      <c r="AC1751" s="76"/>
      <c r="AD1751" s="76"/>
      <c r="AE1751" s="76"/>
      <c r="AF1751" s="76"/>
      <c r="AG1751" s="76"/>
      <c r="AH1751" s="76"/>
      <c r="AI1751" s="76">
        <v>1</v>
      </c>
      <c r="AJ1751" s="76">
        <v>1</v>
      </c>
      <c r="AK1751" s="73"/>
      <c r="AL1751" s="57"/>
      <c r="AM1751" s="45"/>
      <c r="AN1751" s="45"/>
      <c r="AO1751" s="45"/>
    </row>
    <row r="1752" spans="1:41" hidden="1" outlineLevel="3" x14ac:dyDescent="0.25">
      <c r="A1752" s="45"/>
      <c r="B1752" s="54"/>
      <c r="C1752" s="47">
        <f t="shared" si="641"/>
        <v>4</v>
      </c>
      <c r="D1752" s="73"/>
      <c r="E1752" s="70"/>
      <c r="F1752" s="70" t="s">
        <v>3502</v>
      </c>
      <c r="G1752" s="73"/>
      <c r="H1752" s="76" t="s">
        <v>3483</v>
      </c>
      <c r="I1752" s="96" t="s">
        <v>2325</v>
      </c>
      <c r="J1752" s="76"/>
      <c r="K1752" s="76"/>
      <c r="L1752" s="76"/>
      <c r="M1752" s="76"/>
      <c r="N1752" s="76"/>
      <c r="O1752" s="76"/>
      <c r="P1752" s="76"/>
      <c r="Q1752" s="76"/>
      <c r="R1752" s="76"/>
      <c r="S1752" s="76"/>
      <c r="T1752" s="76"/>
      <c r="U1752" s="76"/>
      <c r="V1752" s="76"/>
      <c r="W1752" s="76"/>
      <c r="X1752" s="76"/>
      <c r="Y1752" s="76"/>
      <c r="Z1752" s="76"/>
      <c r="AA1752" s="76"/>
      <c r="AB1752" s="76"/>
      <c r="AC1752" s="76"/>
      <c r="AD1752" s="76"/>
      <c r="AE1752" s="76"/>
      <c r="AF1752" s="76"/>
      <c r="AG1752" s="76"/>
      <c r="AH1752" s="76"/>
      <c r="AI1752" s="76">
        <v>1</v>
      </c>
      <c r="AJ1752" s="76">
        <v>1</v>
      </c>
      <c r="AK1752" s="73"/>
      <c r="AL1752" s="57"/>
      <c r="AM1752" s="45"/>
      <c r="AN1752" s="45"/>
      <c r="AO1752" s="45"/>
    </row>
    <row r="1753" spans="1:41" hidden="1" outlineLevel="3" x14ac:dyDescent="0.25">
      <c r="A1753" s="45"/>
      <c r="B1753" s="54"/>
      <c r="C1753" s="47">
        <f t="shared" si="641"/>
        <v>4</v>
      </c>
      <c r="D1753" s="73"/>
      <c r="E1753" s="70"/>
      <c r="F1753" s="70" t="s">
        <v>3503</v>
      </c>
      <c r="G1753" s="73"/>
      <c r="H1753" s="76" t="s">
        <v>3490</v>
      </c>
      <c r="I1753" s="96" t="s">
        <v>2358</v>
      </c>
      <c r="J1753" s="76"/>
      <c r="K1753" s="76"/>
      <c r="L1753" s="76"/>
      <c r="M1753" s="76"/>
      <c r="N1753" s="76"/>
      <c r="O1753" s="76"/>
      <c r="P1753" s="76"/>
      <c r="Q1753" s="76"/>
      <c r="R1753" s="76"/>
      <c r="S1753" s="76"/>
      <c r="T1753" s="76"/>
      <c r="U1753" s="76"/>
      <c r="V1753" s="76"/>
      <c r="W1753" s="76"/>
      <c r="X1753" s="76"/>
      <c r="Y1753" s="76"/>
      <c r="Z1753" s="76"/>
      <c r="AA1753" s="76"/>
      <c r="AB1753" s="76"/>
      <c r="AC1753" s="76"/>
      <c r="AD1753" s="76"/>
      <c r="AE1753" s="76"/>
      <c r="AF1753" s="76"/>
      <c r="AG1753" s="76"/>
      <c r="AH1753" s="76"/>
      <c r="AI1753" s="76">
        <v>1</v>
      </c>
      <c r="AJ1753" s="76">
        <v>1</v>
      </c>
      <c r="AK1753" s="73"/>
      <c r="AL1753" s="57"/>
      <c r="AM1753" s="45"/>
      <c r="AN1753" s="45"/>
      <c r="AO1753" s="45"/>
    </row>
    <row r="1754" spans="1:41" hidden="1" outlineLevel="3" x14ac:dyDescent="0.25">
      <c r="A1754" s="45"/>
      <c r="B1754" s="54"/>
      <c r="C1754" s="47">
        <f t="shared" si="641"/>
        <v>4</v>
      </c>
      <c r="D1754" s="73"/>
      <c r="E1754" s="70"/>
      <c r="F1754" s="70" t="s">
        <v>3504</v>
      </c>
      <c r="G1754" s="73"/>
      <c r="H1754" s="76" t="s">
        <v>3484</v>
      </c>
      <c r="I1754" s="96" t="s">
        <v>2360</v>
      </c>
      <c r="J1754" s="76"/>
      <c r="K1754" s="76"/>
      <c r="L1754" s="76"/>
      <c r="M1754" s="76"/>
      <c r="N1754" s="76"/>
      <c r="O1754" s="76"/>
      <c r="P1754" s="76"/>
      <c r="Q1754" s="76"/>
      <c r="R1754" s="76"/>
      <c r="S1754" s="76"/>
      <c r="T1754" s="76"/>
      <c r="U1754" s="76"/>
      <c r="V1754" s="76"/>
      <c r="W1754" s="76"/>
      <c r="X1754" s="76"/>
      <c r="Y1754" s="76"/>
      <c r="Z1754" s="76"/>
      <c r="AA1754" s="76"/>
      <c r="AB1754" s="76"/>
      <c r="AC1754" s="76"/>
      <c r="AD1754" s="76"/>
      <c r="AE1754" s="76"/>
      <c r="AF1754" s="76"/>
      <c r="AG1754" s="76"/>
      <c r="AH1754" s="76"/>
      <c r="AI1754" s="76">
        <v>1</v>
      </c>
      <c r="AJ1754" s="76">
        <v>1</v>
      </c>
      <c r="AK1754" s="73"/>
      <c r="AL1754" s="57"/>
      <c r="AM1754" s="45"/>
      <c r="AN1754" s="45"/>
      <c r="AO1754" s="45"/>
    </row>
    <row r="1755" spans="1:41" hidden="1" outlineLevel="3" x14ac:dyDescent="0.25">
      <c r="A1755" s="45"/>
      <c r="B1755" s="54"/>
      <c r="C1755" s="47">
        <f t="shared" si="641"/>
        <v>4</v>
      </c>
      <c r="D1755" s="73"/>
      <c r="E1755" s="70"/>
      <c r="F1755" s="70" t="str">
        <f>SUBSTITUTE(F1751,",4)",",8)")</f>
        <v>C(U6,0,8)</v>
      </c>
      <c r="G1755" s="73"/>
      <c r="H1755" s="76" t="s">
        <v>3491</v>
      </c>
      <c r="I1755" s="96" t="s">
        <v>2714</v>
      </c>
      <c r="J1755" s="76"/>
      <c r="K1755" s="76"/>
      <c r="L1755" s="76"/>
      <c r="M1755" s="76"/>
      <c r="N1755" s="76"/>
      <c r="O1755" s="76"/>
      <c r="P1755" s="76"/>
      <c r="Q1755" s="76"/>
      <c r="R1755" s="76"/>
      <c r="S1755" s="76"/>
      <c r="T1755" s="76"/>
      <c r="U1755" s="76"/>
      <c r="V1755" s="76"/>
      <c r="W1755" s="76"/>
      <c r="X1755" s="76"/>
      <c r="Y1755" s="76"/>
      <c r="Z1755" s="76"/>
      <c r="AA1755" s="76"/>
      <c r="AB1755" s="76"/>
      <c r="AC1755" s="76"/>
      <c r="AD1755" s="76"/>
      <c r="AE1755" s="76"/>
      <c r="AF1755" s="76"/>
      <c r="AG1755" s="76"/>
      <c r="AH1755" s="76"/>
      <c r="AI1755" s="76">
        <v>1</v>
      </c>
      <c r="AJ1755" s="76">
        <v>1</v>
      </c>
      <c r="AK1755" s="73"/>
      <c r="AL1755" s="57"/>
      <c r="AM1755" s="45"/>
      <c r="AN1755" s="45"/>
      <c r="AO1755" s="45"/>
    </row>
    <row r="1756" spans="1:41" hidden="1" outlineLevel="3" x14ac:dyDescent="0.25">
      <c r="A1756" s="45"/>
      <c r="B1756" s="54"/>
      <c r="C1756" s="47">
        <f t="shared" si="641"/>
        <v>4</v>
      </c>
      <c r="D1756" s="73"/>
      <c r="E1756" s="70"/>
      <c r="F1756" s="70" t="str">
        <f>SUBSTITUTE(F1752,",5)",",9)")</f>
        <v>C(U6,0,9)</v>
      </c>
      <c r="G1756" s="73"/>
      <c r="H1756" s="76" t="s">
        <v>3485</v>
      </c>
      <c r="I1756" s="96" t="s">
        <v>2715</v>
      </c>
      <c r="J1756" s="76"/>
      <c r="K1756" s="76"/>
      <c r="L1756" s="76"/>
      <c r="M1756" s="76"/>
      <c r="N1756" s="76"/>
      <c r="O1756" s="76"/>
      <c r="P1756" s="76"/>
      <c r="Q1756" s="76"/>
      <c r="R1756" s="76"/>
      <c r="S1756" s="76"/>
      <c r="T1756" s="76"/>
      <c r="U1756" s="76"/>
      <c r="V1756" s="76"/>
      <c r="W1756" s="76"/>
      <c r="X1756" s="76"/>
      <c r="Y1756" s="76"/>
      <c r="Z1756" s="76"/>
      <c r="AA1756" s="76"/>
      <c r="AB1756" s="76"/>
      <c r="AC1756" s="76"/>
      <c r="AD1756" s="76"/>
      <c r="AE1756" s="76"/>
      <c r="AF1756" s="76"/>
      <c r="AG1756" s="76"/>
      <c r="AH1756" s="76"/>
      <c r="AI1756" s="76">
        <v>1</v>
      </c>
      <c r="AJ1756" s="76">
        <v>1</v>
      </c>
      <c r="AK1756" s="73"/>
      <c r="AL1756" s="57"/>
      <c r="AM1756" s="45"/>
      <c r="AN1756" s="45"/>
      <c r="AO1756" s="45"/>
    </row>
    <row r="1757" spans="1:41" hidden="1" outlineLevel="3" x14ac:dyDescent="0.25">
      <c r="A1757" s="45"/>
      <c r="B1757" s="54"/>
      <c r="C1757" s="47">
        <f t="shared" si="641"/>
        <v>4</v>
      </c>
      <c r="D1757" s="73"/>
      <c r="E1757" s="70"/>
      <c r="F1757" s="70" t="str">
        <f>SUBSTITUTE(F1753,",6)",",10)")</f>
        <v>C(U6,0,10)</v>
      </c>
      <c r="G1757" s="73"/>
      <c r="H1757" s="76" t="s">
        <v>3492</v>
      </c>
      <c r="I1757" s="96" t="s">
        <v>2716</v>
      </c>
      <c r="J1757" s="76"/>
      <c r="K1757" s="76"/>
      <c r="L1757" s="76"/>
      <c r="M1757" s="76"/>
      <c r="N1757" s="76"/>
      <c r="O1757" s="76"/>
      <c r="P1757" s="76"/>
      <c r="Q1757" s="76"/>
      <c r="R1757" s="76"/>
      <c r="S1757" s="76"/>
      <c r="T1757" s="76"/>
      <c r="U1757" s="76"/>
      <c r="V1757" s="76"/>
      <c r="W1757" s="76"/>
      <c r="X1757" s="76"/>
      <c r="Y1757" s="76"/>
      <c r="Z1757" s="76"/>
      <c r="AA1757" s="76"/>
      <c r="AB1757" s="76"/>
      <c r="AC1757" s="76"/>
      <c r="AD1757" s="76"/>
      <c r="AE1757" s="76"/>
      <c r="AF1757" s="76"/>
      <c r="AG1757" s="76"/>
      <c r="AH1757" s="76"/>
      <c r="AI1757" s="76">
        <v>1</v>
      </c>
      <c r="AJ1757" s="76">
        <v>1</v>
      </c>
      <c r="AK1757" s="73"/>
      <c r="AL1757" s="57"/>
      <c r="AM1757" s="45"/>
      <c r="AN1757" s="45"/>
      <c r="AO1757" s="45"/>
    </row>
    <row r="1758" spans="1:41" hidden="1" outlineLevel="3" x14ac:dyDescent="0.25">
      <c r="A1758" s="45"/>
      <c r="B1758" s="54"/>
      <c r="C1758" s="47">
        <f t="shared" si="641"/>
        <v>4</v>
      </c>
      <c r="D1758" s="73"/>
      <c r="E1758" s="70"/>
      <c r="F1758" s="70" t="str">
        <f>SUBSTITUTE(F1754,",7)",",11)")</f>
        <v>C(U6,0,11)</v>
      </c>
      <c r="G1758" s="73"/>
      <c r="H1758" s="76" t="s">
        <v>3486</v>
      </c>
      <c r="I1758" s="96" t="s">
        <v>2717</v>
      </c>
      <c r="J1758" s="76"/>
      <c r="K1758" s="76"/>
      <c r="L1758" s="76"/>
      <c r="M1758" s="76"/>
      <c r="N1758" s="76"/>
      <c r="O1758" s="76"/>
      <c r="P1758" s="76"/>
      <c r="Q1758" s="76"/>
      <c r="R1758" s="76"/>
      <c r="S1758" s="76"/>
      <c r="T1758" s="76"/>
      <c r="U1758" s="76"/>
      <c r="V1758" s="76"/>
      <c r="W1758" s="76"/>
      <c r="X1758" s="76"/>
      <c r="Y1758" s="76"/>
      <c r="Z1758" s="76"/>
      <c r="AA1758" s="76"/>
      <c r="AB1758" s="76"/>
      <c r="AC1758" s="76"/>
      <c r="AD1758" s="76"/>
      <c r="AE1758" s="76"/>
      <c r="AF1758" s="76"/>
      <c r="AG1758" s="76"/>
      <c r="AH1758" s="76"/>
      <c r="AI1758" s="76">
        <v>1</v>
      </c>
      <c r="AJ1758" s="76">
        <v>1</v>
      </c>
      <c r="AK1758" s="73"/>
      <c r="AL1758" s="57"/>
      <c r="AM1758" s="45"/>
      <c r="AN1758" s="45"/>
      <c r="AO1758" s="45"/>
    </row>
    <row r="1759" spans="1:41" hidden="1" outlineLevel="3" x14ac:dyDescent="0.25">
      <c r="A1759" s="45"/>
      <c r="B1759" s="54"/>
      <c r="C1759" s="47">
        <f t="shared" si="641"/>
        <v>4</v>
      </c>
      <c r="D1759" s="73"/>
      <c r="E1759" s="70"/>
      <c r="F1759" s="70" t="str">
        <f>SUBSTITUTE(F1754,",7)",",12)")</f>
        <v>C(U6,0,12)</v>
      </c>
      <c r="G1759" s="73"/>
      <c r="H1759" s="76" t="s">
        <v>3316</v>
      </c>
      <c r="I1759" s="96" t="s">
        <v>2716</v>
      </c>
      <c r="J1759" s="76"/>
      <c r="K1759" s="76"/>
      <c r="L1759" s="76"/>
      <c r="M1759" s="76"/>
      <c r="N1759" s="76"/>
      <c r="O1759" s="76"/>
      <c r="P1759" s="76"/>
      <c r="Q1759" s="76"/>
      <c r="R1759" s="76"/>
      <c r="S1759" s="76"/>
      <c r="T1759" s="76"/>
      <c r="U1759" s="76"/>
      <c r="V1759" s="76"/>
      <c r="W1759" s="76"/>
      <c r="X1759" s="76"/>
      <c r="Y1759" s="76"/>
      <c r="Z1759" s="76"/>
      <c r="AA1759" s="76"/>
      <c r="AB1759" s="76"/>
      <c r="AC1759" s="76"/>
      <c r="AD1759" s="76"/>
      <c r="AE1759" s="76"/>
      <c r="AF1759" s="76"/>
      <c r="AG1759" s="76"/>
      <c r="AH1759" s="76"/>
      <c r="AI1759" s="76">
        <v>1</v>
      </c>
      <c r="AJ1759" s="76">
        <v>1</v>
      </c>
      <c r="AK1759" s="73"/>
      <c r="AL1759" s="57"/>
      <c r="AM1759" s="45"/>
      <c r="AN1759" s="45"/>
      <c r="AO1759" s="45"/>
    </row>
    <row r="1760" spans="1:41" hidden="1" outlineLevel="3" x14ac:dyDescent="0.25">
      <c r="A1760" s="45"/>
      <c r="B1760" s="54"/>
      <c r="C1760" s="47">
        <f t="shared" si="641"/>
        <v>4</v>
      </c>
      <c r="D1760" s="73"/>
      <c r="E1760" s="70"/>
      <c r="F1760" s="70" t="str">
        <f>SUBSTITUTE(F1754,",7)",",13)")</f>
        <v>C(U6,0,13)</v>
      </c>
      <c r="G1760" s="73"/>
      <c r="H1760" s="76" t="s">
        <v>3487</v>
      </c>
      <c r="I1760" s="96" t="s">
        <v>2717</v>
      </c>
      <c r="J1760" s="76"/>
      <c r="K1760" s="76"/>
      <c r="L1760" s="76"/>
      <c r="M1760" s="76"/>
      <c r="N1760" s="76"/>
      <c r="O1760" s="76"/>
      <c r="P1760" s="76"/>
      <c r="Q1760" s="76"/>
      <c r="R1760" s="76"/>
      <c r="S1760" s="76"/>
      <c r="T1760" s="76"/>
      <c r="U1760" s="76"/>
      <c r="V1760" s="76"/>
      <c r="W1760" s="76"/>
      <c r="X1760" s="76"/>
      <c r="Y1760" s="76"/>
      <c r="Z1760" s="76"/>
      <c r="AA1760" s="76"/>
      <c r="AB1760" s="76"/>
      <c r="AC1760" s="76"/>
      <c r="AD1760" s="76"/>
      <c r="AE1760" s="76"/>
      <c r="AF1760" s="76"/>
      <c r="AG1760" s="76"/>
      <c r="AH1760" s="76"/>
      <c r="AI1760" s="76">
        <v>1</v>
      </c>
      <c r="AJ1760" s="76">
        <v>1</v>
      </c>
      <c r="AK1760" s="73"/>
      <c r="AL1760" s="57"/>
      <c r="AM1760" s="45"/>
      <c r="AN1760" s="45"/>
      <c r="AO1760" s="45"/>
    </row>
    <row r="1761" spans="1:41" hidden="1" outlineLevel="3" x14ac:dyDescent="0.25">
      <c r="A1761" s="45"/>
      <c r="B1761" s="54"/>
      <c r="C1761" s="47">
        <f t="shared" si="641"/>
        <v>4</v>
      </c>
      <c r="D1761" s="73"/>
      <c r="E1761" s="70"/>
      <c r="F1761" s="70" t="s">
        <v>3505</v>
      </c>
      <c r="G1761" s="73"/>
      <c r="H1761" s="76" t="s">
        <v>1912</v>
      </c>
      <c r="I1761" s="96" t="s">
        <v>2326</v>
      </c>
      <c r="J1761" s="76"/>
      <c r="K1761" s="76"/>
      <c r="L1761" s="76"/>
      <c r="M1761" s="76"/>
      <c r="N1761" s="76"/>
      <c r="O1761" s="76"/>
      <c r="P1761" s="76"/>
      <c r="Q1761" s="76"/>
      <c r="R1761" s="76"/>
      <c r="S1761" s="76"/>
      <c r="T1761" s="76"/>
      <c r="U1761" s="76"/>
      <c r="V1761" s="76"/>
      <c r="W1761" s="76"/>
      <c r="X1761" s="76"/>
      <c r="Y1761" s="76"/>
      <c r="Z1761" s="76"/>
      <c r="AA1761" s="76"/>
      <c r="AB1761" s="76"/>
      <c r="AC1761" s="76"/>
      <c r="AD1761" s="76"/>
      <c r="AE1761" s="76"/>
      <c r="AF1761" s="76"/>
      <c r="AG1761" s="76"/>
      <c r="AH1761" s="76"/>
      <c r="AI1761" s="76">
        <v>1</v>
      </c>
      <c r="AJ1761" s="76">
        <v>1</v>
      </c>
      <c r="AK1761" s="73"/>
      <c r="AL1761" s="57"/>
      <c r="AM1761" s="45"/>
      <c r="AN1761" s="45"/>
      <c r="AO1761" s="45"/>
    </row>
    <row r="1762" spans="1:41" hidden="1" outlineLevel="3" x14ac:dyDescent="0.25">
      <c r="A1762" s="45"/>
      <c r="B1762" s="54"/>
      <c r="C1762" s="47">
        <f t="shared" si="641"/>
        <v>4</v>
      </c>
      <c r="D1762" s="73"/>
      <c r="E1762" s="70"/>
      <c r="F1762" s="70" t="s">
        <v>3506</v>
      </c>
      <c r="G1762" s="73"/>
      <c r="H1762" s="76" t="s">
        <v>599</v>
      </c>
      <c r="I1762" s="76"/>
      <c r="J1762" s="76"/>
      <c r="K1762" s="76"/>
      <c r="L1762" s="76"/>
      <c r="M1762" s="76"/>
      <c r="N1762" s="76"/>
      <c r="O1762" s="76"/>
      <c r="P1762" s="76"/>
      <c r="Q1762" s="76"/>
      <c r="R1762" s="76"/>
      <c r="S1762" s="76"/>
      <c r="T1762" s="76"/>
      <c r="U1762" s="76"/>
      <c r="V1762" s="76"/>
      <c r="W1762" s="76"/>
      <c r="X1762" s="76"/>
      <c r="Y1762" s="76"/>
      <c r="Z1762" s="76"/>
      <c r="AA1762" s="76"/>
      <c r="AB1762" s="76"/>
      <c r="AC1762" s="76"/>
      <c r="AD1762" s="76"/>
      <c r="AE1762" s="76"/>
      <c r="AF1762" s="76"/>
      <c r="AG1762" s="76"/>
      <c r="AH1762" s="76"/>
      <c r="AI1762" s="76">
        <v>1</v>
      </c>
      <c r="AJ1762" s="76">
        <v>1</v>
      </c>
      <c r="AK1762" s="73"/>
      <c r="AL1762" s="57"/>
      <c r="AM1762" s="45"/>
      <c r="AN1762" s="45"/>
      <c r="AO1762" s="45"/>
    </row>
    <row r="1763" spans="1:41" hidden="1" outlineLevel="3" x14ac:dyDescent="0.25">
      <c r="A1763" s="45"/>
      <c r="B1763" s="54"/>
      <c r="C1763" s="47">
        <f t="shared" si="641"/>
        <v>4</v>
      </c>
      <c r="D1763" s="73"/>
      <c r="E1763" s="70"/>
      <c r="F1763" s="70" t="s">
        <v>3507</v>
      </c>
      <c r="G1763" s="73"/>
      <c r="H1763" s="76"/>
      <c r="I1763" s="76"/>
      <c r="J1763" s="76"/>
      <c r="K1763" s="76"/>
      <c r="L1763" s="76"/>
      <c r="M1763" s="76"/>
      <c r="N1763" s="76"/>
      <c r="O1763" s="76"/>
      <c r="P1763" s="76"/>
      <c r="Q1763" s="76"/>
      <c r="R1763" s="76"/>
      <c r="S1763" s="76"/>
      <c r="T1763" s="76"/>
      <c r="U1763" s="76"/>
      <c r="V1763" s="76"/>
      <c r="W1763" s="76"/>
      <c r="X1763" s="76"/>
      <c r="Y1763" s="76"/>
      <c r="Z1763" s="76"/>
      <c r="AA1763" s="76"/>
      <c r="AB1763" s="76"/>
      <c r="AC1763" s="76"/>
      <c r="AD1763" s="76"/>
      <c r="AE1763" s="76"/>
      <c r="AF1763" s="76"/>
      <c r="AG1763" s="76"/>
      <c r="AH1763" s="76"/>
      <c r="AI1763" s="76">
        <v>1</v>
      </c>
      <c r="AJ1763" s="76">
        <v>1</v>
      </c>
      <c r="AK1763" s="73"/>
      <c r="AL1763" s="57"/>
      <c r="AM1763" s="45"/>
      <c r="AN1763" s="45"/>
      <c r="AO1763" s="45"/>
    </row>
    <row r="1764" spans="1:41" hidden="1" outlineLevel="3" x14ac:dyDescent="0.25">
      <c r="A1764" s="45"/>
      <c r="B1764" s="54"/>
      <c r="C1764" s="47">
        <f t="shared" si="641"/>
        <v>4</v>
      </c>
      <c r="D1764" s="73"/>
      <c r="E1764" s="70"/>
      <c r="F1764" s="70" t="s">
        <v>3508</v>
      </c>
      <c r="G1764" s="73"/>
      <c r="H1764" s="76"/>
      <c r="I1764" s="76"/>
      <c r="J1764" s="76"/>
      <c r="K1764" s="76"/>
      <c r="L1764" s="76"/>
      <c r="M1764" s="76"/>
      <c r="N1764" s="76"/>
      <c r="O1764" s="76"/>
      <c r="P1764" s="76"/>
      <c r="Q1764" s="76"/>
      <c r="R1764" s="76"/>
      <c r="S1764" s="76"/>
      <c r="T1764" s="76"/>
      <c r="U1764" s="76"/>
      <c r="V1764" s="76"/>
      <c r="W1764" s="76"/>
      <c r="X1764" s="76"/>
      <c r="Y1764" s="76"/>
      <c r="Z1764" s="76"/>
      <c r="AA1764" s="76"/>
      <c r="AB1764" s="76"/>
      <c r="AC1764" s="76"/>
      <c r="AD1764" s="76"/>
      <c r="AE1764" s="76"/>
      <c r="AF1764" s="76"/>
      <c r="AG1764" s="76"/>
      <c r="AH1764" s="76"/>
      <c r="AI1764" s="76">
        <v>1</v>
      </c>
      <c r="AJ1764" s="76">
        <v>1</v>
      </c>
      <c r="AK1764" s="73"/>
      <c r="AL1764" s="57"/>
      <c r="AM1764" s="45"/>
      <c r="AN1764" s="45"/>
      <c r="AO1764" s="45"/>
    </row>
    <row r="1765" spans="1:41" hidden="1" outlineLevel="3" x14ac:dyDescent="0.25">
      <c r="A1765" s="45"/>
      <c r="B1765" s="54"/>
      <c r="C1765" s="47">
        <f t="shared" si="641"/>
        <v>4</v>
      </c>
      <c r="D1765" s="73"/>
      <c r="E1765" s="70"/>
      <c r="F1765" s="70" t="s">
        <v>3509</v>
      </c>
      <c r="G1765" s="73"/>
      <c r="H1765" s="76"/>
      <c r="I1765" s="76"/>
      <c r="J1765" s="76"/>
      <c r="K1765" s="76"/>
      <c r="L1765" s="76"/>
      <c r="M1765" s="76"/>
      <c r="N1765" s="76"/>
      <c r="O1765" s="76"/>
      <c r="P1765" s="76"/>
      <c r="Q1765" s="76"/>
      <c r="R1765" s="76"/>
      <c r="S1765" s="76"/>
      <c r="T1765" s="76"/>
      <c r="U1765" s="76"/>
      <c r="V1765" s="76"/>
      <c r="W1765" s="76"/>
      <c r="X1765" s="76"/>
      <c r="Y1765" s="76"/>
      <c r="Z1765" s="76"/>
      <c r="AA1765" s="76"/>
      <c r="AB1765" s="76"/>
      <c r="AC1765" s="76"/>
      <c r="AD1765" s="76"/>
      <c r="AE1765" s="76"/>
      <c r="AF1765" s="76"/>
      <c r="AG1765" s="76"/>
      <c r="AH1765" s="76"/>
      <c r="AI1765" s="76">
        <v>1</v>
      </c>
      <c r="AJ1765" s="76">
        <v>1</v>
      </c>
      <c r="AK1765" s="73"/>
      <c r="AL1765" s="57"/>
      <c r="AM1765" s="45"/>
      <c r="AN1765" s="45"/>
      <c r="AO1765" s="45"/>
    </row>
    <row r="1766" spans="1:41" hidden="1" outlineLevel="3" x14ac:dyDescent="0.25">
      <c r="A1766" s="45"/>
      <c r="B1766" s="54"/>
      <c r="C1766" s="47">
        <f t="shared" si="641"/>
        <v>4</v>
      </c>
      <c r="D1766" s="73"/>
      <c r="E1766" s="70"/>
      <c r="F1766" s="70" t="s">
        <v>3510</v>
      </c>
      <c r="G1766" s="73"/>
      <c r="H1766" s="76"/>
      <c r="I1766" s="76"/>
      <c r="J1766" s="76"/>
      <c r="K1766" s="76"/>
      <c r="L1766" s="76"/>
      <c r="M1766" s="76"/>
      <c r="N1766" s="76"/>
      <c r="O1766" s="76"/>
      <c r="P1766" s="76"/>
      <c r="Q1766" s="76"/>
      <c r="R1766" s="76"/>
      <c r="S1766" s="76"/>
      <c r="T1766" s="76"/>
      <c r="U1766" s="76"/>
      <c r="V1766" s="76"/>
      <c r="W1766" s="76"/>
      <c r="X1766" s="76"/>
      <c r="Y1766" s="76"/>
      <c r="Z1766" s="76"/>
      <c r="AA1766" s="76"/>
      <c r="AB1766" s="76"/>
      <c r="AC1766" s="76"/>
      <c r="AD1766" s="76"/>
      <c r="AE1766" s="76"/>
      <c r="AF1766" s="76"/>
      <c r="AG1766" s="76"/>
      <c r="AH1766" s="76"/>
      <c r="AI1766" s="76">
        <v>1</v>
      </c>
      <c r="AJ1766" s="76">
        <v>1</v>
      </c>
      <c r="AK1766" s="73"/>
      <c r="AL1766" s="57"/>
      <c r="AM1766" s="45"/>
      <c r="AN1766" s="45"/>
      <c r="AO1766" s="45"/>
    </row>
    <row r="1767" spans="1:41" hidden="1" outlineLevel="3" x14ac:dyDescent="0.25">
      <c r="A1767" s="45"/>
      <c r="B1767" s="54"/>
      <c r="C1767" s="47"/>
      <c r="D1767" s="73"/>
      <c r="E1767" s="70"/>
      <c r="F1767" s="70" t="s">
        <v>3511</v>
      </c>
      <c r="G1767" s="73"/>
      <c r="H1767" s="76"/>
      <c r="I1767" s="76"/>
      <c r="J1767" s="76"/>
      <c r="K1767" s="76"/>
      <c r="L1767" s="76"/>
      <c r="M1767" s="76"/>
      <c r="N1767" s="76"/>
      <c r="O1767" s="76"/>
      <c r="P1767" s="76"/>
      <c r="Q1767" s="76"/>
      <c r="R1767" s="76"/>
      <c r="S1767" s="76"/>
      <c r="T1767" s="76"/>
      <c r="U1767" s="76"/>
      <c r="V1767" s="76"/>
      <c r="W1767" s="76"/>
      <c r="X1767" s="76"/>
      <c r="Y1767" s="76"/>
      <c r="Z1767" s="76"/>
      <c r="AA1767" s="76"/>
      <c r="AB1767" s="76"/>
      <c r="AC1767" s="76"/>
      <c r="AD1767" s="76"/>
      <c r="AE1767" s="76"/>
      <c r="AF1767" s="76"/>
      <c r="AG1767" s="76"/>
      <c r="AH1767" s="76"/>
      <c r="AI1767" s="76">
        <v>1</v>
      </c>
      <c r="AJ1767" s="76">
        <v>1</v>
      </c>
      <c r="AK1767" s="73"/>
      <c r="AL1767" s="57"/>
      <c r="AM1767" s="45"/>
      <c r="AN1767" s="45"/>
      <c r="AO1767" s="45"/>
    </row>
    <row r="1768" spans="1:41" hidden="1" outlineLevel="3" x14ac:dyDescent="0.25">
      <c r="A1768" s="45"/>
      <c r="B1768" s="54"/>
      <c r="C1768" s="47"/>
      <c r="D1768" s="73"/>
      <c r="E1768" s="70"/>
      <c r="F1768" s="70" t="s">
        <v>3512</v>
      </c>
      <c r="G1768" s="73"/>
      <c r="H1768" s="76"/>
      <c r="I1768" s="76"/>
      <c r="J1768" s="76"/>
      <c r="K1768" s="76"/>
      <c r="L1768" s="76"/>
      <c r="M1768" s="76"/>
      <c r="N1768" s="76"/>
      <c r="O1768" s="76"/>
      <c r="P1768" s="76"/>
      <c r="Q1768" s="76"/>
      <c r="R1768" s="76"/>
      <c r="S1768" s="76"/>
      <c r="T1768" s="76"/>
      <c r="U1768" s="76"/>
      <c r="V1768" s="76"/>
      <c r="W1768" s="76"/>
      <c r="X1768" s="76"/>
      <c r="Y1768" s="76"/>
      <c r="Z1768" s="76"/>
      <c r="AA1768" s="76"/>
      <c r="AB1768" s="76"/>
      <c r="AC1768" s="76"/>
      <c r="AD1768" s="76"/>
      <c r="AE1768" s="76"/>
      <c r="AF1768" s="76"/>
      <c r="AG1768" s="76"/>
      <c r="AH1768" s="76"/>
      <c r="AI1768" s="76">
        <v>1</v>
      </c>
      <c r="AJ1768" s="76">
        <v>1</v>
      </c>
      <c r="AK1768" s="73"/>
      <c r="AL1768" s="57"/>
      <c r="AM1768" s="45"/>
      <c r="AN1768" s="45"/>
      <c r="AO1768" s="45"/>
    </row>
    <row r="1769" spans="1:41" hidden="1" outlineLevel="3" x14ac:dyDescent="0.25">
      <c r="A1769" s="45"/>
      <c r="B1769" s="54"/>
      <c r="C1769" s="47"/>
      <c r="D1769" s="73"/>
      <c r="E1769" s="70"/>
      <c r="F1769" s="70" t="s">
        <v>3513</v>
      </c>
      <c r="G1769" s="73"/>
      <c r="H1769" s="76"/>
      <c r="I1769" s="76"/>
      <c r="J1769" s="76"/>
      <c r="K1769" s="76"/>
      <c r="L1769" s="76"/>
      <c r="M1769" s="76"/>
      <c r="N1769" s="76"/>
      <c r="O1769" s="76"/>
      <c r="P1769" s="76"/>
      <c r="Q1769" s="76"/>
      <c r="R1769" s="76"/>
      <c r="S1769" s="76"/>
      <c r="T1769" s="76"/>
      <c r="U1769" s="76"/>
      <c r="V1769" s="76"/>
      <c r="W1769" s="76"/>
      <c r="X1769" s="76"/>
      <c r="Y1769" s="76"/>
      <c r="Z1769" s="76"/>
      <c r="AA1769" s="76"/>
      <c r="AB1769" s="76"/>
      <c r="AC1769" s="76"/>
      <c r="AD1769" s="76"/>
      <c r="AE1769" s="76"/>
      <c r="AF1769" s="76"/>
      <c r="AG1769" s="76"/>
      <c r="AH1769" s="76"/>
      <c r="AI1769" s="76">
        <v>1</v>
      </c>
      <c r="AJ1769" s="76">
        <v>1</v>
      </c>
      <c r="AK1769" s="73"/>
      <c r="AL1769" s="57"/>
      <c r="AM1769" s="45"/>
      <c r="AN1769" s="45"/>
      <c r="AO1769" s="45"/>
    </row>
    <row r="1770" spans="1:41" hidden="1" outlineLevel="3" x14ac:dyDescent="0.25">
      <c r="A1770" s="45"/>
      <c r="B1770" s="54"/>
      <c r="C1770" s="47">
        <f t="shared" ref="C1770:C1781" si="642">INT($C$29)+3</f>
        <v>4</v>
      </c>
      <c r="D1770" s="73"/>
      <c r="E1770" s="70"/>
      <c r="F1770" s="70" t="str">
        <f>SUBSTITUTE(F1766,",4)",",8)")</f>
        <v>C(U6,1,8)</v>
      </c>
      <c r="G1770" s="73"/>
      <c r="H1770" s="76"/>
      <c r="I1770" s="96"/>
      <c r="J1770" s="76"/>
      <c r="K1770" s="76"/>
      <c r="L1770" s="76"/>
      <c r="M1770" s="76"/>
      <c r="N1770" s="76"/>
      <c r="O1770" s="76"/>
      <c r="P1770" s="76"/>
      <c r="Q1770" s="76"/>
      <c r="R1770" s="76"/>
      <c r="S1770" s="76"/>
      <c r="T1770" s="76"/>
      <c r="U1770" s="76"/>
      <c r="V1770" s="76"/>
      <c r="W1770" s="76"/>
      <c r="X1770" s="76"/>
      <c r="Y1770" s="76"/>
      <c r="Z1770" s="76"/>
      <c r="AA1770" s="76"/>
      <c r="AB1770" s="76"/>
      <c r="AC1770" s="76"/>
      <c r="AD1770" s="76"/>
      <c r="AE1770" s="76"/>
      <c r="AF1770" s="76"/>
      <c r="AG1770" s="76"/>
      <c r="AH1770" s="76"/>
      <c r="AI1770" s="76">
        <v>1</v>
      </c>
      <c r="AJ1770" s="76">
        <v>1</v>
      </c>
      <c r="AK1770" s="73"/>
      <c r="AL1770" s="57"/>
      <c r="AM1770" s="45"/>
      <c r="AN1770" s="45"/>
      <c r="AO1770" s="45"/>
    </row>
    <row r="1771" spans="1:41" hidden="1" outlineLevel="3" x14ac:dyDescent="0.25">
      <c r="A1771" s="45"/>
      <c r="B1771" s="54"/>
      <c r="C1771" s="47">
        <f t="shared" si="642"/>
        <v>4</v>
      </c>
      <c r="D1771" s="73"/>
      <c r="E1771" s="70"/>
      <c r="F1771" s="70" t="str">
        <f>SUBSTITUTE(F1767,",5)",",9)")</f>
        <v>C(U6,1,9)</v>
      </c>
      <c r="G1771" s="73"/>
      <c r="H1771" s="76"/>
      <c r="I1771" s="96"/>
      <c r="J1771" s="76"/>
      <c r="K1771" s="76"/>
      <c r="L1771" s="76"/>
      <c r="M1771" s="76"/>
      <c r="N1771" s="76"/>
      <c r="O1771" s="76"/>
      <c r="P1771" s="76"/>
      <c r="Q1771" s="76"/>
      <c r="R1771" s="76"/>
      <c r="S1771" s="76"/>
      <c r="T1771" s="76"/>
      <c r="U1771" s="76"/>
      <c r="V1771" s="76"/>
      <c r="W1771" s="76"/>
      <c r="X1771" s="76"/>
      <c r="Y1771" s="76"/>
      <c r="Z1771" s="76"/>
      <c r="AA1771" s="76"/>
      <c r="AB1771" s="76"/>
      <c r="AC1771" s="76"/>
      <c r="AD1771" s="76"/>
      <c r="AE1771" s="76"/>
      <c r="AF1771" s="76"/>
      <c r="AG1771" s="76"/>
      <c r="AH1771" s="76"/>
      <c r="AI1771" s="76">
        <v>1</v>
      </c>
      <c r="AJ1771" s="76">
        <v>1</v>
      </c>
      <c r="AK1771" s="73"/>
      <c r="AL1771" s="57"/>
      <c r="AM1771" s="45"/>
      <c r="AN1771" s="45"/>
      <c r="AO1771" s="45"/>
    </row>
    <row r="1772" spans="1:41" hidden="1" outlineLevel="3" x14ac:dyDescent="0.25">
      <c r="A1772" s="45"/>
      <c r="B1772" s="54"/>
      <c r="C1772" s="47">
        <f t="shared" si="642"/>
        <v>4</v>
      </c>
      <c r="D1772" s="73"/>
      <c r="E1772" s="70"/>
      <c r="F1772" s="70" t="str">
        <f>SUBSTITUTE(F1768,",6)",",10)")</f>
        <v>C(U6,1,10)</v>
      </c>
      <c r="G1772" s="73"/>
      <c r="H1772" s="76"/>
      <c r="I1772" s="96"/>
      <c r="J1772" s="76"/>
      <c r="K1772" s="76"/>
      <c r="L1772" s="76"/>
      <c r="M1772" s="76"/>
      <c r="N1772" s="76"/>
      <c r="O1772" s="76"/>
      <c r="P1772" s="76"/>
      <c r="Q1772" s="76"/>
      <c r="R1772" s="76"/>
      <c r="S1772" s="76"/>
      <c r="T1772" s="76"/>
      <c r="U1772" s="76"/>
      <c r="V1772" s="76"/>
      <c r="W1772" s="76"/>
      <c r="X1772" s="76"/>
      <c r="Y1772" s="76"/>
      <c r="Z1772" s="76"/>
      <c r="AA1772" s="76"/>
      <c r="AB1772" s="76"/>
      <c r="AC1772" s="76"/>
      <c r="AD1772" s="76"/>
      <c r="AE1772" s="76"/>
      <c r="AF1772" s="76"/>
      <c r="AG1772" s="76"/>
      <c r="AH1772" s="76"/>
      <c r="AI1772" s="76">
        <v>1</v>
      </c>
      <c r="AJ1772" s="76">
        <v>1</v>
      </c>
      <c r="AK1772" s="73"/>
      <c r="AL1772" s="57"/>
      <c r="AM1772" s="45"/>
      <c r="AN1772" s="45"/>
      <c r="AO1772" s="45"/>
    </row>
    <row r="1773" spans="1:41" hidden="1" outlineLevel="3" x14ac:dyDescent="0.25">
      <c r="A1773" s="45"/>
      <c r="B1773" s="54"/>
      <c r="C1773" s="47">
        <f t="shared" si="642"/>
        <v>4</v>
      </c>
      <c r="D1773" s="73"/>
      <c r="E1773" s="70"/>
      <c r="F1773" s="70" t="str">
        <f>SUBSTITUTE(F1769,",7)",",11)")</f>
        <v>C(U6,1,11)</v>
      </c>
      <c r="G1773" s="73"/>
      <c r="H1773" s="76"/>
      <c r="I1773" s="96"/>
      <c r="J1773" s="76"/>
      <c r="K1773" s="76"/>
      <c r="L1773" s="76"/>
      <c r="M1773" s="76"/>
      <c r="N1773" s="76"/>
      <c r="O1773" s="76"/>
      <c r="P1773" s="76"/>
      <c r="Q1773" s="76"/>
      <c r="R1773" s="76"/>
      <c r="S1773" s="76"/>
      <c r="T1773" s="76"/>
      <c r="U1773" s="76"/>
      <c r="V1773" s="76"/>
      <c r="W1773" s="76"/>
      <c r="X1773" s="76"/>
      <c r="Y1773" s="76"/>
      <c r="Z1773" s="76"/>
      <c r="AA1773" s="76"/>
      <c r="AB1773" s="76"/>
      <c r="AC1773" s="76"/>
      <c r="AD1773" s="76"/>
      <c r="AE1773" s="76"/>
      <c r="AF1773" s="76"/>
      <c r="AG1773" s="76"/>
      <c r="AH1773" s="76"/>
      <c r="AI1773" s="76">
        <v>1</v>
      </c>
      <c r="AJ1773" s="76">
        <v>1</v>
      </c>
      <c r="AK1773" s="73"/>
      <c r="AL1773" s="57"/>
      <c r="AM1773" s="45"/>
      <c r="AN1773" s="45"/>
      <c r="AO1773" s="45"/>
    </row>
    <row r="1774" spans="1:41" hidden="1" outlineLevel="3" x14ac:dyDescent="0.25">
      <c r="A1774" s="45"/>
      <c r="B1774" s="54"/>
      <c r="C1774" s="47">
        <f t="shared" si="642"/>
        <v>4</v>
      </c>
      <c r="D1774" s="73"/>
      <c r="E1774" s="70"/>
      <c r="F1774" s="70" t="str">
        <f>SUBSTITUTE(F1768,",6)",",12)")</f>
        <v>C(U6,1,12)</v>
      </c>
      <c r="G1774" s="73"/>
      <c r="H1774" s="76"/>
      <c r="I1774" s="96"/>
      <c r="J1774" s="76"/>
      <c r="K1774" s="76"/>
      <c r="L1774" s="76"/>
      <c r="M1774" s="76"/>
      <c r="N1774" s="76"/>
      <c r="O1774" s="76"/>
      <c r="P1774" s="76"/>
      <c r="Q1774" s="76"/>
      <c r="R1774" s="76"/>
      <c r="S1774" s="76"/>
      <c r="T1774" s="76"/>
      <c r="U1774" s="76"/>
      <c r="V1774" s="76"/>
      <c r="W1774" s="76"/>
      <c r="X1774" s="76"/>
      <c r="Y1774" s="76"/>
      <c r="Z1774" s="76"/>
      <c r="AA1774" s="76"/>
      <c r="AB1774" s="76"/>
      <c r="AC1774" s="76"/>
      <c r="AD1774" s="76"/>
      <c r="AE1774" s="76"/>
      <c r="AF1774" s="76"/>
      <c r="AG1774" s="76"/>
      <c r="AH1774" s="76"/>
      <c r="AI1774" s="76">
        <v>1</v>
      </c>
      <c r="AJ1774" s="76">
        <v>1</v>
      </c>
      <c r="AK1774" s="73"/>
      <c r="AL1774" s="57"/>
      <c r="AM1774" s="45"/>
      <c r="AN1774" s="45"/>
      <c r="AO1774" s="45"/>
    </row>
    <row r="1775" spans="1:41" hidden="1" outlineLevel="3" x14ac:dyDescent="0.25">
      <c r="A1775" s="45"/>
      <c r="B1775" s="54"/>
      <c r="C1775" s="47">
        <f t="shared" si="642"/>
        <v>4</v>
      </c>
      <c r="D1775" s="73"/>
      <c r="E1775" s="70"/>
      <c r="F1775" s="70" t="str">
        <f>SUBSTITUTE(F1769,",7)",",13)")</f>
        <v>C(U6,1,13)</v>
      </c>
      <c r="G1775" s="73"/>
      <c r="H1775" s="76"/>
      <c r="I1775" s="96"/>
      <c r="J1775" s="76"/>
      <c r="K1775" s="76"/>
      <c r="L1775" s="76"/>
      <c r="M1775" s="76"/>
      <c r="N1775" s="76"/>
      <c r="O1775" s="76"/>
      <c r="P1775" s="76"/>
      <c r="Q1775" s="76"/>
      <c r="R1775" s="76"/>
      <c r="S1775" s="76"/>
      <c r="T1775" s="76"/>
      <c r="U1775" s="76"/>
      <c r="V1775" s="76"/>
      <c r="W1775" s="76"/>
      <c r="X1775" s="76"/>
      <c r="Y1775" s="76"/>
      <c r="Z1775" s="76"/>
      <c r="AA1775" s="76"/>
      <c r="AB1775" s="76"/>
      <c r="AC1775" s="76"/>
      <c r="AD1775" s="76"/>
      <c r="AE1775" s="76"/>
      <c r="AF1775" s="76"/>
      <c r="AG1775" s="76"/>
      <c r="AH1775" s="76"/>
      <c r="AI1775" s="76">
        <v>1</v>
      </c>
      <c r="AJ1775" s="76">
        <v>1</v>
      </c>
      <c r="AK1775" s="73"/>
      <c r="AL1775" s="57"/>
      <c r="AM1775" s="45"/>
      <c r="AN1775" s="45"/>
      <c r="AO1775" s="45"/>
    </row>
    <row r="1776" spans="1:41" hidden="1" outlineLevel="3" x14ac:dyDescent="0.25">
      <c r="A1776" s="45"/>
      <c r="B1776" s="54"/>
      <c r="C1776" s="47">
        <f t="shared" si="642"/>
        <v>4</v>
      </c>
      <c r="D1776" s="73"/>
      <c r="E1776" s="70"/>
      <c r="F1776" s="70" t="s">
        <v>3514</v>
      </c>
      <c r="G1776" s="73"/>
      <c r="H1776" s="76"/>
      <c r="I1776" s="76"/>
      <c r="J1776" s="76"/>
      <c r="K1776" s="76"/>
      <c r="L1776" s="76"/>
      <c r="M1776" s="76"/>
      <c r="N1776" s="76"/>
      <c r="O1776" s="76"/>
      <c r="P1776" s="76"/>
      <c r="Q1776" s="76"/>
      <c r="R1776" s="76"/>
      <c r="S1776" s="76"/>
      <c r="T1776" s="76"/>
      <c r="U1776" s="76"/>
      <c r="V1776" s="76"/>
      <c r="W1776" s="76"/>
      <c r="X1776" s="76"/>
      <c r="Y1776" s="76"/>
      <c r="Z1776" s="76"/>
      <c r="AA1776" s="76"/>
      <c r="AB1776" s="76"/>
      <c r="AC1776" s="76"/>
      <c r="AD1776" s="76"/>
      <c r="AE1776" s="76"/>
      <c r="AF1776" s="76"/>
      <c r="AG1776" s="76"/>
      <c r="AH1776" s="76"/>
      <c r="AI1776" s="76">
        <v>1</v>
      </c>
      <c r="AJ1776" s="76">
        <v>1</v>
      </c>
      <c r="AK1776" s="73"/>
      <c r="AL1776" s="57"/>
      <c r="AM1776" s="45"/>
      <c r="AN1776" s="45"/>
      <c r="AO1776" s="45"/>
    </row>
    <row r="1777" spans="1:41" hidden="1" outlineLevel="3" x14ac:dyDescent="0.25">
      <c r="A1777" s="45"/>
      <c r="B1777" s="54"/>
      <c r="C1777" s="47">
        <f t="shared" si="642"/>
        <v>4</v>
      </c>
      <c r="D1777" s="73"/>
      <c r="E1777" s="70"/>
      <c r="F1777" s="70" t="s">
        <v>3515</v>
      </c>
      <c r="G1777" s="73"/>
      <c r="H1777" s="76" t="s">
        <v>599</v>
      </c>
      <c r="I1777" s="76"/>
      <c r="J1777" s="76"/>
      <c r="K1777" s="76"/>
      <c r="L1777" s="76"/>
      <c r="M1777" s="76"/>
      <c r="N1777" s="76"/>
      <c r="O1777" s="76"/>
      <c r="P1777" s="76"/>
      <c r="Q1777" s="76"/>
      <c r="R1777" s="76"/>
      <c r="S1777" s="76"/>
      <c r="T1777" s="76"/>
      <c r="U1777" s="76"/>
      <c r="V1777" s="76"/>
      <c r="W1777" s="76"/>
      <c r="X1777" s="76"/>
      <c r="Y1777" s="76"/>
      <c r="Z1777" s="76"/>
      <c r="AA1777" s="76"/>
      <c r="AB1777" s="76"/>
      <c r="AC1777" s="76"/>
      <c r="AD1777" s="76"/>
      <c r="AE1777" s="76"/>
      <c r="AF1777" s="76"/>
      <c r="AG1777" s="76"/>
      <c r="AH1777" s="76"/>
      <c r="AI1777" s="76">
        <v>1</v>
      </c>
      <c r="AJ1777" s="76">
        <v>1</v>
      </c>
      <c r="AK1777" s="73"/>
      <c r="AL1777" s="57"/>
      <c r="AM1777" s="45"/>
      <c r="AN1777" s="45"/>
      <c r="AO1777" s="45"/>
    </row>
    <row r="1778" spans="1:41" hidden="1" outlineLevel="3" x14ac:dyDescent="0.25">
      <c r="A1778" s="45"/>
      <c r="B1778" s="54"/>
      <c r="C1778" s="47">
        <f t="shared" si="642"/>
        <v>4</v>
      </c>
      <c r="D1778" s="73"/>
      <c r="E1778" s="70"/>
      <c r="F1778" s="70" t="s">
        <v>3516</v>
      </c>
      <c r="G1778" s="73"/>
      <c r="H1778" s="76"/>
      <c r="I1778" s="76"/>
      <c r="J1778" s="76"/>
      <c r="K1778" s="76"/>
      <c r="L1778" s="76"/>
      <c r="M1778" s="76"/>
      <c r="N1778" s="76"/>
      <c r="O1778" s="76"/>
      <c r="P1778" s="76"/>
      <c r="Q1778" s="76"/>
      <c r="R1778" s="76"/>
      <c r="S1778" s="76"/>
      <c r="T1778" s="76"/>
      <c r="U1778" s="76"/>
      <c r="V1778" s="76"/>
      <c r="W1778" s="76"/>
      <c r="X1778" s="76"/>
      <c r="Y1778" s="76"/>
      <c r="Z1778" s="76"/>
      <c r="AA1778" s="76"/>
      <c r="AB1778" s="76"/>
      <c r="AC1778" s="76"/>
      <c r="AD1778" s="76"/>
      <c r="AE1778" s="76"/>
      <c r="AF1778" s="76"/>
      <c r="AG1778" s="76"/>
      <c r="AH1778" s="76"/>
      <c r="AI1778" s="76">
        <v>1</v>
      </c>
      <c r="AJ1778" s="76">
        <v>1</v>
      </c>
      <c r="AK1778" s="73"/>
      <c r="AL1778" s="57"/>
      <c r="AM1778" s="45"/>
      <c r="AN1778" s="45"/>
      <c r="AO1778" s="45"/>
    </row>
    <row r="1779" spans="1:41" hidden="1" outlineLevel="3" x14ac:dyDescent="0.25">
      <c r="A1779" s="45"/>
      <c r="B1779" s="54"/>
      <c r="C1779" s="47">
        <f t="shared" si="642"/>
        <v>4</v>
      </c>
      <c r="D1779" s="73"/>
      <c r="E1779" s="70"/>
      <c r="F1779" s="70" t="s">
        <v>3517</v>
      </c>
      <c r="G1779" s="73"/>
      <c r="H1779" s="76"/>
      <c r="I1779" s="76"/>
      <c r="J1779" s="76"/>
      <c r="K1779" s="76"/>
      <c r="L1779" s="76"/>
      <c r="M1779" s="76"/>
      <c r="N1779" s="76"/>
      <c r="O1779" s="76"/>
      <c r="P1779" s="76"/>
      <c r="Q1779" s="76"/>
      <c r="R1779" s="76"/>
      <c r="S1779" s="76"/>
      <c r="T1779" s="76"/>
      <c r="U1779" s="76"/>
      <c r="V1779" s="76"/>
      <c r="W1779" s="76"/>
      <c r="X1779" s="76"/>
      <c r="Y1779" s="76"/>
      <c r="Z1779" s="76"/>
      <c r="AA1779" s="76"/>
      <c r="AB1779" s="76"/>
      <c r="AC1779" s="76"/>
      <c r="AD1779" s="76"/>
      <c r="AE1779" s="76"/>
      <c r="AF1779" s="76"/>
      <c r="AG1779" s="76"/>
      <c r="AH1779" s="76"/>
      <c r="AI1779" s="76">
        <v>1</v>
      </c>
      <c r="AJ1779" s="76">
        <v>1</v>
      </c>
      <c r="AK1779" s="73"/>
      <c r="AL1779" s="57"/>
      <c r="AM1779" s="45"/>
      <c r="AN1779" s="45"/>
      <c r="AO1779" s="45"/>
    </row>
    <row r="1780" spans="1:41" hidden="1" outlineLevel="3" x14ac:dyDescent="0.25">
      <c r="A1780" s="45"/>
      <c r="B1780" s="54"/>
      <c r="C1780" s="47">
        <f t="shared" si="642"/>
        <v>4</v>
      </c>
      <c r="D1780" s="73"/>
      <c r="E1780" s="70"/>
      <c r="F1780" s="70" t="s">
        <v>3518</v>
      </c>
      <c r="G1780" s="73"/>
      <c r="H1780" s="76"/>
      <c r="I1780" s="76"/>
      <c r="J1780" s="76"/>
      <c r="K1780" s="76"/>
      <c r="L1780" s="76"/>
      <c r="M1780" s="76"/>
      <c r="N1780" s="76"/>
      <c r="O1780" s="76"/>
      <c r="P1780" s="76"/>
      <c r="Q1780" s="76"/>
      <c r="R1780" s="76"/>
      <c r="S1780" s="76"/>
      <c r="T1780" s="76"/>
      <c r="U1780" s="76"/>
      <c r="V1780" s="76"/>
      <c r="W1780" s="76"/>
      <c r="X1780" s="76"/>
      <c r="Y1780" s="76"/>
      <c r="Z1780" s="76"/>
      <c r="AA1780" s="76"/>
      <c r="AB1780" s="76"/>
      <c r="AC1780" s="76"/>
      <c r="AD1780" s="76"/>
      <c r="AE1780" s="76"/>
      <c r="AF1780" s="76"/>
      <c r="AG1780" s="76"/>
      <c r="AH1780" s="76"/>
      <c r="AI1780" s="76">
        <v>1</v>
      </c>
      <c r="AJ1780" s="76">
        <v>1</v>
      </c>
      <c r="AK1780" s="73"/>
      <c r="AL1780" s="57"/>
      <c r="AM1780" s="45"/>
      <c r="AN1780" s="45"/>
      <c r="AO1780" s="45"/>
    </row>
    <row r="1781" spans="1:41" hidden="1" outlineLevel="3" x14ac:dyDescent="0.25">
      <c r="A1781" s="45"/>
      <c r="B1781" s="54"/>
      <c r="C1781" s="47">
        <f t="shared" si="642"/>
        <v>4</v>
      </c>
      <c r="D1781" s="73"/>
      <c r="E1781" s="70"/>
      <c r="F1781" s="70" t="s">
        <v>3519</v>
      </c>
      <c r="G1781" s="73"/>
      <c r="H1781" s="76"/>
      <c r="I1781" s="76"/>
      <c r="J1781" s="76"/>
      <c r="K1781" s="76"/>
      <c r="L1781" s="76"/>
      <c r="M1781" s="76"/>
      <c r="N1781" s="76"/>
      <c r="O1781" s="76"/>
      <c r="P1781" s="76"/>
      <c r="Q1781" s="76"/>
      <c r="R1781" s="76"/>
      <c r="S1781" s="76"/>
      <c r="T1781" s="76"/>
      <c r="U1781" s="76"/>
      <c r="V1781" s="76"/>
      <c r="W1781" s="76"/>
      <c r="X1781" s="76"/>
      <c r="Y1781" s="76"/>
      <c r="Z1781" s="76"/>
      <c r="AA1781" s="76"/>
      <c r="AB1781" s="76"/>
      <c r="AC1781" s="76"/>
      <c r="AD1781" s="76"/>
      <c r="AE1781" s="76"/>
      <c r="AF1781" s="76"/>
      <c r="AG1781" s="76"/>
      <c r="AH1781" s="76"/>
      <c r="AI1781" s="76">
        <v>1</v>
      </c>
      <c r="AJ1781" s="76">
        <v>1</v>
      </c>
      <c r="AK1781" s="73"/>
      <c r="AL1781" s="57"/>
      <c r="AM1781" s="45"/>
      <c r="AN1781" s="45"/>
      <c r="AO1781" s="45"/>
    </row>
    <row r="1782" spans="1:41" hidden="1" outlineLevel="3" x14ac:dyDescent="0.25">
      <c r="A1782" s="45"/>
      <c r="B1782" s="54"/>
      <c r="C1782" s="47"/>
      <c r="D1782" s="73"/>
      <c r="E1782" s="70"/>
      <c r="F1782" s="70" t="s">
        <v>3520</v>
      </c>
      <c r="G1782" s="73"/>
      <c r="H1782" s="76"/>
      <c r="I1782" s="76"/>
      <c r="J1782" s="76"/>
      <c r="K1782" s="76"/>
      <c r="L1782" s="76"/>
      <c r="M1782" s="76"/>
      <c r="N1782" s="76"/>
      <c r="O1782" s="76"/>
      <c r="P1782" s="76"/>
      <c r="Q1782" s="76"/>
      <c r="R1782" s="76"/>
      <c r="S1782" s="76"/>
      <c r="T1782" s="76"/>
      <c r="U1782" s="76"/>
      <c r="V1782" s="76"/>
      <c r="W1782" s="76"/>
      <c r="X1782" s="76"/>
      <c r="Y1782" s="76"/>
      <c r="Z1782" s="76"/>
      <c r="AA1782" s="76"/>
      <c r="AB1782" s="76"/>
      <c r="AC1782" s="76"/>
      <c r="AD1782" s="76"/>
      <c r="AE1782" s="76"/>
      <c r="AF1782" s="76"/>
      <c r="AG1782" s="76"/>
      <c r="AH1782" s="76"/>
      <c r="AI1782" s="76">
        <v>1</v>
      </c>
      <c r="AJ1782" s="76">
        <v>1</v>
      </c>
      <c r="AK1782" s="73"/>
      <c r="AL1782" s="57"/>
      <c r="AM1782" s="45"/>
      <c r="AN1782" s="45"/>
      <c r="AO1782" s="45"/>
    </row>
    <row r="1783" spans="1:41" hidden="1" outlineLevel="3" x14ac:dyDescent="0.25">
      <c r="A1783" s="45"/>
      <c r="B1783" s="54"/>
      <c r="C1783" s="47"/>
      <c r="D1783" s="73"/>
      <c r="E1783" s="70"/>
      <c r="F1783" s="70" t="s">
        <v>3521</v>
      </c>
      <c r="G1783" s="73"/>
      <c r="H1783" s="76"/>
      <c r="I1783" s="76"/>
      <c r="J1783" s="76"/>
      <c r="K1783" s="76"/>
      <c r="L1783" s="76"/>
      <c r="M1783" s="76"/>
      <c r="N1783" s="76"/>
      <c r="O1783" s="76"/>
      <c r="P1783" s="76"/>
      <c r="Q1783" s="76"/>
      <c r="R1783" s="76"/>
      <c r="S1783" s="76"/>
      <c r="T1783" s="76"/>
      <c r="U1783" s="76"/>
      <c r="V1783" s="76"/>
      <c r="W1783" s="76"/>
      <c r="X1783" s="76"/>
      <c r="Y1783" s="76"/>
      <c r="Z1783" s="76"/>
      <c r="AA1783" s="76"/>
      <c r="AB1783" s="76"/>
      <c r="AC1783" s="76"/>
      <c r="AD1783" s="76"/>
      <c r="AE1783" s="76"/>
      <c r="AF1783" s="76"/>
      <c r="AG1783" s="76"/>
      <c r="AH1783" s="76"/>
      <c r="AI1783" s="76">
        <v>1</v>
      </c>
      <c r="AJ1783" s="76">
        <v>1</v>
      </c>
      <c r="AK1783" s="73"/>
      <c r="AL1783" s="57"/>
      <c r="AM1783" s="45"/>
      <c r="AN1783" s="45"/>
      <c r="AO1783" s="45"/>
    </row>
    <row r="1784" spans="1:41" hidden="1" outlineLevel="3" x14ac:dyDescent="0.25">
      <c r="A1784" s="45"/>
      <c r="B1784" s="54"/>
      <c r="C1784" s="47"/>
      <c r="D1784" s="73"/>
      <c r="E1784" s="70"/>
      <c r="F1784" s="70" t="s">
        <v>3522</v>
      </c>
      <c r="G1784" s="73"/>
      <c r="H1784" s="76"/>
      <c r="I1784" s="76"/>
      <c r="J1784" s="76"/>
      <c r="K1784" s="76"/>
      <c r="L1784" s="76"/>
      <c r="M1784" s="76"/>
      <c r="N1784" s="76"/>
      <c r="O1784" s="76"/>
      <c r="P1784" s="76"/>
      <c r="Q1784" s="76"/>
      <c r="R1784" s="76"/>
      <c r="S1784" s="76"/>
      <c r="T1784" s="76"/>
      <c r="U1784" s="76"/>
      <c r="V1784" s="76"/>
      <c r="W1784" s="76"/>
      <c r="X1784" s="76"/>
      <c r="Y1784" s="76"/>
      <c r="Z1784" s="76"/>
      <c r="AA1784" s="76"/>
      <c r="AB1784" s="76"/>
      <c r="AC1784" s="76"/>
      <c r="AD1784" s="76"/>
      <c r="AE1784" s="76"/>
      <c r="AF1784" s="76"/>
      <c r="AG1784" s="76"/>
      <c r="AH1784" s="76"/>
      <c r="AI1784" s="76">
        <v>1</v>
      </c>
      <c r="AJ1784" s="76">
        <v>1</v>
      </c>
      <c r="AK1784" s="73"/>
      <c r="AL1784" s="57"/>
      <c r="AM1784" s="45"/>
      <c r="AN1784" s="45"/>
      <c r="AO1784" s="45"/>
    </row>
    <row r="1785" spans="1:41" hidden="1" outlineLevel="3" x14ac:dyDescent="0.25">
      <c r="A1785" s="45"/>
      <c r="B1785" s="54"/>
      <c r="C1785" s="47">
        <f t="shared" ref="C1785:C1796" si="643">INT($C$29)+3</f>
        <v>4</v>
      </c>
      <c r="D1785" s="73"/>
      <c r="E1785" s="70"/>
      <c r="F1785" s="70" t="str">
        <f>SUBSTITUTE(F1781,",4)",",8)")</f>
        <v>C(U6,2,8)</v>
      </c>
      <c r="G1785" s="73"/>
      <c r="H1785" s="76"/>
      <c r="I1785" s="96"/>
      <c r="J1785" s="76"/>
      <c r="K1785" s="76"/>
      <c r="L1785" s="76"/>
      <c r="M1785" s="76"/>
      <c r="N1785" s="76"/>
      <c r="O1785" s="76"/>
      <c r="P1785" s="76"/>
      <c r="Q1785" s="76"/>
      <c r="R1785" s="76"/>
      <c r="S1785" s="76"/>
      <c r="T1785" s="76"/>
      <c r="U1785" s="76"/>
      <c r="V1785" s="76"/>
      <c r="W1785" s="76"/>
      <c r="X1785" s="76"/>
      <c r="Y1785" s="76"/>
      <c r="Z1785" s="76"/>
      <c r="AA1785" s="76"/>
      <c r="AB1785" s="76"/>
      <c r="AC1785" s="76"/>
      <c r="AD1785" s="76"/>
      <c r="AE1785" s="76"/>
      <c r="AF1785" s="76"/>
      <c r="AG1785" s="76"/>
      <c r="AH1785" s="76"/>
      <c r="AI1785" s="76">
        <v>1</v>
      </c>
      <c r="AJ1785" s="76">
        <v>1</v>
      </c>
      <c r="AK1785" s="73"/>
      <c r="AL1785" s="57"/>
      <c r="AM1785" s="45"/>
      <c r="AN1785" s="45"/>
      <c r="AO1785" s="45"/>
    </row>
    <row r="1786" spans="1:41" hidden="1" outlineLevel="3" x14ac:dyDescent="0.25">
      <c r="A1786" s="45"/>
      <c r="B1786" s="54"/>
      <c r="C1786" s="47">
        <f t="shared" si="643"/>
        <v>4</v>
      </c>
      <c r="D1786" s="73"/>
      <c r="E1786" s="70"/>
      <c r="F1786" s="70" t="str">
        <f>SUBSTITUTE(F1782,",5)",",9)")</f>
        <v>C(U6,2,9)</v>
      </c>
      <c r="G1786" s="73"/>
      <c r="H1786" s="76"/>
      <c r="I1786" s="96"/>
      <c r="J1786" s="76"/>
      <c r="K1786" s="76"/>
      <c r="L1786" s="76"/>
      <c r="M1786" s="76"/>
      <c r="N1786" s="76"/>
      <c r="O1786" s="76"/>
      <c r="P1786" s="76"/>
      <c r="Q1786" s="76"/>
      <c r="R1786" s="76"/>
      <c r="S1786" s="76"/>
      <c r="T1786" s="76"/>
      <c r="U1786" s="76"/>
      <c r="V1786" s="76"/>
      <c r="W1786" s="76"/>
      <c r="X1786" s="76"/>
      <c r="Y1786" s="76"/>
      <c r="Z1786" s="76"/>
      <c r="AA1786" s="76"/>
      <c r="AB1786" s="76"/>
      <c r="AC1786" s="76"/>
      <c r="AD1786" s="76"/>
      <c r="AE1786" s="76"/>
      <c r="AF1786" s="76"/>
      <c r="AG1786" s="76"/>
      <c r="AH1786" s="76"/>
      <c r="AI1786" s="76">
        <v>1</v>
      </c>
      <c r="AJ1786" s="76">
        <v>1</v>
      </c>
      <c r="AK1786" s="73"/>
      <c r="AL1786" s="57"/>
      <c r="AM1786" s="45"/>
      <c r="AN1786" s="45"/>
      <c r="AO1786" s="45"/>
    </row>
    <row r="1787" spans="1:41" hidden="1" outlineLevel="3" x14ac:dyDescent="0.25">
      <c r="A1787" s="45"/>
      <c r="B1787" s="54"/>
      <c r="C1787" s="47">
        <f t="shared" si="643"/>
        <v>4</v>
      </c>
      <c r="D1787" s="73"/>
      <c r="E1787" s="70"/>
      <c r="F1787" s="70" t="str">
        <f>SUBSTITUTE(F1783,",6)",",10)")</f>
        <v>C(U6,2,10)</v>
      </c>
      <c r="G1787" s="73"/>
      <c r="H1787" s="76"/>
      <c r="I1787" s="96"/>
      <c r="J1787" s="76"/>
      <c r="K1787" s="76"/>
      <c r="L1787" s="76"/>
      <c r="M1787" s="76"/>
      <c r="N1787" s="76"/>
      <c r="O1787" s="76"/>
      <c r="P1787" s="76"/>
      <c r="Q1787" s="76"/>
      <c r="R1787" s="76"/>
      <c r="S1787" s="76"/>
      <c r="T1787" s="76"/>
      <c r="U1787" s="76"/>
      <c r="V1787" s="76"/>
      <c r="W1787" s="76"/>
      <c r="X1787" s="76"/>
      <c r="Y1787" s="76"/>
      <c r="Z1787" s="76"/>
      <c r="AA1787" s="76"/>
      <c r="AB1787" s="76"/>
      <c r="AC1787" s="76"/>
      <c r="AD1787" s="76"/>
      <c r="AE1787" s="76"/>
      <c r="AF1787" s="76"/>
      <c r="AG1787" s="76"/>
      <c r="AH1787" s="76"/>
      <c r="AI1787" s="76">
        <v>1</v>
      </c>
      <c r="AJ1787" s="76">
        <v>1</v>
      </c>
      <c r="AK1787" s="73"/>
      <c r="AL1787" s="57"/>
      <c r="AM1787" s="45"/>
      <c r="AN1787" s="45"/>
      <c r="AO1787" s="45"/>
    </row>
    <row r="1788" spans="1:41" hidden="1" outlineLevel="3" x14ac:dyDescent="0.25">
      <c r="A1788" s="45"/>
      <c r="B1788" s="54"/>
      <c r="C1788" s="47">
        <f t="shared" si="643"/>
        <v>4</v>
      </c>
      <c r="D1788" s="73"/>
      <c r="E1788" s="70"/>
      <c r="F1788" s="70" t="str">
        <f>SUBSTITUTE(F1784,",7)",",11)")</f>
        <v>C(U6,2,11)</v>
      </c>
      <c r="G1788" s="73"/>
      <c r="H1788" s="76"/>
      <c r="I1788" s="96"/>
      <c r="J1788" s="76"/>
      <c r="K1788" s="76"/>
      <c r="L1788" s="76"/>
      <c r="M1788" s="76"/>
      <c r="N1788" s="76"/>
      <c r="O1788" s="76"/>
      <c r="P1788" s="76"/>
      <c r="Q1788" s="76"/>
      <c r="R1788" s="76"/>
      <c r="S1788" s="76"/>
      <c r="T1788" s="76"/>
      <c r="U1788" s="76"/>
      <c r="V1788" s="76"/>
      <c r="W1788" s="76"/>
      <c r="X1788" s="76"/>
      <c r="Y1788" s="76"/>
      <c r="Z1788" s="76"/>
      <c r="AA1788" s="76"/>
      <c r="AB1788" s="76"/>
      <c r="AC1788" s="76"/>
      <c r="AD1788" s="76"/>
      <c r="AE1788" s="76"/>
      <c r="AF1788" s="76"/>
      <c r="AG1788" s="76"/>
      <c r="AH1788" s="76"/>
      <c r="AI1788" s="76">
        <v>1</v>
      </c>
      <c r="AJ1788" s="76">
        <v>1</v>
      </c>
      <c r="AK1788" s="73"/>
      <c r="AL1788" s="57"/>
      <c r="AM1788" s="45"/>
      <c r="AN1788" s="45"/>
      <c r="AO1788" s="45"/>
    </row>
    <row r="1789" spans="1:41" hidden="1" outlineLevel="3" x14ac:dyDescent="0.25">
      <c r="A1789" s="45"/>
      <c r="B1789" s="54"/>
      <c r="C1789" s="47">
        <f t="shared" si="643"/>
        <v>4</v>
      </c>
      <c r="D1789" s="73"/>
      <c r="E1789" s="70"/>
      <c r="F1789" s="70" t="str">
        <f>SUBSTITUTE(F1783,",6)",",12)")</f>
        <v>C(U6,2,12)</v>
      </c>
      <c r="G1789" s="73"/>
      <c r="H1789" s="76"/>
      <c r="I1789" s="96"/>
      <c r="J1789" s="76"/>
      <c r="K1789" s="76"/>
      <c r="L1789" s="76"/>
      <c r="M1789" s="76"/>
      <c r="N1789" s="76"/>
      <c r="O1789" s="76"/>
      <c r="P1789" s="76"/>
      <c r="Q1789" s="76"/>
      <c r="R1789" s="76"/>
      <c r="S1789" s="76"/>
      <c r="T1789" s="76"/>
      <c r="U1789" s="76"/>
      <c r="V1789" s="76"/>
      <c r="W1789" s="76"/>
      <c r="X1789" s="76"/>
      <c r="Y1789" s="76"/>
      <c r="Z1789" s="76"/>
      <c r="AA1789" s="76"/>
      <c r="AB1789" s="76"/>
      <c r="AC1789" s="76"/>
      <c r="AD1789" s="76"/>
      <c r="AE1789" s="76"/>
      <c r="AF1789" s="76"/>
      <c r="AG1789" s="76"/>
      <c r="AH1789" s="76"/>
      <c r="AI1789" s="76">
        <v>1</v>
      </c>
      <c r="AJ1789" s="76">
        <v>1</v>
      </c>
      <c r="AK1789" s="73"/>
      <c r="AL1789" s="57"/>
      <c r="AM1789" s="45"/>
      <c r="AN1789" s="45"/>
      <c r="AO1789" s="45"/>
    </row>
    <row r="1790" spans="1:41" hidden="1" outlineLevel="3" x14ac:dyDescent="0.25">
      <c r="A1790" s="45"/>
      <c r="B1790" s="54"/>
      <c r="C1790" s="47">
        <f t="shared" si="643"/>
        <v>4</v>
      </c>
      <c r="D1790" s="73"/>
      <c r="E1790" s="70"/>
      <c r="F1790" s="70" t="str">
        <f>SUBSTITUTE(F1784,",7)",",13)")</f>
        <v>C(U6,2,13)</v>
      </c>
      <c r="G1790" s="73"/>
      <c r="H1790" s="76"/>
      <c r="I1790" s="96"/>
      <c r="J1790" s="76"/>
      <c r="K1790" s="76"/>
      <c r="L1790" s="76"/>
      <c r="M1790" s="76"/>
      <c r="N1790" s="76"/>
      <c r="O1790" s="76"/>
      <c r="P1790" s="76"/>
      <c r="Q1790" s="76"/>
      <c r="R1790" s="76"/>
      <c r="S1790" s="76"/>
      <c r="T1790" s="76"/>
      <c r="U1790" s="76"/>
      <c r="V1790" s="76"/>
      <c r="W1790" s="76"/>
      <c r="X1790" s="76"/>
      <c r="Y1790" s="76"/>
      <c r="Z1790" s="76"/>
      <c r="AA1790" s="76"/>
      <c r="AB1790" s="76"/>
      <c r="AC1790" s="76"/>
      <c r="AD1790" s="76"/>
      <c r="AE1790" s="76"/>
      <c r="AF1790" s="76"/>
      <c r="AG1790" s="76"/>
      <c r="AH1790" s="76"/>
      <c r="AI1790" s="76">
        <v>1</v>
      </c>
      <c r="AJ1790" s="76">
        <v>1</v>
      </c>
      <c r="AK1790" s="73"/>
      <c r="AL1790" s="57"/>
      <c r="AM1790" s="45"/>
      <c r="AN1790" s="45"/>
      <c r="AO1790" s="45"/>
    </row>
    <row r="1791" spans="1:41" hidden="1" outlineLevel="3" x14ac:dyDescent="0.25">
      <c r="A1791" s="45"/>
      <c r="B1791" s="54"/>
      <c r="C1791" s="47">
        <f t="shared" si="643"/>
        <v>4</v>
      </c>
      <c r="D1791" s="73"/>
      <c r="E1791" s="70"/>
      <c r="F1791" s="70" t="s">
        <v>3523</v>
      </c>
      <c r="G1791" s="73"/>
      <c r="H1791" s="76"/>
      <c r="I1791" s="76"/>
      <c r="J1791" s="76"/>
      <c r="K1791" s="76"/>
      <c r="L1791" s="76"/>
      <c r="M1791" s="76"/>
      <c r="N1791" s="76"/>
      <c r="O1791" s="76"/>
      <c r="P1791" s="76"/>
      <c r="Q1791" s="76"/>
      <c r="R1791" s="76"/>
      <c r="S1791" s="76"/>
      <c r="T1791" s="76"/>
      <c r="U1791" s="76"/>
      <c r="V1791" s="76"/>
      <c r="W1791" s="76"/>
      <c r="X1791" s="76"/>
      <c r="Y1791" s="76"/>
      <c r="Z1791" s="76"/>
      <c r="AA1791" s="76"/>
      <c r="AB1791" s="76"/>
      <c r="AC1791" s="76"/>
      <c r="AD1791" s="76"/>
      <c r="AE1791" s="76"/>
      <c r="AF1791" s="76"/>
      <c r="AG1791" s="76"/>
      <c r="AH1791" s="76"/>
      <c r="AI1791" s="76">
        <v>1</v>
      </c>
      <c r="AJ1791" s="76">
        <v>1</v>
      </c>
      <c r="AK1791" s="73"/>
      <c r="AL1791" s="57"/>
      <c r="AM1791" s="45"/>
      <c r="AN1791" s="45"/>
      <c r="AO1791" s="45"/>
    </row>
    <row r="1792" spans="1:41" hidden="1" outlineLevel="3" x14ac:dyDescent="0.25">
      <c r="A1792" s="45"/>
      <c r="B1792" s="54"/>
      <c r="C1792" s="47">
        <f t="shared" si="643"/>
        <v>4</v>
      </c>
      <c r="D1792" s="73"/>
      <c r="E1792" s="70"/>
      <c r="F1792" s="70" t="s">
        <v>3524</v>
      </c>
      <c r="G1792" s="73"/>
      <c r="H1792" s="76" t="s">
        <v>599</v>
      </c>
      <c r="I1792" s="76"/>
      <c r="J1792" s="76"/>
      <c r="K1792" s="76"/>
      <c r="L1792" s="76"/>
      <c r="M1792" s="76"/>
      <c r="N1792" s="76"/>
      <c r="O1792" s="76"/>
      <c r="P1792" s="76"/>
      <c r="Q1792" s="76"/>
      <c r="R1792" s="76"/>
      <c r="S1792" s="76"/>
      <c r="T1792" s="76"/>
      <c r="U1792" s="76"/>
      <c r="V1792" s="76"/>
      <c r="W1792" s="76"/>
      <c r="X1792" s="76"/>
      <c r="Y1792" s="76"/>
      <c r="Z1792" s="76"/>
      <c r="AA1792" s="76"/>
      <c r="AB1792" s="76"/>
      <c r="AC1792" s="76"/>
      <c r="AD1792" s="76"/>
      <c r="AE1792" s="76"/>
      <c r="AF1792" s="76"/>
      <c r="AG1792" s="76"/>
      <c r="AH1792" s="76"/>
      <c r="AI1792" s="76">
        <v>1</v>
      </c>
      <c r="AJ1792" s="76">
        <v>1</v>
      </c>
      <c r="AK1792" s="73"/>
      <c r="AL1792" s="57"/>
      <c r="AM1792" s="45"/>
      <c r="AN1792" s="45"/>
      <c r="AO1792" s="45"/>
    </row>
    <row r="1793" spans="1:41" hidden="1" outlineLevel="3" x14ac:dyDescent="0.25">
      <c r="A1793" s="45"/>
      <c r="B1793" s="54"/>
      <c r="C1793" s="47">
        <f t="shared" si="643"/>
        <v>4</v>
      </c>
      <c r="D1793" s="73"/>
      <c r="E1793" s="70"/>
      <c r="F1793" s="70" t="s">
        <v>3525</v>
      </c>
      <c r="G1793" s="73"/>
      <c r="H1793" s="76"/>
      <c r="I1793" s="76"/>
      <c r="J1793" s="76"/>
      <c r="K1793" s="76"/>
      <c r="L1793" s="76"/>
      <c r="M1793" s="76"/>
      <c r="N1793" s="76"/>
      <c r="O1793" s="76"/>
      <c r="P1793" s="76"/>
      <c r="Q1793" s="76"/>
      <c r="R1793" s="76"/>
      <c r="S1793" s="76"/>
      <c r="T1793" s="76"/>
      <c r="U1793" s="76"/>
      <c r="V1793" s="76"/>
      <c r="W1793" s="76"/>
      <c r="X1793" s="76"/>
      <c r="Y1793" s="76"/>
      <c r="Z1793" s="76"/>
      <c r="AA1793" s="76"/>
      <c r="AB1793" s="76"/>
      <c r="AC1793" s="76"/>
      <c r="AD1793" s="76"/>
      <c r="AE1793" s="76"/>
      <c r="AF1793" s="76"/>
      <c r="AG1793" s="76"/>
      <c r="AH1793" s="76"/>
      <c r="AI1793" s="76">
        <v>1</v>
      </c>
      <c r="AJ1793" s="76">
        <v>1</v>
      </c>
      <c r="AK1793" s="73"/>
      <c r="AL1793" s="57"/>
      <c r="AM1793" s="45"/>
      <c r="AN1793" s="45"/>
      <c r="AO1793" s="45"/>
    </row>
    <row r="1794" spans="1:41" hidden="1" outlineLevel="3" x14ac:dyDescent="0.25">
      <c r="A1794" s="45"/>
      <c r="B1794" s="54"/>
      <c r="C1794" s="47">
        <f t="shared" si="643"/>
        <v>4</v>
      </c>
      <c r="D1794" s="73"/>
      <c r="E1794" s="70"/>
      <c r="F1794" s="70" t="s">
        <v>3526</v>
      </c>
      <c r="G1794" s="73"/>
      <c r="H1794" s="76"/>
      <c r="I1794" s="76"/>
      <c r="J1794" s="76"/>
      <c r="K1794" s="76"/>
      <c r="L1794" s="76"/>
      <c r="M1794" s="76"/>
      <c r="N1794" s="76"/>
      <c r="O1794" s="76"/>
      <c r="P1794" s="76"/>
      <c r="Q1794" s="76"/>
      <c r="R1794" s="76"/>
      <c r="S1794" s="76"/>
      <c r="T1794" s="76"/>
      <c r="U1794" s="76"/>
      <c r="V1794" s="76"/>
      <c r="W1794" s="76"/>
      <c r="X1794" s="76"/>
      <c r="Y1794" s="76"/>
      <c r="Z1794" s="76"/>
      <c r="AA1794" s="76"/>
      <c r="AB1794" s="76"/>
      <c r="AC1794" s="76"/>
      <c r="AD1794" s="76"/>
      <c r="AE1794" s="76"/>
      <c r="AF1794" s="76"/>
      <c r="AG1794" s="76"/>
      <c r="AH1794" s="76"/>
      <c r="AI1794" s="76">
        <v>1</v>
      </c>
      <c r="AJ1794" s="76">
        <v>1</v>
      </c>
      <c r="AK1794" s="73"/>
      <c r="AL1794" s="57"/>
      <c r="AM1794" s="45"/>
      <c r="AN1794" s="45"/>
      <c r="AO1794" s="45"/>
    </row>
    <row r="1795" spans="1:41" hidden="1" outlineLevel="3" x14ac:dyDescent="0.25">
      <c r="A1795" s="45"/>
      <c r="B1795" s="54"/>
      <c r="C1795" s="47">
        <f t="shared" si="643"/>
        <v>4</v>
      </c>
      <c r="D1795" s="73"/>
      <c r="E1795" s="70"/>
      <c r="F1795" s="70" t="s">
        <v>3527</v>
      </c>
      <c r="G1795" s="73"/>
      <c r="H1795" s="76"/>
      <c r="I1795" s="76"/>
      <c r="J1795" s="76"/>
      <c r="K1795" s="76"/>
      <c r="L1795" s="76"/>
      <c r="M1795" s="76"/>
      <c r="N1795" s="76"/>
      <c r="O1795" s="76"/>
      <c r="P1795" s="76"/>
      <c r="Q1795" s="76"/>
      <c r="R1795" s="76"/>
      <c r="S1795" s="76"/>
      <c r="T1795" s="76"/>
      <c r="U1795" s="76"/>
      <c r="V1795" s="76"/>
      <c r="W1795" s="76"/>
      <c r="X1795" s="76"/>
      <c r="Y1795" s="76"/>
      <c r="Z1795" s="76"/>
      <c r="AA1795" s="76"/>
      <c r="AB1795" s="76"/>
      <c r="AC1795" s="76"/>
      <c r="AD1795" s="76"/>
      <c r="AE1795" s="76"/>
      <c r="AF1795" s="76"/>
      <c r="AG1795" s="76"/>
      <c r="AH1795" s="76"/>
      <c r="AI1795" s="76">
        <v>1</v>
      </c>
      <c r="AJ1795" s="76">
        <v>1</v>
      </c>
      <c r="AK1795" s="73"/>
      <c r="AL1795" s="57"/>
      <c r="AM1795" s="45"/>
      <c r="AN1795" s="45"/>
      <c r="AO1795" s="45"/>
    </row>
    <row r="1796" spans="1:41" hidden="1" outlineLevel="3" x14ac:dyDescent="0.25">
      <c r="A1796" s="45"/>
      <c r="B1796" s="54"/>
      <c r="C1796" s="47">
        <f t="shared" si="643"/>
        <v>4</v>
      </c>
      <c r="D1796" s="73"/>
      <c r="E1796" s="70"/>
      <c r="F1796" s="70" t="s">
        <v>3528</v>
      </c>
      <c r="G1796" s="73"/>
      <c r="H1796" s="76"/>
      <c r="I1796" s="76"/>
      <c r="J1796" s="76"/>
      <c r="K1796" s="76"/>
      <c r="L1796" s="76"/>
      <c r="M1796" s="76"/>
      <c r="N1796" s="76"/>
      <c r="O1796" s="76"/>
      <c r="P1796" s="76"/>
      <c r="Q1796" s="76"/>
      <c r="R1796" s="76"/>
      <c r="S1796" s="76"/>
      <c r="T1796" s="76"/>
      <c r="U1796" s="76"/>
      <c r="V1796" s="76"/>
      <c r="W1796" s="76"/>
      <c r="X1796" s="76"/>
      <c r="Y1796" s="76"/>
      <c r="Z1796" s="76"/>
      <c r="AA1796" s="76"/>
      <c r="AB1796" s="76"/>
      <c r="AC1796" s="76"/>
      <c r="AD1796" s="76"/>
      <c r="AE1796" s="76"/>
      <c r="AF1796" s="76"/>
      <c r="AG1796" s="76"/>
      <c r="AH1796" s="76"/>
      <c r="AI1796" s="76">
        <v>1</v>
      </c>
      <c r="AJ1796" s="76">
        <v>1</v>
      </c>
      <c r="AK1796" s="73"/>
      <c r="AL1796" s="57"/>
      <c r="AM1796" s="45"/>
      <c r="AN1796" s="45"/>
      <c r="AO1796" s="45"/>
    </row>
    <row r="1797" spans="1:41" hidden="1" outlineLevel="3" x14ac:dyDescent="0.25">
      <c r="A1797" s="45"/>
      <c r="B1797" s="54"/>
      <c r="C1797" s="47"/>
      <c r="D1797" s="73"/>
      <c r="E1797" s="70"/>
      <c r="F1797" s="70" t="s">
        <v>3529</v>
      </c>
      <c r="G1797" s="73"/>
      <c r="H1797" s="76"/>
      <c r="I1797" s="76"/>
      <c r="J1797" s="76"/>
      <c r="K1797" s="76"/>
      <c r="L1797" s="76"/>
      <c r="M1797" s="76"/>
      <c r="N1797" s="76"/>
      <c r="O1797" s="76"/>
      <c r="P1797" s="76"/>
      <c r="Q1797" s="76"/>
      <c r="R1797" s="76"/>
      <c r="S1797" s="76"/>
      <c r="T1797" s="76"/>
      <c r="U1797" s="76"/>
      <c r="V1797" s="76"/>
      <c r="W1797" s="76"/>
      <c r="X1797" s="76"/>
      <c r="Y1797" s="76"/>
      <c r="Z1797" s="76"/>
      <c r="AA1797" s="76"/>
      <c r="AB1797" s="76"/>
      <c r="AC1797" s="76"/>
      <c r="AD1797" s="76"/>
      <c r="AE1797" s="76"/>
      <c r="AF1797" s="76"/>
      <c r="AG1797" s="76"/>
      <c r="AH1797" s="76"/>
      <c r="AI1797" s="76">
        <v>1</v>
      </c>
      <c r="AJ1797" s="76">
        <v>1</v>
      </c>
      <c r="AK1797" s="73"/>
      <c r="AL1797" s="57"/>
      <c r="AM1797" s="45"/>
      <c r="AN1797" s="45"/>
      <c r="AO1797" s="45"/>
    </row>
    <row r="1798" spans="1:41" hidden="1" outlineLevel="3" x14ac:dyDescent="0.25">
      <c r="A1798" s="45"/>
      <c r="B1798" s="54"/>
      <c r="C1798" s="47"/>
      <c r="D1798" s="73"/>
      <c r="E1798" s="70"/>
      <c r="F1798" s="70" t="s">
        <v>3530</v>
      </c>
      <c r="G1798" s="73"/>
      <c r="H1798" s="76"/>
      <c r="I1798" s="76"/>
      <c r="J1798" s="76"/>
      <c r="K1798" s="76"/>
      <c r="L1798" s="76"/>
      <c r="M1798" s="76"/>
      <c r="N1798" s="76"/>
      <c r="O1798" s="76"/>
      <c r="P1798" s="76"/>
      <c r="Q1798" s="76"/>
      <c r="R1798" s="76"/>
      <c r="S1798" s="76"/>
      <c r="T1798" s="76"/>
      <c r="U1798" s="76"/>
      <c r="V1798" s="76"/>
      <c r="W1798" s="76"/>
      <c r="X1798" s="76"/>
      <c r="Y1798" s="76"/>
      <c r="Z1798" s="76"/>
      <c r="AA1798" s="76"/>
      <c r="AB1798" s="76"/>
      <c r="AC1798" s="76"/>
      <c r="AD1798" s="76"/>
      <c r="AE1798" s="76"/>
      <c r="AF1798" s="76"/>
      <c r="AG1798" s="76"/>
      <c r="AH1798" s="76"/>
      <c r="AI1798" s="76">
        <v>1</v>
      </c>
      <c r="AJ1798" s="76">
        <v>1</v>
      </c>
      <c r="AK1798" s="73"/>
      <c r="AL1798" s="57"/>
      <c r="AM1798" s="45"/>
      <c r="AN1798" s="45"/>
      <c r="AO1798" s="45"/>
    </row>
    <row r="1799" spans="1:41" hidden="1" outlineLevel="3" x14ac:dyDescent="0.25">
      <c r="A1799" s="45"/>
      <c r="B1799" s="54"/>
      <c r="C1799" s="47"/>
      <c r="D1799" s="73"/>
      <c r="E1799" s="70"/>
      <c r="F1799" s="70" t="s">
        <v>3531</v>
      </c>
      <c r="G1799" s="73"/>
      <c r="H1799" s="76"/>
      <c r="I1799" s="76"/>
      <c r="J1799" s="76"/>
      <c r="K1799" s="76"/>
      <c r="L1799" s="76"/>
      <c r="M1799" s="76"/>
      <c r="N1799" s="76"/>
      <c r="O1799" s="76"/>
      <c r="P1799" s="76"/>
      <c r="Q1799" s="76"/>
      <c r="R1799" s="76"/>
      <c r="S1799" s="76"/>
      <c r="T1799" s="76"/>
      <c r="U1799" s="76"/>
      <c r="V1799" s="76"/>
      <c r="W1799" s="76"/>
      <c r="X1799" s="76"/>
      <c r="Y1799" s="76"/>
      <c r="Z1799" s="76"/>
      <c r="AA1799" s="76"/>
      <c r="AB1799" s="76"/>
      <c r="AC1799" s="76"/>
      <c r="AD1799" s="76"/>
      <c r="AE1799" s="76"/>
      <c r="AF1799" s="76"/>
      <c r="AG1799" s="76"/>
      <c r="AH1799" s="76"/>
      <c r="AI1799" s="76">
        <v>1</v>
      </c>
      <c r="AJ1799" s="76">
        <v>1</v>
      </c>
      <c r="AK1799" s="73"/>
      <c r="AL1799" s="57"/>
      <c r="AM1799" s="45"/>
      <c r="AN1799" s="45"/>
      <c r="AO1799" s="45"/>
    </row>
    <row r="1800" spans="1:41" hidden="1" outlineLevel="3" x14ac:dyDescent="0.25">
      <c r="A1800" s="45"/>
      <c r="B1800" s="54"/>
      <c r="C1800" s="47">
        <f t="shared" ref="C1800:C1811" si="644">INT($C$29)+3</f>
        <v>4</v>
      </c>
      <c r="D1800" s="73"/>
      <c r="E1800" s="70"/>
      <c r="F1800" s="70" t="str">
        <f>SUBSTITUTE(F1796,",4)",",8)")</f>
        <v>C(U6,3,8)</v>
      </c>
      <c r="G1800" s="73"/>
      <c r="H1800" s="76"/>
      <c r="I1800" s="96"/>
      <c r="J1800" s="76"/>
      <c r="K1800" s="76"/>
      <c r="L1800" s="76"/>
      <c r="M1800" s="76"/>
      <c r="N1800" s="76"/>
      <c r="O1800" s="76"/>
      <c r="P1800" s="76"/>
      <c r="Q1800" s="76"/>
      <c r="R1800" s="76"/>
      <c r="S1800" s="76"/>
      <c r="T1800" s="76"/>
      <c r="U1800" s="76"/>
      <c r="V1800" s="76"/>
      <c r="W1800" s="76"/>
      <c r="X1800" s="76"/>
      <c r="Y1800" s="76"/>
      <c r="Z1800" s="76"/>
      <c r="AA1800" s="76"/>
      <c r="AB1800" s="76"/>
      <c r="AC1800" s="76"/>
      <c r="AD1800" s="76"/>
      <c r="AE1800" s="76"/>
      <c r="AF1800" s="76"/>
      <c r="AG1800" s="76"/>
      <c r="AH1800" s="76"/>
      <c r="AI1800" s="76">
        <v>1</v>
      </c>
      <c r="AJ1800" s="76">
        <v>1</v>
      </c>
      <c r="AK1800" s="73"/>
      <c r="AL1800" s="57"/>
      <c r="AM1800" s="45"/>
      <c r="AN1800" s="45"/>
      <c r="AO1800" s="45"/>
    </row>
    <row r="1801" spans="1:41" hidden="1" outlineLevel="3" x14ac:dyDescent="0.25">
      <c r="A1801" s="45"/>
      <c r="B1801" s="54"/>
      <c r="C1801" s="47">
        <f t="shared" si="644"/>
        <v>4</v>
      </c>
      <c r="D1801" s="73"/>
      <c r="E1801" s="70"/>
      <c r="F1801" s="70" t="str">
        <f>SUBSTITUTE(F1797,",5)",",9)")</f>
        <v>C(U6,3,9)</v>
      </c>
      <c r="G1801" s="73"/>
      <c r="H1801" s="76"/>
      <c r="I1801" s="96"/>
      <c r="J1801" s="76"/>
      <c r="K1801" s="76"/>
      <c r="L1801" s="76"/>
      <c r="M1801" s="76"/>
      <c r="N1801" s="76"/>
      <c r="O1801" s="76"/>
      <c r="P1801" s="76"/>
      <c r="Q1801" s="76"/>
      <c r="R1801" s="76"/>
      <c r="S1801" s="76"/>
      <c r="T1801" s="76"/>
      <c r="U1801" s="76"/>
      <c r="V1801" s="76"/>
      <c r="W1801" s="76"/>
      <c r="X1801" s="76"/>
      <c r="Y1801" s="76"/>
      <c r="Z1801" s="76"/>
      <c r="AA1801" s="76"/>
      <c r="AB1801" s="76"/>
      <c r="AC1801" s="76"/>
      <c r="AD1801" s="76"/>
      <c r="AE1801" s="76"/>
      <c r="AF1801" s="76"/>
      <c r="AG1801" s="76"/>
      <c r="AH1801" s="76"/>
      <c r="AI1801" s="76">
        <v>1</v>
      </c>
      <c r="AJ1801" s="76">
        <v>1</v>
      </c>
      <c r="AK1801" s="73"/>
      <c r="AL1801" s="57"/>
      <c r="AM1801" s="45"/>
      <c r="AN1801" s="45"/>
      <c r="AO1801" s="45"/>
    </row>
    <row r="1802" spans="1:41" hidden="1" outlineLevel="3" x14ac:dyDescent="0.25">
      <c r="A1802" s="45"/>
      <c r="B1802" s="54"/>
      <c r="C1802" s="47">
        <f t="shared" si="644"/>
        <v>4</v>
      </c>
      <c r="D1802" s="73"/>
      <c r="E1802" s="70"/>
      <c r="F1802" s="70" t="str">
        <f>SUBSTITUTE(F1798,",6)",",10)")</f>
        <v>C(U6,3,10)</v>
      </c>
      <c r="G1802" s="73"/>
      <c r="H1802" s="76"/>
      <c r="I1802" s="96"/>
      <c r="J1802" s="76"/>
      <c r="K1802" s="76"/>
      <c r="L1802" s="76"/>
      <c r="M1802" s="76"/>
      <c r="N1802" s="76"/>
      <c r="O1802" s="76"/>
      <c r="P1802" s="76"/>
      <c r="Q1802" s="76"/>
      <c r="R1802" s="76"/>
      <c r="S1802" s="76"/>
      <c r="T1802" s="76"/>
      <c r="U1802" s="76"/>
      <c r="V1802" s="76"/>
      <c r="W1802" s="76"/>
      <c r="X1802" s="76"/>
      <c r="Y1802" s="76"/>
      <c r="Z1802" s="76"/>
      <c r="AA1802" s="76"/>
      <c r="AB1802" s="76"/>
      <c r="AC1802" s="76"/>
      <c r="AD1802" s="76"/>
      <c r="AE1802" s="76"/>
      <c r="AF1802" s="76"/>
      <c r="AG1802" s="76"/>
      <c r="AH1802" s="76"/>
      <c r="AI1802" s="76">
        <v>1</v>
      </c>
      <c r="AJ1802" s="76">
        <v>1</v>
      </c>
      <c r="AK1802" s="73"/>
      <c r="AL1802" s="57"/>
      <c r="AM1802" s="45"/>
      <c r="AN1802" s="45"/>
      <c r="AO1802" s="45"/>
    </row>
    <row r="1803" spans="1:41" hidden="1" outlineLevel="3" x14ac:dyDescent="0.25">
      <c r="A1803" s="45"/>
      <c r="B1803" s="54"/>
      <c r="C1803" s="47">
        <f t="shared" si="644"/>
        <v>4</v>
      </c>
      <c r="D1803" s="73"/>
      <c r="E1803" s="70"/>
      <c r="F1803" s="70" t="str">
        <f>SUBSTITUTE(F1799,",7)",",11)")</f>
        <v>C(U6,3,11)</v>
      </c>
      <c r="G1803" s="73"/>
      <c r="H1803" s="76"/>
      <c r="I1803" s="96"/>
      <c r="J1803" s="76"/>
      <c r="K1803" s="76"/>
      <c r="L1803" s="76"/>
      <c r="M1803" s="76"/>
      <c r="N1803" s="76"/>
      <c r="O1803" s="76"/>
      <c r="P1803" s="76"/>
      <c r="Q1803" s="76"/>
      <c r="R1803" s="76"/>
      <c r="S1803" s="76"/>
      <c r="T1803" s="76"/>
      <c r="U1803" s="76"/>
      <c r="V1803" s="76"/>
      <c r="W1803" s="76"/>
      <c r="X1803" s="76"/>
      <c r="Y1803" s="76"/>
      <c r="Z1803" s="76"/>
      <c r="AA1803" s="76"/>
      <c r="AB1803" s="76"/>
      <c r="AC1803" s="76"/>
      <c r="AD1803" s="76"/>
      <c r="AE1803" s="76"/>
      <c r="AF1803" s="76"/>
      <c r="AG1803" s="76"/>
      <c r="AH1803" s="76"/>
      <c r="AI1803" s="76">
        <v>1</v>
      </c>
      <c r="AJ1803" s="76">
        <v>1</v>
      </c>
      <c r="AK1803" s="73"/>
      <c r="AL1803" s="57"/>
      <c r="AM1803" s="45"/>
      <c r="AN1803" s="45"/>
      <c r="AO1803" s="45"/>
    </row>
    <row r="1804" spans="1:41" hidden="1" outlineLevel="3" x14ac:dyDescent="0.25">
      <c r="A1804" s="45"/>
      <c r="B1804" s="54"/>
      <c r="C1804" s="47">
        <f t="shared" si="644"/>
        <v>4</v>
      </c>
      <c r="D1804" s="73"/>
      <c r="E1804" s="70"/>
      <c r="F1804" s="70" t="str">
        <f>SUBSTITUTE(F1798,",6)",",12)")</f>
        <v>C(U6,3,12)</v>
      </c>
      <c r="G1804" s="73"/>
      <c r="H1804" s="76"/>
      <c r="I1804" s="96"/>
      <c r="J1804" s="76"/>
      <c r="K1804" s="76"/>
      <c r="L1804" s="76"/>
      <c r="M1804" s="76"/>
      <c r="N1804" s="76"/>
      <c r="O1804" s="76"/>
      <c r="P1804" s="76"/>
      <c r="Q1804" s="76"/>
      <c r="R1804" s="76"/>
      <c r="S1804" s="76"/>
      <c r="T1804" s="76"/>
      <c r="U1804" s="76"/>
      <c r="V1804" s="76"/>
      <c r="W1804" s="76"/>
      <c r="X1804" s="76"/>
      <c r="Y1804" s="76"/>
      <c r="Z1804" s="76"/>
      <c r="AA1804" s="76"/>
      <c r="AB1804" s="76"/>
      <c r="AC1804" s="76"/>
      <c r="AD1804" s="76"/>
      <c r="AE1804" s="76"/>
      <c r="AF1804" s="76"/>
      <c r="AG1804" s="76"/>
      <c r="AH1804" s="76"/>
      <c r="AI1804" s="76">
        <v>1</v>
      </c>
      <c r="AJ1804" s="76">
        <v>1</v>
      </c>
      <c r="AK1804" s="73"/>
      <c r="AL1804" s="57"/>
      <c r="AM1804" s="45"/>
      <c r="AN1804" s="45"/>
      <c r="AO1804" s="45"/>
    </row>
    <row r="1805" spans="1:41" hidden="1" outlineLevel="3" x14ac:dyDescent="0.25">
      <c r="A1805" s="45"/>
      <c r="B1805" s="54"/>
      <c r="C1805" s="47">
        <f t="shared" si="644"/>
        <v>4</v>
      </c>
      <c r="D1805" s="73"/>
      <c r="E1805" s="70"/>
      <c r="F1805" s="70" t="str">
        <f>SUBSTITUTE(F1799,",7)",",13)")</f>
        <v>C(U6,3,13)</v>
      </c>
      <c r="G1805" s="73"/>
      <c r="H1805" s="76"/>
      <c r="I1805" s="96"/>
      <c r="J1805" s="76"/>
      <c r="K1805" s="76"/>
      <c r="L1805" s="76"/>
      <c r="M1805" s="76"/>
      <c r="N1805" s="76"/>
      <c r="O1805" s="76"/>
      <c r="P1805" s="76"/>
      <c r="Q1805" s="76"/>
      <c r="R1805" s="76"/>
      <c r="S1805" s="76"/>
      <c r="T1805" s="76"/>
      <c r="U1805" s="76"/>
      <c r="V1805" s="76"/>
      <c r="W1805" s="76"/>
      <c r="X1805" s="76"/>
      <c r="Y1805" s="76"/>
      <c r="Z1805" s="76"/>
      <c r="AA1805" s="76"/>
      <c r="AB1805" s="76"/>
      <c r="AC1805" s="76"/>
      <c r="AD1805" s="76"/>
      <c r="AE1805" s="76"/>
      <c r="AF1805" s="76"/>
      <c r="AG1805" s="76"/>
      <c r="AH1805" s="76"/>
      <c r="AI1805" s="76">
        <v>1</v>
      </c>
      <c r="AJ1805" s="76">
        <v>1</v>
      </c>
      <c r="AK1805" s="73"/>
      <c r="AL1805" s="57"/>
      <c r="AM1805" s="45"/>
      <c r="AN1805" s="45"/>
      <c r="AO1805" s="45"/>
    </row>
    <row r="1806" spans="1:41" hidden="1" outlineLevel="3" x14ac:dyDescent="0.25">
      <c r="A1806" s="45"/>
      <c r="B1806" s="54"/>
      <c r="C1806" s="47">
        <f t="shared" si="644"/>
        <v>4</v>
      </c>
      <c r="D1806" s="73"/>
      <c r="E1806" s="70"/>
      <c r="F1806" s="70" t="s">
        <v>3532</v>
      </c>
      <c r="G1806" s="73"/>
      <c r="H1806" s="76"/>
      <c r="I1806" s="76"/>
      <c r="J1806" s="76"/>
      <c r="K1806" s="76"/>
      <c r="L1806" s="76"/>
      <c r="M1806" s="76"/>
      <c r="N1806" s="76"/>
      <c r="O1806" s="76"/>
      <c r="P1806" s="76"/>
      <c r="Q1806" s="76"/>
      <c r="R1806" s="76"/>
      <c r="S1806" s="76"/>
      <c r="T1806" s="76"/>
      <c r="U1806" s="76"/>
      <c r="V1806" s="76"/>
      <c r="W1806" s="76"/>
      <c r="X1806" s="76"/>
      <c r="Y1806" s="76"/>
      <c r="Z1806" s="76"/>
      <c r="AA1806" s="76"/>
      <c r="AB1806" s="76"/>
      <c r="AC1806" s="76"/>
      <c r="AD1806" s="76"/>
      <c r="AE1806" s="76"/>
      <c r="AF1806" s="76"/>
      <c r="AG1806" s="76"/>
      <c r="AH1806" s="76"/>
      <c r="AI1806" s="76">
        <v>1</v>
      </c>
      <c r="AJ1806" s="76">
        <v>1</v>
      </c>
      <c r="AK1806" s="73"/>
      <c r="AL1806" s="57"/>
      <c r="AM1806" s="45"/>
      <c r="AN1806" s="45"/>
      <c r="AO1806" s="45"/>
    </row>
    <row r="1807" spans="1:41" hidden="1" outlineLevel="3" x14ac:dyDescent="0.25">
      <c r="A1807" s="45"/>
      <c r="B1807" s="54"/>
      <c r="C1807" s="47">
        <f t="shared" si="644"/>
        <v>4</v>
      </c>
      <c r="D1807" s="73"/>
      <c r="E1807" s="70"/>
      <c r="F1807" s="70" t="s">
        <v>3533</v>
      </c>
      <c r="G1807" s="73"/>
      <c r="H1807" s="76" t="s">
        <v>599</v>
      </c>
      <c r="I1807" s="76"/>
      <c r="J1807" s="76"/>
      <c r="K1807" s="76"/>
      <c r="L1807" s="76"/>
      <c r="M1807" s="76"/>
      <c r="N1807" s="76"/>
      <c r="O1807" s="76"/>
      <c r="P1807" s="76"/>
      <c r="Q1807" s="76"/>
      <c r="R1807" s="76"/>
      <c r="S1807" s="76"/>
      <c r="T1807" s="76"/>
      <c r="U1807" s="76"/>
      <c r="V1807" s="76"/>
      <c r="W1807" s="76"/>
      <c r="X1807" s="76"/>
      <c r="Y1807" s="76"/>
      <c r="Z1807" s="76"/>
      <c r="AA1807" s="76"/>
      <c r="AB1807" s="76"/>
      <c r="AC1807" s="76"/>
      <c r="AD1807" s="76"/>
      <c r="AE1807" s="76"/>
      <c r="AF1807" s="76"/>
      <c r="AG1807" s="76"/>
      <c r="AH1807" s="76"/>
      <c r="AI1807" s="76">
        <v>1</v>
      </c>
      <c r="AJ1807" s="76">
        <v>1</v>
      </c>
      <c r="AK1807" s="73"/>
      <c r="AL1807" s="57"/>
      <c r="AM1807" s="45"/>
      <c r="AN1807" s="45"/>
      <c r="AO1807" s="45"/>
    </row>
    <row r="1808" spans="1:41" hidden="1" outlineLevel="3" x14ac:dyDescent="0.25">
      <c r="A1808" s="45"/>
      <c r="B1808" s="54"/>
      <c r="C1808" s="47">
        <f t="shared" si="644"/>
        <v>4</v>
      </c>
      <c r="D1808" s="73"/>
      <c r="E1808" s="70"/>
      <c r="F1808" s="70" t="s">
        <v>3534</v>
      </c>
      <c r="G1808" s="73"/>
      <c r="H1808" s="76"/>
      <c r="I1808" s="76"/>
      <c r="J1808" s="76"/>
      <c r="K1808" s="76"/>
      <c r="L1808" s="76"/>
      <c r="M1808" s="76"/>
      <c r="N1808" s="76"/>
      <c r="O1808" s="76"/>
      <c r="P1808" s="76"/>
      <c r="Q1808" s="76"/>
      <c r="R1808" s="76"/>
      <c r="S1808" s="76"/>
      <c r="T1808" s="76"/>
      <c r="U1808" s="76"/>
      <c r="V1808" s="76"/>
      <c r="W1808" s="76"/>
      <c r="X1808" s="76"/>
      <c r="Y1808" s="76"/>
      <c r="Z1808" s="76"/>
      <c r="AA1808" s="76"/>
      <c r="AB1808" s="76"/>
      <c r="AC1808" s="76"/>
      <c r="AD1808" s="76"/>
      <c r="AE1808" s="76"/>
      <c r="AF1808" s="76"/>
      <c r="AG1808" s="76"/>
      <c r="AH1808" s="76"/>
      <c r="AI1808" s="76">
        <v>1</v>
      </c>
      <c r="AJ1808" s="76">
        <v>1</v>
      </c>
      <c r="AK1808" s="73"/>
      <c r="AL1808" s="57"/>
      <c r="AM1808" s="45"/>
      <c r="AN1808" s="45"/>
      <c r="AO1808" s="45"/>
    </row>
    <row r="1809" spans="1:41" hidden="1" outlineLevel="3" x14ac:dyDescent="0.25">
      <c r="A1809" s="45"/>
      <c r="B1809" s="54"/>
      <c r="C1809" s="47">
        <f t="shared" si="644"/>
        <v>4</v>
      </c>
      <c r="D1809" s="73"/>
      <c r="E1809" s="70"/>
      <c r="F1809" s="70" t="s">
        <v>3535</v>
      </c>
      <c r="G1809" s="73"/>
      <c r="H1809" s="76"/>
      <c r="I1809" s="76"/>
      <c r="J1809" s="76"/>
      <c r="K1809" s="76"/>
      <c r="L1809" s="76"/>
      <c r="M1809" s="76"/>
      <c r="N1809" s="76"/>
      <c r="O1809" s="76"/>
      <c r="P1809" s="76"/>
      <c r="Q1809" s="76"/>
      <c r="R1809" s="76"/>
      <c r="S1809" s="76"/>
      <c r="T1809" s="76"/>
      <c r="U1809" s="76"/>
      <c r="V1809" s="76"/>
      <c r="W1809" s="76"/>
      <c r="X1809" s="76"/>
      <c r="Y1809" s="76"/>
      <c r="Z1809" s="76"/>
      <c r="AA1809" s="76"/>
      <c r="AB1809" s="76"/>
      <c r="AC1809" s="76"/>
      <c r="AD1809" s="76"/>
      <c r="AE1809" s="76"/>
      <c r="AF1809" s="76"/>
      <c r="AG1809" s="76"/>
      <c r="AH1809" s="76"/>
      <c r="AI1809" s="76">
        <v>1</v>
      </c>
      <c r="AJ1809" s="76">
        <v>1</v>
      </c>
      <c r="AK1809" s="73"/>
      <c r="AL1809" s="57"/>
      <c r="AM1809" s="45"/>
      <c r="AN1809" s="45"/>
      <c r="AO1809" s="45"/>
    </row>
    <row r="1810" spans="1:41" hidden="1" outlineLevel="3" x14ac:dyDescent="0.25">
      <c r="A1810" s="45"/>
      <c r="B1810" s="54"/>
      <c r="C1810" s="47">
        <f t="shared" si="644"/>
        <v>4</v>
      </c>
      <c r="D1810" s="73"/>
      <c r="E1810" s="70"/>
      <c r="F1810" s="70" t="s">
        <v>3536</v>
      </c>
      <c r="G1810" s="73"/>
      <c r="H1810" s="76"/>
      <c r="I1810" s="76"/>
      <c r="J1810" s="76"/>
      <c r="K1810" s="76"/>
      <c r="L1810" s="76"/>
      <c r="M1810" s="76"/>
      <c r="N1810" s="76"/>
      <c r="O1810" s="76"/>
      <c r="P1810" s="76"/>
      <c r="Q1810" s="76"/>
      <c r="R1810" s="76"/>
      <c r="S1810" s="76"/>
      <c r="T1810" s="76"/>
      <c r="U1810" s="76"/>
      <c r="V1810" s="76"/>
      <c r="W1810" s="76"/>
      <c r="X1810" s="76"/>
      <c r="Y1810" s="76"/>
      <c r="Z1810" s="76"/>
      <c r="AA1810" s="76"/>
      <c r="AB1810" s="76"/>
      <c r="AC1810" s="76"/>
      <c r="AD1810" s="76"/>
      <c r="AE1810" s="76"/>
      <c r="AF1810" s="76"/>
      <c r="AG1810" s="76"/>
      <c r="AH1810" s="76"/>
      <c r="AI1810" s="76">
        <v>1</v>
      </c>
      <c r="AJ1810" s="76">
        <v>1</v>
      </c>
      <c r="AK1810" s="73"/>
      <c r="AL1810" s="57"/>
      <c r="AM1810" s="45"/>
      <c r="AN1810" s="45"/>
      <c r="AO1810" s="45"/>
    </row>
    <row r="1811" spans="1:41" hidden="1" outlineLevel="3" x14ac:dyDescent="0.25">
      <c r="A1811" s="45"/>
      <c r="B1811" s="54"/>
      <c r="C1811" s="47">
        <f t="shared" si="644"/>
        <v>4</v>
      </c>
      <c r="D1811" s="73"/>
      <c r="E1811" s="70"/>
      <c r="F1811" s="70" t="s">
        <v>3537</v>
      </c>
      <c r="G1811" s="73"/>
      <c r="H1811" s="76"/>
      <c r="I1811" s="76"/>
      <c r="J1811" s="76"/>
      <c r="K1811" s="76"/>
      <c r="L1811" s="76"/>
      <c r="M1811" s="76"/>
      <c r="N1811" s="76"/>
      <c r="O1811" s="76"/>
      <c r="P1811" s="76"/>
      <c r="Q1811" s="76"/>
      <c r="R1811" s="76"/>
      <c r="S1811" s="76"/>
      <c r="T1811" s="76"/>
      <c r="U1811" s="76"/>
      <c r="V1811" s="76"/>
      <c r="W1811" s="76"/>
      <c r="X1811" s="76"/>
      <c r="Y1811" s="76"/>
      <c r="Z1811" s="76"/>
      <c r="AA1811" s="76"/>
      <c r="AB1811" s="76"/>
      <c r="AC1811" s="76"/>
      <c r="AD1811" s="76"/>
      <c r="AE1811" s="76"/>
      <c r="AF1811" s="76"/>
      <c r="AG1811" s="76"/>
      <c r="AH1811" s="76"/>
      <c r="AI1811" s="76">
        <v>1</v>
      </c>
      <c r="AJ1811" s="76">
        <v>1</v>
      </c>
      <c r="AK1811" s="73"/>
      <c r="AL1811" s="57"/>
      <c r="AM1811" s="45"/>
      <c r="AN1811" s="45"/>
      <c r="AO1811" s="45"/>
    </row>
    <row r="1812" spans="1:41" hidden="1" outlineLevel="3" x14ac:dyDescent="0.25">
      <c r="A1812" s="45"/>
      <c r="B1812" s="54"/>
      <c r="C1812" s="47"/>
      <c r="D1812" s="73"/>
      <c r="E1812" s="70"/>
      <c r="F1812" s="70" t="s">
        <v>3538</v>
      </c>
      <c r="G1812" s="73"/>
      <c r="H1812" s="76"/>
      <c r="I1812" s="76"/>
      <c r="J1812" s="76"/>
      <c r="K1812" s="76"/>
      <c r="L1812" s="76"/>
      <c r="M1812" s="76"/>
      <c r="N1812" s="76"/>
      <c r="O1812" s="76"/>
      <c r="P1812" s="76"/>
      <c r="Q1812" s="76"/>
      <c r="R1812" s="76"/>
      <c r="S1812" s="76"/>
      <c r="T1812" s="76"/>
      <c r="U1812" s="76"/>
      <c r="V1812" s="76"/>
      <c r="W1812" s="76"/>
      <c r="X1812" s="76"/>
      <c r="Y1812" s="76"/>
      <c r="Z1812" s="76"/>
      <c r="AA1812" s="76"/>
      <c r="AB1812" s="76"/>
      <c r="AC1812" s="76"/>
      <c r="AD1812" s="76"/>
      <c r="AE1812" s="76"/>
      <c r="AF1812" s="76"/>
      <c r="AG1812" s="76"/>
      <c r="AH1812" s="76"/>
      <c r="AI1812" s="76">
        <v>1</v>
      </c>
      <c r="AJ1812" s="76">
        <v>1</v>
      </c>
      <c r="AK1812" s="73"/>
      <c r="AL1812" s="57"/>
      <c r="AM1812" s="45"/>
      <c r="AN1812" s="45"/>
      <c r="AO1812" s="45"/>
    </row>
    <row r="1813" spans="1:41" hidden="1" outlineLevel="3" x14ac:dyDescent="0.25">
      <c r="A1813" s="45"/>
      <c r="B1813" s="54"/>
      <c r="C1813" s="47"/>
      <c r="D1813" s="73"/>
      <c r="E1813" s="70"/>
      <c r="F1813" s="70" t="s">
        <v>3539</v>
      </c>
      <c r="G1813" s="73"/>
      <c r="H1813" s="76"/>
      <c r="I1813" s="76"/>
      <c r="J1813" s="76"/>
      <c r="K1813" s="76"/>
      <c r="L1813" s="76"/>
      <c r="M1813" s="76"/>
      <c r="N1813" s="76"/>
      <c r="O1813" s="76"/>
      <c r="P1813" s="76"/>
      <c r="Q1813" s="76"/>
      <c r="R1813" s="76"/>
      <c r="S1813" s="76"/>
      <c r="T1813" s="76"/>
      <c r="U1813" s="76"/>
      <c r="V1813" s="76"/>
      <c r="W1813" s="76"/>
      <c r="X1813" s="76"/>
      <c r="Y1813" s="76"/>
      <c r="Z1813" s="76"/>
      <c r="AA1813" s="76"/>
      <c r="AB1813" s="76"/>
      <c r="AC1813" s="76"/>
      <c r="AD1813" s="76"/>
      <c r="AE1813" s="76"/>
      <c r="AF1813" s="76"/>
      <c r="AG1813" s="76"/>
      <c r="AH1813" s="76"/>
      <c r="AI1813" s="76">
        <v>1</v>
      </c>
      <c r="AJ1813" s="76">
        <v>1</v>
      </c>
      <c r="AK1813" s="73"/>
      <c r="AL1813" s="57"/>
      <c r="AM1813" s="45"/>
      <c r="AN1813" s="45"/>
      <c r="AO1813" s="45"/>
    </row>
    <row r="1814" spans="1:41" hidden="1" outlineLevel="3" x14ac:dyDescent="0.25">
      <c r="A1814" s="45"/>
      <c r="B1814" s="54"/>
      <c r="C1814" s="47"/>
      <c r="D1814" s="73"/>
      <c r="E1814" s="70"/>
      <c r="F1814" s="70" t="s">
        <v>3540</v>
      </c>
      <c r="G1814" s="73"/>
      <c r="H1814" s="76"/>
      <c r="I1814" s="76"/>
      <c r="J1814" s="76"/>
      <c r="K1814" s="76"/>
      <c r="L1814" s="76"/>
      <c r="M1814" s="76"/>
      <c r="N1814" s="76"/>
      <c r="O1814" s="76"/>
      <c r="P1814" s="76"/>
      <c r="Q1814" s="76"/>
      <c r="R1814" s="76"/>
      <c r="S1814" s="76"/>
      <c r="T1814" s="76"/>
      <c r="U1814" s="76"/>
      <c r="V1814" s="76"/>
      <c r="W1814" s="76"/>
      <c r="X1814" s="76"/>
      <c r="Y1814" s="76"/>
      <c r="Z1814" s="76"/>
      <c r="AA1814" s="76"/>
      <c r="AB1814" s="76"/>
      <c r="AC1814" s="76"/>
      <c r="AD1814" s="76"/>
      <c r="AE1814" s="76"/>
      <c r="AF1814" s="76"/>
      <c r="AG1814" s="76"/>
      <c r="AH1814" s="76"/>
      <c r="AI1814" s="76">
        <v>1</v>
      </c>
      <c r="AJ1814" s="76">
        <v>1</v>
      </c>
      <c r="AK1814" s="73"/>
      <c r="AL1814" s="57"/>
      <c r="AM1814" s="45"/>
      <c r="AN1814" s="45"/>
      <c r="AO1814" s="45"/>
    </row>
    <row r="1815" spans="1:41" hidden="1" outlineLevel="3" x14ac:dyDescent="0.25">
      <c r="A1815" s="45"/>
      <c r="B1815" s="54"/>
      <c r="C1815" s="47">
        <f t="shared" ref="C1815:C1826" si="645">INT($C$29)+3</f>
        <v>4</v>
      </c>
      <c r="D1815" s="73"/>
      <c r="E1815" s="70"/>
      <c r="F1815" s="70" t="str">
        <f>SUBSTITUTE(F1811,",4)",",8)")</f>
        <v>C(U6,4,8)</v>
      </c>
      <c r="G1815" s="73"/>
      <c r="H1815" s="76"/>
      <c r="I1815" s="96"/>
      <c r="J1815" s="76"/>
      <c r="K1815" s="76"/>
      <c r="L1815" s="76"/>
      <c r="M1815" s="76"/>
      <c r="N1815" s="76"/>
      <c r="O1815" s="76"/>
      <c r="P1815" s="76"/>
      <c r="Q1815" s="76"/>
      <c r="R1815" s="76"/>
      <c r="S1815" s="76"/>
      <c r="T1815" s="76"/>
      <c r="U1815" s="76"/>
      <c r="V1815" s="76"/>
      <c r="W1815" s="76"/>
      <c r="X1815" s="76"/>
      <c r="Y1815" s="76"/>
      <c r="Z1815" s="76"/>
      <c r="AA1815" s="76"/>
      <c r="AB1815" s="76"/>
      <c r="AC1815" s="76"/>
      <c r="AD1815" s="76"/>
      <c r="AE1815" s="76"/>
      <c r="AF1815" s="76"/>
      <c r="AG1815" s="76"/>
      <c r="AH1815" s="76"/>
      <c r="AI1815" s="76">
        <v>1</v>
      </c>
      <c r="AJ1815" s="76">
        <v>1</v>
      </c>
      <c r="AK1815" s="73"/>
      <c r="AL1815" s="57"/>
      <c r="AM1815" s="45"/>
      <c r="AN1815" s="45"/>
      <c r="AO1815" s="45"/>
    </row>
    <row r="1816" spans="1:41" hidden="1" outlineLevel="3" x14ac:dyDescent="0.25">
      <c r="A1816" s="45"/>
      <c r="B1816" s="54"/>
      <c r="C1816" s="47">
        <f t="shared" si="645"/>
        <v>4</v>
      </c>
      <c r="D1816" s="73"/>
      <c r="E1816" s="70"/>
      <c r="F1816" s="70" t="str">
        <f>SUBSTITUTE(F1812,",5)",",9)")</f>
        <v>C(U6,4,9)</v>
      </c>
      <c r="G1816" s="73"/>
      <c r="H1816" s="76"/>
      <c r="I1816" s="96"/>
      <c r="J1816" s="76"/>
      <c r="K1816" s="76"/>
      <c r="L1816" s="76"/>
      <c r="M1816" s="76"/>
      <c r="N1816" s="76"/>
      <c r="O1816" s="76"/>
      <c r="P1816" s="76"/>
      <c r="Q1816" s="76"/>
      <c r="R1816" s="76"/>
      <c r="S1816" s="76"/>
      <c r="T1816" s="76"/>
      <c r="U1816" s="76"/>
      <c r="V1816" s="76"/>
      <c r="W1816" s="76"/>
      <c r="X1816" s="76"/>
      <c r="Y1816" s="76"/>
      <c r="Z1816" s="76"/>
      <c r="AA1816" s="76"/>
      <c r="AB1816" s="76"/>
      <c r="AC1816" s="76"/>
      <c r="AD1816" s="76"/>
      <c r="AE1816" s="76"/>
      <c r="AF1816" s="76"/>
      <c r="AG1816" s="76"/>
      <c r="AH1816" s="76"/>
      <c r="AI1816" s="76">
        <v>1</v>
      </c>
      <c r="AJ1816" s="76">
        <v>1</v>
      </c>
      <c r="AK1816" s="73"/>
      <c r="AL1816" s="57"/>
      <c r="AM1816" s="45"/>
      <c r="AN1816" s="45"/>
      <c r="AO1816" s="45"/>
    </row>
    <row r="1817" spans="1:41" hidden="1" outlineLevel="3" x14ac:dyDescent="0.25">
      <c r="A1817" s="45"/>
      <c r="B1817" s="54"/>
      <c r="C1817" s="47">
        <f t="shared" si="645"/>
        <v>4</v>
      </c>
      <c r="D1817" s="73"/>
      <c r="E1817" s="70"/>
      <c r="F1817" s="70" t="str">
        <f>SUBSTITUTE(F1813,",6)",",10)")</f>
        <v>C(U6,4,10)</v>
      </c>
      <c r="G1817" s="73"/>
      <c r="H1817" s="76"/>
      <c r="I1817" s="96"/>
      <c r="J1817" s="76"/>
      <c r="K1817" s="76"/>
      <c r="L1817" s="76"/>
      <c r="M1817" s="76"/>
      <c r="N1817" s="76"/>
      <c r="O1817" s="76"/>
      <c r="P1817" s="76"/>
      <c r="Q1817" s="76"/>
      <c r="R1817" s="76"/>
      <c r="S1817" s="76"/>
      <c r="T1817" s="76"/>
      <c r="U1817" s="76"/>
      <c r="V1817" s="76"/>
      <c r="W1817" s="76"/>
      <c r="X1817" s="76"/>
      <c r="Y1817" s="76"/>
      <c r="Z1817" s="76"/>
      <c r="AA1817" s="76"/>
      <c r="AB1817" s="76"/>
      <c r="AC1817" s="76"/>
      <c r="AD1817" s="76"/>
      <c r="AE1817" s="76"/>
      <c r="AF1817" s="76"/>
      <c r="AG1817" s="76"/>
      <c r="AH1817" s="76"/>
      <c r="AI1817" s="76">
        <v>1</v>
      </c>
      <c r="AJ1817" s="76">
        <v>1</v>
      </c>
      <c r="AK1817" s="73"/>
      <c r="AL1817" s="57"/>
      <c r="AM1817" s="45"/>
      <c r="AN1817" s="45"/>
      <c r="AO1817" s="45"/>
    </row>
    <row r="1818" spans="1:41" hidden="1" outlineLevel="3" x14ac:dyDescent="0.25">
      <c r="A1818" s="45"/>
      <c r="B1818" s="54"/>
      <c r="C1818" s="47">
        <f t="shared" si="645"/>
        <v>4</v>
      </c>
      <c r="D1818" s="73"/>
      <c r="E1818" s="70"/>
      <c r="F1818" s="70" t="str">
        <f>SUBSTITUTE(F1814,",7)",",11)")</f>
        <v>C(U6,4,11)</v>
      </c>
      <c r="G1818" s="73"/>
      <c r="H1818" s="76"/>
      <c r="I1818" s="96"/>
      <c r="J1818" s="76"/>
      <c r="K1818" s="76"/>
      <c r="L1818" s="76"/>
      <c r="M1818" s="76"/>
      <c r="N1818" s="76"/>
      <c r="O1818" s="76"/>
      <c r="P1818" s="76"/>
      <c r="Q1818" s="76"/>
      <c r="R1818" s="76"/>
      <c r="S1818" s="76"/>
      <c r="T1818" s="76"/>
      <c r="U1818" s="76"/>
      <c r="V1818" s="76"/>
      <c r="W1818" s="76"/>
      <c r="X1818" s="76"/>
      <c r="Y1818" s="76"/>
      <c r="Z1818" s="76"/>
      <c r="AA1818" s="76"/>
      <c r="AB1818" s="76"/>
      <c r="AC1818" s="76"/>
      <c r="AD1818" s="76"/>
      <c r="AE1818" s="76"/>
      <c r="AF1818" s="76"/>
      <c r="AG1818" s="76"/>
      <c r="AH1818" s="76"/>
      <c r="AI1818" s="76">
        <v>1</v>
      </c>
      <c r="AJ1818" s="76">
        <v>1</v>
      </c>
      <c r="AK1818" s="73"/>
      <c r="AL1818" s="57"/>
      <c r="AM1818" s="45"/>
      <c r="AN1818" s="45"/>
      <c r="AO1818" s="45"/>
    </row>
    <row r="1819" spans="1:41" hidden="1" outlineLevel="3" x14ac:dyDescent="0.25">
      <c r="A1819" s="45"/>
      <c r="B1819" s="54"/>
      <c r="C1819" s="47">
        <f t="shared" si="645"/>
        <v>4</v>
      </c>
      <c r="D1819" s="73"/>
      <c r="E1819" s="70"/>
      <c r="F1819" s="70" t="str">
        <f>SUBSTITUTE(F1813,",6)",",12)")</f>
        <v>C(U6,4,12)</v>
      </c>
      <c r="G1819" s="73"/>
      <c r="H1819" s="76"/>
      <c r="I1819" s="96"/>
      <c r="J1819" s="76"/>
      <c r="K1819" s="76"/>
      <c r="L1819" s="76"/>
      <c r="M1819" s="76"/>
      <c r="N1819" s="76"/>
      <c r="O1819" s="76"/>
      <c r="P1819" s="76"/>
      <c r="Q1819" s="76"/>
      <c r="R1819" s="76"/>
      <c r="S1819" s="76"/>
      <c r="T1819" s="76"/>
      <c r="U1819" s="76"/>
      <c r="V1819" s="76"/>
      <c r="W1819" s="76"/>
      <c r="X1819" s="76"/>
      <c r="Y1819" s="76"/>
      <c r="Z1819" s="76"/>
      <c r="AA1819" s="76"/>
      <c r="AB1819" s="76"/>
      <c r="AC1819" s="76"/>
      <c r="AD1819" s="76"/>
      <c r="AE1819" s="76"/>
      <c r="AF1819" s="76"/>
      <c r="AG1819" s="76"/>
      <c r="AH1819" s="76"/>
      <c r="AI1819" s="76">
        <v>1</v>
      </c>
      <c r="AJ1819" s="76">
        <v>1</v>
      </c>
      <c r="AK1819" s="73"/>
      <c r="AL1819" s="57"/>
      <c r="AM1819" s="45"/>
      <c r="AN1819" s="45"/>
      <c r="AO1819" s="45"/>
    </row>
    <row r="1820" spans="1:41" hidden="1" outlineLevel="3" x14ac:dyDescent="0.25">
      <c r="A1820" s="45"/>
      <c r="B1820" s="54"/>
      <c r="C1820" s="47">
        <f t="shared" si="645"/>
        <v>4</v>
      </c>
      <c r="D1820" s="73"/>
      <c r="E1820" s="70"/>
      <c r="F1820" s="70" t="str">
        <f>SUBSTITUTE(F1814,",7)",",13)")</f>
        <v>C(U6,4,13)</v>
      </c>
      <c r="G1820" s="73"/>
      <c r="H1820" s="76"/>
      <c r="I1820" s="96"/>
      <c r="J1820" s="76"/>
      <c r="K1820" s="76"/>
      <c r="L1820" s="76"/>
      <c r="M1820" s="76"/>
      <c r="N1820" s="76"/>
      <c r="O1820" s="76"/>
      <c r="P1820" s="76"/>
      <c r="Q1820" s="76"/>
      <c r="R1820" s="76"/>
      <c r="S1820" s="76"/>
      <c r="T1820" s="76"/>
      <c r="U1820" s="76"/>
      <c r="V1820" s="76"/>
      <c r="W1820" s="76"/>
      <c r="X1820" s="76"/>
      <c r="Y1820" s="76"/>
      <c r="Z1820" s="76"/>
      <c r="AA1820" s="76"/>
      <c r="AB1820" s="76"/>
      <c r="AC1820" s="76"/>
      <c r="AD1820" s="76"/>
      <c r="AE1820" s="76"/>
      <c r="AF1820" s="76"/>
      <c r="AG1820" s="76"/>
      <c r="AH1820" s="76"/>
      <c r="AI1820" s="76">
        <v>1</v>
      </c>
      <c r="AJ1820" s="76">
        <v>1</v>
      </c>
      <c r="AK1820" s="73"/>
      <c r="AL1820" s="57"/>
      <c r="AM1820" s="45"/>
      <c r="AN1820" s="45"/>
      <c r="AO1820" s="45"/>
    </row>
    <row r="1821" spans="1:41" hidden="1" outlineLevel="3" x14ac:dyDescent="0.25">
      <c r="A1821" s="45"/>
      <c r="B1821" s="54"/>
      <c r="C1821" s="47">
        <f t="shared" si="645"/>
        <v>4</v>
      </c>
      <c r="D1821" s="73"/>
      <c r="E1821" s="70"/>
      <c r="F1821" s="70" t="s">
        <v>3541</v>
      </c>
      <c r="G1821" s="73"/>
      <c r="H1821" s="76"/>
      <c r="I1821" s="76"/>
      <c r="J1821" s="76"/>
      <c r="K1821" s="76"/>
      <c r="L1821" s="76"/>
      <c r="M1821" s="76"/>
      <c r="N1821" s="76"/>
      <c r="O1821" s="76"/>
      <c r="P1821" s="76"/>
      <c r="Q1821" s="76"/>
      <c r="R1821" s="76"/>
      <c r="S1821" s="76"/>
      <c r="T1821" s="76"/>
      <c r="U1821" s="76"/>
      <c r="V1821" s="76"/>
      <c r="W1821" s="76"/>
      <c r="X1821" s="76"/>
      <c r="Y1821" s="76"/>
      <c r="Z1821" s="76"/>
      <c r="AA1821" s="76"/>
      <c r="AB1821" s="76"/>
      <c r="AC1821" s="76"/>
      <c r="AD1821" s="76"/>
      <c r="AE1821" s="76"/>
      <c r="AF1821" s="76"/>
      <c r="AG1821" s="76"/>
      <c r="AH1821" s="76"/>
      <c r="AI1821" s="76">
        <v>1</v>
      </c>
      <c r="AJ1821" s="76">
        <v>1</v>
      </c>
      <c r="AK1821" s="73"/>
      <c r="AL1821" s="57"/>
      <c r="AM1821" s="45"/>
      <c r="AN1821" s="45"/>
      <c r="AO1821" s="45"/>
    </row>
    <row r="1822" spans="1:41" hidden="1" outlineLevel="3" x14ac:dyDescent="0.25">
      <c r="A1822" s="45"/>
      <c r="B1822" s="54"/>
      <c r="C1822" s="47">
        <f t="shared" si="645"/>
        <v>4</v>
      </c>
      <c r="D1822" s="73"/>
      <c r="E1822" s="70"/>
      <c r="F1822" s="70" t="s">
        <v>3542</v>
      </c>
      <c r="G1822" s="73"/>
      <c r="H1822" s="76" t="s">
        <v>599</v>
      </c>
      <c r="I1822" s="76"/>
      <c r="J1822" s="76"/>
      <c r="K1822" s="76"/>
      <c r="L1822" s="76"/>
      <c r="M1822" s="76"/>
      <c r="N1822" s="76"/>
      <c r="O1822" s="76"/>
      <c r="P1822" s="76"/>
      <c r="Q1822" s="76"/>
      <c r="R1822" s="76"/>
      <c r="S1822" s="76"/>
      <c r="T1822" s="76"/>
      <c r="U1822" s="76"/>
      <c r="V1822" s="76"/>
      <c r="W1822" s="76"/>
      <c r="X1822" s="76"/>
      <c r="Y1822" s="76"/>
      <c r="Z1822" s="76"/>
      <c r="AA1822" s="76"/>
      <c r="AB1822" s="76"/>
      <c r="AC1822" s="76"/>
      <c r="AD1822" s="76"/>
      <c r="AE1822" s="76"/>
      <c r="AF1822" s="76"/>
      <c r="AG1822" s="76"/>
      <c r="AH1822" s="76"/>
      <c r="AI1822" s="76">
        <v>1</v>
      </c>
      <c r="AJ1822" s="76">
        <v>1</v>
      </c>
      <c r="AK1822" s="73"/>
      <c r="AL1822" s="57"/>
      <c r="AM1822" s="45"/>
      <c r="AN1822" s="45"/>
      <c r="AO1822" s="45"/>
    </row>
    <row r="1823" spans="1:41" hidden="1" outlineLevel="3" x14ac:dyDescent="0.25">
      <c r="A1823" s="45"/>
      <c r="B1823" s="54"/>
      <c r="C1823" s="47">
        <f t="shared" si="645"/>
        <v>4</v>
      </c>
      <c r="D1823" s="73"/>
      <c r="E1823" s="70"/>
      <c r="F1823" s="70" t="s">
        <v>3543</v>
      </c>
      <c r="G1823" s="73"/>
      <c r="H1823" s="76"/>
      <c r="I1823" s="76"/>
      <c r="J1823" s="76"/>
      <c r="K1823" s="76"/>
      <c r="L1823" s="76"/>
      <c r="M1823" s="76"/>
      <c r="N1823" s="76"/>
      <c r="O1823" s="76"/>
      <c r="P1823" s="76"/>
      <c r="Q1823" s="76"/>
      <c r="R1823" s="76"/>
      <c r="S1823" s="76"/>
      <c r="T1823" s="76"/>
      <c r="U1823" s="76"/>
      <c r="V1823" s="76"/>
      <c r="W1823" s="76"/>
      <c r="X1823" s="76"/>
      <c r="Y1823" s="76"/>
      <c r="Z1823" s="76"/>
      <c r="AA1823" s="76"/>
      <c r="AB1823" s="76"/>
      <c r="AC1823" s="76"/>
      <c r="AD1823" s="76"/>
      <c r="AE1823" s="76"/>
      <c r="AF1823" s="76"/>
      <c r="AG1823" s="76"/>
      <c r="AH1823" s="76"/>
      <c r="AI1823" s="76">
        <v>1</v>
      </c>
      <c r="AJ1823" s="76">
        <v>1</v>
      </c>
      <c r="AK1823" s="73"/>
      <c r="AL1823" s="57"/>
      <c r="AM1823" s="45"/>
      <c r="AN1823" s="45"/>
      <c r="AO1823" s="45"/>
    </row>
    <row r="1824" spans="1:41" hidden="1" outlineLevel="3" x14ac:dyDescent="0.25">
      <c r="A1824" s="45"/>
      <c r="B1824" s="54"/>
      <c r="C1824" s="47">
        <f t="shared" si="645"/>
        <v>4</v>
      </c>
      <c r="D1824" s="73"/>
      <c r="E1824" s="70"/>
      <c r="F1824" s="70" t="s">
        <v>3544</v>
      </c>
      <c r="G1824" s="73"/>
      <c r="H1824" s="76"/>
      <c r="I1824" s="76"/>
      <c r="J1824" s="76"/>
      <c r="K1824" s="76"/>
      <c r="L1824" s="76"/>
      <c r="M1824" s="76"/>
      <c r="N1824" s="76"/>
      <c r="O1824" s="76"/>
      <c r="P1824" s="76"/>
      <c r="Q1824" s="76"/>
      <c r="R1824" s="76"/>
      <c r="S1824" s="76"/>
      <c r="T1824" s="76"/>
      <c r="U1824" s="76"/>
      <c r="V1824" s="76"/>
      <c r="W1824" s="76"/>
      <c r="X1824" s="76"/>
      <c r="Y1824" s="76"/>
      <c r="Z1824" s="76"/>
      <c r="AA1824" s="76"/>
      <c r="AB1824" s="76"/>
      <c r="AC1824" s="76"/>
      <c r="AD1824" s="76"/>
      <c r="AE1824" s="76"/>
      <c r="AF1824" s="76"/>
      <c r="AG1824" s="76"/>
      <c r="AH1824" s="76"/>
      <c r="AI1824" s="76">
        <v>1</v>
      </c>
      <c r="AJ1824" s="76">
        <v>1</v>
      </c>
      <c r="AK1824" s="73"/>
      <c r="AL1824" s="57"/>
      <c r="AM1824" s="45"/>
      <c r="AN1824" s="45"/>
      <c r="AO1824" s="45"/>
    </row>
    <row r="1825" spans="1:41" hidden="1" outlineLevel="3" x14ac:dyDescent="0.25">
      <c r="A1825" s="45"/>
      <c r="B1825" s="54"/>
      <c r="C1825" s="47">
        <f t="shared" si="645"/>
        <v>4</v>
      </c>
      <c r="D1825" s="73"/>
      <c r="E1825" s="70"/>
      <c r="F1825" s="70" t="s">
        <v>3545</v>
      </c>
      <c r="G1825" s="73"/>
      <c r="H1825" s="76"/>
      <c r="I1825" s="76"/>
      <c r="J1825" s="76"/>
      <c r="K1825" s="76"/>
      <c r="L1825" s="76"/>
      <c r="M1825" s="76"/>
      <c r="N1825" s="76"/>
      <c r="O1825" s="76"/>
      <c r="P1825" s="76"/>
      <c r="Q1825" s="76"/>
      <c r="R1825" s="76"/>
      <c r="S1825" s="76"/>
      <c r="T1825" s="76"/>
      <c r="U1825" s="76"/>
      <c r="V1825" s="76"/>
      <c r="W1825" s="76"/>
      <c r="X1825" s="76"/>
      <c r="Y1825" s="76"/>
      <c r="Z1825" s="76"/>
      <c r="AA1825" s="76"/>
      <c r="AB1825" s="76"/>
      <c r="AC1825" s="76"/>
      <c r="AD1825" s="76"/>
      <c r="AE1825" s="76"/>
      <c r="AF1825" s="76"/>
      <c r="AG1825" s="76"/>
      <c r="AH1825" s="76"/>
      <c r="AI1825" s="76">
        <v>1</v>
      </c>
      <c r="AJ1825" s="76">
        <v>1</v>
      </c>
      <c r="AK1825" s="73"/>
      <c r="AL1825" s="57"/>
      <c r="AM1825" s="45"/>
      <c r="AN1825" s="45"/>
      <c r="AO1825" s="45"/>
    </row>
    <row r="1826" spans="1:41" hidden="1" outlineLevel="3" x14ac:dyDescent="0.25">
      <c r="A1826" s="45"/>
      <c r="B1826" s="54"/>
      <c r="C1826" s="47">
        <f t="shared" si="645"/>
        <v>4</v>
      </c>
      <c r="D1826" s="73"/>
      <c r="E1826" s="70"/>
      <c r="F1826" s="70" t="s">
        <v>3546</v>
      </c>
      <c r="G1826" s="73"/>
      <c r="H1826" s="76"/>
      <c r="I1826" s="76"/>
      <c r="J1826" s="76"/>
      <c r="K1826" s="76"/>
      <c r="L1826" s="76"/>
      <c r="M1826" s="76"/>
      <c r="N1826" s="76"/>
      <c r="O1826" s="76"/>
      <c r="P1826" s="76"/>
      <c r="Q1826" s="76"/>
      <c r="R1826" s="76"/>
      <c r="S1826" s="76"/>
      <c r="T1826" s="76"/>
      <c r="U1826" s="76"/>
      <c r="V1826" s="76"/>
      <c r="W1826" s="76"/>
      <c r="X1826" s="76"/>
      <c r="Y1826" s="76"/>
      <c r="Z1826" s="76"/>
      <c r="AA1826" s="76"/>
      <c r="AB1826" s="76"/>
      <c r="AC1826" s="76"/>
      <c r="AD1826" s="76"/>
      <c r="AE1826" s="76"/>
      <c r="AF1826" s="76"/>
      <c r="AG1826" s="76"/>
      <c r="AH1826" s="76"/>
      <c r="AI1826" s="76">
        <v>1</v>
      </c>
      <c r="AJ1826" s="76">
        <v>1</v>
      </c>
      <c r="AK1826" s="73"/>
      <c r="AL1826" s="57"/>
      <c r="AM1826" s="45"/>
      <c r="AN1826" s="45"/>
      <c r="AO1826" s="45"/>
    </row>
    <row r="1827" spans="1:41" hidden="1" outlineLevel="3" x14ac:dyDescent="0.25">
      <c r="A1827" s="45"/>
      <c r="B1827" s="54"/>
      <c r="C1827" s="47"/>
      <c r="D1827" s="73"/>
      <c r="E1827" s="70"/>
      <c r="F1827" s="70" t="s">
        <v>3547</v>
      </c>
      <c r="G1827" s="73"/>
      <c r="H1827" s="76"/>
      <c r="I1827" s="76"/>
      <c r="J1827" s="76"/>
      <c r="K1827" s="76"/>
      <c r="L1827" s="76"/>
      <c r="M1827" s="76"/>
      <c r="N1827" s="76"/>
      <c r="O1827" s="76"/>
      <c r="P1827" s="76"/>
      <c r="Q1827" s="76"/>
      <c r="R1827" s="76"/>
      <c r="S1827" s="76"/>
      <c r="T1827" s="76"/>
      <c r="U1827" s="76"/>
      <c r="V1827" s="76"/>
      <c r="W1827" s="76"/>
      <c r="X1827" s="76"/>
      <c r="Y1827" s="76"/>
      <c r="Z1827" s="76"/>
      <c r="AA1827" s="76"/>
      <c r="AB1827" s="76"/>
      <c r="AC1827" s="76"/>
      <c r="AD1827" s="76"/>
      <c r="AE1827" s="76"/>
      <c r="AF1827" s="76"/>
      <c r="AG1827" s="76"/>
      <c r="AH1827" s="76"/>
      <c r="AI1827" s="76">
        <v>1</v>
      </c>
      <c r="AJ1827" s="76">
        <v>1</v>
      </c>
      <c r="AK1827" s="73"/>
      <c r="AL1827" s="57"/>
      <c r="AM1827" s="45"/>
      <c r="AN1827" s="45"/>
      <c r="AO1827" s="45"/>
    </row>
    <row r="1828" spans="1:41" hidden="1" outlineLevel="3" x14ac:dyDescent="0.25">
      <c r="A1828" s="45"/>
      <c r="B1828" s="54"/>
      <c r="C1828" s="47"/>
      <c r="D1828" s="73"/>
      <c r="E1828" s="70"/>
      <c r="F1828" s="70" t="s">
        <v>3548</v>
      </c>
      <c r="G1828" s="73"/>
      <c r="H1828" s="76"/>
      <c r="I1828" s="76"/>
      <c r="J1828" s="76"/>
      <c r="K1828" s="76"/>
      <c r="L1828" s="76"/>
      <c r="M1828" s="76"/>
      <c r="N1828" s="76"/>
      <c r="O1828" s="76"/>
      <c r="P1828" s="76"/>
      <c r="Q1828" s="76"/>
      <c r="R1828" s="76"/>
      <c r="S1828" s="76"/>
      <c r="T1828" s="76"/>
      <c r="U1828" s="76"/>
      <c r="V1828" s="76"/>
      <c r="W1828" s="76"/>
      <c r="X1828" s="76"/>
      <c r="Y1828" s="76"/>
      <c r="Z1828" s="76"/>
      <c r="AA1828" s="76"/>
      <c r="AB1828" s="76"/>
      <c r="AC1828" s="76"/>
      <c r="AD1828" s="76"/>
      <c r="AE1828" s="76"/>
      <c r="AF1828" s="76"/>
      <c r="AG1828" s="76"/>
      <c r="AH1828" s="76"/>
      <c r="AI1828" s="76">
        <v>1</v>
      </c>
      <c r="AJ1828" s="76">
        <v>1</v>
      </c>
      <c r="AK1828" s="73"/>
      <c r="AL1828" s="57"/>
      <c r="AM1828" s="45"/>
      <c r="AN1828" s="45"/>
      <c r="AO1828" s="45"/>
    </row>
    <row r="1829" spans="1:41" hidden="1" outlineLevel="3" x14ac:dyDescent="0.25">
      <c r="A1829" s="45"/>
      <c r="B1829" s="54"/>
      <c r="C1829" s="47"/>
      <c r="D1829" s="73"/>
      <c r="E1829" s="70"/>
      <c r="F1829" s="70" t="s">
        <v>3549</v>
      </c>
      <c r="G1829" s="73"/>
      <c r="H1829" s="76"/>
      <c r="I1829" s="76"/>
      <c r="J1829" s="76"/>
      <c r="K1829" s="76"/>
      <c r="L1829" s="76"/>
      <c r="M1829" s="76"/>
      <c r="N1829" s="76"/>
      <c r="O1829" s="76"/>
      <c r="P1829" s="76"/>
      <c r="Q1829" s="76"/>
      <c r="R1829" s="76"/>
      <c r="S1829" s="76"/>
      <c r="T1829" s="76"/>
      <c r="U1829" s="76"/>
      <c r="V1829" s="76"/>
      <c r="W1829" s="76"/>
      <c r="X1829" s="76"/>
      <c r="Y1829" s="76"/>
      <c r="Z1829" s="76"/>
      <c r="AA1829" s="76"/>
      <c r="AB1829" s="76"/>
      <c r="AC1829" s="76"/>
      <c r="AD1829" s="76"/>
      <c r="AE1829" s="76"/>
      <c r="AF1829" s="76"/>
      <c r="AG1829" s="76"/>
      <c r="AH1829" s="76"/>
      <c r="AI1829" s="76">
        <v>1</v>
      </c>
      <c r="AJ1829" s="76">
        <v>1</v>
      </c>
      <c r="AK1829" s="73"/>
      <c r="AL1829" s="57"/>
      <c r="AM1829" s="45"/>
      <c r="AN1829" s="45"/>
      <c r="AO1829" s="45"/>
    </row>
    <row r="1830" spans="1:41" hidden="1" outlineLevel="3" x14ac:dyDescent="0.25">
      <c r="A1830" s="45"/>
      <c r="B1830" s="54"/>
      <c r="C1830" s="47">
        <f t="shared" ref="C1830:C1841" si="646">INT($C$29)+3</f>
        <v>4</v>
      </c>
      <c r="D1830" s="73"/>
      <c r="E1830" s="70"/>
      <c r="F1830" s="70" t="str">
        <f>SUBSTITUTE(F1826,",4)",",8)")</f>
        <v>C(U6,5,8)</v>
      </c>
      <c r="G1830" s="73"/>
      <c r="H1830" s="76"/>
      <c r="I1830" s="96"/>
      <c r="J1830" s="76"/>
      <c r="K1830" s="76"/>
      <c r="L1830" s="76"/>
      <c r="M1830" s="76"/>
      <c r="N1830" s="76"/>
      <c r="O1830" s="76"/>
      <c r="P1830" s="76"/>
      <c r="Q1830" s="76"/>
      <c r="R1830" s="76"/>
      <c r="S1830" s="76"/>
      <c r="T1830" s="76"/>
      <c r="U1830" s="76"/>
      <c r="V1830" s="76"/>
      <c r="W1830" s="76"/>
      <c r="X1830" s="76"/>
      <c r="Y1830" s="76"/>
      <c r="Z1830" s="76"/>
      <c r="AA1830" s="76"/>
      <c r="AB1830" s="76"/>
      <c r="AC1830" s="76"/>
      <c r="AD1830" s="76"/>
      <c r="AE1830" s="76"/>
      <c r="AF1830" s="76"/>
      <c r="AG1830" s="76"/>
      <c r="AH1830" s="76"/>
      <c r="AI1830" s="76">
        <v>1</v>
      </c>
      <c r="AJ1830" s="76">
        <v>1</v>
      </c>
      <c r="AK1830" s="73"/>
      <c r="AL1830" s="57"/>
      <c r="AM1830" s="45"/>
      <c r="AN1830" s="45"/>
      <c r="AO1830" s="45"/>
    </row>
    <row r="1831" spans="1:41" hidden="1" outlineLevel="3" x14ac:dyDescent="0.25">
      <c r="A1831" s="45"/>
      <c r="B1831" s="54"/>
      <c r="C1831" s="47">
        <f t="shared" si="646"/>
        <v>4</v>
      </c>
      <c r="D1831" s="73"/>
      <c r="E1831" s="70"/>
      <c r="F1831" s="70" t="str">
        <f>SUBSTITUTE(F1827,",5)",",9)")</f>
        <v>C(U6,5,9)</v>
      </c>
      <c r="G1831" s="73"/>
      <c r="H1831" s="76"/>
      <c r="I1831" s="96"/>
      <c r="J1831" s="76"/>
      <c r="K1831" s="76"/>
      <c r="L1831" s="76"/>
      <c r="M1831" s="76"/>
      <c r="N1831" s="76"/>
      <c r="O1831" s="76"/>
      <c r="P1831" s="76"/>
      <c r="Q1831" s="76"/>
      <c r="R1831" s="76"/>
      <c r="S1831" s="76"/>
      <c r="T1831" s="76"/>
      <c r="U1831" s="76"/>
      <c r="V1831" s="76"/>
      <c r="W1831" s="76"/>
      <c r="X1831" s="76"/>
      <c r="Y1831" s="76"/>
      <c r="Z1831" s="76"/>
      <c r="AA1831" s="76"/>
      <c r="AB1831" s="76"/>
      <c r="AC1831" s="76"/>
      <c r="AD1831" s="76"/>
      <c r="AE1831" s="76"/>
      <c r="AF1831" s="76"/>
      <c r="AG1831" s="76"/>
      <c r="AH1831" s="76"/>
      <c r="AI1831" s="76">
        <v>1</v>
      </c>
      <c r="AJ1831" s="76">
        <v>1</v>
      </c>
      <c r="AK1831" s="73"/>
      <c r="AL1831" s="57"/>
      <c r="AM1831" s="45"/>
      <c r="AN1831" s="45"/>
      <c r="AO1831" s="45"/>
    </row>
    <row r="1832" spans="1:41" hidden="1" outlineLevel="3" x14ac:dyDescent="0.25">
      <c r="A1832" s="45"/>
      <c r="B1832" s="54"/>
      <c r="C1832" s="47">
        <f t="shared" si="646"/>
        <v>4</v>
      </c>
      <c r="D1832" s="73"/>
      <c r="E1832" s="70"/>
      <c r="F1832" s="70" t="str">
        <f>SUBSTITUTE(F1828,",6)",",10)")</f>
        <v>C(U6,5,10)</v>
      </c>
      <c r="G1832" s="73"/>
      <c r="H1832" s="76"/>
      <c r="I1832" s="96"/>
      <c r="J1832" s="76"/>
      <c r="K1832" s="76"/>
      <c r="L1832" s="76"/>
      <c r="M1832" s="76"/>
      <c r="N1832" s="76"/>
      <c r="O1832" s="76"/>
      <c r="P1832" s="76"/>
      <c r="Q1832" s="76"/>
      <c r="R1832" s="76"/>
      <c r="S1832" s="76"/>
      <c r="T1832" s="76"/>
      <c r="U1832" s="76"/>
      <c r="V1832" s="76"/>
      <c r="W1832" s="76"/>
      <c r="X1832" s="76"/>
      <c r="Y1832" s="76"/>
      <c r="Z1832" s="76"/>
      <c r="AA1832" s="76"/>
      <c r="AB1832" s="76"/>
      <c r="AC1832" s="76"/>
      <c r="AD1832" s="76"/>
      <c r="AE1832" s="76"/>
      <c r="AF1832" s="76"/>
      <c r="AG1832" s="76"/>
      <c r="AH1832" s="76"/>
      <c r="AI1832" s="76">
        <v>1</v>
      </c>
      <c r="AJ1832" s="76">
        <v>1</v>
      </c>
      <c r="AK1832" s="73"/>
      <c r="AL1832" s="57"/>
      <c r="AM1832" s="45"/>
      <c r="AN1832" s="45"/>
      <c r="AO1832" s="45"/>
    </row>
    <row r="1833" spans="1:41" hidden="1" outlineLevel="3" x14ac:dyDescent="0.25">
      <c r="A1833" s="45"/>
      <c r="B1833" s="54"/>
      <c r="C1833" s="47">
        <f t="shared" si="646"/>
        <v>4</v>
      </c>
      <c r="D1833" s="73"/>
      <c r="E1833" s="70"/>
      <c r="F1833" s="70" t="str">
        <f>SUBSTITUTE(F1829,",7)",",11)")</f>
        <v>C(U6,5,11)</v>
      </c>
      <c r="G1833" s="73"/>
      <c r="H1833" s="76"/>
      <c r="I1833" s="96"/>
      <c r="J1833" s="76"/>
      <c r="K1833" s="76"/>
      <c r="L1833" s="76"/>
      <c r="M1833" s="76"/>
      <c r="N1833" s="76"/>
      <c r="O1833" s="76"/>
      <c r="P1833" s="76"/>
      <c r="Q1833" s="76"/>
      <c r="R1833" s="76"/>
      <c r="S1833" s="76"/>
      <c r="T1833" s="76"/>
      <c r="U1833" s="76"/>
      <c r="V1833" s="76"/>
      <c r="W1833" s="76"/>
      <c r="X1833" s="76"/>
      <c r="Y1833" s="76"/>
      <c r="Z1833" s="76"/>
      <c r="AA1833" s="76"/>
      <c r="AB1833" s="76"/>
      <c r="AC1833" s="76"/>
      <c r="AD1833" s="76"/>
      <c r="AE1833" s="76"/>
      <c r="AF1833" s="76"/>
      <c r="AG1833" s="76"/>
      <c r="AH1833" s="76"/>
      <c r="AI1833" s="76">
        <v>1</v>
      </c>
      <c r="AJ1833" s="76">
        <v>1</v>
      </c>
      <c r="AK1833" s="73"/>
      <c r="AL1833" s="57"/>
      <c r="AM1833" s="45"/>
      <c r="AN1833" s="45"/>
      <c r="AO1833" s="45"/>
    </row>
    <row r="1834" spans="1:41" hidden="1" outlineLevel="3" x14ac:dyDescent="0.25">
      <c r="A1834" s="45"/>
      <c r="B1834" s="54"/>
      <c r="C1834" s="47">
        <f t="shared" si="646"/>
        <v>4</v>
      </c>
      <c r="D1834" s="73"/>
      <c r="E1834" s="70"/>
      <c r="F1834" s="70" t="str">
        <f>SUBSTITUTE(F1828,",6)",",12)")</f>
        <v>C(U6,5,12)</v>
      </c>
      <c r="G1834" s="73"/>
      <c r="H1834" s="76"/>
      <c r="I1834" s="96"/>
      <c r="J1834" s="76"/>
      <c r="K1834" s="76"/>
      <c r="L1834" s="76"/>
      <c r="M1834" s="76"/>
      <c r="N1834" s="76"/>
      <c r="O1834" s="76"/>
      <c r="P1834" s="76"/>
      <c r="Q1834" s="76"/>
      <c r="R1834" s="76"/>
      <c r="S1834" s="76"/>
      <c r="T1834" s="76"/>
      <c r="U1834" s="76"/>
      <c r="V1834" s="76"/>
      <c r="W1834" s="76"/>
      <c r="X1834" s="76"/>
      <c r="Y1834" s="76"/>
      <c r="Z1834" s="76"/>
      <c r="AA1834" s="76"/>
      <c r="AB1834" s="76"/>
      <c r="AC1834" s="76"/>
      <c r="AD1834" s="76"/>
      <c r="AE1834" s="76"/>
      <c r="AF1834" s="76"/>
      <c r="AG1834" s="76"/>
      <c r="AH1834" s="76"/>
      <c r="AI1834" s="76">
        <v>1</v>
      </c>
      <c r="AJ1834" s="76">
        <v>1</v>
      </c>
      <c r="AK1834" s="73"/>
      <c r="AL1834" s="57"/>
      <c r="AM1834" s="45"/>
      <c r="AN1834" s="45"/>
      <c r="AO1834" s="45"/>
    </row>
    <row r="1835" spans="1:41" hidden="1" outlineLevel="3" x14ac:dyDescent="0.25">
      <c r="A1835" s="45"/>
      <c r="B1835" s="54"/>
      <c r="C1835" s="47">
        <f t="shared" si="646"/>
        <v>4</v>
      </c>
      <c r="D1835" s="73"/>
      <c r="E1835" s="70"/>
      <c r="F1835" s="70" t="str">
        <f>SUBSTITUTE(F1829,",7)",",13)")</f>
        <v>C(U6,5,13)</v>
      </c>
      <c r="G1835" s="73"/>
      <c r="H1835" s="76"/>
      <c r="I1835" s="96"/>
      <c r="J1835" s="76"/>
      <c r="K1835" s="76"/>
      <c r="L1835" s="76"/>
      <c r="M1835" s="76"/>
      <c r="N1835" s="76"/>
      <c r="O1835" s="76"/>
      <c r="P1835" s="76"/>
      <c r="Q1835" s="76"/>
      <c r="R1835" s="76"/>
      <c r="S1835" s="76"/>
      <c r="T1835" s="76"/>
      <c r="U1835" s="76"/>
      <c r="V1835" s="76"/>
      <c r="W1835" s="76"/>
      <c r="X1835" s="76"/>
      <c r="Y1835" s="76"/>
      <c r="Z1835" s="76"/>
      <c r="AA1835" s="76"/>
      <c r="AB1835" s="76"/>
      <c r="AC1835" s="76"/>
      <c r="AD1835" s="76"/>
      <c r="AE1835" s="76"/>
      <c r="AF1835" s="76"/>
      <c r="AG1835" s="76"/>
      <c r="AH1835" s="76"/>
      <c r="AI1835" s="76">
        <v>1</v>
      </c>
      <c r="AJ1835" s="76">
        <v>1</v>
      </c>
      <c r="AK1835" s="73"/>
      <c r="AL1835" s="57"/>
      <c r="AM1835" s="45"/>
      <c r="AN1835" s="45"/>
      <c r="AO1835" s="45"/>
    </row>
    <row r="1836" spans="1:41" hidden="1" outlineLevel="3" x14ac:dyDescent="0.25">
      <c r="A1836" s="45"/>
      <c r="B1836" s="54"/>
      <c r="C1836" s="47">
        <f t="shared" si="646"/>
        <v>4</v>
      </c>
      <c r="D1836" s="73"/>
      <c r="E1836" s="70"/>
      <c r="F1836" s="70" t="s">
        <v>3550</v>
      </c>
      <c r="G1836" s="73"/>
      <c r="H1836" s="76"/>
      <c r="I1836" s="76"/>
      <c r="J1836" s="76"/>
      <c r="K1836" s="76"/>
      <c r="L1836" s="76"/>
      <c r="M1836" s="76"/>
      <c r="N1836" s="76"/>
      <c r="O1836" s="76"/>
      <c r="P1836" s="76"/>
      <c r="Q1836" s="76"/>
      <c r="R1836" s="76"/>
      <c r="S1836" s="76"/>
      <c r="T1836" s="76"/>
      <c r="U1836" s="76"/>
      <c r="V1836" s="76"/>
      <c r="W1836" s="76"/>
      <c r="X1836" s="76"/>
      <c r="Y1836" s="76"/>
      <c r="Z1836" s="76"/>
      <c r="AA1836" s="76"/>
      <c r="AB1836" s="76"/>
      <c r="AC1836" s="76"/>
      <c r="AD1836" s="76"/>
      <c r="AE1836" s="76"/>
      <c r="AF1836" s="76"/>
      <c r="AG1836" s="76"/>
      <c r="AH1836" s="76"/>
      <c r="AI1836" s="76">
        <v>1</v>
      </c>
      <c r="AJ1836" s="76">
        <v>1</v>
      </c>
      <c r="AK1836" s="73"/>
      <c r="AL1836" s="57"/>
      <c r="AM1836" s="45"/>
      <c r="AN1836" s="45"/>
      <c r="AO1836" s="45"/>
    </row>
    <row r="1837" spans="1:41" hidden="1" outlineLevel="3" x14ac:dyDescent="0.25">
      <c r="A1837" s="45"/>
      <c r="B1837" s="54"/>
      <c r="C1837" s="47">
        <f t="shared" si="646"/>
        <v>4</v>
      </c>
      <c r="D1837" s="73"/>
      <c r="E1837" s="70"/>
      <c r="F1837" s="70" t="s">
        <v>3551</v>
      </c>
      <c r="G1837" s="73"/>
      <c r="H1837" s="76" t="s">
        <v>599</v>
      </c>
      <c r="I1837" s="76"/>
      <c r="J1837" s="76"/>
      <c r="K1837" s="76"/>
      <c r="L1837" s="76"/>
      <c r="M1837" s="76"/>
      <c r="N1837" s="76"/>
      <c r="O1837" s="76"/>
      <c r="P1837" s="76"/>
      <c r="Q1837" s="76"/>
      <c r="R1837" s="76"/>
      <c r="S1837" s="76"/>
      <c r="T1837" s="76"/>
      <c r="U1837" s="76"/>
      <c r="V1837" s="76"/>
      <c r="W1837" s="76"/>
      <c r="X1837" s="76"/>
      <c r="Y1837" s="76"/>
      <c r="Z1837" s="76"/>
      <c r="AA1837" s="76"/>
      <c r="AB1837" s="76"/>
      <c r="AC1837" s="76"/>
      <c r="AD1837" s="76"/>
      <c r="AE1837" s="76"/>
      <c r="AF1837" s="76"/>
      <c r="AG1837" s="76"/>
      <c r="AH1837" s="76"/>
      <c r="AI1837" s="76">
        <v>1</v>
      </c>
      <c r="AJ1837" s="76">
        <v>1</v>
      </c>
      <c r="AK1837" s="73"/>
      <c r="AL1837" s="57"/>
      <c r="AM1837" s="45"/>
      <c r="AN1837" s="45"/>
      <c r="AO1837" s="45"/>
    </row>
    <row r="1838" spans="1:41" hidden="1" outlineLevel="3" x14ac:dyDescent="0.25">
      <c r="A1838" s="45"/>
      <c r="B1838" s="54"/>
      <c r="C1838" s="47">
        <f t="shared" si="646"/>
        <v>4</v>
      </c>
      <c r="D1838" s="73"/>
      <c r="E1838" s="70"/>
      <c r="F1838" s="70" t="s">
        <v>3552</v>
      </c>
      <c r="G1838" s="73"/>
      <c r="H1838" s="76"/>
      <c r="I1838" s="76"/>
      <c r="J1838" s="76"/>
      <c r="K1838" s="76"/>
      <c r="L1838" s="76"/>
      <c r="M1838" s="76"/>
      <c r="N1838" s="76"/>
      <c r="O1838" s="76"/>
      <c r="P1838" s="76"/>
      <c r="Q1838" s="76"/>
      <c r="R1838" s="76"/>
      <c r="S1838" s="76"/>
      <c r="T1838" s="76"/>
      <c r="U1838" s="76"/>
      <c r="V1838" s="76"/>
      <c r="W1838" s="76"/>
      <c r="X1838" s="76"/>
      <c r="Y1838" s="76"/>
      <c r="Z1838" s="76"/>
      <c r="AA1838" s="76"/>
      <c r="AB1838" s="76"/>
      <c r="AC1838" s="76"/>
      <c r="AD1838" s="76"/>
      <c r="AE1838" s="76"/>
      <c r="AF1838" s="76"/>
      <c r="AG1838" s="76"/>
      <c r="AH1838" s="76"/>
      <c r="AI1838" s="76">
        <v>1</v>
      </c>
      <c r="AJ1838" s="76">
        <v>1</v>
      </c>
      <c r="AK1838" s="73"/>
      <c r="AL1838" s="57"/>
      <c r="AM1838" s="45"/>
      <c r="AN1838" s="45"/>
      <c r="AO1838" s="45"/>
    </row>
    <row r="1839" spans="1:41" hidden="1" outlineLevel="3" x14ac:dyDescent="0.25">
      <c r="A1839" s="45"/>
      <c r="B1839" s="54"/>
      <c r="C1839" s="47">
        <f t="shared" si="646"/>
        <v>4</v>
      </c>
      <c r="D1839" s="73"/>
      <c r="E1839" s="70"/>
      <c r="F1839" s="70" t="s">
        <v>3553</v>
      </c>
      <c r="G1839" s="73"/>
      <c r="H1839" s="76"/>
      <c r="I1839" s="76"/>
      <c r="J1839" s="76"/>
      <c r="K1839" s="76"/>
      <c r="L1839" s="76"/>
      <c r="M1839" s="76"/>
      <c r="N1839" s="76"/>
      <c r="O1839" s="76"/>
      <c r="P1839" s="76"/>
      <c r="Q1839" s="76"/>
      <c r="R1839" s="76"/>
      <c r="S1839" s="76"/>
      <c r="T1839" s="76"/>
      <c r="U1839" s="76"/>
      <c r="V1839" s="76"/>
      <c r="W1839" s="76"/>
      <c r="X1839" s="76"/>
      <c r="Y1839" s="76"/>
      <c r="Z1839" s="76"/>
      <c r="AA1839" s="76"/>
      <c r="AB1839" s="76"/>
      <c r="AC1839" s="76"/>
      <c r="AD1839" s="76"/>
      <c r="AE1839" s="76"/>
      <c r="AF1839" s="76"/>
      <c r="AG1839" s="76"/>
      <c r="AH1839" s="76"/>
      <c r="AI1839" s="76">
        <v>1</v>
      </c>
      <c r="AJ1839" s="76">
        <v>1</v>
      </c>
      <c r="AK1839" s="73"/>
      <c r="AL1839" s="57"/>
      <c r="AM1839" s="45"/>
      <c r="AN1839" s="45"/>
      <c r="AO1839" s="45"/>
    </row>
    <row r="1840" spans="1:41" hidden="1" outlineLevel="3" x14ac:dyDescent="0.25">
      <c r="A1840" s="45"/>
      <c r="B1840" s="54"/>
      <c r="C1840" s="47">
        <f t="shared" si="646"/>
        <v>4</v>
      </c>
      <c r="D1840" s="73"/>
      <c r="E1840" s="70"/>
      <c r="F1840" s="70" t="s">
        <v>3554</v>
      </c>
      <c r="G1840" s="73"/>
      <c r="H1840" s="76"/>
      <c r="I1840" s="76"/>
      <c r="J1840" s="76"/>
      <c r="K1840" s="76"/>
      <c r="L1840" s="76"/>
      <c r="M1840" s="76"/>
      <c r="N1840" s="76"/>
      <c r="O1840" s="76"/>
      <c r="P1840" s="76"/>
      <c r="Q1840" s="76"/>
      <c r="R1840" s="76"/>
      <c r="S1840" s="76"/>
      <c r="T1840" s="76"/>
      <c r="U1840" s="76"/>
      <c r="V1840" s="76"/>
      <c r="W1840" s="76"/>
      <c r="X1840" s="76"/>
      <c r="Y1840" s="76"/>
      <c r="Z1840" s="76"/>
      <c r="AA1840" s="76"/>
      <c r="AB1840" s="76"/>
      <c r="AC1840" s="76"/>
      <c r="AD1840" s="76"/>
      <c r="AE1840" s="76"/>
      <c r="AF1840" s="76"/>
      <c r="AG1840" s="76"/>
      <c r="AH1840" s="76"/>
      <c r="AI1840" s="76">
        <v>1</v>
      </c>
      <c r="AJ1840" s="76">
        <v>1</v>
      </c>
      <c r="AK1840" s="73"/>
      <c r="AL1840" s="57"/>
      <c r="AM1840" s="45"/>
      <c r="AN1840" s="45"/>
      <c r="AO1840" s="45"/>
    </row>
    <row r="1841" spans="1:41" hidden="1" outlineLevel="3" x14ac:dyDescent="0.25">
      <c r="A1841" s="45"/>
      <c r="B1841" s="54"/>
      <c r="C1841" s="47">
        <f t="shared" si="646"/>
        <v>4</v>
      </c>
      <c r="D1841" s="73"/>
      <c r="E1841" s="70"/>
      <c r="F1841" s="70" t="s">
        <v>3555</v>
      </c>
      <c r="G1841" s="73"/>
      <c r="H1841" s="76"/>
      <c r="I1841" s="76"/>
      <c r="J1841" s="76"/>
      <c r="K1841" s="76"/>
      <c r="L1841" s="76"/>
      <c r="M1841" s="76"/>
      <c r="N1841" s="76"/>
      <c r="O1841" s="76"/>
      <c r="P1841" s="76"/>
      <c r="Q1841" s="76"/>
      <c r="R1841" s="76"/>
      <c r="S1841" s="76"/>
      <c r="T1841" s="76"/>
      <c r="U1841" s="76"/>
      <c r="V1841" s="76"/>
      <c r="W1841" s="76"/>
      <c r="X1841" s="76"/>
      <c r="Y1841" s="76"/>
      <c r="Z1841" s="76"/>
      <c r="AA1841" s="76"/>
      <c r="AB1841" s="76"/>
      <c r="AC1841" s="76"/>
      <c r="AD1841" s="76"/>
      <c r="AE1841" s="76"/>
      <c r="AF1841" s="76"/>
      <c r="AG1841" s="76"/>
      <c r="AH1841" s="76"/>
      <c r="AI1841" s="76">
        <v>1</v>
      </c>
      <c r="AJ1841" s="76">
        <v>1</v>
      </c>
      <c r="AK1841" s="73"/>
      <c r="AL1841" s="57"/>
      <c r="AM1841" s="45"/>
      <c r="AN1841" s="45"/>
      <c r="AO1841" s="45"/>
    </row>
    <row r="1842" spans="1:41" hidden="1" outlineLevel="3" x14ac:dyDescent="0.25">
      <c r="A1842" s="45"/>
      <c r="B1842" s="54"/>
      <c r="C1842" s="47"/>
      <c r="D1842" s="73"/>
      <c r="E1842" s="70"/>
      <c r="F1842" s="70" t="s">
        <v>3556</v>
      </c>
      <c r="G1842" s="73"/>
      <c r="H1842" s="76"/>
      <c r="I1842" s="76"/>
      <c r="J1842" s="76"/>
      <c r="K1842" s="76"/>
      <c r="L1842" s="76"/>
      <c r="M1842" s="76"/>
      <c r="N1842" s="76"/>
      <c r="O1842" s="76"/>
      <c r="P1842" s="76"/>
      <c r="Q1842" s="76"/>
      <c r="R1842" s="76"/>
      <c r="S1842" s="76"/>
      <c r="T1842" s="76"/>
      <c r="U1842" s="76"/>
      <c r="V1842" s="76"/>
      <c r="W1842" s="76"/>
      <c r="X1842" s="76"/>
      <c r="Y1842" s="76"/>
      <c r="Z1842" s="76"/>
      <c r="AA1842" s="76"/>
      <c r="AB1842" s="76"/>
      <c r="AC1842" s="76"/>
      <c r="AD1842" s="76"/>
      <c r="AE1842" s="76"/>
      <c r="AF1842" s="76"/>
      <c r="AG1842" s="76"/>
      <c r="AH1842" s="76"/>
      <c r="AI1842" s="76">
        <v>1</v>
      </c>
      <c r="AJ1842" s="76">
        <v>1</v>
      </c>
      <c r="AK1842" s="73"/>
      <c r="AL1842" s="57"/>
      <c r="AM1842" s="45"/>
      <c r="AN1842" s="45"/>
      <c r="AO1842" s="45"/>
    </row>
    <row r="1843" spans="1:41" hidden="1" outlineLevel="3" x14ac:dyDescent="0.25">
      <c r="A1843" s="45"/>
      <c r="B1843" s="54"/>
      <c r="C1843" s="47"/>
      <c r="D1843" s="73"/>
      <c r="E1843" s="70"/>
      <c r="F1843" s="70" t="s">
        <v>3557</v>
      </c>
      <c r="G1843" s="73"/>
      <c r="H1843" s="76"/>
      <c r="I1843" s="76"/>
      <c r="J1843" s="76"/>
      <c r="K1843" s="76"/>
      <c r="L1843" s="76"/>
      <c r="M1843" s="76"/>
      <c r="N1843" s="76"/>
      <c r="O1843" s="76"/>
      <c r="P1843" s="76"/>
      <c r="Q1843" s="76"/>
      <c r="R1843" s="76"/>
      <c r="S1843" s="76"/>
      <c r="T1843" s="76"/>
      <c r="U1843" s="76"/>
      <c r="V1843" s="76"/>
      <c r="W1843" s="76"/>
      <c r="X1843" s="76"/>
      <c r="Y1843" s="76"/>
      <c r="Z1843" s="76"/>
      <c r="AA1843" s="76"/>
      <c r="AB1843" s="76"/>
      <c r="AC1843" s="76"/>
      <c r="AD1843" s="76"/>
      <c r="AE1843" s="76"/>
      <c r="AF1843" s="76"/>
      <c r="AG1843" s="76"/>
      <c r="AH1843" s="76"/>
      <c r="AI1843" s="76">
        <v>1</v>
      </c>
      <c r="AJ1843" s="76">
        <v>1</v>
      </c>
      <c r="AK1843" s="73"/>
      <c r="AL1843" s="57"/>
      <c r="AM1843" s="45"/>
      <c r="AN1843" s="45"/>
      <c r="AO1843" s="45"/>
    </row>
    <row r="1844" spans="1:41" hidden="1" outlineLevel="3" x14ac:dyDescent="0.25">
      <c r="A1844" s="45"/>
      <c r="B1844" s="54"/>
      <c r="C1844" s="47"/>
      <c r="D1844" s="73"/>
      <c r="E1844" s="70"/>
      <c r="F1844" s="70" t="s">
        <v>3558</v>
      </c>
      <c r="G1844" s="73"/>
      <c r="H1844" s="76"/>
      <c r="I1844" s="76"/>
      <c r="J1844" s="76"/>
      <c r="K1844" s="76"/>
      <c r="L1844" s="76"/>
      <c r="M1844" s="76"/>
      <c r="N1844" s="76"/>
      <c r="O1844" s="76"/>
      <c r="P1844" s="76"/>
      <c r="Q1844" s="76"/>
      <c r="R1844" s="76"/>
      <c r="S1844" s="76"/>
      <c r="T1844" s="76"/>
      <c r="U1844" s="76"/>
      <c r="V1844" s="76"/>
      <c r="W1844" s="76"/>
      <c r="X1844" s="76"/>
      <c r="Y1844" s="76"/>
      <c r="Z1844" s="76"/>
      <c r="AA1844" s="76"/>
      <c r="AB1844" s="76"/>
      <c r="AC1844" s="76"/>
      <c r="AD1844" s="76"/>
      <c r="AE1844" s="76"/>
      <c r="AF1844" s="76"/>
      <c r="AG1844" s="76"/>
      <c r="AH1844" s="76"/>
      <c r="AI1844" s="76">
        <v>1</v>
      </c>
      <c r="AJ1844" s="76">
        <v>1</v>
      </c>
      <c r="AK1844" s="73"/>
      <c r="AL1844" s="57"/>
      <c r="AM1844" s="45"/>
      <c r="AN1844" s="45"/>
      <c r="AO1844" s="45"/>
    </row>
    <row r="1845" spans="1:41" hidden="1" outlineLevel="3" x14ac:dyDescent="0.25">
      <c r="A1845" s="45"/>
      <c r="B1845" s="54"/>
      <c r="C1845" s="47">
        <f t="shared" ref="C1845:C1856" si="647">INT($C$29)+3</f>
        <v>4</v>
      </c>
      <c r="D1845" s="73"/>
      <c r="E1845" s="70"/>
      <c r="F1845" s="70" t="str">
        <f>SUBSTITUTE(F1841,",4)",",8)")</f>
        <v>C(U6,6,8)</v>
      </c>
      <c r="G1845" s="73"/>
      <c r="H1845" s="76"/>
      <c r="I1845" s="96"/>
      <c r="J1845" s="76"/>
      <c r="K1845" s="76"/>
      <c r="L1845" s="76"/>
      <c r="M1845" s="76"/>
      <c r="N1845" s="76"/>
      <c r="O1845" s="76"/>
      <c r="P1845" s="76"/>
      <c r="Q1845" s="76"/>
      <c r="R1845" s="76"/>
      <c r="S1845" s="76"/>
      <c r="T1845" s="76"/>
      <c r="U1845" s="76"/>
      <c r="V1845" s="76"/>
      <c r="W1845" s="76"/>
      <c r="X1845" s="76"/>
      <c r="Y1845" s="76"/>
      <c r="Z1845" s="76"/>
      <c r="AA1845" s="76"/>
      <c r="AB1845" s="76"/>
      <c r="AC1845" s="76"/>
      <c r="AD1845" s="76"/>
      <c r="AE1845" s="76"/>
      <c r="AF1845" s="76"/>
      <c r="AG1845" s="76"/>
      <c r="AH1845" s="76"/>
      <c r="AI1845" s="76">
        <v>1</v>
      </c>
      <c r="AJ1845" s="76">
        <v>1</v>
      </c>
      <c r="AK1845" s="73"/>
      <c r="AL1845" s="57"/>
      <c r="AM1845" s="45"/>
      <c r="AN1845" s="45"/>
      <c r="AO1845" s="45"/>
    </row>
    <row r="1846" spans="1:41" hidden="1" outlineLevel="3" x14ac:dyDescent="0.25">
      <c r="A1846" s="45"/>
      <c r="B1846" s="54"/>
      <c r="C1846" s="47">
        <f t="shared" si="647"/>
        <v>4</v>
      </c>
      <c r="D1846" s="73"/>
      <c r="E1846" s="70"/>
      <c r="F1846" s="70" t="str">
        <f>SUBSTITUTE(F1842,",5)",",9)")</f>
        <v>C(U6,6,9)</v>
      </c>
      <c r="G1846" s="73"/>
      <c r="H1846" s="76"/>
      <c r="I1846" s="96"/>
      <c r="J1846" s="76"/>
      <c r="K1846" s="76"/>
      <c r="L1846" s="76"/>
      <c r="M1846" s="76"/>
      <c r="N1846" s="76"/>
      <c r="O1846" s="76"/>
      <c r="P1846" s="76"/>
      <c r="Q1846" s="76"/>
      <c r="R1846" s="76"/>
      <c r="S1846" s="76"/>
      <c r="T1846" s="76"/>
      <c r="U1846" s="76"/>
      <c r="V1846" s="76"/>
      <c r="W1846" s="76"/>
      <c r="X1846" s="76"/>
      <c r="Y1846" s="76"/>
      <c r="Z1846" s="76"/>
      <c r="AA1846" s="76"/>
      <c r="AB1846" s="76"/>
      <c r="AC1846" s="76"/>
      <c r="AD1846" s="76"/>
      <c r="AE1846" s="76"/>
      <c r="AF1846" s="76"/>
      <c r="AG1846" s="76"/>
      <c r="AH1846" s="76"/>
      <c r="AI1846" s="76">
        <v>1</v>
      </c>
      <c r="AJ1846" s="76">
        <v>1</v>
      </c>
      <c r="AK1846" s="73"/>
      <c r="AL1846" s="57"/>
      <c r="AM1846" s="45"/>
      <c r="AN1846" s="45"/>
      <c r="AO1846" s="45"/>
    </row>
    <row r="1847" spans="1:41" hidden="1" outlineLevel="3" x14ac:dyDescent="0.25">
      <c r="A1847" s="45"/>
      <c r="B1847" s="54"/>
      <c r="C1847" s="47">
        <f t="shared" si="647"/>
        <v>4</v>
      </c>
      <c r="D1847" s="73"/>
      <c r="E1847" s="70"/>
      <c r="F1847" s="70" t="str">
        <f>SUBSTITUTE(F1843,",6)",",10)")</f>
        <v>C(U6,6,10)</v>
      </c>
      <c r="G1847" s="73"/>
      <c r="H1847" s="76"/>
      <c r="I1847" s="96"/>
      <c r="J1847" s="76"/>
      <c r="K1847" s="76"/>
      <c r="L1847" s="76"/>
      <c r="M1847" s="76"/>
      <c r="N1847" s="76"/>
      <c r="O1847" s="76"/>
      <c r="P1847" s="76"/>
      <c r="Q1847" s="76"/>
      <c r="R1847" s="76"/>
      <c r="S1847" s="76"/>
      <c r="T1847" s="76"/>
      <c r="U1847" s="76"/>
      <c r="V1847" s="76"/>
      <c r="W1847" s="76"/>
      <c r="X1847" s="76"/>
      <c r="Y1847" s="76"/>
      <c r="Z1847" s="76"/>
      <c r="AA1847" s="76"/>
      <c r="AB1847" s="76"/>
      <c r="AC1847" s="76"/>
      <c r="AD1847" s="76"/>
      <c r="AE1847" s="76"/>
      <c r="AF1847" s="76"/>
      <c r="AG1847" s="76"/>
      <c r="AH1847" s="76"/>
      <c r="AI1847" s="76">
        <v>1</v>
      </c>
      <c r="AJ1847" s="76">
        <v>1</v>
      </c>
      <c r="AK1847" s="73"/>
      <c r="AL1847" s="57"/>
      <c r="AM1847" s="45"/>
      <c r="AN1847" s="45"/>
      <c r="AO1847" s="45"/>
    </row>
    <row r="1848" spans="1:41" hidden="1" outlineLevel="3" x14ac:dyDescent="0.25">
      <c r="A1848" s="45"/>
      <c r="B1848" s="54"/>
      <c r="C1848" s="47">
        <f t="shared" si="647"/>
        <v>4</v>
      </c>
      <c r="D1848" s="73"/>
      <c r="E1848" s="70"/>
      <c r="F1848" s="70" t="str">
        <f>SUBSTITUTE(F1844,",7)",",11)")</f>
        <v>C(U6,6,11)</v>
      </c>
      <c r="G1848" s="73"/>
      <c r="H1848" s="76"/>
      <c r="I1848" s="96"/>
      <c r="J1848" s="76"/>
      <c r="K1848" s="76"/>
      <c r="L1848" s="76"/>
      <c r="M1848" s="76"/>
      <c r="N1848" s="76"/>
      <c r="O1848" s="76"/>
      <c r="P1848" s="76"/>
      <c r="Q1848" s="76"/>
      <c r="R1848" s="76"/>
      <c r="S1848" s="76"/>
      <c r="T1848" s="76"/>
      <c r="U1848" s="76"/>
      <c r="V1848" s="76"/>
      <c r="W1848" s="76"/>
      <c r="X1848" s="76"/>
      <c r="Y1848" s="76"/>
      <c r="Z1848" s="76"/>
      <c r="AA1848" s="76"/>
      <c r="AB1848" s="76"/>
      <c r="AC1848" s="76"/>
      <c r="AD1848" s="76"/>
      <c r="AE1848" s="76"/>
      <c r="AF1848" s="76"/>
      <c r="AG1848" s="76"/>
      <c r="AH1848" s="76"/>
      <c r="AI1848" s="76">
        <v>1</v>
      </c>
      <c r="AJ1848" s="76">
        <v>1</v>
      </c>
      <c r="AK1848" s="73"/>
      <c r="AL1848" s="57"/>
      <c r="AM1848" s="45"/>
      <c r="AN1848" s="45"/>
      <c r="AO1848" s="45"/>
    </row>
    <row r="1849" spans="1:41" hidden="1" outlineLevel="3" x14ac:dyDescent="0.25">
      <c r="A1849" s="45"/>
      <c r="B1849" s="54"/>
      <c r="C1849" s="47">
        <f t="shared" si="647"/>
        <v>4</v>
      </c>
      <c r="D1849" s="73"/>
      <c r="E1849" s="70"/>
      <c r="F1849" s="70" t="str">
        <f>SUBSTITUTE(F1843,",6)",",12)")</f>
        <v>C(U6,6,12)</v>
      </c>
      <c r="G1849" s="73"/>
      <c r="H1849" s="76"/>
      <c r="I1849" s="96"/>
      <c r="J1849" s="76"/>
      <c r="K1849" s="76"/>
      <c r="L1849" s="76"/>
      <c r="M1849" s="76"/>
      <c r="N1849" s="76"/>
      <c r="O1849" s="76"/>
      <c r="P1849" s="76"/>
      <c r="Q1849" s="76"/>
      <c r="R1849" s="76"/>
      <c r="S1849" s="76"/>
      <c r="T1849" s="76"/>
      <c r="U1849" s="76"/>
      <c r="V1849" s="76"/>
      <c r="W1849" s="76"/>
      <c r="X1849" s="76"/>
      <c r="Y1849" s="76"/>
      <c r="Z1849" s="76"/>
      <c r="AA1849" s="76"/>
      <c r="AB1849" s="76"/>
      <c r="AC1849" s="76"/>
      <c r="AD1849" s="76"/>
      <c r="AE1849" s="76"/>
      <c r="AF1849" s="76"/>
      <c r="AG1849" s="76"/>
      <c r="AH1849" s="76"/>
      <c r="AI1849" s="76">
        <v>1</v>
      </c>
      <c r="AJ1849" s="76">
        <v>1</v>
      </c>
      <c r="AK1849" s="73"/>
      <c r="AL1849" s="57"/>
      <c r="AM1849" s="45"/>
      <c r="AN1849" s="45"/>
      <c r="AO1849" s="45"/>
    </row>
    <row r="1850" spans="1:41" hidden="1" outlineLevel="3" x14ac:dyDescent="0.25">
      <c r="A1850" s="45"/>
      <c r="B1850" s="54"/>
      <c r="C1850" s="47">
        <f t="shared" si="647"/>
        <v>4</v>
      </c>
      <c r="D1850" s="73"/>
      <c r="E1850" s="70"/>
      <c r="F1850" s="70" t="str">
        <f>SUBSTITUTE(F1844,",7)",",13)")</f>
        <v>C(U6,6,13)</v>
      </c>
      <c r="G1850" s="73"/>
      <c r="H1850" s="76"/>
      <c r="I1850" s="96"/>
      <c r="J1850" s="76"/>
      <c r="K1850" s="76"/>
      <c r="L1850" s="76"/>
      <c r="M1850" s="76"/>
      <c r="N1850" s="76"/>
      <c r="O1850" s="76"/>
      <c r="P1850" s="76"/>
      <c r="Q1850" s="76"/>
      <c r="R1850" s="76"/>
      <c r="S1850" s="76"/>
      <c r="T1850" s="76"/>
      <c r="U1850" s="76"/>
      <c r="V1850" s="76"/>
      <c r="W1850" s="76"/>
      <c r="X1850" s="76"/>
      <c r="Y1850" s="76"/>
      <c r="Z1850" s="76"/>
      <c r="AA1850" s="76"/>
      <c r="AB1850" s="76"/>
      <c r="AC1850" s="76"/>
      <c r="AD1850" s="76"/>
      <c r="AE1850" s="76"/>
      <c r="AF1850" s="76"/>
      <c r="AG1850" s="76"/>
      <c r="AH1850" s="76"/>
      <c r="AI1850" s="76">
        <v>1</v>
      </c>
      <c r="AJ1850" s="76">
        <v>1</v>
      </c>
      <c r="AK1850" s="73"/>
      <c r="AL1850" s="57"/>
      <c r="AM1850" s="45"/>
      <c r="AN1850" s="45"/>
      <c r="AO1850" s="45"/>
    </row>
    <row r="1851" spans="1:41" hidden="1" outlineLevel="3" x14ac:dyDescent="0.25">
      <c r="A1851" s="45"/>
      <c r="B1851" s="54"/>
      <c r="C1851" s="47">
        <f t="shared" si="647"/>
        <v>4</v>
      </c>
      <c r="D1851" s="73"/>
      <c r="E1851" s="70"/>
      <c r="F1851" s="70" t="s">
        <v>3559</v>
      </c>
      <c r="G1851" s="73"/>
      <c r="H1851" s="76"/>
      <c r="I1851" s="76"/>
      <c r="J1851" s="76"/>
      <c r="K1851" s="76"/>
      <c r="L1851" s="76"/>
      <c r="M1851" s="76"/>
      <c r="N1851" s="76"/>
      <c r="O1851" s="76"/>
      <c r="P1851" s="76"/>
      <c r="Q1851" s="76"/>
      <c r="R1851" s="76"/>
      <c r="S1851" s="76"/>
      <c r="T1851" s="76"/>
      <c r="U1851" s="76"/>
      <c r="V1851" s="76"/>
      <c r="W1851" s="76"/>
      <c r="X1851" s="76"/>
      <c r="Y1851" s="76"/>
      <c r="Z1851" s="76"/>
      <c r="AA1851" s="76"/>
      <c r="AB1851" s="76"/>
      <c r="AC1851" s="76"/>
      <c r="AD1851" s="76"/>
      <c r="AE1851" s="76"/>
      <c r="AF1851" s="76"/>
      <c r="AG1851" s="76"/>
      <c r="AH1851" s="76"/>
      <c r="AI1851" s="76">
        <v>1</v>
      </c>
      <c r="AJ1851" s="76">
        <v>1</v>
      </c>
      <c r="AK1851" s="73"/>
      <c r="AL1851" s="57"/>
      <c r="AM1851" s="45"/>
      <c r="AN1851" s="45"/>
      <c r="AO1851" s="45"/>
    </row>
    <row r="1852" spans="1:41" hidden="1" outlineLevel="3" x14ac:dyDescent="0.25">
      <c r="A1852" s="45"/>
      <c r="B1852" s="54"/>
      <c r="C1852" s="47">
        <f t="shared" si="647"/>
        <v>4</v>
      </c>
      <c r="D1852" s="73"/>
      <c r="E1852" s="70"/>
      <c r="F1852" s="70" t="s">
        <v>3560</v>
      </c>
      <c r="G1852" s="73"/>
      <c r="H1852" s="76" t="s">
        <v>599</v>
      </c>
      <c r="I1852" s="76"/>
      <c r="J1852" s="76"/>
      <c r="K1852" s="76"/>
      <c r="L1852" s="76"/>
      <c r="M1852" s="76"/>
      <c r="N1852" s="76"/>
      <c r="O1852" s="76"/>
      <c r="P1852" s="76"/>
      <c r="Q1852" s="76"/>
      <c r="R1852" s="76"/>
      <c r="S1852" s="76"/>
      <c r="T1852" s="76"/>
      <c r="U1852" s="76"/>
      <c r="V1852" s="76"/>
      <c r="W1852" s="76"/>
      <c r="X1852" s="76"/>
      <c r="Y1852" s="76"/>
      <c r="Z1852" s="76"/>
      <c r="AA1852" s="76"/>
      <c r="AB1852" s="76"/>
      <c r="AC1852" s="76"/>
      <c r="AD1852" s="76"/>
      <c r="AE1852" s="76"/>
      <c r="AF1852" s="76"/>
      <c r="AG1852" s="76"/>
      <c r="AH1852" s="76"/>
      <c r="AI1852" s="76">
        <v>1</v>
      </c>
      <c r="AJ1852" s="76">
        <v>1</v>
      </c>
      <c r="AK1852" s="73"/>
      <c r="AL1852" s="57"/>
      <c r="AM1852" s="45"/>
      <c r="AN1852" s="45"/>
      <c r="AO1852" s="45"/>
    </row>
    <row r="1853" spans="1:41" hidden="1" outlineLevel="3" x14ac:dyDescent="0.25">
      <c r="A1853" s="45"/>
      <c r="B1853" s="54"/>
      <c r="C1853" s="47">
        <f t="shared" si="647"/>
        <v>4</v>
      </c>
      <c r="D1853" s="73"/>
      <c r="E1853" s="70"/>
      <c r="F1853" s="70" t="s">
        <v>3561</v>
      </c>
      <c r="G1853" s="73"/>
      <c r="H1853" s="76"/>
      <c r="I1853" s="76"/>
      <c r="J1853" s="76"/>
      <c r="K1853" s="76"/>
      <c r="L1853" s="76"/>
      <c r="M1853" s="76"/>
      <c r="N1853" s="76"/>
      <c r="O1853" s="76"/>
      <c r="P1853" s="76"/>
      <c r="Q1853" s="76"/>
      <c r="R1853" s="76"/>
      <c r="S1853" s="76"/>
      <c r="T1853" s="76"/>
      <c r="U1853" s="76"/>
      <c r="V1853" s="76"/>
      <c r="W1853" s="76"/>
      <c r="X1853" s="76"/>
      <c r="Y1853" s="76"/>
      <c r="Z1853" s="76"/>
      <c r="AA1853" s="76"/>
      <c r="AB1853" s="76"/>
      <c r="AC1853" s="76"/>
      <c r="AD1853" s="76"/>
      <c r="AE1853" s="76"/>
      <c r="AF1853" s="76"/>
      <c r="AG1853" s="76"/>
      <c r="AH1853" s="76"/>
      <c r="AI1853" s="76">
        <v>1</v>
      </c>
      <c r="AJ1853" s="76">
        <v>1</v>
      </c>
      <c r="AK1853" s="73"/>
      <c r="AL1853" s="57"/>
      <c r="AM1853" s="45"/>
      <c r="AN1853" s="45"/>
      <c r="AO1853" s="45"/>
    </row>
    <row r="1854" spans="1:41" hidden="1" outlineLevel="3" x14ac:dyDescent="0.25">
      <c r="A1854" s="45"/>
      <c r="B1854" s="54"/>
      <c r="C1854" s="47">
        <f t="shared" si="647"/>
        <v>4</v>
      </c>
      <c r="D1854" s="73"/>
      <c r="E1854" s="70"/>
      <c r="F1854" s="70" t="s">
        <v>3562</v>
      </c>
      <c r="G1854" s="73"/>
      <c r="H1854" s="76"/>
      <c r="I1854" s="76"/>
      <c r="J1854" s="76"/>
      <c r="K1854" s="76"/>
      <c r="L1854" s="76"/>
      <c r="M1854" s="76"/>
      <c r="N1854" s="76"/>
      <c r="O1854" s="76"/>
      <c r="P1854" s="76"/>
      <c r="Q1854" s="76"/>
      <c r="R1854" s="76"/>
      <c r="S1854" s="76"/>
      <c r="T1854" s="76"/>
      <c r="U1854" s="76"/>
      <c r="V1854" s="76"/>
      <c r="W1854" s="76"/>
      <c r="X1854" s="76"/>
      <c r="Y1854" s="76"/>
      <c r="Z1854" s="76"/>
      <c r="AA1854" s="76"/>
      <c r="AB1854" s="76"/>
      <c r="AC1854" s="76"/>
      <c r="AD1854" s="76"/>
      <c r="AE1854" s="76"/>
      <c r="AF1854" s="76"/>
      <c r="AG1854" s="76"/>
      <c r="AH1854" s="76"/>
      <c r="AI1854" s="76">
        <v>1</v>
      </c>
      <c r="AJ1854" s="76">
        <v>1</v>
      </c>
      <c r="AK1854" s="73"/>
      <c r="AL1854" s="57"/>
      <c r="AM1854" s="45"/>
      <c r="AN1854" s="45"/>
      <c r="AO1854" s="45"/>
    </row>
    <row r="1855" spans="1:41" hidden="1" outlineLevel="3" x14ac:dyDescent="0.25">
      <c r="A1855" s="45"/>
      <c r="B1855" s="54"/>
      <c r="C1855" s="47">
        <f t="shared" si="647"/>
        <v>4</v>
      </c>
      <c r="D1855" s="73"/>
      <c r="E1855" s="70"/>
      <c r="F1855" s="70" t="s">
        <v>3563</v>
      </c>
      <c r="G1855" s="73"/>
      <c r="H1855" s="76"/>
      <c r="I1855" s="76"/>
      <c r="J1855" s="76"/>
      <c r="K1855" s="76"/>
      <c r="L1855" s="76"/>
      <c r="M1855" s="76"/>
      <c r="N1855" s="76"/>
      <c r="O1855" s="76"/>
      <c r="P1855" s="76"/>
      <c r="Q1855" s="76"/>
      <c r="R1855" s="76"/>
      <c r="S1855" s="76"/>
      <c r="T1855" s="76"/>
      <c r="U1855" s="76"/>
      <c r="V1855" s="76"/>
      <c r="W1855" s="76"/>
      <c r="X1855" s="76"/>
      <c r="Y1855" s="76"/>
      <c r="Z1855" s="76"/>
      <c r="AA1855" s="76"/>
      <c r="AB1855" s="76"/>
      <c r="AC1855" s="76"/>
      <c r="AD1855" s="76"/>
      <c r="AE1855" s="76"/>
      <c r="AF1855" s="76"/>
      <c r="AG1855" s="76"/>
      <c r="AH1855" s="76"/>
      <c r="AI1855" s="76">
        <v>1</v>
      </c>
      <c r="AJ1855" s="76">
        <v>1</v>
      </c>
      <c r="AK1855" s="73"/>
      <c r="AL1855" s="57"/>
      <c r="AM1855" s="45"/>
      <c r="AN1855" s="45"/>
      <c r="AO1855" s="45"/>
    </row>
    <row r="1856" spans="1:41" hidden="1" outlineLevel="3" x14ac:dyDescent="0.25">
      <c r="A1856" s="45"/>
      <c r="B1856" s="54"/>
      <c r="C1856" s="47">
        <f t="shared" si="647"/>
        <v>4</v>
      </c>
      <c r="D1856" s="73"/>
      <c r="E1856" s="70"/>
      <c r="F1856" s="70" t="s">
        <v>3564</v>
      </c>
      <c r="G1856" s="73"/>
      <c r="H1856" s="76"/>
      <c r="I1856" s="76"/>
      <c r="J1856" s="76"/>
      <c r="K1856" s="76"/>
      <c r="L1856" s="76"/>
      <c r="M1856" s="76"/>
      <c r="N1856" s="76"/>
      <c r="O1856" s="76"/>
      <c r="P1856" s="76"/>
      <c r="Q1856" s="76"/>
      <c r="R1856" s="76"/>
      <c r="S1856" s="76"/>
      <c r="T1856" s="76"/>
      <c r="U1856" s="76"/>
      <c r="V1856" s="76"/>
      <c r="W1856" s="76"/>
      <c r="X1856" s="76"/>
      <c r="Y1856" s="76"/>
      <c r="Z1856" s="76"/>
      <c r="AA1856" s="76"/>
      <c r="AB1856" s="76"/>
      <c r="AC1856" s="76"/>
      <c r="AD1856" s="76"/>
      <c r="AE1856" s="76"/>
      <c r="AF1856" s="76"/>
      <c r="AG1856" s="76"/>
      <c r="AH1856" s="76"/>
      <c r="AI1856" s="76">
        <v>1</v>
      </c>
      <c r="AJ1856" s="76">
        <v>1</v>
      </c>
      <c r="AK1856" s="73"/>
      <c r="AL1856" s="57"/>
      <c r="AM1856" s="45"/>
      <c r="AN1856" s="45"/>
      <c r="AO1856" s="45"/>
    </row>
    <row r="1857" spans="1:41" hidden="1" outlineLevel="3" x14ac:dyDescent="0.25">
      <c r="A1857" s="45"/>
      <c r="B1857" s="54"/>
      <c r="C1857" s="47"/>
      <c r="D1857" s="73"/>
      <c r="E1857" s="70"/>
      <c r="F1857" s="70" t="s">
        <v>3565</v>
      </c>
      <c r="G1857" s="73"/>
      <c r="H1857" s="76"/>
      <c r="I1857" s="76"/>
      <c r="J1857" s="76"/>
      <c r="K1857" s="76"/>
      <c r="L1857" s="76"/>
      <c r="M1857" s="76"/>
      <c r="N1857" s="76"/>
      <c r="O1857" s="76"/>
      <c r="P1857" s="76"/>
      <c r="Q1857" s="76"/>
      <c r="R1857" s="76"/>
      <c r="S1857" s="76"/>
      <c r="T1857" s="76"/>
      <c r="U1857" s="76"/>
      <c r="V1857" s="76"/>
      <c r="W1857" s="76"/>
      <c r="X1857" s="76"/>
      <c r="Y1857" s="76"/>
      <c r="Z1857" s="76"/>
      <c r="AA1857" s="76"/>
      <c r="AB1857" s="76"/>
      <c r="AC1857" s="76"/>
      <c r="AD1857" s="76"/>
      <c r="AE1857" s="76"/>
      <c r="AF1857" s="76"/>
      <c r="AG1857" s="76"/>
      <c r="AH1857" s="76"/>
      <c r="AI1857" s="76">
        <v>1</v>
      </c>
      <c r="AJ1857" s="76">
        <v>1</v>
      </c>
      <c r="AK1857" s="73"/>
      <c r="AL1857" s="57"/>
      <c r="AM1857" s="45"/>
      <c r="AN1857" s="45"/>
      <c r="AO1857" s="45"/>
    </row>
    <row r="1858" spans="1:41" hidden="1" outlineLevel="3" x14ac:dyDescent="0.25">
      <c r="A1858" s="45"/>
      <c r="B1858" s="54"/>
      <c r="C1858" s="47"/>
      <c r="D1858" s="73"/>
      <c r="E1858" s="70"/>
      <c r="F1858" s="70" t="s">
        <v>3566</v>
      </c>
      <c r="G1858" s="73"/>
      <c r="H1858" s="76"/>
      <c r="I1858" s="76"/>
      <c r="J1858" s="76"/>
      <c r="K1858" s="76"/>
      <c r="L1858" s="76"/>
      <c r="M1858" s="76"/>
      <c r="N1858" s="76"/>
      <c r="O1858" s="76"/>
      <c r="P1858" s="76"/>
      <c r="Q1858" s="76"/>
      <c r="R1858" s="76"/>
      <c r="S1858" s="76"/>
      <c r="T1858" s="76"/>
      <c r="U1858" s="76"/>
      <c r="V1858" s="76"/>
      <c r="W1858" s="76"/>
      <c r="X1858" s="76"/>
      <c r="Y1858" s="76"/>
      <c r="Z1858" s="76"/>
      <c r="AA1858" s="76"/>
      <c r="AB1858" s="76"/>
      <c r="AC1858" s="76"/>
      <c r="AD1858" s="76"/>
      <c r="AE1858" s="76"/>
      <c r="AF1858" s="76"/>
      <c r="AG1858" s="76"/>
      <c r="AH1858" s="76"/>
      <c r="AI1858" s="76">
        <v>1</v>
      </c>
      <c r="AJ1858" s="76">
        <v>1</v>
      </c>
      <c r="AK1858" s="73"/>
      <c r="AL1858" s="57"/>
      <c r="AM1858" s="45"/>
      <c r="AN1858" s="45"/>
      <c r="AO1858" s="45"/>
    </row>
    <row r="1859" spans="1:41" hidden="1" outlineLevel="3" x14ac:dyDescent="0.25">
      <c r="A1859" s="45"/>
      <c r="B1859" s="54"/>
      <c r="C1859" s="47"/>
      <c r="D1859" s="73"/>
      <c r="E1859" s="70"/>
      <c r="F1859" s="70" t="s">
        <v>3567</v>
      </c>
      <c r="G1859" s="73"/>
      <c r="H1859" s="76"/>
      <c r="I1859" s="76"/>
      <c r="J1859" s="76"/>
      <c r="K1859" s="76"/>
      <c r="L1859" s="76"/>
      <c r="M1859" s="76"/>
      <c r="N1859" s="76"/>
      <c r="O1859" s="76"/>
      <c r="P1859" s="76"/>
      <c r="Q1859" s="76"/>
      <c r="R1859" s="76"/>
      <c r="S1859" s="76"/>
      <c r="T1859" s="76"/>
      <c r="U1859" s="76"/>
      <c r="V1859" s="76"/>
      <c r="W1859" s="76"/>
      <c r="X1859" s="76"/>
      <c r="Y1859" s="76"/>
      <c r="Z1859" s="76"/>
      <c r="AA1859" s="76"/>
      <c r="AB1859" s="76"/>
      <c r="AC1859" s="76"/>
      <c r="AD1859" s="76"/>
      <c r="AE1859" s="76"/>
      <c r="AF1859" s="76"/>
      <c r="AG1859" s="76"/>
      <c r="AH1859" s="76"/>
      <c r="AI1859" s="76">
        <v>1</v>
      </c>
      <c r="AJ1859" s="76">
        <v>1</v>
      </c>
      <c r="AK1859" s="73"/>
      <c r="AL1859" s="57"/>
      <c r="AM1859" s="45"/>
      <c r="AN1859" s="45"/>
      <c r="AO1859" s="45"/>
    </row>
    <row r="1860" spans="1:41" hidden="1" outlineLevel="3" x14ac:dyDescent="0.25">
      <c r="A1860" s="45"/>
      <c r="B1860" s="54"/>
      <c r="C1860" s="47">
        <f>INT($C$29)+3</f>
        <v>4</v>
      </c>
      <c r="D1860" s="73"/>
      <c r="E1860" s="70"/>
      <c r="F1860" s="70" t="str">
        <f>SUBSTITUTE(F1856,",4)",",8)")</f>
        <v>C(U6,7,8)</v>
      </c>
      <c r="G1860" s="73"/>
      <c r="H1860" s="76"/>
      <c r="I1860" s="96"/>
      <c r="J1860" s="76"/>
      <c r="K1860" s="76"/>
      <c r="L1860" s="76"/>
      <c r="M1860" s="76"/>
      <c r="N1860" s="76"/>
      <c r="O1860" s="76"/>
      <c r="P1860" s="76"/>
      <c r="Q1860" s="76"/>
      <c r="R1860" s="76"/>
      <c r="S1860" s="76"/>
      <c r="T1860" s="76"/>
      <c r="U1860" s="76"/>
      <c r="V1860" s="76"/>
      <c r="W1860" s="76"/>
      <c r="X1860" s="76"/>
      <c r="Y1860" s="76"/>
      <c r="Z1860" s="76"/>
      <c r="AA1860" s="76"/>
      <c r="AB1860" s="76"/>
      <c r="AC1860" s="76"/>
      <c r="AD1860" s="76"/>
      <c r="AE1860" s="76"/>
      <c r="AF1860" s="76"/>
      <c r="AG1860" s="76"/>
      <c r="AH1860" s="76"/>
      <c r="AI1860" s="76">
        <v>1</v>
      </c>
      <c r="AJ1860" s="76">
        <v>1</v>
      </c>
      <c r="AK1860" s="73"/>
      <c r="AL1860" s="57"/>
      <c r="AM1860" s="45"/>
      <c r="AN1860" s="45"/>
      <c r="AO1860" s="45"/>
    </row>
    <row r="1861" spans="1:41" hidden="1" outlineLevel="3" x14ac:dyDescent="0.25">
      <c r="A1861" s="45"/>
      <c r="B1861" s="54"/>
      <c r="C1861" s="47">
        <f>INT($C$29)+3</f>
        <v>4</v>
      </c>
      <c r="D1861" s="73"/>
      <c r="E1861" s="70"/>
      <c r="F1861" s="70" t="str">
        <f>SUBSTITUTE(F1857,",5)",",9)")</f>
        <v>C(U6,7,9)</v>
      </c>
      <c r="G1861" s="73"/>
      <c r="H1861" s="76"/>
      <c r="I1861" s="96"/>
      <c r="J1861" s="76"/>
      <c r="K1861" s="76"/>
      <c r="L1861" s="76"/>
      <c r="M1861" s="76"/>
      <c r="N1861" s="76"/>
      <c r="O1861" s="76"/>
      <c r="P1861" s="76"/>
      <c r="Q1861" s="76"/>
      <c r="R1861" s="76"/>
      <c r="S1861" s="76"/>
      <c r="T1861" s="76"/>
      <c r="U1861" s="76"/>
      <c r="V1861" s="76"/>
      <c r="W1861" s="76"/>
      <c r="X1861" s="76"/>
      <c r="Y1861" s="76"/>
      <c r="Z1861" s="76"/>
      <c r="AA1861" s="76"/>
      <c r="AB1861" s="76"/>
      <c r="AC1861" s="76"/>
      <c r="AD1861" s="76"/>
      <c r="AE1861" s="76"/>
      <c r="AF1861" s="76"/>
      <c r="AG1861" s="76"/>
      <c r="AH1861" s="76"/>
      <c r="AI1861" s="76">
        <v>1</v>
      </c>
      <c r="AJ1861" s="76">
        <v>1</v>
      </c>
      <c r="AK1861" s="73"/>
      <c r="AL1861" s="57"/>
      <c r="AM1861" s="45"/>
      <c r="AN1861" s="45"/>
      <c r="AO1861" s="45"/>
    </row>
    <row r="1862" spans="1:41" hidden="1" outlineLevel="3" x14ac:dyDescent="0.25">
      <c r="A1862" s="45"/>
      <c r="B1862" s="54"/>
      <c r="C1862" s="47">
        <f>INT($C$29)+3</f>
        <v>4</v>
      </c>
      <c r="D1862" s="73"/>
      <c r="E1862" s="70"/>
      <c r="F1862" s="70" t="str">
        <f>SUBSTITUTE(F1858,",6)",",10)")</f>
        <v>C(U6,7,10)</v>
      </c>
      <c r="G1862" s="73"/>
      <c r="H1862" s="76"/>
      <c r="I1862" s="96"/>
      <c r="J1862" s="76"/>
      <c r="K1862" s="76"/>
      <c r="L1862" s="76"/>
      <c r="M1862" s="76"/>
      <c r="N1862" s="76"/>
      <c r="O1862" s="76"/>
      <c r="P1862" s="76"/>
      <c r="Q1862" s="76"/>
      <c r="R1862" s="76"/>
      <c r="S1862" s="76"/>
      <c r="T1862" s="76"/>
      <c r="U1862" s="76"/>
      <c r="V1862" s="76"/>
      <c r="W1862" s="76"/>
      <c r="X1862" s="76"/>
      <c r="Y1862" s="76"/>
      <c r="Z1862" s="76"/>
      <c r="AA1862" s="76"/>
      <c r="AB1862" s="76"/>
      <c r="AC1862" s="76"/>
      <c r="AD1862" s="76"/>
      <c r="AE1862" s="76"/>
      <c r="AF1862" s="76"/>
      <c r="AG1862" s="76"/>
      <c r="AH1862" s="76"/>
      <c r="AI1862" s="76">
        <v>1</v>
      </c>
      <c r="AJ1862" s="76">
        <v>1</v>
      </c>
      <c r="AK1862" s="73"/>
      <c r="AL1862" s="57"/>
      <c r="AM1862" s="45"/>
      <c r="AN1862" s="45"/>
      <c r="AO1862" s="45"/>
    </row>
    <row r="1863" spans="1:41" hidden="1" outlineLevel="3" x14ac:dyDescent="0.25">
      <c r="A1863" s="45"/>
      <c r="B1863" s="54"/>
      <c r="C1863" s="47">
        <f>INT($C$29)+3</f>
        <v>4</v>
      </c>
      <c r="D1863" s="73"/>
      <c r="E1863" s="70"/>
      <c r="F1863" s="70" t="str">
        <f>SUBSTITUTE(F1859,",7)",",11)")</f>
        <v>C(U6,7,11)</v>
      </c>
      <c r="G1863" s="73"/>
      <c r="H1863" s="76"/>
      <c r="I1863" s="96"/>
      <c r="J1863" s="76"/>
      <c r="K1863" s="76"/>
      <c r="L1863" s="76"/>
      <c r="M1863" s="76"/>
      <c r="N1863" s="76"/>
      <c r="O1863" s="76"/>
      <c r="P1863" s="76"/>
      <c r="Q1863" s="76"/>
      <c r="R1863" s="76"/>
      <c r="S1863" s="76"/>
      <c r="T1863" s="76"/>
      <c r="U1863" s="76"/>
      <c r="V1863" s="76"/>
      <c r="W1863" s="76"/>
      <c r="X1863" s="76"/>
      <c r="Y1863" s="76"/>
      <c r="Z1863" s="76"/>
      <c r="AA1863" s="76"/>
      <c r="AB1863" s="76"/>
      <c r="AC1863" s="76"/>
      <c r="AD1863" s="76"/>
      <c r="AE1863" s="76"/>
      <c r="AF1863" s="76"/>
      <c r="AG1863" s="76"/>
      <c r="AH1863" s="76"/>
      <c r="AI1863" s="76">
        <v>1</v>
      </c>
      <c r="AJ1863" s="76">
        <v>1</v>
      </c>
      <c r="AK1863" s="73"/>
      <c r="AL1863" s="57"/>
      <c r="AM1863" s="45"/>
      <c r="AN1863" s="45"/>
      <c r="AO1863" s="45"/>
    </row>
    <row r="1864" spans="1:41" hidden="1" outlineLevel="3" x14ac:dyDescent="0.25">
      <c r="A1864" s="45"/>
      <c r="B1864" s="54"/>
      <c r="C1864" s="47">
        <f t="shared" ref="C1864:C1865" si="648">INT($C$29)+3</f>
        <v>4</v>
      </c>
      <c r="D1864" s="73"/>
      <c r="E1864" s="70"/>
      <c r="F1864" s="70" t="str">
        <f>SUBSTITUTE(F1858,",6)",",12)")</f>
        <v>C(U6,7,12)</v>
      </c>
      <c r="G1864" s="73"/>
      <c r="H1864" s="76"/>
      <c r="I1864" s="96"/>
      <c r="J1864" s="76"/>
      <c r="K1864" s="76"/>
      <c r="L1864" s="76"/>
      <c r="M1864" s="76"/>
      <c r="N1864" s="76"/>
      <c r="O1864" s="76"/>
      <c r="P1864" s="76"/>
      <c r="Q1864" s="76"/>
      <c r="R1864" s="76"/>
      <c r="S1864" s="76"/>
      <c r="T1864" s="76"/>
      <c r="U1864" s="76"/>
      <c r="V1864" s="76"/>
      <c r="W1864" s="76"/>
      <c r="X1864" s="76"/>
      <c r="Y1864" s="76"/>
      <c r="Z1864" s="76"/>
      <c r="AA1864" s="76"/>
      <c r="AB1864" s="76"/>
      <c r="AC1864" s="76"/>
      <c r="AD1864" s="76"/>
      <c r="AE1864" s="76"/>
      <c r="AF1864" s="76"/>
      <c r="AG1864" s="76"/>
      <c r="AH1864" s="76"/>
      <c r="AI1864" s="76">
        <v>1</v>
      </c>
      <c r="AJ1864" s="76">
        <v>1</v>
      </c>
      <c r="AK1864" s="73"/>
      <c r="AL1864" s="57"/>
      <c r="AM1864" s="45"/>
      <c r="AN1864" s="45"/>
      <c r="AO1864" s="45"/>
    </row>
    <row r="1865" spans="1:41" hidden="1" outlineLevel="3" x14ac:dyDescent="0.25">
      <c r="A1865" s="45"/>
      <c r="B1865" s="54"/>
      <c r="C1865" s="47">
        <f t="shared" si="648"/>
        <v>4</v>
      </c>
      <c r="D1865" s="73"/>
      <c r="E1865" s="70"/>
      <c r="F1865" s="70" t="str">
        <f>SUBSTITUTE(F1859,",7)",",13)")</f>
        <v>C(U6,7,13)</v>
      </c>
      <c r="G1865" s="73"/>
      <c r="H1865" s="76"/>
      <c r="I1865" s="96"/>
      <c r="J1865" s="76"/>
      <c r="K1865" s="76"/>
      <c r="L1865" s="76"/>
      <c r="M1865" s="76"/>
      <c r="N1865" s="76"/>
      <c r="O1865" s="76"/>
      <c r="P1865" s="76"/>
      <c r="Q1865" s="76"/>
      <c r="R1865" s="76"/>
      <c r="S1865" s="76"/>
      <c r="T1865" s="76"/>
      <c r="U1865" s="76"/>
      <c r="V1865" s="76"/>
      <c r="W1865" s="76"/>
      <c r="X1865" s="76"/>
      <c r="Y1865" s="76"/>
      <c r="Z1865" s="76"/>
      <c r="AA1865" s="76"/>
      <c r="AB1865" s="76"/>
      <c r="AC1865" s="76"/>
      <c r="AD1865" s="76"/>
      <c r="AE1865" s="76"/>
      <c r="AF1865" s="76"/>
      <c r="AG1865" s="76"/>
      <c r="AH1865" s="76"/>
      <c r="AI1865" s="76">
        <v>1</v>
      </c>
      <c r="AJ1865" s="76">
        <v>1</v>
      </c>
      <c r="AK1865" s="73"/>
      <c r="AL1865" s="57"/>
      <c r="AM1865" s="45"/>
      <c r="AN1865" s="45"/>
      <c r="AO1865" s="45"/>
    </row>
    <row r="1866" spans="1:41" hidden="1" outlineLevel="3" x14ac:dyDescent="0.25">
      <c r="A1866" s="45"/>
      <c r="B1866" s="54"/>
      <c r="C1866" s="47">
        <f>INT($C$29)+3</f>
        <v>4</v>
      </c>
      <c r="D1866" s="73"/>
      <c r="E1866" s="398"/>
      <c r="F1866" s="398" t="s">
        <v>3568</v>
      </c>
      <c r="G1866" s="73"/>
      <c r="H1866" s="109"/>
      <c r="I1866" s="109"/>
      <c r="J1866" s="109"/>
      <c r="K1866" s="109"/>
      <c r="L1866" s="109"/>
      <c r="M1866" s="109"/>
      <c r="N1866" s="109"/>
      <c r="O1866" s="109"/>
      <c r="P1866" s="109"/>
      <c r="Q1866" s="109"/>
      <c r="R1866" s="109"/>
      <c r="S1866" s="109"/>
      <c r="T1866" s="109"/>
      <c r="U1866" s="109"/>
      <c r="V1866" s="109"/>
      <c r="W1866" s="109"/>
      <c r="X1866" s="109"/>
      <c r="Y1866" s="109"/>
      <c r="Z1866" s="109"/>
      <c r="AA1866" s="109"/>
      <c r="AB1866" s="109"/>
      <c r="AC1866" s="109"/>
      <c r="AD1866" s="109"/>
      <c r="AE1866" s="109"/>
      <c r="AF1866" s="109"/>
      <c r="AG1866" s="109"/>
      <c r="AH1866" s="109"/>
      <c r="AI1866" s="109">
        <v>1</v>
      </c>
      <c r="AJ1866" s="109">
        <v>1</v>
      </c>
      <c r="AK1866" s="73"/>
      <c r="AL1866" s="57"/>
      <c r="AM1866" s="45"/>
      <c r="AN1866" s="45"/>
      <c r="AO1866" s="45"/>
    </row>
    <row r="1867" spans="1:41" hidden="1" outlineLevel="2" x14ac:dyDescent="0.25">
      <c r="A1867" s="45"/>
      <c r="B1867" s="54"/>
      <c r="C1867" s="47">
        <f>INT($C$29)+2</f>
        <v>3</v>
      </c>
      <c r="D1867" s="73"/>
      <c r="E1867" s="402"/>
      <c r="F1867" s="402" t="s">
        <v>3569</v>
      </c>
      <c r="G1867" s="403"/>
      <c r="H1867" s="181" t="s">
        <v>3733</v>
      </c>
      <c r="I1867" s="181"/>
      <c r="J1867" s="181"/>
      <c r="K1867" s="181"/>
      <c r="L1867" s="181"/>
      <c r="M1867" s="181"/>
      <c r="N1867" s="181"/>
      <c r="O1867" s="181"/>
      <c r="P1867" s="181"/>
      <c r="Q1867" s="181"/>
      <c r="R1867" s="181"/>
      <c r="S1867" s="181"/>
      <c r="T1867" s="181"/>
      <c r="U1867" s="404">
        <v>0.52490000000000003</v>
      </c>
      <c r="V1867" s="405">
        <f>U1867</f>
        <v>0.52490000000000003</v>
      </c>
      <c r="W1867" s="405">
        <f t="shared" ref="W1867:W1868" si="649">U1867</f>
        <v>0.52490000000000003</v>
      </c>
      <c r="X1867" s="405">
        <f t="shared" ref="X1867:X1868" si="650">V1867</f>
        <v>0.52490000000000003</v>
      </c>
      <c r="Y1867" s="405">
        <f t="shared" ref="Y1867:Y1868" si="651">W1867</f>
        <v>0.52490000000000003</v>
      </c>
      <c r="Z1867" s="405">
        <f t="shared" ref="Z1867:Z1868" si="652">X1867</f>
        <v>0.52490000000000003</v>
      </c>
      <c r="AA1867" s="405">
        <f t="shared" ref="AA1867:AA1868" si="653">Y1867</f>
        <v>0.52490000000000003</v>
      </c>
      <c r="AB1867" s="404">
        <f t="shared" ref="AB1867:AB1881" si="654">U1867</f>
        <v>0.52490000000000003</v>
      </c>
      <c r="AC1867" s="405">
        <f t="shared" ref="AC1867:AC1868" si="655">AB1867</f>
        <v>0.52490000000000003</v>
      </c>
      <c r="AD1867" s="405">
        <f t="shared" ref="AD1867:AD1868" si="656">AC1867</f>
        <v>0.52490000000000003</v>
      </c>
      <c r="AE1867" s="405">
        <f>AD1867</f>
        <v>0.52490000000000003</v>
      </c>
      <c r="AF1867" s="181"/>
      <c r="AG1867" s="404" t="s">
        <v>3496</v>
      </c>
      <c r="AH1867" s="181"/>
      <c r="AI1867" s="404">
        <v>1</v>
      </c>
      <c r="AJ1867" s="404">
        <v>1</v>
      </c>
      <c r="AK1867" s="73"/>
      <c r="AL1867" s="57"/>
      <c r="AM1867" s="45"/>
      <c r="AN1867" s="45"/>
      <c r="AO1867" s="45"/>
    </row>
    <row r="1868" spans="1:41" hidden="1" outlineLevel="2" collapsed="1" x14ac:dyDescent="0.25">
      <c r="A1868" s="45"/>
      <c r="B1868" s="54"/>
      <c r="C1868" s="47">
        <f>INT($C$29)+2</f>
        <v>3</v>
      </c>
      <c r="D1868" s="73"/>
      <c r="E1868" s="70"/>
      <c r="F1868" s="70" t="s">
        <v>3570</v>
      </c>
      <c r="G1868" s="234"/>
      <c r="H1868" s="76" t="s">
        <v>3494</v>
      </c>
      <c r="I1868" s="76"/>
      <c r="J1868" s="76"/>
      <c r="K1868" s="76"/>
      <c r="L1868" s="76"/>
      <c r="M1868" s="76"/>
      <c r="N1868" s="76"/>
      <c r="O1868" s="76"/>
      <c r="P1868" s="76"/>
      <c r="Q1868" s="76"/>
      <c r="R1868" s="76"/>
      <c r="S1868" s="76"/>
      <c r="T1868" s="76"/>
      <c r="U1868" s="97">
        <v>-4.2820000000000002E-3</v>
      </c>
      <c r="V1868" s="255">
        <f>U1868</f>
        <v>-4.2820000000000002E-3</v>
      </c>
      <c r="W1868" s="255">
        <f t="shared" si="649"/>
        <v>-4.2820000000000002E-3</v>
      </c>
      <c r="X1868" s="255">
        <f t="shared" si="650"/>
        <v>-4.2820000000000002E-3</v>
      </c>
      <c r="Y1868" s="255">
        <f t="shared" si="651"/>
        <v>-4.2820000000000002E-3</v>
      </c>
      <c r="Z1868" s="255">
        <f t="shared" si="652"/>
        <v>-4.2820000000000002E-3</v>
      </c>
      <c r="AA1868" s="255">
        <f t="shared" si="653"/>
        <v>-4.2820000000000002E-3</v>
      </c>
      <c r="AB1868" s="97">
        <f t="shared" si="654"/>
        <v>-4.2820000000000002E-3</v>
      </c>
      <c r="AC1868" s="400">
        <f t="shared" si="655"/>
        <v>-4.2820000000000002E-3</v>
      </c>
      <c r="AD1868" s="400">
        <f t="shared" si="656"/>
        <v>-4.2820000000000002E-3</v>
      </c>
      <c r="AE1868" s="400">
        <f>AD1868</f>
        <v>-4.2820000000000002E-3</v>
      </c>
      <c r="AF1868" s="76"/>
      <c r="AG1868" s="97" t="s">
        <v>3771</v>
      </c>
      <c r="AH1868" s="76"/>
      <c r="AI1868" s="97">
        <v>1</v>
      </c>
      <c r="AJ1868" s="97">
        <v>1</v>
      </c>
      <c r="AK1868" s="73"/>
      <c r="AL1868" s="57"/>
      <c r="AM1868" s="45"/>
      <c r="AN1868" s="45"/>
      <c r="AO1868" s="45"/>
    </row>
    <row r="1869" spans="1:41" hidden="1" outlineLevel="3" x14ac:dyDescent="0.25">
      <c r="A1869" s="45"/>
      <c r="B1869" s="54"/>
      <c r="C1869" s="47">
        <f>INT($C$29)+2</f>
        <v>3</v>
      </c>
      <c r="D1869" s="73"/>
      <c r="E1869" s="70"/>
      <c r="F1869" s="70" t="s">
        <v>3571</v>
      </c>
      <c r="G1869" s="234"/>
      <c r="H1869" s="76" t="s">
        <v>3488</v>
      </c>
      <c r="I1869" s="76"/>
      <c r="J1869" s="76"/>
      <c r="K1869" s="76"/>
      <c r="L1869" s="76"/>
      <c r="M1869" s="76"/>
      <c r="N1869" s="76"/>
      <c r="O1869" s="76"/>
      <c r="P1869" s="76"/>
      <c r="Q1869" s="76"/>
      <c r="R1869" s="76"/>
      <c r="S1869" s="76"/>
      <c r="T1869" s="76"/>
      <c r="U1869" s="76"/>
      <c r="V1869" s="76"/>
      <c r="W1869" s="76"/>
      <c r="X1869" s="76"/>
      <c r="Y1869" s="76"/>
      <c r="Z1869" s="76"/>
      <c r="AA1869" s="76"/>
      <c r="AB1869" s="76">
        <f t="shared" si="654"/>
        <v>0</v>
      </c>
      <c r="AC1869" s="76"/>
      <c r="AD1869" s="76"/>
      <c r="AE1869" s="76"/>
      <c r="AF1869" s="76"/>
      <c r="AG1869" s="76"/>
      <c r="AH1869" s="76"/>
      <c r="AI1869" s="76">
        <v>1</v>
      </c>
      <c r="AJ1869" s="76">
        <v>1</v>
      </c>
      <c r="AK1869" s="73"/>
      <c r="AL1869" s="57"/>
      <c r="AM1869" s="45"/>
      <c r="AN1869" s="45"/>
      <c r="AO1869" s="45"/>
    </row>
    <row r="1870" spans="1:41" hidden="1" outlineLevel="3" x14ac:dyDescent="0.25">
      <c r="A1870" s="45"/>
      <c r="B1870" s="54"/>
      <c r="C1870" s="47">
        <f>INT($C$29)+3</f>
        <v>4</v>
      </c>
      <c r="D1870" s="73"/>
      <c r="E1870" s="70"/>
      <c r="F1870" s="70" t="s">
        <v>3572</v>
      </c>
      <c r="G1870" s="234"/>
      <c r="H1870" s="76" t="s">
        <v>3482</v>
      </c>
      <c r="I1870" s="96"/>
      <c r="J1870" s="76"/>
      <c r="K1870" s="76"/>
      <c r="L1870" s="76"/>
      <c r="M1870" s="76"/>
      <c r="N1870" s="76"/>
      <c r="O1870" s="76"/>
      <c r="P1870" s="76"/>
      <c r="Q1870" s="76"/>
      <c r="R1870" s="76"/>
      <c r="S1870" s="76"/>
      <c r="T1870" s="76"/>
      <c r="U1870" s="76"/>
      <c r="V1870" s="76"/>
      <c r="W1870" s="76"/>
      <c r="X1870" s="76"/>
      <c r="Y1870" s="76"/>
      <c r="Z1870" s="76"/>
      <c r="AA1870" s="76"/>
      <c r="AB1870" s="76">
        <f t="shared" si="654"/>
        <v>0</v>
      </c>
      <c r="AC1870" s="76"/>
      <c r="AD1870" s="76"/>
      <c r="AE1870" s="76"/>
      <c r="AF1870" s="76"/>
      <c r="AG1870" s="76"/>
      <c r="AH1870" s="76"/>
      <c r="AI1870" s="76">
        <v>1</v>
      </c>
      <c r="AJ1870" s="76">
        <v>1</v>
      </c>
      <c r="AK1870" s="73"/>
      <c r="AL1870" s="57"/>
      <c r="AM1870" s="45"/>
      <c r="AN1870" s="45"/>
      <c r="AO1870" s="45"/>
    </row>
    <row r="1871" spans="1:41" hidden="1" outlineLevel="2" collapsed="1" x14ac:dyDescent="0.25">
      <c r="A1871" s="45"/>
      <c r="B1871" s="54"/>
      <c r="C1871" s="47">
        <f>INT($C$29)+2</f>
        <v>3</v>
      </c>
      <c r="D1871" s="73"/>
      <c r="E1871" s="70"/>
      <c r="F1871" s="70" t="s">
        <v>3573</v>
      </c>
      <c r="G1871" s="234"/>
      <c r="H1871" s="76" t="s">
        <v>3489</v>
      </c>
      <c r="I1871" s="76"/>
      <c r="J1871" s="76"/>
      <c r="K1871" s="76"/>
      <c r="L1871" s="76"/>
      <c r="M1871" s="76"/>
      <c r="N1871" s="76"/>
      <c r="O1871" s="76"/>
      <c r="P1871" s="76"/>
      <c r="Q1871" s="76"/>
      <c r="R1871" s="76"/>
      <c r="S1871" s="76"/>
      <c r="T1871" s="76"/>
      <c r="U1871" s="97">
        <v>5.5010000000000003E-2</v>
      </c>
      <c r="V1871" s="255">
        <f>U1871</f>
        <v>5.5010000000000003E-2</v>
      </c>
      <c r="W1871" s="255">
        <f t="shared" ref="W1871" si="657">U1871</f>
        <v>5.5010000000000003E-2</v>
      </c>
      <c r="X1871" s="255">
        <f t="shared" ref="X1871" si="658">V1871</f>
        <v>5.5010000000000003E-2</v>
      </c>
      <c r="Y1871" s="255">
        <f t="shared" ref="Y1871" si="659">W1871</f>
        <v>5.5010000000000003E-2</v>
      </c>
      <c r="Z1871" s="255">
        <f t="shared" ref="Z1871" si="660">X1871</f>
        <v>5.5010000000000003E-2</v>
      </c>
      <c r="AA1871" s="255">
        <f t="shared" ref="AA1871" si="661">Y1871</f>
        <v>5.5010000000000003E-2</v>
      </c>
      <c r="AB1871" s="97">
        <f t="shared" si="654"/>
        <v>5.5010000000000003E-2</v>
      </c>
      <c r="AC1871" s="400">
        <f t="shared" ref="AC1871" si="662">AB1871</f>
        <v>5.5010000000000003E-2</v>
      </c>
      <c r="AD1871" s="400">
        <f t="shared" ref="AD1871" si="663">AC1871</f>
        <v>5.5010000000000003E-2</v>
      </c>
      <c r="AE1871" s="400">
        <f>AD1871</f>
        <v>5.5010000000000003E-2</v>
      </c>
      <c r="AF1871" s="76"/>
      <c r="AG1871" s="76"/>
      <c r="AH1871" s="76"/>
      <c r="AI1871" s="97">
        <v>1</v>
      </c>
      <c r="AJ1871" s="97">
        <v>1</v>
      </c>
      <c r="AK1871" s="73"/>
      <c r="AL1871" s="57"/>
      <c r="AM1871" s="45"/>
      <c r="AN1871" s="45"/>
      <c r="AO1871" s="45"/>
    </row>
    <row r="1872" spans="1:41" hidden="1" outlineLevel="3" x14ac:dyDescent="0.25">
      <c r="A1872" s="45"/>
      <c r="B1872" s="54"/>
      <c r="C1872" s="47">
        <f>INT($C$29)+2</f>
        <v>3</v>
      </c>
      <c r="D1872" s="73"/>
      <c r="E1872" s="70"/>
      <c r="F1872" s="70" t="s">
        <v>3574</v>
      </c>
      <c r="G1872" s="234"/>
      <c r="H1872" s="76" t="s">
        <v>3483</v>
      </c>
      <c r="I1872" s="76"/>
      <c r="J1872" s="76"/>
      <c r="K1872" s="76"/>
      <c r="L1872" s="76"/>
      <c r="M1872" s="76"/>
      <c r="N1872" s="76"/>
      <c r="O1872" s="76"/>
      <c r="P1872" s="76"/>
      <c r="Q1872" s="76"/>
      <c r="R1872" s="76"/>
      <c r="S1872" s="76"/>
      <c r="T1872" s="76"/>
      <c r="U1872" s="76"/>
      <c r="V1872" s="76"/>
      <c r="W1872" s="76"/>
      <c r="X1872" s="76"/>
      <c r="Y1872" s="76"/>
      <c r="Z1872" s="76"/>
      <c r="AA1872" s="76"/>
      <c r="AB1872" s="76">
        <f t="shared" si="654"/>
        <v>0</v>
      </c>
      <c r="AC1872" s="76"/>
      <c r="AD1872" s="76"/>
      <c r="AE1872" s="76"/>
      <c r="AF1872" s="76"/>
      <c r="AG1872" s="76"/>
      <c r="AH1872" s="76"/>
      <c r="AI1872" s="76">
        <v>1</v>
      </c>
      <c r="AJ1872" s="76">
        <v>1</v>
      </c>
      <c r="AK1872" s="73"/>
      <c r="AL1872" s="57"/>
      <c r="AM1872" s="45"/>
      <c r="AN1872" s="45"/>
      <c r="AO1872" s="45"/>
    </row>
    <row r="1873" spans="1:41" hidden="1" outlineLevel="2" x14ac:dyDescent="0.25">
      <c r="A1873" s="45"/>
      <c r="B1873" s="54"/>
      <c r="C1873" s="47">
        <f t="shared" ref="C1873:C1880" si="664">INT($C$29)+3</f>
        <v>4</v>
      </c>
      <c r="D1873" s="73"/>
      <c r="E1873" s="70"/>
      <c r="F1873" s="70" t="s">
        <v>3575</v>
      </c>
      <c r="G1873" s="234"/>
      <c r="H1873" s="76" t="s">
        <v>3490</v>
      </c>
      <c r="I1873" s="96"/>
      <c r="J1873" s="76"/>
      <c r="K1873" s="76"/>
      <c r="L1873" s="76"/>
      <c r="M1873" s="76"/>
      <c r="N1873" s="76"/>
      <c r="O1873" s="76"/>
      <c r="P1873" s="76"/>
      <c r="Q1873" s="76"/>
      <c r="R1873" s="76"/>
      <c r="S1873" s="76"/>
      <c r="T1873" s="76"/>
      <c r="U1873" s="97">
        <v>0.14710000000000001</v>
      </c>
      <c r="V1873" s="255">
        <f>U1873</f>
        <v>0.14710000000000001</v>
      </c>
      <c r="W1873" s="255">
        <f t="shared" ref="W1873:Y1874" si="665">U1873</f>
        <v>0.14710000000000001</v>
      </c>
      <c r="X1873" s="255">
        <f t="shared" si="665"/>
        <v>0.14710000000000001</v>
      </c>
      <c r="Y1873" s="255">
        <f t="shared" si="665"/>
        <v>0.14710000000000001</v>
      </c>
      <c r="Z1873" s="255">
        <f t="shared" ref="Z1873:AA1874" si="666">X1873</f>
        <v>0.14710000000000001</v>
      </c>
      <c r="AA1873" s="255">
        <f t="shared" si="666"/>
        <v>0.14710000000000001</v>
      </c>
      <c r="AB1873" s="97">
        <f t="shared" si="654"/>
        <v>0.14710000000000001</v>
      </c>
      <c r="AC1873" s="400">
        <f t="shared" ref="AC1873:AC1874" si="667">AB1873</f>
        <v>0.14710000000000001</v>
      </c>
      <c r="AD1873" s="400">
        <f t="shared" ref="AD1873:AD1874" si="668">AC1873</f>
        <v>0.14710000000000001</v>
      </c>
      <c r="AE1873" s="400">
        <f>AD1873</f>
        <v>0.14710000000000001</v>
      </c>
      <c r="AF1873" s="76"/>
      <c r="AG1873" s="76"/>
      <c r="AH1873" s="76"/>
      <c r="AI1873" s="97">
        <v>1</v>
      </c>
      <c r="AJ1873" s="97">
        <v>1</v>
      </c>
      <c r="AK1873" s="73"/>
      <c r="AL1873" s="57"/>
      <c r="AM1873" s="45"/>
      <c r="AN1873" s="45"/>
      <c r="AO1873" s="45"/>
    </row>
    <row r="1874" spans="1:41" hidden="1" outlineLevel="2" collapsed="1" x14ac:dyDescent="0.25">
      <c r="A1874" s="45"/>
      <c r="B1874" s="54"/>
      <c r="C1874" s="47">
        <f t="shared" si="664"/>
        <v>4</v>
      </c>
      <c r="D1874" s="73"/>
      <c r="E1874" s="70"/>
      <c r="F1874" s="70" t="s">
        <v>3576</v>
      </c>
      <c r="G1874" s="234"/>
      <c r="H1874" s="76" t="s">
        <v>3484</v>
      </c>
      <c r="I1874" s="96"/>
      <c r="J1874" s="76"/>
      <c r="K1874" s="76"/>
      <c r="L1874" s="76"/>
      <c r="M1874" s="76"/>
      <c r="N1874" s="76"/>
      <c r="O1874" s="76"/>
      <c r="P1874" s="76"/>
      <c r="Q1874" s="76"/>
      <c r="R1874" s="76"/>
      <c r="S1874" s="76"/>
      <c r="T1874" s="76"/>
      <c r="U1874" s="97">
        <v>-3.7910000000000001E-3</v>
      </c>
      <c r="V1874" s="255">
        <f>U1874</f>
        <v>-3.7910000000000001E-3</v>
      </c>
      <c r="W1874" s="255">
        <f t="shared" si="665"/>
        <v>-3.7910000000000001E-3</v>
      </c>
      <c r="X1874" s="255">
        <f t="shared" si="665"/>
        <v>-3.7910000000000001E-3</v>
      </c>
      <c r="Y1874" s="255">
        <f t="shared" si="665"/>
        <v>-3.7910000000000001E-3</v>
      </c>
      <c r="Z1874" s="255">
        <f t="shared" si="666"/>
        <v>-3.7910000000000001E-3</v>
      </c>
      <c r="AA1874" s="255">
        <f t="shared" si="666"/>
        <v>-3.7910000000000001E-3</v>
      </c>
      <c r="AB1874" s="97">
        <f t="shared" si="654"/>
        <v>-3.7910000000000001E-3</v>
      </c>
      <c r="AC1874" s="400">
        <f t="shared" si="667"/>
        <v>-3.7910000000000001E-3</v>
      </c>
      <c r="AD1874" s="400">
        <f t="shared" si="668"/>
        <v>-3.7910000000000001E-3</v>
      </c>
      <c r="AE1874" s="400">
        <f>AD1874</f>
        <v>-3.7910000000000001E-3</v>
      </c>
      <c r="AF1874" s="76"/>
      <c r="AG1874" s="76"/>
      <c r="AH1874" s="76"/>
      <c r="AI1874" s="97">
        <v>1</v>
      </c>
      <c r="AJ1874" s="97">
        <v>1</v>
      </c>
      <c r="AK1874" s="73"/>
      <c r="AL1874" s="57"/>
      <c r="AM1874" s="45"/>
      <c r="AN1874" s="45"/>
      <c r="AO1874" s="45"/>
    </row>
    <row r="1875" spans="1:41" hidden="1" outlineLevel="3" x14ac:dyDescent="0.25">
      <c r="A1875" s="45"/>
      <c r="B1875" s="54"/>
      <c r="C1875" s="47">
        <f t="shared" si="664"/>
        <v>4</v>
      </c>
      <c r="D1875" s="73"/>
      <c r="E1875" s="70"/>
      <c r="F1875" s="70" t="str">
        <f>SUBSTITUTE(F1871,",4)",",8)")</f>
        <v>C(U6,8,8)</v>
      </c>
      <c r="G1875" s="73"/>
      <c r="H1875" s="76" t="s">
        <v>3491</v>
      </c>
      <c r="I1875" s="96"/>
      <c r="J1875" s="76"/>
      <c r="K1875" s="76"/>
      <c r="L1875" s="76"/>
      <c r="M1875" s="76"/>
      <c r="N1875" s="76"/>
      <c r="O1875" s="76"/>
      <c r="P1875" s="76"/>
      <c r="Q1875" s="76"/>
      <c r="R1875" s="76"/>
      <c r="S1875" s="76"/>
      <c r="T1875" s="76"/>
      <c r="U1875" s="76"/>
      <c r="V1875" s="76"/>
      <c r="W1875" s="76"/>
      <c r="X1875" s="76"/>
      <c r="Y1875" s="76"/>
      <c r="Z1875" s="76"/>
      <c r="AA1875" s="76"/>
      <c r="AB1875" s="76">
        <f t="shared" si="654"/>
        <v>0</v>
      </c>
      <c r="AC1875" s="76"/>
      <c r="AD1875" s="76"/>
      <c r="AE1875" s="76"/>
      <c r="AF1875" s="76"/>
      <c r="AG1875" s="76"/>
      <c r="AH1875" s="76"/>
      <c r="AI1875" s="76">
        <v>1</v>
      </c>
      <c r="AJ1875" s="76">
        <v>1</v>
      </c>
      <c r="AK1875" s="73"/>
      <c r="AL1875" s="57"/>
      <c r="AM1875" s="45"/>
      <c r="AN1875" s="45"/>
      <c r="AO1875" s="45"/>
    </row>
    <row r="1876" spans="1:41" hidden="1" outlineLevel="3" x14ac:dyDescent="0.25">
      <c r="A1876" s="45"/>
      <c r="B1876" s="54"/>
      <c r="C1876" s="47">
        <f t="shared" si="664"/>
        <v>4</v>
      </c>
      <c r="D1876" s="73"/>
      <c r="E1876" s="70"/>
      <c r="F1876" s="70" t="str">
        <f>SUBSTITUTE(F1872,",5)",",9)")</f>
        <v>C(U6,8,9)</v>
      </c>
      <c r="G1876" s="73"/>
      <c r="H1876" s="76" t="s">
        <v>3485</v>
      </c>
      <c r="I1876" s="96"/>
      <c r="J1876" s="76"/>
      <c r="K1876" s="76"/>
      <c r="L1876" s="76"/>
      <c r="M1876" s="76"/>
      <c r="N1876" s="76"/>
      <c r="O1876" s="76"/>
      <c r="P1876" s="76"/>
      <c r="Q1876" s="76"/>
      <c r="R1876" s="76"/>
      <c r="S1876" s="76"/>
      <c r="T1876" s="76"/>
      <c r="U1876" s="76"/>
      <c r="V1876" s="76"/>
      <c r="W1876" s="76"/>
      <c r="X1876" s="76"/>
      <c r="Y1876" s="76"/>
      <c r="Z1876" s="76"/>
      <c r="AA1876" s="76"/>
      <c r="AB1876" s="76">
        <f t="shared" si="654"/>
        <v>0</v>
      </c>
      <c r="AC1876" s="76"/>
      <c r="AD1876" s="76"/>
      <c r="AE1876" s="76"/>
      <c r="AF1876" s="76"/>
      <c r="AG1876" s="76"/>
      <c r="AH1876" s="76"/>
      <c r="AI1876" s="76">
        <v>1</v>
      </c>
      <c r="AJ1876" s="76">
        <v>1</v>
      </c>
      <c r="AK1876" s="73"/>
      <c r="AL1876" s="57"/>
      <c r="AM1876" s="45"/>
      <c r="AN1876" s="45"/>
      <c r="AO1876" s="45"/>
    </row>
    <row r="1877" spans="1:41" hidden="1" outlineLevel="3" x14ac:dyDescent="0.25">
      <c r="A1877" s="45"/>
      <c r="B1877" s="54"/>
      <c r="C1877" s="47">
        <f t="shared" si="664"/>
        <v>4</v>
      </c>
      <c r="D1877" s="73"/>
      <c r="E1877" s="70"/>
      <c r="F1877" s="70" t="str">
        <f>SUBSTITUTE(F1873,",6)",",10)")</f>
        <v>C(U6,8,10)</v>
      </c>
      <c r="G1877" s="73"/>
      <c r="H1877" s="76" t="s">
        <v>3492</v>
      </c>
      <c r="I1877" s="96"/>
      <c r="J1877" s="76"/>
      <c r="K1877" s="76"/>
      <c r="L1877" s="76"/>
      <c r="M1877" s="76"/>
      <c r="N1877" s="76"/>
      <c r="O1877" s="76"/>
      <c r="P1877" s="76"/>
      <c r="Q1877" s="76"/>
      <c r="R1877" s="76"/>
      <c r="S1877" s="76"/>
      <c r="T1877" s="76"/>
      <c r="U1877" s="76"/>
      <c r="V1877" s="76"/>
      <c r="W1877" s="76"/>
      <c r="X1877" s="76"/>
      <c r="Y1877" s="76"/>
      <c r="Z1877" s="76"/>
      <c r="AA1877" s="76"/>
      <c r="AB1877" s="76">
        <f t="shared" si="654"/>
        <v>0</v>
      </c>
      <c r="AC1877" s="76"/>
      <c r="AD1877" s="76"/>
      <c r="AE1877" s="76"/>
      <c r="AF1877" s="76"/>
      <c r="AG1877" s="76"/>
      <c r="AH1877" s="76"/>
      <c r="AI1877" s="76">
        <v>1</v>
      </c>
      <c r="AJ1877" s="76">
        <v>1</v>
      </c>
      <c r="AK1877" s="73"/>
      <c r="AL1877" s="57"/>
      <c r="AM1877" s="45"/>
      <c r="AN1877" s="45"/>
      <c r="AO1877" s="45"/>
    </row>
    <row r="1878" spans="1:41" hidden="1" outlineLevel="3" x14ac:dyDescent="0.25">
      <c r="A1878" s="45"/>
      <c r="B1878" s="54"/>
      <c r="C1878" s="47">
        <f t="shared" si="664"/>
        <v>4</v>
      </c>
      <c r="D1878" s="73"/>
      <c r="E1878" s="70"/>
      <c r="F1878" s="70" t="str">
        <f>SUBSTITUTE(F1874,",7)",",11)")</f>
        <v>C(U6,8,11)</v>
      </c>
      <c r="G1878" s="73"/>
      <c r="H1878" s="76" t="s">
        <v>3486</v>
      </c>
      <c r="I1878" s="96"/>
      <c r="J1878" s="76"/>
      <c r="K1878" s="76"/>
      <c r="L1878" s="76"/>
      <c r="M1878" s="76"/>
      <c r="N1878" s="76"/>
      <c r="O1878" s="76"/>
      <c r="P1878" s="76"/>
      <c r="Q1878" s="76"/>
      <c r="R1878" s="76"/>
      <c r="S1878" s="76"/>
      <c r="T1878" s="76"/>
      <c r="U1878" s="76"/>
      <c r="V1878" s="76"/>
      <c r="W1878" s="76"/>
      <c r="X1878" s="76"/>
      <c r="Y1878" s="76"/>
      <c r="Z1878" s="76"/>
      <c r="AA1878" s="76"/>
      <c r="AB1878" s="76">
        <f t="shared" si="654"/>
        <v>0</v>
      </c>
      <c r="AC1878" s="76"/>
      <c r="AD1878" s="76"/>
      <c r="AE1878" s="76"/>
      <c r="AF1878" s="76"/>
      <c r="AG1878" s="76"/>
      <c r="AH1878" s="76"/>
      <c r="AI1878" s="76">
        <v>1</v>
      </c>
      <c r="AJ1878" s="76">
        <v>1</v>
      </c>
      <c r="AK1878" s="73"/>
      <c r="AL1878" s="57"/>
      <c r="AM1878" s="45"/>
      <c r="AN1878" s="45"/>
      <c r="AO1878" s="45"/>
    </row>
    <row r="1879" spans="1:41" hidden="1" outlineLevel="2" collapsed="1" x14ac:dyDescent="0.25">
      <c r="A1879" s="45"/>
      <c r="B1879" s="54"/>
      <c r="C1879" s="47">
        <f t="shared" si="664"/>
        <v>4</v>
      </c>
      <c r="D1879" s="73"/>
      <c r="E1879" s="70"/>
      <c r="F1879" s="70" t="str">
        <f>SUBSTITUTE(F1873,",6)",",12)")</f>
        <v>C(U6,8,12)</v>
      </c>
      <c r="G1879" s="73"/>
      <c r="H1879" s="76" t="s">
        <v>1960</v>
      </c>
      <c r="I1879" s="76"/>
      <c r="J1879" s="76"/>
      <c r="K1879" s="76"/>
      <c r="L1879" s="76"/>
      <c r="M1879" s="76"/>
      <c r="N1879" s="76"/>
      <c r="O1879" s="76"/>
      <c r="P1879" s="76"/>
      <c r="Q1879" s="76"/>
      <c r="R1879" s="76"/>
      <c r="S1879" s="76"/>
      <c r="T1879" s="76"/>
      <c r="U1879" s="97">
        <v>-7.9950000000000004E-3</v>
      </c>
      <c r="V1879" s="255">
        <f>U1879</f>
        <v>-7.9950000000000004E-3</v>
      </c>
      <c r="W1879" s="255">
        <f t="shared" ref="W1879" si="669">U1879</f>
        <v>-7.9950000000000004E-3</v>
      </c>
      <c r="X1879" s="255">
        <f t="shared" ref="X1879" si="670">V1879</f>
        <v>-7.9950000000000004E-3</v>
      </c>
      <c r="Y1879" s="255">
        <f t="shared" ref="Y1879" si="671">W1879</f>
        <v>-7.9950000000000004E-3</v>
      </c>
      <c r="Z1879" s="255">
        <f t="shared" ref="Z1879" si="672">X1879</f>
        <v>-7.9950000000000004E-3</v>
      </c>
      <c r="AA1879" s="255">
        <f t="shared" ref="AA1879" si="673">Y1879</f>
        <v>-7.9950000000000004E-3</v>
      </c>
      <c r="AB1879" s="97">
        <f t="shared" si="654"/>
        <v>-7.9950000000000004E-3</v>
      </c>
      <c r="AC1879" s="400">
        <f t="shared" ref="AC1879" si="674">AB1879</f>
        <v>-7.9950000000000004E-3</v>
      </c>
      <c r="AD1879" s="400">
        <f t="shared" ref="AD1879" si="675">AC1879</f>
        <v>-7.9950000000000004E-3</v>
      </c>
      <c r="AE1879" s="400">
        <f>AD1879</f>
        <v>-7.9950000000000004E-3</v>
      </c>
      <c r="AF1879" s="76"/>
      <c r="AG1879" s="76"/>
      <c r="AH1879" s="76"/>
      <c r="AI1879" s="97">
        <v>1</v>
      </c>
      <c r="AJ1879" s="97">
        <v>1</v>
      </c>
      <c r="AK1879" s="73"/>
      <c r="AL1879" s="57"/>
      <c r="AM1879" s="45"/>
      <c r="AN1879" s="45"/>
      <c r="AO1879" s="45"/>
    </row>
    <row r="1880" spans="1:41" hidden="1" outlineLevel="3" x14ac:dyDescent="0.25">
      <c r="A1880" s="45"/>
      <c r="B1880" s="54"/>
      <c r="C1880" s="47">
        <f t="shared" si="664"/>
        <v>4</v>
      </c>
      <c r="D1880" s="73"/>
      <c r="E1880" s="70"/>
      <c r="F1880" s="70" t="str">
        <f>SUBSTITUTE(F1874,",7)",",13)")</f>
        <v>C(U6,8,13)</v>
      </c>
      <c r="G1880" s="73"/>
      <c r="H1880" s="76" t="s">
        <v>2458</v>
      </c>
      <c r="I1880" s="96"/>
      <c r="J1880" s="76"/>
      <c r="K1880" s="76"/>
      <c r="L1880" s="76"/>
      <c r="M1880" s="76"/>
      <c r="N1880" s="76"/>
      <c r="O1880" s="76"/>
      <c r="P1880" s="76"/>
      <c r="Q1880" s="76"/>
      <c r="R1880" s="76"/>
      <c r="S1880" s="76"/>
      <c r="T1880" s="76"/>
      <c r="U1880" s="76"/>
      <c r="V1880" s="76"/>
      <c r="W1880" s="76"/>
      <c r="X1880" s="76"/>
      <c r="Y1880" s="76"/>
      <c r="Z1880" s="76"/>
      <c r="AA1880" s="76"/>
      <c r="AB1880" s="76">
        <f t="shared" si="654"/>
        <v>0</v>
      </c>
      <c r="AC1880" s="76"/>
      <c r="AD1880" s="76"/>
      <c r="AE1880" s="76"/>
      <c r="AF1880" s="76"/>
      <c r="AG1880" s="76"/>
      <c r="AH1880" s="76"/>
      <c r="AI1880" s="76">
        <v>1</v>
      </c>
      <c r="AJ1880" s="76">
        <v>1</v>
      </c>
      <c r="AK1880" s="73"/>
      <c r="AL1880" s="57"/>
      <c r="AM1880" s="45"/>
      <c r="AN1880" s="45"/>
      <c r="AO1880" s="45"/>
    </row>
    <row r="1881" spans="1:41" hidden="1" outlineLevel="2" collapsed="1" x14ac:dyDescent="0.25">
      <c r="A1881" s="45"/>
      <c r="B1881" s="54"/>
      <c r="C1881" s="47">
        <f>INT($C$29)+2</f>
        <v>3</v>
      </c>
      <c r="D1881" s="73"/>
      <c r="E1881" s="406"/>
      <c r="F1881" s="406" t="s">
        <v>3577</v>
      </c>
      <c r="G1881" s="407"/>
      <c r="H1881" s="184" t="s">
        <v>3495</v>
      </c>
      <c r="I1881" s="184"/>
      <c r="J1881" s="184"/>
      <c r="K1881" s="184"/>
      <c r="L1881" s="184"/>
      <c r="M1881" s="184"/>
      <c r="N1881" s="184"/>
      <c r="O1881" s="184"/>
      <c r="P1881" s="184"/>
      <c r="Q1881" s="184"/>
      <c r="R1881" s="184"/>
      <c r="S1881" s="184"/>
      <c r="T1881" s="76" t="s">
        <v>3273</v>
      </c>
      <c r="U1881" s="409">
        <f>-14-1086.5*(U$1879+SUM(U$669:U$670)*0.5)</f>
        <v>-6.7655397499999994</v>
      </c>
      <c r="V1881" s="410">
        <f>U1881</f>
        <v>-6.7655397499999994</v>
      </c>
      <c r="W1881" s="410">
        <f t="shared" ref="W1881:X1881" si="676">V1881</f>
        <v>-6.7655397499999994</v>
      </c>
      <c r="X1881" s="410">
        <f t="shared" si="676"/>
        <v>-6.7655397499999994</v>
      </c>
      <c r="Y1881" s="410">
        <f t="shared" ref="Y1881" si="677">X1881</f>
        <v>-6.7655397499999994</v>
      </c>
      <c r="Z1881" s="410">
        <f t="shared" ref="Z1881" si="678">Y1881</f>
        <v>-6.7655397499999994</v>
      </c>
      <c r="AA1881" s="410">
        <f t="shared" ref="AA1881" si="679">Z1881</f>
        <v>-6.7655397499999994</v>
      </c>
      <c r="AB1881" s="409">
        <f t="shared" si="654"/>
        <v>-6.7655397499999994</v>
      </c>
      <c r="AC1881" s="410">
        <f>AB1881</f>
        <v>-6.7655397499999994</v>
      </c>
      <c r="AD1881" s="410">
        <f>AC1881</f>
        <v>-6.7655397499999994</v>
      </c>
      <c r="AE1881" s="410">
        <f>AD1881</f>
        <v>-6.7655397499999994</v>
      </c>
      <c r="AF1881" s="184"/>
      <c r="AG1881" s="184"/>
      <c r="AH1881" s="184"/>
      <c r="AI1881" s="409">
        <v>1</v>
      </c>
      <c r="AJ1881" s="409">
        <v>1</v>
      </c>
      <c r="AK1881" s="73"/>
      <c r="AL1881" s="57"/>
      <c r="AM1881" s="45"/>
      <c r="AN1881" s="45"/>
      <c r="AO1881" s="45"/>
    </row>
    <row r="1882" spans="1:41" hidden="1" outlineLevel="3" x14ac:dyDescent="0.25">
      <c r="A1882" s="45"/>
      <c r="B1882" s="54"/>
      <c r="C1882" s="47">
        <f t="shared" ref="C1882:C1886" si="680">INT($C$29)+3</f>
        <v>4</v>
      </c>
      <c r="D1882" s="73"/>
      <c r="E1882" s="70"/>
      <c r="F1882" s="70" t="s">
        <v>3583</v>
      </c>
      <c r="G1882" s="73"/>
      <c r="H1882" s="76" t="s">
        <v>599</v>
      </c>
      <c r="I1882" s="76"/>
      <c r="J1882" s="76"/>
      <c r="K1882" s="76"/>
      <c r="L1882" s="76"/>
      <c r="M1882" s="76"/>
      <c r="N1882" s="76"/>
      <c r="O1882" s="76"/>
      <c r="P1882" s="76"/>
      <c r="Q1882" s="76"/>
      <c r="R1882" s="76"/>
      <c r="S1882" s="76"/>
      <c r="T1882" s="76"/>
      <c r="U1882" s="76"/>
      <c r="V1882" s="76"/>
      <c r="W1882" s="76"/>
      <c r="X1882" s="76"/>
      <c r="Y1882" s="76"/>
      <c r="Z1882" s="76"/>
      <c r="AA1882" s="76"/>
      <c r="AB1882" s="76"/>
      <c r="AC1882" s="76"/>
      <c r="AD1882" s="76"/>
      <c r="AE1882" s="76"/>
      <c r="AF1882" s="76"/>
      <c r="AG1882" s="76"/>
      <c r="AH1882" s="76"/>
      <c r="AI1882" s="76">
        <v>1</v>
      </c>
      <c r="AJ1882" s="76">
        <v>1</v>
      </c>
      <c r="AK1882" s="73"/>
      <c r="AL1882" s="57"/>
      <c r="AM1882" s="45"/>
      <c r="AN1882" s="45"/>
      <c r="AO1882" s="45"/>
    </row>
    <row r="1883" spans="1:41" hidden="1" outlineLevel="3" x14ac:dyDescent="0.25">
      <c r="A1883" s="45"/>
      <c r="B1883" s="54"/>
      <c r="C1883" s="47">
        <f t="shared" si="680"/>
        <v>4</v>
      </c>
      <c r="D1883" s="73"/>
      <c r="E1883" s="70"/>
      <c r="F1883" s="70" t="s">
        <v>3584</v>
      </c>
      <c r="G1883" s="73"/>
      <c r="H1883" s="76"/>
      <c r="I1883" s="76"/>
      <c r="J1883" s="76"/>
      <c r="K1883" s="76"/>
      <c r="L1883" s="76"/>
      <c r="M1883" s="76"/>
      <c r="N1883" s="76"/>
      <c r="O1883" s="76"/>
      <c r="P1883" s="76"/>
      <c r="Q1883" s="76"/>
      <c r="R1883" s="76"/>
      <c r="S1883" s="76"/>
      <c r="T1883" s="76"/>
      <c r="U1883" s="76"/>
      <c r="V1883" s="76"/>
      <c r="W1883" s="76"/>
      <c r="X1883" s="76"/>
      <c r="Y1883" s="76"/>
      <c r="Z1883" s="76"/>
      <c r="AA1883" s="76"/>
      <c r="AB1883" s="76"/>
      <c r="AC1883" s="76"/>
      <c r="AD1883" s="76"/>
      <c r="AE1883" s="76"/>
      <c r="AF1883" s="76"/>
      <c r="AG1883" s="76"/>
      <c r="AH1883" s="76"/>
      <c r="AI1883" s="76">
        <v>1</v>
      </c>
      <c r="AJ1883" s="76">
        <v>1</v>
      </c>
      <c r="AK1883" s="73"/>
      <c r="AL1883" s="57"/>
      <c r="AM1883" s="45"/>
      <c r="AN1883" s="45"/>
      <c r="AO1883" s="45"/>
    </row>
    <row r="1884" spans="1:41" hidden="1" outlineLevel="3" x14ac:dyDescent="0.25">
      <c r="A1884" s="45"/>
      <c r="B1884" s="54"/>
      <c r="C1884" s="47">
        <f t="shared" si="680"/>
        <v>4</v>
      </c>
      <c r="D1884" s="73"/>
      <c r="E1884" s="70"/>
      <c r="F1884" s="70" t="s">
        <v>3585</v>
      </c>
      <c r="G1884" s="73"/>
      <c r="H1884" s="76"/>
      <c r="I1884" s="76"/>
      <c r="J1884" s="76"/>
      <c r="K1884" s="76"/>
      <c r="L1884" s="76"/>
      <c r="M1884" s="76"/>
      <c r="N1884" s="76"/>
      <c r="O1884" s="76"/>
      <c r="P1884" s="76"/>
      <c r="Q1884" s="76"/>
      <c r="R1884" s="76"/>
      <c r="S1884" s="76"/>
      <c r="T1884" s="76"/>
      <c r="U1884" s="76"/>
      <c r="V1884" s="76"/>
      <c r="W1884" s="76"/>
      <c r="X1884" s="76"/>
      <c r="Y1884" s="76"/>
      <c r="Z1884" s="76"/>
      <c r="AA1884" s="76"/>
      <c r="AB1884" s="76"/>
      <c r="AC1884" s="76"/>
      <c r="AD1884" s="76"/>
      <c r="AE1884" s="76"/>
      <c r="AF1884" s="76"/>
      <c r="AG1884" s="76"/>
      <c r="AH1884" s="76"/>
      <c r="AI1884" s="76">
        <v>1</v>
      </c>
      <c r="AJ1884" s="76">
        <v>1</v>
      </c>
      <c r="AK1884" s="73"/>
      <c r="AL1884" s="57"/>
      <c r="AM1884" s="45"/>
      <c r="AN1884" s="45"/>
      <c r="AO1884" s="45"/>
    </row>
    <row r="1885" spans="1:41" hidden="1" outlineLevel="3" x14ac:dyDescent="0.25">
      <c r="A1885" s="45"/>
      <c r="B1885" s="54"/>
      <c r="C1885" s="47">
        <f t="shared" si="680"/>
        <v>4</v>
      </c>
      <c r="D1885" s="73"/>
      <c r="E1885" s="70"/>
      <c r="F1885" s="70" t="s">
        <v>3586</v>
      </c>
      <c r="G1885" s="73"/>
      <c r="H1885" s="76"/>
      <c r="I1885" s="76"/>
      <c r="J1885" s="76"/>
      <c r="K1885" s="76"/>
      <c r="L1885" s="76"/>
      <c r="M1885" s="76"/>
      <c r="N1885" s="76"/>
      <c r="O1885" s="76"/>
      <c r="P1885" s="76"/>
      <c r="Q1885" s="76"/>
      <c r="R1885" s="76"/>
      <c r="S1885" s="76"/>
      <c r="T1885" s="76"/>
      <c r="U1885" s="76"/>
      <c r="V1885" s="76"/>
      <c r="W1885" s="76"/>
      <c r="X1885" s="76"/>
      <c r="Y1885" s="76"/>
      <c r="Z1885" s="76"/>
      <c r="AA1885" s="76"/>
      <c r="AB1885" s="76"/>
      <c r="AC1885" s="76"/>
      <c r="AD1885" s="76"/>
      <c r="AE1885" s="76"/>
      <c r="AF1885" s="76"/>
      <c r="AG1885" s="76"/>
      <c r="AH1885" s="76"/>
      <c r="AI1885" s="76">
        <v>1</v>
      </c>
      <c r="AJ1885" s="76">
        <v>1</v>
      </c>
      <c r="AK1885" s="73"/>
      <c r="AL1885" s="57"/>
      <c r="AM1885" s="45"/>
      <c r="AN1885" s="45"/>
      <c r="AO1885" s="45"/>
    </row>
    <row r="1886" spans="1:41" hidden="1" outlineLevel="3" x14ac:dyDescent="0.25">
      <c r="A1886" s="45"/>
      <c r="B1886" s="54"/>
      <c r="C1886" s="47">
        <f t="shared" si="680"/>
        <v>4</v>
      </c>
      <c r="D1886" s="73"/>
      <c r="E1886" s="70"/>
      <c r="F1886" s="70" t="s">
        <v>3587</v>
      </c>
      <c r="G1886" s="73"/>
      <c r="H1886" s="76"/>
      <c r="I1886" s="76"/>
      <c r="J1886" s="76"/>
      <c r="K1886" s="76"/>
      <c r="L1886" s="76"/>
      <c r="M1886" s="76"/>
      <c r="N1886" s="76"/>
      <c r="O1886" s="76"/>
      <c r="P1886" s="76"/>
      <c r="Q1886" s="76"/>
      <c r="R1886" s="76"/>
      <c r="S1886" s="76"/>
      <c r="T1886" s="76"/>
      <c r="U1886" s="76"/>
      <c r="V1886" s="76"/>
      <c r="W1886" s="76"/>
      <c r="X1886" s="76"/>
      <c r="Y1886" s="76"/>
      <c r="Z1886" s="76"/>
      <c r="AA1886" s="76"/>
      <c r="AB1886" s="76"/>
      <c r="AC1886" s="76"/>
      <c r="AD1886" s="76"/>
      <c r="AE1886" s="76"/>
      <c r="AF1886" s="76"/>
      <c r="AG1886" s="76"/>
      <c r="AH1886" s="76"/>
      <c r="AI1886" s="76">
        <v>1</v>
      </c>
      <c r="AJ1886" s="76">
        <v>1</v>
      </c>
      <c r="AK1886" s="73"/>
      <c r="AL1886" s="57"/>
      <c r="AM1886" s="45"/>
      <c r="AN1886" s="45"/>
      <c r="AO1886" s="45"/>
    </row>
    <row r="1887" spans="1:41" hidden="1" outlineLevel="3" x14ac:dyDescent="0.25">
      <c r="A1887" s="45"/>
      <c r="B1887" s="54"/>
      <c r="C1887" s="47"/>
      <c r="D1887" s="73"/>
      <c r="E1887" s="70"/>
      <c r="F1887" s="70" t="s">
        <v>3588</v>
      </c>
      <c r="G1887" s="73"/>
      <c r="H1887" s="76"/>
      <c r="I1887" s="76"/>
      <c r="J1887" s="76"/>
      <c r="K1887" s="76"/>
      <c r="L1887" s="76"/>
      <c r="M1887" s="76"/>
      <c r="N1887" s="76"/>
      <c r="O1887" s="76"/>
      <c r="P1887" s="76"/>
      <c r="Q1887" s="76"/>
      <c r="R1887" s="76"/>
      <c r="S1887" s="76"/>
      <c r="T1887" s="76"/>
      <c r="U1887" s="76"/>
      <c r="V1887" s="76"/>
      <c r="W1887" s="76"/>
      <c r="X1887" s="76"/>
      <c r="Y1887" s="76"/>
      <c r="Z1887" s="76"/>
      <c r="AA1887" s="76"/>
      <c r="AB1887" s="76"/>
      <c r="AC1887" s="76"/>
      <c r="AD1887" s="76"/>
      <c r="AE1887" s="76"/>
      <c r="AF1887" s="76"/>
      <c r="AG1887" s="76"/>
      <c r="AH1887" s="76"/>
      <c r="AI1887" s="76">
        <v>1</v>
      </c>
      <c r="AJ1887" s="76">
        <v>1</v>
      </c>
      <c r="AK1887" s="73"/>
      <c r="AL1887" s="57"/>
      <c r="AM1887" s="45"/>
      <c r="AN1887" s="45"/>
      <c r="AO1887" s="45"/>
    </row>
    <row r="1888" spans="1:41" hidden="1" outlineLevel="3" x14ac:dyDescent="0.25">
      <c r="A1888" s="45"/>
      <c r="B1888" s="54"/>
      <c r="C1888" s="47"/>
      <c r="D1888" s="73"/>
      <c r="E1888" s="70"/>
      <c r="F1888" s="70" t="s">
        <v>3589</v>
      </c>
      <c r="G1888" s="73"/>
      <c r="H1888" s="76"/>
      <c r="I1888" s="76"/>
      <c r="J1888" s="76"/>
      <c r="K1888" s="76"/>
      <c r="L1888" s="76"/>
      <c r="M1888" s="76"/>
      <c r="N1888" s="76"/>
      <c r="O1888" s="76"/>
      <c r="P1888" s="76"/>
      <c r="Q1888" s="76"/>
      <c r="R1888" s="76"/>
      <c r="S1888" s="76"/>
      <c r="T1888" s="76"/>
      <c r="U1888" s="76"/>
      <c r="V1888" s="76"/>
      <c r="W1888" s="76"/>
      <c r="X1888" s="76"/>
      <c r="Y1888" s="76"/>
      <c r="Z1888" s="76"/>
      <c r="AA1888" s="76"/>
      <c r="AB1888" s="76"/>
      <c r="AC1888" s="76"/>
      <c r="AD1888" s="76"/>
      <c r="AE1888" s="76"/>
      <c r="AF1888" s="76"/>
      <c r="AG1888" s="76"/>
      <c r="AH1888" s="76"/>
      <c r="AI1888" s="76">
        <v>1</v>
      </c>
      <c r="AJ1888" s="76">
        <v>1</v>
      </c>
      <c r="AK1888" s="73"/>
      <c r="AL1888" s="57"/>
      <c r="AM1888" s="45"/>
      <c r="AN1888" s="45"/>
      <c r="AO1888" s="45"/>
    </row>
    <row r="1889" spans="1:41" hidden="1" outlineLevel="3" x14ac:dyDescent="0.25">
      <c r="A1889" s="45"/>
      <c r="B1889" s="54"/>
      <c r="C1889" s="47"/>
      <c r="D1889" s="73"/>
      <c r="E1889" s="70"/>
      <c r="F1889" s="70" t="s">
        <v>3590</v>
      </c>
      <c r="G1889" s="73"/>
      <c r="H1889" s="76"/>
      <c r="I1889" s="76"/>
      <c r="J1889" s="76"/>
      <c r="K1889" s="76"/>
      <c r="L1889" s="76"/>
      <c r="M1889" s="76"/>
      <c r="N1889" s="76"/>
      <c r="O1889" s="76"/>
      <c r="P1889" s="76"/>
      <c r="Q1889" s="76"/>
      <c r="R1889" s="76"/>
      <c r="S1889" s="76"/>
      <c r="T1889" s="76"/>
      <c r="U1889" s="76"/>
      <c r="V1889" s="76"/>
      <c r="W1889" s="76"/>
      <c r="X1889" s="76"/>
      <c r="Y1889" s="76"/>
      <c r="Z1889" s="76"/>
      <c r="AA1889" s="76"/>
      <c r="AB1889" s="76"/>
      <c r="AC1889" s="76"/>
      <c r="AD1889" s="76"/>
      <c r="AE1889" s="76"/>
      <c r="AF1889" s="76"/>
      <c r="AG1889" s="76"/>
      <c r="AH1889" s="76"/>
      <c r="AI1889" s="76">
        <v>1</v>
      </c>
      <c r="AJ1889" s="76">
        <v>1</v>
      </c>
      <c r="AK1889" s="73"/>
      <c r="AL1889" s="57"/>
      <c r="AM1889" s="45"/>
      <c r="AN1889" s="45"/>
      <c r="AO1889" s="45"/>
    </row>
    <row r="1890" spans="1:41" hidden="1" outlineLevel="3" x14ac:dyDescent="0.25">
      <c r="A1890" s="45"/>
      <c r="B1890" s="54"/>
      <c r="C1890" s="47">
        <f t="shared" ref="C1890:C1901" si="681">INT($C$29)+3</f>
        <v>4</v>
      </c>
      <c r="D1890" s="73"/>
      <c r="E1890" s="70"/>
      <c r="F1890" s="70" t="str">
        <f>SUBSTITUTE(F1886,",4)",",8)")</f>
        <v>C(U6,9,8)</v>
      </c>
      <c r="G1890" s="73"/>
      <c r="H1890" s="76"/>
      <c r="I1890" s="96"/>
      <c r="J1890" s="76"/>
      <c r="K1890" s="76"/>
      <c r="L1890" s="76"/>
      <c r="M1890" s="76"/>
      <c r="N1890" s="76"/>
      <c r="O1890" s="76"/>
      <c r="P1890" s="76"/>
      <c r="Q1890" s="76"/>
      <c r="R1890" s="76"/>
      <c r="S1890" s="76"/>
      <c r="T1890" s="76"/>
      <c r="U1890" s="76"/>
      <c r="V1890" s="76"/>
      <c r="W1890" s="76"/>
      <c r="X1890" s="76"/>
      <c r="Y1890" s="76"/>
      <c r="Z1890" s="76"/>
      <c r="AA1890" s="76"/>
      <c r="AB1890" s="76"/>
      <c r="AC1890" s="76"/>
      <c r="AD1890" s="76"/>
      <c r="AE1890" s="76"/>
      <c r="AF1890" s="76"/>
      <c r="AG1890" s="76"/>
      <c r="AH1890" s="76"/>
      <c r="AI1890" s="76">
        <v>1</v>
      </c>
      <c r="AJ1890" s="76">
        <v>1</v>
      </c>
      <c r="AK1890" s="73"/>
      <c r="AL1890" s="57"/>
      <c r="AM1890" s="45"/>
      <c r="AN1890" s="45"/>
      <c r="AO1890" s="45"/>
    </row>
    <row r="1891" spans="1:41" hidden="1" outlineLevel="3" x14ac:dyDescent="0.25">
      <c r="A1891" s="45"/>
      <c r="B1891" s="54"/>
      <c r="C1891" s="47">
        <f t="shared" si="681"/>
        <v>4</v>
      </c>
      <c r="D1891" s="73"/>
      <c r="E1891" s="70"/>
      <c r="F1891" s="70" t="str">
        <f>SUBSTITUTE(F1887,",5)",",9)")</f>
        <v>C(U6,9,9)</v>
      </c>
      <c r="G1891" s="73"/>
      <c r="H1891" s="76"/>
      <c r="I1891" s="96"/>
      <c r="J1891" s="76"/>
      <c r="K1891" s="76"/>
      <c r="L1891" s="76"/>
      <c r="M1891" s="76"/>
      <c r="N1891" s="76"/>
      <c r="O1891" s="76"/>
      <c r="P1891" s="76"/>
      <c r="Q1891" s="76"/>
      <c r="R1891" s="76"/>
      <c r="S1891" s="76"/>
      <c r="T1891" s="76"/>
      <c r="U1891" s="76"/>
      <c r="V1891" s="76"/>
      <c r="W1891" s="76"/>
      <c r="X1891" s="76"/>
      <c r="Y1891" s="76"/>
      <c r="Z1891" s="76"/>
      <c r="AA1891" s="76"/>
      <c r="AB1891" s="76"/>
      <c r="AC1891" s="76"/>
      <c r="AD1891" s="76"/>
      <c r="AE1891" s="76"/>
      <c r="AF1891" s="76"/>
      <c r="AG1891" s="76"/>
      <c r="AH1891" s="76"/>
      <c r="AI1891" s="76">
        <v>1</v>
      </c>
      <c r="AJ1891" s="76">
        <v>1</v>
      </c>
      <c r="AK1891" s="73"/>
      <c r="AL1891" s="57"/>
      <c r="AM1891" s="45"/>
      <c r="AN1891" s="45"/>
      <c r="AO1891" s="45"/>
    </row>
    <row r="1892" spans="1:41" hidden="1" outlineLevel="3" x14ac:dyDescent="0.25">
      <c r="A1892" s="45"/>
      <c r="B1892" s="54"/>
      <c r="C1892" s="47">
        <f t="shared" si="681"/>
        <v>4</v>
      </c>
      <c r="D1892" s="73"/>
      <c r="E1892" s="70"/>
      <c r="F1892" s="70" t="str">
        <f>SUBSTITUTE(F1888,",6)",",10)")</f>
        <v>C(U6,9,10)</v>
      </c>
      <c r="G1892" s="73"/>
      <c r="H1892" s="76"/>
      <c r="I1892" s="96"/>
      <c r="J1892" s="76"/>
      <c r="K1892" s="76"/>
      <c r="L1892" s="76"/>
      <c r="M1892" s="76"/>
      <c r="N1892" s="76"/>
      <c r="O1892" s="76"/>
      <c r="P1892" s="76"/>
      <c r="Q1892" s="76"/>
      <c r="R1892" s="76"/>
      <c r="S1892" s="76"/>
      <c r="T1892" s="76"/>
      <c r="U1892" s="76"/>
      <c r="V1892" s="76"/>
      <c r="W1892" s="76"/>
      <c r="X1892" s="76"/>
      <c r="Y1892" s="76"/>
      <c r="Z1892" s="76"/>
      <c r="AA1892" s="76"/>
      <c r="AB1892" s="76"/>
      <c r="AC1892" s="76"/>
      <c r="AD1892" s="76"/>
      <c r="AE1892" s="76"/>
      <c r="AF1892" s="76"/>
      <c r="AG1892" s="76"/>
      <c r="AH1892" s="76"/>
      <c r="AI1892" s="76">
        <v>1</v>
      </c>
      <c r="AJ1892" s="76">
        <v>1</v>
      </c>
      <c r="AK1892" s="73"/>
      <c r="AL1892" s="57"/>
      <c r="AM1892" s="45"/>
      <c r="AN1892" s="45"/>
      <c r="AO1892" s="45"/>
    </row>
    <row r="1893" spans="1:41" hidden="1" outlineLevel="3" x14ac:dyDescent="0.25">
      <c r="A1893" s="45"/>
      <c r="B1893" s="54"/>
      <c r="C1893" s="47">
        <f t="shared" si="681"/>
        <v>4</v>
      </c>
      <c r="D1893" s="73"/>
      <c r="E1893" s="70"/>
      <c r="F1893" s="70" t="str">
        <f>SUBSTITUTE(F1889,",7)",",11)")</f>
        <v>C(U6,9,11)</v>
      </c>
      <c r="G1893" s="73"/>
      <c r="H1893" s="76"/>
      <c r="I1893" s="96"/>
      <c r="J1893" s="76"/>
      <c r="K1893" s="76"/>
      <c r="L1893" s="76"/>
      <c r="M1893" s="76"/>
      <c r="N1893" s="76"/>
      <c r="O1893" s="76"/>
      <c r="P1893" s="76"/>
      <c r="Q1893" s="76"/>
      <c r="R1893" s="76"/>
      <c r="S1893" s="76"/>
      <c r="T1893" s="76"/>
      <c r="U1893" s="76"/>
      <c r="V1893" s="76"/>
      <c r="W1893" s="76"/>
      <c r="X1893" s="76"/>
      <c r="Y1893" s="76"/>
      <c r="Z1893" s="76"/>
      <c r="AA1893" s="76"/>
      <c r="AB1893" s="76"/>
      <c r="AC1893" s="76"/>
      <c r="AD1893" s="76"/>
      <c r="AE1893" s="76"/>
      <c r="AF1893" s="76"/>
      <c r="AG1893" s="76"/>
      <c r="AH1893" s="76"/>
      <c r="AI1893" s="76">
        <v>1</v>
      </c>
      <c r="AJ1893" s="76">
        <v>1</v>
      </c>
      <c r="AK1893" s="73"/>
      <c r="AL1893" s="57"/>
      <c r="AM1893" s="45"/>
      <c r="AN1893" s="45"/>
      <c r="AO1893" s="45"/>
    </row>
    <row r="1894" spans="1:41" hidden="1" outlineLevel="3" x14ac:dyDescent="0.25">
      <c r="A1894" s="45"/>
      <c r="B1894" s="54"/>
      <c r="C1894" s="47">
        <f t="shared" si="681"/>
        <v>4</v>
      </c>
      <c r="D1894" s="73"/>
      <c r="E1894" s="70"/>
      <c r="F1894" s="70" t="str">
        <f>SUBSTITUTE(F1888,",6)",",12)")</f>
        <v>C(U6,9,12)</v>
      </c>
      <c r="G1894" s="73"/>
      <c r="H1894" s="76"/>
      <c r="I1894" s="96"/>
      <c r="J1894" s="76"/>
      <c r="K1894" s="76"/>
      <c r="L1894" s="76"/>
      <c r="M1894" s="76"/>
      <c r="N1894" s="76"/>
      <c r="O1894" s="76"/>
      <c r="P1894" s="76"/>
      <c r="Q1894" s="76"/>
      <c r="R1894" s="76"/>
      <c r="S1894" s="76"/>
      <c r="T1894" s="76"/>
      <c r="U1894" s="76"/>
      <c r="V1894" s="76"/>
      <c r="W1894" s="76"/>
      <c r="X1894" s="76"/>
      <c r="Y1894" s="76"/>
      <c r="Z1894" s="76"/>
      <c r="AA1894" s="76"/>
      <c r="AB1894" s="76"/>
      <c r="AC1894" s="76"/>
      <c r="AD1894" s="76"/>
      <c r="AE1894" s="76"/>
      <c r="AF1894" s="76"/>
      <c r="AG1894" s="76"/>
      <c r="AH1894" s="76"/>
      <c r="AI1894" s="76">
        <v>1</v>
      </c>
      <c r="AJ1894" s="76">
        <v>1</v>
      </c>
      <c r="AK1894" s="73"/>
      <c r="AL1894" s="57"/>
      <c r="AM1894" s="45"/>
      <c r="AN1894" s="45"/>
      <c r="AO1894" s="45"/>
    </row>
    <row r="1895" spans="1:41" hidden="1" outlineLevel="3" x14ac:dyDescent="0.25">
      <c r="A1895" s="45"/>
      <c r="B1895" s="54"/>
      <c r="C1895" s="47">
        <f t="shared" si="681"/>
        <v>4</v>
      </c>
      <c r="D1895" s="73"/>
      <c r="E1895" s="70"/>
      <c r="F1895" s="70" t="str">
        <f>SUBSTITUTE(F1889,",7)",",13)")</f>
        <v>C(U6,9,13)</v>
      </c>
      <c r="G1895" s="73"/>
      <c r="H1895" s="76"/>
      <c r="I1895" s="96"/>
      <c r="J1895" s="76"/>
      <c r="K1895" s="76"/>
      <c r="L1895" s="76"/>
      <c r="M1895" s="76"/>
      <c r="N1895" s="76"/>
      <c r="O1895" s="76"/>
      <c r="P1895" s="76"/>
      <c r="Q1895" s="76"/>
      <c r="R1895" s="76"/>
      <c r="S1895" s="76"/>
      <c r="T1895" s="76"/>
      <c r="U1895" s="76"/>
      <c r="V1895" s="76"/>
      <c r="W1895" s="76"/>
      <c r="X1895" s="76"/>
      <c r="Y1895" s="76"/>
      <c r="Z1895" s="76"/>
      <c r="AA1895" s="76"/>
      <c r="AB1895" s="76"/>
      <c r="AC1895" s="76"/>
      <c r="AD1895" s="76"/>
      <c r="AE1895" s="76"/>
      <c r="AF1895" s="76"/>
      <c r="AG1895" s="76"/>
      <c r="AH1895" s="76"/>
      <c r="AI1895" s="76">
        <v>1</v>
      </c>
      <c r="AJ1895" s="76">
        <v>1</v>
      </c>
      <c r="AK1895" s="73"/>
      <c r="AL1895" s="57"/>
      <c r="AM1895" s="45"/>
      <c r="AN1895" s="45"/>
      <c r="AO1895" s="45"/>
    </row>
    <row r="1896" spans="1:41" hidden="1" outlineLevel="3" x14ac:dyDescent="0.25">
      <c r="A1896" s="45"/>
      <c r="B1896" s="54"/>
      <c r="C1896" s="47">
        <f t="shared" si="681"/>
        <v>4</v>
      </c>
      <c r="D1896" s="73"/>
      <c r="E1896" s="70"/>
      <c r="F1896" s="70" t="s">
        <v>3591</v>
      </c>
      <c r="G1896" s="73"/>
      <c r="H1896" s="76"/>
      <c r="I1896" s="76"/>
      <c r="J1896" s="76"/>
      <c r="K1896" s="76"/>
      <c r="L1896" s="76"/>
      <c r="M1896" s="76"/>
      <c r="N1896" s="76"/>
      <c r="O1896" s="76"/>
      <c r="P1896" s="76"/>
      <c r="Q1896" s="76"/>
      <c r="R1896" s="76"/>
      <c r="S1896" s="76"/>
      <c r="T1896" s="76"/>
      <c r="U1896" s="76"/>
      <c r="V1896" s="76"/>
      <c r="W1896" s="76"/>
      <c r="X1896" s="76"/>
      <c r="Y1896" s="76"/>
      <c r="Z1896" s="76"/>
      <c r="AA1896" s="76"/>
      <c r="AB1896" s="76"/>
      <c r="AC1896" s="76"/>
      <c r="AD1896" s="76"/>
      <c r="AE1896" s="76"/>
      <c r="AF1896" s="76"/>
      <c r="AG1896" s="76"/>
      <c r="AH1896" s="76"/>
      <c r="AI1896" s="76">
        <v>1</v>
      </c>
      <c r="AJ1896" s="76">
        <v>1</v>
      </c>
      <c r="AK1896" s="73"/>
      <c r="AL1896" s="57"/>
      <c r="AM1896" s="45"/>
      <c r="AN1896" s="45"/>
      <c r="AO1896" s="45"/>
    </row>
    <row r="1897" spans="1:41" hidden="1" outlineLevel="3" x14ac:dyDescent="0.25">
      <c r="A1897" s="45"/>
      <c r="B1897" s="54"/>
      <c r="C1897" s="47">
        <f t="shared" si="681"/>
        <v>4</v>
      </c>
      <c r="D1897" s="73"/>
      <c r="E1897" s="70"/>
      <c r="F1897" s="70" t="s">
        <v>3592</v>
      </c>
      <c r="G1897" s="73"/>
      <c r="H1897" s="76" t="s">
        <v>599</v>
      </c>
      <c r="I1897" s="76"/>
      <c r="J1897" s="76"/>
      <c r="K1897" s="76"/>
      <c r="L1897" s="76"/>
      <c r="M1897" s="76"/>
      <c r="N1897" s="76"/>
      <c r="O1897" s="76"/>
      <c r="P1897" s="76"/>
      <c r="Q1897" s="76"/>
      <c r="R1897" s="76"/>
      <c r="S1897" s="76"/>
      <c r="T1897" s="76"/>
      <c r="U1897" s="76"/>
      <c r="V1897" s="76"/>
      <c r="W1897" s="76"/>
      <c r="X1897" s="76"/>
      <c r="Y1897" s="76"/>
      <c r="Z1897" s="76"/>
      <c r="AA1897" s="76"/>
      <c r="AB1897" s="76"/>
      <c r="AC1897" s="76"/>
      <c r="AD1897" s="76"/>
      <c r="AE1897" s="76"/>
      <c r="AF1897" s="76"/>
      <c r="AG1897" s="76"/>
      <c r="AH1897" s="76"/>
      <c r="AI1897" s="76">
        <v>1</v>
      </c>
      <c r="AJ1897" s="76">
        <v>1</v>
      </c>
      <c r="AK1897" s="73"/>
      <c r="AL1897" s="57"/>
      <c r="AM1897" s="45"/>
      <c r="AN1897" s="45"/>
      <c r="AO1897" s="45"/>
    </row>
    <row r="1898" spans="1:41" hidden="1" outlineLevel="3" x14ac:dyDescent="0.25">
      <c r="A1898" s="45"/>
      <c r="B1898" s="54"/>
      <c r="C1898" s="47">
        <f t="shared" si="681"/>
        <v>4</v>
      </c>
      <c r="D1898" s="73"/>
      <c r="E1898" s="70"/>
      <c r="F1898" s="70" t="s">
        <v>3593</v>
      </c>
      <c r="G1898" s="73"/>
      <c r="H1898" s="76"/>
      <c r="I1898" s="76"/>
      <c r="J1898" s="76"/>
      <c r="K1898" s="76"/>
      <c r="L1898" s="76"/>
      <c r="M1898" s="76"/>
      <c r="N1898" s="76"/>
      <c r="O1898" s="76"/>
      <c r="P1898" s="76"/>
      <c r="Q1898" s="76"/>
      <c r="R1898" s="76"/>
      <c r="S1898" s="76"/>
      <c r="T1898" s="76"/>
      <c r="U1898" s="76"/>
      <c r="V1898" s="76"/>
      <c r="W1898" s="76"/>
      <c r="X1898" s="76"/>
      <c r="Y1898" s="76"/>
      <c r="Z1898" s="76"/>
      <c r="AA1898" s="76"/>
      <c r="AB1898" s="76"/>
      <c r="AC1898" s="76"/>
      <c r="AD1898" s="76"/>
      <c r="AE1898" s="76"/>
      <c r="AF1898" s="76"/>
      <c r="AG1898" s="76"/>
      <c r="AH1898" s="76"/>
      <c r="AI1898" s="76">
        <v>1</v>
      </c>
      <c r="AJ1898" s="76">
        <v>1</v>
      </c>
      <c r="AK1898" s="73"/>
      <c r="AL1898" s="57"/>
      <c r="AM1898" s="45"/>
      <c r="AN1898" s="45"/>
      <c r="AO1898" s="45"/>
    </row>
    <row r="1899" spans="1:41" hidden="1" outlineLevel="3" x14ac:dyDescent="0.25">
      <c r="A1899" s="45"/>
      <c r="B1899" s="54"/>
      <c r="C1899" s="47">
        <f t="shared" si="681"/>
        <v>4</v>
      </c>
      <c r="D1899" s="73"/>
      <c r="E1899" s="70"/>
      <c r="F1899" s="70" t="s">
        <v>3594</v>
      </c>
      <c r="G1899" s="73"/>
      <c r="H1899" s="76"/>
      <c r="I1899" s="76"/>
      <c r="J1899" s="76"/>
      <c r="K1899" s="76"/>
      <c r="L1899" s="76"/>
      <c r="M1899" s="76"/>
      <c r="N1899" s="76"/>
      <c r="O1899" s="76"/>
      <c r="P1899" s="76"/>
      <c r="Q1899" s="76"/>
      <c r="R1899" s="76"/>
      <c r="S1899" s="76"/>
      <c r="T1899" s="76"/>
      <c r="U1899" s="76"/>
      <c r="V1899" s="76"/>
      <c r="W1899" s="76"/>
      <c r="X1899" s="76"/>
      <c r="Y1899" s="76"/>
      <c r="Z1899" s="76"/>
      <c r="AA1899" s="76"/>
      <c r="AB1899" s="76"/>
      <c r="AC1899" s="76"/>
      <c r="AD1899" s="76"/>
      <c r="AE1899" s="76"/>
      <c r="AF1899" s="76"/>
      <c r="AG1899" s="76"/>
      <c r="AH1899" s="76"/>
      <c r="AI1899" s="76">
        <v>1</v>
      </c>
      <c r="AJ1899" s="76">
        <v>1</v>
      </c>
      <c r="AK1899" s="73"/>
      <c r="AL1899" s="57"/>
      <c r="AM1899" s="45"/>
      <c r="AN1899" s="45"/>
      <c r="AO1899" s="45"/>
    </row>
    <row r="1900" spans="1:41" hidden="1" outlineLevel="3" x14ac:dyDescent="0.25">
      <c r="A1900" s="45"/>
      <c r="B1900" s="54"/>
      <c r="C1900" s="47">
        <f t="shared" si="681"/>
        <v>4</v>
      </c>
      <c r="D1900" s="73"/>
      <c r="E1900" s="70"/>
      <c r="F1900" s="70" t="s">
        <v>3595</v>
      </c>
      <c r="G1900" s="73"/>
      <c r="H1900" s="76"/>
      <c r="I1900" s="76"/>
      <c r="J1900" s="76"/>
      <c r="K1900" s="76"/>
      <c r="L1900" s="76"/>
      <c r="M1900" s="76"/>
      <c r="N1900" s="76"/>
      <c r="O1900" s="76"/>
      <c r="P1900" s="76"/>
      <c r="Q1900" s="76"/>
      <c r="R1900" s="76"/>
      <c r="S1900" s="76"/>
      <c r="T1900" s="76"/>
      <c r="U1900" s="76"/>
      <c r="V1900" s="76"/>
      <c r="W1900" s="76"/>
      <c r="X1900" s="76"/>
      <c r="Y1900" s="76"/>
      <c r="Z1900" s="76"/>
      <c r="AA1900" s="76"/>
      <c r="AB1900" s="76"/>
      <c r="AC1900" s="76"/>
      <c r="AD1900" s="76"/>
      <c r="AE1900" s="76"/>
      <c r="AF1900" s="76"/>
      <c r="AG1900" s="76"/>
      <c r="AH1900" s="76"/>
      <c r="AI1900" s="76">
        <v>1</v>
      </c>
      <c r="AJ1900" s="76">
        <v>1</v>
      </c>
      <c r="AK1900" s="73"/>
      <c r="AL1900" s="57"/>
      <c r="AM1900" s="45"/>
      <c r="AN1900" s="45"/>
      <c r="AO1900" s="45"/>
    </row>
    <row r="1901" spans="1:41" hidden="1" outlineLevel="3" x14ac:dyDescent="0.25">
      <c r="A1901" s="45"/>
      <c r="B1901" s="54"/>
      <c r="C1901" s="47">
        <f t="shared" si="681"/>
        <v>4</v>
      </c>
      <c r="D1901" s="73"/>
      <c r="E1901" s="70"/>
      <c r="F1901" s="70" t="s">
        <v>3596</v>
      </c>
      <c r="G1901" s="73"/>
      <c r="H1901" s="76"/>
      <c r="I1901" s="76"/>
      <c r="J1901" s="76"/>
      <c r="K1901" s="76"/>
      <c r="L1901" s="76"/>
      <c r="M1901" s="76"/>
      <c r="N1901" s="76"/>
      <c r="O1901" s="76"/>
      <c r="P1901" s="76"/>
      <c r="Q1901" s="76"/>
      <c r="R1901" s="76"/>
      <c r="S1901" s="76"/>
      <c r="T1901" s="76"/>
      <c r="U1901" s="76"/>
      <c r="V1901" s="76"/>
      <c r="W1901" s="76"/>
      <c r="X1901" s="76"/>
      <c r="Y1901" s="76"/>
      <c r="Z1901" s="76"/>
      <c r="AA1901" s="76"/>
      <c r="AB1901" s="76"/>
      <c r="AC1901" s="76"/>
      <c r="AD1901" s="76"/>
      <c r="AE1901" s="76"/>
      <c r="AF1901" s="76"/>
      <c r="AG1901" s="76"/>
      <c r="AH1901" s="76"/>
      <c r="AI1901" s="76">
        <v>1</v>
      </c>
      <c r="AJ1901" s="76">
        <v>1</v>
      </c>
      <c r="AK1901" s="73"/>
      <c r="AL1901" s="57"/>
      <c r="AM1901" s="45"/>
      <c r="AN1901" s="45"/>
      <c r="AO1901" s="45"/>
    </row>
    <row r="1902" spans="1:41" hidden="1" outlineLevel="3" x14ac:dyDescent="0.25">
      <c r="A1902" s="45"/>
      <c r="B1902" s="54"/>
      <c r="C1902" s="47"/>
      <c r="D1902" s="73"/>
      <c r="E1902" s="70"/>
      <c r="F1902" s="70" t="s">
        <v>3597</v>
      </c>
      <c r="G1902" s="73"/>
      <c r="H1902" s="76"/>
      <c r="I1902" s="76"/>
      <c r="J1902" s="76"/>
      <c r="K1902" s="76"/>
      <c r="L1902" s="76"/>
      <c r="M1902" s="76"/>
      <c r="N1902" s="76"/>
      <c r="O1902" s="76"/>
      <c r="P1902" s="76"/>
      <c r="Q1902" s="76"/>
      <c r="R1902" s="76"/>
      <c r="S1902" s="76"/>
      <c r="T1902" s="76"/>
      <c r="U1902" s="76"/>
      <c r="V1902" s="76"/>
      <c r="W1902" s="76"/>
      <c r="X1902" s="76"/>
      <c r="Y1902" s="76"/>
      <c r="Z1902" s="76"/>
      <c r="AA1902" s="76"/>
      <c r="AB1902" s="76"/>
      <c r="AC1902" s="76"/>
      <c r="AD1902" s="76"/>
      <c r="AE1902" s="76"/>
      <c r="AF1902" s="76"/>
      <c r="AG1902" s="76"/>
      <c r="AH1902" s="76"/>
      <c r="AI1902" s="76">
        <v>1</v>
      </c>
      <c r="AJ1902" s="76">
        <v>1</v>
      </c>
      <c r="AK1902" s="73"/>
      <c r="AL1902" s="57"/>
      <c r="AM1902" s="45"/>
      <c r="AN1902" s="45"/>
      <c r="AO1902" s="45"/>
    </row>
    <row r="1903" spans="1:41" hidden="1" outlineLevel="3" x14ac:dyDescent="0.25">
      <c r="A1903" s="45"/>
      <c r="B1903" s="54"/>
      <c r="C1903" s="47"/>
      <c r="D1903" s="73"/>
      <c r="E1903" s="70"/>
      <c r="F1903" s="70" t="s">
        <v>3598</v>
      </c>
      <c r="G1903" s="73"/>
      <c r="H1903" s="76"/>
      <c r="I1903" s="76"/>
      <c r="J1903" s="76"/>
      <c r="K1903" s="76"/>
      <c r="L1903" s="76"/>
      <c r="M1903" s="76"/>
      <c r="N1903" s="76"/>
      <c r="O1903" s="76"/>
      <c r="P1903" s="76"/>
      <c r="Q1903" s="76"/>
      <c r="R1903" s="76"/>
      <c r="S1903" s="76"/>
      <c r="T1903" s="76"/>
      <c r="U1903" s="76"/>
      <c r="V1903" s="76"/>
      <c r="W1903" s="76"/>
      <c r="X1903" s="76"/>
      <c r="Y1903" s="76"/>
      <c r="Z1903" s="76"/>
      <c r="AA1903" s="76"/>
      <c r="AB1903" s="76"/>
      <c r="AC1903" s="76"/>
      <c r="AD1903" s="76"/>
      <c r="AE1903" s="76"/>
      <c r="AF1903" s="76"/>
      <c r="AG1903" s="76"/>
      <c r="AH1903" s="76"/>
      <c r="AI1903" s="76">
        <v>1</v>
      </c>
      <c r="AJ1903" s="76">
        <v>1</v>
      </c>
      <c r="AK1903" s="73"/>
      <c r="AL1903" s="57"/>
      <c r="AM1903" s="45"/>
      <c r="AN1903" s="45"/>
      <c r="AO1903" s="45"/>
    </row>
    <row r="1904" spans="1:41" hidden="1" outlineLevel="3" x14ac:dyDescent="0.25">
      <c r="A1904" s="45"/>
      <c r="B1904" s="54"/>
      <c r="C1904" s="47"/>
      <c r="D1904" s="73"/>
      <c r="E1904" s="70"/>
      <c r="F1904" s="70" t="s">
        <v>3599</v>
      </c>
      <c r="G1904" s="73"/>
      <c r="H1904" s="76"/>
      <c r="I1904" s="76"/>
      <c r="J1904" s="76"/>
      <c r="K1904" s="76"/>
      <c r="L1904" s="76"/>
      <c r="M1904" s="76"/>
      <c r="N1904" s="76"/>
      <c r="O1904" s="76"/>
      <c r="P1904" s="76"/>
      <c r="Q1904" s="76"/>
      <c r="R1904" s="76"/>
      <c r="S1904" s="76"/>
      <c r="T1904" s="76"/>
      <c r="U1904" s="76"/>
      <c r="V1904" s="76"/>
      <c r="W1904" s="76"/>
      <c r="X1904" s="76"/>
      <c r="Y1904" s="76"/>
      <c r="Z1904" s="76"/>
      <c r="AA1904" s="76"/>
      <c r="AB1904" s="76"/>
      <c r="AC1904" s="76"/>
      <c r="AD1904" s="76"/>
      <c r="AE1904" s="76"/>
      <c r="AF1904" s="76"/>
      <c r="AG1904" s="76"/>
      <c r="AH1904" s="76"/>
      <c r="AI1904" s="76">
        <v>1</v>
      </c>
      <c r="AJ1904" s="76">
        <v>1</v>
      </c>
      <c r="AK1904" s="73"/>
      <c r="AL1904" s="57"/>
      <c r="AM1904" s="45"/>
      <c r="AN1904" s="45"/>
      <c r="AO1904" s="45"/>
    </row>
    <row r="1905" spans="1:41" hidden="1" outlineLevel="3" x14ac:dyDescent="0.25">
      <c r="A1905" s="45"/>
      <c r="B1905" s="54"/>
      <c r="C1905" s="47">
        <f t="shared" ref="C1905:C1916" si="682">INT($C$29)+3</f>
        <v>4</v>
      </c>
      <c r="D1905" s="73"/>
      <c r="E1905" s="70"/>
      <c r="F1905" s="70" t="str">
        <f>SUBSTITUTE(F1901,",4)",",8)")</f>
        <v>C(U6,10,8)</v>
      </c>
      <c r="G1905" s="73"/>
      <c r="H1905" s="76"/>
      <c r="I1905" s="96"/>
      <c r="J1905" s="76"/>
      <c r="K1905" s="76"/>
      <c r="L1905" s="76"/>
      <c r="M1905" s="76"/>
      <c r="N1905" s="76"/>
      <c r="O1905" s="76"/>
      <c r="P1905" s="76"/>
      <c r="Q1905" s="76"/>
      <c r="R1905" s="76"/>
      <c r="S1905" s="76"/>
      <c r="T1905" s="76"/>
      <c r="U1905" s="76"/>
      <c r="V1905" s="76"/>
      <c r="W1905" s="76"/>
      <c r="X1905" s="76"/>
      <c r="Y1905" s="76"/>
      <c r="Z1905" s="76"/>
      <c r="AA1905" s="76"/>
      <c r="AB1905" s="76"/>
      <c r="AC1905" s="76"/>
      <c r="AD1905" s="76"/>
      <c r="AE1905" s="76"/>
      <c r="AF1905" s="76"/>
      <c r="AG1905" s="76"/>
      <c r="AH1905" s="76"/>
      <c r="AI1905" s="76">
        <v>1</v>
      </c>
      <c r="AJ1905" s="76">
        <v>1</v>
      </c>
      <c r="AK1905" s="73"/>
      <c r="AL1905" s="57"/>
      <c r="AM1905" s="45"/>
      <c r="AN1905" s="45"/>
      <c r="AO1905" s="45"/>
    </row>
    <row r="1906" spans="1:41" hidden="1" outlineLevel="3" x14ac:dyDescent="0.25">
      <c r="A1906" s="45"/>
      <c r="B1906" s="54"/>
      <c r="C1906" s="47">
        <f t="shared" si="682"/>
        <v>4</v>
      </c>
      <c r="D1906" s="73"/>
      <c r="E1906" s="70"/>
      <c r="F1906" s="70" t="str">
        <f>SUBSTITUTE(F1902,",5)",",9)")</f>
        <v>C(U6,10,9)</v>
      </c>
      <c r="G1906" s="73"/>
      <c r="H1906" s="76"/>
      <c r="I1906" s="96"/>
      <c r="J1906" s="76"/>
      <c r="K1906" s="76"/>
      <c r="L1906" s="76"/>
      <c r="M1906" s="76"/>
      <c r="N1906" s="76"/>
      <c r="O1906" s="76"/>
      <c r="P1906" s="76"/>
      <c r="Q1906" s="76"/>
      <c r="R1906" s="76"/>
      <c r="S1906" s="76"/>
      <c r="T1906" s="76"/>
      <c r="U1906" s="76"/>
      <c r="V1906" s="76"/>
      <c r="W1906" s="76"/>
      <c r="X1906" s="76"/>
      <c r="Y1906" s="76"/>
      <c r="Z1906" s="76"/>
      <c r="AA1906" s="76"/>
      <c r="AB1906" s="76"/>
      <c r="AC1906" s="76"/>
      <c r="AD1906" s="76"/>
      <c r="AE1906" s="76"/>
      <c r="AF1906" s="76"/>
      <c r="AG1906" s="76"/>
      <c r="AH1906" s="76"/>
      <c r="AI1906" s="76">
        <v>1</v>
      </c>
      <c r="AJ1906" s="76">
        <v>1</v>
      </c>
      <c r="AK1906" s="73"/>
      <c r="AL1906" s="57"/>
      <c r="AM1906" s="45"/>
      <c r="AN1906" s="45"/>
      <c r="AO1906" s="45"/>
    </row>
    <row r="1907" spans="1:41" hidden="1" outlineLevel="3" x14ac:dyDescent="0.25">
      <c r="A1907" s="45"/>
      <c r="B1907" s="54"/>
      <c r="C1907" s="47">
        <f t="shared" si="682"/>
        <v>4</v>
      </c>
      <c r="D1907" s="73"/>
      <c r="E1907" s="70"/>
      <c r="F1907" s="70" t="str">
        <f>SUBSTITUTE(F1903,",6)",",10)")</f>
        <v>C(U6,10,10)</v>
      </c>
      <c r="G1907" s="73"/>
      <c r="H1907" s="76"/>
      <c r="I1907" s="96"/>
      <c r="J1907" s="76"/>
      <c r="K1907" s="76"/>
      <c r="L1907" s="76"/>
      <c r="M1907" s="76"/>
      <c r="N1907" s="76"/>
      <c r="O1907" s="76"/>
      <c r="P1907" s="76"/>
      <c r="Q1907" s="76"/>
      <c r="R1907" s="76"/>
      <c r="S1907" s="76"/>
      <c r="T1907" s="76"/>
      <c r="U1907" s="76"/>
      <c r="V1907" s="76"/>
      <c r="W1907" s="76"/>
      <c r="X1907" s="76"/>
      <c r="Y1907" s="76"/>
      <c r="Z1907" s="76"/>
      <c r="AA1907" s="76"/>
      <c r="AB1907" s="76"/>
      <c r="AC1907" s="76"/>
      <c r="AD1907" s="76"/>
      <c r="AE1907" s="76"/>
      <c r="AF1907" s="76"/>
      <c r="AG1907" s="76"/>
      <c r="AH1907" s="76"/>
      <c r="AI1907" s="76">
        <v>1</v>
      </c>
      <c r="AJ1907" s="76">
        <v>1</v>
      </c>
      <c r="AK1907" s="73"/>
      <c r="AL1907" s="57"/>
      <c r="AM1907" s="45"/>
      <c r="AN1907" s="45"/>
      <c r="AO1907" s="45"/>
    </row>
    <row r="1908" spans="1:41" hidden="1" outlineLevel="3" x14ac:dyDescent="0.25">
      <c r="A1908" s="45"/>
      <c r="B1908" s="54"/>
      <c r="C1908" s="47">
        <f t="shared" si="682"/>
        <v>4</v>
      </c>
      <c r="D1908" s="73"/>
      <c r="E1908" s="70"/>
      <c r="F1908" s="70" t="str">
        <f>SUBSTITUTE(F1904,",7)",",11)")</f>
        <v>C(U6,10,11)</v>
      </c>
      <c r="G1908" s="73"/>
      <c r="H1908" s="76"/>
      <c r="I1908" s="96"/>
      <c r="J1908" s="76"/>
      <c r="K1908" s="76"/>
      <c r="L1908" s="76"/>
      <c r="M1908" s="76"/>
      <c r="N1908" s="76"/>
      <c r="O1908" s="76"/>
      <c r="P1908" s="76"/>
      <c r="Q1908" s="76"/>
      <c r="R1908" s="76"/>
      <c r="S1908" s="76"/>
      <c r="T1908" s="76"/>
      <c r="U1908" s="76"/>
      <c r="V1908" s="76"/>
      <c r="W1908" s="76"/>
      <c r="X1908" s="76"/>
      <c r="Y1908" s="76"/>
      <c r="Z1908" s="76"/>
      <c r="AA1908" s="76"/>
      <c r="AB1908" s="76"/>
      <c r="AC1908" s="76"/>
      <c r="AD1908" s="76"/>
      <c r="AE1908" s="76"/>
      <c r="AF1908" s="76"/>
      <c r="AG1908" s="76"/>
      <c r="AH1908" s="76"/>
      <c r="AI1908" s="76">
        <v>1</v>
      </c>
      <c r="AJ1908" s="76">
        <v>1</v>
      </c>
      <c r="AK1908" s="73"/>
      <c r="AL1908" s="57"/>
      <c r="AM1908" s="45"/>
      <c r="AN1908" s="45"/>
      <c r="AO1908" s="45"/>
    </row>
    <row r="1909" spans="1:41" hidden="1" outlineLevel="3" x14ac:dyDescent="0.25">
      <c r="A1909" s="45"/>
      <c r="B1909" s="54"/>
      <c r="C1909" s="47">
        <f t="shared" si="682"/>
        <v>4</v>
      </c>
      <c r="D1909" s="73"/>
      <c r="E1909" s="70"/>
      <c r="F1909" s="70" t="str">
        <f>SUBSTITUTE(F1903,",6)",",12)")</f>
        <v>C(U6,10,12)</v>
      </c>
      <c r="G1909" s="73"/>
      <c r="H1909" s="76"/>
      <c r="I1909" s="96"/>
      <c r="J1909" s="76"/>
      <c r="K1909" s="76"/>
      <c r="L1909" s="76"/>
      <c r="M1909" s="76"/>
      <c r="N1909" s="76"/>
      <c r="O1909" s="76"/>
      <c r="P1909" s="76"/>
      <c r="Q1909" s="76"/>
      <c r="R1909" s="76"/>
      <c r="S1909" s="76"/>
      <c r="T1909" s="76"/>
      <c r="U1909" s="76"/>
      <c r="V1909" s="76"/>
      <c r="W1909" s="76"/>
      <c r="X1909" s="76"/>
      <c r="Y1909" s="76"/>
      <c r="Z1909" s="76"/>
      <c r="AA1909" s="76"/>
      <c r="AB1909" s="76"/>
      <c r="AC1909" s="76"/>
      <c r="AD1909" s="76"/>
      <c r="AE1909" s="76"/>
      <c r="AF1909" s="76"/>
      <c r="AG1909" s="76"/>
      <c r="AH1909" s="76"/>
      <c r="AI1909" s="76">
        <v>1</v>
      </c>
      <c r="AJ1909" s="76">
        <v>1</v>
      </c>
      <c r="AK1909" s="73"/>
      <c r="AL1909" s="57"/>
      <c r="AM1909" s="45"/>
      <c r="AN1909" s="45"/>
      <c r="AO1909" s="45"/>
    </row>
    <row r="1910" spans="1:41" hidden="1" outlineLevel="3" x14ac:dyDescent="0.25">
      <c r="A1910" s="45"/>
      <c r="B1910" s="54"/>
      <c r="C1910" s="47">
        <f t="shared" si="682"/>
        <v>4</v>
      </c>
      <c r="D1910" s="73"/>
      <c r="E1910" s="70"/>
      <c r="F1910" s="70" t="str">
        <f>SUBSTITUTE(F1904,",7)",",13)")</f>
        <v>C(U6,10,13)</v>
      </c>
      <c r="G1910" s="73"/>
      <c r="H1910" s="76"/>
      <c r="I1910" s="96"/>
      <c r="J1910" s="76"/>
      <c r="K1910" s="76"/>
      <c r="L1910" s="76"/>
      <c r="M1910" s="76"/>
      <c r="N1910" s="76"/>
      <c r="O1910" s="76"/>
      <c r="P1910" s="76"/>
      <c r="Q1910" s="76"/>
      <c r="R1910" s="76"/>
      <c r="S1910" s="76"/>
      <c r="T1910" s="76"/>
      <c r="U1910" s="76"/>
      <c r="V1910" s="76"/>
      <c r="W1910" s="76"/>
      <c r="X1910" s="76"/>
      <c r="Y1910" s="76"/>
      <c r="Z1910" s="76"/>
      <c r="AA1910" s="76"/>
      <c r="AB1910" s="76"/>
      <c r="AC1910" s="76"/>
      <c r="AD1910" s="76"/>
      <c r="AE1910" s="76"/>
      <c r="AF1910" s="76"/>
      <c r="AG1910" s="76"/>
      <c r="AH1910" s="76"/>
      <c r="AI1910" s="76">
        <v>1</v>
      </c>
      <c r="AJ1910" s="76">
        <v>1</v>
      </c>
      <c r="AK1910" s="73"/>
      <c r="AL1910" s="57"/>
      <c r="AM1910" s="45"/>
      <c r="AN1910" s="45"/>
      <c r="AO1910" s="45"/>
    </row>
    <row r="1911" spans="1:41" hidden="1" outlineLevel="3" x14ac:dyDescent="0.25">
      <c r="A1911" s="45"/>
      <c r="B1911" s="54"/>
      <c r="C1911" s="47">
        <f t="shared" si="682"/>
        <v>4</v>
      </c>
      <c r="D1911" s="73"/>
      <c r="E1911" s="70"/>
      <c r="F1911" s="70" t="s">
        <v>3600</v>
      </c>
      <c r="G1911" s="73"/>
      <c r="H1911" s="76"/>
      <c r="I1911" s="76"/>
      <c r="J1911" s="76"/>
      <c r="K1911" s="76"/>
      <c r="L1911" s="76"/>
      <c r="M1911" s="76"/>
      <c r="N1911" s="76"/>
      <c r="O1911" s="76"/>
      <c r="P1911" s="76"/>
      <c r="Q1911" s="76"/>
      <c r="R1911" s="76"/>
      <c r="S1911" s="76"/>
      <c r="T1911" s="76"/>
      <c r="U1911" s="76"/>
      <c r="V1911" s="76"/>
      <c r="W1911" s="76"/>
      <c r="X1911" s="76"/>
      <c r="Y1911" s="76"/>
      <c r="Z1911" s="76"/>
      <c r="AA1911" s="76"/>
      <c r="AB1911" s="76"/>
      <c r="AC1911" s="76"/>
      <c r="AD1911" s="76"/>
      <c r="AE1911" s="76"/>
      <c r="AF1911" s="76"/>
      <c r="AG1911" s="76"/>
      <c r="AH1911" s="76"/>
      <c r="AI1911" s="76">
        <v>1</v>
      </c>
      <c r="AJ1911" s="76">
        <v>1</v>
      </c>
      <c r="AK1911" s="73"/>
      <c r="AL1911" s="57"/>
      <c r="AM1911" s="45"/>
      <c r="AN1911" s="45"/>
      <c r="AO1911" s="45"/>
    </row>
    <row r="1912" spans="1:41" hidden="1" outlineLevel="3" x14ac:dyDescent="0.25">
      <c r="A1912" s="45"/>
      <c r="B1912" s="54"/>
      <c r="C1912" s="47">
        <f t="shared" si="682"/>
        <v>4</v>
      </c>
      <c r="D1912" s="73"/>
      <c r="E1912" s="70"/>
      <c r="F1912" s="70" t="s">
        <v>3601</v>
      </c>
      <c r="G1912" s="73"/>
      <c r="H1912" s="76" t="s">
        <v>599</v>
      </c>
      <c r="I1912" s="76"/>
      <c r="J1912" s="76"/>
      <c r="K1912" s="76"/>
      <c r="L1912" s="76"/>
      <c r="M1912" s="76"/>
      <c r="N1912" s="76"/>
      <c r="O1912" s="76"/>
      <c r="P1912" s="76"/>
      <c r="Q1912" s="76"/>
      <c r="R1912" s="76"/>
      <c r="S1912" s="76"/>
      <c r="T1912" s="76"/>
      <c r="U1912" s="76"/>
      <c r="V1912" s="76"/>
      <c r="W1912" s="76"/>
      <c r="X1912" s="76"/>
      <c r="Y1912" s="76"/>
      <c r="Z1912" s="76"/>
      <c r="AA1912" s="76"/>
      <c r="AB1912" s="76"/>
      <c r="AC1912" s="76"/>
      <c r="AD1912" s="76"/>
      <c r="AE1912" s="76"/>
      <c r="AF1912" s="76"/>
      <c r="AG1912" s="76"/>
      <c r="AH1912" s="76"/>
      <c r="AI1912" s="76">
        <v>1</v>
      </c>
      <c r="AJ1912" s="76">
        <v>1</v>
      </c>
      <c r="AK1912" s="73"/>
      <c r="AL1912" s="57"/>
      <c r="AM1912" s="45"/>
      <c r="AN1912" s="45"/>
      <c r="AO1912" s="45"/>
    </row>
    <row r="1913" spans="1:41" hidden="1" outlineLevel="3" x14ac:dyDescent="0.25">
      <c r="A1913" s="45"/>
      <c r="B1913" s="54"/>
      <c r="C1913" s="47">
        <f t="shared" si="682"/>
        <v>4</v>
      </c>
      <c r="D1913" s="73"/>
      <c r="E1913" s="70"/>
      <c r="F1913" s="70" t="s">
        <v>3602</v>
      </c>
      <c r="G1913" s="73"/>
      <c r="H1913" s="76"/>
      <c r="I1913" s="76"/>
      <c r="J1913" s="76"/>
      <c r="K1913" s="76"/>
      <c r="L1913" s="76"/>
      <c r="M1913" s="76"/>
      <c r="N1913" s="76"/>
      <c r="O1913" s="76"/>
      <c r="P1913" s="76"/>
      <c r="Q1913" s="76"/>
      <c r="R1913" s="76"/>
      <c r="S1913" s="76"/>
      <c r="T1913" s="76"/>
      <c r="U1913" s="76"/>
      <c r="V1913" s="76"/>
      <c r="W1913" s="76"/>
      <c r="X1913" s="76"/>
      <c r="Y1913" s="76"/>
      <c r="Z1913" s="76"/>
      <c r="AA1913" s="76"/>
      <c r="AB1913" s="76"/>
      <c r="AC1913" s="76"/>
      <c r="AD1913" s="76"/>
      <c r="AE1913" s="76"/>
      <c r="AF1913" s="76"/>
      <c r="AG1913" s="76"/>
      <c r="AH1913" s="76"/>
      <c r="AI1913" s="76">
        <v>1</v>
      </c>
      <c r="AJ1913" s="76">
        <v>1</v>
      </c>
      <c r="AK1913" s="73"/>
      <c r="AL1913" s="57"/>
      <c r="AM1913" s="45"/>
      <c r="AN1913" s="45"/>
      <c r="AO1913" s="45"/>
    </row>
    <row r="1914" spans="1:41" hidden="1" outlineLevel="3" x14ac:dyDescent="0.25">
      <c r="A1914" s="45"/>
      <c r="B1914" s="54"/>
      <c r="C1914" s="47">
        <f t="shared" si="682"/>
        <v>4</v>
      </c>
      <c r="D1914" s="73"/>
      <c r="E1914" s="70"/>
      <c r="F1914" s="70" t="s">
        <v>3603</v>
      </c>
      <c r="G1914" s="73"/>
      <c r="H1914" s="76"/>
      <c r="I1914" s="76"/>
      <c r="J1914" s="76"/>
      <c r="K1914" s="76"/>
      <c r="L1914" s="76"/>
      <c r="M1914" s="76"/>
      <c r="N1914" s="76"/>
      <c r="O1914" s="76"/>
      <c r="P1914" s="76"/>
      <c r="Q1914" s="76"/>
      <c r="R1914" s="76"/>
      <c r="S1914" s="76"/>
      <c r="T1914" s="76"/>
      <c r="U1914" s="76"/>
      <c r="V1914" s="76"/>
      <c r="W1914" s="76"/>
      <c r="X1914" s="76"/>
      <c r="Y1914" s="76"/>
      <c r="Z1914" s="76"/>
      <c r="AA1914" s="76"/>
      <c r="AB1914" s="76"/>
      <c r="AC1914" s="76"/>
      <c r="AD1914" s="76"/>
      <c r="AE1914" s="76"/>
      <c r="AF1914" s="76"/>
      <c r="AG1914" s="76"/>
      <c r="AH1914" s="76"/>
      <c r="AI1914" s="76">
        <v>1</v>
      </c>
      <c r="AJ1914" s="76">
        <v>1</v>
      </c>
      <c r="AK1914" s="73"/>
      <c r="AL1914" s="57"/>
      <c r="AM1914" s="45"/>
      <c r="AN1914" s="45"/>
      <c r="AO1914" s="45"/>
    </row>
    <row r="1915" spans="1:41" hidden="1" outlineLevel="3" x14ac:dyDescent="0.25">
      <c r="A1915" s="45"/>
      <c r="B1915" s="54"/>
      <c r="C1915" s="47">
        <f t="shared" si="682"/>
        <v>4</v>
      </c>
      <c r="D1915" s="73"/>
      <c r="E1915" s="70"/>
      <c r="F1915" s="70" t="s">
        <v>3604</v>
      </c>
      <c r="G1915" s="73"/>
      <c r="H1915" s="76"/>
      <c r="I1915" s="76"/>
      <c r="J1915" s="76"/>
      <c r="K1915" s="76"/>
      <c r="L1915" s="76"/>
      <c r="M1915" s="76"/>
      <c r="N1915" s="76"/>
      <c r="O1915" s="76"/>
      <c r="P1915" s="76"/>
      <c r="Q1915" s="76"/>
      <c r="R1915" s="76"/>
      <c r="S1915" s="76"/>
      <c r="T1915" s="76"/>
      <c r="U1915" s="76"/>
      <c r="V1915" s="76"/>
      <c r="W1915" s="76"/>
      <c r="X1915" s="76"/>
      <c r="Y1915" s="76"/>
      <c r="Z1915" s="76"/>
      <c r="AA1915" s="76"/>
      <c r="AB1915" s="76"/>
      <c r="AC1915" s="76"/>
      <c r="AD1915" s="76"/>
      <c r="AE1915" s="76"/>
      <c r="AF1915" s="76"/>
      <c r="AG1915" s="76"/>
      <c r="AH1915" s="76"/>
      <c r="AI1915" s="76">
        <v>1</v>
      </c>
      <c r="AJ1915" s="76">
        <v>1</v>
      </c>
      <c r="AK1915" s="73"/>
      <c r="AL1915" s="57"/>
      <c r="AM1915" s="45"/>
      <c r="AN1915" s="45"/>
      <c r="AO1915" s="45"/>
    </row>
    <row r="1916" spans="1:41" hidden="1" outlineLevel="3" x14ac:dyDescent="0.25">
      <c r="A1916" s="45"/>
      <c r="B1916" s="54"/>
      <c r="C1916" s="47">
        <f t="shared" si="682"/>
        <v>4</v>
      </c>
      <c r="D1916" s="73"/>
      <c r="E1916" s="70"/>
      <c r="F1916" s="70" t="s">
        <v>3605</v>
      </c>
      <c r="G1916" s="73"/>
      <c r="H1916" s="76"/>
      <c r="I1916" s="76"/>
      <c r="J1916" s="76"/>
      <c r="K1916" s="76"/>
      <c r="L1916" s="76"/>
      <c r="M1916" s="76"/>
      <c r="N1916" s="76"/>
      <c r="O1916" s="76"/>
      <c r="P1916" s="76"/>
      <c r="Q1916" s="76"/>
      <c r="R1916" s="76"/>
      <c r="S1916" s="76"/>
      <c r="T1916" s="76"/>
      <c r="U1916" s="76"/>
      <c r="V1916" s="76"/>
      <c r="W1916" s="76"/>
      <c r="X1916" s="76"/>
      <c r="Y1916" s="76"/>
      <c r="Z1916" s="76"/>
      <c r="AA1916" s="76"/>
      <c r="AB1916" s="76"/>
      <c r="AC1916" s="76"/>
      <c r="AD1916" s="76"/>
      <c r="AE1916" s="76"/>
      <c r="AF1916" s="76"/>
      <c r="AG1916" s="76"/>
      <c r="AH1916" s="76"/>
      <c r="AI1916" s="76">
        <v>1</v>
      </c>
      <c r="AJ1916" s="76">
        <v>1</v>
      </c>
      <c r="AK1916" s="73"/>
      <c r="AL1916" s="57"/>
      <c r="AM1916" s="45"/>
      <c r="AN1916" s="45"/>
      <c r="AO1916" s="45"/>
    </row>
    <row r="1917" spans="1:41" hidden="1" outlineLevel="3" x14ac:dyDescent="0.25">
      <c r="A1917" s="45"/>
      <c r="B1917" s="54"/>
      <c r="C1917" s="47"/>
      <c r="D1917" s="73"/>
      <c r="E1917" s="70"/>
      <c r="F1917" s="70" t="s">
        <v>3606</v>
      </c>
      <c r="G1917" s="73"/>
      <c r="H1917" s="76"/>
      <c r="I1917" s="76"/>
      <c r="J1917" s="76"/>
      <c r="K1917" s="76"/>
      <c r="L1917" s="76"/>
      <c r="M1917" s="76"/>
      <c r="N1917" s="76"/>
      <c r="O1917" s="76"/>
      <c r="P1917" s="76"/>
      <c r="Q1917" s="76"/>
      <c r="R1917" s="76"/>
      <c r="S1917" s="76"/>
      <c r="T1917" s="76"/>
      <c r="U1917" s="76"/>
      <c r="V1917" s="76"/>
      <c r="W1917" s="76"/>
      <c r="X1917" s="76"/>
      <c r="Y1917" s="76"/>
      <c r="Z1917" s="76"/>
      <c r="AA1917" s="76"/>
      <c r="AB1917" s="76"/>
      <c r="AC1917" s="76"/>
      <c r="AD1917" s="76"/>
      <c r="AE1917" s="76"/>
      <c r="AF1917" s="76"/>
      <c r="AG1917" s="76"/>
      <c r="AH1917" s="76"/>
      <c r="AI1917" s="76">
        <v>1</v>
      </c>
      <c r="AJ1917" s="76">
        <v>1</v>
      </c>
      <c r="AK1917" s="73"/>
      <c r="AL1917" s="57"/>
      <c r="AM1917" s="45"/>
      <c r="AN1917" s="45"/>
      <c r="AO1917" s="45"/>
    </row>
    <row r="1918" spans="1:41" hidden="1" outlineLevel="3" x14ac:dyDescent="0.25">
      <c r="A1918" s="45"/>
      <c r="B1918" s="54"/>
      <c r="C1918" s="47"/>
      <c r="D1918" s="73"/>
      <c r="E1918" s="70"/>
      <c r="F1918" s="70" t="s">
        <v>3607</v>
      </c>
      <c r="G1918" s="73"/>
      <c r="H1918" s="76"/>
      <c r="I1918" s="76"/>
      <c r="J1918" s="76"/>
      <c r="K1918" s="76"/>
      <c r="L1918" s="76"/>
      <c r="M1918" s="76"/>
      <c r="N1918" s="76"/>
      <c r="O1918" s="76"/>
      <c r="P1918" s="76"/>
      <c r="Q1918" s="76"/>
      <c r="R1918" s="76"/>
      <c r="S1918" s="76"/>
      <c r="T1918" s="76"/>
      <c r="U1918" s="76"/>
      <c r="V1918" s="76"/>
      <c r="W1918" s="76"/>
      <c r="X1918" s="76"/>
      <c r="Y1918" s="76"/>
      <c r="Z1918" s="76"/>
      <c r="AA1918" s="76"/>
      <c r="AB1918" s="76"/>
      <c r="AC1918" s="76"/>
      <c r="AD1918" s="76"/>
      <c r="AE1918" s="76"/>
      <c r="AF1918" s="76"/>
      <c r="AG1918" s="76"/>
      <c r="AH1918" s="76"/>
      <c r="AI1918" s="76">
        <v>1</v>
      </c>
      <c r="AJ1918" s="76">
        <v>1</v>
      </c>
      <c r="AK1918" s="73"/>
      <c r="AL1918" s="57"/>
      <c r="AM1918" s="45"/>
      <c r="AN1918" s="45"/>
      <c r="AO1918" s="45"/>
    </row>
    <row r="1919" spans="1:41" hidden="1" outlineLevel="3" x14ac:dyDescent="0.25">
      <c r="A1919" s="45"/>
      <c r="B1919" s="54"/>
      <c r="C1919" s="47"/>
      <c r="D1919" s="73"/>
      <c r="E1919" s="70"/>
      <c r="F1919" s="70" t="s">
        <v>3608</v>
      </c>
      <c r="G1919" s="73"/>
      <c r="H1919" s="76"/>
      <c r="I1919" s="76"/>
      <c r="J1919" s="76"/>
      <c r="K1919" s="76"/>
      <c r="L1919" s="76"/>
      <c r="M1919" s="76"/>
      <c r="N1919" s="76"/>
      <c r="O1919" s="76"/>
      <c r="P1919" s="76"/>
      <c r="Q1919" s="76"/>
      <c r="R1919" s="76"/>
      <c r="S1919" s="76"/>
      <c r="T1919" s="76"/>
      <c r="U1919" s="76"/>
      <c r="V1919" s="76"/>
      <c r="W1919" s="76"/>
      <c r="X1919" s="76"/>
      <c r="Y1919" s="76"/>
      <c r="Z1919" s="76"/>
      <c r="AA1919" s="76"/>
      <c r="AB1919" s="76"/>
      <c r="AC1919" s="76"/>
      <c r="AD1919" s="76"/>
      <c r="AE1919" s="76"/>
      <c r="AF1919" s="76"/>
      <c r="AG1919" s="76"/>
      <c r="AH1919" s="76"/>
      <c r="AI1919" s="76">
        <v>1</v>
      </c>
      <c r="AJ1919" s="76">
        <v>1</v>
      </c>
      <c r="AK1919" s="73"/>
      <c r="AL1919" s="57"/>
      <c r="AM1919" s="45"/>
      <c r="AN1919" s="45"/>
      <c r="AO1919" s="45"/>
    </row>
    <row r="1920" spans="1:41" hidden="1" outlineLevel="3" x14ac:dyDescent="0.25">
      <c r="A1920" s="45"/>
      <c r="B1920" s="54"/>
      <c r="C1920" s="47">
        <f t="shared" ref="C1920:C1931" si="683">INT($C$29)+3</f>
        <v>4</v>
      </c>
      <c r="D1920" s="73"/>
      <c r="E1920" s="70"/>
      <c r="F1920" s="70" t="str">
        <f>SUBSTITUTE(F1916,",4)",",8)")</f>
        <v>C(U6,11,8)</v>
      </c>
      <c r="G1920" s="73"/>
      <c r="H1920" s="76"/>
      <c r="I1920" s="96"/>
      <c r="J1920" s="76"/>
      <c r="K1920" s="76"/>
      <c r="L1920" s="76"/>
      <c r="M1920" s="76"/>
      <c r="N1920" s="76"/>
      <c r="O1920" s="76"/>
      <c r="P1920" s="76"/>
      <c r="Q1920" s="76"/>
      <c r="R1920" s="76"/>
      <c r="S1920" s="76"/>
      <c r="T1920" s="76"/>
      <c r="U1920" s="76"/>
      <c r="V1920" s="76"/>
      <c r="W1920" s="76"/>
      <c r="X1920" s="76"/>
      <c r="Y1920" s="76"/>
      <c r="Z1920" s="76"/>
      <c r="AA1920" s="76"/>
      <c r="AB1920" s="76"/>
      <c r="AC1920" s="76"/>
      <c r="AD1920" s="76"/>
      <c r="AE1920" s="76"/>
      <c r="AF1920" s="76"/>
      <c r="AG1920" s="76"/>
      <c r="AH1920" s="76"/>
      <c r="AI1920" s="76">
        <v>1</v>
      </c>
      <c r="AJ1920" s="76">
        <v>1</v>
      </c>
      <c r="AK1920" s="73"/>
      <c r="AL1920" s="57"/>
      <c r="AM1920" s="45"/>
      <c r="AN1920" s="45"/>
      <c r="AO1920" s="45"/>
    </row>
    <row r="1921" spans="1:41" hidden="1" outlineLevel="3" x14ac:dyDescent="0.25">
      <c r="A1921" s="45"/>
      <c r="B1921" s="54"/>
      <c r="C1921" s="47">
        <f t="shared" si="683"/>
        <v>4</v>
      </c>
      <c r="D1921" s="73"/>
      <c r="E1921" s="70"/>
      <c r="F1921" s="70" t="str">
        <f>SUBSTITUTE(F1917,",5)",",9)")</f>
        <v>C(U6,11,9)</v>
      </c>
      <c r="G1921" s="73"/>
      <c r="H1921" s="76"/>
      <c r="I1921" s="96"/>
      <c r="J1921" s="76"/>
      <c r="K1921" s="76"/>
      <c r="L1921" s="76"/>
      <c r="M1921" s="76"/>
      <c r="N1921" s="76"/>
      <c r="O1921" s="76"/>
      <c r="P1921" s="76"/>
      <c r="Q1921" s="76"/>
      <c r="R1921" s="76"/>
      <c r="S1921" s="76"/>
      <c r="T1921" s="76"/>
      <c r="U1921" s="76"/>
      <c r="V1921" s="76"/>
      <c r="W1921" s="76"/>
      <c r="X1921" s="76"/>
      <c r="Y1921" s="76"/>
      <c r="Z1921" s="76"/>
      <c r="AA1921" s="76"/>
      <c r="AB1921" s="76"/>
      <c r="AC1921" s="76"/>
      <c r="AD1921" s="76"/>
      <c r="AE1921" s="76"/>
      <c r="AF1921" s="76"/>
      <c r="AG1921" s="76"/>
      <c r="AH1921" s="76"/>
      <c r="AI1921" s="76">
        <v>1</v>
      </c>
      <c r="AJ1921" s="76">
        <v>1</v>
      </c>
      <c r="AK1921" s="73"/>
      <c r="AL1921" s="57"/>
      <c r="AM1921" s="45"/>
      <c r="AN1921" s="45"/>
      <c r="AO1921" s="45"/>
    </row>
    <row r="1922" spans="1:41" hidden="1" outlineLevel="3" x14ac:dyDescent="0.25">
      <c r="A1922" s="45"/>
      <c r="B1922" s="54"/>
      <c r="C1922" s="47">
        <f t="shared" si="683"/>
        <v>4</v>
      </c>
      <c r="D1922" s="73"/>
      <c r="E1922" s="70"/>
      <c r="F1922" s="70" t="str">
        <f>SUBSTITUTE(F1918,",6)",",10)")</f>
        <v>C(U6,11,10)</v>
      </c>
      <c r="G1922" s="73"/>
      <c r="H1922" s="76"/>
      <c r="I1922" s="96"/>
      <c r="J1922" s="76"/>
      <c r="K1922" s="76"/>
      <c r="L1922" s="76"/>
      <c r="M1922" s="76"/>
      <c r="N1922" s="76"/>
      <c r="O1922" s="76"/>
      <c r="P1922" s="76"/>
      <c r="Q1922" s="76"/>
      <c r="R1922" s="76"/>
      <c r="S1922" s="76"/>
      <c r="T1922" s="76"/>
      <c r="U1922" s="76"/>
      <c r="V1922" s="76"/>
      <c r="W1922" s="76"/>
      <c r="X1922" s="76"/>
      <c r="Y1922" s="76"/>
      <c r="Z1922" s="76"/>
      <c r="AA1922" s="76"/>
      <c r="AB1922" s="76"/>
      <c r="AC1922" s="76"/>
      <c r="AD1922" s="76"/>
      <c r="AE1922" s="76"/>
      <c r="AF1922" s="76"/>
      <c r="AG1922" s="76"/>
      <c r="AH1922" s="76"/>
      <c r="AI1922" s="76">
        <v>1</v>
      </c>
      <c r="AJ1922" s="76">
        <v>1</v>
      </c>
      <c r="AK1922" s="73"/>
      <c r="AL1922" s="57"/>
      <c r="AM1922" s="45"/>
      <c r="AN1922" s="45"/>
      <c r="AO1922" s="45"/>
    </row>
    <row r="1923" spans="1:41" hidden="1" outlineLevel="3" x14ac:dyDescent="0.25">
      <c r="A1923" s="45"/>
      <c r="B1923" s="54"/>
      <c r="C1923" s="47">
        <f t="shared" si="683"/>
        <v>4</v>
      </c>
      <c r="D1923" s="73"/>
      <c r="E1923" s="70"/>
      <c r="F1923" s="70" t="str">
        <f>SUBSTITUTE(F1919,",7)",",11)")</f>
        <v>C(U6,11,11)</v>
      </c>
      <c r="G1923" s="73"/>
      <c r="H1923" s="76"/>
      <c r="I1923" s="96"/>
      <c r="J1923" s="76"/>
      <c r="K1923" s="76"/>
      <c r="L1923" s="76"/>
      <c r="M1923" s="76"/>
      <c r="N1923" s="76"/>
      <c r="O1923" s="76"/>
      <c r="P1923" s="76"/>
      <c r="Q1923" s="76"/>
      <c r="R1923" s="76"/>
      <c r="S1923" s="76"/>
      <c r="T1923" s="76"/>
      <c r="U1923" s="76"/>
      <c r="V1923" s="76"/>
      <c r="W1923" s="76"/>
      <c r="X1923" s="76"/>
      <c r="Y1923" s="76"/>
      <c r="Z1923" s="76"/>
      <c r="AA1923" s="76"/>
      <c r="AB1923" s="76"/>
      <c r="AC1923" s="76"/>
      <c r="AD1923" s="76"/>
      <c r="AE1923" s="76"/>
      <c r="AF1923" s="76"/>
      <c r="AG1923" s="76"/>
      <c r="AH1923" s="76"/>
      <c r="AI1923" s="76">
        <v>1</v>
      </c>
      <c r="AJ1923" s="76">
        <v>1</v>
      </c>
      <c r="AK1923" s="73"/>
      <c r="AL1923" s="57"/>
      <c r="AM1923" s="45"/>
      <c r="AN1923" s="45"/>
      <c r="AO1923" s="45"/>
    </row>
    <row r="1924" spans="1:41" hidden="1" outlineLevel="3" x14ac:dyDescent="0.25">
      <c r="A1924" s="45"/>
      <c r="B1924" s="54"/>
      <c r="C1924" s="47">
        <f t="shared" si="683"/>
        <v>4</v>
      </c>
      <c r="D1924" s="73"/>
      <c r="E1924" s="70"/>
      <c r="F1924" s="70" t="str">
        <f>SUBSTITUTE(F1918,",6)",",12)")</f>
        <v>C(U6,11,12)</v>
      </c>
      <c r="G1924" s="73"/>
      <c r="H1924" s="76"/>
      <c r="I1924" s="96"/>
      <c r="J1924" s="76"/>
      <c r="K1924" s="76"/>
      <c r="L1924" s="76"/>
      <c r="M1924" s="76"/>
      <c r="N1924" s="76"/>
      <c r="O1924" s="76"/>
      <c r="P1924" s="76"/>
      <c r="Q1924" s="76"/>
      <c r="R1924" s="76"/>
      <c r="S1924" s="76"/>
      <c r="T1924" s="76"/>
      <c r="U1924" s="76"/>
      <c r="V1924" s="76"/>
      <c r="W1924" s="76"/>
      <c r="X1924" s="76"/>
      <c r="Y1924" s="76"/>
      <c r="Z1924" s="76"/>
      <c r="AA1924" s="76"/>
      <c r="AB1924" s="76"/>
      <c r="AC1924" s="76"/>
      <c r="AD1924" s="76"/>
      <c r="AE1924" s="76"/>
      <c r="AF1924" s="76"/>
      <c r="AG1924" s="76"/>
      <c r="AH1924" s="76"/>
      <c r="AI1924" s="76">
        <v>1</v>
      </c>
      <c r="AJ1924" s="76">
        <v>1</v>
      </c>
      <c r="AK1924" s="73"/>
      <c r="AL1924" s="57"/>
      <c r="AM1924" s="45"/>
      <c r="AN1924" s="45"/>
      <c r="AO1924" s="45"/>
    </row>
    <row r="1925" spans="1:41" hidden="1" outlineLevel="3" x14ac:dyDescent="0.25">
      <c r="A1925" s="45"/>
      <c r="B1925" s="54"/>
      <c r="C1925" s="47">
        <f t="shared" si="683"/>
        <v>4</v>
      </c>
      <c r="D1925" s="73"/>
      <c r="E1925" s="70"/>
      <c r="F1925" s="70" t="str">
        <f>SUBSTITUTE(F1919,",7)",",13)")</f>
        <v>C(U6,11,13)</v>
      </c>
      <c r="G1925" s="73"/>
      <c r="H1925" s="76"/>
      <c r="I1925" s="96"/>
      <c r="J1925" s="76"/>
      <c r="K1925" s="76"/>
      <c r="L1925" s="76"/>
      <c r="M1925" s="76"/>
      <c r="N1925" s="76"/>
      <c r="O1925" s="76"/>
      <c r="P1925" s="76"/>
      <c r="Q1925" s="76"/>
      <c r="R1925" s="76"/>
      <c r="S1925" s="76"/>
      <c r="T1925" s="76"/>
      <c r="U1925" s="76"/>
      <c r="V1925" s="76"/>
      <c r="W1925" s="76"/>
      <c r="X1925" s="76"/>
      <c r="Y1925" s="76"/>
      <c r="Z1925" s="76"/>
      <c r="AA1925" s="76"/>
      <c r="AB1925" s="76"/>
      <c r="AC1925" s="76"/>
      <c r="AD1925" s="76"/>
      <c r="AE1925" s="76"/>
      <c r="AF1925" s="76"/>
      <c r="AG1925" s="76"/>
      <c r="AH1925" s="76"/>
      <c r="AI1925" s="76">
        <v>1</v>
      </c>
      <c r="AJ1925" s="76">
        <v>1</v>
      </c>
      <c r="AK1925" s="73"/>
      <c r="AL1925" s="57"/>
      <c r="AM1925" s="45"/>
      <c r="AN1925" s="45"/>
      <c r="AO1925" s="45"/>
    </row>
    <row r="1926" spans="1:41" hidden="1" outlineLevel="3" x14ac:dyDescent="0.25">
      <c r="A1926" s="45"/>
      <c r="B1926" s="54"/>
      <c r="C1926" s="47">
        <f t="shared" si="683"/>
        <v>4</v>
      </c>
      <c r="D1926" s="73"/>
      <c r="E1926" s="70"/>
      <c r="F1926" s="70" t="s">
        <v>3609</v>
      </c>
      <c r="G1926" s="73"/>
      <c r="H1926" s="76"/>
      <c r="I1926" s="76"/>
      <c r="J1926" s="76"/>
      <c r="K1926" s="76"/>
      <c r="L1926" s="76"/>
      <c r="M1926" s="76"/>
      <c r="N1926" s="76"/>
      <c r="O1926" s="76"/>
      <c r="P1926" s="76"/>
      <c r="Q1926" s="76"/>
      <c r="R1926" s="76"/>
      <c r="S1926" s="76"/>
      <c r="T1926" s="76"/>
      <c r="U1926" s="76"/>
      <c r="V1926" s="76"/>
      <c r="W1926" s="76"/>
      <c r="X1926" s="76"/>
      <c r="Y1926" s="76"/>
      <c r="Z1926" s="76"/>
      <c r="AA1926" s="76"/>
      <c r="AB1926" s="76"/>
      <c r="AC1926" s="76"/>
      <c r="AD1926" s="76"/>
      <c r="AE1926" s="76"/>
      <c r="AF1926" s="76"/>
      <c r="AG1926" s="76"/>
      <c r="AH1926" s="76"/>
      <c r="AI1926" s="76">
        <v>1</v>
      </c>
      <c r="AJ1926" s="76">
        <v>1</v>
      </c>
      <c r="AK1926" s="73"/>
      <c r="AL1926" s="57"/>
      <c r="AM1926" s="45"/>
      <c r="AN1926" s="45"/>
      <c r="AO1926" s="45"/>
    </row>
    <row r="1927" spans="1:41" hidden="1" outlineLevel="3" x14ac:dyDescent="0.25">
      <c r="A1927" s="45"/>
      <c r="B1927" s="54"/>
      <c r="C1927" s="47">
        <f t="shared" si="683"/>
        <v>4</v>
      </c>
      <c r="D1927" s="73"/>
      <c r="E1927" s="70"/>
      <c r="F1927" s="70" t="s">
        <v>3610</v>
      </c>
      <c r="G1927" s="73"/>
      <c r="H1927" s="76" t="s">
        <v>599</v>
      </c>
      <c r="I1927" s="76"/>
      <c r="J1927" s="76"/>
      <c r="K1927" s="76"/>
      <c r="L1927" s="76"/>
      <c r="M1927" s="76"/>
      <c r="N1927" s="76"/>
      <c r="O1927" s="76"/>
      <c r="P1927" s="76"/>
      <c r="Q1927" s="76"/>
      <c r="R1927" s="76"/>
      <c r="S1927" s="76"/>
      <c r="T1927" s="76"/>
      <c r="U1927" s="76"/>
      <c r="V1927" s="76"/>
      <c r="W1927" s="76"/>
      <c r="X1927" s="76"/>
      <c r="Y1927" s="76"/>
      <c r="Z1927" s="76"/>
      <c r="AA1927" s="76"/>
      <c r="AB1927" s="76"/>
      <c r="AC1927" s="76"/>
      <c r="AD1927" s="76"/>
      <c r="AE1927" s="76"/>
      <c r="AF1927" s="76"/>
      <c r="AG1927" s="76"/>
      <c r="AH1927" s="76"/>
      <c r="AI1927" s="76">
        <v>1</v>
      </c>
      <c r="AJ1927" s="76">
        <v>1</v>
      </c>
      <c r="AK1927" s="73"/>
      <c r="AL1927" s="57"/>
      <c r="AM1927" s="45"/>
      <c r="AN1927" s="45"/>
      <c r="AO1927" s="45"/>
    </row>
    <row r="1928" spans="1:41" hidden="1" outlineLevel="3" x14ac:dyDescent="0.25">
      <c r="A1928" s="45"/>
      <c r="B1928" s="54"/>
      <c r="C1928" s="47">
        <f t="shared" si="683"/>
        <v>4</v>
      </c>
      <c r="D1928" s="73"/>
      <c r="E1928" s="70"/>
      <c r="F1928" s="70" t="s">
        <v>3611</v>
      </c>
      <c r="G1928" s="73"/>
      <c r="H1928" s="76"/>
      <c r="I1928" s="76"/>
      <c r="J1928" s="76"/>
      <c r="K1928" s="76"/>
      <c r="L1928" s="76"/>
      <c r="M1928" s="76"/>
      <c r="N1928" s="76"/>
      <c r="O1928" s="76"/>
      <c r="P1928" s="76"/>
      <c r="Q1928" s="76"/>
      <c r="R1928" s="76"/>
      <c r="S1928" s="76"/>
      <c r="T1928" s="76"/>
      <c r="U1928" s="76"/>
      <c r="V1928" s="76"/>
      <c r="W1928" s="76"/>
      <c r="X1928" s="76"/>
      <c r="Y1928" s="76"/>
      <c r="Z1928" s="76"/>
      <c r="AA1928" s="76"/>
      <c r="AB1928" s="76"/>
      <c r="AC1928" s="76"/>
      <c r="AD1928" s="76"/>
      <c r="AE1928" s="76"/>
      <c r="AF1928" s="76"/>
      <c r="AG1928" s="76"/>
      <c r="AH1928" s="76"/>
      <c r="AI1928" s="76">
        <v>1</v>
      </c>
      <c r="AJ1928" s="76">
        <v>1</v>
      </c>
      <c r="AK1928" s="73"/>
      <c r="AL1928" s="57"/>
      <c r="AM1928" s="45"/>
      <c r="AN1928" s="45"/>
      <c r="AO1928" s="45"/>
    </row>
    <row r="1929" spans="1:41" hidden="1" outlineLevel="3" x14ac:dyDescent="0.25">
      <c r="A1929" s="45"/>
      <c r="B1929" s="54"/>
      <c r="C1929" s="47">
        <f t="shared" si="683"/>
        <v>4</v>
      </c>
      <c r="D1929" s="73"/>
      <c r="E1929" s="70"/>
      <c r="F1929" s="70" t="s">
        <v>3612</v>
      </c>
      <c r="G1929" s="73"/>
      <c r="H1929" s="76"/>
      <c r="I1929" s="76"/>
      <c r="J1929" s="76"/>
      <c r="K1929" s="76"/>
      <c r="L1929" s="76"/>
      <c r="M1929" s="76"/>
      <c r="N1929" s="76"/>
      <c r="O1929" s="76"/>
      <c r="P1929" s="76"/>
      <c r="Q1929" s="76"/>
      <c r="R1929" s="76"/>
      <c r="S1929" s="76"/>
      <c r="T1929" s="76"/>
      <c r="U1929" s="76"/>
      <c r="V1929" s="76"/>
      <c r="W1929" s="76"/>
      <c r="X1929" s="76"/>
      <c r="Y1929" s="76"/>
      <c r="Z1929" s="76"/>
      <c r="AA1929" s="76"/>
      <c r="AB1929" s="76"/>
      <c r="AC1929" s="76"/>
      <c r="AD1929" s="76"/>
      <c r="AE1929" s="76"/>
      <c r="AF1929" s="76"/>
      <c r="AG1929" s="76"/>
      <c r="AH1929" s="76"/>
      <c r="AI1929" s="76">
        <v>1</v>
      </c>
      <c r="AJ1929" s="76">
        <v>1</v>
      </c>
      <c r="AK1929" s="73"/>
      <c r="AL1929" s="57"/>
      <c r="AM1929" s="45"/>
      <c r="AN1929" s="45"/>
      <c r="AO1929" s="45"/>
    </row>
    <row r="1930" spans="1:41" hidden="1" outlineLevel="3" x14ac:dyDescent="0.25">
      <c r="A1930" s="45"/>
      <c r="B1930" s="54"/>
      <c r="C1930" s="47">
        <f t="shared" si="683"/>
        <v>4</v>
      </c>
      <c r="D1930" s="73"/>
      <c r="E1930" s="70"/>
      <c r="F1930" s="70" t="s">
        <v>3613</v>
      </c>
      <c r="G1930" s="73"/>
      <c r="H1930" s="76"/>
      <c r="I1930" s="76"/>
      <c r="J1930" s="76"/>
      <c r="K1930" s="76"/>
      <c r="L1930" s="76"/>
      <c r="M1930" s="76"/>
      <c r="N1930" s="76"/>
      <c r="O1930" s="76"/>
      <c r="P1930" s="76"/>
      <c r="Q1930" s="76"/>
      <c r="R1930" s="76"/>
      <c r="S1930" s="76"/>
      <c r="T1930" s="76"/>
      <c r="U1930" s="76"/>
      <c r="V1930" s="76"/>
      <c r="W1930" s="76"/>
      <c r="X1930" s="76"/>
      <c r="Y1930" s="76"/>
      <c r="Z1930" s="76"/>
      <c r="AA1930" s="76"/>
      <c r="AB1930" s="76"/>
      <c r="AC1930" s="76"/>
      <c r="AD1930" s="76"/>
      <c r="AE1930" s="76"/>
      <c r="AF1930" s="76"/>
      <c r="AG1930" s="76"/>
      <c r="AH1930" s="76"/>
      <c r="AI1930" s="76">
        <v>1</v>
      </c>
      <c r="AJ1930" s="76">
        <v>1</v>
      </c>
      <c r="AK1930" s="73"/>
      <c r="AL1930" s="57"/>
      <c r="AM1930" s="45"/>
      <c r="AN1930" s="45"/>
      <c r="AO1930" s="45"/>
    </row>
    <row r="1931" spans="1:41" hidden="1" outlineLevel="3" x14ac:dyDescent="0.25">
      <c r="A1931" s="45"/>
      <c r="B1931" s="54"/>
      <c r="C1931" s="47">
        <f t="shared" si="683"/>
        <v>4</v>
      </c>
      <c r="D1931" s="73"/>
      <c r="E1931" s="70"/>
      <c r="F1931" s="70" t="s">
        <v>3614</v>
      </c>
      <c r="G1931" s="73"/>
      <c r="H1931" s="76"/>
      <c r="I1931" s="76"/>
      <c r="J1931" s="76"/>
      <c r="K1931" s="76"/>
      <c r="L1931" s="76"/>
      <c r="M1931" s="76"/>
      <c r="N1931" s="76"/>
      <c r="O1931" s="76"/>
      <c r="P1931" s="76"/>
      <c r="Q1931" s="76"/>
      <c r="R1931" s="76"/>
      <c r="S1931" s="76"/>
      <c r="T1931" s="76"/>
      <c r="U1931" s="76"/>
      <c r="V1931" s="76"/>
      <c r="W1931" s="76"/>
      <c r="X1931" s="76"/>
      <c r="Y1931" s="76"/>
      <c r="Z1931" s="76"/>
      <c r="AA1931" s="76"/>
      <c r="AB1931" s="76"/>
      <c r="AC1931" s="76"/>
      <c r="AD1931" s="76"/>
      <c r="AE1931" s="76"/>
      <c r="AF1931" s="76"/>
      <c r="AG1931" s="76"/>
      <c r="AH1931" s="76"/>
      <c r="AI1931" s="76">
        <v>1</v>
      </c>
      <c r="AJ1931" s="76">
        <v>1</v>
      </c>
      <c r="AK1931" s="73"/>
      <c r="AL1931" s="57"/>
      <c r="AM1931" s="45"/>
      <c r="AN1931" s="45"/>
      <c r="AO1931" s="45"/>
    </row>
    <row r="1932" spans="1:41" hidden="1" outlineLevel="3" x14ac:dyDescent="0.25">
      <c r="A1932" s="45"/>
      <c r="B1932" s="54"/>
      <c r="C1932" s="47"/>
      <c r="D1932" s="73"/>
      <c r="E1932" s="70"/>
      <c r="F1932" s="70" t="s">
        <v>3615</v>
      </c>
      <c r="G1932" s="73"/>
      <c r="H1932" s="76"/>
      <c r="I1932" s="76"/>
      <c r="J1932" s="76"/>
      <c r="K1932" s="76"/>
      <c r="L1932" s="76"/>
      <c r="M1932" s="76"/>
      <c r="N1932" s="76"/>
      <c r="O1932" s="76"/>
      <c r="P1932" s="76"/>
      <c r="Q1932" s="76"/>
      <c r="R1932" s="76"/>
      <c r="S1932" s="76"/>
      <c r="T1932" s="76"/>
      <c r="U1932" s="76"/>
      <c r="V1932" s="76"/>
      <c r="W1932" s="76"/>
      <c r="X1932" s="76"/>
      <c r="Y1932" s="76"/>
      <c r="Z1932" s="76"/>
      <c r="AA1932" s="76"/>
      <c r="AB1932" s="76"/>
      <c r="AC1932" s="76"/>
      <c r="AD1932" s="76"/>
      <c r="AE1932" s="76"/>
      <c r="AF1932" s="76"/>
      <c r="AG1932" s="76"/>
      <c r="AH1932" s="76"/>
      <c r="AI1932" s="76">
        <v>1</v>
      </c>
      <c r="AJ1932" s="76">
        <v>1</v>
      </c>
      <c r="AK1932" s="73"/>
      <c r="AL1932" s="57"/>
      <c r="AM1932" s="45"/>
      <c r="AN1932" s="45"/>
      <c r="AO1932" s="45"/>
    </row>
    <row r="1933" spans="1:41" hidden="1" outlineLevel="3" x14ac:dyDescent="0.25">
      <c r="A1933" s="45"/>
      <c r="B1933" s="54"/>
      <c r="C1933" s="47"/>
      <c r="D1933" s="73"/>
      <c r="E1933" s="70"/>
      <c r="F1933" s="70" t="s">
        <v>3616</v>
      </c>
      <c r="G1933" s="73"/>
      <c r="H1933" s="76"/>
      <c r="I1933" s="76"/>
      <c r="J1933" s="76"/>
      <c r="K1933" s="76"/>
      <c r="L1933" s="76"/>
      <c r="M1933" s="76"/>
      <c r="N1933" s="76"/>
      <c r="O1933" s="76"/>
      <c r="P1933" s="76"/>
      <c r="Q1933" s="76"/>
      <c r="R1933" s="76"/>
      <c r="S1933" s="76"/>
      <c r="T1933" s="76"/>
      <c r="U1933" s="76"/>
      <c r="V1933" s="76"/>
      <c r="W1933" s="76"/>
      <c r="X1933" s="76"/>
      <c r="Y1933" s="76"/>
      <c r="Z1933" s="76"/>
      <c r="AA1933" s="76"/>
      <c r="AB1933" s="76"/>
      <c r="AC1933" s="76"/>
      <c r="AD1933" s="76"/>
      <c r="AE1933" s="76"/>
      <c r="AF1933" s="76"/>
      <c r="AG1933" s="76"/>
      <c r="AH1933" s="76"/>
      <c r="AI1933" s="76">
        <v>1</v>
      </c>
      <c r="AJ1933" s="76">
        <v>1</v>
      </c>
      <c r="AK1933" s="73"/>
      <c r="AL1933" s="57"/>
      <c r="AM1933" s="45"/>
      <c r="AN1933" s="45"/>
      <c r="AO1933" s="45"/>
    </row>
    <row r="1934" spans="1:41" hidden="1" outlineLevel="3" x14ac:dyDescent="0.25">
      <c r="A1934" s="45"/>
      <c r="B1934" s="54"/>
      <c r="C1934" s="47"/>
      <c r="D1934" s="73"/>
      <c r="E1934" s="70"/>
      <c r="F1934" s="70" t="s">
        <v>3617</v>
      </c>
      <c r="G1934" s="73"/>
      <c r="H1934" s="76"/>
      <c r="I1934" s="76"/>
      <c r="J1934" s="76"/>
      <c r="K1934" s="76"/>
      <c r="L1934" s="76"/>
      <c r="M1934" s="76"/>
      <c r="N1934" s="76"/>
      <c r="O1934" s="76"/>
      <c r="P1934" s="76"/>
      <c r="Q1934" s="76"/>
      <c r="R1934" s="76"/>
      <c r="S1934" s="76"/>
      <c r="T1934" s="76"/>
      <c r="U1934" s="76"/>
      <c r="V1934" s="76"/>
      <c r="W1934" s="76"/>
      <c r="X1934" s="76"/>
      <c r="Y1934" s="76"/>
      <c r="Z1934" s="76"/>
      <c r="AA1934" s="76"/>
      <c r="AB1934" s="76"/>
      <c r="AC1934" s="76"/>
      <c r="AD1934" s="76"/>
      <c r="AE1934" s="76"/>
      <c r="AF1934" s="76"/>
      <c r="AG1934" s="76"/>
      <c r="AH1934" s="76"/>
      <c r="AI1934" s="76">
        <v>1</v>
      </c>
      <c r="AJ1934" s="76">
        <v>1</v>
      </c>
      <c r="AK1934" s="73"/>
      <c r="AL1934" s="57"/>
      <c r="AM1934" s="45"/>
      <c r="AN1934" s="45"/>
      <c r="AO1934" s="45"/>
    </row>
    <row r="1935" spans="1:41" hidden="1" outlineLevel="3" x14ac:dyDescent="0.25">
      <c r="A1935" s="45"/>
      <c r="B1935" s="54"/>
      <c r="C1935" s="47">
        <f t="shared" ref="C1935:C1946" si="684">INT($C$29)+3</f>
        <v>4</v>
      </c>
      <c r="D1935" s="73"/>
      <c r="E1935" s="70"/>
      <c r="F1935" s="70" t="str">
        <f>SUBSTITUTE(F1931,",4)",",8)")</f>
        <v>C(U6,12,8)</v>
      </c>
      <c r="G1935" s="73"/>
      <c r="H1935" s="76"/>
      <c r="I1935" s="96"/>
      <c r="J1935" s="76"/>
      <c r="K1935" s="76"/>
      <c r="L1935" s="76"/>
      <c r="M1935" s="76"/>
      <c r="N1935" s="76"/>
      <c r="O1935" s="76"/>
      <c r="P1935" s="76"/>
      <c r="Q1935" s="76"/>
      <c r="R1935" s="76"/>
      <c r="S1935" s="76"/>
      <c r="T1935" s="76"/>
      <c r="U1935" s="76"/>
      <c r="V1935" s="76"/>
      <c r="W1935" s="76"/>
      <c r="X1935" s="76"/>
      <c r="Y1935" s="76"/>
      <c r="Z1935" s="76"/>
      <c r="AA1935" s="76"/>
      <c r="AB1935" s="76"/>
      <c r="AC1935" s="76"/>
      <c r="AD1935" s="76"/>
      <c r="AE1935" s="76"/>
      <c r="AF1935" s="76"/>
      <c r="AG1935" s="76"/>
      <c r="AH1935" s="76"/>
      <c r="AI1935" s="76">
        <v>1</v>
      </c>
      <c r="AJ1935" s="76">
        <v>1</v>
      </c>
      <c r="AK1935" s="73"/>
      <c r="AL1935" s="57"/>
      <c r="AM1935" s="45"/>
      <c r="AN1935" s="45"/>
      <c r="AO1935" s="45"/>
    </row>
    <row r="1936" spans="1:41" hidden="1" outlineLevel="3" x14ac:dyDescent="0.25">
      <c r="A1936" s="45"/>
      <c r="B1936" s="54"/>
      <c r="C1936" s="47">
        <f t="shared" si="684"/>
        <v>4</v>
      </c>
      <c r="D1936" s="73"/>
      <c r="E1936" s="70"/>
      <c r="F1936" s="70" t="str">
        <f>SUBSTITUTE(F1932,",5)",",9)")</f>
        <v>C(U6,12,9)</v>
      </c>
      <c r="G1936" s="73"/>
      <c r="H1936" s="76"/>
      <c r="I1936" s="96"/>
      <c r="J1936" s="76"/>
      <c r="K1936" s="76"/>
      <c r="L1936" s="76"/>
      <c r="M1936" s="76"/>
      <c r="N1936" s="76"/>
      <c r="O1936" s="76"/>
      <c r="P1936" s="76"/>
      <c r="Q1936" s="76"/>
      <c r="R1936" s="76"/>
      <c r="S1936" s="76"/>
      <c r="T1936" s="76"/>
      <c r="U1936" s="76"/>
      <c r="V1936" s="76"/>
      <c r="W1936" s="76"/>
      <c r="X1936" s="76"/>
      <c r="Y1936" s="76"/>
      <c r="Z1936" s="76"/>
      <c r="AA1936" s="76"/>
      <c r="AB1936" s="76"/>
      <c r="AC1936" s="76"/>
      <c r="AD1936" s="76"/>
      <c r="AE1936" s="76"/>
      <c r="AF1936" s="76"/>
      <c r="AG1936" s="76"/>
      <c r="AH1936" s="76"/>
      <c r="AI1936" s="76">
        <v>1</v>
      </c>
      <c r="AJ1936" s="76">
        <v>1</v>
      </c>
      <c r="AK1936" s="73"/>
      <c r="AL1936" s="57"/>
      <c r="AM1936" s="45"/>
      <c r="AN1936" s="45"/>
      <c r="AO1936" s="45"/>
    </row>
    <row r="1937" spans="1:41" hidden="1" outlineLevel="3" x14ac:dyDescent="0.25">
      <c r="A1937" s="45"/>
      <c r="B1937" s="54"/>
      <c r="C1937" s="47">
        <f t="shared" si="684"/>
        <v>4</v>
      </c>
      <c r="D1937" s="73"/>
      <c r="E1937" s="70"/>
      <c r="F1937" s="70" t="str">
        <f>SUBSTITUTE(F1933,",6)",",10)")</f>
        <v>C(U6,12,10)</v>
      </c>
      <c r="G1937" s="73"/>
      <c r="H1937" s="76"/>
      <c r="I1937" s="96"/>
      <c r="J1937" s="76"/>
      <c r="K1937" s="76"/>
      <c r="L1937" s="76"/>
      <c r="M1937" s="76"/>
      <c r="N1937" s="76"/>
      <c r="O1937" s="76"/>
      <c r="P1937" s="76"/>
      <c r="Q1937" s="76"/>
      <c r="R1937" s="76"/>
      <c r="S1937" s="76"/>
      <c r="T1937" s="76"/>
      <c r="U1937" s="76"/>
      <c r="V1937" s="76"/>
      <c r="W1937" s="76"/>
      <c r="X1937" s="76"/>
      <c r="Y1937" s="76"/>
      <c r="Z1937" s="76"/>
      <c r="AA1937" s="76"/>
      <c r="AB1937" s="76"/>
      <c r="AC1937" s="76"/>
      <c r="AD1937" s="76"/>
      <c r="AE1937" s="76"/>
      <c r="AF1937" s="76"/>
      <c r="AG1937" s="76"/>
      <c r="AH1937" s="76"/>
      <c r="AI1937" s="76">
        <v>1</v>
      </c>
      <c r="AJ1937" s="76">
        <v>1</v>
      </c>
      <c r="AK1937" s="73"/>
      <c r="AL1937" s="57"/>
      <c r="AM1937" s="45"/>
      <c r="AN1937" s="45"/>
      <c r="AO1937" s="45"/>
    </row>
    <row r="1938" spans="1:41" hidden="1" outlineLevel="3" x14ac:dyDescent="0.25">
      <c r="A1938" s="45"/>
      <c r="B1938" s="54"/>
      <c r="C1938" s="47">
        <f t="shared" si="684"/>
        <v>4</v>
      </c>
      <c r="D1938" s="73"/>
      <c r="E1938" s="70"/>
      <c r="F1938" s="70" t="str">
        <f>SUBSTITUTE(F1934,",7)",",11)")</f>
        <v>C(U6,12,11)</v>
      </c>
      <c r="G1938" s="73"/>
      <c r="H1938" s="76"/>
      <c r="I1938" s="96"/>
      <c r="J1938" s="76"/>
      <c r="K1938" s="76"/>
      <c r="L1938" s="76"/>
      <c r="M1938" s="76"/>
      <c r="N1938" s="76"/>
      <c r="O1938" s="76"/>
      <c r="P1938" s="76"/>
      <c r="Q1938" s="76"/>
      <c r="R1938" s="76"/>
      <c r="S1938" s="76"/>
      <c r="T1938" s="76"/>
      <c r="U1938" s="76"/>
      <c r="V1938" s="76"/>
      <c r="W1938" s="76"/>
      <c r="X1938" s="76"/>
      <c r="Y1938" s="76"/>
      <c r="Z1938" s="76"/>
      <c r="AA1938" s="76"/>
      <c r="AB1938" s="76"/>
      <c r="AC1938" s="76"/>
      <c r="AD1938" s="76"/>
      <c r="AE1938" s="76"/>
      <c r="AF1938" s="76"/>
      <c r="AG1938" s="76"/>
      <c r="AH1938" s="76"/>
      <c r="AI1938" s="76">
        <v>1</v>
      </c>
      <c r="AJ1938" s="76">
        <v>1</v>
      </c>
      <c r="AK1938" s="73"/>
      <c r="AL1938" s="57"/>
      <c r="AM1938" s="45"/>
      <c r="AN1938" s="45"/>
      <c r="AO1938" s="45"/>
    </row>
    <row r="1939" spans="1:41" hidden="1" outlineLevel="3" x14ac:dyDescent="0.25">
      <c r="A1939" s="45"/>
      <c r="B1939" s="54"/>
      <c r="C1939" s="47">
        <f t="shared" si="684"/>
        <v>4</v>
      </c>
      <c r="D1939" s="73"/>
      <c r="E1939" s="70"/>
      <c r="F1939" s="70" t="str">
        <f>SUBSTITUTE(F1933,",6)",",12)")</f>
        <v>C(U6,12,12)</v>
      </c>
      <c r="G1939" s="73"/>
      <c r="H1939" s="76"/>
      <c r="I1939" s="96"/>
      <c r="J1939" s="76"/>
      <c r="K1939" s="76"/>
      <c r="L1939" s="76"/>
      <c r="M1939" s="76"/>
      <c r="N1939" s="76"/>
      <c r="O1939" s="76"/>
      <c r="P1939" s="76"/>
      <c r="Q1939" s="76"/>
      <c r="R1939" s="76"/>
      <c r="S1939" s="76"/>
      <c r="T1939" s="76"/>
      <c r="U1939" s="76"/>
      <c r="V1939" s="76"/>
      <c r="W1939" s="76"/>
      <c r="X1939" s="76"/>
      <c r="Y1939" s="76"/>
      <c r="Z1939" s="76"/>
      <c r="AA1939" s="76"/>
      <c r="AB1939" s="76"/>
      <c r="AC1939" s="76"/>
      <c r="AD1939" s="76"/>
      <c r="AE1939" s="76"/>
      <c r="AF1939" s="76"/>
      <c r="AG1939" s="76"/>
      <c r="AH1939" s="76"/>
      <c r="AI1939" s="76">
        <v>1</v>
      </c>
      <c r="AJ1939" s="76">
        <v>1</v>
      </c>
      <c r="AK1939" s="73"/>
      <c r="AL1939" s="57"/>
      <c r="AM1939" s="45"/>
      <c r="AN1939" s="45"/>
      <c r="AO1939" s="45"/>
    </row>
    <row r="1940" spans="1:41" hidden="1" outlineLevel="3" x14ac:dyDescent="0.25">
      <c r="A1940" s="45"/>
      <c r="B1940" s="54"/>
      <c r="C1940" s="47">
        <f t="shared" si="684"/>
        <v>4</v>
      </c>
      <c r="D1940" s="73"/>
      <c r="E1940" s="70"/>
      <c r="F1940" s="70" t="str">
        <f>SUBSTITUTE(F1934,",7)",",13)")</f>
        <v>C(U6,12,13)</v>
      </c>
      <c r="G1940" s="73"/>
      <c r="H1940" s="76"/>
      <c r="I1940" s="96"/>
      <c r="J1940" s="76"/>
      <c r="K1940" s="76"/>
      <c r="L1940" s="76"/>
      <c r="M1940" s="76"/>
      <c r="N1940" s="76"/>
      <c r="O1940" s="76"/>
      <c r="P1940" s="76"/>
      <c r="Q1940" s="76"/>
      <c r="R1940" s="76"/>
      <c r="S1940" s="76"/>
      <c r="T1940" s="76"/>
      <c r="U1940" s="76"/>
      <c r="V1940" s="76"/>
      <c r="W1940" s="76"/>
      <c r="X1940" s="76"/>
      <c r="Y1940" s="76"/>
      <c r="Z1940" s="76"/>
      <c r="AA1940" s="76"/>
      <c r="AB1940" s="76"/>
      <c r="AC1940" s="76"/>
      <c r="AD1940" s="76"/>
      <c r="AE1940" s="76"/>
      <c r="AF1940" s="76"/>
      <c r="AG1940" s="76"/>
      <c r="AH1940" s="76"/>
      <c r="AI1940" s="76">
        <v>1</v>
      </c>
      <c r="AJ1940" s="76">
        <v>1</v>
      </c>
      <c r="AK1940" s="73"/>
      <c r="AL1940" s="57"/>
      <c r="AM1940" s="45"/>
      <c r="AN1940" s="45"/>
      <c r="AO1940" s="45"/>
    </row>
    <row r="1941" spans="1:41" hidden="1" outlineLevel="3" x14ac:dyDescent="0.25">
      <c r="A1941" s="45"/>
      <c r="B1941" s="54"/>
      <c r="C1941" s="47">
        <f t="shared" si="684"/>
        <v>4</v>
      </c>
      <c r="D1941" s="73"/>
      <c r="E1941" s="70"/>
      <c r="F1941" s="70" t="s">
        <v>3618</v>
      </c>
      <c r="G1941" s="73"/>
      <c r="H1941" s="76"/>
      <c r="I1941" s="76"/>
      <c r="J1941" s="76"/>
      <c r="K1941" s="76"/>
      <c r="L1941" s="76"/>
      <c r="M1941" s="76"/>
      <c r="N1941" s="76"/>
      <c r="O1941" s="76"/>
      <c r="P1941" s="76"/>
      <c r="Q1941" s="76"/>
      <c r="R1941" s="76"/>
      <c r="S1941" s="76"/>
      <c r="T1941" s="76"/>
      <c r="U1941" s="76"/>
      <c r="V1941" s="76"/>
      <c r="W1941" s="76"/>
      <c r="X1941" s="76"/>
      <c r="Y1941" s="76"/>
      <c r="Z1941" s="76"/>
      <c r="AA1941" s="76"/>
      <c r="AB1941" s="76"/>
      <c r="AC1941" s="76"/>
      <c r="AD1941" s="76"/>
      <c r="AE1941" s="76"/>
      <c r="AF1941" s="76"/>
      <c r="AG1941" s="76"/>
      <c r="AH1941" s="76"/>
      <c r="AI1941" s="76">
        <v>1</v>
      </c>
      <c r="AJ1941" s="76">
        <v>1</v>
      </c>
      <c r="AK1941" s="73"/>
      <c r="AL1941" s="57"/>
      <c r="AM1941" s="45"/>
      <c r="AN1941" s="45"/>
      <c r="AO1941" s="45"/>
    </row>
    <row r="1942" spans="1:41" hidden="1" outlineLevel="3" x14ac:dyDescent="0.25">
      <c r="A1942" s="45"/>
      <c r="B1942" s="54"/>
      <c r="C1942" s="47">
        <f t="shared" si="684"/>
        <v>4</v>
      </c>
      <c r="D1942" s="73"/>
      <c r="E1942" s="70"/>
      <c r="F1942" s="70" t="s">
        <v>3619</v>
      </c>
      <c r="G1942" s="73"/>
      <c r="H1942" s="76" t="s">
        <v>599</v>
      </c>
      <c r="I1942" s="76"/>
      <c r="J1942" s="76"/>
      <c r="K1942" s="76"/>
      <c r="L1942" s="76"/>
      <c r="M1942" s="76"/>
      <c r="N1942" s="76"/>
      <c r="O1942" s="76"/>
      <c r="P1942" s="76"/>
      <c r="Q1942" s="76"/>
      <c r="R1942" s="76"/>
      <c r="S1942" s="76"/>
      <c r="T1942" s="76"/>
      <c r="U1942" s="76"/>
      <c r="V1942" s="76"/>
      <c r="W1942" s="76"/>
      <c r="X1942" s="76"/>
      <c r="Y1942" s="76"/>
      <c r="Z1942" s="76"/>
      <c r="AA1942" s="76"/>
      <c r="AB1942" s="76"/>
      <c r="AC1942" s="76"/>
      <c r="AD1942" s="76"/>
      <c r="AE1942" s="76"/>
      <c r="AF1942" s="76"/>
      <c r="AG1942" s="76"/>
      <c r="AH1942" s="76"/>
      <c r="AI1942" s="76">
        <v>1</v>
      </c>
      <c r="AJ1942" s="76">
        <v>1</v>
      </c>
      <c r="AK1942" s="73"/>
      <c r="AL1942" s="57"/>
      <c r="AM1942" s="45"/>
      <c r="AN1942" s="45"/>
      <c r="AO1942" s="45"/>
    </row>
    <row r="1943" spans="1:41" hidden="1" outlineLevel="3" x14ac:dyDescent="0.25">
      <c r="A1943" s="45"/>
      <c r="B1943" s="54"/>
      <c r="C1943" s="47">
        <f t="shared" si="684"/>
        <v>4</v>
      </c>
      <c r="D1943" s="73"/>
      <c r="E1943" s="70"/>
      <c r="F1943" s="70" t="s">
        <v>3620</v>
      </c>
      <c r="G1943" s="73"/>
      <c r="H1943" s="76"/>
      <c r="I1943" s="76"/>
      <c r="J1943" s="76"/>
      <c r="K1943" s="76"/>
      <c r="L1943" s="76"/>
      <c r="M1943" s="76"/>
      <c r="N1943" s="76"/>
      <c r="O1943" s="76"/>
      <c r="P1943" s="76"/>
      <c r="Q1943" s="76"/>
      <c r="R1943" s="76"/>
      <c r="S1943" s="76"/>
      <c r="T1943" s="76"/>
      <c r="U1943" s="76"/>
      <c r="V1943" s="76"/>
      <c r="W1943" s="76"/>
      <c r="X1943" s="76"/>
      <c r="Y1943" s="76"/>
      <c r="Z1943" s="76"/>
      <c r="AA1943" s="76"/>
      <c r="AB1943" s="76"/>
      <c r="AC1943" s="76"/>
      <c r="AD1943" s="76"/>
      <c r="AE1943" s="76"/>
      <c r="AF1943" s="76"/>
      <c r="AG1943" s="76"/>
      <c r="AH1943" s="76"/>
      <c r="AI1943" s="76">
        <v>1</v>
      </c>
      <c r="AJ1943" s="76">
        <v>1</v>
      </c>
      <c r="AK1943" s="73"/>
      <c r="AL1943" s="57"/>
      <c r="AM1943" s="45"/>
      <c r="AN1943" s="45"/>
      <c r="AO1943" s="45"/>
    </row>
    <row r="1944" spans="1:41" hidden="1" outlineLevel="3" x14ac:dyDescent="0.25">
      <c r="A1944" s="45"/>
      <c r="B1944" s="54"/>
      <c r="C1944" s="47">
        <f t="shared" si="684"/>
        <v>4</v>
      </c>
      <c r="D1944" s="73"/>
      <c r="E1944" s="70"/>
      <c r="F1944" s="70" t="s">
        <v>3621</v>
      </c>
      <c r="G1944" s="73"/>
      <c r="H1944" s="76"/>
      <c r="I1944" s="76"/>
      <c r="J1944" s="76"/>
      <c r="K1944" s="76"/>
      <c r="L1944" s="76"/>
      <c r="M1944" s="76"/>
      <c r="N1944" s="76"/>
      <c r="O1944" s="76"/>
      <c r="P1944" s="76"/>
      <c r="Q1944" s="76"/>
      <c r="R1944" s="76"/>
      <c r="S1944" s="76"/>
      <c r="T1944" s="76"/>
      <c r="U1944" s="76"/>
      <c r="V1944" s="76"/>
      <c r="W1944" s="76"/>
      <c r="X1944" s="76"/>
      <c r="Y1944" s="76"/>
      <c r="Z1944" s="76"/>
      <c r="AA1944" s="76"/>
      <c r="AB1944" s="76"/>
      <c r="AC1944" s="76"/>
      <c r="AD1944" s="76"/>
      <c r="AE1944" s="76"/>
      <c r="AF1944" s="76"/>
      <c r="AG1944" s="76"/>
      <c r="AH1944" s="76"/>
      <c r="AI1944" s="76">
        <v>1</v>
      </c>
      <c r="AJ1944" s="76">
        <v>1</v>
      </c>
      <c r="AK1944" s="73"/>
      <c r="AL1944" s="57"/>
      <c r="AM1944" s="45"/>
      <c r="AN1944" s="45"/>
      <c r="AO1944" s="45"/>
    </row>
    <row r="1945" spans="1:41" hidden="1" outlineLevel="3" x14ac:dyDescent="0.25">
      <c r="A1945" s="45"/>
      <c r="B1945" s="54"/>
      <c r="C1945" s="47">
        <f t="shared" si="684"/>
        <v>4</v>
      </c>
      <c r="D1945" s="73"/>
      <c r="E1945" s="70"/>
      <c r="F1945" s="70" t="s">
        <v>3622</v>
      </c>
      <c r="G1945" s="73"/>
      <c r="H1945" s="76"/>
      <c r="I1945" s="76"/>
      <c r="J1945" s="76"/>
      <c r="K1945" s="76"/>
      <c r="L1945" s="76"/>
      <c r="M1945" s="76"/>
      <c r="N1945" s="76"/>
      <c r="O1945" s="76"/>
      <c r="P1945" s="76"/>
      <c r="Q1945" s="76"/>
      <c r="R1945" s="76"/>
      <c r="S1945" s="76"/>
      <c r="T1945" s="76"/>
      <c r="U1945" s="76"/>
      <c r="V1945" s="76"/>
      <c r="W1945" s="76"/>
      <c r="X1945" s="76"/>
      <c r="Y1945" s="76"/>
      <c r="Z1945" s="76"/>
      <c r="AA1945" s="76"/>
      <c r="AB1945" s="76"/>
      <c r="AC1945" s="76"/>
      <c r="AD1945" s="76"/>
      <c r="AE1945" s="76"/>
      <c r="AF1945" s="76"/>
      <c r="AG1945" s="76"/>
      <c r="AH1945" s="76"/>
      <c r="AI1945" s="76">
        <v>1</v>
      </c>
      <c r="AJ1945" s="76">
        <v>1</v>
      </c>
      <c r="AK1945" s="73"/>
      <c r="AL1945" s="57"/>
      <c r="AM1945" s="45"/>
      <c r="AN1945" s="45"/>
      <c r="AO1945" s="45"/>
    </row>
    <row r="1946" spans="1:41" hidden="1" outlineLevel="3" x14ac:dyDescent="0.25">
      <c r="A1946" s="45"/>
      <c r="B1946" s="54"/>
      <c r="C1946" s="47">
        <f t="shared" si="684"/>
        <v>4</v>
      </c>
      <c r="D1946" s="73"/>
      <c r="E1946" s="70"/>
      <c r="F1946" s="70" t="s">
        <v>3623</v>
      </c>
      <c r="G1946" s="73"/>
      <c r="H1946" s="76"/>
      <c r="I1946" s="76"/>
      <c r="J1946" s="76"/>
      <c r="K1946" s="76"/>
      <c r="L1946" s="76"/>
      <c r="M1946" s="76"/>
      <c r="N1946" s="76"/>
      <c r="O1946" s="76"/>
      <c r="P1946" s="76"/>
      <c r="Q1946" s="76"/>
      <c r="R1946" s="76"/>
      <c r="S1946" s="76"/>
      <c r="T1946" s="76"/>
      <c r="U1946" s="76"/>
      <c r="V1946" s="76"/>
      <c r="W1946" s="76"/>
      <c r="X1946" s="76"/>
      <c r="Y1946" s="76"/>
      <c r="Z1946" s="76"/>
      <c r="AA1946" s="76"/>
      <c r="AB1946" s="76"/>
      <c r="AC1946" s="76"/>
      <c r="AD1946" s="76"/>
      <c r="AE1946" s="76"/>
      <c r="AF1946" s="76"/>
      <c r="AG1946" s="76"/>
      <c r="AH1946" s="76"/>
      <c r="AI1946" s="76">
        <v>1</v>
      </c>
      <c r="AJ1946" s="76">
        <v>1</v>
      </c>
      <c r="AK1946" s="73"/>
      <c r="AL1946" s="57"/>
      <c r="AM1946" s="45"/>
      <c r="AN1946" s="45"/>
      <c r="AO1946" s="45"/>
    </row>
    <row r="1947" spans="1:41" hidden="1" outlineLevel="3" x14ac:dyDescent="0.25">
      <c r="A1947" s="45"/>
      <c r="B1947" s="54"/>
      <c r="C1947" s="47"/>
      <c r="D1947" s="73"/>
      <c r="E1947" s="70"/>
      <c r="F1947" s="70" t="s">
        <v>3624</v>
      </c>
      <c r="G1947" s="73"/>
      <c r="H1947" s="76"/>
      <c r="I1947" s="76"/>
      <c r="J1947" s="76"/>
      <c r="K1947" s="76"/>
      <c r="L1947" s="76"/>
      <c r="M1947" s="76"/>
      <c r="N1947" s="76"/>
      <c r="O1947" s="76"/>
      <c r="P1947" s="76"/>
      <c r="Q1947" s="76"/>
      <c r="R1947" s="76"/>
      <c r="S1947" s="76"/>
      <c r="T1947" s="76"/>
      <c r="U1947" s="76"/>
      <c r="V1947" s="76"/>
      <c r="W1947" s="76"/>
      <c r="X1947" s="76"/>
      <c r="Y1947" s="76"/>
      <c r="Z1947" s="76"/>
      <c r="AA1947" s="76"/>
      <c r="AB1947" s="76"/>
      <c r="AC1947" s="76"/>
      <c r="AD1947" s="76"/>
      <c r="AE1947" s="76"/>
      <c r="AF1947" s="76"/>
      <c r="AG1947" s="76"/>
      <c r="AH1947" s="76"/>
      <c r="AI1947" s="76">
        <v>1</v>
      </c>
      <c r="AJ1947" s="76">
        <v>1</v>
      </c>
      <c r="AK1947" s="73"/>
      <c r="AL1947" s="57"/>
      <c r="AM1947" s="45"/>
      <c r="AN1947" s="45"/>
      <c r="AO1947" s="45"/>
    </row>
    <row r="1948" spans="1:41" hidden="1" outlineLevel="3" x14ac:dyDescent="0.25">
      <c r="A1948" s="45"/>
      <c r="B1948" s="54"/>
      <c r="C1948" s="47"/>
      <c r="D1948" s="73"/>
      <c r="E1948" s="70"/>
      <c r="F1948" s="70" t="s">
        <v>3625</v>
      </c>
      <c r="G1948" s="73"/>
      <c r="H1948" s="76"/>
      <c r="I1948" s="76"/>
      <c r="J1948" s="76"/>
      <c r="K1948" s="76"/>
      <c r="L1948" s="76"/>
      <c r="M1948" s="76"/>
      <c r="N1948" s="76"/>
      <c r="O1948" s="76"/>
      <c r="P1948" s="76"/>
      <c r="Q1948" s="76"/>
      <c r="R1948" s="76"/>
      <c r="S1948" s="76"/>
      <c r="T1948" s="76"/>
      <c r="U1948" s="76"/>
      <c r="V1948" s="76"/>
      <c r="W1948" s="76"/>
      <c r="X1948" s="76"/>
      <c r="Y1948" s="76"/>
      <c r="Z1948" s="76"/>
      <c r="AA1948" s="76"/>
      <c r="AB1948" s="76"/>
      <c r="AC1948" s="76"/>
      <c r="AD1948" s="76"/>
      <c r="AE1948" s="76"/>
      <c r="AF1948" s="76"/>
      <c r="AG1948" s="76"/>
      <c r="AH1948" s="76"/>
      <c r="AI1948" s="76">
        <v>1</v>
      </c>
      <c r="AJ1948" s="76">
        <v>1</v>
      </c>
      <c r="AK1948" s="73"/>
      <c r="AL1948" s="57"/>
      <c r="AM1948" s="45"/>
      <c r="AN1948" s="45"/>
      <c r="AO1948" s="45"/>
    </row>
    <row r="1949" spans="1:41" hidden="1" outlineLevel="3" x14ac:dyDescent="0.25">
      <c r="A1949" s="45"/>
      <c r="B1949" s="54"/>
      <c r="C1949" s="47"/>
      <c r="D1949" s="73"/>
      <c r="E1949" s="70"/>
      <c r="F1949" s="70" t="s">
        <v>3626</v>
      </c>
      <c r="G1949" s="73"/>
      <c r="H1949" s="76"/>
      <c r="I1949" s="76"/>
      <c r="J1949" s="76"/>
      <c r="K1949" s="76"/>
      <c r="L1949" s="76"/>
      <c r="M1949" s="76"/>
      <c r="N1949" s="76"/>
      <c r="O1949" s="76"/>
      <c r="P1949" s="76"/>
      <c r="Q1949" s="76"/>
      <c r="R1949" s="76"/>
      <c r="S1949" s="76"/>
      <c r="T1949" s="76"/>
      <c r="U1949" s="76"/>
      <c r="V1949" s="76"/>
      <c r="W1949" s="76"/>
      <c r="X1949" s="76"/>
      <c r="Y1949" s="76"/>
      <c r="Z1949" s="76"/>
      <c r="AA1949" s="76"/>
      <c r="AB1949" s="76"/>
      <c r="AC1949" s="76"/>
      <c r="AD1949" s="76"/>
      <c r="AE1949" s="76"/>
      <c r="AF1949" s="76"/>
      <c r="AG1949" s="76"/>
      <c r="AH1949" s="76"/>
      <c r="AI1949" s="76">
        <v>1</v>
      </c>
      <c r="AJ1949" s="76">
        <v>1</v>
      </c>
      <c r="AK1949" s="73"/>
      <c r="AL1949" s="57"/>
      <c r="AM1949" s="45"/>
      <c r="AN1949" s="45"/>
      <c r="AO1949" s="45"/>
    </row>
    <row r="1950" spans="1:41" hidden="1" outlineLevel="3" x14ac:dyDescent="0.25">
      <c r="A1950" s="45"/>
      <c r="B1950" s="54"/>
      <c r="C1950" s="47">
        <f t="shared" ref="C1950:C1961" si="685">INT($C$29)+3</f>
        <v>4</v>
      </c>
      <c r="D1950" s="73"/>
      <c r="E1950" s="70"/>
      <c r="F1950" s="70" t="str">
        <f>SUBSTITUTE(F1946,",4)",",8)")</f>
        <v>C(U6,13,8)</v>
      </c>
      <c r="G1950" s="73"/>
      <c r="H1950" s="76"/>
      <c r="I1950" s="96"/>
      <c r="J1950" s="76"/>
      <c r="K1950" s="76"/>
      <c r="L1950" s="76"/>
      <c r="M1950" s="76"/>
      <c r="N1950" s="76"/>
      <c r="O1950" s="76"/>
      <c r="P1950" s="76"/>
      <c r="Q1950" s="76"/>
      <c r="R1950" s="76"/>
      <c r="S1950" s="76"/>
      <c r="T1950" s="76"/>
      <c r="U1950" s="76"/>
      <c r="V1950" s="76"/>
      <c r="W1950" s="76"/>
      <c r="X1950" s="76"/>
      <c r="Y1950" s="76"/>
      <c r="Z1950" s="76"/>
      <c r="AA1950" s="76"/>
      <c r="AB1950" s="76"/>
      <c r="AC1950" s="76"/>
      <c r="AD1950" s="76"/>
      <c r="AE1950" s="76"/>
      <c r="AF1950" s="76"/>
      <c r="AG1950" s="76"/>
      <c r="AH1950" s="76"/>
      <c r="AI1950" s="76">
        <v>1</v>
      </c>
      <c r="AJ1950" s="76">
        <v>1</v>
      </c>
      <c r="AK1950" s="73"/>
      <c r="AL1950" s="57"/>
      <c r="AM1950" s="45"/>
      <c r="AN1950" s="45"/>
      <c r="AO1950" s="45"/>
    </row>
    <row r="1951" spans="1:41" hidden="1" outlineLevel="3" x14ac:dyDescent="0.25">
      <c r="A1951" s="45"/>
      <c r="B1951" s="54"/>
      <c r="C1951" s="47">
        <f t="shared" si="685"/>
        <v>4</v>
      </c>
      <c r="D1951" s="73"/>
      <c r="E1951" s="70"/>
      <c r="F1951" s="70" t="str">
        <f>SUBSTITUTE(F1947,",5)",",9)")</f>
        <v>C(U6,13,9)</v>
      </c>
      <c r="G1951" s="73"/>
      <c r="H1951" s="76"/>
      <c r="I1951" s="96"/>
      <c r="J1951" s="76"/>
      <c r="K1951" s="76"/>
      <c r="L1951" s="76"/>
      <c r="M1951" s="76"/>
      <c r="N1951" s="76"/>
      <c r="O1951" s="76"/>
      <c r="P1951" s="76"/>
      <c r="Q1951" s="76"/>
      <c r="R1951" s="76"/>
      <c r="S1951" s="76"/>
      <c r="T1951" s="76"/>
      <c r="U1951" s="76"/>
      <c r="V1951" s="76"/>
      <c r="W1951" s="76"/>
      <c r="X1951" s="76"/>
      <c r="Y1951" s="76"/>
      <c r="Z1951" s="76"/>
      <c r="AA1951" s="76"/>
      <c r="AB1951" s="76"/>
      <c r="AC1951" s="76"/>
      <c r="AD1951" s="76"/>
      <c r="AE1951" s="76"/>
      <c r="AF1951" s="76"/>
      <c r="AG1951" s="76"/>
      <c r="AH1951" s="76"/>
      <c r="AI1951" s="76">
        <v>1</v>
      </c>
      <c r="AJ1951" s="76">
        <v>1</v>
      </c>
      <c r="AK1951" s="73"/>
      <c r="AL1951" s="57"/>
      <c r="AM1951" s="45"/>
      <c r="AN1951" s="45"/>
      <c r="AO1951" s="45"/>
    </row>
    <row r="1952" spans="1:41" hidden="1" outlineLevel="3" x14ac:dyDescent="0.25">
      <c r="A1952" s="45"/>
      <c r="B1952" s="54"/>
      <c r="C1952" s="47">
        <f t="shared" si="685"/>
        <v>4</v>
      </c>
      <c r="D1952" s="73"/>
      <c r="E1952" s="70"/>
      <c r="F1952" s="70" t="str">
        <f>SUBSTITUTE(F1948,",6)",",10)")</f>
        <v>C(U6,13,10)</v>
      </c>
      <c r="G1952" s="73"/>
      <c r="H1952" s="76"/>
      <c r="I1952" s="96"/>
      <c r="J1952" s="76"/>
      <c r="K1952" s="76"/>
      <c r="L1952" s="76"/>
      <c r="M1952" s="76"/>
      <c r="N1952" s="76"/>
      <c r="O1952" s="76"/>
      <c r="P1952" s="76"/>
      <c r="Q1952" s="76"/>
      <c r="R1952" s="76"/>
      <c r="S1952" s="76"/>
      <c r="T1952" s="76"/>
      <c r="U1952" s="76"/>
      <c r="V1952" s="76"/>
      <c r="W1952" s="76"/>
      <c r="X1952" s="76"/>
      <c r="Y1952" s="76"/>
      <c r="Z1952" s="76"/>
      <c r="AA1952" s="76"/>
      <c r="AB1952" s="76"/>
      <c r="AC1952" s="76"/>
      <c r="AD1952" s="76"/>
      <c r="AE1952" s="76"/>
      <c r="AF1952" s="76"/>
      <c r="AG1952" s="76"/>
      <c r="AH1952" s="76"/>
      <c r="AI1952" s="76">
        <v>1</v>
      </c>
      <c r="AJ1952" s="76">
        <v>1</v>
      </c>
      <c r="AK1952" s="73"/>
      <c r="AL1952" s="57"/>
      <c r="AM1952" s="45"/>
      <c r="AN1952" s="45"/>
      <c r="AO1952" s="45"/>
    </row>
    <row r="1953" spans="1:41" hidden="1" outlineLevel="3" x14ac:dyDescent="0.25">
      <c r="A1953" s="45"/>
      <c r="B1953" s="54"/>
      <c r="C1953" s="47">
        <f t="shared" si="685"/>
        <v>4</v>
      </c>
      <c r="D1953" s="73"/>
      <c r="E1953" s="70"/>
      <c r="F1953" s="70" t="str">
        <f>SUBSTITUTE(F1949,",7)",",11)")</f>
        <v>C(U6,13,11)</v>
      </c>
      <c r="G1953" s="73"/>
      <c r="H1953" s="76"/>
      <c r="I1953" s="96"/>
      <c r="J1953" s="76"/>
      <c r="K1953" s="76"/>
      <c r="L1953" s="76"/>
      <c r="M1953" s="76"/>
      <c r="N1953" s="76"/>
      <c r="O1953" s="76"/>
      <c r="P1953" s="76"/>
      <c r="Q1953" s="76"/>
      <c r="R1953" s="76"/>
      <c r="S1953" s="76"/>
      <c r="T1953" s="76"/>
      <c r="U1953" s="76"/>
      <c r="V1953" s="76"/>
      <c r="W1953" s="76"/>
      <c r="X1953" s="76"/>
      <c r="Y1953" s="76"/>
      <c r="Z1953" s="76"/>
      <c r="AA1953" s="76"/>
      <c r="AB1953" s="76"/>
      <c r="AC1953" s="76"/>
      <c r="AD1953" s="76"/>
      <c r="AE1953" s="76"/>
      <c r="AF1953" s="76"/>
      <c r="AG1953" s="76"/>
      <c r="AH1953" s="76"/>
      <c r="AI1953" s="76">
        <v>1</v>
      </c>
      <c r="AJ1953" s="76">
        <v>1</v>
      </c>
      <c r="AK1953" s="73"/>
      <c r="AL1953" s="57"/>
      <c r="AM1953" s="45"/>
      <c r="AN1953" s="45"/>
      <c r="AO1953" s="45"/>
    </row>
    <row r="1954" spans="1:41" hidden="1" outlineLevel="3" x14ac:dyDescent="0.25">
      <c r="A1954" s="45"/>
      <c r="B1954" s="54"/>
      <c r="C1954" s="47">
        <f t="shared" si="685"/>
        <v>4</v>
      </c>
      <c r="D1954" s="73"/>
      <c r="E1954" s="70"/>
      <c r="F1954" s="70" t="str">
        <f>SUBSTITUTE(F1948,",6)",",12)")</f>
        <v>C(U6,13,12)</v>
      </c>
      <c r="G1954" s="73"/>
      <c r="H1954" s="76"/>
      <c r="I1954" s="96"/>
      <c r="J1954" s="76"/>
      <c r="K1954" s="76"/>
      <c r="L1954" s="76"/>
      <c r="M1954" s="76"/>
      <c r="N1954" s="76"/>
      <c r="O1954" s="76"/>
      <c r="P1954" s="76"/>
      <c r="Q1954" s="76"/>
      <c r="R1954" s="76"/>
      <c r="S1954" s="76"/>
      <c r="T1954" s="76"/>
      <c r="U1954" s="76"/>
      <c r="V1954" s="76"/>
      <c r="W1954" s="76"/>
      <c r="X1954" s="76"/>
      <c r="Y1954" s="76"/>
      <c r="Z1954" s="76"/>
      <c r="AA1954" s="76"/>
      <c r="AB1954" s="76"/>
      <c r="AC1954" s="76"/>
      <c r="AD1954" s="76"/>
      <c r="AE1954" s="76"/>
      <c r="AF1954" s="76"/>
      <c r="AG1954" s="76"/>
      <c r="AH1954" s="76"/>
      <c r="AI1954" s="76">
        <v>1</v>
      </c>
      <c r="AJ1954" s="76">
        <v>1</v>
      </c>
      <c r="AK1954" s="73"/>
      <c r="AL1954" s="57"/>
      <c r="AM1954" s="45"/>
      <c r="AN1954" s="45"/>
      <c r="AO1954" s="45"/>
    </row>
    <row r="1955" spans="1:41" hidden="1" outlineLevel="3" x14ac:dyDescent="0.25">
      <c r="A1955" s="45"/>
      <c r="B1955" s="54"/>
      <c r="C1955" s="47">
        <f t="shared" si="685"/>
        <v>4</v>
      </c>
      <c r="D1955" s="73"/>
      <c r="E1955" s="70"/>
      <c r="F1955" s="70" t="str">
        <f>SUBSTITUTE(F1949,",7)",",13)")</f>
        <v>C(U6,13,13)</v>
      </c>
      <c r="G1955" s="73"/>
      <c r="H1955" s="76"/>
      <c r="I1955" s="96"/>
      <c r="J1955" s="76"/>
      <c r="K1955" s="76"/>
      <c r="L1955" s="76"/>
      <c r="M1955" s="76"/>
      <c r="N1955" s="76"/>
      <c r="O1955" s="76"/>
      <c r="P1955" s="76"/>
      <c r="Q1955" s="76"/>
      <c r="R1955" s="76"/>
      <c r="S1955" s="76"/>
      <c r="T1955" s="76"/>
      <c r="U1955" s="76"/>
      <c r="V1955" s="76"/>
      <c r="W1955" s="76"/>
      <c r="X1955" s="76"/>
      <c r="Y1955" s="76"/>
      <c r="Z1955" s="76"/>
      <c r="AA1955" s="76"/>
      <c r="AB1955" s="76"/>
      <c r="AC1955" s="76"/>
      <c r="AD1955" s="76"/>
      <c r="AE1955" s="76"/>
      <c r="AF1955" s="76"/>
      <c r="AG1955" s="76"/>
      <c r="AH1955" s="76"/>
      <c r="AI1955" s="76">
        <v>1</v>
      </c>
      <c r="AJ1955" s="76">
        <v>1</v>
      </c>
      <c r="AK1955" s="73"/>
      <c r="AL1955" s="57"/>
      <c r="AM1955" s="45"/>
      <c r="AN1955" s="45"/>
      <c r="AO1955" s="45"/>
    </row>
    <row r="1956" spans="1:41" hidden="1" outlineLevel="3" x14ac:dyDescent="0.25">
      <c r="A1956" s="45"/>
      <c r="B1956" s="54"/>
      <c r="C1956" s="47">
        <f t="shared" si="685"/>
        <v>4</v>
      </c>
      <c r="D1956" s="73"/>
      <c r="E1956" s="70"/>
      <c r="F1956" s="70" t="s">
        <v>3627</v>
      </c>
      <c r="G1956" s="73"/>
      <c r="H1956" s="76"/>
      <c r="I1956" s="76"/>
      <c r="J1956" s="76"/>
      <c r="K1956" s="76"/>
      <c r="L1956" s="76"/>
      <c r="M1956" s="76"/>
      <c r="N1956" s="76"/>
      <c r="O1956" s="76"/>
      <c r="P1956" s="76"/>
      <c r="Q1956" s="76"/>
      <c r="R1956" s="76"/>
      <c r="S1956" s="76"/>
      <c r="T1956" s="76"/>
      <c r="U1956" s="76"/>
      <c r="V1956" s="76"/>
      <c r="W1956" s="76"/>
      <c r="X1956" s="76"/>
      <c r="Y1956" s="76"/>
      <c r="Z1956" s="76"/>
      <c r="AA1956" s="76"/>
      <c r="AB1956" s="76"/>
      <c r="AC1956" s="76"/>
      <c r="AD1956" s="76"/>
      <c r="AE1956" s="76"/>
      <c r="AF1956" s="76"/>
      <c r="AG1956" s="76"/>
      <c r="AH1956" s="76"/>
      <c r="AI1956" s="76">
        <v>1</v>
      </c>
      <c r="AJ1956" s="76">
        <v>1</v>
      </c>
      <c r="AK1956" s="73"/>
      <c r="AL1956" s="57"/>
      <c r="AM1956" s="45"/>
      <c r="AN1956" s="45"/>
      <c r="AO1956" s="45"/>
    </row>
    <row r="1957" spans="1:41" hidden="1" outlineLevel="3" x14ac:dyDescent="0.25">
      <c r="A1957" s="45"/>
      <c r="B1957" s="54"/>
      <c r="C1957" s="47">
        <f t="shared" si="685"/>
        <v>4</v>
      </c>
      <c r="D1957" s="73"/>
      <c r="E1957" s="70"/>
      <c r="F1957" s="70" t="s">
        <v>3628</v>
      </c>
      <c r="G1957" s="73"/>
      <c r="H1957" s="76" t="s">
        <v>599</v>
      </c>
      <c r="I1957" s="76"/>
      <c r="J1957" s="76"/>
      <c r="K1957" s="76"/>
      <c r="L1957" s="76"/>
      <c r="M1957" s="76"/>
      <c r="N1957" s="76"/>
      <c r="O1957" s="76"/>
      <c r="P1957" s="76"/>
      <c r="Q1957" s="76"/>
      <c r="R1957" s="76"/>
      <c r="S1957" s="76"/>
      <c r="T1957" s="76"/>
      <c r="U1957" s="76"/>
      <c r="V1957" s="76"/>
      <c r="W1957" s="76"/>
      <c r="X1957" s="76"/>
      <c r="Y1957" s="76"/>
      <c r="Z1957" s="76"/>
      <c r="AA1957" s="76"/>
      <c r="AB1957" s="76"/>
      <c r="AC1957" s="76"/>
      <c r="AD1957" s="76"/>
      <c r="AE1957" s="76"/>
      <c r="AF1957" s="76"/>
      <c r="AG1957" s="76"/>
      <c r="AH1957" s="76"/>
      <c r="AI1957" s="76">
        <v>1</v>
      </c>
      <c r="AJ1957" s="76">
        <v>1</v>
      </c>
      <c r="AK1957" s="73"/>
      <c r="AL1957" s="57"/>
      <c r="AM1957" s="45"/>
      <c r="AN1957" s="45"/>
      <c r="AO1957" s="45"/>
    </row>
    <row r="1958" spans="1:41" hidden="1" outlineLevel="3" x14ac:dyDescent="0.25">
      <c r="A1958" s="45"/>
      <c r="B1958" s="54"/>
      <c r="C1958" s="47">
        <f t="shared" si="685"/>
        <v>4</v>
      </c>
      <c r="D1958" s="73"/>
      <c r="E1958" s="70"/>
      <c r="F1958" s="70" t="s">
        <v>3629</v>
      </c>
      <c r="G1958" s="73"/>
      <c r="H1958" s="76"/>
      <c r="I1958" s="76"/>
      <c r="J1958" s="76"/>
      <c r="K1958" s="76"/>
      <c r="L1958" s="76"/>
      <c r="M1958" s="76"/>
      <c r="N1958" s="76"/>
      <c r="O1958" s="76"/>
      <c r="P1958" s="76"/>
      <c r="Q1958" s="76"/>
      <c r="R1958" s="76"/>
      <c r="S1958" s="76"/>
      <c r="T1958" s="76"/>
      <c r="U1958" s="76"/>
      <c r="V1958" s="76"/>
      <c r="W1958" s="76"/>
      <c r="X1958" s="76"/>
      <c r="Y1958" s="76"/>
      <c r="Z1958" s="76"/>
      <c r="AA1958" s="76"/>
      <c r="AB1958" s="76"/>
      <c r="AC1958" s="76"/>
      <c r="AD1958" s="76"/>
      <c r="AE1958" s="76"/>
      <c r="AF1958" s="76"/>
      <c r="AG1958" s="76"/>
      <c r="AH1958" s="76"/>
      <c r="AI1958" s="76">
        <v>1</v>
      </c>
      <c r="AJ1958" s="76">
        <v>1</v>
      </c>
      <c r="AK1958" s="73"/>
      <c r="AL1958" s="57"/>
      <c r="AM1958" s="45"/>
      <c r="AN1958" s="45"/>
      <c r="AO1958" s="45"/>
    </row>
    <row r="1959" spans="1:41" hidden="1" outlineLevel="3" x14ac:dyDescent="0.25">
      <c r="A1959" s="45"/>
      <c r="B1959" s="54"/>
      <c r="C1959" s="47">
        <f t="shared" si="685"/>
        <v>4</v>
      </c>
      <c r="D1959" s="73"/>
      <c r="E1959" s="70"/>
      <c r="F1959" s="70" t="s">
        <v>3630</v>
      </c>
      <c r="G1959" s="73"/>
      <c r="H1959" s="76"/>
      <c r="I1959" s="76"/>
      <c r="J1959" s="76"/>
      <c r="K1959" s="76"/>
      <c r="L1959" s="76"/>
      <c r="M1959" s="76"/>
      <c r="N1959" s="76"/>
      <c r="O1959" s="76"/>
      <c r="P1959" s="76"/>
      <c r="Q1959" s="76"/>
      <c r="R1959" s="76"/>
      <c r="S1959" s="76"/>
      <c r="T1959" s="76"/>
      <c r="U1959" s="76"/>
      <c r="V1959" s="76"/>
      <c r="W1959" s="76"/>
      <c r="X1959" s="76"/>
      <c r="Y1959" s="76"/>
      <c r="Z1959" s="76"/>
      <c r="AA1959" s="76"/>
      <c r="AB1959" s="76"/>
      <c r="AC1959" s="76"/>
      <c r="AD1959" s="76"/>
      <c r="AE1959" s="76"/>
      <c r="AF1959" s="76"/>
      <c r="AG1959" s="76"/>
      <c r="AH1959" s="76"/>
      <c r="AI1959" s="76">
        <v>1</v>
      </c>
      <c r="AJ1959" s="76">
        <v>1</v>
      </c>
      <c r="AK1959" s="73"/>
      <c r="AL1959" s="57"/>
      <c r="AM1959" s="45"/>
      <c r="AN1959" s="45"/>
      <c r="AO1959" s="45"/>
    </row>
    <row r="1960" spans="1:41" hidden="1" outlineLevel="3" x14ac:dyDescent="0.25">
      <c r="A1960" s="45"/>
      <c r="B1960" s="54"/>
      <c r="C1960" s="47">
        <f t="shared" si="685"/>
        <v>4</v>
      </c>
      <c r="D1960" s="73"/>
      <c r="E1960" s="70"/>
      <c r="F1960" s="70" t="s">
        <v>3631</v>
      </c>
      <c r="G1960" s="73"/>
      <c r="H1960" s="76"/>
      <c r="I1960" s="76"/>
      <c r="J1960" s="76"/>
      <c r="K1960" s="76"/>
      <c r="L1960" s="76"/>
      <c r="M1960" s="76"/>
      <c r="N1960" s="76"/>
      <c r="O1960" s="76"/>
      <c r="P1960" s="76"/>
      <c r="Q1960" s="76"/>
      <c r="R1960" s="76"/>
      <c r="S1960" s="76"/>
      <c r="T1960" s="76"/>
      <c r="U1960" s="76"/>
      <c r="V1960" s="76"/>
      <c r="W1960" s="76"/>
      <c r="X1960" s="76"/>
      <c r="Y1960" s="76"/>
      <c r="Z1960" s="76"/>
      <c r="AA1960" s="76"/>
      <c r="AB1960" s="76"/>
      <c r="AC1960" s="76"/>
      <c r="AD1960" s="76"/>
      <c r="AE1960" s="76"/>
      <c r="AF1960" s="76"/>
      <c r="AG1960" s="76"/>
      <c r="AH1960" s="76"/>
      <c r="AI1960" s="76">
        <v>1</v>
      </c>
      <c r="AJ1960" s="76">
        <v>1</v>
      </c>
      <c r="AK1960" s="73"/>
      <c r="AL1960" s="57"/>
      <c r="AM1960" s="45"/>
      <c r="AN1960" s="45"/>
      <c r="AO1960" s="45"/>
    </row>
    <row r="1961" spans="1:41" hidden="1" outlineLevel="3" x14ac:dyDescent="0.25">
      <c r="A1961" s="45"/>
      <c r="B1961" s="54"/>
      <c r="C1961" s="47">
        <f t="shared" si="685"/>
        <v>4</v>
      </c>
      <c r="D1961" s="73"/>
      <c r="E1961" s="70"/>
      <c r="F1961" s="70" t="s">
        <v>3632</v>
      </c>
      <c r="G1961" s="73"/>
      <c r="H1961" s="76"/>
      <c r="I1961" s="76"/>
      <c r="J1961" s="76"/>
      <c r="K1961" s="76"/>
      <c r="L1961" s="76"/>
      <c r="M1961" s="76"/>
      <c r="N1961" s="76"/>
      <c r="O1961" s="76"/>
      <c r="P1961" s="76"/>
      <c r="Q1961" s="76"/>
      <c r="R1961" s="76"/>
      <c r="S1961" s="76"/>
      <c r="T1961" s="76"/>
      <c r="U1961" s="76"/>
      <c r="V1961" s="76"/>
      <c r="W1961" s="76"/>
      <c r="X1961" s="76"/>
      <c r="Y1961" s="76"/>
      <c r="Z1961" s="76"/>
      <c r="AA1961" s="76"/>
      <c r="AB1961" s="76"/>
      <c r="AC1961" s="76"/>
      <c r="AD1961" s="76"/>
      <c r="AE1961" s="76"/>
      <c r="AF1961" s="76"/>
      <c r="AG1961" s="76"/>
      <c r="AH1961" s="76"/>
      <c r="AI1961" s="76">
        <v>1</v>
      </c>
      <c r="AJ1961" s="76">
        <v>1</v>
      </c>
      <c r="AK1961" s="73"/>
      <c r="AL1961" s="57"/>
      <c r="AM1961" s="45"/>
      <c r="AN1961" s="45"/>
      <c r="AO1961" s="45"/>
    </row>
    <row r="1962" spans="1:41" hidden="1" outlineLevel="3" x14ac:dyDescent="0.25">
      <c r="A1962" s="45"/>
      <c r="B1962" s="54"/>
      <c r="C1962" s="47"/>
      <c r="D1962" s="73"/>
      <c r="E1962" s="70"/>
      <c r="F1962" s="70" t="s">
        <v>3633</v>
      </c>
      <c r="G1962" s="73"/>
      <c r="H1962" s="76"/>
      <c r="I1962" s="76"/>
      <c r="J1962" s="76"/>
      <c r="K1962" s="76"/>
      <c r="L1962" s="76"/>
      <c r="M1962" s="76"/>
      <c r="N1962" s="76"/>
      <c r="O1962" s="76"/>
      <c r="P1962" s="76"/>
      <c r="Q1962" s="76"/>
      <c r="R1962" s="76"/>
      <c r="S1962" s="76"/>
      <c r="T1962" s="76"/>
      <c r="U1962" s="76"/>
      <c r="V1962" s="76"/>
      <c r="W1962" s="76"/>
      <c r="X1962" s="76"/>
      <c r="Y1962" s="76"/>
      <c r="Z1962" s="76"/>
      <c r="AA1962" s="76"/>
      <c r="AB1962" s="76"/>
      <c r="AC1962" s="76"/>
      <c r="AD1962" s="76"/>
      <c r="AE1962" s="76"/>
      <c r="AF1962" s="76"/>
      <c r="AG1962" s="76"/>
      <c r="AH1962" s="76"/>
      <c r="AI1962" s="76">
        <v>1</v>
      </c>
      <c r="AJ1962" s="76">
        <v>1</v>
      </c>
      <c r="AK1962" s="73"/>
      <c r="AL1962" s="57"/>
      <c r="AM1962" s="45"/>
      <c r="AN1962" s="45"/>
      <c r="AO1962" s="45"/>
    </row>
    <row r="1963" spans="1:41" hidden="1" outlineLevel="3" x14ac:dyDescent="0.25">
      <c r="A1963" s="45"/>
      <c r="B1963" s="54"/>
      <c r="C1963" s="47"/>
      <c r="D1963" s="73"/>
      <c r="E1963" s="70"/>
      <c r="F1963" s="70" t="s">
        <v>3634</v>
      </c>
      <c r="G1963" s="73"/>
      <c r="H1963" s="76"/>
      <c r="I1963" s="76"/>
      <c r="J1963" s="76"/>
      <c r="K1963" s="76"/>
      <c r="L1963" s="76"/>
      <c r="M1963" s="76"/>
      <c r="N1963" s="76"/>
      <c r="O1963" s="76"/>
      <c r="P1963" s="76"/>
      <c r="Q1963" s="76"/>
      <c r="R1963" s="76"/>
      <c r="S1963" s="76"/>
      <c r="T1963" s="76"/>
      <c r="U1963" s="76"/>
      <c r="V1963" s="76"/>
      <c r="W1963" s="76"/>
      <c r="X1963" s="76"/>
      <c r="Y1963" s="76"/>
      <c r="Z1963" s="76"/>
      <c r="AA1963" s="76"/>
      <c r="AB1963" s="76"/>
      <c r="AC1963" s="76"/>
      <c r="AD1963" s="76"/>
      <c r="AE1963" s="76"/>
      <c r="AF1963" s="76"/>
      <c r="AG1963" s="76"/>
      <c r="AH1963" s="76"/>
      <c r="AI1963" s="76">
        <v>1</v>
      </c>
      <c r="AJ1963" s="76">
        <v>1</v>
      </c>
      <c r="AK1963" s="73"/>
      <c r="AL1963" s="57"/>
      <c r="AM1963" s="45"/>
      <c r="AN1963" s="45"/>
      <c r="AO1963" s="45"/>
    </row>
    <row r="1964" spans="1:41" hidden="1" outlineLevel="3" x14ac:dyDescent="0.25">
      <c r="A1964" s="45"/>
      <c r="B1964" s="54"/>
      <c r="C1964" s="47"/>
      <c r="D1964" s="73"/>
      <c r="E1964" s="70"/>
      <c r="F1964" s="70" t="s">
        <v>3635</v>
      </c>
      <c r="G1964" s="73"/>
      <c r="H1964" s="76"/>
      <c r="I1964" s="76"/>
      <c r="J1964" s="76"/>
      <c r="K1964" s="76"/>
      <c r="L1964" s="76"/>
      <c r="M1964" s="76"/>
      <c r="N1964" s="76"/>
      <c r="O1964" s="76"/>
      <c r="P1964" s="76"/>
      <c r="Q1964" s="76"/>
      <c r="R1964" s="76"/>
      <c r="S1964" s="76"/>
      <c r="T1964" s="76"/>
      <c r="U1964" s="76"/>
      <c r="V1964" s="76"/>
      <c r="W1964" s="76"/>
      <c r="X1964" s="76"/>
      <c r="Y1964" s="76"/>
      <c r="Z1964" s="76"/>
      <c r="AA1964" s="76"/>
      <c r="AB1964" s="76"/>
      <c r="AC1964" s="76"/>
      <c r="AD1964" s="76"/>
      <c r="AE1964" s="76"/>
      <c r="AF1964" s="76"/>
      <c r="AG1964" s="76"/>
      <c r="AH1964" s="76"/>
      <c r="AI1964" s="76">
        <v>1</v>
      </c>
      <c r="AJ1964" s="76">
        <v>1</v>
      </c>
      <c r="AK1964" s="73"/>
      <c r="AL1964" s="57"/>
      <c r="AM1964" s="45"/>
      <c r="AN1964" s="45"/>
      <c r="AO1964" s="45"/>
    </row>
    <row r="1965" spans="1:41" hidden="1" outlineLevel="3" x14ac:dyDescent="0.25">
      <c r="A1965" s="45"/>
      <c r="B1965" s="54"/>
      <c r="C1965" s="47">
        <f t="shared" ref="C1965:C1976" si="686">INT($C$29)+3</f>
        <v>4</v>
      </c>
      <c r="D1965" s="73"/>
      <c r="E1965" s="70"/>
      <c r="F1965" s="70" t="str">
        <f>SUBSTITUTE(F1961,",4)",",8)")</f>
        <v>C(U6,14,8)</v>
      </c>
      <c r="G1965" s="73"/>
      <c r="H1965" s="76"/>
      <c r="I1965" s="96"/>
      <c r="J1965" s="76"/>
      <c r="K1965" s="76"/>
      <c r="L1965" s="76"/>
      <c r="M1965" s="76"/>
      <c r="N1965" s="76"/>
      <c r="O1965" s="76"/>
      <c r="P1965" s="76"/>
      <c r="Q1965" s="76"/>
      <c r="R1965" s="76"/>
      <c r="S1965" s="76"/>
      <c r="T1965" s="76"/>
      <c r="U1965" s="76"/>
      <c r="V1965" s="76"/>
      <c r="W1965" s="76"/>
      <c r="X1965" s="76"/>
      <c r="Y1965" s="76"/>
      <c r="Z1965" s="76"/>
      <c r="AA1965" s="76"/>
      <c r="AB1965" s="76"/>
      <c r="AC1965" s="76"/>
      <c r="AD1965" s="76"/>
      <c r="AE1965" s="76"/>
      <c r="AF1965" s="76"/>
      <c r="AG1965" s="76"/>
      <c r="AH1965" s="76"/>
      <c r="AI1965" s="76">
        <v>1</v>
      </c>
      <c r="AJ1965" s="76">
        <v>1</v>
      </c>
      <c r="AK1965" s="73"/>
      <c r="AL1965" s="57"/>
      <c r="AM1965" s="45"/>
      <c r="AN1965" s="45"/>
      <c r="AO1965" s="45"/>
    </row>
    <row r="1966" spans="1:41" hidden="1" outlineLevel="3" x14ac:dyDescent="0.25">
      <c r="A1966" s="45"/>
      <c r="B1966" s="54"/>
      <c r="C1966" s="47">
        <f t="shared" si="686"/>
        <v>4</v>
      </c>
      <c r="D1966" s="73"/>
      <c r="E1966" s="70"/>
      <c r="F1966" s="70" t="str">
        <f>SUBSTITUTE(F1962,",5)",",9)")</f>
        <v>C(U6,14,9)</v>
      </c>
      <c r="G1966" s="73"/>
      <c r="H1966" s="76"/>
      <c r="I1966" s="96"/>
      <c r="J1966" s="76"/>
      <c r="K1966" s="76"/>
      <c r="L1966" s="76"/>
      <c r="M1966" s="76"/>
      <c r="N1966" s="76"/>
      <c r="O1966" s="76"/>
      <c r="P1966" s="76"/>
      <c r="Q1966" s="76"/>
      <c r="R1966" s="76"/>
      <c r="S1966" s="76"/>
      <c r="T1966" s="76"/>
      <c r="U1966" s="76"/>
      <c r="V1966" s="76"/>
      <c r="W1966" s="76"/>
      <c r="X1966" s="76"/>
      <c r="Y1966" s="76"/>
      <c r="Z1966" s="76"/>
      <c r="AA1966" s="76"/>
      <c r="AB1966" s="76"/>
      <c r="AC1966" s="76"/>
      <c r="AD1966" s="76"/>
      <c r="AE1966" s="76"/>
      <c r="AF1966" s="76"/>
      <c r="AG1966" s="76"/>
      <c r="AH1966" s="76"/>
      <c r="AI1966" s="76">
        <v>1</v>
      </c>
      <c r="AJ1966" s="76">
        <v>1</v>
      </c>
      <c r="AK1966" s="73"/>
      <c r="AL1966" s="57"/>
      <c r="AM1966" s="45"/>
      <c r="AN1966" s="45"/>
      <c r="AO1966" s="45"/>
    </row>
    <row r="1967" spans="1:41" hidden="1" outlineLevel="3" x14ac:dyDescent="0.25">
      <c r="A1967" s="45"/>
      <c r="B1967" s="54"/>
      <c r="C1967" s="47">
        <f t="shared" si="686"/>
        <v>4</v>
      </c>
      <c r="D1967" s="73"/>
      <c r="E1967" s="70"/>
      <c r="F1967" s="70" t="str">
        <f>SUBSTITUTE(F1963,",6)",",10)")</f>
        <v>C(U6,14,10)</v>
      </c>
      <c r="G1967" s="73"/>
      <c r="H1967" s="76"/>
      <c r="I1967" s="96"/>
      <c r="J1967" s="76"/>
      <c r="K1967" s="76"/>
      <c r="L1967" s="76"/>
      <c r="M1967" s="76"/>
      <c r="N1967" s="76"/>
      <c r="O1967" s="76"/>
      <c r="P1967" s="76"/>
      <c r="Q1967" s="76"/>
      <c r="R1967" s="76"/>
      <c r="S1967" s="76"/>
      <c r="T1967" s="76"/>
      <c r="U1967" s="76"/>
      <c r="V1967" s="76"/>
      <c r="W1967" s="76"/>
      <c r="X1967" s="76"/>
      <c r="Y1967" s="76"/>
      <c r="Z1967" s="76"/>
      <c r="AA1967" s="76"/>
      <c r="AB1967" s="76"/>
      <c r="AC1967" s="76"/>
      <c r="AD1967" s="76"/>
      <c r="AE1967" s="76"/>
      <c r="AF1967" s="76"/>
      <c r="AG1967" s="76"/>
      <c r="AH1967" s="76"/>
      <c r="AI1967" s="76">
        <v>1</v>
      </c>
      <c r="AJ1967" s="76">
        <v>1</v>
      </c>
      <c r="AK1967" s="73"/>
      <c r="AL1967" s="57"/>
      <c r="AM1967" s="45"/>
      <c r="AN1967" s="45"/>
      <c r="AO1967" s="45"/>
    </row>
    <row r="1968" spans="1:41" hidden="1" outlineLevel="3" x14ac:dyDescent="0.25">
      <c r="A1968" s="45"/>
      <c r="B1968" s="54"/>
      <c r="C1968" s="47">
        <f t="shared" si="686"/>
        <v>4</v>
      </c>
      <c r="D1968" s="73"/>
      <c r="E1968" s="70"/>
      <c r="F1968" s="70" t="str">
        <f>SUBSTITUTE(F1964,",7)",",11)")</f>
        <v>C(U6,14,11)</v>
      </c>
      <c r="G1968" s="73"/>
      <c r="H1968" s="76"/>
      <c r="I1968" s="96"/>
      <c r="J1968" s="76"/>
      <c r="K1968" s="76"/>
      <c r="L1968" s="76"/>
      <c r="M1968" s="76"/>
      <c r="N1968" s="76"/>
      <c r="O1968" s="76"/>
      <c r="P1968" s="76"/>
      <c r="Q1968" s="76"/>
      <c r="R1968" s="76"/>
      <c r="S1968" s="76"/>
      <c r="T1968" s="76"/>
      <c r="U1968" s="76"/>
      <c r="V1968" s="76"/>
      <c r="W1968" s="76"/>
      <c r="X1968" s="76"/>
      <c r="Y1968" s="76"/>
      <c r="Z1968" s="76"/>
      <c r="AA1968" s="76"/>
      <c r="AB1968" s="76"/>
      <c r="AC1968" s="76"/>
      <c r="AD1968" s="76"/>
      <c r="AE1968" s="76"/>
      <c r="AF1968" s="76"/>
      <c r="AG1968" s="76"/>
      <c r="AH1968" s="76"/>
      <c r="AI1968" s="76">
        <v>1</v>
      </c>
      <c r="AJ1968" s="76">
        <v>1</v>
      </c>
      <c r="AK1968" s="73"/>
      <c r="AL1968" s="57"/>
      <c r="AM1968" s="45"/>
      <c r="AN1968" s="45"/>
      <c r="AO1968" s="45"/>
    </row>
    <row r="1969" spans="1:41" hidden="1" outlineLevel="3" x14ac:dyDescent="0.25">
      <c r="A1969" s="45"/>
      <c r="B1969" s="54"/>
      <c r="C1969" s="47">
        <f t="shared" si="686"/>
        <v>4</v>
      </c>
      <c r="D1969" s="73"/>
      <c r="E1969" s="70"/>
      <c r="F1969" s="70" t="str">
        <f>SUBSTITUTE(F1963,",6)",",12)")</f>
        <v>C(U6,14,12)</v>
      </c>
      <c r="G1969" s="73"/>
      <c r="H1969" s="76"/>
      <c r="I1969" s="96"/>
      <c r="J1969" s="76"/>
      <c r="K1969" s="76"/>
      <c r="L1969" s="76"/>
      <c r="M1969" s="76"/>
      <c r="N1969" s="76"/>
      <c r="O1969" s="76"/>
      <c r="P1969" s="76"/>
      <c r="Q1969" s="76"/>
      <c r="R1969" s="76"/>
      <c r="S1969" s="76"/>
      <c r="T1969" s="76"/>
      <c r="U1969" s="76"/>
      <c r="V1969" s="76"/>
      <c r="W1969" s="76"/>
      <c r="X1969" s="76"/>
      <c r="Y1969" s="76"/>
      <c r="Z1969" s="76"/>
      <c r="AA1969" s="76"/>
      <c r="AB1969" s="76"/>
      <c r="AC1969" s="76"/>
      <c r="AD1969" s="76"/>
      <c r="AE1969" s="76"/>
      <c r="AF1969" s="76"/>
      <c r="AG1969" s="76"/>
      <c r="AH1969" s="76"/>
      <c r="AI1969" s="76">
        <v>1</v>
      </c>
      <c r="AJ1969" s="76">
        <v>1</v>
      </c>
      <c r="AK1969" s="73"/>
      <c r="AL1969" s="57"/>
      <c r="AM1969" s="45"/>
      <c r="AN1969" s="45"/>
      <c r="AO1969" s="45"/>
    </row>
    <row r="1970" spans="1:41" hidden="1" outlineLevel="3" x14ac:dyDescent="0.25">
      <c r="A1970" s="45"/>
      <c r="B1970" s="54"/>
      <c r="C1970" s="47">
        <f t="shared" si="686"/>
        <v>4</v>
      </c>
      <c r="D1970" s="73"/>
      <c r="E1970" s="70"/>
      <c r="F1970" s="70" t="str">
        <f>SUBSTITUTE(F1964,",7)",",13)")</f>
        <v>C(U6,14,13)</v>
      </c>
      <c r="G1970" s="73"/>
      <c r="H1970" s="76"/>
      <c r="I1970" s="96"/>
      <c r="J1970" s="76"/>
      <c r="K1970" s="76"/>
      <c r="L1970" s="76"/>
      <c r="M1970" s="76"/>
      <c r="N1970" s="76"/>
      <c r="O1970" s="76"/>
      <c r="P1970" s="76"/>
      <c r="Q1970" s="76"/>
      <c r="R1970" s="76"/>
      <c r="S1970" s="76"/>
      <c r="T1970" s="76"/>
      <c r="U1970" s="76"/>
      <c r="V1970" s="76"/>
      <c r="W1970" s="76"/>
      <c r="X1970" s="76"/>
      <c r="Y1970" s="76"/>
      <c r="Z1970" s="76"/>
      <c r="AA1970" s="76"/>
      <c r="AB1970" s="76"/>
      <c r="AC1970" s="76"/>
      <c r="AD1970" s="76"/>
      <c r="AE1970" s="76"/>
      <c r="AF1970" s="76"/>
      <c r="AG1970" s="76"/>
      <c r="AH1970" s="76"/>
      <c r="AI1970" s="76">
        <v>1</v>
      </c>
      <c r="AJ1970" s="76">
        <v>1</v>
      </c>
      <c r="AK1970" s="73"/>
      <c r="AL1970" s="57"/>
      <c r="AM1970" s="45"/>
      <c r="AN1970" s="45"/>
      <c r="AO1970" s="45"/>
    </row>
    <row r="1971" spans="1:41" hidden="1" outlineLevel="3" x14ac:dyDescent="0.25">
      <c r="A1971" s="45"/>
      <c r="B1971" s="54"/>
      <c r="C1971" s="47">
        <f t="shared" si="686"/>
        <v>4</v>
      </c>
      <c r="D1971" s="73"/>
      <c r="E1971" s="70"/>
      <c r="F1971" s="70" t="s">
        <v>3636</v>
      </c>
      <c r="G1971" s="73"/>
      <c r="H1971" s="76"/>
      <c r="I1971" s="76"/>
      <c r="J1971" s="76"/>
      <c r="K1971" s="76"/>
      <c r="L1971" s="76"/>
      <c r="M1971" s="76"/>
      <c r="N1971" s="76"/>
      <c r="O1971" s="76"/>
      <c r="P1971" s="76"/>
      <c r="Q1971" s="76"/>
      <c r="R1971" s="76"/>
      <c r="S1971" s="76"/>
      <c r="T1971" s="76"/>
      <c r="U1971" s="76"/>
      <c r="V1971" s="76"/>
      <c r="W1971" s="76"/>
      <c r="X1971" s="76"/>
      <c r="Y1971" s="76"/>
      <c r="Z1971" s="76"/>
      <c r="AA1971" s="76"/>
      <c r="AB1971" s="76"/>
      <c r="AC1971" s="76"/>
      <c r="AD1971" s="76"/>
      <c r="AE1971" s="76"/>
      <c r="AF1971" s="76"/>
      <c r="AG1971" s="76"/>
      <c r="AH1971" s="76"/>
      <c r="AI1971" s="76">
        <v>1</v>
      </c>
      <c r="AJ1971" s="76">
        <v>1</v>
      </c>
      <c r="AK1971" s="73"/>
      <c r="AL1971" s="57"/>
      <c r="AM1971" s="45"/>
      <c r="AN1971" s="45"/>
      <c r="AO1971" s="45"/>
    </row>
    <row r="1972" spans="1:41" hidden="1" outlineLevel="3" x14ac:dyDescent="0.25">
      <c r="A1972" s="45"/>
      <c r="B1972" s="54"/>
      <c r="C1972" s="47">
        <f t="shared" si="686"/>
        <v>4</v>
      </c>
      <c r="D1972" s="73"/>
      <c r="E1972" s="70"/>
      <c r="F1972" s="70" t="s">
        <v>3637</v>
      </c>
      <c r="G1972" s="73"/>
      <c r="H1972" s="76" t="s">
        <v>599</v>
      </c>
      <c r="I1972" s="76"/>
      <c r="J1972" s="76"/>
      <c r="K1972" s="76"/>
      <c r="L1972" s="76"/>
      <c r="M1972" s="76"/>
      <c r="N1972" s="76"/>
      <c r="O1972" s="76"/>
      <c r="P1972" s="76"/>
      <c r="Q1972" s="76"/>
      <c r="R1972" s="76"/>
      <c r="S1972" s="76"/>
      <c r="T1972" s="76"/>
      <c r="U1972" s="76"/>
      <c r="V1972" s="76"/>
      <c r="W1972" s="76"/>
      <c r="X1972" s="76"/>
      <c r="Y1972" s="76"/>
      <c r="Z1972" s="76"/>
      <c r="AA1972" s="76"/>
      <c r="AB1972" s="76"/>
      <c r="AC1972" s="76"/>
      <c r="AD1972" s="76"/>
      <c r="AE1972" s="76"/>
      <c r="AF1972" s="76"/>
      <c r="AG1972" s="76"/>
      <c r="AH1972" s="76"/>
      <c r="AI1972" s="76">
        <v>1</v>
      </c>
      <c r="AJ1972" s="76">
        <v>1</v>
      </c>
      <c r="AK1972" s="73"/>
      <c r="AL1972" s="57"/>
      <c r="AM1972" s="45"/>
      <c r="AN1972" s="45"/>
      <c r="AO1972" s="45"/>
    </row>
    <row r="1973" spans="1:41" hidden="1" outlineLevel="3" x14ac:dyDescent="0.25">
      <c r="A1973" s="45"/>
      <c r="B1973" s="54"/>
      <c r="C1973" s="47">
        <f t="shared" si="686"/>
        <v>4</v>
      </c>
      <c r="D1973" s="73"/>
      <c r="E1973" s="70"/>
      <c r="F1973" s="70" t="s">
        <v>3638</v>
      </c>
      <c r="G1973" s="73"/>
      <c r="H1973" s="76"/>
      <c r="I1973" s="76"/>
      <c r="J1973" s="76"/>
      <c r="K1973" s="76"/>
      <c r="L1973" s="76"/>
      <c r="M1973" s="76"/>
      <c r="N1973" s="76"/>
      <c r="O1973" s="76"/>
      <c r="P1973" s="76"/>
      <c r="Q1973" s="76"/>
      <c r="R1973" s="76"/>
      <c r="S1973" s="76"/>
      <c r="T1973" s="76"/>
      <c r="U1973" s="76"/>
      <c r="V1973" s="76"/>
      <c r="W1973" s="76"/>
      <c r="X1973" s="76"/>
      <c r="Y1973" s="76"/>
      <c r="Z1973" s="76"/>
      <c r="AA1973" s="76"/>
      <c r="AB1973" s="76"/>
      <c r="AC1973" s="76"/>
      <c r="AD1973" s="76"/>
      <c r="AE1973" s="76"/>
      <c r="AF1973" s="76"/>
      <c r="AG1973" s="76"/>
      <c r="AH1973" s="76"/>
      <c r="AI1973" s="76">
        <v>1</v>
      </c>
      <c r="AJ1973" s="76">
        <v>1</v>
      </c>
      <c r="AK1973" s="73"/>
      <c r="AL1973" s="57"/>
      <c r="AM1973" s="45"/>
      <c r="AN1973" s="45"/>
      <c r="AO1973" s="45"/>
    </row>
    <row r="1974" spans="1:41" hidden="1" outlineLevel="3" x14ac:dyDescent="0.25">
      <c r="A1974" s="45"/>
      <c r="B1974" s="54"/>
      <c r="C1974" s="47">
        <f t="shared" si="686"/>
        <v>4</v>
      </c>
      <c r="D1974" s="73"/>
      <c r="E1974" s="70"/>
      <c r="F1974" s="70" t="s">
        <v>3639</v>
      </c>
      <c r="G1974" s="73"/>
      <c r="H1974" s="76"/>
      <c r="I1974" s="76"/>
      <c r="J1974" s="76"/>
      <c r="K1974" s="76"/>
      <c r="L1974" s="76"/>
      <c r="M1974" s="76"/>
      <c r="N1974" s="76"/>
      <c r="O1974" s="76"/>
      <c r="P1974" s="76"/>
      <c r="Q1974" s="76"/>
      <c r="R1974" s="76"/>
      <c r="S1974" s="76"/>
      <c r="T1974" s="76"/>
      <c r="U1974" s="76"/>
      <c r="V1974" s="76"/>
      <c r="W1974" s="76"/>
      <c r="X1974" s="76"/>
      <c r="Y1974" s="76"/>
      <c r="Z1974" s="76"/>
      <c r="AA1974" s="76"/>
      <c r="AB1974" s="76"/>
      <c r="AC1974" s="76"/>
      <c r="AD1974" s="76"/>
      <c r="AE1974" s="76"/>
      <c r="AF1974" s="76"/>
      <c r="AG1974" s="76"/>
      <c r="AH1974" s="76"/>
      <c r="AI1974" s="76">
        <v>1</v>
      </c>
      <c r="AJ1974" s="76">
        <v>1</v>
      </c>
      <c r="AK1974" s="73"/>
      <c r="AL1974" s="57"/>
      <c r="AM1974" s="45"/>
      <c r="AN1974" s="45"/>
      <c r="AO1974" s="45"/>
    </row>
    <row r="1975" spans="1:41" hidden="1" outlineLevel="3" x14ac:dyDescent="0.25">
      <c r="A1975" s="45"/>
      <c r="B1975" s="54"/>
      <c r="C1975" s="47">
        <f t="shared" si="686"/>
        <v>4</v>
      </c>
      <c r="D1975" s="73"/>
      <c r="E1975" s="70"/>
      <c r="F1975" s="70" t="s">
        <v>3640</v>
      </c>
      <c r="G1975" s="73"/>
      <c r="H1975" s="76"/>
      <c r="I1975" s="76"/>
      <c r="J1975" s="76"/>
      <c r="K1975" s="76"/>
      <c r="L1975" s="76"/>
      <c r="M1975" s="76"/>
      <c r="N1975" s="76"/>
      <c r="O1975" s="76"/>
      <c r="P1975" s="76"/>
      <c r="Q1975" s="76"/>
      <c r="R1975" s="76"/>
      <c r="S1975" s="76"/>
      <c r="T1975" s="76"/>
      <c r="U1975" s="76"/>
      <c r="V1975" s="76"/>
      <c r="W1975" s="76"/>
      <c r="X1975" s="76"/>
      <c r="Y1975" s="76"/>
      <c r="Z1975" s="76"/>
      <c r="AA1975" s="76"/>
      <c r="AB1975" s="76"/>
      <c r="AC1975" s="76"/>
      <c r="AD1975" s="76"/>
      <c r="AE1975" s="76"/>
      <c r="AF1975" s="76"/>
      <c r="AG1975" s="76"/>
      <c r="AH1975" s="76"/>
      <c r="AI1975" s="76">
        <v>1</v>
      </c>
      <c r="AJ1975" s="76">
        <v>1</v>
      </c>
      <c r="AK1975" s="73"/>
      <c r="AL1975" s="57"/>
      <c r="AM1975" s="45"/>
      <c r="AN1975" s="45"/>
      <c r="AO1975" s="45"/>
    </row>
    <row r="1976" spans="1:41" hidden="1" outlineLevel="3" x14ac:dyDescent="0.25">
      <c r="A1976" s="45"/>
      <c r="B1976" s="54"/>
      <c r="C1976" s="47">
        <f t="shared" si="686"/>
        <v>4</v>
      </c>
      <c r="D1976" s="73"/>
      <c r="E1976" s="70"/>
      <c r="F1976" s="70" t="s">
        <v>3641</v>
      </c>
      <c r="G1976" s="73"/>
      <c r="H1976" s="76"/>
      <c r="I1976" s="76"/>
      <c r="J1976" s="76"/>
      <c r="K1976" s="76"/>
      <c r="L1976" s="76"/>
      <c r="M1976" s="76"/>
      <c r="N1976" s="76"/>
      <c r="O1976" s="76"/>
      <c r="P1976" s="76"/>
      <c r="Q1976" s="76"/>
      <c r="R1976" s="76"/>
      <c r="S1976" s="76"/>
      <c r="T1976" s="76"/>
      <c r="U1976" s="76"/>
      <c r="V1976" s="76"/>
      <c r="W1976" s="76"/>
      <c r="X1976" s="76"/>
      <c r="Y1976" s="76"/>
      <c r="Z1976" s="76"/>
      <c r="AA1976" s="76"/>
      <c r="AB1976" s="76"/>
      <c r="AC1976" s="76"/>
      <c r="AD1976" s="76"/>
      <c r="AE1976" s="76"/>
      <c r="AF1976" s="76"/>
      <c r="AG1976" s="76"/>
      <c r="AH1976" s="76"/>
      <c r="AI1976" s="76">
        <v>1</v>
      </c>
      <c r="AJ1976" s="76">
        <v>1</v>
      </c>
      <c r="AK1976" s="73"/>
      <c r="AL1976" s="57"/>
      <c r="AM1976" s="45"/>
      <c r="AN1976" s="45"/>
      <c r="AO1976" s="45"/>
    </row>
    <row r="1977" spans="1:41" hidden="1" outlineLevel="3" x14ac:dyDescent="0.25">
      <c r="A1977" s="45"/>
      <c r="B1977" s="54"/>
      <c r="C1977" s="47"/>
      <c r="D1977" s="73"/>
      <c r="E1977" s="70"/>
      <c r="F1977" s="70" t="s">
        <v>3642</v>
      </c>
      <c r="G1977" s="73"/>
      <c r="H1977" s="76"/>
      <c r="I1977" s="76"/>
      <c r="J1977" s="76"/>
      <c r="K1977" s="76"/>
      <c r="L1977" s="76"/>
      <c r="M1977" s="76"/>
      <c r="N1977" s="76"/>
      <c r="O1977" s="76"/>
      <c r="P1977" s="76"/>
      <c r="Q1977" s="76"/>
      <c r="R1977" s="76"/>
      <c r="S1977" s="76"/>
      <c r="T1977" s="76"/>
      <c r="U1977" s="76"/>
      <c r="V1977" s="76"/>
      <c r="W1977" s="76"/>
      <c r="X1977" s="76"/>
      <c r="Y1977" s="76"/>
      <c r="Z1977" s="76"/>
      <c r="AA1977" s="76"/>
      <c r="AB1977" s="76"/>
      <c r="AC1977" s="76"/>
      <c r="AD1977" s="76"/>
      <c r="AE1977" s="76"/>
      <c r="AF1977" s="76"/>
      <c r="AG1977" s="76"/>
      <c r="AH1977" s="76"/>
      <c r="AI1977" s="76">
        <v>1</v>
      </c>
      <c r="AJ1977" s="76">
        <v>1</v>
      </c>
      <c r="AK1977" s="73"/>
      <c r="AL1977" s="57"/>
      <c r="AM1977" s="45"/>
      <c r="AN1977" s="45"/>
      <c r="AO1977" s="45"/>
    </row>
    <row r="1978" spans="1:41" hidden="1" outlineLevel="3" x14ac:dyDescent="0.25">
      <c r="A1978" s="45"/>
      <c r="B1978" s="54"/>
      <c r="C1978" s="47"/>
      <c r="D1978" s="73"/>
      <c r="E1978" s="70"/>
      <c r="F1978" s="70" t="s">
        <v>3643</v>
      </c>
      <c r="G1978" s="73"/>
      <c r="H1978" s="76"/>
      <c r="I1978" s="76"/>
      <c r="J1978" s="76"/>
      <c r="K1978" s="76"/>
      <c r="L1978" s="76"/>
      <c r="M1978" s="76"/>
      <c r="N1978" s="76"/>
      <c r="O1978" s="76"/>
      <c r="P1978" s="76"/>
      <c r="Q1978" s="76"/>
      <c r="R1978" s="76"/>
      <c r="S1978" s="76"/>
      <c r="T1978" s="76"/>
      <c r="U1978" s="76"/>
      <c r="V1978" s="76"/>
      <c r="W1978" s="76"/>
      <c r="X1978" s="76"/>
      <c r="Y1978" s="76"/>
      <c r="Z1978" s="76"/>
      <c r="AA1978" s="76"/>
      <c r="AB1978" s="76"/>
      <c r="AC1978" s="76"/>
      <c r="AD1978" s="76"/>
      <c r="AE1978" s="76"/>
      <c r="AF1978" s="76"/>
      <c r="AG1978" s="76"/>
      <c r="AH1978" s="76"/>
      <c r="AI1978" s="76">
        <v>1</v>
      </c>
      <c r="AJ1978" s="76">
        <v>1</v>
      </c>
      <c r="AK1978" s="73"/>
      <c r="AL1978" s="57"/>
      <c r="AM1978" s="45"/>
      <c r="AN1978" s="45"/>
      <c r="AO1978" s="45"/>
    </row>
    <row r="1979" spans="1:41" hidden="1" outlineLevel="3" x14ac:dyDescent="0.25">
      <c r="A1979" s="45"/>
      <c r="B1979" s="54"/>
      <c r="C1979" s="47"/>
      <c r="D1979" s="73"/>
      <c r="E1979" s="70"/>
      <c r="F1979" s="70" t="s">
        <v>3644</v>
      </c>
      <c r="G1979" s="73"/>
      <c r="H1979" s="76"/>
      <c r="I1979" s="76"/>
      <c r="J1979" s="76"/>
      <c r="K1979" s="76"/>
      <c r="L1979" s="76"/>
      <c r="M1979" s="76"/>
      <c r="N1979" s="76"/>
      <c r="O1979" s="76"/>
      <c r="P1979" s="76"/>
      <c r="Q1979" s="76"/>
      <c r="R1979" s="76"/>
      <c r="S1979" s="76"/>
      <c r="T1979" s="76"/>
      <c r="U1979" s="76"/>
      <c r="V1979" s="76"/>
      <c r="W1979" s="76"/>
      <c r="X1979" s="76"/>
      <c r="Y1979" s="76"/>
      <c r="Z1979" s="76"/>
      <c r="AA1979" s="76"/>
      <c r="AB1979" s="76"/>
      <c r="AC1979" s="76"/>
      <c r="AD1979" s="76"/>
      <c r="AE1979" s="76"/>
      <c r="AF1979" s="76"/>
      <c r="AG1979" s="76"/>
      <c r="AH1979" s="76"/>
      <c r="AI1979" s="76">
        <v>1</v>
      </c>
      <c r="AJ1979" s="76">
        <v>1</v>
      </c>
      <c r="AK1979" s="73"/>
      <c r="AL1979" s="57"/>
      <c r="AM1979" s="45"/>
      <c r="AN1979" s="45"/>
      <c r="AO1979" s="45"/>
    </row>
    <row r="1980" spans="1:41" hidden="1" outlineLevel="3" x14ac:dyDescent="0.25">
      <c r="A1980" s="45"/>
      <c r="B1980" s="54"/>
      <c r="C1980" s="47">
        <f>INT($C$29)+3</f>
        <v>4</v>
      </c>
      <c r="D1980" s="73"/>
      <c r="E1980" s="70"/>
      <c r="F1980" s="70" t="str">
        <f>SUBSTITUTE(F1976,",4)",",8)")</f>
        <v>C(U6,15,8)</v>
      </c>
      <c r="G1980" s="73"/>
      <c r="H1980" s="76"/>
      <c r="I1980" s="96"/>
      <c r="J1980" s="76"/>
      <c r="K1980" s="76"/>
      <c r="L1980" s="76"/>
      <c r="M1980" s="76"/>
      <c r="N1980" s="76"/>
      <c r="O1980" s="76"/>
      <c r="P1980" s="76"/>
      <c r="Q1980" s="76"/>
      <c r="R1980" s="76"/>
      <c r="S1980" s="76"/>
      <c r="T1980" s="76"/>
      <c r="U1980" s="76"/>
      <c r="V1980" s="76"/>
      <c r="W1980" s="76"/>
      <c r="X1980" s="76"/>
      <c r="Y1980" s="76"/>
      <c r="Z1980" s="76"/>
      <c r="AA1980" s="76"/>
      <c r="AB1980" s="76"/>
      <c r="AC1980" s="76"/>
      <c r="AD1980" s="76"/>
      <c r="AE1980" s="76"/>
      <c r="AF1980" s="76"/>
      <c r="AG1980" s="76"/>
      <c r="AH1980" s="76"/>
      <c r="AI1980" s="76">
        <v>1</v>
      </c>
      <c r="AJ1980" s="76">
        <v>1</v>
      </c>
      <c r="AK1980" s="73"/>
      <c r="AL1980" s="57"/>
      <c r="AM1980" s="45"/>
      <c r="AN1980" s="45"/>
      <c r="AO1980" s="45"/>
    </row>
    <row r="1981" spans="1:41" hidden="1" outlineLevel="3" x14ac:dyDescent="0.25">
      <c r="A1981" s="45"/>
      <c r="B1981" s="54"/>
      <c r="C1981" s="47">
        <f>INT($C$29)+3</f>
        <v>4</v>
      </c>
      <c r="D1981" s="73"/>
      <c r="E1981" s="70"/>
      <c r="F1981" s="70" t="str">
        <f>SUBSTITUTE(F1977,",5)",",9)")</f>
        <v>C(U6,15,9)</v>
      </c>
      <c r="G1981" s="73"/>
      <c r="H1981" s="76"/>
      <c r="I1981" s="96"/>
      <c r="J1981" s="76"/>
      <c r="K1981" s="76"/>
      <c r="L1981" s="76"/>
      <c r="M1981" s="76"/>
      <c r="N1981" s="76"/>
      <c r="O1981" s="76"/>
      <c r="P1981" s="76"/>
      <c r="Q1981" s="76"/>
      <c r="R1981" s="76"/>
      <c r="S1981" s="76"/>
      <c r="T1981" s="76"/>
      <c r="U1981" s="76"/>
      <c r="V1981" s="76"/>
      <c r="W1981" s="76"/>
      <c r="X1981" s="76"/>
      <c r="Y1981" s="76"/>
      <c r="Z1981" s="76"/>
      <c r="AA1981" s="76"/>
      <c r="AB1981" s="76"/>
      <c r="AC1981" s="76"/>
      <c r="AD1981" s="76"/>
      <c r="AE1981" s="76"/>
      <c r="AF1981" s="76"/>
      <c r="AG1981" s="76"/>
      <c r="AH1981" s="76"/>
      <c r="AI1981" s="76">
        <v>1</v>
      </c>
      <c r="AJ1981" s="76">
        <v>1</v>
      </c>
      <c r="AK1981" s="73"/>
      <c r="AL1981" s="57"/>
      <c r="AM1981" s="45"/>
      <c r="AN1981" s="45"/>
      <c r="AO1981" s="45"/>
    </row>
    <row r="1982" spans="1:41" hidden="1" outlineLevel="3" x14ac:dyDescent="0.25">
      <c r="A1982" s="45"/>
      <c r="B1982" s="54"/>
      <c r="C1982" s="47">
        <f>INT($C$29)+3</f>
        <v>4</v>
      </c>
      <c r="D1982" s="73"/>
      <c r="E1982" s="70"/>
      <c r="F1982" s="70" t="str">
        <f>SUBSTITUTE(F1978,",6)",",10)")</f>
        <v>C(U6,15,10)</v>
      </c>
      <c r="G1982" s="73"/>
      <c r="H1982" s="76"/>
      <c r="I1982" s="96"/>
      <c r="J1982" s="76"/>
      <c r="K1982" s="76"/>
      <c r="L1982" s="76"/>
      <c r="M1982" s="76"/>
      <c r="N1982" s="76"/>
      <c r="O1982" s="76"/>
      <c r="P1982" s="76"/>
      <c r="Q1982" s="76"/>
      <c r="R1982" s="76"/>
      <c r="S1982" s="76"/>
      <c r="T1982" s="76"/>
      <c r="U1982" s="76"/>
      <c r="V1982" s="76"/>
      <c r="W1982" s="76"/>
      <c r="X1982" s="76"/>
      <c r="Y1982" s="76"/>
      <c r="Z1982" s="76"/>
      <c r="AA1982" s="76"/>
      <c r="AB1982" s="76"/>
      <c r="AC1982" s="76"/>
      <c r="AD1982" s="76"/>
      <c r="AE1982" s="76"/>
      <c r="AF1982" s="76"/>
      <c r="AG1982" s="76"/>
      <c r="AH1982" s="76"/>
      <c r="AI1982" s="76">
        <v>1</v>
      </c>
      <c r="AJ1982" s="76">
        <v>1</v>
      </c>
      <c r="AK1982" s="73"/>
      <c r="AL1982" s="57"/>
      <c r="AM1982" s="45"/>
      <c r="AN1982" s="45"/>
      <c r="AO1982" s="45"/>
    </row>
    <row r="1983" spans="1:41" hidden="1" outlineLevel="3" x14ac:dyDescent="0.25">
      <c r="A1983" s="45"/>
      <c r="B1983" s="54"/>
      <c r="C1983" s="47">
        <f>INT($C$29)+3</f>
        <v>4</v>
      </c>
      <c r="D1983" s="73"/>
      <c r="E1983" s="70"/>
      <c r="F1983" s="70" t="str">
        <f>SUBSTITUTE(F1979,",7)",",11)")</f>
        <v>C(U6,15,11)</v>
      </c>
      <c r="G1983" s="73"/>
      <c r="H1983" s="76"/>
      <c r="I1983" s="96"/>
      <c r="J1983" s="76"/>
      <c r="K1983" s="76"/>
      <c r="L1983" s="76"/>
      <c r="M1983" s="76"/>
      <c r="N1983" s="76"/>
      <c r="O1983" s="76"/>
      <c r="P1983" s="76"/>
      <c r="Q1983" s="76"/>
      <c r="R1983" s="76"/>
      <c r="S1983" s="76"/>
      <c r="T1983" s="76"/>
      <c r="U1983" s="76"/>
      <c r="V1983" s="76"/>
      <c r="W1983" s="76"/>
      <c r="X1983" s="76"/>
      <c r="Y1983" s="76"/>
      <c r="Z1983" s="76"/>
      <c r="AA1983" s="76"/>
      <c r="AB1983" s="76"/>
      <c r="AC1983" s="76"/>
      <c r="AD1983" s="76"/>
      <c r="AE1983" s="76"/>
      <c r="AF1983" s="76"/>
      <c r="AG1983" s="76"/>
      <c r="AH1983" s="76"/>
      <c r="AI1983" s="76">
        <v>1</v>
      </c>
      <c r="AJ1983" s="76">
        <v>1</v>
      </c>
      <c r="AK1983" s="73"/>
      <c r="AL1983" s="57"/>
      <c r="AM1983" s="45"/>
      <c r="AN1983" s="45"/>
      <c r="AO1983" s="45"/>
    </row>
    <row r="1984" spans="1:41" hidden="1" outlineLevel="3" x14ac:dyDescent="0.25">
      <c r="A1984" s="45"/>
      <c r="B1984" s="54"/>
      <c r="C1984" s="47">
        <f t="shared" ref="C1984:C1985" si="687">INT($C$29)+3</f>
        <v>4</v>
      </c>
      <c r="D1984" s="73"/>
      <c r="E1984" s="70"/>
      <c r="F1984" s="70" t="str">
        <f>SUBSTITUTE(F1978,",6)",",12)")</f>
        <v>C(U6,15,12)</v>
      </c>
      <c r="G1984" s="73"/>
      <c r="H1984" s="76"/>
      <c r="I1984" s="96"/>
      <c r="J1984" s="76"/>
      <c r="K1984" s="76"/>
      <c r="L1984" s="76"/>
      <c r="M1984" s="76"/>
      <c r="N1984" s="76"/>
      <c r="O1984" s="76"/>
      <c r="P1984" s="76"/>
      <c r="Q1984" s="76"/>
      <c r="R1984" s="76"/>
      <c r="S1984" s="76"/>
      <c r="T1984" s="76"/>
      <c r="U1984" s="76"/>
      <c r="V1984" s="76"/>
      <c r="W1984" s="76"/>
      <c r="X1984" s="76"/>
      <c r="Y1984" s="76"/>
      <c r="Z1984" s="76"/>
      <c r="AA1984" s="76"/>
      <c r="AB1984" s="76"/>
      <c r="AC1984" s="76"/>
      <c r="AD1984" s="76"/>
      <c r="AE1984" s="76"/>
      <c r="AF1984" s="76"/>
      <c r="AG1984" s="76"/>
      <c r="AH1984" s="76"/>
      <c r="AI1984" s="76">
        <v>1</v>
      </c>
      <c r="AJ1984" s="76">
        <v>1</v>
      </c>
      <c r="AK1984" s="73"/>
      <c r="AL1984" s="57"/>
      <c r="AM1984" s="45"/>
      <c r="AN1984" s="45"/>
      <c r="AO1984" s="45"/>
    </row>
    <row r="1985" spans="1:41" hidden="1" outlineLevel="3" x14ac:dyDescent="0.25">
      <c r="A1985" s="45"/>
      <c r="B1985" s="54"/>
      <c r="C1985" s="47">
        <f t="shared" si="687"/>
        <v>4</v>
      </c>
      <c r="D1985" s="73"/>
      <c r="E1985" s="70"/>
      <c r="F1985" s="70" t="str">
        <f>SUBSTITUTE(F1979,",7)",",13)")</f>
        <v>C(U6,15,13)</v>
      </c>
      <c r="G1985" s="73"/>
      <c r="H1985" s="76"/>
      <c r="I1985" s="96"/>
      <c r="J1985" s="76"/>
      <c r="K1985" s="76"/>
      <c r="L1985" s="76"/>
      <c r="M1985" s="76"/>
      <c r="N1985" s="76"/>
      <c r="O1985" s="76"/>
      <c r="P1985" s="76"/>
      <c r="Q1985" s="76"/>
      <c r="R1985" s="76"/>
      <c r="S1985" s="76"/>
      <c r="T1985" s="76"/>
      <c r="U1985" s="76"/>
      <c r="V1985" s="76"/>
      <c r="W1985" s="76"/>
      <c r="X1985" s="76"/>
      <c r="Y1985" s="76"/>
      <c r="Z1985" s="76"/>
      <c r="AA1985" s="76"/>
      <c r="AB1985" s="76"/>
      <c r="AC1985" s="76"/>
      <c r="AD1985" s="76"/>
      <c r="AE1985" s="76"/>
      <c r="AF1985" s="76"/>
      <c r="AG1985" s="76"/>
      <c r="AH1985" s="76"/>
      <c r="AI1985" s="76">
        <v>1</v>
      </c>
      <c r="AJ1985" s="76">
        <v>1</v>
      </c>
      <c r="AK1985" s="73"/>
      <c r="AL1985" s="57"/>
      <c r="AM1985" s="45"/>
      <c r="AN1985" s="45"/>
      <c r="AO1985" s="45"/>
    </row>
    <row r="1986" spans="1:41" hidden="1" outlineLevel="3" x14ac:dyDescent="0.25">
      <c r="A1986" s="45"/>
      <c r="B1986" s="54"/>
      <c r="C1986" s="47">
        <f>INT($C$29)+3</f>
        <v>4</v>
      </c>
      <c r="D1986" s="73"/>
      <c r="E1986" s="398"/>
      <c r="F1986" s="398" t="s">
        <v>3645</v>
      </c>
      <c r="G1986" s="73"/>
      <c r="H1986" s="109"/>
      <c r="I1986" s="109"/>
      <c r="J1986" s="109"/>
      <c r="K1986" s="109"/>
      <c r="L1986" s="109"/>
      <c r="M1986" s="109"/>
      <c r="N1986" s="109"/>
      <c r="O1986" s="109"/>
      <c r="P1986" s="109"/>
      <c r="Q1986" s="109"/>
      <c r="R1986" s="109"/>
      <c r="S1986" s="109"/>
      <c r="T1986" s="109"/>
      <c r="U1986" s="109"/>
      <c r="V1986" s="109"/>
      <c r="W1986" s="109"/>
      <c r="X1986" s="109"/>
      <c r="Y1986" s="109"/>
      <c r="Z1986" s="109"/>
      <c r="AA1986" s="109"/>
      <c r="AB1986" s="109"/>
      <c r="AC1986" s="109"/>
      <c r="AD1986" s="109"/>
      <c r="AE1986" s="109"/>
      <c r="AF1986" s="109"/>
      <c r="AG1986" s="109"/>
      <c r="AH1986" s="109"/>
      <c r="AI1986" s="109">
        <v>1</v>
      </c>
      <c r="AJ1986" s="109">
        <v>1</v>
      </c>
      <c r="AK1986" s="73"/>
      <c r="AL1986" s="57"/>
      <c r="AM1986" s="45"/>
      <c r="AN1986" s="45"/>
      <c r="AO1986" s="45"/>
    </row>
    <row r="1987" spans="1:41" hidden="1" outlineLevel="3" x14ac:dyDescent="0.25">
      <c r="A1987" s="45"/>
      <c r="B1987" s="54"/>
      <c r="C1987" s="47">
        <f t="shared" ref="C1987:C1991" si="688">INT($C$29)+3</f>
        <v>4</v>
      </c>
      <c r="D1987" s="73"/>
      <c r="E1987" s="70"/>
      <c r="F1987" s="70" t="s">
        <v>3646</v>
      </c>
      <c r="G1987" s="73"/>
      <c r="H1987" s="76" t="s">
        <v>599</v>
      </c>
      <c r="I1987" s="76"/>
      <c r="J1987" s="76"/>
      <c r="K1987" s="76"/>
      <c r="L1987" s="76"/>
      <c r="M1987" s="76"/>
      <c r="N1987" s="76"/>
      <c r="O1987" s="76"/>
      <c r="P1987" s="76"/>
      <c r="Q1987" s="76"/>
      <c r="R1987" s="76"/>
      <c r="S1987" s="76"/>
      <c r="T1987" s="76"/>
      <c r="U1987" s="76"/>
      <c r="V1987" s="76"/>
      <c r="W1987" s="76"/>
      <c r="X1987" s="76"/>
      <c r="Y1987" s="76"/>
      <c r="Z1987" s="76"/>
      <c r="AA1987" s="76"/>
      <c r="AB1987" s="76"/>
      <c r="AC1987" s="76"/>
      <c r="AD1987" s="76"/>
      <c r="AE1987" s="76"/>
      <c r="AF1987" s="76"/>
      <c r="AG1987" s="76"/>
      <c r="AH1987" s="76"/>
      <c r="AI1987" s="76">
        <v>1</v>
      </c>
      <c r="AJ1987" s="76">
        <v>1</v>
      </c>
      <c r="AK1987" s="73"/>
      <c r="AL1987" s="57"/>
      <c r="AM1987" s="45"/>
      <c r="AN1987" s="45"/>
      <c r="AO1987" s="45"/>
    </row>
    <row r="1988" spans="1:41" hidden="1" outlineLevel="3" x14ac:dyDescent="0.25">
      <c r="A1988" s="45"/>
      <c r="B1988" s="54"/>
      <c r="C1988" s="47">
        <f t="shared" si="688"/>
        <v>4</v>
      </c>
      <c r="D1988" s="73"/>
      <c r="E1988" s="70"/>
      <c r="F1988" s="70" t="s">
        <v>3647</v>
      </c>
      <c r="G1988" s="73"/>
      <c r="H1988" s="76"/>
      <c r="I1988" s="76"/>
      <c r="J1988" s="76"/>
      <c r="K1988" s="76"/>
      <c r="L1988" s="76"/>
      <c r="M1988" s="76"/>
      <c r="N1988" s="76"/>
      <c r="O1988" s="76"/>
      <c r="P1988" s="76"/>
      <c r="Q1988" s="76"/>
      <c r="R1988" s="76"/>
      <c r="S1988" s="76"/>
      <c r="T1988" s="76"/>
      <c r="U1988" s="76"/>
      <c r="V1988" s="76"/>
      <c r="W1988" s="76"/>
      <c r="X1988" s="76"/>
      <c r="Y1988" s="76"/>
      <c r="Z1988" s="76"/>
      <c r="AA1988" s="76"/>
      <c r="AB1988" s="76"/>
      <c r="AC1988" s="76"/>
      <c r="AD1988" s="76"/>
      <c r="AE1988" s="76"/>
      <c r="AF1988" s="76"/>
      <c r="AG1988" s="76"/>
      <c r="AH1988" s="76"/>
      <c r="AI1988" s="76">
        <v>1</v>
      </c>
      <c r="AJ1988" s="76">
        <v>1</v>
      </c>
      <c r="AK1988" s="73"/>
      <c r="AL1988" s="57"/>
      <c r="AM1988" s="45"/>
      <c r="AN1988" s="45"/>
      <c r="AO1988" s="45"/>
    </row>
    <row r="1989" spans="1:41" hidden="1" outlineLevel="3" x14ac:dyDescent="0.25">
      <c r="A1989" s="45"/>
      <c r="B1989" s="54"/>
      <c r="C1989" s="47">
        <f t="shared" si="688"/>
        <v>4</v>
      </c>
      <c r="D1989" s="73"/>
      <c r="E1989" s="70"/>
      <c r="F1989" s="70" t="s">
        <v>3648</v>
      </c>
      <c r="G1989" s="73"/>
      <c r="H1989" s="76"/>
      <c r="I1989" s="76"/>
      <c r="J1989" s="76"/>
      <c r="K1989" s="76"/>
      <c r="L1989" s="76"/>
      <c r="M1989" s="76"/>
      <c r="N1989" s="76"/>
      <c r="O1989" s="76"/>
      <c r="P1989" s="76"/>
      <c r="Q1989" s="76"/>
      <c r="R1989" s="76"/>
      <c r="S1989" s="76"/>
      <c r="T1989" s="76"/>
      <c r="U1989" s="76"/>
      <c r="V1989" s="76"/>
      <c r="W1989" s="76"/>
      <c r="X1989" s="76"/>
      <c r="Y1989" s="76"/>
      <c r="Z1989" s="76"/>
      <c r="AA1989" s="76"/>
      <c r="AB1989" s="76"/>
      <c r="AC1989" s="76"/>
      <c r="AD1989" s="76"/>
      <c r="AE1989" s="76"/>
      <c r="AF1989" s="76"/>
      <c r="AG1989" s="76"/>
      <c r="AH1989" s="76"/>
      <c r="AI1989" s="76">
        <v>1</v>
      </c>
      <c r="AJ1989" s="76">
        <v>1</v>
      </c>
      <c r="AK1989" s="73"/>
      <c r="AL1989" s="57"/>
      <c r="AM1989" s="45"/>
      <c r="AN1989" s="45"/>
      <c r="AO1989" s="45"/>
    </row>
    <row r="1990" spans="1:41" hidden="1" outlineLevel="3" x14ac:dyDescent="0.25">
      <c r="A1990" s="45"/>
      <c r="B1990" s="54"/>
      <c r="C1990" s="47">
        <f t="shared" si="688"/>
        <v>4</v>
      </c>
      <c r="D1990" s="73"/>
      <c r="E1990" s="70"/>
      <c r="F1990" s="70" t="s">
        <v>3649</v>
      </c>
      <c r="G1990" s="73"/>
      <c r="H1990" s="76"/>
      <c r="I1990" s="76"/>
      <c r="J1990" s="76"/>
      <c r="K1990" s="76"/>
      <c r="L1990" s="76"/>
      <c r="M1990" s="76"/>
      <c r="N1990" s="76"/>
      <c r="O1990" s="76"/>
      <c r="P1990" s="76"/>
      <c r="Q1990" s="76"/>
      <c r="R1990" s="76"/>
      <c r="S1990" s="76"/>
      <c r="T1990" s="76"/>
      <c r="U1990" s="76"/>
      <c r="V1990" s="76"/>
      <c r="W1990" s="76"/>
      <c r="X1990" s="76"/>
      <c r="Y1990" s="76"/>
      <c r="Z1990" s="76"/>
      <c r="AA1990" s="76"/>
      <c r="AB1990" s="76"/>
      <c r="AC1990" s="76"/>
      <c r="AD1990" s="76"/>
      <c r="AE1990" s="76"/>
      <c r="AF1990" s="76"/>
      <c r="AG1990" s="76"/>
      <c r="AH1990" s="76"/>
      <c r="AI1990" s="76">
        <v>1</v>
      </c>
      <c r="AJ1990" s="76">
        <v>1</v>
      </c>
      <c r="AK1990" s="73"/>
      <c r="AL1990" s="57"/>
      <c r="AM1990" s="45"/>
      <c r="AN1990" s="45"/>
      <c r="AO1990" s="45"/>
    </row>
    <row r="1991" spans="1:41" hidden="1" outlineLevel="3" x14ac:dyDescent="0.25">
      <c r="A1991" s="45"/>
      <c r="B1991" s="54"/>
      <c r="C1991" s="47">
        <f t="shared" si="688"/>
        <v>4</v>
      </c>
      <c r="D1991" s="73"/>
      <c r="E1991" s="70"/>
      <c r="F1991" s="70" t="s">
        <v>3650</v>
      </c>
      <c r="G1991" s="73"/>
      <c r="H1991" s="76"/>
      <c r="I1991" s="76"/>
      <c r="J1991" s="76"/>
      <c r="K1991" s="76"/>
      <c r="L1991" s="76"/>
      <c r="M1991" s="76"/>
      <c r="N1991" s="76"/>
      <c r="O1991" s="76"/>
      <c r="P1991" s="76"/>
      <c r="Q1991" s="76"/>
      <c r="R1991" s="76"/>
      <c r="S1991" s="76"/>
      <c r="T1991" s="76"/>
      <c r="U1991" s="76"/>
      <c r="V1991" s="76"/>
      <c r="W1991" s="76"/>
      <c r="X1991" s="76"/>
      <c r="Y1991" s="76"/>
      <c r="Z1991" s="76"/>
      <c r="AA1991" s="76"/>
      <c r="AB1991" s="76"/>
      <c r="AC1991" s="76"/>
      <c r="AD1991" s="76"/>
      <c r="AE1991" s="76"/>
      <c r="AF1991" s="76"/>
      <c r="AG1991" s="76"/>
      <c r="AH1991" s="76"/>
      <c r="AI1991" s="76">
        <v>1</v>
      </c>
      <c r="AJ1991" s="76">
        <v>1</v>
      </c>
      <c r="AK1991" s="73"/>
      <c r="AL1991" s="57"/>
      <c r="AM1991" s="45"/>
      <c r="AN1991" s="45"/>
      <c r="AO1991" s="45"/>
    </row>
    <row r="1992" spans="1:41" hidden="1" outlineLevel="3" x14ac:dyDescent="0.25">
      <c r="A1992" s="45"/>
      <c r="B1992" s="54"/>
      <c r="C1992" s="47"/>
      <c r="D1992" s="73"/>
      <c r="E1992" s="70"/>
      <c r="F1992" s="70" t="s">
        <v>3651</v>
      </c>
      <c r="G1992" s="73"/>
      <c r="H1992" s="76"/>
      <c r="I1992" s="76"/>
      <c r="J1992" s="76"/>
      <c r="K1992" s="76"/>
      <c r="L1992" s="76"/>
      <c r="M1992" s="76"/>
      <c r="N1992" s="76"/>
      <c r="O1992" s="76"/>
      <c r="P1992" s="76"/>
      <c r="Q1992" s="76"/>
      <c r="R1992" s="76"/>
      <c r="S1992" s="76"/>
      <c r="T1992" s="76"/>
      <c r="U1992" s="76"/>
      <c r="V1992" s="76"/>
      <c r="W1992" s="76"/>
      <c r="X1992" s="76"/>
      <c r="Y1992" s="76"/>
      <c r="Z1992" s="76"/>
      <c r="AA1992" s="76"/>
      <c r="AB1992" s="76"/>
      <c r="AC1992" s="76"/>
      <c r="AD1992" s="76"/>
      <c r="AE1992" s="76"/>
      <c r="AF1992" s="76"/>
      <c r="AG1992" s="76"/>
      <c r="AH1992" s="76"/>
      <c r="AI1992" s="76">
        <v>1</v>
      </c>
      <c r="AJ1992" s="76">
        <v>1</v>
      </c>
      <c r="AK1992" s="73"/>
      <c r="AL1992" s="57"/>
      <c r="AM1992" s="45"/>
      <c r="AN1992" s="45"/>
      <c r="AO1992" s="45"/>
    </row>
    <row r="1993" spans="1:41" hidden="1" outlineLevel="3" x14ac:dyDescent="0.25">
      <c r="A1993" s="45"/>
      <c r="B1993" s="54"/>
      <c r="C1993" s="47"/>
      <c r="D1993" s="73"/>
      <c r="E1993" s="70"/>
      <c r="F1993" s="70" t="s">
        <v>3652</v>
      </c>
      <c r="G1993" s="73"/>
      <c r="H1993" s="76"/>
      <c r="I1993" s="76"/>
      <c r="J1993" s="76"/>
      <c r="K1993" s="76"/>
      <c r="L1993" s="76"/>
      <c r="M1993" s="76"/>
      <c r="N1993" s="76"/>
      <c r="O1993" s="76"/>
      <c r="P1993" s="76"/>
      <c r="Q1993" s="76"/>
      <c r="R1993" s="76"/>
      <c r="S1993" s="76"/>
      <c r="T1993" s="76"/>
      <c r="U1993" s="76"/>
      <c r="V1993" s="76"/>
      <c r="W1993" s="76"/>
      <c r="X1993" s="76"/>
      <c r="Y1993" s="76"/>
      <c r="Z1993" s="76"/>
      <c r="AA1993" s="76"/>
      <c r="AB1993" s="76"/>
      <c r="AC1993" s="76"/>
      <c r="AD1993" s="76"/>
      <c r="AE1993" s="76"/>
      <c r="AF1993" s="76"/>
      <c r="AG1993" s="76"/>
      <c r="AH1993" s="76"/>
      <c r="AI1993" s="76">
        <v>1</v>
      </c>
      <c r="AJ1993" s="76">
        <v>1</v>
      </c>
      <c r="AK1993" s="73"/>
      <c r="AL1993" s="57"/>
      <c r="AM1993" s="45"/>
      <c r="AN1993" s="45"/>
      <c r="AO1993" s="45"/>
    </row>
    <row r="1994" spans="1:41" hidden="1" outlineLevel="3" x14ac:dyDescent="0.25">
      <c r="A1994" s="45"/>
      <c r="B1994" s="54"/>
      <c r="C1994" s="47"/>
      <c r="D1994" s="73"/>
      <c r="E1994" s="70"/>
      <c r="F1994" s="70" t="s">
        <v>3653</v>
      </c>
      <c r="G1994" s="73"/>
      <c r="H1994" s="76"/>
      <c r="I1994" s="76"/>
      <c r="J1994" s="76"/>
      <c r="K1994" s="76"/>
      <c r="L1994" s="76"/>
      <c r="M1994" s="76"/>
      <c r="N1994" s="76"/>
      <c r="O1994" s="76"/>
      <c r="P1994" s="76"/>
      <c r="Q1994" s="76"/>
      <c r="R1994" s="76"/>
      <c r="S1994" s="76"/>
      <c r="T1994" s="76"/>
      <c r="U1994" s="76"/>
      <c r="V1994" s="76"/>
      <c r="W1994" s="76"/>
      <c r="X1994" s="76"/>
      <c r="Y1994" s="76"/>
      <c r="Z1994" s="76"/>
      <c r="AA1994" s="76"/>
      <c r="AB1994" s="76"/>
      <c r="AC1994" s="76"/>
      <c r="AD1994" s="76"/>
      <c r="AE1994" s="76"/>
      <c r="AF1994" s="76"/>
      <c r="AG1994" s="76"/>
      <c r="AH1994" s="76"/>
      <c r="AI1994" s="76">
        <v>1</v>
      </c>
      <c r="AJ1994" s="76">
        <v>1</v>
      </c>
      <c r="AK1994" s="73"/>
      <c r="AL1994" s="57"/>
      <c r="AM1994" s="45"/>
      <c r="AN1994" s="45"/>
      <c r="AO1994" s="45"/>
    </row>
    <row r="1995" spans="1:41" hidden="1" outlineLevel="3" x14ac:dyDescent="0.25">
      <c r="A1995" s="45"/>
      <c r="B1995" s="54"/>
      <c r="C1995" s="47">
        <f t="shared" ref="C1995:C2006" si="689">INT($C$29)+3</f>
        <v>4</v>
      </c>
      <c r="D1995" s="73"/>
      <c r="E1995" s="70"/>
      <c r="F1995" s="70" t="str">
        <f>SUBSTITUTE(F1991,",4)",",8)")</f>
        <v>C(U6,16,8)</v>
      </c>
      <c r="G1995" s="73"/>
      <c r="H1995" s="76"/>
      <c r="I1995" s="96"/>
      <c r="J1995" s="76"/>
      <c r="K1995" s="76"/>
      <c r="L1995" s="76"/>
      <c r="M1995" s="76"/>
      <c r="N1995" s="76"/>
      <c r="O1995" s="76"/>
      <c r="P1995" s="76"/>
      <c r="Q1995" s="76"/>
      <c r="R1995" s="76"/>
      <c r="S1995" s="76"/>
      <c r="T1995" s="76"/>
      <c r="U1995" s="76"/>
      <c r="V1995" s="76"/>
      <c r="W1995" s="76"/>
      <c r="X1995" s="76"/>
      <c r="Y1995" s="76"/>
      <c r="Z1995" s="76"/>
      <c r="AA1995" s="76"/>
      <c r="AB1995" s="76"/>
      <c r="AC1995" s="76"/>
      <c r="AD1995" s="76"/>
      <c r="AE1995" s="76"/>
      <c r="AF1995" s="76"/>
      <c r="AG1995" s="76"/>
      <c r="AH1995" s="76"/>
      <c r="AI1995" s="76">
        <v>1</v>
      </c>
      <c r="AJ1995" s="76">
        <v>1</v>
      </c>
      <c r="AK1995" s="73"/>
      <c r="AL1995" s="57"/>
      <c r="AM1995" s="45"/>
      <c r="AN1995" s="45"/>
      <c r="AO1995" s="45"/>
    </row>
    <row r="1996" spans="1:41" hidden="1" outlineLevel="3" x14ac:dyDescent="0.25">
      <c r="A1996" s="45"/>
      <c r="B1996" s="54"/>
      <c r="C1996" s="47">
        <f t="shared" si="689"/>
        <v>4</v>
      </c>
      <c r="D1996" s="73"/>
      <c r="E1996" s="70"/>
      <c r="F1996" s="70" t="str">
        <f>SUBSTITUTE(F1992,",5)",",9)")</f>
        <v>C(U6,16,9)</v>
      </c>
      <c r="G1996" s="73"/>
      <c r="H1996" s="76"/>
      <c r="I1996" s="96"/>
      <c r="J1996" s="76"/>
      <c r="K1996" s="76"/>
      <c r="L1996" s="76"/>
      <c r="M1996" s="76"/>
      <c r="N1996" s="76"/>
      <c r="O1996" s="76"/>
      <c r="P1996" s="76"/>
      <c r="Q1996" s="76"/>
      <c r="R1996" s="76"/>
      <c r="S1996" s="76"/>
      <c r="T1996" s="76"/>
      <c r="U1996" s="76"/>
      <c r="V1996" s="76"/>
      <c r="W1996" s="76"/>
      <c r="X1996" s="76"/>
      <c r="Y1996" s="76"/>
      <c r="Z1996" s="76"/>
      <c r="AA1996" s="76"/>
      <c r="AB1996" s="76"/>
      <c r="AC1996" s="76"/>
      <c r="AD1996" s="76"/>
      <c r="AE1996" s="76"/>
      <c r="AF1996" s="76"/>
      <c r="AG1996" s="76"/>
      <c r="AH1996" s="76"/>
      <c r="AI1996" s="76">
        <v>1</v>
      </c>
      <c r="AJ1996" s="76">
        <v>1</v>
      </c>
      <c r="AK1996" s="73"/>
      <c r="AL1996" s="57"/>
      <c r="AM1996" s="45"/>
      <c r="AN1996" s="45"/>
      <c r="AO1996" s="45"/>
    </row>
    <row r="1997" spans="1:41" hidden="1" outlineLevel="3" x14ac:dyDescent="0.25">
      <c r="A1997" s="45"/>
      <c r="B1997" s="54"/>
      <c r="C1997" s="47">
        <f t="shared" si="689"/>
        <v>4</v>
      </c>
      <c r="D1997" s="73"/>
      <c r="E1997" s="70"/>
      <c r="F1997" s="70" t="str">
        <f>SUBSTITUTE(F1993,",6)",",10)")</f>
        <v>C(U6,16,10)</v>
      </c>
      <c r="G1997" s="73"/>
      <c r="H1997" s="76"/>
      <c r="I1997" s="96"/>
      <c r="J1997" s="76"/>
      <c r="K1997" s="76"/>
      <c r="L1997" s="76"/>
      <c r="M1997" s="76"/>
      <c r="N1997" s="76"/>
      <c r="O1997" s="76"/>
      <c r="P1997" s="76"/>
      <c r="Q1997" s="76"/>
      <c r="R1997" s="76"/>
      <c r="S1997" s="76"/>
      <c r="T1997" s="76"/>
      <c r="U1997" s="76"/>
      <c r="V1997" s="76"/>
      <c r="W1997" s="76"/>
      <c r="X1997" s="76"/>
      <c r="Y1997" s="76"/>
      <c r="Z1997" s="76"/>
      <c r="AA1997" s="76"/>
      <c r="AB1997" s="76"/>
      <c r="AC1997" s="76"/>
      <c r="AD1997" s="76"/>
      <c r="AE1997" s="76"/>
      <c r="AF1997" s="76"/>
      <c r="AG1997" s="76"/>
      <c r="AH1997" s="76"/>
      <c r="AI1997" s="76">
        <v>1</v>
      </c>
      <c r="AJ1997" s="76">
        <v>1</v>
      </c>
      <c r="AK1997" s="73"/>
      <c r="AL1997" s="57"/>
      <c r="AM1997" s="45"/>
      <c r="AN1997" s="45"/>
      <c r="AO1997" s="45"/>
    </row>
    <row r="1998" spans="1:41" hidden="1" outlineLevel="3" x14ac:dyDescent="0.25">
      <c r="A1998" s="45"/>
      <c r="B1998" s="54"/>
      <c r="C1998" s="47">
        <f t="shared" si="689"/>
        <v>4</v>
      </c>
      <c r="D1998" s="73"/>
      <c r="E1998" s="70"/>
      <c r="F1998" s="70" t="str">
        <f>SUBSTITUTE(F1994,",7)",",11)")</f>
        <v>C(U6,16,11)</v>
      </c>
      <c r="G1998" s="73"/>
      <c r="H1998" s="76"/>
      <c r="I1998" s="96"/>
      <c r="J1998" s="76"/>
      <c r="K1998" s="76"/>
      <c r="L1998" s="76"/>
      <c r="M1998" s="76"/>
      <c r="N1998" s="76"/>
      <c r="O1998" s="76"/>
      <c r="P1998" s="76"/>
      <c r="Q1998" s="76"/>
      <c r="R1998" s="76"/>
      <c r="S1998" s="76"/>
      <c r="T1998" s="76"/>
      <c r="U1998" s="76"/>
      <c r="V1998" s="76"/>
      <c r="W1998" s="76"/>
      <c r="X1998" s="76"/>
      <c r="Y1998" s="76"/>
      <c r="Z1998" s="76"/>
      <c r="AA1998" s="76"/>
      <c r="AB1998" s="76"/>
      <c r="AC1998" s="76"/>
      <c r="AD1998" s="76"/>
      <c r="AE1998" s="76"/>
      <c r="AF1998" s="76"/>
      <c r="AG1998" s="76"/>
      <c r="AH1998" s="76"/>
      <c r="AI1998" s="76">
        <v>1</v>
      </c>
      <c r="AJ1998" s="76">
        <v>1</v>
      </c>
      <c r="AK1998" s="73"/>
      <c r="AL1998" s="57"/>
      <c r="AM1998" s="45"/>
      <c r="AN1998" s="45"/>
      <c r="AO1998" s="45"/>
    </row>
    <row r="1999" spans="1:41" hidden="1" outlineLevel="3" x14ac:dyDescent="0.25">
      <c r="A1999" s="45"/>
      <c r="B1999" s="54"/>
      <c r="C1999" s="47">
        <f t="shared" si="689"/>
        <v>4</v>
      </c>
      <c r="D1999" s="73"/>
      <c r="E1999" s="70"/>
      <c r="F1999" s="70" t="str">
        <f>SUBSTITUTE(F1993,",6)",",12)")</f>
        <v>C(U6,16,12)</v>
      </c>
      <c r="G1999" s="73"/>
      <c r="H1999" s="76"/>
      <c r="I1999" s="96"/>
      <c r="J1999" s="76"/>
      <c r="K1999" s="76"/>
      <c r="L1999" s="76"/>
      <c r="M1999" s="76"/>
      <c r="N1999" s="76"/>
      <c r="O1999" s="76"/>
      <c r="P1999" s="76"/>
      <c r="Q1999" s="76"/>
      <c r="R1999" s="76"/>
      <c r="S1999" s="76"/>
      <c r="T1999" s="76"/>
      <c r="U1999" s="76"/>
      <c r="V1999" s="76"/>
      <c r="W1999" s="76"/>
      <c r="X1999" s="76"/>
      <c r="Y1999" s="76"/>
      <c r="Z1999" s="76"/>
      <c r="AA1999" s="76"/>
      <c r="AB1999" s="76"/>
      <c r="AC1999" s="76"/>
      <c r="AD1999" s="76"/>
      <c r="AE1999" s="76"/>
      <c r="AF1999" s="76"/>
      <c r="AG1999" s="76"/>
      <c r="AH1999" s="76"/>
      <c r="AI1999" s="76">
        <v>1</v>
      </c>
      <c r="AJ1999" s="76">
        <v>1</v>
      </c>
      <c r="AK1999" s="73"/>
      <c r="AL1999" s="57"/>
      <c r="AM1999" s="45"/>
      <c r="AN1999" s="45"/>
      <c r="AO1999" s="45"/>
    </row>
    <row r="2000" spans="1:41" hidden="1" outlineLevel="3" x14ac:dyDescent="0.25">
      <c r="A2000" s="45"/>
      <c r="B2000" s="54"/>
      <c r="C2000" s="47">
        <f t="shared" si="689"/>
        <v>4</v>
      </c>
      <c r="D2000" s="73"/>
      <c r="E2000" s="70"/>
      <c r="F2000" s="70" t="str">
        <f>SUBSTITUTE(F1994,",7)",",13)")</f>
        <v>C(U6,16,13)</v>
      </c>
      <c r="G2000" s="73"/>
      <c r="H2000" s="76"/>
      <c r="I2000" s="96"/>
      <c r="J2000" s="76"/>
      <c r="K2000" s="76"/>
      <c r="L2000" s="76"/>
      <c r="M2000" s="76"/>
      <c r="N2000" s="76"/>
      <c r="O2000" s="76"/>
      <c r="P2000" s="76"/>
      <c r="Q2000" s="76"/>
      <c r="R2000" s="76"/>
      <c r="S2000" s="76"/>
      <c r="T2000" s="76"/>
      <c r="U2000" s="76"/>
      <c r="V2000" s="76"/>
      <c r="W2000" s="76"/>
      <c r="X2000" s="76"/>
      <c r="Y2000" s="76"/>
      <c r="Z2000" s="76"/>
      <c r="AA2000" s="76"/>
      <c r="AB2000" s="76"/>
      <c r="AC2000" s="76"/>
      <c r="AD2000" s="76"/>
      <c r="AE2000" s="76"/>
      <c r="AF2000" s="76"/>
      <c r="AG2000" s="76"/>
      <c r="AH2000" s="76"/>
      <c r="AI2000" s="76">
        <v>1</v>
      </c>
      <c r="AJ2000" s="76">
        <v>1</v>
      </c>
      <c r="AK2000" s="73"/>
      <c r="AL2000" s="57"/>
      <c r="AM2000" s="45"/>
      <c r="AN2000" s="45"/>
      <c r="AO2000" s="45"/>
    </row>
    <row r="2001" spans="1:41" hidden="1" outlineLevel="3" x14ac:dyDescent="0.25">
      <c r="A2001" s="45"/>
      <c r="B2001" s="54"/>
      <c r="C2001" s="47">
        <f t="shared" si="689"/>
        <v>4</v>
      </c>
      <c r="D2001" s="73"/>
      <c r="E2001" s="70"/>
      <c r="F2001" s="70" t="s">
        <v>3654</v>
      </c>
      <c r="G2001" s="73"/>
      <c r="H2001" s="76"/>
      <c r="I2001" s="76"/>
      <c r="J2001" s="76"/>
      <c r="K2001" s="76"/>
      <c r="L2001" s="76"/>
      <c r="M2001" s="76"/>
      <c r="N2001" s="76"/>
      <c r="O2001" s="76"/>
      <c r="P2001" s="76"/>
      <c r="Q2001" s="76"/>
      <c r="R2001" s="76"/>
      <c r="S2001" s="76"/>
      <c r="T2001" s="76"/>
      <c r="U2001" s="76"/>
      <c r="V2001" s="76"/>
      <c r="W2001" s="76"/>
      <c r="X2001" s="76"/>
      <c r="Y2001" s="76"/>
      <c r="Z2001" s="76"/>
      <c r="AA2001" s="76"/>
      <c r="AB2001" s="76"/>
      <c r="AC2001" s="76"/>
      <c r="AD2001" s="76"/>
      <c r="AE2001" s="76"/>
      <c r="AF2001" s="76"/>
      <c r="AG2001" s="76"/>
      <c r="AH2001" s="76"/>
      <c r="AI2001" s="76">
        <v>1</v>
      </c>
      <c r="AJ2001" s="76">
        <v>1</v>
      </c>
      <c r="AK2001" s="73"/>
      <c r="AL2001" s="57"/>
      <c r="AM2001" s="45"/>
      <c r="AN2001" s="45"/>
      <c r="AO2001" s="45"/>
    </row>
    <row r="2002" spans="1:41" hidden="1" outlineLevel="3" x14ac:dyDescent="0.25">
      <c r="A2002" s="45"/>
      <c r="B2002" s="54"/>
      <c r="C2002" s="47">
        <f t="shared" si="689"/>
        <v>4</v>
      </c>
      <c r="D2002" s="73"/>
      <c r="E2002" s="70"/>
      <c r="F2002" s="70" t="s">
        <v>3655</v>
      </c>
      <c r="G2002" s="73"/>
      <c r="H2002" s="76" t="s">
        <v>599</v>
      </c>
      <c r="I2002" s="76"/>
      <c r="J2002" s="76"/>
      <c r="K2002" s="76"/>
      <c r="L2002" s="76"/>
      <c r="M2002" s="76"/>
      <c r="N2002" s="76"/>
      <c r="O2002" s="76"/>
      <c r="P2002" s="76"/>
      <c r="Q2002" s="76"/>
      <c r="R2002" s="76"/>
      <c r="S2002" s="76"/>
      <c r="T2002" s="76"/>
      <c r="U2002" s="76"/>
      <c r="V2002" s="76"/>
      <c r="W2002" s="76"/>
      <c r="X2002" s="76"/>
      <c r="Y2002" s="76"/>
      <c r="Z2002" s="76"/>
      <c r="AA2002" s="76"/>
      <c r="AB2002" s="76"/>
      <c r="AC2002" s="76"/>
      <c r="AD2002" s="76"/>
      <c r="AE2002" s="76"/>
      <c r="AF2002" s="76"/>
      <c r="AG2002" s="76"/>
      <c r="AH2002" s="76"/>
      <c r="AI2002" s="76">
        <v>1</v>
      </c>
      <c r="AJ2002" s="76">
        <v>1</v>
      </c>
      <c r="AK2002" s="73"/>
      <c r="AL2002" s="57"/>
      <c r="AM2002" s="45"/>
      <c r="AN2002" s="45"/>
      <c r="AO2002" s="45"/>
    </row>
    <row r="2003" spans="1:41" hidden="1" outlineLevel="3" x14ac:dyDescent="0.25">
      <c r="A2003" s="45"/>
      <c r="B2003" s="54"/>
      <c r="C2003" s="47">
        <f t="shared" si="689"/>
        <v>4</v>
      </c>
      <c r="D2003" s="73"/>
      <c r="E2003" s="70"/>
      <c r="F2003" s="70" t="s">
        <v>3656</v>
      </c>
      <c r="G2003" s="73"/>
      <c r="H2003" s="76"/>
      <c r="I2003" s="76"/>
      <c r="J2003" s="76"/>
      <c r="K2003" s="76"/>
      <c r="L2003" s="76"/>
      <c r="M2003" s="76"/>
      <c r="N2003" s="76"/>
      <c r="O2003" s="76"/>
      <c r="P2003" s="76"/>
      <c r="Q2003" s="76"/>
      <c r="R2003" s="76"/>
      <c r="S2003" s="76"/>
      <c r="T2003" s="76"/>
      <c r="U2003" s="76"/>
      <c r="V2003" s="76"/>
      <c r="W2003" s="76"/>
      <c r="X2003" s="76"/>
      <c r="Y2003" s="76"/>
      <c r="Z2003" s="76"/>
      <c r="AA2003" s="76"/>
      <c r="AB2003" s="76"/>
      <c r="AC2003" s="76"/>
      <c r="AD2003" s="76"/>
      <c r="AE2003" s="76"/>
      <c r="AF2003" s="76"/>
      <c r="AG2003" s="76"/>
      <c r="AH2003" s="76"/>
      <c r="AI2003" s="76">
        <v>1</v>
      </c>
      <c r="AJ2003" s="76">
        <v>1</v>
      </c>
      <c r="AK2003" s="73"/>
      <c r="AL2003" s="57"/>
      <c r="AM2003" s="45"/>
      <c r="AN2003" s="45"/>
      <c r="AO2003" s="45"/>
    </row>
    <row r="2004" spans="1:41" hidden="1" outlineLevel="3" x14ac:dyDescent="0.25">
      <c r="A2004" s="45"/>
      <c r="B2004" s="54"/>
      <c r="C2004" s="47">
        <f t="shared" si="689"/>
        <v>4</v>
      </c>
      <c r="D2004" s="73"/>
      <c r="E2004" s="70"/>
      <c r="F2004" s="70" t="s">
        <v>3657</v>
      </c>
      <c r="G2004" s="73"/>
      <c r="H2004" s="76"/>
      <c r="I2004" s="76"/>
      <c r="J2004" s="76"/>
      <c r="K2004" s="76"/>
      <c r="L2004" s="76"/>
      <c r="M2004" s="76"/>
      <c r="N2004" s="76"/>
      <c r="O2004" s="76"/>
      <c r="P2004" s="76"/>
      <c r="Q2004" s="76"/>
      <c r="R2004" s="76"/>
      <c r="S2004" s="76"/>
      <c r="T2004" s="76"/>
      <c r="U2004" s="76"/>
      <c r="V2004" s="76"/>
      <c r="W2004" s="76"/>
      <c r="X2004" s="76"/>
      <c r="Y2004" s="76"/>
      <c r="Z2004" s="76"/>
      <c r="AA2004" s="76"/>
      <c r="AB2004" s="76"/>
      <c r="AC2004" s="76"/>
      <c r="AD2004" s="76"/>
      <c r="AE2004" s="76"/>
      <c r="AF2004" s="76"/>
      <c r="AG2004" s="76"/>
      <c r="AH2004" s="76"/>
      <c r="AI2004" s="76">
        <v>1</v>
      </c>
      <c r="AJ2004" s="76">
        <v>1</v>
      </c>
      <c r="AK2004" s="73"/>
      <c r="AL2004" s="57"/>
      <c r="AM2004" s="45"/>
      <c r="AN2004" s="45"/>
      <c r="AO2004" s="45"/>
    </row>
    <row r="2005" spans="1:41" hidden="1" outlineLevel="3" x14ac:dyDescent="0.25">
      <c r="A2005" s="45"/>
      <c r="B2005" s="54"/>
      <c r="C2005" s="47">
        <f t="shared" si="689"/>
        <v>4</v>
      </c>
      <c r="D2005" s="73"/>
      <c r="E2005" s="70"/>
      <c r="F2005" s="70" t="s">
        <v>3658</v>
      </c>
      <c r="G2005" s="73"/>
      <c r="H2005" s="76"/>
      <c r="I2005" s="76"/>
      <c r="J2005" s="76"/>
      <c r="K2005" s="76"/>
      <c r="L2005" s="76"/>
      <c r="M2005" s="76"/>
      <c r="N2005" s="76"/>
      <c r="O2005" s="76"/>
      <c r="P2005" s="76"/>
      <c r="Q2005" s="76"/>
      <c r="R2005" s="76"/>
      <c r="S2005" s="76"/>
      <c r="T2005" s="76"/>
      <c r="U2005" s="76"/>
      <c r="V2005" s="76"/>
      <c r="W2005" s="76"/>
      <c r="X2005" s="76"/>
      <c r="Y2005" s="76"/>
      <c r="Z2005" s="76"/>
      <c r="AA2005" s="76"/>
      <c r="AB2005" s="76"/>
      <c r="AC2005" s="76"/>
      <c r="AD2005" s="76"/>
      <c r="AE2005" s="76"/>
      <c r="AF2005" s="76"/>
      <c r="AG2005" s="76"/>
      <c r="AH2005" s="76"/>
      <c r="AI2005" s="76">
        <v>1</v>
      </c>
      <c r="AJ2005" s="76">
        <v>1</v>
      </c>
      <c r="AK2005" s="73"/>
      <c r="AL2005" s="57"/>
      <c r="AM2005" s="45"/>
      <c r="AN2005" s="45"/>
      <c r="AO2005" s="45"/>
    </row>
    <row r="2006" spans="1:41" hidden="1" outlineLevel="3" x14ac:dyDescent="0.25">
      <c r="A2006" s="45"/>
      <c r="B2006" s="54"/>
      <c r="C2006" s="47">
        <f t="shared" si="689"/>
        <v>4</v>
      </c>
      <c r="D2006" s="73"/>
      <c r="E2006" s="70"/>
      <c r="F2006" s="70" t="s">
        <v>3659</v>
      </c>
      <c r="G2006" s="73"/>
      <c r="H2006" s="76"/>
      <c r="I2006" s="76"/>
      <c r="J2006" s="76"/>
      <c r="K2006" s="76"/>
      <c r="L2006" s="76"/>
      <c r="M2006" s="76"/>
      <c r="N2006" s="76"/>
      <c r="O2006" s="76"/>
      <c r="P2006" s="76"/>
      <c r="Q2006" s="76"/>
      <c r="R2006" s="76"/>
      <c r="S2006" s="76"/>
      <c r="T2006" s="76"/>
      <c r="U2006" s="76"/>
      <c r="V2006" s="76"/>
      <c r="W2006" s="76"/>
      <c r="X2006" s="76"/>
      <c r="Y2006" s="76"/>
      <c r="Z2006" s="76"/>
      <c r="AA2006" s="76"/>
      <c r="AB2006" s="76"/>
      <c r="AC2006" s="76"/>
      <c r="AD2006" s="76"/>
      <c r="AE2006" s="76"/>
      <c r="AF2006" s="76"/>
      <c r="AG2006" s="76"/>
      <c r="AH2006" s="76"/>
      <c r="AI2006" s="76">
        <v>1</v>
      </c>
      <c r="AJ2006" s="76">
        <v>1</v>
      </c>
      <c r="AK2006" s="73"/>
      <c r="AL2006" s="57"/>
      <c r="AM2006" s="45"/>
      <c r="AN2006" s="45"/>
      <c r="AO2006" s="45"/>
    </row>
    <row r="2007" spans="1:41" hidden="1" outlineLevel="3" x14ac:dyDescent="0.25">
      <c r="A2007" s="45"/>
      <c r="B2007" s="54"/>
      <c r="C2007" s="47"/>
      <c r="D2007" s="73"/>
      <c r="E2007" s="70"/>
      <c r="F2007" s="70" t="s">
        <v>3660</v>
      </c>
      <c r="G2007" s="73"/>
      <c r="H2007" s="76"/>
      <c r="I2007" s="76"/>
      <c r="J2007" s="76"/>
      <c r="K2007" s="76"/>
      <c r="L2007" s="76"/>
      <c r="M2007" s="76"/>
      <c r="N2007" s="76"/>
      <c r="O2007" s="76"/>
      <c r="P2007" s="76"/>
      <c r="Q2007" s="76"/>
      <c r="R2007" s="76"/>
      <c r="S2007" s="76"/>
      <c r="T2007" s="76"/>
      <c r="U2007" s="76"/>
      <c r="V2007" s="76"/>
      <c r="W2007" s="76"/>
      <c r="X2007" s="76"/>
      <c r="Y2007" s="76"/>
      <c r="Z2007" s="76"/>
      <c r="AA2007" s="76"/>
      <c r="AB2007" s="76"/>
      <c r="AC2007" s="76"/>
      <c r="AD2007" s="76"/>
      <c r="AE2007" s="76"/>
      <c r="AF2007" s="76"/>
      <c r="AG2007" s="76"/>
      <c r="AH2007" s="76"/>
      <c r="AI2007" s="76">
        <v>1</v>
      </c>
      <c r="AJ2007" s="76">
        <v>1</v>
      </c>
      <c r="AK2007" s="73"/>
      <c r="AL2007" s="57"/>
      <c r="AM2007" s="45"/>
      <c r="AN2007" s="45"/>
      <c r="AO2007" s="45"/>
    </row>
    <row r="2008" spans="1:41" hidden="1" outlineLevel="3" x14ac:dyDescent="0.25">
      <c r="A2008" s="45"/>
      <c r="B2008" s="54"/>
      <c r="C2008" s="47"/>
      <c r="D2008" s="73"/>
      <c r="E2008" s="70"/>
      <c r="F2008" s="70" t="s">
        <v>3661</v>
      </c>
      <c r="G2008" s="73"/>
      <c r="H2008" s="76"/>
      <c r="I2008" s="76"/>
      <c r="J2008" s="76"/>
      <c r="K2008" s="76"/>
      <c r="L2008" s="76"/>
      <c r="M2008" s="76"/>
      <c r="N2008" s="76"/>
      <c r="O2008" s="76"/>
      <c r="P2008" s="76"/>
      <c r="Q2008" s="76"/>
      <c r="R2008" s="76"/>
      <c r="S2008" s="76"/>
      <c r="T2008" s="76"/>
      <c r="U2008" s="76"/>
      <c r="V2008" s="76"/>
      <c r="W2008" s="76"/>
      <c r="X2008" s="76"/>
      <c r="Y2008" s="76"/>
      <c r="Z2008" s="76"/>
      <c r="AA2008" s="76"/>
      <c r="AB2008" s="76"/>
      <c r="AC2008" s="76"/>
      <c r="AD2008" s="76"/>
      <c r="AE2008" s="76"/>
      <c r="AF2008" s="76"/>
      <c r="AG2008" s="76"/>
      <c r="AH2008" s="76"/>
      <c r="AI2008" s="76">
        <v>1</v>
      </c>
      <c r="AJ2008" s="76">
        <v>1</v>
      </c>
      <c r="AK2008" s="73"/>
      <c r="AL2008" s="57"/>
      <c r="AM2008" s="45"/>
      <c r="AN2008" s="45"/>
      <c r="AO2008" s="45"/>
    </row>
    <row r="2009" spans="1:41" hidden="1" outlineLevel="3" x14ac:dyDescent="0.25">
      <c r="A2009" s="45"/>
      <c r="B2009" s="54"/>
      <c r="C2009" s="47"/>
      <c r="D2009" s="73"/>
      <c r="E2009" s="70"/>
      <c r="F2009" s="70" t="s">
        <v>3662</v>
      </c>
      <c r="G2009" s="73"/>
      <c r="H2009" s="76"/>
      <c r="I2009" s="76"/>
      <c r="J2009" s="76"/>
      <c r="K2009" s="76"/>
      <c r="L2009" s="76"/>
      <c r="M2009" s="76"/>
      <c r="N2009" s="76"/>
      <c r="O2009" s="76"/>
      <c r="P2009" s="76"/>
      <c r="Q2009" s="76"/>
      <c r="R2009" s="76"/>
      <c r="S2009" s="76"/>
      <c r="T2009" s="76"/>
      <c r="U2009" s="76"/>
      <c r="V2009" s="76"/>
      <c r="W2009" s="76"/>
      <c r="X2009" s="76"/>
      <c r="Y2009" s="76"/>
      <c r="Z2009" s="76"/>
      <c r="AA2009" s="76"/>
      <c r="AB2009" s="76"/>
      <c r="AC2009" s="76"/>
      <c r="AD2009" s="76"/>
      <c r="AE2009" s="76"/>
      <c r="AF2009" s="76"/>
      <c r="AG2009" s="76"/>
      <c r="AH2009" s="76"/>
      <c r="AI2009" s="76">
        <v>1</v>
      </c>
      <c r="AJ2009" s="76">
        <v>1</v>
      </c>
      <c r="AK2009" s="73"/>
      <c r="AL2009" s="57"/>
      <c r="AM2009" s="45"/>
      <c r="AN2009" s="45"/>
      <c r="AO2009" s="45"/>
    </row>
    <row r="2010" spans="1:41" hidden="1" outlineLevel="3" x14ac:dyDescent="0.25">
      <c r="A2010" s="45"/>
      <c r="B2010" s="54"/>
      <c r="C2010" s="47">
        <f t="shared" ref="C2010:C2021" si="690">INT($C$29)+3</f>
        <v>4</v>
      </c>
      <c r="D2010" s="73"/>
      <c r="E2010" s="70"/>
      <c r="F2010" s="70" t="str">
        <f>SUBSTITUTE(F2006,",4)",",8)")</f>
        <v>C(U6,17,8)</v>
      </c>
      <c r="G2010" s="73"/>
      <c r="H2010" s="76"/>
      <c r="I2010" s="96"/>
      <c r="J2010" s="76"/>
      <c r="K2010" s="76"/>
      <c r="L2010" s="76"/>
      <c r="M2010" s="76"/>
      <c r="N2010" s="76"/>
      <c r="O2010" s="76"/>
      <c r="P2010" s="76"/>
      <c r="Q2010" s="76"/>
      <c r="R2010" s="76"/>
      <c r="S2010" s="76"/>
      <c r="T2010" s="76"/>
      <c r="U2010" s="76"/>
      <c r="V2010" s="76"/>
      <c r="W2010" s="76"/>
      <c r="X2010" s="76"/>
      <c r="Y2010" s="76"/>
      <c r="Z2010" s="76"/>
      <c r="AA2010" s="76"/>
      <c r="AB2010" s="76"/>
      <c r="AC2010" s="76"/>
      <c r="AD2010" s="76"/>
      <c r="AE2010" s="76"/>
      <c r="AF2010" s="76"/>
      <c r="AG2010" s="76"/>
      <c r="AH2010" s="76"/>
      <c r="AI2010" s="76">
        <v>1</v>
      </c>
      <c r="AJ2010" s="76">
        <v>1</v>
      </c>
      <c r="AK2010" s="73"/>
      <c r="AL2010" s="57"/>
      <c r="AM2010" s="45"/>
      <c r="AN2010" s="45"/>
      <c r="AO2010" s="45"/>
    </row>
    <row r="2011" spans="1:41" hidden="1" outlineLevel="3" x14ac:dyDescent="0.25">
      <c r="A2011" s="45"/>
      <c r="B2011" s="54"/>
      <c r="C2011" s="47">
        <f t="shared" si="690"/>
        <v>4</v>
      </c>
      <c r="D2011" s="73"/>
      <c r="E2011" s="70"/>
      <c r="F2011" s="70" t="str">
        <f>SUBSTITUTE(F2007,",5)",",9)")</f>
        <v>C(U6,17,9)</v>
      </c>
      <c r="G2011" s="73"/>
      <c r="H2011" s="76"/>
      <c r="I2011" s="96"/>
      <c r="J2011" s="76"/>
      <c r="K2011" s="76"/>
      <c r="L2011" s="76"/>
      <c r="M2011" s="76"/>
      <c r="N2011" s="76"/>
      <c r="O2011" s="76"/>
      <c r="P2011" s="76"/>
      <c r="Q2011" s="76"/>
      <c r="R2011" s="76"/>
      <c r="S2011" s="76"/>
      <c r="T2011" s="76"/>
      <c r="U2011" s="76"/>
      <c r="V2011" s="76"/>
      <c r="W2011" s="76"/>
      <c r="X2011" s="76"/>
      <c r="Y2011" s="76"/>
      <c r="Z2011" s="76"/>
      <c r="AA2011" s="76"/>
      <c r="AB2011" s="76"/>
      <c r="AC2011" s="76"/>
      <c r="AD2011" s="76"/>
      <c r="AE2011" s="76"/>
      <c r="AF2011" s="76"/>
      <c r="AG2011" s="76"/>
      <c r="AH2011" s="76"/>
      <c r="AI2011" s="76">
        <v>1</v>
      </c>
      <c r="AJ2011" s="76">
        <v>1</v>
      </c>
      <c r="AK2011" s="73"/>
      <c r="AL2011" s="57"/>
      <c r="AM2011" s="45"/>
      <c r="AN2011" s="45"/>
      <c r="AO2011" s="45"/>
    </row>
    <row r="2012" spans="1:41" hidden="1" outlineLevel="3" x14ac:dyDescent="0.25">
      <c r="A2012" s="45"/>
      <c r="B2012" s="54"/>
      <c r="C2012" s="47">
        <f t="shared" si="690"/>
        <v>4</v>
      </c>
      <c r="D2012" s="73"/>
      <c r="E2012" s="70"/>
      <c r="F2012" s="70" t="str">
        <f>SUBSTITUTE(F2008,",6)",",10)")</f>
        <v>C(U6,17,10)</v>
      </c>
      <c r="G2012" s="73"/>
      <c r="H2012" s="76"/>
      <c r="I2012" s="96"/>
      <c r="J2012" s="76"/>
      <c r="K2012" s="76"/>
      <c r="L2012" s="76"/>
      <c r="M2012" s="76"/>
      <c r="N2012" s="76"/>
      <c r="O2012" s="76"/>
      <c r="P2012" s="76"/>
      <c r="Q2012" s="76"/>
      <c r="R2012" s="76"/>
      <c r="S2012" s="76"/>
      <c r="T2012" s="76"/>
      <c r="U2012" s="76"/>
      <c r="V2012" s="76"/>
      <c r="W2012" s="76"/>
      <c r="X2012" s="76"/>
      <c r="Y2012" s="76"/>
      <c r="Z2012" s="76"/>
      <c r="AA2012" s="76"/>
      <c r="AB2012" s="76"/>
      <c r="AC2012" s="76"/>
      <c r="AD2012" s="76"/>
      <c r="AE2012" s="76"/>
      <c r="AF2012" s="76"/>
      <c r="AG2012" s="76"/>
      <c r="AH2012" s="76"/>
      <c r="AI2012" s="76">
        <v>1</v>
      </c>
      <c r="AJ2012" s="76">
        <v>1</v>
      </c>
      <c r="AK2012" s="73"/>
      <c r="AL2012" s="57"/>
      <c r="AM2012" s="45"/>
      <c r="AN2012" s="45"/>
      <c r="AO2012" s="45"/>
    </row>
    <row r="2013" spans="1:41" hidden="1" outlineLevel="3" x14ac:dyDescent="0.25">
      <c r="A2013" s="45"/>
      <c r="B2013" s="54"/>
      <c r="C2013" s="47">
        <f t="shared" si="690"/>
        <v>4</v>
      </c>
      <c r="D2013" s="73"/>
      <c r="E2013" s="70"/>
      <c r="F2013" s="70" t="str">
        <f>SUBSTITUTE(F2009,",7)",",11)")</f>
        <v>C(U6,17,11)</v>
      </c>
      <c r="G2013" s="73"/>
      <c r="H2013" s="76"/>
      <c r="I2013" s="96"/>
      <c r="J2013" s="76"/>
      <c r="K2013" s="76"/>
      <c r="L2013" s="76"/>
      <c r="M2013" s="76"/>
      <c r="N2013" s="76"/>
      <c r="O2013" s="76"/>
      <c r="P2013" s="76"/>
      <c r="Q2013" s="76"/>
      <c r="R2013" s="76"/>
      <c r="S2013" s="76"/>
      <c r="T2013" s="76"/>
      <c r="U2013" s="76"/>
      <c r="V2013" s="76"/>
      <c r="W2013" s="76"/>
      <c r="X2013" s="76"/>
      <c r="Y2013" s="76"/>
      <c r="Z2013" s="76"/>
      <c r="AA2013" s="76"/>
      <c r="AB2013" s="76"/>
      <c r="AC2013" s="76"/>
      <c r="AD2013" s="76"/>
      <c r="AE2013" s="76"/>
      <c r="AF2013" s="76"/>
      <c r="AG2013" s="76"/>
      <c r="AH2013" s="76"/>
      <c r="AI2013" s="76">
        <v>1</v>
      </c>
      <c r="AJ2013" s="76">
        <v>1</v>
      </c>
      <c r="AK2013" s="73"/>
      <c r="AL2013" s="57"/>
      <c r="AM2013" s="45"/>
      <c r="AN2013" s="45"/>
      <c r="AO2013" s="45"/>
    </row>
    <row r="2014" spans="1:41" hidden="1" outlineLevel="3" x14ac:dyDescent="0.25">
      <c r="A2014" s="45"/>
      <c r="B2014" s="54"/>
      <c r="C2014" s="47">
        <f t="shared" si="690"/>
        <v>4</v>
      </c>
      <c r="D2014" s="73"/>
      <c r="E2014" s="70"/>
      <c r="F2014" s="70" t="str">
        <f>SUBSTITUTE(F2008,",6)",",12)")</f>
        <v>C(U6,17,12)</v>
      </c>
      <c r="G2014" s="73"/>
      <c r="H2014" s="76"/>
      <c r="I2014" s="96"/>
      <c r="J2014" s="76"/>
      <c r="K2014" s="76"/>
      <c r="L2014" s="76"/>
      <c r="M2014" s="76"/>
      <c r="N2014" s="76"/>
      <c r="O2014" s="76"/>
      <c r="P2014" s="76"/>
      <c r="Q2014" s="76"/>
      <c r="R2014" s="76"/>
      <c r="S2014" s="76"/>
      <c r="T2014" s="76"/>
      <c r="U2014" s="76"/>
      <c r="V2014" s="76"/>
      <c r="W2014" s="76"/>
      <c r="X2014" s="76"/>
      <c r="Y2014" s="76"/>
      <c r="Z2014" s="76"/>
      <c r="AA2014" s="76"/>
      <c r="AB2014" s="76"/>
      <c r="AC2014" s="76"/>
      <c r="AD2014" s="76"/>
      <c r="AE2014" s="76"/>
      <c r="AF2014" s="76"/>
      <c r="AG2014" s="76"/>
      <c r="AH2014" s="76"/>
      <c r="AI2014" s="76">
        <v>1</v>
      </c>
      <c r="AJ2014" s="76">
        <v>1</v>
      </c>
      <c r="AK2014" s="73"/>
      <c r="AL2014" s="57"/>
      <c r="AM2014" s="45"/>
      <c r="AN2014" s="45"/>
      <c r="AO2014" s="45"/>
    </row>
    <row r="2015" spans="1:41" hidden="1" outlineLevel="3" x14ac:dyDescent="0.25">
      <c r="A2015" s="45"/>
      <c r="B2015" s="54"/>
      <c r="C2015" s="47">
        <f t="shared" si="690"/>
        <v>4</v>
      </c>
      <c r="D2015" s="73"/>
      <c r="E2015" s="70"/>
      <c r="F2015" s="70" t="str">
        <f>SUBSTITUTE(F2009,",7)",",13)")</f>
        <v>C(U6,17,13)</v>
      </c>
      <c r="G2015" s="73"/>
      <c r="H2015" s="76"/>
      <c r="I2015" s="96"/>
      <c r="J2015" s="76"/>
      <c r="K2015" s="76"/>
      <c r="L2015" s="76"/>
      <c r="M2015" s="76"/>
      <c r="N2015" s="76"/>
      <c r="O2015" s="76"/>
      <c r="P2015" s="76"/>
      <c r="Q2015" s="76"/>
      <c r="R2015" s="76"/>
      <c r="S2015" s="76"/>
      <c r="T2015" s="76"/>
      <c r="U2015" s="76"/>
      <c r="V2015" s="76"/>
      <c r="W2015" s="76"/>
      <c r="X2015" s="76"/>
      <c r="Y2015" s="76"/>
      <c r="Z2015" s="76"/>
      <c r="AA2015" s="76"/>
      <c r="AB2015" s="76"/>
      <c r="AC2015" s="76"/>
      <c r="AD2015" s="76"/>
      <c r="AE2015" s="76"/>
      <c r="AF2015" s="76"/>
      <c r="AG2015" s="76"/>
      <c r="AH2015" s="76"/>
      <c r="AI2015" s="76">
        <v>1</v>
      </c>
      <c r="AJ2015" s="76">
        <v>1</v>
      </c>
      <c r="AK2015" s="73"/>
      <c r="AL2015" s="57"/>
      <c r="AM2015" s="45"/>
      <c r="AN2015" s="45"/>
      <c r="AO2015" s="45"/>
    </row>
    <row r="2016" spans="1:41" hidden="1" outlineLevel="3" x14ac:dyDescent="0.25">
      <c r="A2016" s="45"/>
      <c r="B2016" s="54"/>
      <c r="C2016" s="47">
        <f t="shared" si="690"/>
        <v>4</v>
      </c>
      <c r="D2016" s="73"/>
      <c r="E2016" s="70"/>
      <c r="F2016" s="70" t="s">
        <v>3663</v>
      </c>
      <c r="G2016" s="73"/>
      <c r="H2016" s="76"/>
      <c r="I2016" s="76"/>
      <c r="J2016" s="76"/>
      <c r="K2016" s="76"/>
      <c r="L2016" s="76"/>
      <c r="M2016" s="76"/>
      <c r="N2016" s="76"/>
      <c r="O2016" s="76"/>
      <c r="P2016" s="76"/>
      <c r="Q2016" s="76"/>
      <c r="R2016" s="76"/>
      <c r="S2016" s="76"/>
      <c r="T2016" s="76"/>
      <c r="U2016" s="76"/>
      <c r="V2016" s="76"/>
      <c r="W2016" s="76"/>
      <c r="X2016" s="76"/>
      <c r="Y2016" s="76"/>
      <c r="Z2016" s="76"/>
      <c r="AA2016" s="76"/>
      <c r="AB2016" s="76"/>
      <c r="AC2016" s="76"/>
      <c r="AD2016" s="76"/>
      <c r="AE2016" s="76"/>
      <c r="AF2016" s="76"/>
      <c r="AG2016" s="76"/>
      <c r="AH2016" s="76"/>
      <c r="AI2016" s="76">
        <v>1</v>
      </c>
      <c r="AJ2016" s="76">
        <v>1</v>
      </c>
      <c r="AK2016" s="73"/>
      <c r="AL2016" s="57"/>
      <c r="AM2016" s="45"/>
      <c r="AN2016" s="45"/>
      <c r="AO2016" s="45"/>
    </row>
    <row r="2017" spans="1:41" hidden="1" outlineLevel="3" x14ac:dyDescent="0.25">
      <c r="A2017" s="45"/>
      <c r="B2017" s="54"/>
      <c r="C2017" s="47">
        <f t="shared" si="690"/>
        <v>4</v>
      </c>
      <c r="D2017" s="73"/>
      <c r="E2017" s="70"/>
      <c r="F2017" s="70" t="s">
        <v>3664</v>
      </c>
      <c r="G2017" s="73"/>
      <c r="H2017" s="76" t="s">
        <v>599</v>
      </c>
      <c r="I2017" s="76"/>
      <c r="J2017" s="76"/>
      <c r="K2017" s="76"/>
      <c r="L2017" s="76"/>
      <c r="M2017" s="76"/>
      <c r="N2017" s="76"/>
      <c r="O2017" s="76"/>
      <c r="P2017" s="76"/>
      <c r="Q2017" s="76"/>
      <c r="R2017" s="76"/>
      <c r="S2017" s="76"/>
      <c r="T2017" s="76"/>
      <c r="U2017" s="76"/>
      <c r="V2017" s="76"/>
      <c r="W2017" s="76"/>
      <c r="X2017" s="76"/>
      <c r="Y2017" s="76"/>
      <c r="Z2017" s="76"/>
      <c r="AA2017" s="76"/>
      <c r="AB2017" s="76"/>
      <c r="AC2017" s="76"/>
      <c r="AD2017" s="76"/>
      <c r="AE2017" s="76"/>
      <c r="AF2017" s="76"/>
      <c r="AG2017" s="76"/>
      <c r="AH2017" s="76"/>
      <c r="AI2017" s="76">
        <v>1</v>
      </c>
      <c r="AJ2017" s="76">
        <v>1</v>
      </c>
      <c r="AK2017" s="73"/>
      <c r="AL2017" s="57"/>
      <c r="AM2017" s="45"/>
      <c r="AN2017" s="45"/>
      <c r="AO2017" s="45"/>
    </row>
    <row r="2018" spans="1:41" hidden="1" outlineLevel="3" x14ac:dyDescent="0.25">
      <c r="A2018" s="45"/>
      <c r="B2018" s="54"/>
      <c r="C2018" s="47">
        <f t="shared" si="690"/>
        <v>4</v>
      </c>
      <c r="D2018" s="73"/>
      <c r="E2018" s="70"/>
      <c r="F2018" s="70" t="s">
        <v>3665</v>
      </c>
      <c r="G2018" s="73"/>
      <c r="H2018" s="76"/>
      <c r="I2018" s="76"/>
      <c r="J2018" s="76"/>
      <c r="K2018" s="76"/>
      <c r="L2018" s="76"/>
      <c r="M2018" s="76"/>
      <c r="N2018" s="76"/>
      <c r="O2018" s="76"/>
      <c r="P2018" s="76"/>
      <c r="Q2018" s="76"/>
      <c r="R2018" s="76"/>
      <c r="S2018" s="76"/>
      <c r="T2018" s="76"/>
      <c r="U2018" s="76"/>
      <c r="V2018" s="76"/>
      <c r="W2018" s="76"/>
      <c r="X2018" s="76"/>
      <c r="Y2018" s="76"/>
      <c r="Z2018" s="76"/>
      <c r="AA2018" s="76"/>
      <c r="AB2018" s="76"/>
      <c r="AC2018" s="76"/>
      <c r="AD2018" s="76"/>
      <c r="AE2018" s="76"/>
      <c r="AF2018" s="76"/>
      <c r="AG2018" s="76"/>
      <c r="AH2018" s="76"/>
      <c r="AI2018" s="76">
        <v>1</v>
      </c>
      <c r="AJ2018" s="76">
        <v>1</v>
      </c>
      <c r="AK2018" s="73"/>
      <c r="AL2018" s="57"/>
      <c r="AM2018" s="45"/>
      <c r="AN2018" s="45"/>
      <c r="AO2018" s="45"/>
    </row>
    <row r="2019" spans="1:41" hidden="1" outlineLevel="3" x14ac:dyDescent="0.25">
      <c r="A2019" s="45"/>
      <c r="B2019" s="54"/>
      <c r="C2019" s="47">
        <f t="shared" si="690"/>
        <v>4</v>
      </c>
      <c r="D2019" s="73"/>
      <c r="E2019" s="70"/>
      <c r="F2019" s="70" t="s">
        <v>3666</v>
      </c>
      <c r="G2019" s="73"/>
      <c r="H2019" s="76"/>
      <c r="I2019" s="76"/>
      <c r="J2019" s="76"/>
      <c r="K2019" s="76"/>
      <c r="L2019" s="76"/>
      <c r="M2019" s="76"/>
      <c r="N2019" s="76"/>
      <c r="O2019" s="76"/>
      <c r="P2019" s="76"/>
      <c r="Q2019" s="76"/>
      <c r="R2019" s="76"/>
      <c r="S2019" s="76"/>
      <c r="T2019" s="76"/>
      <c r="U2019" s="76"/>
      <c r="V2019" s="76"/>
      <c r="W2019" s="76"/>
      <c r="X2019" s="76"/>
      <c r="Y2019" s="76"/>
      <c r="Z2019" s="76"/>
      <c r="AA2019" s="76"/>
      <c r="AB2019" s="76"/>
      <c r="AC2019" s="76"/>
      <c r="AD2019" s="76"/>
      <c r="AE2019" s="76"/>
      <c r="AF2019" s="76"/>
      <c r="AG2019" s="76"/>
      <c r="AH2019" s="76"/>
      <c r="AI2019" s="76">
        <v>1</v>
      </c>
      <c r="AJ2019" s="76">
        <v>1</v>
      </c>
      <c r="AK2019" s="73"/>
      <c r="AL2019" s="57"/>
      <c r="AM2019" s="45"/>
      <c r="AN2019" s="45"/>
      <c r="AO2019" s="45"/>
    </row>
    <row r="2020" spans="1:41" hidden="1" outlineLevel="3" x14ac:dyDescent="0.25">
      <c r="A2020" s="45"/>
      <c r="B2020" s="54"/>
      <c r="C2020" s="47">
        <f t="shared" si="690"/>
        <v>4</v>
      </c>
      <c r="D2020" s="73"/>
      <c r="E2020" s="70"/>
      <c r="F2020" s="70" t="s">
        <v>3667</v>
      </c>
      <c r="G2020" s="73"/>
      <c r="H2020" s="76"/>
      <c r="I2020" s="76"/>
      <c r="J2020" s="76"/>
      <c r="K2020" s="76"/>
      <c r="L2020" s="76"/>
      <c r="M2020" s="76"/>
      <c r="N2020" s="76"/>
      <c r="O2020" s="76"/>
      <c r="P2020" s="76"/>
      <c r="Q2020" s="76"/>
      <c r="R2020" s="76"/>
      <c r="S2020" s="76"/>
      <c r="T2020" s="76"/>
      <c r="U2020" s="76"/>
      <c r="V2020" s="76"/>
      <c r="W2020" s="76"/>
      <c r="X2020" s="76"/>
      <c r="Y2020" s="76"/>
      <c r="Z2020" s="76"/>
      <c r="AA2020" s="76"/>
      <c r="AB2020" s="76"/>
      <c r="AC2020" s="76"/>
      <c r="AD2020" s="76"/>
      <c r="AE2020" s="76"/>
      <c r="AF2020" s="76"/>
      <c r="AG2020" s="76"/>
      <c r="AH2020" s="76"/>
      <c r="AI2020" s="76">
        <v>1</v>
      </c>
      <c r="AJ2020" s="76">
        <v>1</v>
      </c>
      <c r="AK2020" s="73"/>
      <c r="AL2020" s="57"/>
      <c r="AM2020" s="45"/>
      <c r="AN2020" s="45"/>
      <c r="AO2020" s="45"/>
    </row>
    <row r="2021" spans="1:41" hidden="1" outlineLevel="3" x14ac:dyDescent="0.25">
      <c r="A2021" s="45"/>
      <c r="B2021" s="54"/>
      <c r="C2021" s="47">
        <f t="shared" si="690"/>
        <v>4</v>
      </c>
      <c r="D2021" s="73"/>
      <c r="E2021" s="70"/>
      <c r="F2021" s="70" t="s">
        <v>3668</v>
      </c>
      <c r="G2021" s="73"/>
      <c r="H2021" s="76"/>
      <c r="I2021" s="76"/>
      <c r="J2021" s="76"/>
      <c r="K2021" s="76"/>
      <c r="L2021" s="76"/>
      <c r="M2021" s="76"/>
      <c r="N2021" s="76"/>
      <c r="O2021" s="76"/>
      <c r="P2021" s="76"/>
      <c r="Q2021" s="76"/>
      <c r="R2021" s="76"/>
      <c r="S2021" s="76"/>
      <c r="T2021" s="76"/>
      <c r="U2021" s="76"/>
      <c r="V2021" s="76"/>
      <c r="W2021" s="76"/>
      <c r="X2021" s="76"/>
      <c r="Y2021" s="76"/>
      <c r="Z2021" s="76"/>
      <c r="AA2021" s="76"/>
      <c r="AB2021" s="76"/>
      <c r="AC2021" s="76"/>
      <c r="AD2021" s="76"/>
      <c r="AE2021" s="76"/>
      <c r="AF2021" s="76"/>
      <c r="AG2021" s="76"/>
      <c r="AH2021" s="76"/>
      <c r="AI2021" s="76">
        <v>1</v>
      </c>
      <c r="AJ2021" s="76">
        <v>1</v>
      </c>
      <c r="AK2021" s="73"/>
      <c r="AL2021" s="57"/>
      <c r="AM2021" s="45"/>
      <c r="AN2021" s="45"/>
      <c r="AO2021" s="45"/>
    </row>
    <row r="2022" spans="1:41" hidden="1" outlineLevel="3" x14ac:dyDescent="0.25">
      <c r="A2022" s="45"/>
      <c r="B2022" s="54"/>
      <c r="C2022" s="47"/>
      <c r="D2022" s="73"/>
      <c r="E2022" s="70"/>
      <c r="F2022" s="70" t="s">
        <v>3669</v>
      </c>
      <c r="G2022" s="73"/>
      <c r="H2022" s="76"/>
      <c r="I2022" s="76"/>
      <c r="J2022" s="76"/>
      <c r="K2022" s="76"/>
      <c r="L2022" s="76"/>
      <c r="M2022" s="76"/>
      <c r="N2022" s="76"/>
      <c r="O2022" s="76"/>
      <c r="P2022" s="76"/>
      <c r="Q2022" s="76"/>
      <c r="R2022" s="76"/>
      <c r="S2022" s="76"/>
      <c r="T2022" s="76"/>
      <c r="U2022" s="76"/>
      <c r="V2022" s="76"/>
      <c r="W2022" s="76"/>
      <c r="X2022" s="76"/>
      <c r="Y2022" s="76"/>
      <c r="Z2022" s="76"/>
      <c r="AA2022" s="76"/>
      <c r="AB2022" s="76"/>
      <c r="AC2022" s="76"/>
      <c r="AD2022" s="76"/>
      <c r="AE2022" s="76"/>
      <c r="AF2022" s="76"/>
      <c r="AG2022" s="76"/>
      <c r="AH2022" s="76"/>
      <c r="AI2022" s="76">
        <v>1</v>
      </c>
      <c r="AJ2022" s="76">
        <v>1</v>
      </c>
      <c r="AK2022" s="73"/>
      <c r="AL2022" s="57"/>
      <c r="AM2022" s="45"/>
      <c r="AN2022" s="45"/>
      <c r="AO2022" s="45"/>
    </row>
    <row r="2023" spans="1:41" hidden="1" outlineLevel="3" x14ac:dyDescent="0.25">
      <c r="A2023" s="45"/>
      <c r="B2023" s="54"/>
      <c r="C2023" s="47"/>
      <c r="D2023" s="73"/>
      <c r="E2023" s="70"/>
      <c r="F2023" s="70" t="s">
        <v>3670</v>
      </c>
      <c r="G2023" s="73"/>
      <c r="H2023" s="76"/>
      <c r="I2023" s="76"/>
      <c r="J2023" s="76"/>
      <c r="K2023" s="76"/>
      <c r="L2023" s="76"/>
      <c r="M2023" s="76"/>
      <c r="N2023" s="76"/>
      <c r="O2023" s="76"/>
      <c r="P2023" s="76"/>
      <c r="Q2023" s="76"/>
      <c r="R2023" s="76"/>
      <c r="S2023" s="76"/>
      <c r="T2023" s="76"/>
      <c r="U2023" s="76"/>
      <c r="V2023" s="76"/>
      <c r="W2023" s="76"/>
      <c r="X2023" s="76"/>
      <c r="Y2023" s="76"/>
      <c r="Z2023" s="76"/>
      <c r="AA2023" s="76"/>
      <c r="AB2023" s="76"/>
      <c r="AC2023" s="76"/>
      <c r="AD2023" s="76"/>
      <c r="AE2023" s="76"/>
      <c r="AF2023" s="76"/>
      <c r="AG2023" s="76"/>
      <c r="AH2023" s="76"/>
      <c r="AI2023" s="76">
        <v>1</v>
      </c>
      <c r="AJ2023" s="76">
        <v>1</v>
      </c>
      <c r="AK2023" s="73"/>
      <c r="AL2023" s="57"/>
      <c r="AM2023" s="45"/>
      <c r="AN2023" s="45"/>
      <c r="AO2023" s="45"/>
    </row>
    <row r="2024" spans="1:41" hidden="1" outlineLevel="3" x14ac:dyDescent="0.25">
      <c r="A2024" s="45"/>
      <c r="B2024" s="54"/>
      <c r="C2024" s="47"/>
      <c r="D2024" s="73"/>
      <c r="E2024" s="70"/>
      <c r="F2024" s="70" t="s">
        <v>3671</v>
      </c>
      <c r="G2024" s="73"/>
      <c r="H2024" s="76"/>
      <c r="I2024" s="76"/>
      <c r="J2024" s="76"/>
      <c r="K2024" s="76"/>
      <c r="L2024" s="76"/>
      <c r="M2024" s="76"/>
      <c r="N2024" s="76"/>
      <c r="O2024" s="76"/>
      <c r="P2024" s="76"/>
      <c r="Q2024" s="76"/>
      <c r="R2024" s="76"/>
      <c r="S2024" s="76"/>
      <c r="T2024" s="76"/>
      <c r="U2024" s="76"/>
      <c r="V2024" s="76"/>
      <c r="W2024" s="76"/>
      <c r="X2024" s="76"/>
      <c r="Y2024" s="76"/>
      <c r="Z2024" s="76"/>
      <c r="AA2024" s="76"/>
      <c r="AB2024" s="76"/>
      <c r="AC2024" s="76"/>
      <c r="AD2024" s="76"/>
      <c r="AE2024" s="76"/>
      <c r="AF2024" s="76"/>
      <c r="AG2024" s="76"/>
      <c r="AH2024" s="76"/>
      <c r="AI2024" s="76">
        <v>1</v>
      </c>
      <c r="AJ2024" s="76">
        <v>1</v>
      </c>
      <c r="AK2024" s="73"/>
      <c r="AL2024" s="57"/>
      <c r="AM2024" s="45"/>
      <c r="AN2024" s="45"/>
      <c r="AO2024" s="45"/>
    </row>
    <row r="2025" spans="1:41" hidden="1" outlineLevel="3" x14ac:dyDescent="0.25">
      <c r="A2025" s="45"/>
      <c r="B2025" s="54"/>
      <c r="C2025" s="47">
        <f t="shared" ref="C2025:C2036" si="691">INT($C$29)+3</f>
        <v>4</v>
      </c>
      <c r="D2025" s="73"/>
      <c r="E2025" s="70"/>
      <c r="F2025" s="70" t="str">
        <f>SUBSTITUTE(F2021,",4)",",8)")</f>
        <v>C(U6,18,8)</v>
      </c>
      <c r="G2025" s="73"/>
      <c r="H2025" s="76"/>
      <c r="I2025" s="96"/>
      <c r="J2025" s="76"/>
      <c r="K2025" s="76"/>
      <c r="L2025" s="76"/>
      <c r="M2025" s="76"/>
      <c r="N2025" s="76"/>
      <c r="O2025" s="76"/>
      <c r="P2025" s="76"/>
      <c r="Q2025" s="76"/>
      <c r="R2025" s="76"/>
      <c r="S2025" s="76"/>
      <c r="T2025" s="76"/>
      <c r="U2025" s="76"/>
      <c r="V2025" s="76"/>
      <c r="W2025" s="76"/>
      <c r="X2025" s="76"/>
      <c r="Y2025" s="76"/>
      <c r="Z2025" s="76"/>
      <c r="AA2025" s="76"/>
      <c r="AB2025" s="76"/>
      <c r="AC2025" s="76"/>
      <c r="AD2025" s="76"/>
      <c r="AE2025" s="76"/>
      <c r="AF2025" s="76"/>
      <c r="AG2025" s="76"/>
      <c r="AH2025" s="76"/>
      <c r="AI2025" s="76">
        <v>1</v>
      </c>
      <c r="AJ2025" s="76">
        <v>1</v>
      </c>
      <c r="AK2025" s="73"/>
      <c r="AL2025" s="57"/>
      <c r="AM2025" s="45"/>
      <c r="AN2025" s="45"/>
      <c r="AO2025" s="45"/>
    </row>
    <row r="2026" spans="1:41" hidden="1" outlineLevel="3" x14ac:dyDescent="0.25">
      <c r="A2026" s="45"/>
      <c r="B2026" s="54"/>
      <c r="C2026" s="47">
        <f t="shared" si="691"/>
        <v>4</v>
      </c>
      <c r="D2026" s="73"/>
      <c r="E2026" s="70"/>
      <c r="F2026" s="70" t="str">
        <f>SUBSTITUTE(F2022,",5)",",9)")</f>
        <v>C(U6,18,9)</v>
      </c>
      <c r="G2026" s="73"/>
      <c r="H2026" s="76"/>
      <c r="I2026" s="96"/>
      <c r="J2026" s="76"/>
      <c r="K2026" s="76"/>
      <c r="L2026" s="76"/>
      <c r="M2026" s="76"/>
      <c r="N2026" s="76"/>
      <c r="O2026" s="76"/>
      <c r="P2026" s="76"/>
      <c r="Q2026" s="76"/>
      <c r="R2026" s="76"/>
      <c r="S2026" s="76"/>
      <c r="T2026" s="76"/>
      <c r="U2026" s="76"/>
      <c r="V2026" s="76"/>
      <c r="W2026" s="76"/>
      <c r="X2026" s="76"/>
      <c r="Y2026" s="76"/>
      <c r="Z2026" s="76"/>
      <c r="AA2026" s="76"/>
      <c r="AB2026" s="76"/>
      <c r="AC2026" s="76"/>
      <c r="AD2026" s="76"/>
      <c r="AE2026" s="76"/>
      <c r="AF2026" s="76"/>
      <c r="AG2026" s="76"/>
      <c r="AH2026" s="76"/>
      <c r="AI2026" s="76">
        <v>1</v>
      </c>
      <c r="AJ2026" s="76">
        <v>1</v>
      </c>
      <c r="AK2026" s="73"/>
      <c r="AL2026" s="57"/>
      <c r="AM2026" s="45"/>
      <c r="AN2026" s="45"/>
      <c r="AO2026" s="45"/>
    </row>
    <row r="2027" spans="1:41" hidden="1" outlineLevel="3" x14ac:dyDescent="0.25">
      <c r="A2027" s="45"/>
      <c r="B2027" s="54"/>
      <c r="C2027" s="47">
        <f t="shared" si="691"/>
        <v>4</v>
      </c>
      <c r="D2027" s="73"/>
      <c r="E2027" s="70"/>
      <c r="F2027" s="70" t="str">
        <f>SUBSTITUTE(F2023,",6)",",10)")</f>
        <v>C(U6,18,10)</v>
      </c>
      <c r="G2027" s="73"/>
      <c r="H2027" s="76"/>
      <c r="I2027" s="96"/>
      <c r="J2027" s="76"/>
      <c r="K2027" s="76"/>
      <c r="L2027" s="76"/>
      <c r="M2027" s="76"/>
      <c r="N2027" s="76"/>
      <c r="O2027" s="76"/>
      <c r="P2027" s="76"/>
      <c r="Q2027" s="76"/>
      <c r="R2027" s="76"/>
      <c r="S2027" s="76"/>
      <c r="T2027" s="76"/>
      <c r="U2027" s="76"/>
      <c r="V2027" s="76"/>
      <c r="W2027" s="76"/>
      <c r="X2027" s="76"/>
      <c r="Y2027" s="76"/>
      <c r="Z2027" s="76"/>
      <c r="AA2027" s="76"/>
      <c r="AB2027" s="76"/>
      <c r="AC2027" s="76"/>
      <c r="AD2027" s="76"/>
      <c r="AE2027" s="76"/>
      <c r="AF2027" s="76"/>
      <c r="AG2027" s="76"/>
      <c r="AH2027" s="76"/>
      <c r="AI2027" s="76">
        <v>1</v>
      </c>
      <c r="AJ2027" s="76">
        <v>1</v>
      </c>
      <c r="AK2027" s="73"/>
      <c r="AL2027" s="57"/>
      <c r="AM2027" s="45"/>
      <c r="AN2027" s="45"/>
      <c r="AO2027" s="45"/>
    </row>
    <row r="2028" spans="1:41" hidden="1" outlineLevel="3" x14ac:dyDescent="0.25">
      <c r="A2028" s="45"/>
      <c r="B2028" s="54"/>
      <c r="C2028" s="47">
        <f t="shared" si="691"/>
        <v>4</v>
      </c>
      <c r="D2028" s="73"/>
      <c r="E2028" s="70"/>
      <c r="F2028" s="70" t="str">
        <f>SUBSTITUTE(F2024,",7)",",11)")</f>
        <v>C(U6,18,11)</v>
      </c>
      <c r="G2028" s="73"/>
      <c r="H2028" s="76"/>
      <c r="I2028" s="96"/>
      <c r="J2028" s="76"/>
      <c r="K2028" s="76"/>
      <c r="L2028" s="76"/>
      <c r="M2028" s="76"/>
      <c r="N2028" s="76"/>
      <c r="O2028" s="76"/>
      <c r="P2028" s="76"/>
      <c r="Q2028" s="76"/>
      <c r="R2028" s="76"/>
      <c r="S2028" s="76"/>
      <c r="T2028" s="76"/>
      <c r="U2028" s="76"/>
      <c r="V2028" s="76"/>
      <c r="W2028" s="76"/>
      <c r="X2028" s="76"/>
      <c r="Y2028" s="76"/>
      <c r="Z2028" s="76"/>
      <c r="AA2028" s="76"/>
      <c r="AB2028" s="76"/>
      <c r="AC2028" s="76"/>
      <c r="AD2028" s="76"/>
      <c r="AE2028" s="76"/>
      <c r="AF2028" s="76"/>
      <c r="AG2028" s="76"/>
      <c r="AH2028" s="76"/>
      <c r="AI2028" s="76">
        <v>1</v>
      </c>
      <c r="AJ2028" s="76">
        <v>1</v>
      </c>
      <c r="AK2028" s="73"/>
      <c r="AL2028" s="57"/>
      <c r="AM2028" s="45"/>
      <c r="AN2028" s="45"/>
      <c r="AO2028" s="45"/>
    </row>
    <row r="2029" spans="1:41" hidden="1" outlineLevel="3" x14ac:dyDescent="0.25">
      <c r="A2029" s="45"/>
      <c r="B2029" s="54"/>
      <c r="C2029" s="47">
        <f t="shared" si="691"/>
        <v>4</v>
      </c>
      <c r="D2029" s="73"/>
      <c r="E2029" s="70"/>
      <c r="F2029" s="70" t="str">
        <f>SUBSTITUTE(F2023,",6)",",12)")</f>
        <v>C(U6,18,12)</v>
      </c>
      <c r="G2029" s="73"/>
      <c r="H2029" s="76"/>
      <c r="I2029" s="96"/>
      <c r="J2029" s="76"/>
      <c r="K2029" s="76"/>
      <c r="L2029" s="76"/>
      <c r="M2029" s="76"/>
      <c r="N2029" s="76"/>
      <c r="O2029" s="76"/>
      <c r="P2029" s="76"/>
      <c r="Q2029" s="76"/>
      <c r="R2029" s="76"/>
      <c r="S2029" s="76"/>
      <c r="T2029" s="76"/>
      <c r="U2029" s="76"/>
      <c r="V2029" s="76"/>
      <c r="W2029" s="76"/>
      <c r="X2029" s="76"/>
      <c r="Y2029" s="76"/>
      <c r="Z2029" s="76"/>
      <c r="AA2029" s="76"/>
      <c r="AB2029" s="76"/>
      <c r="AC2029" s="76"/>
      <c r="AD2029" s="76"/>
      <c r="AE2029" s="76"/>
      <c r="AF2029" s="76"/>
      <c r="AG2029" s="76"/>
      <c r="AH2029" s="76"/>
      <c r="AI2029" s="76">
        <v>1</v>
      </c>
      <c r="AJ2029" s="76">
        <v>1</v>
      </c>
      <c r="AK2029" s="73"/>
      <c r="AL2029" s="57"/>
      <c r="AM2029" s="45"/>
      <c r="AN2029" s="45"/>
      <c r="AO2029" s="45"/>
    </row>
    <row r="2030" spans="1:41" hidden="1" outlineLevel="3" x14ac:dyDescent="0.25">
      <c r="A2030" s="45"/>
      <c r="B2030" s="54"/>
      <c r="C2030" s="47">
        <f t="shared" si="691"/>
        <v>4</v>
      </c>
      <c r="D2030" s="73"/>
      <c r="E2030" s="70"/>
      <c r="F2030" s="70" t="str">
        <f>SUBSTITUTE(F2024,",7)",",13)")</f>
        <v>C(U6,18,13)</v>
      </c>
      <c r="G2030" s="73"/>
      <c r="H2030" s="76"/>
      <c r="I2030" s="96"/>
      <c r="J2030" s="76"/>
      <c r="K2030" s="76"/>
      <c r="L2030" s="76"/>
      <c r="M2030" s="76"/>
      <c r="N2030" s="76"/>
      <c r="O2030" s="76"/>
      <c r="P2030" s="76"/>
      <c r="Q2030" s="76"/>
      <c r="R2030" s="76"/>
      <c r="S2030" s="76"/>
      <c r="T2030" s="76"/>
      <c r="U2030" s="76"/>
      <c r="V2030" s="76"/>
      <c r="W2030" s="76"/>
      <c r="X2030" s="76"/>
      <c r="Y2030" s="76"/>
      <c r="Z2030" s="76"/>
      <c r="AA2030" s="76"/>
      <c r="AB2030" s="76"/>
      <c r="AC2030" s="76"/>
      <c r="AD2030" s="76"/>
      <c r="AE2030" s="76"/>
      <c r="AF2030" s="76"/>
      <c r="AG2030" s="76"/>
      <c r="AH2030" s="76"/>
      <c r="AI2030" s="76">
        <v>1</v>
      </c>
      <c r="AJ2030" s="76">
        <v>1</v>
      </c>
      <c r="AK2030" s="73"/>
      <c r="AL2030" s="57"/>
      <c r="AM2030" s="45"/>
      <c r="AN2030" s="45"/>
      <c r="AO2030" s="45"/>
    </row>
    <row r="2031" spans="1:41" hidden="1" outlineLevel="3" x14ac:dyDescent="0.25">
      <c r="A2031" s="45"/>
      <c r="B2031" s="54"/>
      <c r="C2031" s="47">
        <f t="shared" si="691"/>
        <v>4</v>
      </c>
      <c r="D2031" s="73"/>
      <c r="E2031" s="70"/>
      <c r="F2031" s="70" t="s">
        <v>3672</v>
      </c>
      <c r="G2031" s="73"/>
      <c r="H2031" s="76"/>
      <c r="I2031" s="76"/>
      <c r="J2031" s="76"/>
      <c r="K2031" s="76"/>
      <c r="L2031" s="76"/>
      <c r="M2031" s="76"/>
      <c r="N2031" s="76"/>
      <c r="O2031" s="76"/>
      <c r="P2031" s="76"/>
      <c r="Q2031" s="76"/>
      <c r="R2031" s="76"/>
      <c r="S2031" s="76"/>
      <c r="T2031" s="76"/>
      <c r="U2031" s="76"/>
      <c r="V2031" s="76"/>
      <c r="W2031" s="76"/>
      <c r="X2031" s="76"/>
      <c r="Y2031" s="76"/>
      <c r="Z2031" s="76"/>
      <c r="AA2031" s="76"/>
      <c r="AB2031" s="76"/>
      <c r="AC2031" s="76"/>
      <c r="AD2031" s="76"/>
      <c r="AE2031" s="76"/>
      <c r="AF2031" s="76"/>
      <c r="AG2031" s="76"/>
      <c r="AH2031" s="76"/>
      <c r="AI2031" s="76">
        <v>1</v>
      </c>
      <c r="AJ2031" s="76">
        <v>1</v>
      </c>
      <c r="AK2031" s="73"/>
      <c r="AL2031" s="57"/>
      <c r="AM2031" s="45"/>
      <c r="AN2031" s="45"/>
      <c r="AO2031" s="45"/>
    </row>
    <row r="2032" spans="1:41" hidden="1" outlineLevel="3" x14ac:dyDescent="0.25">
      <c r="A2032" s="45"/>
      <c r="B2032" s="54"/>
      <c r="C2032" s="47">
        <f t="shared" si="691"/>
        <v>4</v>
      </c>
      <c r="D2032" s="73"/>
      <c r="E2032" s="70"/>
      <c r="F2032" s="70" t="s">
        <v>3673</v>
      </c>
      <c r="G2032" s="73"/>
      <c r="H2032" s="76" t="s">
        <v>599</v>
      </c>
      <c r="I2032" s="76"/>
      <c r="J2032" s="76"/>
      <c r="K2032" s="76"/>
      <c r="L2032" s="76"/>
      <c r="M2032" s="76"/>
      <c r="N2032" s="76"/>
      <c r="O2032" s="76"/>
      <c r="P2032" s="76"/>
      <c r="Q2032" s="76"/>
      <c r="R2032" s="76"/>
      <c r="S2032" s="76"/>
      <c r="T2032" s="76"/>
      <c r="U2032" s="76"/>
      <c r="V2032" s="76"/>
      <c r="W2032" s="76"/>
      <c r="X2032" s="76"/>
      <c r="Y2032" s="76"/>
      <c r="Z2032" s="76"/>
      <c r="AA2032" s="76"/>
      <c r="AB2032" s="76"/>
      <c r="AC2032" s="76"/>
      <c r="AD2032" s="76"/>
      <c r="AE2032" s="76"/>
      <c r="AF2032" s="76"/>
      <c r="AG2032" s="76"/>
      <c r="AH2032" s="76"/>
      <c r="AI2032" s="76">
        <v>1</v>
      </c>
      <c r="AJ2032" s="76">
        <v>1</v>
      </c>
      <c r="AK2032" s="73"/>
      <c r="AL2032" s="57"/>
      <c r="AM2032" s="45"/>
      <c r="AN2032" s="45"/>
      <c r="AO2032" s="45"/>
    </row>
    <row r="2033" spans="1:41" hidden="1" outlineLevel="3" x14ac:dyDescent="0.25">
      <c r="A2033" s="45"/>
      <c r="B2033" s="54"/>
      <c r="C2033" s="47">
        <f t="shared" si="691"/>
        <v>4</v>
      </c>
      <c r="D2033" s="73"/>
      <c r="E2033" s="70"/>
      <c r="F2033" s="70" t="s">
        <v>3674</v>
      </c>
      <c r="G2033" s="73"/>
      <c r="H2033" s="76"/>
      <c r="I2033" s="76"/>
      <c r="J2033" s="76"/>
      <c r="K2033" s="76"/>
      <c r="L2033" s="76"/>
      <c r="M2033" s="76"/>
      <c r="N2033" s="76"/>
      <c r="O2033" s="76"/>
      <c r="P2033" s="76"/>
      <c r="Q2033" s="76"/>
      <c r="R2033" s="76"/>
      <c r="S2033" s="76"/>
      <c r="T2033" s="76"/>
      <c r="U2033" s="76"/>
      <c r="V2033" s="76"/>
      <c r="W2033" s="76"/>
      <c r="X2033" s="76"/>
      <c r="Y2033" s="76"/>
      <c r="Z2033" s="76"/>
      <c r="AA2033" s="76"/>
      <c r="AB2033" s="76"/>
      <c r="AC2033" s="76"/>
      <c r="AD2033" s="76"/>
      <c r="AE2033" s="76"/>
      <c r="AF2033" s="76"/>
      <c r="AG2033" s="76"/>
      <c r="AH2033" s="76"/>
      <c r="AI2033" s="76">
        <v>1</v>
      </c>
      <c r="AJ2033" s="76">
        <v>1</v>
      </c>
      <c r="AK2033" s="73"/>
      <c r="AL2033" s="57"/>
      <c r="AM2033" s="45"/>
      <c r="AN2033" s="45"/>
      <c r="AO2033" s="45"/>
    </row>
    <row r="2034" spans="1:41" hidden="1" outlineLevel="3" x14ac:dyDescent="0.25">
      <c r="A2034" s="45"/>
      <c r="B2034" s="54"/>
      <c r="C2034" s="47">
        <f t="shared" si="691"/>
        <v>4</v>
      </c>
      <c r="D2034" s="73"/>
      <c r="E2034" s="70"/>
      <c r="F2034" s="70" t="s">
        <v>3675</v>
      </c>
      <c r="G2034" s="73"/>
      <c r="H2034" s="76"/>
      <c r="I2034" s="76"/>
      <c r="J2034" s="76"/>
      <c r="K2034" s="76"/>
      <c r="L2034" s="76"/>
      <c r="M2034" s="76"/>
      <c r="N2034" s="76"/>
      <c r="O2034" s="76"/>
      <c r="P2034" s="76"/>
      <c r="Q2034" s="76"/>
      <c r="R2034" s="76"/>
      <c r="S2034" s="76"/>
      <c r="T2034" s="76"/>
      <c r="U2034" s="76"/>
      <c r="V2034" s="76"/>
      <c r="W2034" s="76"/>
      <c r="X2034" s="76"/>
      <c r="Y2034" s="76"/>
      <c r="Z2034" s="76"/>
      <c r="AA2034" s="76"/>
      <c r="AB2034" s="76"/>
      <c r="AC2034" s="76"/>
      <c r="AD2034" s="76"/>
      <c r="AE2034" s="76"/>
      <c r="AF2034" s="76"/>
      <c r="AG2034" s="76"/>
      <c r="AH2034" s="76"/>
      <c r="AI2034" s="76">
        <v>1</v>
      </c>
      <c r="AJ2034" s="76">
        <v>1</v>
      </c>
      <c r="AK2034" s="73"/>
      <c r="AL2034" s="57"/>
      <c r="AM2034" s="45"/>
      <c r="AN2034" s="45"/>
      <c r="AO2034" s="45"/>
    </row>
    <row r="2035" spans="1:41" hidden="1" outlineLevel="3" x14ac:dyDescent="0.25">
      <c r="A2035" s="45"/>
      <c r="B2035" s="54"/>
      <c r="C2035" s="47">
        <f t="shared" si="691"/>
        <v>4</v>
      </c>
      <c r="D2035" s="73"/>
      <c r="E2035" s="70"/>
      <c r="F2035" s="70" t="s">
        <v>3676</v>
      </c>
      <c r="G2035" s="73"/>
      <c r="H2035" s="76"/>
      <c r="I2035" s="76"/>
      <c r="J2035" s="76"/>
      <c r="K2035" s="76"/>
      <c r="L2035" s="76"/>
      <c r="M2035" s="76"/>
      <c r="N2035" s="76"/>
      <c r="O2035" s="76"/>
      <c r="P2035" s="76"/>
      <c r="Q2035" s="76"/>
      <c r="R2035" s="76"/>
      <c r="S2035" s="76"/>
      <c r="T2035" s="76"/>
      <c r="U2035" s="76"/>
      <c r="V2035" s="76"/>
      <c r="W2035" s="76"/>
      <c r="X2035" s="76"/>
      <c r="Y2035" s="76"/>
      <c r="Z2035" s="76"/>
      <c r="AA2035" s="76"/>
      <c r="AB2035" s="76"/>
      <c r="AC2035" s="76"/>
      <c r="AD2035" s="76"/>
      <c r="AE2035" s="76"/>
      <c r="AF2035" s="76"/>
      <c r="AG2035" s="76"/>
      <c r="AH2035" s="76"/>
      <c r="AI2035" s="76">
        <v>1</v>
      </c>
      <c r="AJ2035" s="76">
        <v>1</v>
      </c>
      <c r="AK2035" s="73"/>
      <c r="AL2035" s="57"/>
      <c r="AM2035" s="45"/>
      <c r="AN2035" s="45"/>
      <c r="AO2035" s="45"/>
    </row>
    <row r="2036" spans="1:41" hidden="1" outlineLevel="3" x14ac:dyDescent="0.25">
      <c r="A2036" s="45"/>
      <c r="B2036" s="54"/>
      <c r="C2036" s="47">
        <f t="shared" si="691"/>
        <v>4</v>
      </c>
      <c r="D2036" s="73"/>
      <c r="E2036" s="70"/>
      <c r="F2036" s="70" t="s">
        <v>3677</v>
      </c>
      <c r="G2036" s="73"/>
      <c r="H2036" s="76"/>
      <c r="I2036" s="76"/>
      <c r="J2036" s="76"/>
      <c r="K2036" s="76"/>
      <c r="L2036" s="76"/>
      <c r="M2036" s="76"/>
      <c r="N2036" s="76"/>
      <c r="O2036" s="76"/>
      <c r="P2036" s="76"/>
      <c r="Q2036" s="76"/>
      <c r="R2036" s="76"/>
      <c r="S2036" s="76"/>
      <c r="T2036" s="76"/>
      <c r="U2036" s="76"/>
      <c r="V2036" s="76"/>
      <c r="W2036" s="76"/>
      <c r="X2036" s="76"/>
      <c r="Y2036" s="76"/>
      <c r="Z2036" s="76"/>
      <c r="AA2036" s="76"/>
      <c r="AB2036" s="76"/>
      <c r="AC2036" s="76"/>
      <c r="AD2036" s="76"/>
      <c r="AE2036" s="76"/>
      <c r="AF2036" s="76"/>
      <c r="AG2036" s="76"/>
      <c r="AH2036" s="76"/>
      <c r="AI2036" s="76">
        <v>1</v>
      </c>
      <c r="AJ2036" s="76">
        <v>1</v>
      </c>
      <c r="AK2036" s="73"/>
      <c r="AL2036" s="57"/>
      <c r="AM2036" s="45"/>
      <c r="AN2036" s="45"/>
      <c r="AO2036" s="45"/>
    </row>
    <row r="2037" spans="1:41" hidden="1" outlineLevel="3" x14ac:dyDescent="0.25">
      <c r="A2037" s="45"/>
      <c r="B2037" s="54"/>
      <c r="C2037" s="47"/>
      <c r="D2037" s="73"/>
      <c r="E2037" s="70"/>
      <c r="F2037" s="70" t="s">
        <v>3678</v>
      </c>
      <c r="G2037" s="73"/>
      <c r="H2037" s="76"/>
      <c r="I2037" s="76"/>
      <c r="J2037" s="76"/>
      <c r="K2037" s="76"/>
      <c r="L2037" s="76"/>
      <c r="M2037" s="76"/>
      <c r="N2037" s="76"/>
      <c r="O2037" s="76"/>
      <c r="P2037" s="76"/>
      <c r="Q2037" s="76"/>
      <c r="R2037" s="76"/>
      <c r="S2037" s="76"/>
      <c r="T2037" s="76"/>
      <c r="U2037" s="76"/>
      <c r="V2037" s="76"/>
      <c r="W2037" s="76"/>
      <c r="X2037" s="76"/>
      <c r="Y2037" s="76"/>
      <c r="Z2037" s="76"/>
      <c r="AA2037" s="76"/>
      <c r="AB2037" s="76"/>
      <c r="AC2037" s="76"/>
      <c r="AD2037" s="76"/>
      <c r="AE2037" s="76"/>
      <c r="AF2037" s="76"/>
      <c r="AG2037" s="76"/>
      <c r="AH2037" s="76"/>
      <c r="AI2037" s="76">
        <v>1</v>
      </c>
      <c r="AJ2037" s="76">
        <v>1</v>
      </c>
      <c r="AK2037" s="73"/>
      <c r="AL2037" s="57"/>
      <c r="AM2037" s="45"/>
      <c r="AN2037" s="45"/>
      <c r="AO2037" s="45"/>
    </row>
    <row r="2038" spans="1:41" hidden="1" outlineLevel="3" x14ac:dyDescent="0.25">
      <c r="A2038" s="45"/>
      <c r="B2038" s="54"/>
      <c r="C2038" s="47"/>
      <c r="D2038" s="73"/>
      <c r="E2038" s="70"/>
      <c r="F2038" s="70" t="s">
        <v>3679</v>
      </c>
      <c r="G2038" s="73"/>
      <c r="H2038" s="76"/>
      <c r="I2038" s="76"/>
      <c r="J2038" s="76"/>
      <c r="K2038" s="76"/>
      <c r="L2038" s="76"/>
      <c r="M2038" s="76"/>
      <c r="N2038" s="76"/>
      <c r="O2038" s="76"/>
      <c r="P2038" s="76"/>
      <c r="Q2038" s="76"/>
      <c r="R2038" s="76"/>
      <c r="S2038" s="76"/>
      <c r="T2038" s="76"/>
      <c r="U2038" s="76"/>
      <c r="V2038" s="76"/>
      <c r="W2038" s="76"/>
      <c r="X2038" s="76"/>
      <c r="Y2038" s="76"/>
      <c r="Z2038" s="76"/>
      <c r="AA2038" s="76"/>
      <c r="AB2038" s="76"/>
      <c r="AC2038" s="76"/>
      <c r="AD2038" s="76"/>
      <c r="AE2038" s="76"/>
      <c r="AF2038" s="76"/>
      <c r="AG2038" s="76"/>
      <c r="AH2038" s="76"/>
      <c r="AI2038" s="76">
        <v>1</v>
      </c>
      <c r="AJ2038" s="76">
        <v>1</v>
      </c>
      <c r="AK2038" s="73"/>
      <c r="AL2038" s="57"/>
      <c r="AM2038" s="45"/>
      <c r="AN2038" s="45"/>
      <c r="AO2038" s="45"/>
    </row>
    <row r="2039" spans="1:41" hidden="1" outlineLevel="3" x14ac:dyDescent="0.25">
      <c r="A2039" s="45"/>
      <c r="B2039" s="54"/>
      <c r="C2039" s="47"/>
      <c r="D2039" s="73"/>
      <c r="E2039" s="70"/>
      <c r="F2039" s="70" t="s">
        <v>3680</v>
      </c>
      <c r="G2039" s="73"/>
      <c r="H2039" s="76"/>
      <c r="I2039" s="76"/>
      <c r="J2039" s="76"/>
      <c r="K2039" s="76"/>
      <c r="L2039" s="76"/>
      <c r="M2039" s="76"/>
      <c r="N2039" s="76"/>
      <c r="O2039" s="76"/>
      <c r="P2039" s="76"/>
      <c r="Q2039" s="76"/>
      <c r="R2039" s="76"/>
      <c r="S2039" s="76"/>
      <c r="T2039" s="76"/>
      <c r="U2039" s="76"/>
      <c r="V2039" s="76"/>
      <c r="W2039" s="76"/>
      <c r="X2039" s="76"/>
      <c r="Y2039" s="76"/>
      <c r="Z2039" s="76"/>
      <c r="AA2039" s="76"/>
      <c r="AB2039" s="76"/>
      <c r="AC2039" s="76"/>
      <c r="AD2039" s="76"/>
      <c r="AE2039" s="76"/>
      <c r="AF2039" s="76"/>
      <c r="AG2039" s="76"/>
      <c r="AH2039" s="76"/>
      <c r="AI2039" s="76">
        <v>1</v>
      </c>
      <c r="AJ2039" s="76">
        <v>1</v>
      </c>
      <c r="AK2039" s="73"/>
      <c r="AL2039" s="57"/>
      <c r="AM2039" s="45"/>
      <c r="AN2039" s="45"/>
      <c r="AO2039" s="45"/>
    </row>
    <row r="2040" spans="1:41" hidden="1" outlineLevel="3" x14ac:dyDescent="0.25">
      <c r="A2040" s="45"/>
      <c r="B2040" s="54"/>
      <c r="C2040" s="47">
        <f t="shared" ref="C2040:C2051" si="692">INT($C$29)+3</f>
        <v>4</v>
      </c>
      <c r="D2040" s="73"/>
      <c r="E2040" s="70"/>
      <c r="F2040" s="70" t="str">
        <f>SUBSTITUTE(F2036,",4)",",8)")</f>
        <v>C(U6,19,8)</v>
      </c>
      <c r="G2040" s="73"/>
      <c r="H2040" s="76"/>
      <c r="I2040" s="96"/>
      <c r="J2040" s="76"/>
      <c r="K2040" s="76"/>
      <c r="L2040" s="76"/>
      <c r="M2040" s="76"/>
      <c r="N2040" s="76"/>
      <c r="O2040" s="76"/>
      <c r="P2040" s="76"/>
      <c r="Q2040" s="76"/>
      <c r="R2040" s="76"/>
      <c r="S2040" s="76"/>
      <c r="T2040" s="76"/>
      <c r="U2040" s="76"/>
      <c r="V2040" s="76"/>
      <c r="W2040" s="76"/>
      <c r="X2040" s="76"/>
      <c r="Y2040" s="76"/>
      <c r="Z2040" s="76"/>
      <c r="AA2040" s="76"/>
      <c r="AB2040" s="76"/>
      <c r="AC2040" s="76"/>
      <c r="AD2040" s="76"/>
      <c r="AE2040" s="76"/>
      <c r="AF2040" s="76"/>
      <c r="AG2040" s="76"/>
      <c r="AH2040" s="76"/>
      <c r="AI2040" s="76">
        <v>1</v>
      </c>
      <c r="AJ2040" s="76">
        <v>1</v>
      </c>
      <c r="AK2040" s="73"/>
      <c r="AL2040" s="57"/>
      <c r="AM2040" s="45"/>
      <c r="AN2040" s="45"/>
      <c r="AO2040" s="45"/>
    </row>
    <row r="2041" spans="1:41" hidden="1" outlineLevel="3" x14ac:dyDescent="0.25">
      <c r="A2041" s="45"/>
      <c r="B2041" s="54"/>
      <c r="C2041" s="47">
        <f t="shared" si="692"/>
        <v>4</v>
      </c>
      <c r="D2041" s="73"/>
      <c r="E2041" s="70"/>
      <c r="F2041" s="70" t="str">
        <f>SUBSTITUTE(F2037,",5)",",9)")</f>
        <v>C(U6,19,9)</v>
      </c>
      <c r="G2041" s="73"/>
      <c r="H2041" s="76"/>
      <c r="I2041" s="96"/>
      <c r="J2041" s="76"/>
      <c r="K2041" s="76"/>
      <c r="L2041" s="76"/>
      <c r="M2041" s="76"/>
      <c r="N2041" s="76"/>
      <c r="O2041" s="76"/>
      <c r="P2041" s="76"/>
      <c r="Q2041" s="76"/>
      <c r="R2041" s="76"/>
      <c r="S2041" s="76"/>
      <c r="T2041" s="76"/>
      <c r="U2041" s="76"/>
      <c r="V2041" s="76"/>
      <c r="W2041" s="76"/>
      <c r="X2041" s="76"/>
      <c r="Y2041" s="76"/>
      <c r="Z2041" s="76"/>
      <c r="AA2041" s="76"/>
      <c r="AB2041" s="76"/>
      <c r="AC2041" s="76"/>
      <c r="AD2041" s="76"/>
      <c r="AE2041" s="76"/>
      <c r="AF2041" s="76"/>
      <c r="AG2041" s="76"/>
      <c r="AH2041" s="76"/>
      <c r="AI2041" s="76">
        <v>1</v>
      </c>
      <c r="AJ2041" s="76">
        <v>1</v>
      </c>
      <c r="AK2041" s="73"/>
      <c r="AL2041" s="57"/>
      <c r="AM2041" s="45"/>
      <c r="AN2041" s="45"/>
      <c r="AO2041" s="45"/>
    </row>
    <row r="2042" spans="1:41" hidden="1" outlineLevel="3" x14ac:dyDescent="0.25">
      <c r="A2042" s="45"/>
      <c r="B2042" s="54"/>
      <c r="C2042" s="47">
        <f t="shared" si="692"/>
        <v>4</v>
      </c>
      <c r="D2042" s="73"/>
      <c r="E2042" s="70"/>
      <c r="F2042" s="70" t="str">
        <f>SUBSTITUTE(F2038,",6)",",10)")</f>
        <v>C(U6,19,10)</v>
      </c>
      <c r="G2042" s="73"/>
      <c r="H2042" s="76"/>
      <c r="I2042" s="96"/>
      <c r="J2042" s="76"/>
      <c r="K2042" s="76"/>
      <c r="L2042" s="76"/>
      <c r="M2042" s="76"/>
      <c r="N2042" s="76"/>
      <c r="O2042" s="76"/>
      <c r="P2042" s="76"/>
      <c r="Q2042" s="76"/>
      <c r="R2042" s="76"/>
      <c r="S2042" s="76"/>
      <c r="T2042" s="76"/>
      <c r="U2042" s="76"/>
      <c r="V2042" s="76"/>
      <c r="W2042" s="76"/>
      <c r="X2042" s="76"/>
      <c r="Y2042" s="76"/>
      <c r="Z2042" s="76"/>
      <c r="AA2042" s="76"/>
      <c r="AB2042" s="76"/>
      <c r="AC2042" s="76"/>
      <c r="AD2042" s="76"/>
      <c r="AE2042" s="76"/>
      <c r="AF2042" s="76"/>
      <c r="AG2042" s="76"/>
      <c r="AH2042" s="76"/>
      <c r="AI2042" s="76">
        <v>1</v>
      </c>
      <c r="AJ2042" s="76">
        <v>1</v>
      </c>
      <c r="AK2042" s="73"/>
      <c r="AL2042" s="57"/>
      <c r="AM2042" s="45"/>
      <c r="AN2042" s="45"/>
      <c r="AO2042" s="45"/>
    </row>
    <row r="2043" spans="1:41" hidden="1" outlineLevel="3" x14ac:dyDescent="0.25">
      <c r="A2043" s="45"/>
      <c r="B2043" s="54"/>
      <c r="C2043" s="47">
        <f t="shared" si="692"/>
        <v>4</v>
      </c>
      <c r="D2043" s="73"/>
      <c r="E2043" s="70"/>
      <c r="F2043" s="70" t="str">
        <f>SUBSTITUTE(F2039,",7)",",11)")</f>
        <v>C(U6,19,11)</v>
      </c>
      <c r="G2043" s="73"/>
      <c r="H2043" s="76"/>
      <c r="I2043" s="96"/>
      <c r="J2043" s="76"/>
      <c r="K2043" s="76"/>
      <c r="L2043" s="76"/>
      <c r="M2043" s="76"/>
      <c r="N2043" s="76"/>
      <c r="O2043" s="76"/>
      <c r="P2043" s="76"/>
      <c r="Q2043" s="76"/>
      <c r="R2043" s="76"/>
      <c r="S2043" s="76"/>
      <c r="T2043" s="76"/>
      <c r="U2043" s="76"/>
      <c r="V2043" s="76"/>
      <c r="W2043" s="76"/>
      <c r="X2043" s="76"/>
      <c r="Y2043" s="76"/>
      <c r="Z2043" s="76"/>
      <c r="AA2043" s="76"/>
      <c r="AB2043" s="76"/>
      <c r="AC2043" s="76"/>
      <c r="AD2043" s="76"/>
      <c r="AE2043" s="76"/>
      <c r="AF2043" s="76"/>
      <c r="AG2043" s="76"/>
      <c r="AH2043" s="76"/>
      <c r="AI2043" s="76">
        <v>1</v>
      </c>
      <c r="AJ2043" s="76">
        <v>1</v>
      </c>
      <c r="AK2043" s="73"/>
      <c r="AL2043" s="57"/>
      <c r="AM2043" s="45"/>
      <c r="AN2043" s="45"/>
      <c r="AO2043" s="45"/>
    </row>
    <row r="2044" spans="1:41" hidden="1" outlineLevel="3" x14ac:dyDescent="0.25">
      <c r="A2044" s="45"/>
      <c r="B2044" s="54"/>
      <c r="C2044" s="47">
        <f t="shared" si="692"/>
        <v>4</v>
      </c>
      <c r="D2044" s="73"/>
      <c r="E2044" s="70"/>
      <c r="F2044" s="70" t="str">
        <f>SUBSTITUTE(F2038,",6)",",12)")</f>
        <v>C(U6,19,12)</v>
      </c>
      <c r="G2044" s="73"/>
      <c r="H2044" s="76"/>
      <c r="I2044" s="96"/>
      <c r="J2044" s="76"/>
      <c r="K2044" s="76"/>
      <c r="L2044" s="76"/>
      <c r="M2044" s="76"/>
      <c r="N2044" s="76"/>
      <c r="O2044" s="76"/>
      <c r="P2044" s="76"/>
      <c r="Q2044" s="76"/>
      <c r="R2044" s="76"/>
      <c r="S2044" s="76"/>
      <c r="T2044" s="76"/>
      <c r="U2044" s="76"/>
      <c r="V2044" s="76"/>
      <c r="W2044" s="76"/>
      <c r="X2044" s="76"/>
      <c r="Y2044" s="76"/>
      <c r="Z2044" s="76"/>
      <c r="AA2044" s="76"/>
      <c r="AB2044" s="76"/>
      <c r="AC2044" s="76"/>
      <c r="AD2044" s="76"/>
      <c r="AE2044" s="76"/>
      <c r="AF2044" s="76"/>
      <c r="AG2044" s="76"/>
      <c r="AH2044" s="76"/>
      <c r="AI2044" s="76">
        <v>1</v>
      </c>
      <c r="AJ2044" s="76">
        <v>1</v>
      </c>
      <c r="AK2044" s="73"/>
      <c r="AL2044" s="57"/>
      <c r="AM2044" s="45"/>
      <c r="AN2044" s="45"/>
      <c r="AO2044" s="45"/>
    </row>
    <row r="2045" spans="1:41" hidden="1" outlineLevel="3" x14ac:dyDescent="0.25">
      <c r="A2045" s="45"/>
      <c r="B2045" s="54"/>
      <c r="C2045" s="47">
        <f t="shared" si="692"/>
        <v>4</v>
      </c>
      <c r="D2045" s="73"/>
      <c r="E2045" s="70"/>
      <c r="F2045" s="70" t="str">
        <f>SUBSTITUTE(F2039,",7)",",13)")</f>
        <v>C(U6,19,13)</v>
      </c>
      <c r="G2045" s="73"/>
      <c r="H2045" s="76"/>
      <c r="I2045" s="96"/>
      <c r="J2045" s="76"/>
      <c r="K2045" s="76"/>
      <c r="L2045" s="76"/>
      <c r="M2045" s="76"/>
      <c r="N2045" s="76"/>
      <c r="O2045" s="76"/>
      <c r="P2045" s="76"/>
      <c r="Q2045" s="76"/>
      <c r="R2045" s="76"/>
      <c r="S2045" s="76"/>
      <c r="T2045" s="76"/>
      <c r="U2045" s="76"/>
      <c r="V2045" s="76"/>
      <c r="W2045" s="76"/>
      <c r="X2045" s="76"/>
      <c r="Y2045" s="76"/>
      <c r="Z2045" s="76"/>
      <c r="AA2045" s="76"/>
      <c r="AB2045" s="76"/>
      <c r="AC2045" s="76"/>
      <c r="AD2045" s="76"/>
      <c r="AE2045" s="76"/>
      <c r="AF2045" s="76"/>
      <c r="AG2045" s="76"/>
      <c r="AH2045" s="76"/>
      <c r="AI2045" s="76">
        <v>1</v>
      </c>
      <c r="AJ2045" s="76">
        <v>1</v>
      </c>
      <c r="AK2045" s="73"/>
      <c r="AL2045" s="57"/>
      <c r="AM2045" s="45"/>
      <c r="AN2045" s="45"/>
      <c r="AO2045" s="45"/>
    </row>
    <row r="2046" spans="1:41" hidden="1" outlineLevel="3" x14ac:dyDescent="0.25">
      <c r="A2046" s="45"/>
      <c r="B2046" s="54"/>
      <c r="C2046" s="47">
        <f t="shared" si="692"/>
        <v>4</v>
      </c>
      <c r="D2046" s="73"/>
      <c r="E2046" s="70"/>
      <c r="F2046" s="70" t="s">
        <v>3681</v>
      </c>
      <c r="G2046" s="73"/>
      <c r="H2046" s="76"/>
      <c r="I2046" s="76"/>
      <c r="J2046" s="76"/>
      <c r="K2046" s="76"/>
      <c r="L2046" s="76"/>
      <c r="M2046" s="76"/>
      <c r="N2046" s="76"/>
      <c r="O2046" s="76"/>
      <c r="P2046" s="76"/>
      <c r="Q2046" s="76"/>
      <c r="R2046" s="76"/>
      <c r="S2046" s="76"/>
      <c r="T2046" s="76"/>
      <c r="U2046" s="76"/>
      <c r="V2046" s="76"/>
      <c r="W2046" s="76"/>
      <c r="X2046" s="76"/>
      <c r="Y2046" s="76"/>
      <c r="Z2046" s="76"/>
      <c r="AA2046" s="76"/>
      <c r="AB2046" s="76"/>
      <c r="AC2046" s="76"/>
      <c r="AD2046" s="76"/>
      <c r="AE2046" s="76"/>
      <c r="AF2046" s="76"/>
      <c r="AG2046" s="76"/>
      <c r="AH2046" s="76"/>
      <c r="AI2046" s="76">
        <v>1</v>
      </c>
      <c r="AJ2046" s="76">
        <v>1</v>
      </c>
      <c r="AK2046" s="73"/>
      <c r="AL2046" s="57"/>
      <c r="AM2046" s="45"/>
      <c r="AN2046" s="45"/>
      <c r="AO2046" s="45"/>
    </row>
    <row r="2047" spans="1:41" hidden="1" outlineLevel="3" x14ac:dyDescent="0.25">
      <c r="A2047" s="45"/>
      <c r="B2047" s="54"/>
      <c r="C2047" s="47">
        <f t="shared" si="692"/>
        <v>4</v>
      </c>
      <c r="D2047" s="73"/>
      <c r="E2047" s="70"/>
      <c r="F2047" s="70" t="s">
        <v>3682</v>
      </c>
      <c r="G2047" s="73"/>
      <c r="H2047" s="76" t="s">
        <v>599</v>
      </c>
      <c r="I2047" s="76"/>
      <c r="J2047" s="76"/>
      <c r="K2047" s="76"/>
      <c r="L2047" s="76"/>
      <c r="M2047" s="76"/>
      <c r="N2047" s="76"/>
      <c r="O2047" s="76"/>
      <c r="P2047" s="76"/>
      <c r="Q2047" s="76"/>
      <c r="R2047" s="76"/>
      <c r="S2047" s="76"/>
      <c r="T2047" s="76"/>
      <c r="U2047" s="76"/>
      <c r="V2047" s="76"/>
      <c r="W2047" s="76"/>
      <c r="X2047" s="76"/>
      <c r="Y2047" s="76"/>
      <c r="Z2047" s="76"/>
      <c r="AA2047" s="76"/>
      <c r="AB2047" s="76"/>
      <c r="AC2047" s="76"/>
      <c r="AD2047" s="76"/>
      <c r="AE2047" s="76"/>
      <c r="AF2047" s="76"/>
      <c r="AG2047" s="76"/>
      <c r="AH2047" s="76"/>
      <c r="AI2047" s="76">
        <v>1</v>
      </c>
      <c r="AJ2047" s="76">
        <v>1</v>
      </c>
      <c r="AK2047" s="73"/>
      <c r="AL2047" s="57"/>
      <c r="AM2047" s="45"/>
      <c r="AN2047" s="45"/>
      <c r="AO2047" s="45"/>
    </row>
    <row r="2048" spans="1:41" hidden="1" outlineLevel="3" x14ac:dyDescent="0.25">
      <c r="A2048" s="45"/>
      <c r="B2048" s="54"/>
      <c r="C2048" s="47">
        <f t="shared" si="692"/>
        <v>4</v>
      </c>
      <c r="D2048" s="73"/>
      <c r="E2048" s="70"/>
      <c r="F2048" s="70" t="s">
        <v>3683</v>
      </c>
      <c r="G2048" s="73"/>
      <c r="H2048" s="76"/>
      <c r="I2048" s="76"/>
      <c r="J2048" s="76"/>
      <c r="K2048" s="76"/>
      <c r="L2048" s="76"/>
      <c r="M2048" s="76"/>
      <c r="N2048" s="76"/>
      <c r="O2048" s="76"/>
      <c r="P2048" s="76"/>
      <c r="Q2048" s="76"/>
      <c r="R2048" s="76"/>
      <c r="S2048" s="76"/>
      <c r="T2048" s="76"/>
      <c r="U2048" s="76"/>
      <c r="V2048" s="76"/>
      <c r="W2048" s="76"/>
      <c r="X2048" s="76"/>
      <c r="Y2048" s="76"/>
      <c r="Z2048" s="76"/>
      <c r="AA2048" s="76"/>
      <c r="AB2048" s="76"/>
      <c r="AC2048" s="76"/>
      <c r="AD2048" s="76"/>
      <c r="AE2048" s="76"/>
      <c r="AF2048" s="76"/>
      <c r="AG2048" s="76"/>
      <c r="AH2048" s="76"/>
      <c r="AI2048" s="76">
        <v>1</v>
      </c>
      <c r="AJ2048" s="76">
        <v>1</v>
      </c>
      <c r="AK2048" s="73"/>
      <c r="AL2048" s="57"/>
      <c r="AM2048" s="45"/>
      <c r="AN2048" s="45"/>
      <c r="AO2048" s="45"/>
    </row>
    <row r="2049" spans="1:41" hidden="1" outlineLevel="3" x14ac:dyDescent="0.25">
      <c r="A2049" s="45"/>
      <c r="B2049" s="54"/>
      <c r="C2049" s="47">
        <f t="shared" si="692"/>
        <v>4</v>
      </c>
      <c r="D2049" s="73"/>
      <c r="E2049" s="70"/>
      <c r="F2049" s="70" t="s">
        <v>3684</v>
      </c>
      <c r="G2049" s="73"/>
      <c r="H2049" s="76"/>
      <c r="I2049" s="76"/>
      <c r="J2049" s="76"/>
      <c r="K2049" s="76"/>
      <c r="L2049" s="76"/>
      <c r="M2049" s="76"/>
      <c r="N2049" s="76"/>
      <c r="O2049" s="76"/>
      <c r="P2049" s="76"/>
      <c r="Q2049" s="76"/>
      <c r="R2049" s="76"/>
      <c r="S2049" s="76"/>
      <c r="T2049" s="76"/>
      <c r="U2049" s="76"/>
      <c r="V2049" s="76"/>
      <c r="W2049" s="76"/>
      <c r="X2049" s="76"/>
      <c r="Y2049" s="76"/>
      <c r="Z2049" s="76"/>
      <c r="AA2049" s="76"/>
      <c r="AB2049" s="76"/>
      <c r="AC2049" s="76"/>
      <c r="AD2049" s="76"/>
      <c r="AE2049" s="76"/>
      <c r="AF2049" s="76"/>
      <c r="AG2049" s="76"/>
      <c r="AH2049" s="76"/>
      <c r="AI2049" s="76">
        <v>1</v>
      </c>
      <c r="AJ2049" s="76">
        <v>1</v>
      </c>
      <c r="AK2049" s="73"/>
      <c r="AL2049" s="57"/>
      <c r="AM2049" s="45"/>
      <c r="AN2049" s="45"/>
      <c r="AO2049" s="45"/>
    </row>
    <row r="2050" spans="1:41" hidden="1" outlineLevel="3" x14ac:dyDescent="0.25">
      <c r="A2050" s="45"/>
      <c r="B2050" s="54"/>
      <c r="C2050" s="47">
        <f t="shared" si="692"/>
        <v>4</v>
      </c>
      <c r="D2050" s="73"/>
      <c r="E2050" s="70"/>
      <c r="F2050" s="70" t="s">
        <v>3685</v>
      </c>
      <c r="G2050" s="73"/>
      <c r="H2050" s="76"/>
      <c r="I2050" s="76"/>
      <c r="J2050" s="76"/>
      <c r="K2050" s="76"/>
      <c r="L2050" s="76"/>
      <c r="M2050" s="76"/>
      <c r="N2050" s="76"/>
      <c r="O2050" s="76"/>
      <c r="P2050" s="76"/>
      <c r="Q2050" s="76"/>
      <c r="R2050" s="76"/>
      <c r="S2050" s="76"/>
      <c r="T2050" s="76"/>
      <c r="U2050" s="76"/>
      <c r="V2050" s="76"/>
      <c r="W2050" s="76"/>
      <c r="X2050" s="76"/>
      <c r="Y2050" s="76"/>
      <c r="Z2050" s="76"/>
      <c r="AA2050" s="76"/>
      <c r="AB2050" s="76"/>
      <c r="AC2050" s="76"/>
      <c r="AD2050" s="76"/>
      <c r="AE2050" s="76"/>
      <c r="AF2050" s="76"/>
      <c r="AG2050" s="76"/>
      <c r="AH2050" s="76"/>
      <c r="AI2050" s="76">
        <v>1</v>
      </c>
      <c r="AJ2050" s="76">
        <v>1</v>
      </c>
      <c r="AK2050" s="73"/>
      <c r="AL2050" s="57"/>
      <c r="AM2050" s="45"/>
      <c r="AN2050" s="45"/>
      <c r="AO2050" s="45"/>
    </row>
    <row r="2051" spans="1:41" hidden="1" outlineLevel="3" x14ac:dyDescent="0.25">
      <c r="A2051" s="45"/>
      <c r="B2051" s="54"/>
      <c r="C2051" s="47">
        <f t="shared" si="692"/>
        <v>4</v>
      </c>
      <c r="D2051" s="73"/>
      <c r="E2051" s="70"/>
      <c r="F2051" s="70" t="s">
        <v>3686</v>
      </c>
      <c r="G2051" s="73"/>
      <c r="H2051" s="76"/>
      <c r="I2051" s="76"/>
      <c r="J2051" s="76"/>
      <c r="K2051" s="76"/>
      <c r="L2051" s="76"/>
      <c r="M2051" s="76"/>
      <c r="N2051" s="76"/>
      <c r="O2051" s="76"/>
      <c r="P2051" s="76"/>
      <c r="Q2051" s="76"/>
      <c r="R2051" s="76"/>
      <c r="S2051" s="76"/>
      <c r="T2051" s="76"/>
      <c r="U2051" s="76"/>
      <c r="V2051" s="76"/>
      <c r="W2051" s="76"/>
      <c r="X2051" s="76"/>
      <c r="Y2051" s="76"/>
      <c r="Z2051" s="76"/>
      <c r="AA2051" s="76"/>
      <c r="AB2051" s="76"/>
      <c r="AC2051" s="76"/>
      <c r="AD2051" s="76"/>
      <c r="AE2051" s="76"/>
      <c r="AF2051" s="76"/>
      <c r="AG2051" s="76"/>
      <c r="AH2051" s="76"/>
      <c r="AI2051" s="76">
        <v>1</v>
      </c>
      <c r="AJ2051" s="76">
        <v>1</v>
      </c>
      <c r="AK2051" s="73"/>
      <c r="AL2051" s="57"/>
      <c r="AM2051" s="45"/>
      <c r="AN2051" s="45"/>
      <c r="AO2051" s="45"/>
    </row>
    <row r="2052" spans="1:41" hidden="1" outlineLevel="3" x14ac:dyDescent="0.25">
      <c r="A2052" s="45"/>
      <c r="B2052" s="54"/>
      <c r="C2052" s="47"/>
      <c r="D2052" s="73"/>
      <c r="E2052" s="70"/>
      <c r="F2052" s="70" t="s">
        <v>3687</v>
      </c>
      <c r="G2052" s="73"/>
      <c r="H2052" s="76"/>
      <c r="I2052" s="76"/>
      <c r="J2052" s="76"/>
      <c r="K2052" s="76"/>
      <c r="L2052" s="76"/>
      <c r="M2052" s="76"/>
      <c r="N2052" s="76"/>
      <c r="O2052" s="76"/>
      <c r="P2052" s="76"/>
      <c r="Q2052" s="76"/>
      <c r="R2052" s="76"/>
      <c r="S2052" s="76"/>
      <c r="T2052" s="76"/>
      <c r="U2052" s="76"/>
      <c r="V2052" s="76"/>
      <c r="W2052" s="76"/>
      <c r="X2052" s="76"/>
      <c r="Y2052" s="76"/>
      <c r="Z2052" s="76"/>
      <c r="AA2052" s="76"/>
      <c r="AB2052" s="76"/>
      <c r="AC2052" s="76"/>
      <c r="AD2052" s="76"/>
      <c r="AE2052" s="76"/>
      <c r="AF2052" s="76"/>
      <c r="AG2052" s="76"/>
      <c r="AH2052" s="76"/>
      <c r="AI2052" s="76">
        <v>1</v>
      </c>
      <c r="AJ2052" s="76">
        <v>1</v>
      </c>
      <c r="AK2052" s="73"/>
      <c r="AL2052" s="57"/>
      <c r="AM2052" s="45"/>
      <c r="AN2052" s="45"/>
      <c r="AO2052" s="45"/>
    </row>
    <row r="2053" spans="1:41" hidden="1" outlineLevel="3" x14ac:dyDescent="0.25">
      <c r="A2053" s="45"/>
      <c r="B2053" s="54"/>
      <c r="C2053" s="47"/>
      <c r="D2053" s="73"/>
      <c r="E2053" s="70"/>
      <c r="F2053" s="70" t="s">
        <v>3688</v>
      </c>
      <c r="G2053" s="73"/>
      <c r="H2053" s="76"/>
      <c r="I2053" s="76"/>
      <c r="J2053" s="76"/>
      <c r="K2053" s="76"/>
      <c r="L2053" s="76"/>
      <c r="M2053" s="76"/>
      <c r="N2053" s="76"/>
      <c r="O2053" s="76"/>
      <c r="P2053" s="76"/>
      <c r="Q2053" s="76"/>
      <c r="R2053" s="76"/>
      <c r="S2053" s="76"/>
      <c r="T2053" s="76"/>
      <c r="U2053" s="76"/>
      <c r="V2053" s="76"/>
      <c r="W2053" s="76"/>
      <c r="X2053" s="76"/>
      <c r="Y2053" s="76"/>
      <c r="Z2053" s="76"/>
      <c r="AA2053" s="76"/>
      <c r="AB2053" s="76"/>
      <c r="AC2053" s="76"/>
      <c r="AD2053" s="76"/>
      <c r="AE2053" s="76"/>
      <c r="AF2053" s="76"/>
      <c r="AG2053" s="76"/>
      <c r="AH2053" s="76"/>
      <c r="AI2053" s="76">
        <v>1</v>
      </c>
      <c r="AJ2053" s="76">
        <v>1</v>
      </c>
      <c r="AK2053" s="73"/>
      <c r="AL2053" s="57"/>
      <c r="AM2053" s="45"/>
      <c r="AN2053" s="45"/>
      <c r="AO2053" s="45"/>
    </row>
    <row r="2054" spans="1:41" hidden="1" outlineLevel="3" x14ac:dyDescent="0.25">
      <c r="A2054" s="45"/>
      <c r="B2054" s="54"/>
      <c r="C2054" s="47"/>
      <c r="D2054" s="73"/>
      <c r="E2054" s="70"/>
      <c r="F2054" s="70" t="s">
        <v>3689</v>
      </c>
      <c r="G2054" s="73"/>
      <c r="H2054" s="76"/>
      <c r="I2054" s="76"/>
      <c r="J2054" s="76"/>
      <c r="K2054" s="76"/>
      <c r="L2054" s="76"/>
      <c r="M2054" s="76"/>
      <c r="N2054" s="76"/>
      <c r="O2054" s="76"/>
      <c r="P2054" s="76"/>
      <c r="Q2054" s="76"/>
      <c r="R2054" s="76"/>
      <c r="S2054" s="76"/>
      <c r="T2054" s="76"/>
      <c r="U2054" s="76"/>
      <c r="V2054" s="76"/>
      <c r="W2054" s="76"/>
      <c r="X2054" s="76"/>
      <c r="Y2054" s="76"/>
      <c r="Z2054" s="76"/>
      <c r="AA2054" s="76"/>
      <c r="AB2054" s="76"/>
      <c r="AC2054" s="76"/>
      <c r="AD2054" s="76"/>
      <c r="AE2054" s="76"/>
      <c r="AF2054" s="76"/>
      <c r="AG2054" s="76"/>
      <c r="AH2054" s="76"/>
      <c r="AI2054" s="76">
        <v>1</v>
      </c>
      <c r="AJ2054" s="76">
        <v>1</v>
      </c>
      <c r="AK2054" s="73"/>
      <c r="AL2054" s="57"/>
      <c r="AM2054" s="45"/>
      <c r="AN2054" s="45"/>
      <c r="AO2054" s="45"/>
    </row>
    <row r="2055" spans="1:41" hidden="1" outlineLevel="3" x14ac:dyDescent="0.25">
      <c r="A2055" s="45"/>
      <c r="B2055" s="54"/>
      <c r="C2055" s="47">
        <f t="shared" ref="C2055:C2066" si="693">INT($C$29)+3</f>
        <v>4</v>
      </c>
      <c r="D2055" s="73"/>
      <c r="E2055" s="70"/>
      <c r="F2055" s="70" t="str">
        <f>SUBSTITUTE(F2051,",4)",",8)")</f>
        <v>C(U6,20,8)</v>
      </c>
      <c r="G2055" s="73"/>
      <c r="H2055" s="76"/>
      <c r="I2055" s="96"/>
      <c r="J2055" s="76"/>
      <c r="K2055" s="76"/>
      <c r="L2055" s="76"/>
      <c r="M2055" s="76"/>
      <c r="N2055" s="76"/>
      <c r="O2055" s="76"/>
      <c r="P2055" s="76"/>
      <c r="Q2055" s="76"/>
      <c r="R2055" s="76"/>
      <c r="S2055" s="76"/>
      <c r="T2055" s="76"/>
      <c r="U2055" s="76"/>
      <c r="V2055" s="76"/>
      <c r="W2055" s="76"/>
      <c r="X2055" s="76"/>
      <c r="Y2055" s="76"/>
      <c r="Z2055" s="76"/>
      <c r="AA2055" s="76"/>
      <c r="AB2055" s="76"/>
      <c r="AC2055" s="76"/>
      <c r="AD2055" s="76"/>
      <c r="AE2055" s="76"/>
      <c r="AF2055" s="76"/>
      <c r="AG2055" s="76"/>
      <c r="AH2055" s="76"/>
      <c r="AI2055" s="76">
        <v>1</v>
      </c>
      <c r="AJ2055" s="76">
        <v>1</v>
      </c>
      <c r="AK2055" s="73"/>
      <c r="AL2055" s="57"/>
      <c r="AM2055" s="45"/>
      <c r="AN2055" s="45"/>
      <c r="AO2055" s="45"/>
    </row>
    <row r="2056" spans="1:41" hidden="1" outlineLevel="3" x14ac:dyDescent="0.25">
      <c r="A2056" s="45"/>
      <c r="B2056" s="54"/>
      <c r="C2056" s="47">
        <f t="shared" si="693"/>
        <v>4</v>
      </c>
      <c r="D2056" s="73"/>
      <c r="E2056" s="70"/>
      <c r="F2056" s="70" t="str">
        <f>SUBSTITUTE(F2052,",5)",",9)")</f>
        <v>C(U6,20,9)</v>
      </c>
      <c r="G2056" s="73"/>
      <c r="H2056" s="76"/>
      <c r="I2056" s="96"/>
      <c r="J2056" s="76"/>
      <c r="K2056" s="76"/>
      <c r="L2056" s="76"/>
      <c r="M2056" s="76"/>
      <c r="N2056" s="76"/>
      <c r="O2056" s="76"/>
      <c r="P2056" s="76"/>
      <c r="Q2056" s="76"/>
      <c r="R2056" s="76"/>
      <c r="S2056" s="76"/>
      <c r="T2056" s="76"/>
      <c r="U2056" s="76"/>
      <c r="V2056" s="76"/>
      <c r="W2056" s="76"/>
      <c r="X2056" s="76"/>
      <c r="Y2056" s="76"/>
      <c r="Z2056" s="76"/>
      <c r="AA2056" s="76"/>
      <c r="AB2056" s="76"/>
      <c r="AC2056" s="76"/>
      <c r="AD2056" s="76"/>
      <c r="AE2056" s="76"/>
      <c r="AF2056" s="76"/>
      <c r="AG2056" s="76"/>
      <c r="AH2056" s="76"/>
      <c r="AI2056" s="76">
        <v>1</v>
      </c>
      <c r="AJ2056" s="76">
        <v>1</v>
      </c>
      <c r="AK2056" s="73"/>
      <c r="AL2056" s="57"/>
      <c r="AM2056" s="45"/>
      <c r="AN2056" s="45"/>
      <c r="AO2056" s="45"/>
    </row>
    <row r="2057" spans="1:41" hidden="1" outlineLevel="3" x14ac:dyDescent="0.25">
      <c r="A2057" s="45"/>
      <c r="B2057" s="54"/>
      <c r="C2057" s="47">
        <f t="shared" si="693"/>
        <v>4</v>
      </c>
      <c r="D2057" s="73"/>
      <c r="E2057" s="70"/>
      <c r="F2057" s="70" t="str">
        <f>SUBSTITUTE(F2053,",6)",",10)")</f>
        <v>C(U6,20,10)</v>
      </c>
      <c r="G2057" s="73"/>
      <c r="H2057" s="76"/>
      <c r="I2057" s="96"/>
      <c r="J2057" s="76"/>
      <c r="K2057" s="76"/>
      <c r="L2057" s="76"/>
      <c r="M2057" s="76"/>
      <c r="N2057" s="76"/>
      <c r="O2057" s="76"/>
      <c r="P2057" s="76"/>
      <c r="Q2057" s="76"/>
      <c r="R2057" s="76"/>
      <c r="S2057" s="76"/>
      <c r="T2057" s="76"/>
      <c r="U2057" s="76"/>
      <c r="V2057" s="76"/>
      <c r="W2057" s="76"/>
      <c r="X2057" s="76"/>
      <c r="Y2057" s="76"/>
      <c r="Z2057" s="76"/>
      <c r="AA2057" s="76"/>
      <c r="AB2057" s="76"/>
      <c r="AC2057" s="76"/>
      <c r="AD2057" s="76"/>
      <c r="AE2057" s="76"/>
      <c r="AF2057" s="76"/>
      <c r="AG2057" s="76"/>
      <c r="AH2057" s="76"/>
      <c r="AI2057" s="76">
        <v>1</v>
      </c>
      <c r="AJ2057" s="76">
        <v>1</v>
      </c>
      <c r="AK2057" s="73"/>
      <c r="AL2057" s="57"/>
      <c r="AM2057" s="45"/>
      <c r="AN2057" s="45"/>
      <c r="AO2057" s="45"/>
    </row>
    <row r="2058" spans="1:41" hidden="1" outlineLevel="3" x14ac:dyDescent="0.25">
      <c r="A2058" s="45"/>
      <c r="B2058" s="54"/>
      <c r="C2058" s="47">
        <f t="shared" si="693"/>
        <v>4</v>
      </c>
      <c r="D2058" s="73"/>
      <c r="E2058" s="70"/>
      <c r="F2058" s="70" t="str">
        <f>SUBSTITUTE(F2054,",7)",",11)")</f>
        <v>C(U6,20,11)</v>
      </c>
      <c r="G2058" s="73"/>
      <c r="H2058" s="76"/>
      <c r="I2058" s="96"/>
      <c r="J2058" s="76"/>
      <c r="K2058" s="76"/>
      <c r="L2058" s="76"/>
      <c r="M2058" s="76"/>
      <c r="N2058" s="76"/>
      <c r="O2058" s="76"/>
      <c r="P2058" s="76"/>
      <c r="Q2058" s="76"/>
      <c r="R2058" s="76"/>
      <c r="S2058" s="76"/>
      <c r="T2058" s="76"/>
      <c r="U2058" s="76"/>
      <c r="V2058" s="76"/>
      <c r="W2058" s="76"/>
      <c r="X2058" s="76"/>
      <c r="Y2058" s="76"/>
      <c r="Z2058" s="76"/>
      <c r="AA2058" s="76"/>
      <c r="AB2058" s="76"/>
      <c r="AC2058" s="76"/>
      <c r="AD2058" s="76"/>
      <c r="AE2058" s="76"/>
      <c r="AF2058" s="76"/>
      <c r="AG2058" s="76"/>
      <c r="AH2058" s="76"/>
      <c r="AI2058" s="76">
        <v>1</v>
      </c>
      <c r="AJ2058" s="76">
        <v>1</v>
      </c>
      <c r="AK2058" s="73"/>
      <c r="AL2058" s="57"/>
      <c r="AM2058" s="45"/>
      <c r="AN2058" s="45"/>
      <c r="AO2058" s="45"/>
    </row>
    <row r="2059" spans="1:41" hidden="1" outlineLevel="3" x14ac:dyDescent="0.25">
      <c r="A2059" s="45"/>
      <c r="B2059" s="54"/>
      <c r="C2059" s="47">
        <f t="shared" si="693"/>
        <v>4</v>
      </c>
      <c r="D2059" s="73"/>
      <c r="E2059" s="70"/>
      <c r="F2059" s="70" t="str">
        <f>SUBSTITUTE(F2053,",6)",",12)")</f>
        <v>C(U6,20,12)</v>
      </c>
      <c r="G2059" s="73"/>
      <c r="H2059" s="76"/>
      <c r="I2059" s="96"/>
      <c r="J2059" s="76"/>
      <c r="K2059" s="76"/>
      <c r="L2059" s="76"/>
      <c r="M2059" s="76"/>
      <c r="N2059" s="76"/>
      <c r="O2059" s="76"/>
      <c r="P2059" s="76"/>
      <c r="Q2059" s="76"/>
      <c r="R2059" s="76"/>
      <c r="S2059" s="76"/>
      <c r="T2059" s="76"/>
      <c r="U2059" s="76"/>
      <c r="V2059" s="76"/>
      <c r="W2059" s="76"/>
      <c r="X2059" s="76"/>
      <c r="Y2059" s="76"/>
      <c r="Z2059" s="76"/>
      <c r="AA2059" s="76"/>
      <c r="AB2059" s="76"/>
      <c r="AC2059" s="76"/>
      <c r="AD2059" s="76"/>
      <c r="AE2059" s="76"/>
      <c r="AF2059" s="76"/>
      <c r="AG2059" s="76"/>
      <c r="AH2059" s="76"/>
      <c r="AI2059" s="76">
        <v>1</v>
      </c>
      <c r="AJ2059" s="76">
        <v>1</v>
      </c>
      <c r="AK2059" s="73"/>
      <c r="AL2059" s="57"/>
      <c r="AM2059" s="45"/>
      <c r="AN2059" s="45"/>
      <c r="AO2059" s="45"/>
    </row>
    <row r="2060" spans="1:41" hidden="1" outlineLevel="3" x14ac:dyDescent="0.25">
      <c r="A2060" s="45"/>
      <c r="B2060" s="54"/>
      <c r="C2060" s="47">
        <f t="shared" si="693"/>
        <v>4</v>
      </c>
      <c r="D2060" s="73"/>
      <c r="E2060" s="70"/>
      <c r="F2060" s="70" t="str">
        <f>SUBSTITUTE(F2054,",7)",",13)")</f>
        <v>C(U6,20,13)</v>
      </c>
      <c r="G2060" s="73"/>
      <c r="H2060" s="76"/>
      <c r="I2060" s="96"/>
      <c r="J2060" s="76"/>
      <c r="K2060" s="76"/>
      <c r="L2060" s="76"/>
      <c r="M2060" s="76"/>
      <c r="N2060" s="76"/>
      <c r="O2060" s="76"/>
      <c r="P2060" s="76"/>
      <c r="Q2060" s="76"/>
      <c r="R2060" s="76"/>
      <c r="S2060" s="76"/>
      <c r="T2060" s="76"/>
      <c r="U2060" s="76"/>
      <c r="V2060" s="76"/>
      <c r="W2060" s="76"/>
      <c r="X2060" s="76"/>
      <c r="Y2060" s="76"/>
      <c r="Z2060" s="76"/>
      <c r="AA2060" s="76"/>
      <c r="AB2060" s="76"/>
      <c r="AC2060" s="76"/>
      <c r="AD2060" s="76"/>
      <c r="AE2060" s="76"/>
      <c r="AF2060" s="76"/>
      <c r="AG2060" s="76"/>
      <c r="AH2060" s="76"/>
      <c r="AI2060" s="76">
        <v>1</v>
      </c>
      <c r="AJ2060" s="76">
        <v>1</v>
      </c>
      <c r="AK2060" s="73"/>
      <c r="AL2060" s="57"/>
      <c r="AM2060" s="45"/>
      <c r="AN2060" s="45"/>
      <c r="AO2060" s="45"/>
    </row>
    <row r="2061" spans="1:41" hidden="1" outlineLevel="3" x14ac:dyDescent="0.25">
      <c r="A2061" s="45"/>
      <c r="B2061" s="54"/>
      <c r="C2061" s="47">
        <f t="shared" si="693"/>
        <v>4</v>
      </c>
      <c r="D2061" s="73"/>
      <c r="E2061" s="70"/>
      <c r="F2061" s="70" t="s">
        <v>3690</v>
      </c>
      <c r="G2061" s="73"/>
      <c r="H2061" s="76"/>
      <c r="I2061" s="76"/>
      <c r="J2061" s="76"/>
      <c r="K2061" s="76"/>
      <c r="L2061" s="76"/>
      <c r="M2061" s="76"/>
      <c r="N2061" s="76"/>
      <c r="O2061" s="76"/>
      <c r="P2061" s="76"/>
      <c r="Q2061" s="76"/>
      <c r="R2061" s="76"/>
      <c r="S2061" s="76"/>
      <c r="T2061" s="76"/>
      <c r="U2061" s="76"/>
      <c r="V2061" s="76"/>
      <c r="W2061" s="76"/>
      <c r="X2061" s="76"/>
      <c r="Y2061" s="76"/>
      <c r="Z2061" s="76"/>
      <c r="AA2061" s="76"/>
      <c r="AB2061" s="76"/>
      <c r="AC2061" s="76"/>
      <c r="AD2061" s="76"/>
      <c r="AE2061" s="76"/>
      <c r="AF2061" s="76"/>
      <c r="AG2061" s="76"/>
      <c r="AH2061" s="76"/>
      <c r="AI2061" s="76">
        <v>1</v>
      </c>
      <c r="AJ2061" s="76">
        <v>1</v>
      </c>
      <c r="AK2061" s="73"/>
      <c r="AL2061" s="57"/>
      <c r="AM2061" s="45"/>
      <c r="AN2061" s="45"/>
      <c r="AO2061" s="45"/>
    </row>
    <row r="2062" spans="1:41" hidden="1" outlineLevel="3" x14ac:dyDescent="0.25">
      <c r="A2062" s="45"/>
      <c r="B2062" s="54"/>
      <c r="C2062" s="47">
        <f t="shared" si="693"/>
        <v>4</v>
      </c>
      <c r="D2062" s="73"/>
      <c r="E2062" s="70"/>
      <c r="F2062" s="70" t="s">
        <v>3691</v>
      </c>
      <c r="G2062" s="73"/>
      <c r="H2062" s="76" t="s">
        <v>599</v>
      </c>
      <c r="I2062" s="76"/>
      <c r="J2062" s="76"/>
      <c r="K2062" s="76"/>
      <c r="L2062" s="76"/>
      <c r="M2062" s="76"/>
      <c r="N2062" s="76"/>
      <c r="O2062" s="76"/>
      <c r="P2062" s="76"/>
      <c r="Q2062" s="76"/>
      <c r="R2062" s="76"/>
      <c r="S2062" s="76"/>
      <c r="T2062" s="76"/>
      <c r="U2062" s="76"/>
      <c r="V2062" s="76"/>
      <c r="W2062" s="76"/>
      <c r="X2062" s="76"/>
      <c r="Y2062" s="76"/>
      <c r="Z2062" s="76"/>
      <c r="AA2062" s="76"/>
      <c r="AB2062" s="76"/>
      <c r="AC2062" s="76"/>
      <c r="AD2062" s="76"/>
      <c r="AE2062" s="76"/>
      <c r="AF2062" s="76"/>
      <c r="AG2062" s="76"/>
      <c r="AH2062" s="76"/>
      <c r="AI2062" s="76">
        <v>1</v>
      </c>
      <c r="AJ2062" s="76">
        <v>1</v>
      </c>
      <c r="AK2062" s="73"/>
      <c r="AL2062" s="57"/>
      <c r="AM2062" s="45"/>
      <c r="AN2062" s="45"/>
      <c r="AO2062" s="45"/>
    </row>
    <row r="2063" spans="1:41" hidden="1" outlineLevel="3" x14ac:dyDescent="0.25">
      <c r="A2063" s="45"/>
      <c r="B2063" s="54"/>
      <c r="C2063" s="47">
        <f t="shared" si="693"/>
        <v>4</v>
      </c>
      <c r="D2063" s="73"/>
      <c r="E2063" s="70"/>
      <c r="F2063" s="70" t="s">
        <v>3692</v>
      </c>
      <c r="G2063" s="73"/>
      <c r="H2063" s="76"/>
      <c r="I2063" s="76"/>
      <c r="J2063" s="76"/>
      <c r="K2063" s="76"/>
      <c r="L2063" s="76"/>
      <c r="M2063" s="76"/>
      <c r="N2063" s="76"/>
      <c r="O2063" s="76"/>
      <c r="P2063" s="76"/>
      <c r="Q2063" s="76"/>
      <c r="R2063" s="76"/>
      <c r="S2063" s="76"/>
      <c r="T2063" s="76"/>
      <c r="U2063" s="76"/>
      <c r="V2063" s="76"/>
      <c r="W2063" s="76"/>
      <c r="X2063" s="76"/>
      <c r="Y2063" s="76"/>
      <c r="Z2063" s="76"/>
      <c r="AA2063" s="76"/>
      <c r="AB2063" s="76"/>
      <c r="AC2063" s="76"/>
      <c r="AD2063" s="76"/>
      <c r="AE2063" s="76"/>
      <c r="AF2063" s="76"/>
      <c r="AG2063" s="76"/>
      <c r="AH2063" s="76"/>
      <c r="AI2063" s="76">
        <v>1</v>
      </c>
      <c r="AJ2063" s="76">
        <v>1</v>
      </c>
      <c r="AK2063" s="73"/>
      <c r="AL2063" s="57"/>
      <c r="AM2063" s="45"/>
      <c r="AN2063" s="45"/>
      <c r="AO2063" s="45"/>
    </row>
    <row r="2064" spans="1:41" hidden="1" outlineLevel="3" x14ac:dyDescent="0.25">
      <c r="A2064" s="45"/>
      <c r="B2064" s="54"/>
      <c r="C2064" s="47">
        <f t="shared" si="693"/>
        <v>4</v>
      </c>
      <c r="D2064" s="73"/>
      <c r="E2064" s="70"/>
      <c r="F2064" s="70" t="s">
        <v>3693</v>
      </c>
      <c r="G2064" s="73"/>
      <c r="H2064" s="76"/>
      <c r="I2064" s="76"/>
      <c r="J2064" s="76"/>
      <c r="K2064" s="76"/>
      <c r="L2064" s="76"/>
      <c r="M2064" s="76"/>
      <c r="N2064" s="76"/>
      <c r="O2064" s="76"/>
      <c r="P2064" s="76"/>
      <c r="Q2064" s="76"/>
      <c r="R2064" s="76"/>
      <c r="S2064" s="76"/>
      <c r="T2064" s="76"/>
      <c r="U2064" s="76"/>
      <c r="V2064" s="76"/>
      <c r="W2064" s="76"/>
      <c r="X2064" s="76"/>
      <c r="Y2064" s="76"/>
      <c r="Z2064" s="76"/>
      <c r="AA2064" s="76"/>
      <c r="AB2064" s="76"/>
      <c r="AC2064" s="76"/>
      <c r="AD2064" s="76"/>
      <c r="AE2064" s="76"/>
      <c r="AF2064" s="76"/>
      <c r="AG2064" s="76"/>
      <c r="AH2064" s="76"/>
      <c r="AI2064" s="76">
        <v>1</v>
      </c>
      <c r="AJ2064" s="76">
        <v>1</v>
      </c>
      <c r="AK2064" s="73"/>
      <c r="AL2064" s="57"/>
      <c r="AM2064" s="45"/>
      <c r="AN2064" s="45"/>
      <c r="AO2064" s="45"/>
    </row>
    <row r="2065" spans="1:41" hidden="1" outlineLevel="3" x14ac:dyDescent="0.25">
      <c r="A2065" s="45"/>
      <c r="B2065" s="54"/>
      <c r="C2065" s="47">
        <f t="shared" si="693"/>
        <v>4</v>
      </c>
      <c r="D2065" s="73"/>
      <c r="E2065" s="70"/>
      <c r="F2065" s="70" t="s">
        <v>3694</v>
      </c>
      <c r="G2065" s="73"/>
      <c r="H2065" s="76"/>
      <c r="I2065" s="76"/>
      <c r="J2065" s="76"/>
      <c r="K2065" s="76"/>
      <c r="L2065" s="76"/>
      <c r="M2065" s="76"/>
      <c r="N2065" s="76"/>
      <c r="O2065" s="76"/>
      <c r="P2065" s="76"/>
      <c r="Q2065" s="76"/>
      <c r="R2065" s="76"/>
      <c r="S2065" s="76"/>
      <c r="T2065" s="76"/>
      <c r="U2065" s="76"/>
      <c r="V2065" s="76"/>
      <c r="W2065" s="76"/>
      <c r="X2065" s="76"/>
      <c r="Y2065" s="76"/>
      <c r="Z2065" s="76"/>
      <c r="AA2065" s="76"/>
      <c r="AB2065" s="76"/>
      <c r="AC2065" s="76"/>
      <c r="AD2065" s="76"/>
      <c r="AE2065" s="76"/>
      <c r="AF2065" s="76"/>
      <c r="AG2065" s="76"/>
      <c r="AH2065" s="76"/>
      <c r="AI2065" s="76">
        <v>1</v>
      </c>
      <c r="AJ2065" s="76">
        <v>1</v>
      </c>
      <c r="AK2065" s="73"/>
      <c r="AL2065" s="57"/>
      <c r="AM2065" s="45"/>
      <c r="AN2065" s="45"/>
      <c r="AO2065" s="45"/>
    </row>
    <row r="2066" spans="1:41" hidden="1" outlineLevel="3" x14ac:dyDescent="0.25">
      <c r="A2066" s="45"/>
      <c r="B2066" s="54"/>
      <c r="C2066" s="47">
        <f t="shared" si="693"/>
        <v>4</v>
      </c>
      <c r="D2066" s="73"/>
      <c r="E2066" s="70"/>
      <c r="F2066" s="70" t="s">
        <v>3695</v>
      </c>
      <c r="G2066" s="73"/>
      <c r="H2066" s="76"/>
      <c r="I2066" s="76"/>
      <c r="J2066" s="76"/>
      <c r="K2066" s="76"/>
      <c r="L2066" s="76"/>
      <c r="M2066" s="76"/>
      <c r="N2066" s="76"/>
      <c r="O2066" s="76"/>
      <c r="P2066" s="76"/>
      <c r="Q2066" s="76"/>
      <c r="R2066" s="76"/>
      <c r="S2066" s="76"/>
      <c r="T2066" s="76"/>
      <c r="U2066" s="76"/>
      <c r="V2066" s="76"/>
      <c r="W2066" s="76"/>
      <c r="X2066" s="76"/>
      <c r="Y2066" s="76"/>
      <c r="Z2066" s="76"/>
      <c r="AA2066" s="76"/>
      <c r="AB2066" s="76"/>
      <c r="AC2066" s="76"/>
      <c r="AD2066" s="76"/>
      <c r="AE2066" s="76"/>
      <c r="AF2066" s="76"/>
      <c r="AG2066" s="76"/>
      <c r="AH2066" s="76"/>
      <c r="AI2066" s="76">
        <v>1</v>
      </c>
      <c r="AJ2066" s="76">
        <v>1</v>
      </c>
      <c r="AK2066" s="73"/>
      <c r="AL2066" s="57"/>
      <c r="AM2066" s="45"/>
      <c r="AN2066" s="45"/>
      <c r="AO2066" s="45"/>
    </row>
    <row r="2067" spans="1:41" hidden="1" outlineLevel="3" x14ac:dyDescent="0.25">
      <c r="A2067" s="45"/>
      <c r="B2067" s="54"/>
      <c r="C2067" s="47"/>
      <c r="D2067" s="73"/>
      <c r="E2067" s="70"/>
      <c r="F2067" s="70" t="s">
        <v>3696</v>
      </c>
      <c r="G2067" s="73"/>
      <c r="H2067" s="76"/>
      <c r="I2067" s="76"/>
      <c r="J2067" s="76"/>
      <c r="K2067" s="76"/>
      <c r="L2067" s="76"/>
      <c r="M2067" s="76"/>
      <c r="N2067" s="76"/>
      <c r="O2067" s="76"/>
      <c r="P2067" s="76"/>
      <c r="Q2067" s="76"/>
      <c r="R2067" s="76"/>
      <c r="S2067" s="76"/>
      <c r="T2067" s="76"/>
      <c r="U2067" s="76"/>
      <c r="V2067" s="76"/>
      <c r="W2067" s="76"/>
      <c r="X2067" s="76"/>
      <c r="Y2067" s="76"/>
      <c r="Z2067" s="76"/>
      <c r="AA2067" s="76"/>
      <c r="AB2067" s="76"/>
      <c r="AC2067" s="76"/>
      <c r="AD2067" s="76"/>
      <c r="AE2067" s="76"/>
      <c r="AF2067" s="76"/>
      <c r="AG2067" s="76"/>
      <c r="AH2067" s="76"/>
      <c r="AI2067" s="76">
        <v>1</v>
      </c>
      <c r="AJ2067" s="76">
        <v>1</v>
      </c>
      <c r="AK2067" s="73"/>
      <c r="AL2067" s="57"/>
      <c r="AM2067" s="45"/>
      <c r="AN2067" s="45"/>
      <c r="AO2067" s="45"/>
    </row>
    <row r="2068" spans="1:41" hidden="1" outlineLevel="3" x14ac:dyDescent="0.25">
      <c r="A2068" s="45"/>
      <c r="B2068" s="54"/>
      <c r="C2068" s="47"/>
      <c r="D2068" s="73"/>
      <c r="E2068" s="70"/>
      <c r="F2068" s="70" t="s">
        <v>3697</v>
      </c>
      <c r="G2068" s="73"/>
      <c r="H2068" s="76"/>
      <c r="I2068" s="76"/>
      <c r="J2068" s="76"/>
      <c r="K2068" s="76"/>
      <c r="L2068" s="76"/>
      <c r="M2068" s="76"/>
      <c r="N2068" s="76"/>
      <c r="O2068" s="76"/>
      <c r="P2068" s="76"/>
      <c r="Q2068" s="76"/>
      <c r="R2068" s="76"/>
      <c r="S2068" s="76"/>
      <c r="T2068" s="76"/>
      <c r="U2068" s="76"/>
      <c r="V2068" s="76"/>
      <c r="W2068" s="76"/>
      <c r="X2068" s="76"/>
      <c r="Y2068" s="76"/>
      <c r="Z2068" s="76"/>
      <c r="AA2068" s="76"/>
      <c r="AB2068" s="76"/>
      <c r="AC2068" s="76"/>
      <c r="AD2068" s="76"/>
      <c r="AE2068" s="76"/>
      <c r="AF2068" s="76"/>
      <c r="AG2068" s="76"/>
      <c r="AH2068" s="76"/>
      <c r="AI2068" s="76">
        <v>1</v>
      </c>
      <c r="AJ2068" s="76">
        <v>1</v>
      </c>
      <c r="AK2068" s="73"/>
      <c r="AL2068" s="57"/>
      <c r="AM2068" s="45"/>
      <c r="AN2068" s="45"/>
      <c r="AO2068" s="45"/>
    </row>
    <row r="2069" spans="1:41" hidden="1" outlineLevel="3" x14ac:dyDescent="0.25">
      <c r="A2069" s="45"/>
      <c r="B2069" s="54"/>
      <c r="C2069" s="47"/>
      <c r="D2069" s="73"/>
      <c r="E2069" s="70"/>
      <c r="F2069" s="70" t="s">
        <v>3698</v>
      </c>
      <c r="G2069" s="73"/>
      <c r="H2069" s="76"/>
      <c r="I2069" s="76"/>
      <c r="J2069" s="76"/>
      <c r="K2069" s="76"/>
      <c r="L2069" s="76"/>
      <c r="M2069" s="76"/>
      <c r="N2069" s="76"/>
      <c r="O2069" s="76"/>
      <c r="P2069" s="76"/>
      <c r="Q2069" s="76"/>
      <c r="R2069" s="76"/>
      <c r="S2069" s="76"/>
      <c r="T2069" s="76"/>
      <c r="U2069" s="76"/>
      <c r="V2069" s="76"/>
      <c r="W2069" s="76"/>
      <c r="X2069" s="76"/>
      <c r="Y2069" s="76"/>
      <c r="Z2069" s="76"/>
      <c r="AA2069" s="76"/>
      <c r="AB2069" s="76"/>
      <c r="AC2069" s="76"/>
      <c r="AD2069" s="76"/>
      <c r="AE2069" s="76"/>
      <c r="AF2069" s="76"/>
      <c r="AG2069" s="76"/>
      <c r="AH2069" s="76"/>
      <c r="AI2069" s="76">
        <v>1</v>
      </c>
      <c r="AJ2069" s="76">
        <v>1</v>
      </c>
      <c r="AK2069" s="73"/>
      <c r="AL2069" s="57"/>
      <c r="AM2069" s="45"/>
      <c r="AN2069" s="45"/>
      <c r="AO2069" s="45"/>
    </row>
    <row r="2070" spans="1:41" hidden="1" outlineLevel="3" x14ac:dyDescent="0.25">
      <c r="A2070" s="45"/>
      <c r="B2070" s="54"/>
      <c r="C2070" s="47">
        <f t="shared" ref="C2070:C2081" si="694">INT($C$29)+3</f>
        <v>4</v>
      </c>
      <c r="D2070" s="73"/>
      <c r="E2070" s="70"/>
      <c r="F2070" s="70" t="str">
        <f>SUBSTITUTE(F2066,",4)",",8)")</f>
        <v>C(U6,21,8)</v>
      </c>
      <c r="G2070" s="73"/>
      <c r="H2070" s="76"/>
      <c r="I2070" s="96"/>
      <c r="J2070" s="76"/>
      <c r="K2070" s="76"/>
      <c r="L2070" s="76"/>
      <c r="M2070" s="76"/>
      <c r="N2070" s="76"/>
      <c r="O2070" s="76"/>
      <c r="P2070" s="76"/>
      <c r="Q2070" s="76"/>
      <c r="R2070" s="76"/>
      <c r="S2070" s="76"/>
      <c r="T2070" s="76"/>
      <c r="U2070" s="76"/>
      <c r="V2070" s="76"/>
      <c r="W2070" s="76"/>
      <c r="X2070" s="76"/>
      <c r="Y2070" s="76"/>
      <c r="Z2070" s="76"/>
      <c r="AA2070" s="76"/>
      <c r="AB2070" s="76"/>
      <c r="AC2070" s="76"/>
      <c r="AD2070" s="76"/>
      <c r="AE2070" s="76"/>
      <c r="AF2070" s="76"/>
      <c r="AG2070" s="76"/>
      <c r="AH2070" s="76"/>
      <c r="AI2070" s="76">
        <v>1</v>
      </c>
      <c r="AJ2070" s="76">
        <v>1</v>
      </c>
      <c r="AK2070" s="73"/>
      <c r="AL2070" s="57"/>
      <c r="AM2070" s="45"/>
      <c r="AN2070" s="45"/>
      <c r="AO2070" s="45"/>
    </row>
    <row r="2071" spans="1:41" hidden="1" outlineLevel="3" x14ac:dyDescent="0.25">
      <c r="A2071" s="45"/>
      <c r="B2071" s="54"/>
      <c r="C2071" s="47">
        <f t="shared" si="694"/>
        <v>4</v>
      </c>
      <c r="D2071" s="73"/>
      <c r="E2071" s="70"/>
      <c r="F2071" s="70" t="str">
        <f>SUBSTITUTE(F2067,",5)",",9)")</f>
        <v>C(U6,21,9)</v>
      </c>
      <c r="G2071" s="73"/>
      <c r="H2071" s="76"/>
      <c r="I2071" s="96"/>
      <c r="J2071" s="76"/>
      <c r="K2071" s="76"/>
      <c r="L2071" s="76"/>
      <c r="M2071" s="76"/>
      <c r="N2071" s="76"/>
      <c r="O2071" s="76"/>
      <c r="P2071" s="76"/>
      <c r="Q2071" s="76"/>
      <c r="R2071" s="76"/>
      <c r="S2071" s="76"/>
      <c r="T2071" s="76"/>
      <c r="U2071" s="76"/>
      <c r="V2071" s="76"/>
      <c r="W2071" s="76"/>
      <c r="X2071" s="76"/>
      <c r="Y2071" s="76"/>
      <c r="Z2071" s="76"/>
      <c r="AA2071" s="76"/>
      <c r="AB2071" s="76"/>
      <c r="AC2071" s="76"/>
      <c r="AD2071" s="76"/>
      <c r="AE2071" s="76"/>
      <c r="AF2071" s="76"/>
      <c r="AG2071" s="76"/>
      <c r="AH2071" s="76"/>
      <c r="AI2071" s="76">
        <v>1</v>
      </c>
      <c r="AJ2071" s="76">
        <v>1</v>
      </c>
      <c r="AK2071" s="73"/>
      <c r="AL2071" s="57"/>
      <c r="AM2071" s="45"/>
      <c r="AN2071" s="45"/>
      <c r="AO2071" s="45"/>
    </row>
    <row r="2072" spans="1:41" hidden="1" outlineLevel="3" x14ac:dyDescent="0.25">
      <c r="A2072" s="45"/>
      <c r="B2072" s="54"/>
      <c r="C2072" s="47">
        <f t="shared" si="694"/>
        <v>4</v>
      </c>
      <c r="D2072" s="73"/>
      <c r="E2072" s="70"/>
      <c r="F2072" s="70" t="str">
        <f>SUBSTITUTE(F2068,",6)",",10)")</f>
        <v>C(U6,21,10)</v>
      </c>
      <c r="G2072" s="73"/>
      <c r="H2072" s="76"/>
      <c r="I2072" s="96"/>
      <c r="J2072" s="76"/>
      <c r="K2072" s="76"/>
      <c r="L2072" s="76"/>
      <c r="M2072" s="76"/>
      <c r="N2072" s="76"/>
      <c r="O2072" s="76"/>
      <c r="P2072" s="76"/>
      <c r="Q2072" s="76"/>
      <c r="R2072" s="76"/>
      <c r="S2072" s="76"/>
      <c r="T2072" s="76"/>
      <c r="U2072" s="76"/>
      <c r="V2072" s="76"/>
      <c r="W2072" s="76"/>
      <c r="X2072" s="76"/>
      <c r="Y2072" s="76"/>
      <c r="Z2072" s="76"/>
      <c r="AA2072" s="76"/>
      <c r="AB2072" s="76"/>
      <c r="AC2072" s="76"/>
      <c r="AD2072" s="76"/>
      <c r="AE2072" s="76"/>
      <c r="AF2072" s="76"/>
      <c r="AG2072" s="76"/>
      <c r="AH2072" s="76"/>
      <c r="AI2072" s="76">
        <v>1</v>
      </c>
      <c r="AJ2072" s="76">
        <v>1</v>
      </c>
      <c r="AK2072" s="73"/>
      <c r="AL2072" s="57"/>
      <c r="AM2072" s="45"/>
      <c r="AN2072" s="45"/>
      <c r="AO2072" s="45"/>
    </row>
    <row r="2073" spans="1:41" hidden="1" outlineLevel="3" x14ac:dyDescent="0.25">
      <c r="A2073" s="45"/>
      <c r="B2073" s="54"/>
      <c r="C2073" s="47">
        <f t="shared" si="694"/>
        <v>4</v>
      </c>
      <c r="D2073" s="73"/>
      <c r="E2073" s="70"/>
      <c r="F2073" s="70" t="str">
        <f>SUBSTITUTE(F2069,",7)",",11)")</f>
        <v>C(U6,21,11)</v>
      </c>
      <c r="G2073" s="73"/>
      <c r="H2073" s="76"/>
      <c r="I2073" s="96"/>
      <c r="J2073" s="76"/>
      <c r="K2073" s="76"/>
      <c r="L2073" s="76"/>
      <c r="M2073" s="76"/>
      <c r="N2073" s="76"/>
      <c r="O2073" s="76"/>
      <c r="P2073" s="76"/>
      <c r="Q2073" s="76"/>
      <c r="R2073" s="76"/>
      <c r="S2073" s="76"/>
      <c r="T2073" s="76"/>
      <c r="U2073" s="76"/>
      <c r="V2073" s="76"/>
      <c r="W2073" s="76"/>
      <c r="X2073" s="76"/>
      <c r="Y2073" s="76"/>
      <c r="Z2073" s="76"/>
      <c r="AA2073" s="76"/>
      <c r="AB2073" s="76"/>
      <c r="AC2073" s="76"/>
      <c r="AD2073" s="76"/>
      <c r="AE2073" s="76"/>
      <c r="AF2073" s="76"/>
      <c r="AG2073" s="76"/>
      <c r="AH2073" s="76"/>
      <c r="AI2073" s="76">
        <v>1</v>
      </c>
      <c r="AJ2073" s="76">
        <v>1</v>
      </c>
      <c r="AK2073" s="73"/>
      <c r="AL2073" s="57"/>
      <c r="AM2073" s="45"/>
      <c r="AN2073" s="45"/>
      <c r="AO2073" s="45"/>
    </row>
    <row r="2074" spans="1:41" hidden="1" outlineLevel="3" x14ac:dyDescent="0.25">
      <c r="A2074" s="45"/>
      <c r="B2074" s="54"/>
      <c r="C2074" s="47">
        <f t="shared" si="694"/>
        <v>4</v>
      </c>
      <c r="D2074" s="73"/>
      <c r="E2074" s="70"/>
      <c r="F2074" s="70" t="str">
        <f>SUBSTITUTE(F2068,",6)",",12)")</f>
        <v>C(U6,21,12)</v>
      </c>
      <c r="G2074" s="73"/>
      <c r="H2074" s="76"/>
      <c r="I2074" s="96"/>
      <c r="J2074" s="76"/>
      <c r="K2074" s="76"/>
      <c r="L2074" s="76"/>
      <c r="M2074" s="76"/>
      <c r="N2074" s="76"/>
      <c r="O2074" s="76"/>
      <c r="P2074" s="76"/>
      <c r="Q2074" s="76"/>
      <c r="R2074" s="76"/>
      <c r="S2074" s="76"/>
      <c r="T2074" s="76"/>
      <c r="U2074" s="76"/>
      <c r="V2074" s="76"/>
      <c r="W2074" s="76"/>
      <c r="X2074" s="76"/>
      <c r="Y2074" s="76"/>
      <c r="Z2074" s="76"/>
      <c r="AA2074" s="76"/>
      <c r="AB2074" s="76"/>
      <c r="AC2074" s="76"/>
      <c r="AD2074" s="76"/>
      <c r="AE2074" s="76"/>
      <c r="AF2074" s="76"/>
      <c r="AG2074" s="76"/>
      <c r="AH2074" s="76"/>
      <c r="AI2074" s="76">
        <v>1</v>
      </c>
      <c r="AJ2074" s="76">
        <v>1</v>
      </c>
      <c r="AK2074" s="73"/>
      <c r="AL2074" s="57"/>
      <c r="AM2074" s="45"/>
      <c r="AN2074" s="45"/>
      <c r="AO2074" s="45"/>
    </row>
    <row r="2075" spans="1:41" hidden="1" outlineLevel="3" x14ac:dyDescent="0.25">
      <c r="A2075" s="45"/>
      <c r="B2075" s="54"/>
      <c r="C2075" s="47">
        <f t="shared" si="694"/>
        <v>4</v>
      </c>
      <c r="D2075" s="73"/>
      <c r="E2075" s="70"/>
      <c r="F2075" s="70" t="str">
        <f>SUBSTITUTE(F2069,",7)",",13)")</f>
        <v>C(U6,21,13)</v>
      </c>
      <c r="G2075" s="73"/>
      <c r="H2075" s="76"/>
      <c r="I2075" s="96"/>
      <c r="J2075" s="76"/>
      <c r="K2075" s="76"/>
      <c r="L2075" s="76"/>
      <c r="M2075" s="76"/>
      <c r="N2075" s="76"/>
      <c r="O2075" s="76"/>
      <c r="P2075" s="76"/>
      <c r="Q2075" s="76"/>
      <c r="R2075" s="76"/>
      <c r="S2075" s="76"/>
      <c r="T2075" s="76"/>
      <c r="U2075" s="76"/>
      <c r="V2075" s="76"/>
      <c r="W2075" s="76"/>
      <c r="X2075" s="76"/>
      <c r="Y2075" s="76"/>
      <c r="Z2075" s="76"/>
      <c r="AA2075" s="76"/>
      <c r="AB2075" s="76"/>
      <c r="AC2075" s="76"/>
      <c r="AD2075" s="76"/>
      <c r="AE2075" s="76"/>
      <c r="AF2075" s="76"/>
      <c r="AG2075" s="76"/>
      <c r="AH2075" s="76"/>
      <c r="AI2075" s="76">
        <v>1</v>
      </c>
      <c r="AJ2075" s="76">
        <v>1</v>
      </c>
      <c r="AK2075" s="73"/>
      <c r="AL2075" s="57"/>
      <c r="AM2075" s="45"/>
      <c r="AN2075" s="45"/>
      <c r="AO2075" s="45"/>
    </row>
    <row r="2076" spans="1:41" hidden="1" outlineLevel="3" x14ac:dyDescent="0.25">
      <c r="A2076" s="45"/>
      <c r="B2076" s="54"/>
      <c r="C2076" s="47">
        <f t="shared" si="694"/>
        <v>4</v>
      </c>
      <c r="D2076" s="73"/>
      <c r="E2076" s="70"/>
      <c r="F2076" s="70" t="s">
        <v>3699</v>
      </c>
      <c r="G2076" s="73"/>
      <c r="H2076" s="76"/>
      <c r="I2076" s="76"/>
      <c r="J2076" s="76"/>
      <c r="K2076" s="76"/>
      <c r="L2076" s="76"/>
      <c r="M2076" s="76"/>
      <c r="N2076" s="76"/>
      <c r="O2076" s="76"/>
      <c r="P2076" s="76"/>
      <c r="Q2076" s="76"/>
      <c r="R2076" s="76"/>
      <c r="S2076" s="76"/>
      <c r="T2076" s="76"/>
      <c r="U2076" s="76"/>
      <c r="V2076" s="76"/>
      <c r="W2076" s="76"/>
      <c r="X2076" s="76"/>
      <c r="Y2076" s="76"/>
      <c r="Z2076" s="76"/>
      <c r="AA2076" s="76"/>
      <c r="AB2076" s="76"/>
      <c r="AC2076" s="76"/>
      <c r="AD2076" s="76"/>
      <c r="AE2076" s="76"/>
      <c r="AF2076" s="76"/>
      <c r="AG2076" s="76"/>
      <c r="AH2076" s="76"/>
      <c r="AI2076" s="76">
        <v>1</v>
      </c>
      <c r="AJ2076" s="76">
        <v>1</v>
      </c>
      <c r="AK2076" s="73"/>
      <c r="AL2076" s="57"/>
      <c r="AM2076" s="45"/>
      <c r="AN2076" s="45"/>
      <c r="AO2076" s="45"/>
    </row>
    <row r="2077" spans="1:41" hidden="1" outlineLevel="3" x14ac:dyDescent="0.25">
      <c r="A2077" s="45"/>
      <c r="B2077" s="54"/>
      <c r="C2077" s="47">
        <f t="shared" si="694"/>
        <v>4</v>
      </c>
      <c r="D2077" s="73"/>
      <c r="E2077" s="70"/>
      <c r="F2077" s="70" t="s">
        <v>3700</v>
      </c>
      <c r="G2077" s="73"/>
      <c r="H2077" s="76" t="s">
        <v>599</v>
      </c>
      <c r="I2077" s="76"/>
      <c r="J2077" s="76"/>
      <c r="K2077" s="76"/>
      <c r="L2077" s="76"/>
      <c r="M2077" s="76"/>
      <c r="N2077" s="76"/>
      <c r="O2077" s="76"/>
      <c r="P2077" s="76"/>
      <c r="Q2077" s="76"/>
      <c r="R2077" s="76"/>
      <c r="S2077" s="76"/>
      <c r="T2077" s="76"/>
      <c r="U2077" s="76"/>
      <c r="V2077" s="76"/>
      <c r="W2077" s="76"/>
      <c r="X2077" s="76"/>
      <c r="Y2077" s="76"/>
      <c r="Z2077" s="76"/>
      <c r="AA2077" s="76"/>
      <c r="AB2077" s="76"/>
      <c r="AC2077" s="76"/>
      <c r="AD2077" s="76"/>
      <c r="AE2077" s="76"/>
      <c r="AF2077" s="76"/>
      <c r="AG2077" s="76"/>
      <c r="AH2077" s="76"/>
      <c r="AI2077" s="76">
        <v>1</v>
      </c>
      <c r="AJ2077" s="76">
        <v>1</v>
      </c>
      <c r="AK2077" s="73"/>
      <c r="AL2077" s="57"/>
      <c r="AM2077" s="45"/>
      <c r="AN2077" s="45"/>
      <c r="AO2077" s="45"/>
    </row>
    <row r="2078" spans="1:41" hidden="1" outlineLevel="3" x14ac:dyDescent="0.25">
      <c r="A2078" s="45"/>
      <c r="B2078" s="54"/>
      <c r="C2078" s="47">
        <f t="shared" si="694"/>
        <v>4</v>
      </c>
      <c r="D2078" s="73"/>
      <c r="E2078" s="70"/>
      <c r="F2078" s="70" t="s">
        <v>3701</v>
      </c>
      <c r="G2078" s="73"/>
      <c r="H2078" s="76"/>
      <c r="I2078" s="76"/>
      <c r="J2078" s="76"/>
      <c r="K2078" s="76"/>
      <c r="L2078" s="76"/>
      <c r="M2078" s="76"/>
      <c r="N2078" s="76"/>
      <c r="O2078" s="76"/>
      <c r="P2078" s="76"/>
      <c r="Q2078" s="76"/>
      <c r="R2078" s="76"/>
      <c r="S2078" s="76"/>
      <c r="T2078" s="76"/>
      <c r="U2078" s="76"/>
      <c r="V2078" s="76"/>
      <c r="W2078" s="76"/>
      <c r="X2078" s="76"/>
      <c r="Y2078" s="76"/>
      <c r="Z2078" s="76"/>
      <c r="AA2078" s="76"/>
      <c r="AB2078" s="76"/>
      <c r="AC2078" s="76"/>
      <c r="AD2078" s="76"/>
      <c r="AE2078" s="76"/>
      <c r="AF2078" s="76"/>
      <c r="AG2078" s="76"/>
      <c r="AH2078" s="76"/>
      <c r="AI2078" s="76">
        <v>1</v>
      </c>
      <c r="AJ2078" s="76">
        <v>1</v>
      </c>
      <c r="AK2078" s="73"/>
      <c r="AL2078" s="57"/>
      <c r="AM2078" s="45"/>
      <c r="AN2078" s="45"/>
      <c r="AO2078" s="45"/>
    </row>
    <row r="2079" spans="1:41" hidden="1" outlineLevel="3" x14ac:dyDescent="0.25">
      <c r="A2079" s="45"/>
      <c r="B2079" s="54"/>
      <c r="C2079" s="47">
        <f t="shared" si="694"/>
        <v>4</v>
      </c>
      <c r="D2079" s="73"/>
      <c r="E2079" s="70"/>
      <c r="F2079" s="70" t="s">
        <v>3702</v>
      </c>
      <c r="G2079" s="73"/>
      <c r="H2079" s="76"/>
      <c r="I2079" s="76"/>
      <c r="J2079" s="76"/>
      <c r="K2079" s="76"/>
      <c r="L2079" s="76"/>
      <c r="M2079" s="76"/>
      <c r="N2079" s="76"/>
      <c r="O2079" s="76"/>
      <c r="P2079" s="76"/>
      <c r="Q2079" s="76"/>
      <c r="R2079" s="76"/>
      <c r="S2079" s="76"/>
      <c r="T2079" s="76"/>
      <c r="U2079" s="76"/>
      <c r="V2079" s="76"/>
      <c r="W2079" s="76"/>
      <c r="X2079" s="76"/>
      <c r="Y2079" s="76"/>
      <c r="Z2079" s="76"/>
      <c r="AA2079" s="76"/>
      <c r="AB2079" s="76"/>
      <c r="AC2079" s="76"/>
      <c r="AD2079" s="76"/>
      <c r="AE2079" s="76"/>
      <c r="AF2079" s="76"/>
      <c r="AG2079" s="76"/>
      <c r="AH2079" s="76"/>
      <c r="AI2079" s="76">
        <v>1</v>
      </c>
      <c r="AJ2079" s="76">
        <v>1</v>
      </c>
      <c r="AK2079" s="73"/>
      <c r="AL2079" s="57"/>
      <c r="AM2079" s="45"/>
      <c r="AN2079" s="45"/>
      <c r="AO2079" s="45"/>
    </row>
    <row r="2080" spans="1:41" hidden="1" outlineLevel="3" x14ac:dyDescent="0.25">
      <c r="A2080" s="45"/>
      <c r="B2080" s="54"/>
      <c r="C2080" s="47">
        <f t="shared" si="694"/>
        <v>4</v>
      </c>
      <c r="D2080" s="73"/>
      <c r="E2080" s="70"/>
      <c r="F2080" s="70" t="s">
        <v>3703</v>
      </c>
      <c r="G2080" s="73"/>
      <c r="H2080" s="76"/>
      <c r="I2080" s="76"/>
      <c r="J2080" s="76"/>
      <c r="K2080" s="76"/>
      <c r="L2080" s="76"/>
      <c r="M2080" s="76"/>
      <c r="N2080" s="76"/>
      <c r="O2080" s="76"/>
      <c r="P2080" s="76"/>
      <c r="Q2080" s="76"/>
      <c r="R2080" s="76"/>
      <c r="S2080" s="76"/>
      <c r="T2080" s="76"/>
      <c r="U2080" s="76"/>
      <c r="V2080" s="76"/>
      <c r="W2080" s="76"/>
      <c r="X2080" s="76"/>
      <c r="Y2080" s="76"/>
      <c r="Z2080" s="76"/>
      <c r="AA2080" s="76"/>
      <c r="AB2080" s="76"/>
      <c r="AC2080" s="76"/>
      <c r="AD2080" s="76"/>
      <c r="AE2080" s="76"/>
      <c r="AF2080" s="76"/>
      <c r="AG2080" s="76"/>
      <c r="AH2080" s="76"/>
      <c r="AI2080" s="76">
        <v>1</v>
      </c>
      <c r="AJ2080" s="76">
        <v>1</v>
      </c>
      <c r="AK2080" s="73"/>
      <c r="AL2080" s="57"/>
      <c r="AM2080" s="45"/>
      <c r="AN2080" s="45"/>
      <c r="AO2080" s="45"/>
    </row>
    <row r="2081" spans="1:41" hidden="1" outlineLevel="3" x14ac:dyDescent="0.25">
      <c r="A2081" s="45"/>
      <c r="B2081" s="54"/>
      <c r="C2081" s="47">
        <f t="shared" si="694"/>
        <v>4</v>
      </c>
      <c r="D2081" s="73"/>
      <c r="E2081" s="70"/>
      <c r="F2081" s="70" t="s">
        <v>3704</v>
      </c>
      <c r="G2081" s="73"/>
      <c r="H2081" s="76"/>
      <c r="I2081" s="76"/>
      <c r="J2081" s="76"/>
      <c r="K2081" s="76"/>
      <c r="L2081" s="76"/>
      <c r="M2081" s="76"/>
      <c r="N2081" s="76"/>
      <c r="O2081" s="76"/>
      <c r="P2081" s="76"/>
      <c r="Q2081" s="76"/>
      <c r="R2081" s="76"/>
      <c r="S2081" s="76"/>
      <c r="T2081" s="76"/>
      <c r="U2081" s="76"/>
      <c r="V2081" s="76"/>
      <c r="W2081" s="76"/>
      <c r="X2081" s="76"/>
      <c r="Y2081" s="76"/>
      <c r="Z2081" s="76"/>
      <c r="AA2081" s="76"/>
      <c r="AB2081" s="76"/>
      <c r="AC2081" s="76"/>
      <c r="AD2081" s="76"/>
      <c r="AE2081" s="76"/>
      <c r="AF2081" s="76"/>
      <c r="AG2081" s="76"/>
      <c r="AH2081" s="76"/>
      <c r="AI2081" s="76">
        <v>1</v>
      </c>
      <c r="AJ2081" s="76">
        <v>1</v>
      </c>
      <c r="AK2081" s="73"/>
      <c r="AL2081" s="57"/>
      <c r="AM2081" s="45"/>
      <c r="AN2081" s="45"/>
      <c r="AO2081" s="45"/>
    </row>
    <row r="2082" spans="1:41" hidden="1" outlineLevel="3" x14ac:dyDescent="0.25">
      <c r="A2082" s="45"/>
      <c r="B2082" s="54"/>
      <c r="C2082" s="47"/>
      <c r="D2082" s="73"/>
      <c r="E2082" s="70"/>
      <c r="F2082" s="70" t="s">
        <v>3705</v>
      </c>
      <c r="G2082" s="73"/>
      <c r="H2082" s="76"/>
      <c r="I2082" s="76"/>
      <c r="J2082" s="76"/>
      <c r="K2082" s="76"/>
      <c r="L2082" s="76"/>
      <c r="M2082" s="76"/>
      <c r="N2082" s="76"/>
      <c r="O2082" s="76"/>
      <c r="P2082" s="76"/>
      <c r="Q2082" s="76"/>
      <c r="R2082" s="76"/>
      <c r="S2082" s="76"/>
      <c r="T2082" s="76"/>
      <c r="U2082" s="76"/>
      <c r="V2082" s="76"/>
      <c r="W2082" s="76"/>
      <c r="X2082" s="76"/>
      <c r="Y2082" s="76"/>
      <c r="Z2082" s="76"/>
      <c r="AA2082" s="76"/>
      <c r="AB2082" s="76"/>
      <c r="AC2082" s="76"/>
      <c r="AD2082" s="76"/>
      <c r="AE2082" s="76"/>
      <c r="AF2082" s="76"/>
      <c r="AG2082" s="76"/>
      <c r="AH2082" s="76"/>
      <c r="AI2082" s="76">
        <v>1</v>
      </c>
      <c r="AJ2082" s="76">
        <v>1</v>
      </c>
      <c r="AK2082" s="73"/>
      <c r="AL2082" s="57"/>
      <c r="AM2082" s="45"/>
      <c r="AN2082" s="45"/>
      <c r="AO2082" s="45"/>
    </row>
    <row r="2083" spans="1:41" hidden="1" outlineLevel="3" x14ac:dyDescent="0.25">
      <c r="A2083" s="45"/>
      <c r="B2083" s="54"/>
      <c r="C2083" s="47"/>
      <c r="D2083" s="73"/>
      <c r="E2083" s="70"/>
      <c r="F2083" s="70" t="s">
        <v>3706</v>
      </c>
      <c r="G2083" s="73"/>
      <c r="H2083" s="76"/>
      <c r="I2083" s="76"/>
      <c r="J2083" s="76"/>
      <c r="K2083" s="76"/>
      <c r="L2083" s="76"/>
      <c r="M2083" s="76"/>
      <c r="N2083" s="76"/>
      <c r="O2083" s="76"/>
      <c r="P2083" s="76"/>
      <c r="Q2083" s="76"/>
      <c r="R2083" s="76"/>
      <c r="S2083" s="76"/>
      <c r="T2083" s="76"/>
      <c r="U2083" s="76"/>
      <c r="V2083" s="76"/>
      <c r="W2083" s="76"/>
      <c r="X2083" s="76"/>
      <c r="Y2083" s="76"/>
      <c r="Z2083" s="76"/>
      <c r="AA2083" s="76"/>
      <c r="AB2083" s="76"/>
      <c r="AC2083" s="76"/>
      <c r="AD2083" s="76"/>
      <c r="AE2083" s="76"/>
      <c r="AF2083" s="76"/>
      <c r="AG2083" s="76"/>
      <c r="AH2083" s="76"/>
      <c r="AI2083" s="76">
        <v>1</v>
      </c>
      <c r="AJ2083" s="76">
        <v>1</v>
      </c>
      <c r="AK2083" s="73"/>
      <c r="AL2083" s="57"/>
      <c r="AM2083" s="45"/>
      <c r="AN2083" s="45"/>
      <c r="AO2083" s="45"/>
    </row>
    <row r="2084" spans="1:41" hidden="1" outlineLevel="3" x14ac:dyDescent="0.25">
      <c r="A2084" s="45"/>
      <c r="B2084" s="54"/>
      <c r="C2084" s="47"/>
      <c r="D2084" s="73"/>
      <c r="E2084" s="70"/>
      <c r="F2084" s="70" t="s">
        <v>3707</v>
      </c>
      <c r="G2084" s="73"/>
      <c r="H2084" s="76"/>
      <c r="I2084" s="76"/>
      <c r="J2084" s="76"/>
      <c r="K2084" s="76"/>
      <c r="L2084" s="76"/>
      <c r="M2084" s="76"/>
      <c r="N2084" s="76"/>
      <c r="O2084" s="76"/>
      <c r="P2084" s="76"/>
      <c r="Q2084" s="76"/>
      <c r="R2084" s="76"/>
      <c r="S2084" s="76"/>
      <c r="T2084" s="76"/>
      <c r="U2084" s="76"/>
      <c r="V2084" s="76"/>
      <c r="W2084" s="76"/>
      <c r="X2084" s="76"/>
      <c r="Y2084" s="76"/>
      <c r="Z2084" s="76"/>
      <c r="AA2084" s="76"/>
      <c r="AB2084" s="76"/>
      <c r="AC2084" s="76"/>
      <c r="AD2084" s="76"/>
      <c r="AE2084" s="76"/>
      <c r="AF2084" s="76"/>
      <c r="AG2084" s="76"/>
      <c r="AH2084" s="76"/>
      <c r="AI2084" s="76">
        <v>1</v>
      </c>
      <c r="AJ2084" s="76">
        <v>1</v>
      </c>
      <c r="AK2084" s="73"/>
      <c r="AL2084" s="57"/>
      <c r="AM2084" s="45"/>
      <c r="AN2084" s="45"/>
      <c r="AO2084" s="45"/>
    </row>
    <row r="2085" spans="1:41" hidden="1" outlineLevel="3" x14ac:dyDescent="0.25">
      <c r="A2085" s="45"/>
      <c r="B2085" s="54"/>
      <c r="C2085" s="47">
        <f>INT($C$29)+3</f>
        <v>4</v>
      </c>
      <c r="D2085" s="73"/>
      <c r="E2085" s="70"/>
      <c r="F2085" s="70" t="str">
        <f>SUBSTITUTE(F2081,",4)",",8)")</f>
        <v>C(U6,22,8)</v>
      </c>
      <c r="G2085" s="73"/>
      <c r="H2085" s="76"/>
      <c r="I2085" s="96"/>
      <c r="J2085" s="76"/>
      <c r="K2085" s="76"/>
      <c r="L2085" s="76"/>
      <c r="M2085" s="76"/>
      <c r="N2085" s="76"/>
      <c r="O2085" s="76"/>
      <c r="P2085" s="76"/>
      <c r="Q2085" s="76"/>
      <c r="R2085" s="76"/>
      <c r="S2085" s="76"/>
      <c r="T2085" s="76"/>
      <c r="U2085" s="76"/>
      <c r="V2085" s="76"/>
      <c r="W2085" s="76"/>
      <c r="X2085" s="76"/>
      <c r="Y2085" s="76"/>
      <c r="Z2085" s="76"/>
      <c r="AA2085" s="76"/>
      <c r="AB2085" s="76"/>
      <c r="AC2085" s="76"/>
      <c r="AD2085" s="76"/>
      <c r="AE2085" s="76"/>
      <c r="AF2085" s="76"/>
      <c r="AG2085" s="76"/>
      <c r="AH2085" s="76"/>
      <c r="AI2085" s="76">
        <v>1</v>
      </c>
      <c r="AJ2085" s="76">
        <v>1</v>
      </c>
      <c r="AK2085" s="73"/>
      <c r="AL2085" s="57"/>
      <c r="AM2085" s="45"/>
      <c r="AN2085" s="45"/>
      <c r="AO2085" s="45"/>
    </row>
    <row r="2086" spans="1:41" hidden="1" outlineLevel="3" x14ac:dyDescent="0.25">
      <c r="A2086" s="45"/>
      <c r="B2086" s="54"/>
      <c r="C2086" s="47">
        <f>INT($C$29)+3</f>
        <v>4</v>
      </c>
      <c r="D2086" s="73"/>
      <c r="E2086" s="70"/>
      <c r="F2086" s="70" t="str">
        <f>SUBSTITUTE(F2082,",5)",",9)")</f>
        <v>C(U6,22,9)</v>
      </c>
      <c r="G2086" s="73"/>
      <c r="H2086" s="76"/>
      <c r="I2086" s="96"/>
      <c r="J2086" s="76"/>
      <c r="K2086" s="76"/>
      <c r="L2086" s="76"/>
      <c r="M2086" s="76"/>
      <c r="N2086" s="76"/>
      <c r="O2086" s="76"/>
      <c r="P2086" s="76"/>
      <c r="Q2086" s="76"/>
      <c r="R2086" s="76"/>
      <c r="S2086" s="76"/>
      <c r="T2086" s="76"/>
      <c r="U2086" s="76"/>
      <c r="V2086" s="76"/>
      <c r="W2086" s="76"/>
      <c r="X2086" s="76"/>
      <c r="Y2086" s="76"/>
      <c r="Z2086" s="76"/>
      <c r="AA2086" s="76"/>
      <c r="AB2086" s="76"/>
      <c r="AC2086" s="76"/>
      <c r="AD2086" s="76"/>
      <c r="AE2086" s="76"/>
      <c r="AF2086" s="76"/>
      <c r="AG2086" s="76"/>
      <c r="AH2086" s="76"/>
      <c r="AI2086" s="76">
        <v>1</v>
      </c>
      <c r="AJ2086" s="76">
        <v>1</v>
      </c>
      <c r="AK2086" s="73"/>
      <c r="AL2086" s="57"/>
      <c r="AM2086" s="45"/>
      <c r="AN2086" s="45"/>
      <c r="AO2086" s="45"/>
    </row>
    <row r="2087" spans="1:41" hidden="1" outlineLevel="3" x14ac:dyDescent="0.25">
      <c r="A2087" s="45"/>
      <c r="B2087" s="54"/>
      <c r="C2087" s="47">
        <f>INT($C$29)+3</f>
        <v>4</v>
      </c>
      <c r="D2087" s="73"/>
      <c r="E2087" s="70"/>
      <c r="F2087" s="70" t="str">
        <f>SUBSTITUTE(F2083,",6)",",10)")</f>
        <v>C(U6,22,10)</v>
      </c>
      <c r="G2087" s="73"/>
      <c r="H2087" s="76"/>
      <c r="I2087" s="96"/>
      <c r="J2087" s="76"/>
      <c r="K2087" s="76"/>
      <c r="L2087" s="76"/>
      <c r="M2087" s="76"/>
      <c r="N2087" s="76"/>
      <c r="O2087" s="76"/>
      <c r="P2087" s="76"/>
      <c r="Q2087" s="76"/>
      <c r="R2087" s="76"/>
      <c r="S2087" s="76"/>
      <c r="T2087" s="76"/>
      <c r="U2087" s="76"/>
      <c r="V2087" s="76"/>
      <c r="W2087" s="76"/>
      <c r="X2087" s="76"/>
      <c r="Y2087" s="76"/>
      <c r="Z2087" s="76"/>
      <c r="AA2087" s="76"/>
      <c r="AB2087" s="76"/>
      <c r="AC2087" s="76"/>
      <c r="AD2087" s="76"/>
      <c r="AE2087" s="76"/>
      <c r="AF2087" s="76"/>
      <c r="AG2087" s="76"/>
      <c r="AH2087" s="76"/>
      <c r="AI2087" s="76">
        <v>1</v>
      </c>
      <c r="AJ2087" s="76">
        <v>1</v>
      </c>
      <c r="AK2087" s="73"/>
      <c r="AL2087" s="57"/>
      <c r="AM2087" s="45"/>
      <c r="AN2087" s="45"/>
      <c r="AO2087" s="45"/>
    </row>
    <row r="2088" spans="1:41" hidden="1" outlineLevel="3" x14ac:dyDescent="0.25">
      <c r="A2088" s="45"/>
      <c r="B2088" s="54"/>
      <c r="C2088" s="47">
        <f>INT($C$29)+3</f>
        <v>4</v>
      </c>
      <c r="D2088" s="73"/>
      <c r="E2088" s="70"/>
      <c r="F2088" s="70" t="str">
        <f>SUBSTITUTE(F2084,",7)",",11)")</f>
        <v>C(U6,22,11)</v>
      </c>
      <c r="G2088" s="73"/>
      <c r="H2088" s="76"/>
      <c r="I2088" s="96"/>
      <c r="J2088" s="76"/>
      <c r="K2088" s="76"/>
      <c r="L2088" s="76"/>
      <c r="M2088" s="76"/>
      <c r="N2088" s="76"/>
      <c r="O2088" s="76"/>
      <c r="P2088" s="76"/>
      <c r="Q2088" s="76"/>
      <c r="R2088" s="76"/>
      <c r="S2088" s="76"/>
      <c r="T2088" s="76"/>
      <c r="U2088" s="76"/>
      <c r="V2088" s="76"/>
      <c r="W2088" s="76"/>
      <c r="X2088" s="76"/>
      <c r="Y2088" s="76"/>
      <c r="Z2088" s="76"/>
      <c r="AA2088" s="76"/>
      <c r="AB2088" s="76"/>
      <c r="AC2088" s="76"/>
      <c r="AD2088" s="76"/>
      <c r="AE2088" s="76"/>
      <c r="AF2088" s="76"/>
      <c r="AG2088" s="76"/>
      <c r="AH2088" s="76"/>
      <c r="AI2088" s="76">
        <v>1</v>
      </c>
      <c r="AJ2088" s="76">
        <v>1</v>
      </c>
      <c r="AK2088" s="73"/>
      <c r="AL2088" s="57"/>
      <c r="AM2088" s="45"/>
      <c r="AN2088" s="45"/>
      <c r="AO2088" s="45"/>
    </row>
    <row r="2089" spans="1:41" hidden="1" outlineLevel="3" x14ac:dyDescent="0.25">
      <c r="A2089" s="45"/>
      <c r="B2089" s="54"/>
      <c r="C2089" s="47">
        <f t="shared" ref="C2089:C2090" si="695">INT($C$29)+3</f>
        <v>4</v>
      </c>
      <c r="D2089" s="73"/>
      <c r="E2089" s="70"/>
      <c r="F2089" s="70" t="str">
        <f>SUBSTITUTE(F2083,",6)",",12)")</f>
        <v>C(U6,22,12)</v>
      </c>
      <c r="G2089" s="73"/>
      <c r="H2089" s="76"/>
      <c r="I2089" s="96"/>
      <c r="J2089" s="76"/>
      <c r="K2089" s="76"/>
      <c r="L2089" s="76"/>
      <c r="M2089" s="76"/>
      <c r="N2089" s="76"/>
      <c r="O2089" s="76"/>
      <c r="P2089" s="76"/>
      <c r="Q2089" s="76"/>
      <c r="R2089" s="76"/>
      <c r="S2089" s="76"/>
      <c r="T2089" s="76"/>
      <c r="U2089" s="76"/>
      <c r="V2089" s="76"/>
      <c r="W2089" s="76"/>
      <c r="X2089" s="76"/>
      <c r="Y2089" s="76"/>
      <c r="Z2089" s="76"/>
      <c r="AA2089" s="76"/>
      <c r="AB2089" s="76"/>
      <c r="AC2089" s="76"/>
      <c r="AD2089" s="76"/>
      <c r="AE2089" s="76"/>
      <c r="AF2089" s="76"/>
      <c r="AG2089" s="76"/>
      <c r="AH2089" s="76"/>
      <c r="AI2089" s="76">
        <v>1</v>
      </c>
      <c r="AJ2089" s="76">
        <v>1</v>
      </c>
      <c r="AK2089" s="73"/>
      <c r="AL2089" s="57"/>
      <c r="AM2089" s="45"/>
      <c r="AN2089" s="45"/>
      <c r="AO2089" s="45"/>
    </row>
    <row r="2090" spans="1:41" hidden="1" outlineLevel="3" x14ac:dyDescent="0.25">
      <c r="A2090" s="45"/>
      <c r="B2090" s="54"/>
      <c r="C2090" s="47">
        <f t="shared" si="695"/>
        <v>4</v>
      </c>
      <c r="D2090" s="73"/>
      <c r="E2090" s="70"/>
      <c r="F2090" s="70" t="str">
        <f>SUBSTITUTE(F2084,",7)",",13)")</f>
        <v>C(U6,22,13)</v>
      </c>
      <c r="G2090" s="73"/>
      <c r="H2090" s="76"/>
      <c r="I2090" s="96"/>
      <c r="J2090" s="76"/>
      <c r="K2090" s="76"/>
      <c r="L2090" s="76"/>
      <c r="M2090" s="76"/>
      <c r="N2090" s="76"/>
      <c r="O2090" s="76"/>
      <c r="P2090" s="76"/>
      <c r="Q2090" s="76"/>
      <c r="R2090" s="76"/>
      <c r="S2090" s="76"/>
      <c r="T2090" s="76"/>
      <c r="U2090" s="76"/>
      <c r="V2090" s="76"/>
      <c r="W2090" s="76"/>
      <c r="X2090" s="76"/>
      <c r="Y2090" s="76"/>
      <c r="Z2090" s="76"/>
      <c r="AA2090" s="76"/>
      <c r="AB2090" s="76"/>
      <c r="AC2090" s="76"/>
      <c r="AD2090" s="76"/>
      <c r="AE2090" s="76"/>
      <c r="AF2090" s="76"/>
      <c r="AG2090" s="76"/>
      <c r="AH2090" s="76"/>
      <c r="AI2090" s="76">
        <v>1</v>
      </c>
      <c r="AJ2090" s="76">
        <v>1</v>
      </c>
      <c r="AK2090" s="73"/>
      <c r="AL2090" s="57"/>
      <c r="AM2090" s="45"/>
      <c r="AN2090" s="45"/>
      <c r="AO2090" s="45"/>
    </row>
    <row r="2091" spans="1:41" hidden="1" outlineLevel="3" x14ac:dyDescent="0.25">
      <c r="A2091" s="45"/>
      <c r="B2091" s="54"/>
      <c r="C2091" s="47">
        <f>INT($C$29)+3</f>
        <v>4</v>
      </c>
      <c r="D2091" s="73"/>
      <c r="E2091" s="398"/>
      <c r="F2091" s="398" t="s">
        <v>3708</v>
      </c>
      <c r="G2091" s="73"/>
      <c r="H2091" s="109"/>
      <c r="I2091" s="109"/>
      <c r="J2091" s="109"/>
      <c r="K2091" s="109"/>
      <c r="L2091" s="109"/>
      <c r="M2091" s="109"/>
      <c r="N2091" s="109"/>
      <c r="O2091" s="109"/>
      <c r="P2091" s="109"/>
      <c r="Q2091" s="109"/>
      <c r="R2091" s="109"/>
      <c r="S2091" s="109"/>
      <c r="T2091" s="109"/>
      <c r="U2091" s="109"/>
      <c r="V2091" s="109"/>
      <c r="W2091" s="109"/>
      <c r="X2091" s="109"/>
      <c r="Y2091" s="109"/>
      <c r="Z2091" s="109"/>
      <c r="AA2091" s="109"/>
      <c r="AB2091" s="109"/>
      <c r="AC2091" s="109"/>
      <c r="AD2091" s="109"/>
      <c r="AE2091" s="109"/>
      <c r="AF2091" s="109"/>
      <c r="AG2091" s="109"/>
      <c r="AH2091" s="109"/>
      <c r="AI2091" s="109">
        <v>1</v>
      </c>
      <c r="AJ2091" s="109">
        <v>1</v>
      </c>
      <c r="AK2091" s="73"/>
      <c r="AL2091" s="57"/>
      <c r="AM2091" s="45"/>
      <c r="AN2091" s="45"/>
      <c r="AO2091" s="45"/>
    </row>
    <row r="2092" spans="1:41" hidden="1" outlineLevel="2" x14ac:dyDescent="0.25">
      <c r="A2092" s="45"/>
      <c r="B2092" s="54"/>
      <c r="C2092" s="47">
        <f>INT($C$29)+2</f>
        <v>3</v>
      </c>
      <c r="D2092" s="73"/>
      <c r="E2092" s="70"/>
      <c r="F2092" s="70" t="s">
        <v>3709</v>
      </c>
      <c r="G2092" s="73"/>
      <c r="H2092" s="76" t="s">
        <v>3339</v>
      </c>
      <c r="I2092" s="76"/>
      <c r="J2092" s="76"/>
      <c r="K2092" s="76"/>
      <c r="L2092" s="76"/>
      <c r="M2092" s="76"/>
      <c r="N2092" s="76"/>
      <c r="O2092" s="76"/>
      <c r="P2092" s="76"/>
      <c r="Q2092" s="76"/>
      <c r="R2092" s="76"/>
      <c r="S2092" s="76"/>
      <c r="T2092" s="76"/>
      <c r="U2092" s="97">
        <v>-1.0469999999999999</v>
      </c>
      <c r="V2092" s="255">
        <f>U2092</f>
        <v>-1.0469999999999999</v>
      </c>
      <c r="W2092" s="255">
        <f t="shared" ref="W2092:W2093" si="696">U2092</f>
        <v>-1.0469999999999999</v>
      </c>
      <c r="X2092" s="255">
        <f t="shared" ref="X2092:X2093" si="697">V2092</f>
        <v>-1.0469999999999999</v>
      </c>
      <c r="Y2092" s="255">
        <f t="shared" ref="Y2092:Y2093" si="698">W2092</f>
        <v>-1.0469999999999999</v>
      </c>
      <c r="Z2092" s="255">
        <f t="shared" ref="Z2092:Z2093" si="699">X2092</f>
        <v>-1.0469999999999999</v>
      </c>
      <c r="AA2092" s="255">
        <f t="shared" ref="AA2092:AA2093" si="700">Y2092</f>
        <v>-1.0469999999999999</v>
      </c>
      <c r="AB2092" s="97">
        <f>U2092</f>
        <v>-1.0469999999999999</v>
      </c>
      <c r="AC2092" s="255">
        <f t="shared" ref="AC2092:AC2093" si="701">AB2092</f>
        <v>-1.0469999999999999</v>
      </c>
      <c r="AD2092" s="255">
        <f t="shared" ref="AD2092:AD2093" si="702">AC2092</f>
        <v>-1.0469999999999999</v>
      </c>
      <c r="AE2092" s="255">
        <f>AD2092</f>
        <v>-1.0469999999999999</v>
      </c>
      <c r="AF2092" s="76"/>
      <c r="AG2092" s="97" t="s">
        <v>3582</v>
      </c>
      <c r="AH2092" s="76"/>
      <c r="AI2092" s="76">
        <v>1</v>
      </c>
      <c r="AJ2092" s="76">
        <v>1</v>
      </c>
      <c r="AK2092" s="73"/>
      <c r="AL2092" s="57"/>
      <c r="AM2092" s="45"/>
      <c r="AN2092" s="45"/>
      <c r="AO2092" s="45"/>
    </row>
    <row r="2093" spans="1:41" hidden="1" outlineLevel="2" collapsed="1" x14ac:dyDescent="0.25">
      <c r="A2093" s="45"/>
      <c r="B2093" s="54"/>
      <c r="C2093" s="47">
        <f>INT($C$29)+2</f>
        <v>3</v>
      </c>
      <c r="D2093" s="73"/>
      <c r="E2093" s="70"/>
      <c r="F2093" s="70" t="s">
        <v>3710</v>
      </c>
      <c r="G2093" s="73"/>
      <c r="H2093" s="76" t="s">
        <v>3340</v>
      </c>
      <c r="I2093" s="76"/>
      <c r="J2093" s="76"/>
      <c r="K2093" s="76"/>
      <c r="L2093" s="76"/>
      <c r="M2093" s="76"/>
      <c r="N2093" s="76"/>
      <c r="O2093" s="76"/>
      <c r="P2093" s="76"/>
      <c r="Q2093" s="76"/>
      <c r="R2093" s="76"/>
      <c r="S2093" s="76"/>
      <c r="T2093" s="76"/>
      <c r="U2093" s="97">
        <v>7.5389999999999997E-3</v>
      </c>
      <c r="V2093" s="255">
        <f>U2093</f>
        <v>7.5389999999999997E-3</v>
      </c>
      <c r="W2093" s="255">
        <f t="shared" si="696"/>
        <v>7.5389999999999997E-3</v>
      </c>
      <c r="X2093" s="255">
        <f t="shared" si="697"/>
        <v>7.5389999999999997E-3</v>
      </c>
      <c r="Y2093" s="255">
        <f t="shared" si="698"/>
        <v>7.5389999999999997E-3</v>
      </c>
      <c r="Z2093" s="255">
        <f t="shared" si="699"/>
        <v>7.5389999999999997E-3</v>
      </c>
      <c r="AA2093" s="255">
        <f t="shared" si="700"/>
        <v>7.5389999999999997E-3</v>
      </c>
      <c r="AB2093" s="97">
        <f>U2093</f>
        <v>7.5389999999999997E-3</v>
      </c>
      <c r="AC2093" s="255">
        <f t="shared" si="701"/>
        <v>7.5389999999999997E-3</v>
      </c>
      <c r="AD2093" s="255">
        <f t="shared" si="702"/>
        <v>7.5389999999999997E-3</v>
      </c>
      <c r="AE2093" s="255">
        <f>AD2093</f>
        <v>7.5389999999999997E-3</v>
      </c>
      <c r="AF2093" s="76"/>
      <c r="AG2093" s="97" t="s">
        <v>3341</v>
      </c>
      <c r="AH2093" s="76"/>
      <c r="AI2093" s="76">
        <v>1</v>
      </c>
      <c r="AJ2093" s="76">
        <v>1</v>
      </c>
      <c r="AK2093" s="73"/>
      <c r="AL2093" s="57"/>
      <c r="AM2093" s="45"/>
      <c r="AN2093" s="45"/>
      <c r="AO2093" s="45"/>
    </row>
    <row r="2094" spans="1:41" hidden="1" outlineLevel="3" x14ac:dyDescent="0.25">
      <c r="A2094" s="45"/>
      <c r="B2094" s="54"/>
      <c r="C2094" s="47">
        <f t="shared" ref="C2094:C2105" si="703">INT($C$29)+3</f>
        <v>4</v>
      </c>
      <c r="D2094" s="73"/>
      <c r="E2094" s="70"/>
      <c r="F2094" s="70" t="s">
        <v>3711</v>
      </c>
      <c r="G2094" s="73"/>
      <c r="H2094" s="373" t="s">
        <v>3488</v>
      </c>
      <c r="I2094" s="96"/>
      <c r="J2094" s="76"/>
      <c r="K2094" s="76"/>
      <c r="L2094" s="76"/>
      <c r="M2094" s="76"/>
      <c r="N2094" s="76"/>
      <c r="O2094" s="76"/>
      <c r="P2094" s="76"/>
      <c r="Q2094" s="76"/>
      <c r="R2094" s="76"/>
      <c r="S2094" s="76"/>
      <c r="T2094" s="76"/>
      <c r="U2094" s="76"/>
      <c r="V2094" s="76"/>
      <c r="W2094" s="76"/>
      <c r="X2094" s="76"/>
      <c r="Y2094" s="76"/>
      <c r="Z2094" s="76"/>
      <c r="AA2094" s="76"/>
      <c r="AB2094" s="76"/>
      <c r="AC2094" s="76"/>
      <c r="AD2094" s="76"/>
      <c r="AE2094" s="76"/>
      <c r="AF2094" s="76"/>
      <c r="AG2094" s="76"/>
      <c r="AH2094" s="76"/>
      <c r="AI2094" s="76">
        <v>1</v>
      </c>
      <c r="AJ2094" s="76">
        <v>1</v>
      </c>
      <c r="AK2094" s="73"/>
      <c r="AL2094" s="57"/>
      <c r="AM2094" s="45"/>
      <c r="AN2094" s="45"/>
      <c r="AO2094" s="45"/>
    </row>
    <row r="2095" spans="1:41" hidden="1" outlineLevel="3" x14ac:dyDescent="0.25">
      <c r="A2095" s="45"/>
      <c r="B2095" s="54"/>
      <c r="C2095" s="47">
        <f t="shared" si="703"/>
        <v>4</v>
      </c>
      <c r="D2095" s="73"/>
      <c r="E2095" s="70"/>
      <c r="F2095" s="70" t="s">
        <v>3712</v>
      </c>
      <c r="G2095" s="73"/>
      <c r="H2095" s="373" t="s">
        <v>3482</v>
      </c>
      <c r="I2095" s="96"/>
      <c r="J2095" s="76"/>
      <c r="K2095" s="76"/>
      <c r="L2095" s="76"/>
      <c r="M2095" s="76"/>
      <c r="N2095" s="76"/>
      <c r="O2095" s="76"/>
      <c r="P2095" s="76"/>
      <c r="Q2095" s="76"/>
      <c r="R2095" s="76"/>
      <c r="S2095" s="76"/>
      <c r="T2095" s="76"/>
      <c r="U2095" s="76"/>
      <c r="V2095" s="76"/>
      <c r="W2095" s="76"/>
      <c r="X2095" s="76"/>
      <c r="Y2095" s="76"/>
      <c r="Z2095" s="76"/>
      <c r="AA2095" s="76"/>
      <c r="AB2095" s="76"/>
      <c r="AC2095" s="76"/>
      <c r="AD2095" s="76"/>
      <c r="AE2095" s="76"/>
      <c r="AF2095" s="76"/>
      <c r="AG2095" s="76"/>
      <c r="AH2095" s="76"/>
      <c r="AI2095" s="76">
        <v>1</v>
      </c>
      <c r="AJ2095" s="76">
        <v>1</v>
      </c>
      <c r="AK2095" s="73"/>
      <c r="AL2095" s="57"/>
      <c r="AM2095" s="45"/>
      <c r="AN2095" s="45"/>
      <c r="AO2095" s="45"/>
    </row>
    <row r="2096" spans="1:41" hidden="1" outlineLevel="2" collapsed="1" x14ac:dyDescent="0.25">
      <c r="A2096" s="45"/>
      <c r="B2096" s="54"/>
      <c r="C2096" s="47">
        <f t="shared" si="703"/>
        <v>4</v>
      </c>
      <c r="D2096" s="73"/>
      <c r="E2096" s="70"/>
      <c r="F2096" s="70" t="s">
        <v>3713</v>
      </c>
      <c r="G2096" s="73"/>
      <c r="H2096" s="76" t="s">
        <v>3578</v>
      </c>
      <c r="I2096" s="76"/>
      <c r="J2096" s="76"/>
      <c r="K2096" s="76"/>
      <c r="L2096" s="76"/>
      <c r="M2096" s="76"/>
      <c r="N2096" s="76"/>
      <c r="O2096" s="76"/>
      <c r="P2096" s="76"/>
      <c r="Q2096" s="76"/>
      <c r="R2096" s="76"/>
      <c r="S2096" s="76"/>
      <c r="T2096" s="76"/>
      <c r="U2096" s="97">
        <v>-0.23419999999999999</v>
      </c>
      <c r="V2096" s="255">
        <f>U2096</f>
        <v>-0.23419999999999999</v>
      </c>
      <c r="W2096" s="255">
        <f t="shared" ref="W2096:W2099" si="704">U2096</f>
        <v>-0.23419999999999999</v>
      </c>
      <c r="X2096" s="255">
        <f t="shared" ref="X2096:X2099" si="705">V2096</f>
        <v>-0.23419999999999999</v>
      </c>
      <c r="Y2096" s="255">
        <f t="shared" ref="Y2096:Y2099" si="706">W2096</f>
        <v>-0.23419999999999999</v>
      </c>
      <c r="Z2096" s="255">
        <f t="shared" ref="Z2096:Z2099" si="707">X2096</f>
        <v>-0.23419999999999999</v>
      </c>
      <c r="AA2096" s="255">
        <f t="shared" ref="AA2096:AA2099" si="708">Y2096</f>
        <v>-0.23419999999999999</v>
      </c>
      <c r="AB2096" s="97">
        <f>U2096</f>
        <v>-0.23419999999999999</v>
      </c>
      <c r="AC2096" s="255">
        <f t="shared" ref="AC2096:AC2099" si="709">AB2096</f>
        <v>-0.23419999999999999</v>
      </c>
      <c r="AD2096" s="255">
        <f t="shared" ref="AD2096:AD2099" si="710">AC2096</f>
        <v>-0.23419999999999999</v>
      </c>
      <c r="AE2096" s="255">
        <f>AD2096</f>
        <v>-0.23419999999999999</v>
      </c>
      <c r="AF2096" s="76"/>
      <c r="AG2096" s="76"/>
      <c r="AH2096" s="76"/>
      <c r="AI2096" s="97">
        <v>1</v>
      </c>
      <c r="AJ2096" s="97">
        <v>1</v>
      </c>
      <c r="AK2096" s="73"/>
      <c r="AL2096" s="57"/>
      <c r="AM2096" s="45"/>
      <c r="AN2096" s="45"/>
      <c r="AO2096" s="45"/>
    </row>
    <row r="2097" spans="1:41" hidden="1" outlineLevel="3" x14ac:dyDescent="0.25">
      <c r="A2097" s="45"/>
      <c r="B2097" s="54"/>
      <c r="C2097" s="47">
        <f t="shared" si="703"/>
        <v>4</v>
      </c>
      <c r="D2097" s="73"/>
      <c r="E2097" s="70"/>
      <c r="F2097" s="70" t="s">
        <v>3714</v>
      </c>
      <c r="G2097" s="73"/>
      <c r="H2097" s="76" t="s">
        <v>3579</v>
      </c>
      <c r="I2097" s="76"/>
      <c r="J2097" s="76"/>
      <c r="K2097" s="76"/>
      <c r="L2097" s="76"/>
      <c r="M2097" s="76"/>
      <c r="N2097" s="76"/>
      <c r="O2097" s="76"/>
      <c r="P2097" s="76"/>
      <c r="Q2097" s="76"/>
      <c r="R2097" s="76"/>
      <c r="S2097" s="76"/>
      <c r="T2097" s="76"/>
      <c r="U2097" s="97"/>
      <c r="V2097" s="255">
        <f t="shared" ref="V2097" si="711">U2097</f>
        <v>0</v>
      </c>
      <c r="W2097" s="255">
        <f t="shared" si="704"/>
        <v>0</v>
      </c>
      <c r="X2097" s="255">
        <f t="shared" si="705"/>
        <v>0</v>
      </c>
      <c r="Y2097" s="255">
        <f t="shared" si="706"/>
        <v>0</v>
      </c>
      <c r="Z2097" s="255">
        <f t="shared" si="707"/>
        <v>0</v>
      </c>
      <c r="AA2097" s="255">
        <f t="shared" si="708"/>
        <v>0</v>
      </c>
      <c r="AB2097" s="97">
        <f>U2097</f>
        <v>0</v>
      </c>
      <c r="AC2097" s="255">
        <f t="shared" si="709"/>
        <v>0</v>
      </c>
      <c r="AD2097" s="255">
        <f t="shared" si="710"/>
        <v>0</v>
      </c>
      <c r="AE2097" s="255">
        <f>AD2097</f>
        <v>0</v>
      </c>
      <c r="AF2097" s="76"/>
      <c r="AG2097" s="76"/>
      <c r="AH2097" s="76"/>
      <c r="AI2097" s="76">
        <v>1</v>
      </c>
      <c r="AJ2097" s="76">
        <v>1</v>
      </c>
      <c r="AK2097" s="73"/>
      <c r="AL2097" s="57"/>
      <c r="AM2097" s="45"/>
      <c r="AN2097" s="45"/>
      <c r="AO2097" s="45"/>
    </row>
    <row r="2098" spans="1:41" hidden="1" outlineLevel="2" collapsed="1" x14ac:dyDescent="0.25">
      <c r="A2098" s="45"/>
      <c r="B2098" s="54"/>
      <c r="C2098" s="47">
        <f t="shared" si="703"/>
        <v>4</v>
      </c>
      <c r="D2098" s="73"/>
      <c r="E2098" s="70"/>
      <c r="F2098" s="70" t="s">
        <v>3715</v>
      </c>
      <c r="G2098" s="73"/>
      <c r="H2098" s="76" t="s">
        <v>3580</v>
      </c>
      <c r="I2098" s="76"/>
      <c r="J2098" s="76"/>
      <c r="K2098" s="76"/>
      <c r="L2098" s="76"/>
      <c r="M2098" s="76"/>
      <c r="N2098" s="76"/>
      <c r="O2098" s="76"/>
      <c r="P2098" s="76"/>
      <c r="Q2098" s="76"/>
      <c r="R2098" s="76"/>
      <c r="S2098" s="76"/>
      <c r="T2098" s="76"/>
      <c r="U2098" s="97">
        <v>-0.24959999999999999</v>
      </c>
      <c r="V2098" s="255">
        <f>U2098</f>
        <v>-0.24959999999999999</v>
      </c>
      <c r="W2098" s="255">
        <f t="shared" si="704"/>
        <v>-0.24959999999999999</v>
      </c>
      <c r="X2098" s="255">
        <f t="shared" si="705"/>
        <v>-0.24959999999999999</v>
      </c>
      <c r="Y2098" s="255">
        <f t="shared" si="706"/>
        <v>-0.24959999999999999</v>
      </c>
      <c r="Z2098" s="255">
        <f t="shared" si="707"/>
        <v>-0.24959999999999999</v>
      </c>
      <c r="AA2098" s="255">
        <f t="shared" si="708"/>
        <v>-0.24959999999999999</v>
      </c>
      <c r="AB2098" s="97">
        <f>U2098</f>
        <v>-0.24959999999999999</v>
      </c>
      <c r="AC2098" s="255">
        <f t="shared" si="709"/>
        <v>-0.24959999999999999</v>
      </c>
      <c r="AD2098" s="255">
        <f t="shared" si="710"/>
        <v>-0.24959999999999999</v>
      </c>
      <c r="AE2098" s="255">
        <f>AD2098</f>
        <v>-0.24959999999999999</v>
      </c>
      <c r="AF2098" s="76"/>
      <c r="AG2098" s="76"/>
      <c r="AH2098" s="76"/>
      <c r="AI2098" s="97">
        <v>1</v>
      </c>
      <c r="AJ2098" s="97">
        <v>1</v>
      </c>
      <c r="AK2098" s="73"/>
      <c r="AL2098" s="57"/>
      <c r="AM2098" s="45"/>
      <c r="AN2098" s="45"/>
      <c r="AO2098" s="45"/>
    </row>
    <row r="2099" spans="1:41" hidden="1" outlineLevel="3" x14ac:dyDescent="0.25">
      <c r="A2099" s="45"/>
      <c r="B2099" s="54"/>
      <c r="C2099" s="47">
        <f t="shared" si="703"/>
        <v>4</v>
      </c>
      <c r="D2099" s="73"/>
      <c r="E2099" s="70"/>
      <c r="F2099" s="70" t="s">
        <v>3716</v>
      </c>
      <c r="G2099" s="73"/>
      <c r="H2099" s="76" t="s">
        <v>3581</v>
      </c>
      <c r="I2099" s="76"/>
      <c r="J2099" s="76"/>
      <c r="K2099" s="76"/>
      <c r="L2099" s="76"/>
      <c r="M2099" s="76"/>
      <c r="N2099" s="76"/>
      <c r="O2099" s="76"/>
      <c r="P2099" s="76"/>
      <c r="Q2099" s="76"/>
      <c r="R2099" s="76"/>
      <c r="S2099" s="76"/>
      <c r="T2099" s="76"/>
      <c r="U2099" s="97"/>
      <c r="V2099" s="255">
        <f t="shared" ref="V2099" si="712">U2099</f>
        <v>0</v>
      </c>
      <c r="W2099" s="255">
        <f t="shared" si="704"/>
        <v>0</v>
      </c>
      <c r="X2099" s="255">
        <f t="shared" si="705"/>
        <v>0</v>
      </c>
      <c r="Y2099" s="255">
        <f t="shared" si="706"/>
        <v>0</v>
      </c>
      <c r="Z2099" s="255">
        <f t="shared" si="707"/>
        <v>0</v>
      </c>
      <c r="AA2099" s="255">
        <f t="shared" si="708"/>
        <v>0</v>
      </c>
      <c r="AB2099" s="97">
        <f>U2099</f>
        <v>0</v>
      </c>
      <c r="AC2099" s="255">
        <f t="shared" si="709"/>
        <v>0</v>
      </c>
      <c r="AD2099" s="255">
        <f t="shared" si="710"/>
        <v>0</v>
      </c>
      <c r="AE2099" s="255">
        <f>AD2099</f>
        <v>0</v>
      </c>
      <c r="AF2099" s="76"/>
      <c r="AG2099" s="76"/>
      <c r="AH2099" s="76"/>
      <c r="AI2099" s="76">
        <v>1</v>
      </c>
      <c r="AJ2099" s="76">
        <v>1</v>
      </c>
      <c r="AK2099" s="73"/>
      <c r="AL2099" s="57"/>
      <c r="AM2099" s="45"/>
      <c r="AN2099" s="45"/>
      <c r="AO2099" s="45"/>
    </row>
    <row r="2100" spans="1:41" hidden="1" outlineLevel="3" x14ac:dyDescent="0.25">
      <c r="A2100" s="45"/>
      <c r="B2100" s="54"/>
      <c r="C2100" s="47">
        <f t="shared" si="703"/>
        <v>4</v>
      </c>
      <c r="D2100" s="73"/>
      <c r="E2100" s="70"/>
      <c r="F2100" s="70" t="str">
        <f>SUBSTITUTE(F2096,",4)",",8)")</f>
        <v>C(U6,23,8)</v>
      </c>
      <c r="G2100" s="73"/>
      <c r="H2100" s="373" t="s">
        <v>3345</v>
      </c>
      <c r="I2100" s="96"/>
      <c r="J2100" s="76"/>
      <c r="K2100" s="76"/>
      <c r="L2100" s="76"/>
      <c r="M2100" s="76"/>
      <c r="N2100" s="76"/>
      <c r="O2100" s="76"/>
      <c r="P2100" s="76"/>
      <c r="Q2100" s="76"/>
      <c r="R2100" s="76"/>
      <c r="S2100" s="76"/>
      <c r="T2100" s="76"/>
      <c r="U2100" s="76"/>
      <c r="V2100" s="76"/>
      <c r="W2100" s="76"/>
      <c r="X2100" s="76"/>
      <c r="Y2100" s="76"/>
      <c r="Z2100" s="76"/>
      <c r="AA2100" s="76"/>
      <c r="AB2100" s="76"/>
      <c r="AC2100" s="76"/>
      <c r="AD2100" s="76"/>
      <c r="AE2100" s="76"/>
      <c r="AF2100" s="76"/>
      <c r="AG2100" s="76"/>
      <c r="AH2100" s="76"/>
      <c r="AI2100" s="76">
        <v>1</v>
      </c>
      <c r="AJ2100" s="76">
        <v>1</v>
      </c>
      <c r="AK2100" s="73"/>
      <c r="AL2100" s="57"/>
      <c r="AM2100" s="45"/>
      <c r="AN2100" s="45"/>
      <c r="AO2100" s="45"/>
    </row>
    <row r="2101" spans="1:41" hidden="1" outlineLevel="3" x14ac:dyDescent="0.25">
      <c r="A2101" s="45"/>
      <c r="B2101" s="54"/>
      <c r="C2101" s="47">
        <f t="shared" si="703"/>
        <v>4</v>
      </c>
      <c r="D2101" s="73"/>
      <c r="E2101" s="70"/>
      <c r="F2101" s="70" t="str">
        <f>SUBSTITUTE(F2097,",5)",",9)")</f>
        <v>C(U6,23,9)</v>
      </c>
      <c r="G2101" s="73"/>
      <c r="H2101" s="373" t="s">
        <v>3346</v>
      </c>
      <c r="I2101" s="96"/>
      <c r="J2101" s="76"/>
      <c r="K2101" s="76"/>
      <c r="L2101" s="76"/>
      <c r="M2101" s="76"/>
      <c r="N2101" s="76"/>
      <c r="O2101" s="76"/>
      <c r="P2101" s="76"/>
      <c r="Q2101" s="76"/>
      <c r="R2101" s="76"/>
      <c r="S2101" s="76"/>
      <c r="T2101" s="76"/>
      <c r="U2101" s="76"/>
      <c r="V2101" s="76"/>
      <c r="W2101" s="76"/>
      <c r="X2101" s="76"/>
      <c r="Y2101" s="76"/>
      <c r="Z2101" s="76"/>
      <c r="AA2101" s="76"/>
      <c r="AB2101" s="76"/>
      <c r="AC2101" s="76"/>
      <c r="AD2101" s="76"/>
      <c r="AE2101" s="76"/>
      <c r="AF2101" s="76"/>
      <c r="AG2101" s="76"/>
      <c r="AH2101" s="76"/>
      <c r="AI2101" s="76">
        <v>1</v>
      </c>
      <c r="AJ2101" s="76">
        <v>1</v>
      </c>
      <c r="AK2101" s="73"/>
      <c r="AL2101" s="57"/>
      <c r="AM2101" s="45"/>
      <c r="AN2101" s="45"/>
      <c r="AO2101" s="45"/>
    </row>
    <row r="2102" spans="1:41" hidden="1" outlineLevel="3" x14ac:dyDescent="0.25">
      <c r="A2102" s="45"/>
      <c r="B2102" s="54"/>
      <c r="C2102" s="47">
        <f t="shared" si="703"/>
        <v>4</v>
      </c>
      <c r="D2102" s="73"/>
      <c r="E2102" s="70"/>
      <c r="F2102" s="70" t="str">
        <f>SUBSTITUTE(F2098,",6)",",10)")</f>
        <v>C(U6,23,10)</v>
      </c>
      <c r="G2102" s="73"/>
      <c r="H2102" s="373" t="s">
        <v>3347</v>
      </c>
      <c r="I2102" s="96"/>
      <c r="J2102" s="76"/>
      <c r="K2102" s="76"/>
      <c r="L2102" s="76"/>
      <c r="M2102" s="76"/>
      <c r="N2102" s="76"/>
      <c r="O2102" s="76"/>
      <c r="P2102" s="76"/>
      <c r="Q2102" s="76"/>
      <c r="R2102" s="76"/>
      <c r="S2102" s="76"/>
      <c r="T2102" s="76"/>
      <c r="U2102" s="76"/>
      <c r="V2102" s="76"/>
      <c r="W2102" s="76"/>
      <c r="X2102" s="76"/>
      <c r="Y2102" s="76"/>
      <c r="Z2102" s="76"/>
      <c r="AA2102" s="76"/>
      <c r="AB2102" s="76"/>
      <c r="AC2102" s="76"/>
      <c r="AD2102" s="76"/>
      <c r="AE2102" s="76"/>
      <c r="AF2102" s="76"/>
      <c r="AG2102" s="76"/>
      <c r="AH2102" s="76"/>
      <c r="AI2102" s="76">
        <v>1</v>
      </c>
      <c r="AJ2102" s="76">
        <v>1</v>
      </c>
      <c r="AK2102" s="73"/>
      <c r="AL2102" s="57"/>
      <c r="AM2102" s="45"/>
      <c r="AN2102" s="45"/>
      <c r="AO2102" s="45"/>
    </row>
    <row r="2103" spans="1:41" hidden="1" outlineLevel="3" collapsed="1" x14ac:dyDescent="0.25">
      <c r="A2103" s="45"/>
      <c r="B2103" s="54"/>
      <c r="C2103" s="47">
        <f t="shared" si="703"/>
        <v>4</v>
      </c>
      <c r="D2103" s="73"/>
      <c r="E2103" s="70"/>
      <c r="F2103" s="70" t="str">
        <f>SUBSTITUTE(F2099,",7)",",11)")</f>
        <v>C(U6,23,11)</v>
      </c>
      <c r="G2103" s="73"/>
      <c r="H2103" s="373" t="s">
        <v>3348</v>
      </c>
      <c r="I2103" s="96"/>
      <c r="J2103" s="76"/>
      <c r="K2103" s="76"/>
      <c r="L2103" s="76"/>
      <c r="M2103" s="76"/>
      <c r="N2103" s="76"/>
      <c r="O2103" s="76"/>
      <c r="P2103" s="76"/>
      <c r="Q2103" s="76"/>
      <c r="R2103" s="76"/>
      <c r="S2103" s="76"/>
      <c r="T2103" s="76"/>
      <c r="U2103" s="76"/>
      <c r="V2103" s="76"/>
      <c r="W2103" s="76"/>
      <c r="X2103" s="76"/>
      <c r="Y2103" s="76"/>
      <c r="Z2103" s="76"/>
      <c r="AA2103" s="76"/>
      <c r="AB2103" s="76"/>
      <c r="AC2103" s="76"/>
      <c r="AD2103" s="76"/>
      <c r="AE2103" s="76"/>
      <c r="AF2103" s="76"/>
      <c r="AG2103" s="76"/>
      <c r="AH2103" s="76"/>
      <c r="AI2103" s="76">
        <v>1</v>
      </c>
      <c r="AJ2103" s="76">
        <v>1</v>
      </c>
      <c r="AK2103" s="73"/>
      <c r="AL2103" s="57"/>
      <c r="AM2103" s="45"/>
      <c r="AN2103" s="45"/>
      <c r="AO2103" s="45"/>
    </row>
    <row r="2104" spans="1:41" hidden="1" outlineLevel="3" x14ac:dyDescent="0.25">
      <c r="A2104" s="45"/>
      <c r="B2104" s="54"/>
      <c r="C2104" s="47">
        <f t="shared" si="703"/>
        <v>4</v>
      </c>
      <c r="D2104" s="73"/>
      <c r="E2104" s="70"/>
      <c r="F2104" s="70" t="str">
        <f>SUBSTITUTE(F2098,",6)",",12)")</f>
        <v>C(U6,23,12)</v>
      </c>
      <c r="G2104" s="73"/>
      <c r="H2104" s="373" t="s">
        <v>3349</v>
      </c>
      <c r="I2104" s="96"/>
      <c r="J2104" s="76"/>
      <c r="K2104" s="76"/>
      <c r="L2104" s="76"/>
      <c r="M2104" s="76"/>
      <c r="N2104" s="76"/>
      <c r="O2104" s="76"/>
      <c r="P2104" s="76"/>
      <c r="Q2104" s="76"/>
      <c r="R2104" s="76"/>
      <c r="S2104" s="76"/>
      <c r="T2104" s="76"/>
      <c r="U2104" s="76"/>
      <c r="V2104" s="76"/>
      <c r="W2104" s="76"/>
      <c r="X2104" s="76"/>
      <c r="Y2104" s="76"/>
      <c r="Z2104" s="76"/>
      <c r="AA2104" s="76"/>
      <c r="AB2104" s="76"/>
      <c r="AC2104" s="76"/>
      <c r="AD2104" s="76"/>
      <c r="AE2104" s="76"/>
      <c r="AF2104" s="76"/>
      <c r="AG2104" s="76"/>
      <c r="AH2104" s="76"/>
      <c r="AI2104" s="76">
        <v>1</v>
      </c>
      <c r="AJ2104" s="76">
        <v>1</v>
      </c>
      <c r="AK2104" s="73"/>
      <c r="AL2104" s="57"/>
      <c r="AM2104" s="45"/>
      <c r="AN2104" s="45"/>
      <c r="AO2104" s="45"/>
    </row>
    <row r="2105" spans="1:41" hidden="1" outlineLevel="3" x14ac:dyDescent="0.25">
      <c r="A2105" s="45"/>
      <c r="B2105" s="54"/>
      <c r="C2105" s="47">
        <f t="shared" si="703"/>
        <v>4</v>
      </c>
      <c r="D2105" s="73"/>
      <c r="E2105" s="70"/>
      <c r="F2105" s="70" t="str">
        <f>SUBSTITUTE(F2099,",7)",",13)")</f>
        <v>C(U6,23,13)</v>
      </c>
      <c r="G2105" s="73"/>
      <c r="H2105" s="373" t="s">
        <v>3350</v>
      </c>
      <c r="I2105" s="96"/>
      <c r="J2105" s="76"/>
      <c r="K2105" s="76"/>
      <c r="L2105" s="76"/>
      <c r="M2105" s="76"/>
      <c r="N2105" s="76"/>
      <c r="O2105" s="76"/>
      <c r="P2105" s="76"/>
      <c r="Q2105" s="76"/>
      <c r="R2105" s="76"/>
      <c r="S2105" s="76"/>
      <c r="T2105" s="76"/>
      <c r="U2105" s="76"/>
      <c r="V2105" s="76"/>
      <c r="W2105" s="76"/>
      <c r="X2105" s="76"/>
      <c r="Y2105" s="76"/>
      <c r="Z2105" s="76"/>
      <c r="AA2105" s="76"/>
      <c r="AB2105" s="76"/>
      <c r="AC2105" s="76"/>
      <c r="AD2105" s="76"/>
      <c r="AE2105" s="76"/>
      <c r="AF2105" s="76"/>
      <c r="AG2105" s="76"/>
      <c r="AH2105" s="76"/>
      <c r="AI2105" s="76">
        <v>1</v>
      </c>
      <c r="AJ2105" s="76">
        <v>1</v>
      </c>
      <c r="AK2105" s="73"/>
      <c r="AL2105" s="57"/>
      <c r="AM2105" s="45"/>
      <c r="AN2105" s="45"/>
      <c r="AO2105" s="45"/>
    </row>
    <row r="2106" spans="1:41" hidden="1" outlineLevel="2" x14ac:dyDescent="0.25">
      <c r="A2106" s="45"/>
      <c r="B2106" s="54"/>
      <c r="C2106" s="47">
        <f>INT($C$29)+2</f>
        <v>3</v>
      </c>
      <c r="D2106" s="73"/>
      <c r="E2106" s="70"/>
      <c r="F2106" s="70" t="s">
        <v>3717</v>
      </c>
      <c r="G2106" s="73"/>
      <c r="H2106" s="76" t="s">
        <v>3351</v>
      </c>
      <c r="I2106" s="76"/>
      <c r="J2106" s="76"/>
      <c r="K2106" s="76"/>
      <c r="L2106" s="76"/>
      <c r="M2106" s="76"/>
      <c r="N2106" s="76"/>
      <c r="O2106" s="76"/>
      <c r="P2106" s="76"/>
      <c r="Q2106" s="76"/>
      <c r="R2106" s="76"/>
      <c r="S2106" s="76"/>
      <c r="T2106" s="76"/>
      <c r="U2106" s="97">
        <v>28.52</v>
      </c>
      <c r="V2106" s="255">
        <f t="shared" ref="V2106" si="713">U2106</f>
        <v>28.52</v>
      </c>
      <c r="W2106" s="255">
        <f t="shared" ref="W2106" si="714">U2106</f>
        <v>28.52</v>
      </c>
      <c r="X2106" s="255">
        <f t="shared" ref="X2106" si="715">V2106</f>
        <v>28.52</v>
      </c>
      <c r="Y2106" s="255">
        <f t="shared" ref="Y2106" si="716">W2106</f>
        <v>28.52</v>
      </c>
      <c r="Z2106" s="255">
        <f t="shared" ref="Z2106" si="717">X2106</f>
        <v>28.52</v>
      </c>
      <c r="AA2106" s="255">
        <f t="shared" ref="AA2106" si="718">Y2106</f>
        <v>28.52</v>
      </c>
      <c r="AB2106" s="97">
        <f>U2106</f>
        <v>28.52</v>
      </c>
      <c r="AC2106" s="255">
        <f t="shared" ref="AC2106" si="719">AB2106</f>
        <v>28.52</v>
      </c>
      <c r="AD2106" s="255">
        <f t="shared" ref="AD2106" si="720">AC2106</f>
        <v>28.52</v>
      </c>
      <c r="AE2106" s="255">
        <f>AD2106</f>
        <v>28.52</v>
      </c>
      <c r="AF2106" s="76"/>
      <c r="AG2106" s="97"/>
      <c r="AH2106" s="76"/>
      <c r="AI2106" s="97">
        <v>1</v>
      </c>
      <c r="AJ2106" s="97">
        <v>1</v>
      </c>
      <c r="AK2106" s="73"/>
      <c r="AL2106" s="57"/>
      <c r="AM2106" s="45"/>
      <c r="AN2106" s="45"/>
      <c r="AO2106" s="45"/>
    </row>
    <row r="2107" spans="1:41" hidden="1" outlineLevel="2" x14ac:dyDescent="0.25">
      <c r="A2107" s="45"/>
      <c r="B2107" s="54"/>
      <c r="C2107" s="47">
        <f>INT($C$29)+2</f>
        <v>3</v>
      </c>
      <c r="D2107" s="73"/>
      <c r="E2107" s="70"/>
      <c r="F2107" s="70"/>
      <c r="G2107" s="73"/>
      <c r="H2107" s="76"/>
      <c r="I2107" s="76"/>
      <c r="J2107" s="76"/>
      <c r="K2107" s="76"/>
      <c r="L2107" s="76"/>
      <c r="M2107" s="76"/>
      <c r="N2107" s="76"/>
      <c r="O2107" s="76"/>
      <c r="P2107" s="76"/>
      <c r="Q2107" s="76"/>
      <c r="R2107" s="76"/>
      <c r="S2107" s="76"/>
      <c r="T2107" s="76"/>
      <c r="U2107" s="76"/>
      <c r="V2107" s="76"/>
      <c r="W2107" s="76"/>
      <c r="X2107" s="76"/>
      <c r="Y2107" s="76"/>
      <c r="Z2107" s="76"/>
      <c r="AA2107" s="76"/>
      <c r="AB2107" s="76"/>
      <c r="AC2107" s="76"/>
      <c r="AD2107" s="76"/>
      <c r="AE2107" s="76"/>
      <c r="AF2107" s="76"/>
      <c r="AG2107" s="76"/>
      <c r="AH2107" s="76"/>
      <c r="AI2107" s="76"/>
      <c r="AJ2107" s="76"/>
      <c r="AK2107" s="73"/>
      <c r="AL2107" s="57"/>
      <c r="AM2107" s="45"/>
      <c r="AN2107" s="45"/>
      <c r="AO2107" s="45"/>
    </row>
    <row r="2108" spans="1:41" hidden="1" outlineLevel="2" collapsed="1" x14ac:dyDescent="0.25">
      <c r="A2108" s="45"/>
      <c r="B2108" s="54"/>
      <c r="C2108" s="47">
        <f>INT($C$29)+2</f>
        <v>3</v>
      </c>
      <c r="D2108" s="73"/>
      <c r="E2108" s="70"/>
      <c r="F2108" s="70"/>
      <c r="G2108" s="73"/>
      <c r="H2108" s="76"/>
      <c r="I2108" s="76"/>
      <c r="J2108" s="76"/>
      <c r="K2108" s="76"/>
      <c r="L2108" s="76"/>
      <c r="M2108" s="76"/>
      <c r="N2108" s="76"/>
      <c r="O2108" s="76"/>
      <c r="P2108" s="76"/>
      <c r="Q2108" s="76"/>
      <c r="R2108" s="76"/>
      <c r="S2108" s="76"/>
      <c r="T2108" s="76"/>
      <c r="U2108" s="76"/>
      <c r="V2108" s="76"/>
      <c r="W2108" s="76"/>
      <c r="X2108" s="76"/>
      <c r="Y2108" s="76"/>
      <c r="Z2108" s="76"/>
      <c r="AA2108" s="76"/>
      <c r="AB2108" s="76"/>
      <c r="AC2108" s="76"/>
      <c r="AD2108" s="76"/>
      <c r="AE2108" s="76"/>
      <c r="AF2108" s="76"/>
      <c r="AG2108" s="76"/>
      <c r="AH2108" s="76"/>
      <c r="AI2108" s="76"/>
      <c r="AJ2108" s="76"/>
      <c r="AK2108" s="73"/>
      <c r="AL2108" s="57"/>
      <c r="AM2108" s="45"/>
      <c r="AN2108" s="45"/>
      <c r="AO2108" s="45"/>
    </row>
    <row r="2109" spans="1:41" ht="5.0999999999999996" hidden="1" customHeight="1" outlineLevel="3" x14ac:dyDescent="0.25">
      <c r="A2109" s="45"/>
      <c r="B2109" s="54"/>
      <c r="C2109" s="47">
        <f>INT($C$29)+3.005</f>
        <v>4.0049999999999999</v>
      </c>
      <c r="D2109" s="73"/>
      <c r="E2109" s="73"/>
      <c r="F2109" s="73"/>
      <c r="G2109" s="73"/>
      <c r="H2109" s="73"/>
      <c r="I2109" s="73"/>
      <c r="J2109" s="73"/>
      <c r="K2109" s="73"/>
      <c r="L2109" s="73"/>
      <c r="M2109" s="73"/>
      <c r="N2109" s="73"/>
      <c r="O2109" s="73"/>
      <c r="P2109" s="73"/>
      <c r="Q2109" s="73"/>
      <c r="R2109" s="73"/>
      <c r="S2109" s="73"/>
      <c r="T2109" s="73"/>
      <c r="U2109" s="73"/>
      <c r="V2109" s="73"/>
      <c r="W2109" s="73"/>
      <c r="X2109" s="73"/>
      <c r="Y2109" s="73"/>
      <c r="Z2109" s="73"/>
      <c r="AA2109" s="73"/>
      <c r="AB2109" s="73"/>
      <c r="AC2109" s="73"/>
      <c r="AD2109" s="73"/>
      <c r="AE2109" s="73"/>
      <c r="AF2109" s="73"/>
      <c r="AG2109" s="73"/>
      <c r="AH2109" s="73"/>
      <c r="AI2109" s="73"/>
      <c r="AJ2109" s="73"/>
      <c r="AK2109" s="73" t="s">
        <v>136</v>
      </c>
      <c r="AL2109" s="57"/>
      <c r="AM2109" s="45"/>
      <c r="AN2109" s="45"/>
      <c r="AO2109" s="45"/>
    </row>
    <row r="2110" spans="1:41" ht="5.0999999999999996" hidden="1" customHeight="1" outlineLevel="2" x14ac:dyDescent="0.25">
      <c r="A2110" s="45"/>
      <c r="B2110" s="54"/>
      <c r="C2110" s="47">
        <f>INT($C$29)+2.005</f>
        <v>3.0049999999999999</v>
      </c>
      <c r="D2110" s="73" t="s">
        <v>132</v>
      </c>
      <c r="E2110" s="73"/>
      <c r="F2110" s="73"/>
      <c r="G2110" s="73"/>
      <c r="H2110" s="73"/>
      <c r="I2110" s="73"/>
      <c r="J2110" s="73"/>
      <c r="K2110" s="73"/>
      <c r="L2110" s="73"/>
      <c r="M2110" s="73"/>
      <c r="N2110" s="73"/>
      <c r="O2110" s="73"/>
      <c r="P2110" s="73"/>
      <c r="Q2110" s="73"/>
      <c r="R2110" s="73"/>
      <c r="S2110" s="73"/>
      <c r="T2110" s="73"/>
      <c r="U2110" s="73"/>
      <c r="V2110" s="73"/>
      <c r="W2110" s="73"/>
      <c r="X2110" s="73"/>
      <c r="Y2110" s="73"/>
      <c r="Z2110" s="73"/>
      <c r="AA2110" s="73"/>
      <c r="AB2110" s="73"/>
      <c r="AC2110" s="73"/>
      <c r="AD2110" s="73"/>
      <c r="AE2110" s="73"/>
      <c r="AF2110" s="73"/>
      <c r="AG2110" s="73"/>
      <c r="AH2110" s="73"/>
      <c r="AI2110" s="73"/>
      <c r="AJ2110" s="73"/>
      <c r="AK2110" s="73"/>
      <c r="AL2110" s="57"/>
      <c r="AM2110" s="45"/>
      <c r="AN2110" s="45"/>
      <c r="AO2110" s="45"/>
    </row>
    <row r="2111" spans="1:41" hidden="1" outlineLevel="2" x14ac:dyDescent="0.25">
      <c r="A2111" s="45"/>
      <c r="B2111" s="54"/>
      <c r="C2111" s="47">
        <f>INT($C$29)+2</f>
        <v>3</v>
      </c>
      <c r="D2111" s="73"/>
      <c r="E2111" s="70"/>
      <c r="F2111" s="70"/>
      <c r="G2111" s="73"/>
      <c r="H2111" s="76"/>
      <c r="I2111" s="76"/>
      <c r="J2111" s="76"/>
      <c r="K2111" s="76"/>
      <c r="L2111" s="76"/>
      <c r="M2111" s="76"/>
      <c r="N2111" s="76"/>
      <c r="O2111" s="76"/>
      <c r="P2111" s="76"/>
      <c r="Q2111" s="76"/>
      <c r="R2111" s="76"/>
      <c r="S2111" s="76"/>
      <c r="T2111" s="76"/>
      <c r="U2111" s="76"/>
      <c r="V2111" s="76"/>
      <c r="W2111" s="76"/>
      <c r="X2111" s="76"/>
      <c r="Y2111" s="76"/>
      <c r="Z2111" s="76"/>
      <c r="AA2111" s="76"/>
      <c r="AB2111" s="76"/>
      <c r="AC2111" s="76"/>
      <c r="AD2111" s="76"/>
      <c r="AE2111" s="76"/>
      <c r="AF2111" s="76"/>
      <c r="AG2111" s="76"/>
      <c r="AH2111" s="76"/>
      <c r="AI2111" s="76"/>
      <c r="AJ2111" s="76"/>
      <c r="AK2111" s="73"/>
      <c r="AL2111" s="57"/>
      <c r="AM2111" s="45"/>
      <c r="AN2111" s="45"/>
      <c r="AO2111" s="45"/>
    </row>
    <row r="2112" spans="1:41" hidden="1" outlineLevel="2" collapsed="1" x14ac:dyDescent="0.25">
      <c r="A2112" s="45"/>
      <c r="B2112" s="54"/>
      <c r="C2112" s="47">
        <f>INT($C$29)+2</f>
        <v>3</v>
      </c>
      <c r="D2112" s="73"/>
      <c r="E2112" s="70"/>
      <c r="F2112" s="70"/>
      <c r="G2112" s="73"/>
      <c r="H2112" s="76"/>
      <c r="I2112" s="76"/>
      <c r="J2112" s="76"/>
      <c r="K2112" s="76"/>
      <c r="L2112" s="76"/>
      <c r="M2112" s="76"/>
      <c r="N2112" s="76"/>
      <c r="O2112" s="76"/>
      <c r="P2112" s="76"/>
      <c r="Q2112" s="76"/>
      <c r="R2112" s="76"/>
      <c r="S2112" s="76"/>
      <c r="T2112" s="76"/>
      <c r="U2112" s="76"/>
      <c r="V2112" s="76"/>
      <c r="W2112" s="76"/>
      <c r="X2112" s="76"/>
      <c r="Y2112" s="76"/>
      <c r="Z2112" s="76"/>
      <c r="AA2112" s="76"/>
      <c r="AB2112" s="76"/>
      <c r="AC2112" s="76"/>
      <c r="AD2112" s="76"/>
      <c r="AE2112" s="76"/>
      <c r="AF2112" s="76"/>
      <c r="AG2112" s="76"/>
      <c r="AH2112" s="76"/>
      <c r="AI2112" s="76"/>
      <c r="AJ2112" s="76"/>
      <c r="AK2112" s="73"/>
      <c r="AL2112" s="57"/>
      <c r="AM2112" s="45"/>
      <c r="AN2112" s="45"/>
      <c r="AO2112" s="45"/>
    </row>
    <row r="2113" spans="1:41" hidden="1" outlineLevel="3" x14ac:dyDescent="0.25">
      <c r="A2113" s="45"/>
      <c r="B2113" s="54"/>
      <c r="C2113" s="47">
        <f>INT($C$29)+3</f>
        <v>4</v>
      </c>
      <c r="D2113" s="73"/>
      <c r="E2113" s="70"/>
      <c r="F2113" s="70"/>
      <c r="G2113" s="73"/>
      <c r="H2113" s="76"/>
      <c r="I2113" s="76"/>
      <c r="J2113" s="76"/>
      <c r="K2113" s="76"/>
      <c r="L2113" s="76"/>
      <c r="M2113" s="76"/>
      <c r="N2113" s="76"/>
      <c r="O2113" s="76"/>
      <c r="P2113" s="76"/>
      <c r="Q2113" s="76"/>
      <c r="R2113" s="76"/>
      <c r="S2113" s="76"/>
      <c r="T2113" s="76"/>
      <c r="U2113" s="76"/>
      <c r="V2113" s="76"/>
      <c r="W2113" s="76"/>
      <c r="X2113" s="76"/>
      <c r="Y2113" s="76"/>
      <c r="Z2113" s="76"/>
      <c r="AA2113" s="76"/>
      <c r="AB2113" s="76"/>
      <c r="AC2113" s="76"/>
      <c r="AD2113" s="76"/>
      <c r="AE2113" s="76"/>
      <c r="AF2113" s="76"/>
      <c r="AG2113" s="76"/>
      <c r="AH2113" s="76"/>
      <c r="AI2113" s="76"/>
      <c r="AJ2113" s="76"/>
      <c r="AK2113" s="73"/>
      <c r="AL2113" s="57"/>
      <c r="AM2113" s="45"/>
      <c r="AN2113" s="45"/>
      <c r="AO2113" s="45"/>
    </row>
    <row r="2114" spans="1:41" hidden="1" outlineLevel="3" x14ac:dyDescent="0.25">
      <c r="A2114" s="45"/>
      <c r="B2114" s="54"/>
      <c r="C2114" s="47">
        <f>INT($C$29)+3</f>
        <v>4</v>
      </c>
      <c r="D2114" s="73"/>
      <c r="E2114" s="70"/>
      <c r="F2114" s="70"/>
      <c r="G2114" s="73"/>
      <c r="H2114" s="76"/>
      <c r="I2114" s="76"/>
      <c r="J2114" s="76"/>
      <c r="K2114" s="76"/>
      <c r="L2114" s="76"/>
      <c r="M2114" s="76"/>
      <c r="N2114" s="76"/>
      <c r="O2114" s="76"/>
      <c r="P2114" s="76"/>
      <c r="Q2114" s="76"/>
      <c r="R2114" s="76"/>
      <c r="S2114" s="76"/>
      <c r="T2114" s="76"/>
      <c r="U2114" s="76"/>
      <c r="V2114" s="76"/>
      <c r="W2114" s="76"/>
      <c r="X2114" s="76"/>
      <c r="Y2114" s="76"/>
      <c r="Z2114" s="76"/>
      <c r="AA2114" s="76"/>
      <c r="AB2114" s="76"/>
      <c r="AC2114" s="76"/>
      <c r="AD2114" s="76"/>
      <c r="AE2114" s="76"/>
      <c r="AF2114" s="76"/>
      <c r="AG2114" s="76"/>
      <c r="AH2114" s="76"/>
      <c r="AI2114" s="76"/>
      <c r="AJ2114" s="76"/>
      <c r="AK2114" s="73"/>
      <c r="AL2114" s="57"/>
      <c r="AM2114" s="45"/>
      <c r="AN2114" s="45"/>
      <c r="AO2114" s="45"/>
    </row>
    <row r="2115" spans="1:41" hidden="1" outlineLevel="3" x14ac:dyDescent="0.25">
      <c r="A2115" s="45"/>
      <c r="B2115" s="54"/>
      <c r="C2115" s="47">
        <f>INT($C$29)+3</f>
        <v>4</v>
      </c>
      <c r="D2115" s="73"/>
      <c r="E2115" s="70"/>
      <c r="F2115" s="70"/>
      <c r="G2115" s="73"/>
      <c r="H2115" s="76"/>
      <c r="I2115" s="76"/>
      <c r="J2115" s="76"/>
      <c r="K2115" s="76"/>
      <c r="L2115" s="76"/>
      <c r="M2115" s="76"/>
      <c r="N2115" s="76"/>
      <c r="O2115" s="76"/>
      <c r="P2115" s="76"/>
      <c r="Q2115" s="76"/>
      <c r="R2115" s="76"/>
      <c r="S2115" s="76"/>
      <c r="T2115" s="76"/>
      <c r="U2115" s="76"/>
      <c r="V2115" s="76"/>
      <c r="W2115" s="76"/>
      <c r="X2115" s="76"/>
      <c r="Y2115" s="76"/>
      <c r="Z2115" s="76"/>
      <c r="AA2115" s="76"/>
      <c r="AB2115" s="76"/>
      <c r="AC2115" s="76"/>
      <c r="AD2115" s="76"/>
      <c r="AE2115" s="76"/>
      <c r="AF2115" s="76"/>
      <c r="AG2115" s="76"/>
      <c r="AH2115" s="76"/>
      <c r="AI2115" s="76"/>
      <c r="AJ2115" s="76"/>
      <c r="AK2115" s="73"/>
      <c r="AL2115" s="57"/>
      <c r="AM2115" s="45"/>
      <c r="AN2115" s="45"/>
      <c r="AO2115" s="45"/>
    </row>
    <row r="2116" spans="1:41" ht="5.0999999999999996" hidden="1" customHeight="1" outlineLevel="3" x14ac:dyDescent="0.25">
      <c r="A2116" s="45"/>
      <c r="B2116" s="54"/>
      <c r="C2116" s="47">
        <f>INT($C$29)+3.005</f>
        <v>4.0049999999999999</v>
      </c>
      <c r="D2116" s="73"/>
      <c r="E2116" s="73"/>
      <c r="F2116" s="73"/>
      <c r="G2116" s="73"/>
      <c r="H2116" s="73"/>
      <c r="I2116" s="73"/>
      <c r="J2116" s="73"/>
      <c r="K2116" s="73"/>
      <c r="L2116" s="73"/>
      <c r="M2116" s="73"/>
      <c r="N2116" s="73"/>
      <c r="O2116" s="73"/>
      <c r="P2116" s="73"/>
      <c r="Q2116" s="73"/>
      <c r="R2116" s="73"/>
      <c r="S2116" s="73"/>
      <c r="T2116" s="73"/>
      <c r="U2116" s="73"/>
      <c r="V2116" s="73"/>
      <c r="W2116" s="73"/>
      <c r="X2116" s="73"/>
      <c r="Y2116" s="73"/>
      <c r="Z2116" s="73"/>
      <c r="AA2116" s="73"/>
      <c r="AB2116" s="73"/>
      <c r="AC2116" s="73"/>
      <c r="AD2116" s="73"/>
      <c r="AE2116" s="73"/>
      <c r="AF2116" s="76"/>
      <c r="AG2116" s="73"/>
      <c r="AH2116" s="73"/>
      <c r="AI2116" s="73"/>
      <c r="AJ2116" s="73"/>
      <c r="AK2116" s="73" t="s">
        <v>136</v>
      </c>
      <c r="AL2116" s="57"/>
      <c r="AM2116" s="45"/>
      <c r="AN2116" s="45"/>
      <c r="AO2116" s="45"/>
    </row>
    <row r="2117" spans="1:41" ht="5.0999999999999996" hidden="1" customHeight="1" outlineLevel="2" x14ac:dyDescent="0.25">
      <c r="A2117" s="45"/>
      <c r="B2117" s="54"/>
      <c r="C2117" s="47">
        <f>INT($C$29)+2.005</f>
        <v>3.0049999999999999</v>
      </c>
      <c r="D2117" s="73"/>
      <c r="E2117" s="73"/>
      <c r="F2117" s="73"/>
      <c r="G2117" s="73"/>
      <c r="H2117" s="73"/>
      <c r="I2117" s="73"/>
      <c r="J2117" s="73"/>
      <c r="K2117" s="73"/>
      <c r="L2117" s="73"/>
      <c r="M2117" s="73"/>
      <c r="N2117" s="73"/>
      <c r="O2117" s="73"/>
      <c r="P2117" s="73"/>
      <c r="Q2117" s="73"/>
      <c r="R2117" s="73"/>
      <c r="S2117" s="73"/>
      <c r="T2117" s="73"/>
      <c r="U2117" s="73"/>
      <c r="V2117" s="73"/>
      <c r="W2117" s="73"/>
      <c r="X2117" s="73"/>
      <c r="Y2117" s="73"/>
      <c r="Z2117" s="73"/>
      <c r="AA2117" s="73"/>
      <c r="AB2117" s="73"/>
      <c r="AC2117" s="73"/>
      <c r="AD2117" s="73"/>
      <c r="AE2117" s="73"/>
      <c r="AF2117" s="76"/>
      <c r="AG2117" s="73"/>
      <c r="AH2117" s="73"/>
      <c r="AI2117" s="73"/>
      <c r="AJ2117" s="73"/>
      <c r="AK2117" s="73"/>
      <c r="AL2117" s="57"/>
      <c r="AM2117" s="45"/>
      <c r="AN2117" s="45"/>
      <c r="AO2117" s="45"/>
    </row>
    <row r="2118" spans="1:41" ht="5.0999999999999996" customHeight="1" outlineLevel="1" x14ac:dyDescent="0.25">
      <c r="A2118" s="45"/>
      <c r="B2118" s="81"/>
      <c r="C2118" s="82">
        <f>INT($C$29)+1.005</f>
        <v>2.0049999999999999</v>
      </c>
      <c r="D2118" s="83"/>
      <c r="E2118" s="83"/>
      <c r="F2118" s="83"/>
      <c r="G2118" s="83"/>
      <c r="H2118" s="83"/>
      <c r="I2118" s="83"/>
      <c r="J2118" s="83"/>
      <c r="K2118" s="83"/>
      <c r="L2118" s="83"/>
      <c r="M2118" s="83"/>
      <c r="N2118" s="83"/>
      <c r="O2118" s="83"/>
      <c r="P2118" s="83"/>
      <c r="Q2118" s="83"/>
      <c r="R2118" s="83"/>
      <c r="S2118" s="83"/>
      <c r="T2118" s="83"/>
      <c r="U2118" s="83"/>
      <c r="V2118" s="83"/>
      <c r="W2118" s="83"/>
      <c r="X2118" s="83"/>
      <c r="Y2118" s="83"/>
      <c r="Z2118" s="83"/>
      <c r="AA2118" s="83"/>
      <c r="AB2118" s="83"/>
      <c r="AC2118" s="83"/>
      <c r="AD2118" s="83"/>
      <c r="AE2118" s="83"/>
      <c r="AF2118" s="83"/>
      <c r="AG2118" s="83"/>
      <c r="AH2118" s="83"/>
      <c r="AI2118" s="83"/>
      <c r="AJ2118" s="83"/>
      <c r="AK2118" s="83"/>
      <c r="AL2118" s="84" t="s">
        <v>145</v>
      </c>
      <c r="AM2118" s="45"/>
      <c r="AN2118" s="45"/>
      <c r="AO2118" s="45"/>
    </row>
    <row r="2119" spans="1:41" ht="5.0999999999999996" customHeight="1" collapsed="1" x14ac:dyDescent="0.25">
      <c r="A2119" s="45"/>
      <c r="B2119" s="85"/>
      <c r="C2119" s="86">
        <f>INT($C$29)+0.005</f>
        <v>1.0049999999999999</v>
      </c>
      <c r="D2119" s="85"/>
      <c r="E2119" s="85"/>
      <c r="F2119" s="85"/>
      <c r="G2119" s="85"/>
      <c r="H2119" s="85"/>
      <c r="I2119" s="85"/>
      <c r="J2119" s="85"/>
      <c r="K2119" s="85"/>
      <c r="L2119" s="85"/>
      <c r="M2119" s="85"/>
      <c r="N2119" s="85"/>
      <c r="O2119" s="85"/>
      <c r="P2119" s="85"/>
      <c r="Q2119" s="85"/>
      <c r="R2119" s="85"/>
      <c r="S2119" s="85"/>
      <c r="T2119" s="85"/>
      <c r="U2119" s="85"/>
      <c r="V2119" s="85"/>
      <c r="W2119" s="85"/>
      <c r="X2119" s="85"/>
      <c r="Y2119" s="85"/>
      <c r="Z2119" s="85"/>
      <c r="AA2119" s="85"/>
      <c r="AB2119" s="85"/>
      <c r="AC2119" s="85"/>
      <c r="AD2119" s="85"/>
      <c r="AE2119" s="85"/>
      <c r="AF2119" s="85"/>
      <c r="AG2119" s="85"/>
      <c r="AH2119" s="85"/>
      <c r="AI2119" s="85"/>
      <c r="AJ2119" s="85"/>
      <c r="AK2119" s="85"/>
      <c r="AL2119" s="85"/>
      <c r="AM2119" s="45"/>
      <c r="AN2119" s="45"/>
      <c r="AO2119" s="45"/>
    </row>
    <row r="2120" spans="1:41" hidden="1" outlineLevel="2" x14ac:dyDescent="0.25">
      <c r="A2120" s="45"/>
      <c r="B2120" s="45"/>
      <c r="C2120" s="47">
        <f>INT($C$29)+2</f>
        <v>3</v>
      </c>
      <c r="D2120" s="45"/>
      <c r="E2120" s="45"/>
      <c r="F2120" s="45"/>
      <c r="G2120" s="45"/>
      <c r="H2120" s="45"/>
      <c r="I2120" s="45"/>
      <c r="J2120" s="45"/>
      <c r="K2120" s="45"/>
      <c r="L2120" s="45"/>
      <c r="M2120" s="45"/>
      <c r="N2120" s="45"/>
      <c r="O2120" s="45"/>
      <c r="P2120" s="45"/>
      <c r="Q2120" s="45"/>
      <c r="R2120" s="45"/>
      <c r="S2120" s="45"/>
      <c r="T2120" s="45"/>
      <c r="U2120" s="45"/>
      <c r="V2120" s="45"/>
      <c r="W2120" s="45"/>
      <c r="X2120" s="45"/>
      <c r="Y2120" s="45"/>
      <c r="Z2120" s="45"/>
      <c r="AA2120" s="45"/>
      <c r="AB2120" s="45"/>
      <c r="AC2120" s="45"/>
      <c r="AD2120" s="45"/>
      <c r="AE2120" s="45"/>
      <c r="AF2120" s="45"/>
      <c r="AG2120" s="45"/>
      <c r="AH2120" s="45"/>
      <c r="AI2120" s="45"/>
      <c r="AJ2120" s="45"/>
      <c r="AK2120" s="45"/>
      <c r="AL2120" s="45"/>
      <c r="AM2120" s="45"/>
      <c r="AN2120" s="45"/>
      <c r="AO2120" s="45"/>
    </row>
    <row r="2121" spans="1:41" x14ac:dyDescent="0.25">
      <c r="A2121" s="45"/>
      <c r="B2121" s="45"/>
      <c r="C2121" s="46"/>
      <c r="D2121" s="45"/>
      <c r="E2121" s="45"/>
      <c r="F2121" s="45"/>
      <c r="G2121" s="45"/>
      <c r="H2121" s="45"/>
      <c r="I2121" s="45"/>
      <c r="J2121" s="45"/>
      <c r="K2121" s="45"/>
      <c r="L2121" s="45"/>
      <c r="M2121" s="45"/>
      <c r="N2121" s="45"/>
      <c r="O2121" s="45"/>
      <c r="P2121" s="45"/>
      <c r="Q2121" s="45"/>
      <c r="R2121" s="45"/>
      <c r="S2121" s="45"/>
      <c r="T2121" s="45"/>
      <c r="U2121" s="45"/>
      <c r="V2121" s="45"/>
      <c r="W2121" s="45"/>
      <c r="X2121" s="45"/>
      <c r="Y2121" s="45"/>
      <c r="Z2121" s="45"/>
      <c r="AA2121" s="45"/>
      <c r="AB2121" s="45"/>
      <c r="AC2121" s="45"/>
      <c r="AD2121" s="45"/>
      <c r="AE2121" s="45"/>
      <c r="AF2121" s="45"/>
      <c r="AG2121" s="45"/>
      <c r="AH2121" s="45"/>
      <c r="AI2121" s="45"/>
      <c r="AJ2121" s="45"/>
      <c r="AK2121" s="45"/>
      <c r="AL2121" s="45"/>
      <c r="AM2121" s="45"/>
      <c r="AN2121" s="45"/>
      <c r="AO2121" s="45"/>
    </row>
    <row r="2122" spans="1:41" x14ac:dyDescent="0.25">
      <c r="A2122" s="45"/>
      <c r="B2122" s="45"/>
      <c r="C2122" s="46"/>
      <c r="D2122" s="45"/>
      <c r="E2122" s="45"/>
      <c r="F2122" s="45"/>
      <c r="G2122" s="45"/>
      <c r="H2122" s="45"/>
      <c r="I2122" s="45"/>
      <c r="J2122" s="45"/>
      <c r="K2122" s="45"/>
      <c r="L2122" s="45"/>
      <c r="M2122" s="45"/>
      <c r="N2122" s="45"/>
      <c r="O2122" s="45"/>
      <c r="P2122" s="45"/>
      <c r="Q2122" s="45"/>
      <c r="R2122" s="45"/>
      <c r="S2122" s="45"/>
      <c r="T2122" s="45"/>
      <c r="U2122" s="45"/>
      <c r="V2122" s="45"/>
      <c r="W2122" s="45"/>
      <c r="X2122" s="45"/>
      <c r="Y2122" s="45"/>
      <c r="Z2122" s="45"/>
      <c r="AA2122" s="45"/>
      <c r="AB2122" s="45"/>
      <c r="AC2122" s="45"/>
      <c r="AD2122" s="45"/>
      <c r="AE2122" s="45"/>
      <c r="AF2122" s="45"/>
      <c r="AG2122" s="45"/>
      <c r="AH2122" s="45"/>
      <c r="AI2122" s="45"/>
      <c r="AJ2122" s="45"/>
      <c r="AK2122" s="45"/>
      <c r="AL2122" s="45"/>
      <c r="AM2122" s="45"/>
      <c r="AN2122" s="45"/>
      <c r="AO2122" s="45"/>
    </row>
    <row r="2123" spans="1:41" x14ac:dyDescent="0.25">
      <c r="A2123" s="45"/>
      <c r="B2123" s="45"/>
      <c r="C2123" s="46"/>
      <c r="D2123" s="45"/>
      <c r="E2123" s="45"/>
      <c r="F2123" s="45"/>
      <c r="G2123" s="45"/>
      <c r="H2123" s="45"/>
      <c r="I2123" s="45"/>
      <c r="J2123" s="45"/>
      <c r="K2123" s="45"/>
      <c r="L2123" s="45"/>
      <c r="M2123" s="45"/>
      <c r="N2123" s="45"/>
      <c r="O2123" s="45"/>
      <c r="P2123" s="45"/>
      <c r="Q2123" s="45"/>
      <c r="R2123" s="45"/>
      <c r="S2123" s="45"/>
      <c r="T2123" s="45"/>
      <c r="U2123" s="45"/>
      <c r="V2123" s="45"/>
      <c r="W2123" s="45"/>
      <c r="X2123" s="45"/>
      <c r="Y2123" s="45"/>
      <c r="Z2123" s="45"/>
      <c r="AA2123" s="45"/>
      <c r="AB2123" s="45"/>
      <c r="AC2123" s="45"/>
      <c r="AD2123" s="45"/>
      <c r="AE2123" s="45"/>
      <c r="AF2123" s="45"/>
      <c r="AG2123" s="45"/>
      <c r="AH2123" s="45"/>
      <c r="AI2123" s="45"/>
      <c r="AJ2123" s="45"/>
      <c r="AK2123" s="45"/>
      <c r="AL2123" s="45"/>
      <c r="AM2123" s="45"/>
      <c r="AN2123" s="45"/>
      <c r="AO2123" s="45"/>
    </row>
    <row r="2124" spans="1:41" x14ac:dyDescent="0.25">
      <c r="A2124" s="45"/>
      <c r="B2124" s="45"/>
      <c r="C2124" s="46"/>
      <c r="D2124" s="45"/>
      <c r="E2124" s="45"/>
      <c r="F2124" s="45"/>
      <c r="G2124" s="45"/>
      <c r="H2124" s="45"/>
      <c r="I2124" s="45"/>
      <c r="J2124" s="45"/>
      <c r="K2124" s="45"/>
      <c r="L2124" s="45"/>
      <c r="M2124" s="45"/>
      <c r="N2124" s="45"/>
      <c r="O2124" s="45"/>
      <c r="P2124" s="45"/>
      <c r="Q2124" s="45"/>
      <c r="R2124" s="45"/>
      <c r="S2124" s="45"/>
      <c r="T2124" s="45"/>
      <c r="U2124" s="45"/>
      <c r="V2124" s="45"/>
      <c r="W2124" s="45"/>
      <c r="X2124" s="45"/>
      <c r="Y2124" s="45"/>
      <c r="Z2124" s="45"/>
      <c r="AA2124" s="45"/>
      <c r="AB2124" s="45"/>
      <c r="AC2124" s="45"/>
      <c r="AD2124" s="45"/>
      <c r="AE2124" s="45"/>
      <c r="AF2124" s="45"/>
      <c r="AG2124" s="45"/>
      <c r="AH2124" s="45"/>
      <c r="AI2124" s="45"/>
      <c r="AJ2124" s="45"/>
      <c r="AK2124" s="45"/>
      <c r="AL2124" s="45"/>
      <c r="AM2124" s="45"/>
      <c r="AN2124" s="45"/>
      <c r="AO2124" s="45"/>
    </row>
    <row r="2125" spans="1:41" x14ac:dyDescent="0.25">
      <c r="A2125" s="45"/>
      <c r="B2125" s="45"/>
      <c r="C2125" s="46"/>
      <c r="D2125" s="45"/>
      <c r="E2125" s="45"/>
      <c r="F2125" s="45"/>
      <c r="G2125" s="45"/>
      <c r="H2125" s="45"/>
      <c r="I2125" s="45"/>
      <c r="J2125" s="45"/>
      <c r="K2125" s="45"/>
      <c r="L2125" s="45"/>
      <c r="M2125" s="45"/>
      <c r="N2125" s="45"/>
      <c r="O2125" s="45"/>
      <c r="P2125" s="45"/>
      <c r="Q2125" s="45"/>
      <c r="R2125" s="45"/>
      <c r="S2125" s="45"/>
      <c r="T2125" s="45"/>
      <c r="U2125" s="45"/>
      <c r="V2125" s="45"/>
      <c r="W2125" s="45"/>
      <c r="X2125" s="45"/>
      <c r="Y2125" s="45"/>
      <c r="Z2125" s="45"/>
      <c r="AA2125" s="45"/>
      <c r="AB2125" s="45"/>
      <c r="AC2125" s="45"/>
      <c r="AD2125" s="45"/>
      <c r="AE2125" s="45"/>
      <c r="AF2125" s="45"/>
      <c r="AG2125" s="45"/>
      <c r="AH2125" s="45"/>
      <c r="AI2125" s="45"/>
      <c r="AJ2125" s="45"/>
      <c r="AK2125" s="45"/>
      <c r="AL2125" s="45"/>
      <c r="AM2125" s="45"/>
      <c r="AN2125" s="45"/>
      <c r="AO2125" s="45"/>
    </row>
    <row r="2126" spans="1:41" x14ac:dyDescent="0.25">
      <c r="A2126" s="45"/>
      <c r="B2126" s="45"/>
      <c r="C2126" s="46"/>
      <c r="D2126" s="45"/>
      <c r="E2126" s="45"/>
      <c r="F2126" s="45"/>
      <c r="G2126" s="45"/>
      <c r="H2126" s="45"/>
      <c r="I2126" s="45"/>
      <c r="J2126" s="45"/>
      <c r="K2126" s="45"/>
      <c r="L2126" s="45"/>
      <c r="M2126" s="45"/>
      <c r="N2126" s="45"/>
      <c r="O2126" s="45"/>
      <c r="P2126" s="45"/>
      <c r="Q2126" s="45"/>
      <c r="R2126" s="45"/>
      <c r="S2126" s="45"/>
      <c r="T2126" s="45"/>
      <c r="U2126" s="45"/>
      <c r="V2126" s="45"/>
      <c r="W2126" s="45"/>
      <c r="X2126" s="45"/>
      <c r="Y2126" s="45"/>
      <c r="Z2126" s="45"/>
      <c r="AA2126" s="45"/>
      <c r="AB2126" s="45"/>
      <c r="AC2126" s="45"/>
      <c r="AD2126" s="45"/>
      <c r="AE2126" s="45"/>
      <c r="AF2126" s="45"/>
      <c r="AG2126" s="45"/>
      <c r="AH2126" s="45"/>
      <c r="AI2126" s="45"/>
      <c r="AJ2126" s="45"/>
      <c r="AK2126" s="45"/>
      <c r="AL2126" s="45"/>
      <c r="AM2126" s="45"/>
      <c r="AN2126" s="45"/>
      <c r="AO2126" s="45"/>
    </row>
    <row r="2127" spans="1:41" x14ac:dyDescent="0.25">
      <c r="C2127" s="233" t="s">
        <v>419</v>
      </c>
    </row>
  </sheetData>
  <autoFilter ref="E36:AK2120" xr:uid="{3C3415A5-FB2E-4A7F-A830-CC02AF06DF76}"/>
  <mergeCells count="2">
    <mergeCell ref="J12:AD12"/>
    <mergeCell ref="J11:AD11"/>
  </mergeCells>
  <phoneticPr fontId="42" type="noConversion"/>
  <pageMargins left="0.39370078740157483" right="0.31496062992125984" top="0.35433070866141736" bottom="0.35433070866141736" header="0.31496062992125984" footer="0.31496062992125984"/>
  <pageSetup paperSize="9" scale="92" fitToHeight="4" orientation="portrait" r:id="rId1"/>
  <rowBreaks count="2" manualBreakCount="2">
    <brk id="289" min="4" max="9" man="1"/>
    <brk id="362" min="4" max="9"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A3BCC-ACE3-4E3E-942B-4FA843C08DF6}">
  <sheetPr codeName="Sheet14">
    <outlinePr summaryBelow="0" summaryRight="0"/>
  </sheetPr>
  <dimension ref="A1:AD151"/>
  <sheetViews>
    <sheetView topLeftCell="A3" zoomScale="85" zoomScaleNormal="85" workbookViewId="0">
      <pane xSplit="10" ySplit="37" topLeftCell="K62" activePane="bottomRight" state="frozen"/>
      <selection activeCell="A3" sqref="A3"/>
      <selection pane="topRight" activeCell="K3" sqref="K3"/>
      <selection pane="bottomLeft" activeCell="A51" sqref="A51"/>
      <selection pane="bottomRight" activeCell="H56" sqref="H56"/>
    </sheetView>
  </sheetViews>
  <sheetFormatPr defaultColWidth="9.140625" defaultRowHeight="15" outlineLevelRow="4" outlineLevelCol="2" x14ac:dyDescent="0.25"/>
  <cols>
    <col min="1" max="1" width="4.7109375" customWidth="1"/>
    <col min="2" max="2" width="2.7109375" customWidth="1" collapsed="1"/>
    <col min="3" max="3" width="4.7109375" hidden="1" customWidth="1" outlineLevel="2"/>
    <col min="4" max="4" width="1.7109375" customWidth="1" collapsed="1"/>
    <col min="5" max="6" width="9.140625" hidden="1" customWidth="1" outlineLevel="1"/>
    <col min="7" max="7" width="1.7109375" hidden="1" customWidth="1" outlineLevel="1"/>
    <col min="8" max="8" width="56" customWidth="1"/>
    <col min="9" max="9" width="14.42578125" customWidth="1"/>
    <col min="10" max="10" width="19.7109375" bestFit="1" customWidth="1"/>
    <col min="12" max="12" width="9.140625" customWidth="1"/>
    <col min="17" max="17" width="3.28515625" customWidth="1"/>
    <col min="18" max="18" width="17.28515625" customWidth="1"/>
    <col min="19" max="20" width="9.140625" customWidth="1"/>
    <col min="22" max="22" width="9.7109375" bestFit="1" customWidth="1"/>
    <col min="26" max="26" width="1.7109375" customWidth="1"/>
    <col min="27" max="28" width="4.7109375" customWidth="1"/>
    <col min="30" max="30" width="46.140625" customWidth="1"/>
  </cols>
  <sheetData>
    <row r="1" spans="1:30" x14ac:dyDescent="0.25">
      <c r="A1" s="45"/>
      <c r="B1" s="45"/>
      <c r="C1" s="46"/>
      <c r="D1" s="45"/>
      <c r="E1" s="45"/>
      <c r="F1" s="45"/>
      <c r="G1" s="45"/>
      <c r="H1" s="45"/>
      <c r="I1" s="45"/>
      <c r="J1" s="45"/>
      <c r="K1" s="45"/>
      <c r="L1" s="45"/>
      <c r="M1" s="45"/>
      <c r="N1" s="45"/>
      <c r="O1" s="45"/>
      <c r="P1" s="45"/>
      <c r="Q1" s="45"/>
      <c r="R1" s="45"/>
      <c r="S1" s="45"/>
      <c r="T1" s="45"/>
      <c r="U1" s="45"/>
      <c r="V1" s="45"/>
      <c r="W1" s="45"/>
      <c r="X1" s="45"/>
      <c r="Y1" s="45"/>
      <c r="Z1" s="45"/>
      <c r="AA1" s="45"/>
      <c r="AB1" s="45"/>
      <c r="AC1" s="45"/>
      <c r="AD1" s="45"/>
    </row>
    <row r="2" spans="1:30" outlineLevel="2" x14ac:dyDescent="0.25">
      <c r="A2" s="45"/>
      <c r="B2" s="45"/>
      <c r="C2" s="47">
        <f>INT($C$6)+2</f>
        <v>3</v>
      </c>
      <c r="D2" s="45"/>
      <c r="E2" s="45"/>
      <c r="F2" s="45"/>
      <c r="G2" s="45"/>
      <c r="H2" s="45"/>
      <c r="I2" s="45"/>
      <c r="J2" s="45"/>
      <c r="K2" s="45"/>
      <c r="L2" s="45"/>
      <c r="M2" s="45"/>
      <c r="N2" s="45"/>
      <c r="O2" s="45"/>
      <c r="P2" s="45"/>
      <c r="Q2" s="45"/>
      <c r="R2" s="45"/>
      <c r="S2" s="45"/>
      <c r="T2" s="45"/>
      <c r="U2" s="45"/>
      <c r="V2" s="45"/>
      <c r="W2" s="45"/>
      <c r="X2" s="45"/>
      <c r="Y2" s="45"/>
      <c r="Z2" s="45"/>
      <c r="AA2" s="45"/>
      <c r="AB2" s="45"/>
      <c r="AC2" s="45"/>
      <c r="AD2" s="45"/>
    </row>
    <row r="3" spans="1:30" ht="5.0999999999999996" customHeight="1" thickBot="1" x14ac:dyDescent="0.3">
      <c r="A3" s="45"/>
      <c r="B3" s="48"/>
      <c r="C3" s="49">
        <f>INT($C$6)+0.005</f>
        <v>1.0049999999999999</v>
      </c>
      <c r="D3" s="48"/>
      <c r="E3" s="48"/>
      <c r="F3" s="48"/>
      <c r="G3" s="48"/>
      <c r="H3" s="48"/>
      <c r="I3" s="48"/>
      <c r="J3" s="48"/>
      <c r="K3" s="48"/>
      <c r="L3" s="48"/>
      <c r="M3" s="48"/>
      <c r="N3" s="48"/>
      <c r="O3" s="48"/>
      <c r="P3" s="48"/>
      <c r="Q3" s="48"/>
      <c r="R3" s="48"/>
      <c r="S3" s="48"/>
      <c r="T3" s="48"/>
      <c r="U3" s="48"/>
      <c r="V3" s="48"/>
      <c r="W3" s="48"/>
      <c r="X3" s="48"/>
      <c r="Y3" s="48"/>
      <c r="Z3" s="48"/>
      <c r="AA3" s="48"/>
      <c r="AB3" s="45"/>
      <c r="AC3" s="45"/>
      <c r="AD3" s="45"/>
    </row>
    <row r="4" spans="1:30" ht="5.0999999999999996" customHeight="1" outlineLevel="1" x14ac:dyDescent="0.25">
      <c r="A4" s="45"/>
      <c r="B4" s="50" t="s">
        <v>86</v>
      </c>
      <c r="C4" s="51">
        <f>INT($C$6)+1.005</f>
        <v>2.0049999999999999</v>
      </c>
      <c r="D4" s="52"/>
      <c r="E4" s="52"/>
      <c r="F4" s="52"/>
      <c r="G4" s="52"/>
      <c r="H4" s="52"/>
      <c r="I4" s="52"/>
      <c r="J4" s="52"/>
      <c r="K4" s="52"/>
      <c r="L4" s="52"/>
      <c r="M4" s="52"/>
      <c r="N4" s="52"/>
      <c r="O4" s="52"/>
      <c r="P4" s="52"/>
      <c r="Q4" s="52"/>
      <c r="R4" s="52"/>
      <c r="S4" s="52"/>
      <c r="T4" s="52"/>
      <c r="U4" s="52"/>
      <c r="V4" s="52"/>
      <c r="W4" s="52"/>
      <c r="X4" s="52"/>
      <c r="Y4" s="52"/>
      <c r="Z4" s="52"/>
      <c r="AA4" s="53"/>
      <c r="AB4" s="45"/>
      <c r="AC4" s="45"/>
      <c r="AD4" s="45"/>
    </row>
    <row r="5" spans="1:30" outlineLevel="4" x14ac:dyDescent="0.25">
      <c r="A5" s="45"/>
      <c r="B5" s="54"/>
      <c r="C5" s="47">
        <f>INT(MAX($C$9:$C$20))+1</f>
        <v>5</v>
      </c>
      <c r="D5" s="55"/>
      <c r="E5" s="56">
        <v>2</v>
      </c>
      <c r="F5" s="56">
        <v>2</v>
      </c>
      <c r="G5" s="56">
        <v>2.0099999999999998</v>
      </c>
      <c r="H5" s="56">
        <v>1.1499999999999999</v>
      </c>
      <c r="I5" s="56">
        <v>1</v>
      </c>
      <c r="J5" s="56">
        <v>1</v>
      </c>
      <c r="K5" s="56">
        <v>1</v>
      </c>
      <c r="L5" s="56">
        <v>1</v>
      </c>
      <c r="M5" s="56">
        <v>1</v>
      </c>
      <c r="N5" s="56">
        <v>1</v>
      </c>
      <c r="O5" s="56">
        <v>1</v>
      </c>
      <c r="P5" s="56">
        <v>1</v>
      </c>
      <c r="Q5" s="56">
        <v>1</v>
      </c>
      <c r="R5" s="56">
        <v>1</v>
      </c>
      <c r="S5" s="56">
        <v>1</v>
      </c>
      <c r="T5" s="56">
        <v>1</v>
      </c>
      <c r="U5" s="56">
        <v>1</v>
      </c>
      <c r="V5" s="56">
        <v>1</v>
      </c>
      <c r="W5" s="56">
        <v>1</v>
      </c>
      <c r="X5" s="56">
        <v>1</v>
      </c>
      <c r="Y5" s="56">
        <v>1</v>
      </c>
      <c r="Z5" s="55"/>
      <c r="AA5" s="57"/>
      <c r="AB5" s="45"/>
      <c r="AC5" s="45"/>
      <c r="AD5" s="45"/>
    </row>
    <row r="6" spans="1:30" ht="20.100000000000001" customHeight="1" x14ac:dyDescent="0.25">
      <c r="A6" s="45"/>
      <c r="B6" s="54"/>
      <c r="C6" s="47">
        <v>1.02</v>
      </c>
      <c r="D6" s="58"/>
      <c r="E6" s="59" t="s">
        <v>124</v>
      </c>
      <c r="F6" s="60">
        <v>2</v>
      </c>
      <c r="G6" s="61"/>
      <c r="H6" s="62" t="s">
        <v>125</v>
      </c>
      <c r="I6" s="63"/>
      <c r="J6" s="63"/>
      <c r="K6" s="63"/>
      <c r="L6" s="63"/>
      <c r="M6" s="63"/>
      <c r="N6" s="63"/>
      <c r="O6" s="63"/>
      <c r="P6" s="63"/>
      <c r="Q6" s="63"/>
      <c r="R6" s="63"/>
      <c r="S6" s="63"/>
      <c r="T6" s="63"/>
      <c r="U6" s="63"/>
      <c r="V6" s="63"/>
      <c r="W6" s="63"/>
      <c r="X6" s="63"/>
      <c r="Y6" s="63"/>
      <c r="Z6" s="64"/>
      <c r="AA6" s="57"/>
      <c r="AB6" s="45"/>
      <c r="AC6" s="45"/>
      <c r="AD6" s="45"/>
    </row>
    <row r="7" spans="1:30" ht="20.100000000000001" customHeight="1" outlineLevel="1" x14ac:dyDescent="0.25">
      <c r="A7" s="45"/>
      <c r="B7" s="54"/>
      <c r="C7" s="47">
        <f>INT($C$6)+1.02</f>
        <v>2.02</v>
      </c>
      <c r="D7" s="58"/>
      <c r="E7" s="59" t="s">
        <v>126</v>
      </c>
      <c r="F7" s="65">
        <v>1</v>
      </c>
      <c r="G7" s="66"/>
      <c r="H7" s="67" t="s">
        <v>127</v>
      </c>
      <c r="I7" s="68"/>
      <c r="J7" s="68"/>
      <c r="K7" s="68"/>
      <c r="L7" s="68"/>
      <c r="M7" s="68"/>
      <c r="N7" s="68"/>
      <c r="O7" s="68"/>
      <c r="P7" s="68"/>
      <c r="Q7" s="68"/>
      <c r="R7" s="68"/>
      <c r="S7" s="68"/>
      <c r="T7" s="68"/>
      <c r="U7" s="68"/>
      <c r="V7" s="68"/>
      <c r="W7" s="68"/>
      <c r="X7" s="68"/>
      <c r="Y7" s="68"/>
      <c r="Z7" s="69"/>
      <c r="AA7" s="57"/>
      <c r="AB7" s="45"/>
      <c r="AC7" s="45"/>
      <c r="AD7" s="45"/>
    </row>
    <row r="8" spans="1:30" ht="5.0999999999999996" customHeight="1" outlineLevel="2" x14ac:dyDescent="0.25">
      <c r="A8" s="45"/>
      <c r="B8" s="54"/>
      <c r="C8" s="47">
        <f>INT($C$6)+2.005</f>
        <v>3.0049999999999999</v>
      </c>
      <c r="D8" s="55"/>
      <c r="E8" s="55"/>
      <c r="F8" s="55"/>
      <c r="G8" s="55"/>
      <c r="H8" s="55"/>
      <c r="I8" s="55"/>
      <c r="J8" s="55"/>
      <c r="K8" s="55"/>
      <c r="L8" s="55"/>
      <c r="M8" s="55"/>
      <c r="N8" s="55"/>
      <c r="O8" s="55"/>
      <c r="P8" s="55"/>
      <c r="Q8" s="55"/>
      <c r="R8" s="55"/>
      <c r="S8" s="55"/>
      <c r="T8" s="55"/>
      <c r="U8" s="55"/>
      <c r="V8" s="55"/>
      <c r="W8" s="55"/>
      <c r="X8" s="55"/>
      <c r="Y8" s="55"/>
      <c r="Z8" s="55"/>
      <c r="AA8" s="57"/>
      <c r="AB8" s="45"/>
      <c r="AC8" s="45"/>
      <c r="AD8" s="45"/>
    </row>
    <row r="9" spans="1:30" ht="5.0999999999999996" customHeight="1" outlineLevel="1" x14ac:dyDescent="0.25">
      <c r="A9" s="45"/>
      <c r="B9" s="54"/>
      <c r="C9" s="47">
        <f>INT($C$6)+1.005</f>
        <v>2.0049999999999999</v>
      </c>
      <c r="D9" s="73" t="s">
        <v>132</v>
      </c>
      <c r="E9" s="73"/>
      <c r="F9" s="73"/>
      <c r="G9" s="73"/>
      <c r="H9" s="74"/>
      <c r="I9" s="74"/>
      <c r="J9" s="74"/>
      <c r="K9" s="74"/>
      <c r="L9" s="74"/>
      <c r="M9" s="74"/>
      <c r="N9" s="74"/>
      <c r="O9" s="74"/>
      <c r="P9" s="74"/>
      <c r="Q9" s="74"/>
      <c r="R9" s="74"/>
      <c r="S9" s="74"/>
      <c r="T9" s="74"/>
      <c r="U9" s="74"/>
      <c r="V9" s="74"/>
      <c r="W9" s="74"/>
      <c r="X9" s="74"/>
      <c r="Y9" s="74"/>
      <c r="Z9" s="73"/>
      <c r="AA9" s="57"/>
      <c r="AB9" s="45"/>
      <c r="AC9" s="45"/>
      <c r="AD9" s="45"/>
    </row>
    <row r="10" spans="1:30" outlineLevel="1" x14ac:dyDescent="0.25">
      <c r="A10" s="45"/>
      <c r="B10" s="54"/>
      <c r="C10" s="47">
        <f>INT($C$6)+1</f>
        <v>2</v>
      </c>
      <c r="D10" s="73"/>
      <c r="E10" s="70"/>
      <c r="F10" s="70"/>
      <c r="G10" s="73"/>
      <c r="H10" s="75" t="s">
        <v>133</v>
      </c>
      <c r="I10" s="76"/>
      <c r="J10" s="76"/>
      <c r="K10" s="76"/>
      <c r="L10" s="76"/>
      <c r="M10" s="76"/>
      <c r="N10" s="76"/>
      <c r="O10" s="76"/>
      <c r="P10" s="76"/>
      <c r="Q10" s="76"/>
      <c r="R10" s="76"/>
      <c r="S10" s="76"/>
      <c r="T10" s="76"/>
      <c r="U10" s="76"/>
      <c r="V10" s="76"/>
      <c r="W10" s="76"/>
      <c r="X10" s="76"/>
      <c r="Y10" s="76"/>
      <c r="Z10" s="73"/>
      <c r="AA10" s="57"/>
      <c r="AB10" s="45"/>
      <c r="AC10" s="45"/>
      <c r="AD10" s="45"/>
    </row>
    <row r="11" spans="1:30" ht="45" customHeight="1" outlineLevel="1" x14ac:dyDescent="0.25">
      <c r="A11" s="45"/>
      <c r="B11" s="54"/>
      <c r="C11" s="47">
        <f>INT($C$6)+1.045</f>
        <v>2.0449999999999999</v>
      </c>
      <c r="D11" s="73"/>
      <c r="E11" s="70"/>
      <c r="F11" s="70"/>
      <c r="G11" s="73"/>
      <c r="H11" s="76" t="s">
        <v>134</v>
      </c>
      <c r="I11" s="299">
        <v>44653.716487384299</v>
      </c>
      <c r="J11" s="642" t="s">
        <v>2342</v>
      </c>
      <c r="K11" s="638"/>
      <c r="L11" s="638"/>
      <c r="M11" s="638"/>
      <c r="N11" s="638"/>
      <c r="O11" s="638"/>
      <c r="P11" s="638"/>
      <c r="Q11" s="638"/>
      <c r="R11" s="638"/>
      <c r="S11" s="638"/>
      <c r="T11" s="638"/>
      <c r="U11" s="638"/>
      <c r="V11" s="638"/>
      <c r="W11" s="638"/>
      <c r="X11" s="638"/>
      <c r="Y11" s="76"/>
      <c r="Z11" s="73"/>
      <c r="AA11" s="57"/>
      <c r="AB11" s="45"/>
      <c r="AC11" s="45"/>
      <c r="AD11" s="45"/>
    </row>
    <row r="12" spans="1:30" ht="45" customHeight="1" outlineLevel="1" collapsed="1" x14ac:dyDescent="0.25">
      <c r="A12" s="45"/>
      <c r="B12" s="54"/>
      <c r="C12" s="47">
        <f>INT($C$6)+1.045</f>
        <v>2.0449999999999999</v>
      </c>
      <c r="D12" s="73"/>
      <c r="E12" s="70"/>
      <c r="F12" s="70"/>
      <c r="G12" s="73"/>
      <c r="H12" s="76" t="s">
        <v>135</v>
      </c>
      <c r="I12" s="303">
        <v>44664.379814814798</v>
      </c>
      <c r="J12" s="639" t="s">
        <v>2352</v>
      </c>
      <c r="K12" s="640"/>
      <c r="L12" s="640"/>
      <c r="M12" s="640"/>
      <c r="N12" s="640"/>
      <c r="O12" s="640"/>
      <c r="P12" s="640"/>
      <c r="Q12" s="640"/>
      <c r="R12" s="640"/>
      <c r="S12" s="640"/>
      <c r="T12" s="640"/>
      <c r="U12" s="640"/>
      <c r="V12" s="640"/>
      <c r="W12" s="640"/>
      <c r="X12" s="641"/>
      <c r="Y12" s="76"/>
      <c r="Z12" s="73"/>
      <c r="AA12" s="57"/>
      <c r="AB12" s="45"/>
      <c r="AC12" s="45"/>
      <c r="AD12" s="45"/>
    </row>
    <row r="13" spans="1:30" ht="5.0999999999999996" hidden="1" customHeight="1" outlineLevel="3" x14ac:dyDescent="0.25">
      <c r="A13" s="45"/>
      <c r="B13" s="54"/>
      <c r="C13" s="47">
        <f>INT($C$6)+3.005</f>
        <v>4.0049999999999999</v>
      </c>
      <c r="D13" s="73"/>
      <c r="E13" s="73"/>
      <c r="F13" s="73"/>
      <c r="G13" s="73"/>
      <c r="H13" s="73"/>
      <c r="I13" s="73"/>
      <c r="J13" s="73"/>
      <c r="K13" s="73"/>
      <c r="L13" s="73"/>
      <c r="M13" s="73"/>
      <c r="N13" s="73"/>
      <c r="O13" s="73"/>
      <c r="P13" s="73"/>
      <c r="Q13" s="73"/>
      <c r="R13" s="73"/>
      <c r="S13" s="73"/>
      <c r="T13" s="73"/>
      <c r="U13" s="73"/>
      <c r="V13" s="73"/>
      <c r="W13" s="73"/>
      <c r="X13" s="73"/>
      <c r="Y13" s="73"/>
      <c r="Z13" s="73" t="s">
        <v>136</v>
      </c>
      <c r="AA13" s="57"/>
      <c r="AB13" s="45"/>
      <c r="AC13" s="45"/>
      <c r="AD13" s="45"/>
    </row>
    <row r="14" spans="1:30" ht="5.0999999999999996" hidden="1" customHeight="1" outlineLevel="3" x14ac:dyDescent="0.25">
      <c r="A14" s="45"/>
      <c r="B14" s="54"/>
      <c r="C14" s="47">
        <f>INT($C$6)+3.005</f>
        <v>4.0049999999999999</v>
      </c>
      <c r="D14" s="73" t="s">
        <v>132</v>
      </c>
      <c r="E14" s="73"/>
      <c r="F14" s="73"/>
      <c r="G14" s="73"/>
      <c r="H14" s="73"/>
      <c r="I14" s="73"/>
      <c r="J14" s="73"/>
      <c r="K14" s="73"/>
      <c r="L14" s="73"/>
      <c r="M14" s="73"/>
      <c r="N14" s="73"/>
      <c r="O14" s="73"/>
      <c r="P14" s="73"/>
      <c r="Q14" s="73"/>
      <c r="R14" s="73"/>
      <c r="S14" s="73"/>
      <c r="T14" s="73"/>
      <c r="U14" s="73"/>
      <c r="V14" s="73"/>
      <c r="W14" s="73"/>
      <c r="X14" s="73"/>
      <c r="Y14" s="73"/>
      <c r="Z14" s="73"/>
      <c r="AA14" s="57"/>
      <c r="AB14" s="45"/>
      <c r="AC14" s="45"/>
      <c r="AD14" s="45"/>
    </row>
    <row r="15" spans="1:30" hidden="1" outlineLevel="3" x14ac:dyDescent="0.25">
      <c r="A15" s="45"/>
      <c r="B15" s="54"/>
      <c r="C15" s="47">
        <f>INT($C$6)+3</f>
        <v>4</v>
      </c>
      <c r="D15" s="73"/>
      <c r="E15" s="70"/>
      <c r="F15" s="70"/>
      <c r="G15" s="73"/>
      <c r="H15" s="75" t="s">
        <v>137</v>
      </c>
      <c r="I15" s="78" t="s">
        <v>138</v>
      </c>
      <c r="J15" s="79">
        <v>15</v>
      </c>
      <c r="K15" s="78" t="s">
        <v>139</v>
      </c>
      <c r="L15" s="79">
        <v>8.43</v>
      </c>
      <c r="M15" s="76" t="s">
        <v>140</v>
      </c>
      <c r="N15" s="76"/>
      <c r="O15" s="80">
        <v>1</v>
      </c>
      <c r="P15" s="76"/>
      <c r="Q15" s="76"/>
      <c r="R15" s="76"/>
      <c r="S15" s="76"/>
      <c r="T15" s="76"/>
      <c r="U15" s="76"/>
      <c r="V15" s="76"/>
      <c r="W15" s="76"/>
      <c r="X15" s="76"/>
      <c r="Y15" s="76"/>
      <c r="Z15" s="73"/>
      <c r="AA15" s="57"/>
      <c r="AB15" s="45"/>
      <c r="AC15" s="45"/>
      <c r="AD15" s="45"/>
    </row>
    <row r="16" spans="1:30" hidden="1" outlineLevel="3" x14ac:dyDescent="0.25">
      <c r="A16" s="45"/>
      <c r="B16" s="54"/>
      <c r="C16" s="47">
        <f>INT($C$6)+3</f>
        <v>4</v>
      </c>
      <c r="D16" s="73"/>
      <c r="E16" s="70"/>
      <c r="F16" s="70"/>
      <c r="G16" s="73"/>
      <c r="H16" s="76" t="s">
        <v>141</v>
      </c>
      <c r="I16" s="76"/>
      <c r="J16" s="76"/>
      <c r="K16" s="76"/>
      <c r="L16" s="79" t="b">
        <v>1</v>
      </c>
      <c r="M16" s="76"/>
      <c r="N16" s="76"/>
      <c r="O16" s="76"/>
      <c r="P16" s="76"/>
      <c r="Q16" s="76"/>
      <c r="R16" s="76"/>
      <c r="S16" s="76"/>
      <c r="T16" s="76"/>
      <c r="U16" s="76"/>
      <c r="V16" s="76"/>
      <c r="W16" s="76"/>
      <c r="X16" s="76"/>
      <c r="Y16" s="76"/>
      <c r="Z16" s="73"/>
      <c r="AA16" s="57"/>
      <c r="AB16" s="45"/>
      <c r="AC16" s="45"/>
      <c r="AD16" s="45"/>
    </row>
    <row r="17" spans="1:30" hidden="1" outlineLevel="3" x14ac:dyDescent="0.25">
      <c r="A17" s="45"/>
      <c r="B17" s="54"/>
      <c r="C17" s="47">
        <f>INT($C$6)+3</f>
        <v>4</v>
      </c>
      <c r="D17" s="73"/>
      <c r="E17" s="70"/>
      <c r="F17" s="70"/>
      <c r="G17" s="73"/>
      <c r="H17" s="76" t="s">
        <v>142</v>
      </c>
      <c r="I17" s="76"/>
      <c r="J17" s="76"/>
      <c r="K17" s="76"/>
      <c r="L17" s="79" t="b">
        <v>1</v>
      </c>
      <c r="M17" s="76"/>
      <c r="N17" s="76"/>
      <c r="O17" s="76"/>
      <c r="P17" s="76"/>
      <c r="Q17" s="76"/>
      <c r="R17" s="76"/>
      <c r="S17" s="76"/>
      <c r="T17" s="76"/>
      <c r="U17" s="76"/>
      <c r="V17" s="76"/>
      <c r="W17" s="76"/>
      <c r="X17" s="76"/>
      <c r="Y17" s="76"/>
      <c r="Z17" s="73"/>
      <c r="AA17" s="57"/>
      <c r="AB17" s="45"/>
      <c r="AC17" s="45"/>
      <c r="AD17" s="45"/>
    </row>
    <row r="18" spans="1:30" hidden="1" outlineLevel="3" x14ac:dyDescent="0.25">
      <c r="A18" s="45"/>
      <c r="B18" s="54"/>
      <c r="C18" s="47">
        <f>INT($C$6)+3</f>
        <v>4</v>
      </c>
      <c r="D18" s="73"/>
      <c r="E18" s="70"/>
      <c r="F18" s="70"/>
      <c r="G18" s="73"/>
      <c r="H18" s="76" t="s">
        <v>143</v>
      </c>
      <c r="I18" s="76"/>
      <c r="J18" s="76"/>
      <c r="K18" s="76"/>
      <c r="L18" s="79" t="b">
        <v>1</v>
      </c>
      <c r="M18" s="76"/>
      <c r="N18" s="76"/>
      <c r="O18" s="76"/>
      <c r="P18" s="76"/>
      <c r="Q18" s="76"/>
      <c r="R18" s="76"/>
      <c r="S18" s="76"/>
      <c r="T18" s="76"/>
      <c r="U18" s="76"/>
      <c r="V18" s="76"/>
      <c r="W18" s="76"/>
      <c r="X18" s="76"/>
      <c r="Y18" s="76"/>
      <c r="Z18" s="73"/>
      <c r="AA18" s="57"/>
      <c r="AB18" s="45"/>
      <c r="AC18" s="45"/>
      <c r="AD18" s="45"/>
    </row>
    <row r="19" spans="1:30" hidden="1" outlineLevel="3" x14ac:dyDescent="0.25">
      <c r="A19" s="45"/>
      <c r="B19" s="54"/>
      <c r="C19" s="47">
        <f>INT($C$6)+3</f>
        <v>4</v>
      </c>
      <c r="D19" s="73"/>
      <c r="E19" s="70"/>
      <c r="F19" s="70"/>
      <c r="G19" s="73"/>
      <c r="H19" s="76" t="s">
        <v>144</v>
      </c>
      <c r="I19" s="76"/>
      <c r="J19" s="76"/>
      <c r="K19" s="76"/>
      <c r="L19" s="79" t="b">
        <v>1</v>
      </c>
      <c r="M19" s="76"/>
      <c r="N19" s="76"/>
      <c r="O19" s="76"/>
      <c r="P19" s="76"/>
      <c r="Q19" s="76"/>
      <c r="R19" s="76"/>
      <c r="S19" s="76"/>
      <c r="T19" s="76"/>
      <c r="U19" s="76"/>
      <c r="V19" s="76"/>
      <c r="W19" s="76"/>
      <c r="X19" s="76"/>
      <c r="Y19" s="76"/>
      <c r="Z19" s="73"/>
      <c r="AA19" s="57"/>
      <c r="AB19" s="45"/>
      <c r="AC19" s="45"/>
      <c r="AD19" s="45"/>
    </row>
    <row r="20" spans="1:30" ht="5.0999999999999996" hidden="1" customHeight="1" outlineLevel="3" x14ac:dyDescent="0.25">
      <c r="A20" s="45"/>
      <c r="B20" s="54"/>
      <c r="C20" s="47">
        <f>INT($C$6)+3.005</f>
        <v>4.0049999999999999</v>
      </c>
      <c r="D20" s="73"/>
      <c r="E20" s="73"/>
      <c r="F20" s="73"/>
      <c r="G20" s="73"/>
      <c r="H20" s="73"/>
      <c r="I20" s="73"/>
      <c r="J20" s="73"/>
      <c r="K20" s="73"/>
      <c r="L20" s="73"/>
      <c r="M20" s="73"/>
      <c r="N20" s="73"/>
      <c r="O20" s="73"/>
      <c r="P20" s="73"/>
      <c r="Q20" s="73"/>
      <c r="R20" s="73"/>
      <c r="S20" s="73"/>
      <c r="T20" s="73"/>
      <c r="U20" s="73"/>
      <c r="V20" s="73"/>
      <c r="W20" s="73"/>
      <c r="X20" s="73"/>
      <c r="Y20" s="73"/>
      <c r="Z20" s="73" t="s">
        <v>136</v>
      </c>
      <c r="AA20" s="57"/>
      <c r="AB20" s="45"/>
      <c r="AC20" s="45"/>
      <c r="AD20" s="45"/>
    </row>
    <row r="21" spans="1:30" ht="5.0999999999999996" hidden="1" customHeight="1" outlineLevel="2" x14ac:dyDescent="0.25">
      <c r="A21" s="45"/>
      <c r="B21" s="54"/>
      <c r="C21" s="47">
        <f>INT($C$6)+2.005</f>
        <v>3.0049999999999999</v>
      </c>
      <c r="D21" s="73"/>
      <c r="E21" s="73"/>
      <c r="F21" s="73"/>
      <c r="G21" s="73"/>
      <c r="H21" s="73"/>
      <c r="I21" s="73"/>
      <c r="J21" s="73"/>
      <c r="K21" s="73"/>
      <c r="L21" s="73"/>
      <c r="M21" s="73"/>
      <c r="N21" s="73"/>
      <c r="O21" s="73"/>
      <c r="P21" s="73"/>
      <c r="Q21" s="73"/>
      <c r="R21" s="73"/>
      <c r="S21" s="73"/>
      <c r="T21" s="73"/>
      <c r="U21" s="73"/>
      <c r="V21" s="73"/>
      <c r="W21" s="73"/>
      <c r="X21" s="73"/>
      <c r="Y21" s="73"/>
      <c r="Z21" s="73"/>
      <c r="AA21" s="57"/>
      <c r="AB21" s="45"/>
      <c r="AC21" s="45"/>
      <c r="AD21" s="45"/>
    </row>
    <row r="22" spans="1:30" ht="5.0999999999999996" customHeight="1" outlineLevel="1" x14ac:dyDescent="0.25">
      <c r="A22" s="45"/>
      <c r="B22" s="81"/>
      <c r="C22" s="82">
        <f>INT($C$6)+1.005</f>
        <v>2.0049999999999999</v>
      </c>
      <c r="D22" s="83"/>
      <c r="E22" s="83"/>
      <c r="F22" s="83"/>
      <c r="G22" s="83"/>
      <c r="H22" s="83"/>
      <c r="I22" s="83"/>
      <c r="J22" s="83"/>
      <c r="K22" s="83"/>
      <c r="L22" s="83"/>
      <c r="M22" s="83"/>
      <c r="N22" s="83"/>
      <c r="O22" s="83"/>
      <c r="P22" s="83"/>
      <c r="Q22" s="83"/>
      <c r="R22" s="83"/>
      <c r="S22" s="83"/>
      <c r="T22" s="83"/>
      <c r="U22" s="83"/>
      <c r="V22" s="83"/>
      <c r="W22" s="83"/>
      <c r="X22" s="83"/>
      <c r="Y22" s="83"/>
      <c r="Z22" s="83"/>
      <c r="AA22" s="84" t="s">
        <v>145</v>
      </c>
      <c r="AB22" s="45"/>
      <c r="AC22" s="45"/>
      <c r="AD22" s="45"/>
    </row>
    <row r="23" spans="1:30" ht="5.0999999999999996" customHeight="1" x14ac:dyDescent="0.25">
      <c r="A23" s="45"/>
      <c r="B23" s="85"/>
      <c r="C23" s="86">
        <f>INT($C$6)+0.005</f>
        <v>1.0049999999999999</v>
      </c>
      <c r="D23" s="85"/>
      <c r="E23" s="85"/>
      <c r="F23" s="85"/>
      <c r="G23" s="85"/>
      <c r="H23" s="85"/>
      <c r="I23" s="85"/>
      <c r="J23" s="85"/>
      <c r="K23" s="85"/>
      <c r="L23" s="85"/>
      <c r="M23" s="85"/>
      <c r="N23" s="85"/>
      <c r="O23" s="85"/>
      <c r="P23" s="85"/>
      <c r="Q23" s="85"/>
      <c r="R23" s="85"/>
      <c r="S23" s="85"/>
      <c r="T23" s="85"/>
      <c r="U23" s="85"/>
      <c r="V23" s="85"/>
      <c r="W23" s="85"/>
      <c r="X23" s="85"/>
      <c r="Y23" s="85"/>
      <c r="Z23" s="85"/>
      <c r="AA23" s="85"/>
      <c r="AB23" s="45"/>
      <c r="AC23" s="45"/>
      <c r="AD23" s="45"/>
    </row>
    <row r="24" spans="1:30" outlineLevel="2" x14ac:dyDescent="0.25">
      <c r="A24" s="45"/>
      <c r="B24" s="45"/>
      <c r="C24" s="47">
        <f>INT($C$6)+2</f>
        <v>3</v>
      </c>
      <c r="D24" s="45"/>
      <c r="E24" s="45"/>
      <c r="F24" s="45"/>
      <c r="G24" s="45"/>
      <c r="H24" s="45"/>
      <c r="I24" s="45"/>
      <c r="J24" s="45"/>
      <c r="K24" s="45"/>
      <c r="L24" s="45"/>
      <c r="M24" s="45"/>
      <c r="N24" s="45"/>
      <c r="O24" s="45"/>
      <c r="P24" s="45"/>
      <c r="Q24" s="45"/>
      <c r="R24" s="45"/>
      <c r="S24" s="45"/>
      <c r="T24" s="45"/>
      <c r="U24" s="45"/>
      <c r="V24" s="45"/>
      <c r="W24" s="45"/>
      <c r="X24" s="45"/>
      <c r="Y24" s="45"/>
      <c r="Z24" s="45"/>
      <c r="AA24" s="45"/>
      <c r="AB24" s="45"/>
      <c r="AC24" s="45"/>
      <c r="AD24" s="45"/>
    </row>
    <row r="25" spans="1:30" outlineLevel="2" x14ac:dyDescent="0.25">
      <c r="A25" s="45"/>
      <c r="B25" s="45"/>
      <c r="C25" s="87">
        <f>INT($C$29)+2</f>
        <v>3</v>
      </c>
      <c r="D25" s="45"/>
      <c r="E25" s="45"/>
      <c r="F25" s="45"/>
      <c r="G25" s="45"/>
      <c r="H25" s="45"/>
      <c r="I25" s="45"/>
      <c r="J25" s="45"/>
      <c r="K25" s="45"/>
      <c r="L25" s="45"/>
      <c r="M25" s="45"/>
      <c r="N25" s="45"/>
      <c r="O25" s="45"/>
      <c r="P25" s="45"/>
      <c r="Q25" s="45"/>
      <c r="R25" s="45"/>
      <c r="S25" s="45"/>
      <c r="T25" s="45"/>
      <c r="U25" s="45"/>
      <c r="V25" s="45"/>
      <c r="W25" s="45"/>
      <c r="X25" s="45"/>
      <c r="Y25" s="45"/>
      <c r="Z25" s="45"/>
      <c r="AA25" s="45"/>
      <c r="AB25" s="45"/>
      <c r="AC25" s="45"/>
      <c r="AD25" s="45"/>
    </row>
    <row r="26" spans="1:30" ht="5.0999999999999996" customHeight="1" thickBot="1" x14ac:dyDescent="0.3">
      <c r="A26" s="45"/>
      <c r="B26" s="48"/>
      <c r="C26" s="88">
        <f>INT($C$29)+0.005</f>
        <v>1.0049999999999999</v>
      </c>
      <c r="D26" s="48"/>
      <c r="E26" s="48"/>
      <c r="F26" s="48"/>
      <c r="G26" s="48"/>
      <c r="H26" s="48"/>
      <c r="I26" s="48"/>
      <c r="J26" s="48"/>
      <c r="K26" s="48"/>
      <c r="L26" s="48"/>
      <c r="M26" s="48"/>
      <c r="N26" s="48"/>
      <c r="O26" s="48"/>
      <c r="P26" s="48"/>
      <c r="Q26" s="48"/>
      <c r="R26" s="48"/>
      <c r="S26" s="48"/>
      <c r="T26" s="48"/>
      <c r="U26" s="48"/>
      <c r="V26" s="48"/>
      <c r="W26" s="48"/>
      <c r="X26" s="48"/>
      <c r="Y26" s="48"/>
      <c r="Z26" s="48"/>
      <c r="AA26" s="48"/>
      <c r="AB26" s="45"/>
      <c r="AC26" s="45"/>
      <c r="AD26" s="45"/>
    </row>
    <row r="27" spans="1:30" ht="5.0999999999999996" customHeight="1" outlineLevel="1" x14ac:dyDescent="0.25">
      <c r="A27" s="45"/>
      <c r="B27" s="50" t="s">
        <v>86</v>
      </c>
      <c r="C27" s="89">
        <f>INT($C$29)+1.005</f>
        <v>2.0049999999999999</v>
      </c>
      <c r="D27" s="52"/>
      <c r="E27" s="52"/>
      <c r="F27" s="52"/>
      <c r="G27" s="52"/>
      <c r="H27" s="52"/>
      <c r="I27" s="52"/>
      <c r="J27" s="52"/>
      <c r="K27" s="52"/>
      <c r="L27" s="52"/>
      <c r="M27" s="52"/>
      <c r="N27" s="52"/>
      <c r="O27" s="52"/>
      <c r="P27" s="52"/>
      <c r="Q27" s="52"/>
      <c r="R27" s="52"/>
      <c r="S27" s="52"/>
      <c r="T27" s="52"/>
      <c r="U27" s="52"/>
      <c r="V27" s="52"/>
      <c r="W27" s="52"/>
      <c r="X27" s="52"/>
      <c r="Y27" s="52"/>
      <c r="Z27" s="52"/>
      <c r="AA27" s="53"/>
      <c r="AB27" s="45"/>
      <c r="AC27" s="45"/>
      <c r="AD27" s="45"/>
    </row>
    <row r="28" spans="1:30" outlineLevel="4" x14ac:dyDescent="0.25">
      <c r="A28" s="45"/>
      <c r="B28" s="54"/>
      <c r="C28" s="87">
        <f>INT(MAX($C$46:$C$140))+1</f>
        <v>5</v>
      </c>
      <c r="D28" s="55"/>
      <c r="E28" s="55"/>
      <c r="F28" s="55"/>
      <c r="G28" s="55"/>
      <c r="H28" s="56"/>
      <c r="I28" s="56"/>
      <c r="J28" s="56"/>
      <c r="K28" s="56"/>
      <c r="L28" s="56"/>
      <c r="M28" s="56"/>
      <c r="N28" s="56"/>
      <c r="O28" s="56"/>
      <c r="P28" s="56"/>
      <c r="Q28" s="56"/>
      <c r="R28" s="56"/>
      <c r="S28" s="56"/>
      <c r="T28" s="56"/>
      <c r="U28" s="56"/>
      <c r="V28" s="56"/>
      <c r="W28" s="56"/>
      <c r="X28" s="56"/>
      <c r="Y28" s="56"/>
      <c r="Z28" s="55"/>
      <c r="AA28" s="57"/>
      <c r="AB28" s="45"/>
      <c r="AC28" s="45"/>
      <c r="AD28" s="45"/>
    </row>
    <row r="29" spans="1:30" ht="20.100000000000001" customHeight="1" x14ac:dyDescent="0.25">
      <c r="A29" s="45"/>
      <c r="B29" s="54"/>
      <c r="C29" s="87">
        <v>1.02</v>
      </c>
      <c r="D29" s="58"/>
      <c r="E29" s="59" t="s">
        <v>124</v>
      </c>
      <c r="F29" s="60"/>
      <c r="G29" s="61"/>
      <c r="H29" s="62" t="str">
        <f>COUNTIFS($B$1:$B29, "«")&amp;" PastParameters: Standard double table"</f>
        <v>2 PastParameters: Standard double table</v>
      </c>
      <c r="I29" s="63"/>
      <c r="J29" s="63"/>
      <c r="K29" s="63"/>
      <c r="L29" s="63"/>
      <c r="M29" s="63"/>
      <c r="N29" s="63"/>
      <c r="O29" s="63"/>
      <c r="P29" s="63"/>
      <c r="Q29" s="63"/>
      <c r="R29" s="63"/>
      <c r="S29" s="63"/>
      <c r="T29" s="63"/>
      <c r="U29" s="63"/>
      <c r="V29" s="63"/>
      <c r="W29" s="63"/>
      <c r="X29" s="63"/>
      <c r="Y29" s="63"/>
      <c r="Z29" s="64"/>
      <c r="AA29" s="57"/>
      <c r="AB29" s="45"/>
      <c r="AC29" s="45"/>
      <c r="AD29" s="45"/>
    </row>
    <row r="30" spans="1:30" ht="20.100000000000001" customHeight="1" outlineLevel="1" x14ac:dyDescent="0.25">
      <c r="A30" s="45"/>
      <c r="B30" s="54"/>
      <c r="C30" s="87">
        <f>INT($C$29)+1.02</f>
        <v>2.02</v>
      </c>
      <c r="D30" s="58"/>
      <c r="E30" s="59" t="s">
        <v>126</v>
      </c>
      <c r="F30" s="65">
        <v>1</v>
      </c>
      <c r="G30" s="66"/>
      <c r="H30" s="67"/>
      <c r="I30" s="68"/>
      <c r="J30" s="68"/>
      <c r="K30" s="68"/>
      <c r="L30" s="68"/>
      <c r="M30" s="68"/>
      <c r="N30" s="68"/>
      <c r="O30" s="68"/>
      <c r="P30" s="68"/>
      <c r="Q30" s="68"/>
      <c r="R30" s="68"/>
      <c r="S30" s="68"/>
      <c r="T30" s="68"/>
      <c r="U30" s="68"/>
      <c r="V30" s="68"/>
      <c r="W30" s="68"/>
      <c r="X30" s="68"/>
      <c r="Y30" s="68"/>
      <c r="Z30" s="69"/>
      <c r="AA30" s="57"/>
      <c r="AB30" s="45"/>
      <c r="AC30" s="45"/>
      <c r="AD30" s="45"/>
    </row>
    <row r="31" spans="1:30" ht="5.0999999999999996" customHeight="1" outlineLevel="2" x14ac:dyDescent="0.25">
      <c r="A31" s="45"/>
      <c r="B31" s="54"/>
      <c r="C31" s="87">
        <f>INT($C$29)+2.005</f>
        <v>3.0049999999999999</v>
      </c>
      <c r="D31" s="55"/>
      <c r="E31" s="55"/>
      <c r="F31" s="55"/>
      <c r="G31" s="55"/>
      <c r="H31" s="55"/>
      <c r="I31" s="55"/>
      <c r="J31" s="55"/>
      <c r="K31" s="55"/>
      <c r="L31" s="55"/>
      <c r="M31" s="55"/>
      <c r="N31" s="55"/>
      <c r="O31" s="55"/>
      <c r="P31" s="55"/>
      <c r="Q31" s="55"/>
      <c r="R31" s="55"/>
      <c r="S31" s="55"/>
      <c r="T31" s="55"/>
      <c r="U31" s="55"/>
      <c r="V31" s="55"/>
      <c r="W31" s="55"/>
      <c r="X31" s="55"/>
      <c r="Y31" s="55"/>
      <c r="Z31" s="55"/>
      <c r="AA31" s="57"/>
      <c r="AB31" s="45"/>
      <c r="AC31" s="45"/>
      <c r="AD31" s="45"/>
    </row>
    <row r="32" spans="1:30" outlineLevel="3" x14ac:dyDescent="0.25">
      <c r="A32" s="45"/>
      <c r="B32" s="54"/>
      <c r="C32" s="87">
        <f>INT($C$29)+2</f>
        <v>3</v>
      </c>
      <c r="D32" s="55"/>
      <c r="E32" s="70"/>
      <c r="F32" s="70"/>
      <c r="G32" s="55"/>
      <c r="H32" s="71"/>
      <c r="I32" s="71"/>
      <c r="J32" s="71"/>
      <c r="K32" s="71"/>
      <c r="L32" s="71"/>
      <c r="M32" s="71"/>
      <c r="N32" s="71"/>
      <c r="O32" s="71"/>
      <c r="P32" s="71"/>
      <c r="Q32" s="71"/>
      <c r="R32" s="71"/>
      <c r="S32" s="71"/>
      <c r="T32" s="71"/>
      <c r="U32" s="71"/>
      <c r="V32" s="71"/>
      <c r="W32" s="71"/>
      <c r="X32" s="71"/>
      <c r="Y32" s="71"/>
      <c r="Z32" s="55"/>
      <c r="AA32" s="57"/>
      <c r="AB32" s="45"/>
      <c r="AC32" s="45"/>
      <c r="AD32" s="45"/>
    </row>
    <row r="33" spans="1:30" outlineLevel="3" x14ac:dyDescent="0.25">
      <c r="A33" s="45"/>
      <c r="B33" s="54"/>
      <c r="C33" s="87">
        <f>INT($C$29)+2</f>
        <v>3</v>
      </c>
      <c r="D33" s="55"/>
      <c r="E33" s="70"/>
      <c r="F33" s="70"/>
      <c r="G33" s="55"/>
      <c r="H33" s="72"/>
      <c r="I33" s="72"/>
      <c r="J33" s="72"/>
      <c r="K33" s="71"/>
      <c r="L33" s="71"/>
      <c r="M33" s="71"/>
      <c r="N33" s="71"/>
      <c r="O33" s="71"/>
      <c r="P33" s="71"/>
      <c r="Q33" s="239"/>
      <c r="R33" s="72"/>
      <c r="S33" s="72"/>
      <c r="T33" s="72"/>
      <c r="U33" s="72"/>
      <c r="V33" s="72"/>
      <c r="W33" s="72"/>
      <c r="X33" s="72"/>
      <c r="Y33" s="72"/>
      <c r="Z33" s="55"/>
      <c r="AA33" s="57"/>
      <c r="AB33" s="45"/>
      <c r="AC33" s="45"/>
      <c r="AD33" s="45"/>
    </row>
    <row r="34" spans="1:30" outlineLevel="2" x14ac:dyDescent="0.25">
      <c r="A34" s="45"/>
      <c r="B34" s="54"/>
      <c r="C34" s="87">
        <f>INT($C$29)+2</f>
        <v>3</v>
      </c>
      <c r="D34" s="55"/>
      <c r="E34" s="70"/>
      <c r="F34" s="70"/>
      <c r="G34" s="55"/>
      <c r="H34" s="72"/>
      <c r="I34" s="72"/>
      <c r="J34" s="72"/>
      <c r="K34" s="239" t="s">
        <v>2057</v>
      </c>
      <c r="L34" s="239"/>
      <c r="M34" s="239"/>
      <c r="N34" s="239"/>
      <c r="O34" s="239"/>
      <c r="P34" s="239"/>
      <c r="Q34" s="72"/>
      <c r="R34" s="72"/>
      <c r="S34" s="72"/>
      <c r="T34" s="72"/>
      <c r="U34" s="72"/>
      <c r="V34" s="72"/>
      <c r="W34" s="72"/>
      <c r="X34" s="72"/>
      <c r="Y34" s="72"/>
      <c r="Z34" s="55"/>
      <c r="AA34" s="57"/>
      <c r="AB34" s="45"/>
      <c r="AC34" s="45"/>
      <c r="AD34" s="45"/>
    </row>
    <row r="35" spans="1:30" outlineLevel="2" x14ac:dyDescent="0.25">
      <c r="A35" s="45"/>
      <c r="B35" s="54"/>
      <c r="C35" s="87">
        <f>INT($C$29)+2</f>
        <v>3</v>
      </c>
      <c r="D35" s="55"/>
      <c r="E35" s="70"/>
      <c r="F35" s="70"/>
      <c r="G35" s="55"/>
      <c r="H35" s="72"/>
      <c r="I35" s="72" t="s">
        <v>432</v>
      </c>
      <c r="J35" s="72"/>
      <c r="K35" s="72" t="s">
        <v>2221</v>
      </c>
      <c r="L35" s="72"/>
      <c r="M35" s="72"/>
      <c r="N35" s="72"/>
      <c r="O35" s="72"/>
      <c r="P35" s="72"/>
      <c r="Q35" s="72"/>
      <c r="R35" s="72" t="s">
        <v>2058</v>
      </c>
      <c r="S35" s="239" t="s">
        <v>2344</v>
      </c>
      <c r="T35" s="239"/>
      <c r="U35" s="239"/>
      <c r="V35" s="239"/>
      <c r="W35" s="239"/>
      <c r="X35" s="239"/>
      <c r="Y35" s="239"/>
      <c r="Z35" s="55"/>
      <c r="AA35" s="57"/>
      <c r="AB35" s="45"/>
      <c r="AC35" s="45"/>
      <c r="AD35" s="45"/>
    </row>
    <row r="36" spans="1:30" ht="11.45" customHeight="1" outlineLevel="2" x14ac:dyDescent="0.25">
      <c r="A36" s="45"/>
      <c r="B36" s="54" t="s">
        <v>129</v>
      </c>
      <c r="C36" s="87">
        <f>INT($C$29)+2.01</f>
        <v>3.01</v>
      </c>
      <c r="D36" s="55"/>
      <c r="E36" s="55"/>
      <c r="F36" s="55"/>
      <c r="G36" s="55"/>
      <c r="H36" s="72"/>
      <c r="I36" s="72"/>
      <c r="J36" s="72"/>
      <c r="K36" s="72"/>
      <c r="L36" s="72"/>
      <c r="M36" s="72"/>
      <c r="N36" s="72"/>
      <c r="O36" s="72"/>
      <c r="P36" s="72"/>
      <c r="Q36" s="72"/>
      <c r="R36" s="72"/>
      <c r="S36" s="72"/>
      <c r="T36" s="72"/>
      <c r="U36" s="72"/>
      <c r="V36" s="72"/>
      <c r="W36" s="72"/>
      <c r="X36" s="72"/>
      <c r="Y36" s="72"/>
      <c r="Z36" s="55"/>
      <c r="AA36" s="57"/>
      <c r="AB36" s="45"/>
      <c r="AC36" s="45"/>
      <c r="AD36" s="45"/>
    </row>
    <row r="37" spans="1:30" outlineLevel="4" x14ac:dyDescent="0.25">
      <c r="A37" s="45"/>
      <c r="B37" s="54"/>
      <c r="C37" s="87">
        <f>INT(MAX($C$46:$C$140))+1</f>
        <v>5</v>
      </c>
      <c r="D37" s="73"/>
      <c r="E37" s="70"/>
      <c r="F37" s="70"/>
      <c r="G37" s="73"/>
      <c r="H37" s="70"/>
      <c r="I37" s="70"/>
      <c r="J37" s="70"/>
      <c r="K37" s="70"/>
      <c r="L37" s="70"/>
      <c r="M37" s="70"/>
      <c r="N37" s="70"/>
      <c r="O37" s="70"/>
      <c r="P37" s="70"/>
      <c r="Q37" s="70"/>
      <c r="R37" s="70"/>
      <c r="S37" s="70"/>
      <c r="T37" s="70"/>
      <c r="U37" s="70"/>
      <c r="V37" s="70"/>
      <c r="W37" s="70"/>
      <c r="X37" s="70"/>
      <c r="Y37" s="70"/>
      <c r="Z37" s="73"/>
      <c r="AA37" s="57"/>
      <c r="AB37" s="45"/>
      <c r="AC37" s="45"/>
      <c r="AD37" s="45"/>
    </row>
    <row r="38" spans="1:30" outlineLevel="4" x14ac:dyDescent="0.25">
      <c r="A38" s="45"/>
      <c r="B38" s="54" t="s">
        <v>130</v>
      </c>
      <c r="C38" s="87">
        <f>INT(MAX($C$46:$C$140))+1</f>
        <v>5</v>
      </c>
      <c r="D38" s="73" t="s">
        <v>131</v>
      </c>
      <c r="E38" s="70"/>
      <c r="F38" s="70"/>
      <c r="G38" s="73"/>
      <c r="H38" s="70"/>
      <c r="I38" s="70"/>
      <c r="J38" s="70"/>
      <c r="K38" s="70"/>
      <c r="L38" s="70"/>
      <c r="M38" s="70"/>
      <c r="N38" s="70"/>
      <c r="O38" s="70"/>
      <c r="P38" s="70"/>
      <c r="Q38" s="70"/>
      <c r="R38" s="70"/>
      <c r="S38" s="70"/>
      <c r="T38" s="70"/>
      <c r="U38" s="70"/>
      <c r="V38" s="70"/>
      <c r="W38" s="70"/>
      <c r="X38" s="70"/>
      <c r="Y38" s="70"/>
      <c r="Z38" s="73"/>
      <c r="AA38" s="57"/>
      <c r="AB38" s="45"/>
      <c r="AC38" s="45"/>
      <c r="AD38" s="45"/>
    </row>
    <row r="39" spans="1:30" ht="5.0999999999999996" customHeight="1" outlineLevel="2" x14ac:dyDescent="0.25">
      <c r="A39" s="45"/>
      <c r="B39" s="54"/>
      <c r="C39" s="87">
        <f>INT($C$29)+2.005</f>
        <v>3.0049999999999999</v>
      </c>
      <c r="D39" s="73" t="s">
        <v>132</v>
      </c>
      <c r="E39" s="73"/>
      <c r="F39" s="73"/>
      <c r="G39" s="73"/>
      <c r="H39" s="73"/>
      <c r="I39" s="73"/>
      <c r="J39" s="73"/>
      <c r="K39" s="73"/>
      <c r="L39" s="73"/>
      <c r="M39" s="73"/>
      <c r="N39" s="73"/>
      <c r="O39" s="73"/>
      <c r="P39" s="73"/>
      <c r="Q39" s="73"/>
      <c r="R39" s="73"/>
      <c r="S39" s="73"/>
      <c r="T39" s="73"/>
      <c r="U39" s="73"/>
      <c r="V39" s="73"/>
      <c r="W39" s="73"/>
      <c r="X39" s="73"/>
      <c r="Y39" s="73"/>
      <c r="Z39" s="73"/>
      <c r="AA39" s="57"/>
      <c r="AB39" s="45"/>
      <c r="AC39" s="45"/>
      <c r="AD39" s="45"/>
    </row>
    <row r="40" spans="1:30" outlineLevel="2" x14ac:dyDescent="0.25">
      <c r="A40" s="45"/>
      <c r="B40" s="54"/>
      <c r="C40" s="87">
        <f>INT($C$29)+2</f>
        <v>3</v>
      </c>
      <c r="D40" s="73"/>
      <c r="E40" s="70"/>
      <c r="F40" s="70"/>
      <c r="G40" s="73"/>
      <c r="H40" s="246" t="s">
        <v>2059</v>
      </c>
      <c r="I40" s="76"/>
      <c r="J40" s="76"/>
      <c r="K40" s="76"/>
      <c r="L40" s="76"/>
      <c r="M40" s="76"/>
      <c r="N40" s="76"/>
      <c r="O40" s="76"/>
      <c r="P40" s="76"/>
      <c r="Q40" s="76"/>
      <c r="R40" s="76"/>
      <c r="S40" s="76"/>
      <c r="T40" s="76"/>
      <c r="U40" s="76"/>
      <c r="V40" s="76"/>
      <c r="W40" s="76"/>
      <c r="X40" s="76"/>
      <c r="Y40" s="76"/>
      <c r="Z40" s="73"/>
      <c r="AA40" s="57"/>
      <c r="AB40" s="45"/>
      <c r="AC40" s="45"/>
      <c r="AD40" s="45"/>
    </row>
    <row r="41" spans="1:30" outlineLevel="2" x14ac:dyDescent="0.25">
      <c r="A41" s="45"/>
      <c r="B41" s="54"/>
      <c r="C41" s="87">
        <f>INT($C$29)+2</f>
        <v>3</v>
      </c>
      <c r="D41" s="73"/>
      <c r="E41" s="70"/>
      <c r="F41" s="70"/>
      <c r="G41" s="73"/>
      <c r="H41" s="76" t="s">
        <v>2060</v>
      </c>
      <c r="I41" s="76" t="s">
        <v>2061</v>
      </c>
      <c r="J41" s="76"/>
      <c r="K41" s="97">
        <f>30/1000</f>
        <v>0.03</v>
      </c>
      <c r="L41" s="76"/>
      <c r="M41" s="76"/>
      <c r="N41" s="76"/>
      <c r="O41" s="76"/>
      <c r="P41" s="76"/>
      <c r="Q41" s="76"/>
      <c r="R41" s="97" t="s">
        <v>2327</v>
      </c>
      <c r="S41" s="76"/>
      <c r="T41" s="76"/>
      <c r="U41" s="76"/>
      <c r="V41" s="76"/>
      <c r="W41" s="76"/>
      <c r="X41" s="76"/>
      <c r="Y41" s="76"/>
      <c r="Z41" s="73"/>
      <c r="AA41" s="57"/>
      <c r="AB41" s="45"/>
      <c r="AC41" s="45"/>
      <c r="AD41" s="45"/>
    </row>
    <row r="42" spans="1:30" outlineLevel="2" x14ac:dyDescent="0.25">
      <c r="A42" s="45"/>
      <c r="B42" s="54"/>
      <c r="C42" s="87">
        <f>INT($C$29)+3</f>
        <v>4</v>
      </c>
      <c r="D42" s="73"/>
      <c r="E42" s="70"/>
      <c r="F42" s="70"/>
      <c r="G42" s="73"/>
      <c r="H42" s="76" t="s">
        <v>2328</v>
      </c>
      <c r="I42" s="76" t="s">
        <v>2329</v>
      </c>
      <c r="J42" s="76"/>
      <c r="K42" s="97">
        <v>200</v>
      </c>
      <c r="L42" s="76"/>
      <c r="M42" s="76"/>
      <c r="N42" s="76"/>
      <c r="O42" s="76"/>
      <c r="P42" s="76"/>
      <c r="Q42" s="76"/>
      <c r="R42" s="97" t="s">
        <v>2351</v>
      </c>
      <c r="S42" s="76"/>
      <c r="T42" s="76"/>
      <c r="U42" s="76"/>
      <c r="V42" s="76"/>
      <c r="W42" s="76"/>
      <c r="X42" s="76"/>
      <c r="Y42" s="76"/>
      <c r="Z42" s="73"/>
      <c r="AA42" s="57"/>
      <c r="AB42" s="45"/>
      <c r="AC42" s="45"/>
      <c r="AD42" s="45"/>
    </row>
    <row r="43" spans="1:30" outlineLevel="3" x14ac:dyDescent="0.25">
      <c r="A43" s="45"/>
      <c r="B43" s="54"/>
      <c r="C43" s="87">
        <f>INT($C$29)+3</f>
        <v>4</v>
      </c>
      <c r="D43" s="73"/>
      <c r="E43" s="70"/>
      <c r="F43" s="70"/>
      <c r="G43" s="73"/>
      <c r="H43" s="76" t="s">
        <v>2062</v>
      </c>
      <c r="I43" s="76"/>
      <c r="J43" s="76"/>
      <c r="K43" s="76"/>
      <c r="L43" s="76"/>
      <c r="M43" s="76"/>
      <c r="N43" s="76"/>
      <c r="O43" s="76"/>
      <c r="P43" s="76"/>
      <c r="Q43" s="76"/>
      <c r="R43" s="76"/>
      <c r="S43" s="76"/>
      <c r="T43" s="76"/>
      <c r="U43" s="76"/>
      <c r="V43" s="76"/>
      <c r="W43" s="76"/>
      <c r="X43" s="76"/>
      <c r="Y43" s="76"/>
      <c r="Z43" s="73"/>
      <c r="AA43" s="57"/>
      <c r="AB43" s="45"/>
      <c r="AC43" s="45"/>
      <c r="AD43" s="45"/>
    </row>
    <row r="44" spans="1:30" outlineLevel="3" x14ac:dyDescent="0.25">
      <c r="A44" s="45"/>
      <c r="B44" s="54"/>
      <c r="C44" s="87">
        <f>INT($C$29)+3</f>
        <v>4</v>
      </c>
      <c r="D44" s="73"/>
      <c r="E44" s="70"/>
      <c r="F44" s="70"/>
      <c r="G44" s="73"/>
      <c r="H44" s="76"/>
      <c r="I44" s="76"/>
      <c r="J44" s="76"/>
      <c r="K44" s="76"/>
      <c r="L44" s="76"/>
      <c r="M44" s="76"/>
      <c r="N44" s="76"/>
      <c r="O44" s="76"/>
      <c r="P44" s="76"/>
      <c r="Q44" s="76"/>
      <c r="R44" s="76"/>
      <c r="S44" s="76"/>
      <c r="T44" s="76"/>
      <c r="U44" s="76"/>
      <c r="V44" s="76"/>
      <c r="W44" s="76"/>
      <c r="X44" s="76"/>
      <c r="Y44" s="76"/>
      <c r="Z44" s="73"/>
      <c r="AA44" s="57"/>
      <c r="AB44" s="45"/>
      <c r="AC44" s="45"/>
      <c r="AD44" s="45"/>
    </row>
    <row r="45" spans="1:30" ht="5.0999999999999996" customHeight="1" outlineLevel="3" x14ac:dyDescent="0.25">
      <c r="A45" s="45"/>
      <c r="B45" s="54"/>
      <c r="C45" s="87">
        <f>INT($C$29)+3.005</f>
        <v>4.0049999999999999</v>
      </c>
      <c r="D45" s="73"/>
      <c r="E45" s="73"/>
      <c r="F45" s="73"/>
      <c r="G45" s="73"/>
      <c r="H45" s="73"/>
      <c r="I45" s="73"/>
      <c r="J45" s="73"/>
      <c r="K45" s="73"/>
      <c r="L45" s="73"/>
      <c r="M45" s="73"/>
      <c r="N45" s="73"/>
      <c r="O45" s="73"/>
      <c r="P45" s="73"/>
      <c r="Q45" s="73"/>
      <c r="R45" s="73"/>
      <c r="S45" s="73"/>
      <c r="T45" s="73"/>
      <c r="U45" s="73"/>
      <c r="V45" s="73"/>
      <c r="W45" s="73"/>
      <c r="X45" s="73"/>
      <c r="Y45" s="73"/>
      <c r="Z45" s="73" t="s">
        <v>136</v>
      </c>
      <c r="AA45" s="57"/>
      <c r="AB45" s="45"/>
      <c r="AC45" s="45"/>
      <c r="AD45" s="45"/>
    </row>
    <row r="46" spans="1:30" ht="5.0999999999999996" customHeight="1" outlineLevel="2" x14ac:dyDescent="0.25">
      <c r="A46" s="45"/>
      <c r="B46" s="54"/>
      <c r="C46" s="87">
        <f>INT($C$29)+2.005</f>
        <v>3.0049999999999999</v>
      </c>
      <c r="D46" s="73" t="s">
        <v>132</v>
      </c>
      <c r="E46" s="73"/>
      <c r="F46" s="73"/>
      <c r="G46" s="73"/>
      <c r="H46" s="94"/>
      <c r="I46" s="94"/>
      <c r="J46" s="94"/>
      <c r="K46" s="94"/>
      <c r="L46" s="94"/>
      <c r="M46" s="94"/>
      <c r="N46" s="94"/>
      <c r="O46" s="94"/>
      <c r="P46" s="94"/>
      <c r="Q46" s="94"/>
      <c r="R46" s="94"/>
      <c r="S46" s="94"/>
      <c r="T46" s="94"/>
      <c r="U46" s="94"/>
      <c r="V46" s="94"/>
      <c r="W46" s="94"/>
      <c r="X46" s="94"/>
      <c r="Y46" s="94"/>
      <c r="Z46" s="73"/>
      <c r="AA46" s="57"/>
      <c r="AB46" s="45"/>
      <c r="AC46" s="45"/>
      <c r="AD46" s="45"/>
    </row>
    <row r="47" spans="1:30" outlineLevel="2" x14ac:dyDescent="0.25">
      <c r="A47" s="45"/>
      <c r="B47" s="54"/>
      <c r="C47" s="87">
        <f>INT($C$29)+2</f>
        <v>3</v>
      </c>
      <c r="D47" s="73"/>
      <c r="E47" s="70"/>
      <c r="F47" s="265" t="s">
        <v>1695</v>
      </c>
      <c r="G47" s="73"/>
      <c r="H47" s="304" t="s">
        <v>2063</v>
      </c>
      <c r="I47" s="110">
        <v>2</v>
      </c>
      <c r="J47" s="305" t="s">
        <v>1038</v>
      </c>
      <c r="K47" s="110">
        <v>3</v>
      </c>
      <c r="L47" s="110">
        <v>10</v>
      </c>
      <c r="M47" s="155"/>
      <c r="N47" s="155"/>
      <c r="O47" s="155"/>
      <c r="P47" s="155"/>
      <c r="Q47" s="155"/>
      <c r="R47" s="153" t="s">
        <v>2064</v>
      </c>
      <c r="S47" s="155"/>
      <c r="T47" s="155"/>
      <c r="U47" s="155"/>
      <c r="V47" s="155"/>
      <c r="W47" s="155"/>
      <c r="X47" s="155"/>
      <c r="Y47" s="155"/>
      <c r="Z47" s="73"/>
      <c r="AA47" s="57"/>
      <c r="AB47" s="45"/>
      <c r="AC47" s="45"/>
      <c r="AD47" s="45"/>
    </row>
    <row r="48" spans="1:30" outlineLevel="2" x14ac:dyDescent="0.25">
      <c r="A48" s="45"/>
      <c r="B48" s="54"/>
      <c r="C48" s="87">
        <f>INT($C$29)+2</f>
        <v>3</v>
      </c>
      <c r="D48" s="73"/>
      <c r="E48" s="70" t="s">
        <v>2065</v>
      </c>
      <c r="F48" s="70" t="s">
        <v>2066</v>
      </c>
      <c r="G48" s="73"/>
      <c r="H48" s="306" t="s">
        <v>2330</v>
      </c>
      <c r="I48" s="306"/>
      <c r="J48" s="306"/>
      <c r="K48" s="307">
        <v>1</v>
      </c>
      <c r="L48" s="307"/>
      <c r="M48" s="307"/>
      <c r="N48" s="307"/>
      <c r="O48" s="306"/>
      <c r="P48" s="306"/>
      <c r="Q48" s="306"/>
      <c r="R48" s="306"/>
      <c r="S48" s="306">
        <f>S79</f>
        <v>918</v>
      </c>
      <c r="T48" s="306">
        <f>(K48*$S$48)</f>
        <v>918</v>
      </c>
      <c r="U48" s="306"/>
      <c r="V48" s="306"/>
      <c r="W48" s="306"/>
      <c r="X48" s="306"/>
      <c r="Y48" s="306"/>
      <c r="Z48" s="73"/>
      <c r="AA48" s="57"/>
      <c r="AB48" s="45"/>
      <c r="AC48" s="45"/>
      <c r="AD48" s="45"/>
    </row>
    <row r="49" spans="1:30" outlineLevel="3" x14ac:dyDescent="0.25">
      <c r="A49" s="45"/>
      <c r="B49" s="54"/>
      <c r="C49" s="87">
        <f t="shared" ref="C49:C132" si="0">INT($C$29)+3</f>
        <v>4</v>
      </c>
      <c r="D49" s="73"/>
      <c r="E49" s="70"/>
      <c r="F49" s="70" t="s">
        <v>2067</v>
      </c>
      <c r="G49" s="73"/>
      <c r="H49" s="76" t="s">
        <v>2217</v>
      </c>
      <c r="I49" s="76"/>
      <c r="J49" s="76"/>
      <c r="K49" s="97">
        <v>1</v>
      </c>
      <c r="L49" s="97"/>
      <c r="M49" s="97"/>
      <c r="N49" s="97"/>
      <c r="O49" s="76"/>
      <c r="P49" s="76"/>
      <c r="Q49" s="76"/>
      <c r="R49" s="76"/>
      <c r="S49" s="76"/>
      <c r="T49" s="76">
        <f t="shared" ref="T49:T57" si="1">(K49*$S$48)</f>
        <v>918</v>
      </c>
      <c r="U49" s="76"/>
      <c r="V49" s="76"/>
      <c r="W49" s="76"/>
      <c r="X49" s="76"/>
      <c r="Y49" s="76"/>
      <c r="Z49" s="73"/>
      <c r="AA49" s="57"/>
      <c r="AB49" s="45"/>
      <c r="AC49" s="45"/>
      <c r="AD49" s="45"/>
    </row>
    <row r="50" spans="1:30" outlineLevel="3" x14ac:dyDescent="0.25">
      <c r="A50" s="45"/>
      <c r="B50" s="54"/>
      <c r="C50" s="87">
        <f t="shared" si="0"/>
        <v>4</v>
      </c>
      <c r="D50" s="73"/>
      <c r="E50" s="70"/>
      <c r="F50" s="70" t="s">
        <v>2068</v>
      </c>
      <c r="G50" s="73"/>
      <c r="H50" s="76" t="s">
        <v>2069</v>
      </c>
      <c r="I50" s="76"/>
      <c r="J50" s="76"/>
      <c r="K50" s="97">
        <v>1.0003500000000001</v>
      </c>
      <c r="L50" s="97"/>
      <c r="M50" s="97"/>
      <c r="N50" s="97"/>
      <c r="O50" s="76"/>
      <c r="P50" s="76"/>
      <c r="Q50" s="76"/>
      <c r="R50" s="76"/>
      <c r="S50" s="76"/>
      <c r="T50" s="76">
        <f t="shared" si="1"/>
        <v>918.32130000000006</v>
      </c>
      <c r="U50" s="76"/>
      <c r="V50" s="76"/>
      <c r="W50" s="76"/>
      <c r="X50" s="76"/>
      <c r="Y50" s="76"/>
      <c r="Z50" s="73"/>
      <c r="AA50" s="57"/>
      <c r="AB50" s="45"/>
      <c r="AC50" s="45"/>
      <c r="AD50" s="45"/>
    </row>
    <row r="51" spans="1:30" outlineLevel="3" x14ac:dyDescent="0.25">
      <c r="A51" s="45"/>
      <c r="B51" s="54"/>
      <c r="C51" s="87">
        <f t="shared" si="0"/>
        <v>4</v>
      </c>
      <c r="D51" s="73"/>
      <c r="E51" s="70"/>
      <c r="F51" s="70" t="s">
        <v>2070</v>
      </c>
      <c r="G51" s="73"/>
      <c r="H51" s="76" t="s">
        <v>2218</v>
      </c>
      <c r="I51" s="76"/>
      <c r="J51" s="76"/>
      <c r="K51" s="97">
        <v>1.0003500000000001</v>
      </c>
      <c r="L51" s="97"/>
      <c r="M51" s="97"/>
      <c r="N51" s="97"/>
      <c r="O51" s="76"/>
      <c r="P51" s="76"/>
      <c r="Q51" s="76"/>
      <c r="R51" s="76"/>
      <c r="S51" s="76"/>
      <c r="T51" s="76">
        <f t="shared" si="1"/>
        <v>918.32130000000006</v>
      </c>
      <c r="U51" s="76"/>
      <c r="V51" s="76"/>
      <c r="W51" s="76"/>
      <c r="X51" s="76"/>
      <c r="Y51" s="76"/>
      <c r="Z51" s="73"/>
      <c r="AA51" s="57"/>
      <c r="AB51" s="45"/>
      <c r="AC51" s="45"/>
      <c r="AD51" s="45"/>
    </row>
    <row r="52" spans="1:30" outlineLevel="3" x14ac:dyDescent="0.25">
      <c r="A52" s="45"/>
      <c r="B52" s="54"/>
      <c r="C52" s="87">
        <f t="shared" si="0"/>
        <v>4</v>
      </c>
      <c r="D52" s="73"/>
      <c r="E52" s="70"/>
      <c r="F52" s="70" t="s">
        <v>2071</v>
      </c>
      <c r="G52" s="73"/>
      <c r="H52" s="76" t="s">
        <v>2072</v>
      </c>
      <c r="I52" s="76"/>
      <c r="J52" s="76"/>
      <c r="K52" s="97">
        <v>1.0429999999999999</v>
      </c>
      <c r="L52" s="97"/>
      <c r="M52" s="97"/>
      <c r="N52" s="97"/>
      <c r="O52" s="76"/>
      <c r="P52" s="76"/>
      <c r="Q52" s="76"/>
      <c r="R52" s="76"/>
      <c r="S52" s="76"/>
      <c r="T52" s="76">
        <f t="shared" si="1"/>
        <v>957.47399999999993</v>
      </c>
      <c r="U52" s="76"/>
      <c r="V52" s="76"/>
      <c r="W52" s="76"/>
      <c r="X52" s="76"/>
      <c r="Y52" s="76"/>
      <c r="Z52" s="73"/>
      <c r="AA52" s="57"/>
      <c r="AB52" s="45"/>
      <c r="AC52" s="45"/>
      <c r="AD52" s="45"/>
    </row>
    <row r="53" spans="1:30" outlineLevel="3" x14ac:dyDescent="0.25">
      <c r="A53" s="45"/>
      <c r="B53" s="54"/>
      <c r="C53" s="87">
        <f t="shared" si="0"/>
        <v>4</v>
      </c>
      <c r="D53" s="73"/>
      <c r="E53" s="70"/>
      <c r="F53" s="70" t="s">
        <v>2073</v>
      </c>
      <c r="G53" s="73"/>
      <c r="H53" s="76" t="s">
        <v>2219</v>
      </c>
      <c r="I53" s="76"/>
      <c r="J53" s="76"/>
      <c r="K53" s="97">
        <v>1.0900000000000001</v>
      </c>
      <c r="L53" s="97"/>
      <c r="M53" s="97"/>
      <c r="N53" s="97"/>
      <c r="O53" s="76"/>
      <c r="P53" s="76"/>
      <c r="Q53" s="76"/>
      <c r="R53" s="76"/>
      <c r="S53" s="76"/>
      <c r="T53" s="76">
        <f t="shared" si="1"/>
        <v>1000.6200000000001</v>
      </c>
      <c r="U53" s="76"/>
      <c r="V53" s="76"/>
      <c r="W53" s="76"/>
      <c r="X53" s="76"/>
      <c r="Y53" s="76"/>
      <c r="Z53" s="73"/>
      <c r="AA53" s="57"/>
      <c r="AB53" s="45"/>
      <c r="AC53" s="45"/>
      <c r="AD53" s="45"/>
    </row>
    <row r="54" spans="1:30" outlineLevel="3" x14ac:dyDescent="0.25">
      <c r="A54" s="45"/>
      <c r="B54" s="54"/>
      <c r="C54" s="87">
        <f t="shared" si="0"/>
        <v>4</v>
      </c>
      <c r="D54" s="73"/>
      <c r="E54" s="70"/>
      <c r="F54" s="70" t="s">
        <v>2071</v>
      </c>
      <c r="G54" s="73"/>
      <c r="H54" s="76" t="s">
        <v>2257</v>
      </c>
      <c r="I54" s="76"/>
      <c r="J54" s="76"/>
      <c r="K54" s="97">
        <v>1</v>
      </c>
      <c r="L54" s="97"/>
      <c r="M54" s="97"/>
      <c r="N54" s="97"/>
      <c r="O54" s="76"/>
      <c r="P54" s="76"/>
      <c r="Q54" s="76"/>
      <c r="R54" s="76"/>
      <c r="S54" s="76"/>
      <c r="T54" s="76">
        <f t="shared" si="1"/>
        <v>918</v>
      </c>
      <c r="U54" s="76"/>
      <c r="V54" s="76"/>
      <c r="W54" s="76"/>
      <c r="X54" s="76"/>
      <c r="Y54" s="76"/>
      <c r="Z54" s="73"/>
      <c r="AA54" s="57"/>
      <c r="AB54" s="45"/>
      <c r="AC54" s="45"/>
      <c r="AD54" s="45"/>
    </row>
    <row r="55" spans="1:30" outlineLevel="3" x14ac:dyDescent="0.25">
      <c r="A55" s="45"/>
      <c r="B55" s="54"/>
      <c r="C55" s="87">
        <f t="shared" si="0"/>
        <v>4</v>
      </c>
      <c r="D55" s="73"/>
      <c r="E55" s="70"/>
      <c r="F55" s="70" t="s">
        <v>2073</v>
      </c>
      <c r="G55" s="73"/>
      <c r="H55" s="76" t="s">
        <v>2220</v>
      </c>
      <c r="I55" s="76"/>
      <c r="J55" s="76"/>
      <c r="K55" s="97">
        <v>1</v>
      </c>
      <c r="L55" s="97"/>
      <c r="M55" s="97"/>
      <c r="N55" s="97"/>
      <c r="O55" s="76"/>
      <c r="P55" s="76"/>
      <c r="Q55" s="76"/>
      <c r="R55" s="76"/>
      <c r="S55" s="76"/>
      <c r="T55" s="76">
        <f t="shared" si="1"/>
        <v>918</v>
      </c>
      <c r="U55" s="76"/>
      <c r="V55" s="76"/>
      <c r="W55" s="76"/>
      <c r="X55" s="76"/>
      <c r="Y55" s="76"/>
      <c r="Z55" s="73"/>
      <c r="AA55" s="57"/>
      <c r="AB55" s="45"/>
      <c r="AC55" s="45"/>
      <c r="AD55" s="45"/>
    </row>
    <row r="56" spans="1:30" outlineLevel="3" x14ac:dyDescent="0.25">
      <c r="A56" s="45"/>
      <c r="B56" s="54"/>
      <c r="C56" s="87">
        <f t="shared" si="0"/>
        <v>4</v>
      </c>
      <c r="D56" s="73"/>
      <c r="E56" s="70"/>
      <c r="F56" s="70" t="s">
        <v>2071</v>
      </c>
      <c r="G56" s="73"/>
      <c r="H56" s="76" t="s">
        <v>2260</v>
      </c>
      <c r="I56" s="76"/>
      <c r="J56" s="76"/>
      <c r="K56" s="97">
        <v>1</v>
      </c>
      <c r="L56" s="97"/>
      <c r="M56" s="97"/>
      <c r="N56" s="97"/>
      <c r="O56" s="76"/>
      <c r="P56" s="76"/>
      <c r="Q56" s="76"/>
      <c r="R56" s="76"/>
      <c r="S56" s="76"/>
      <c r="T56" s="76">
        <f t="shared" si="1"/>
        <v>918</v>
      </c>
      <c r="U56" s="76"/>
      <c r="V56" s="76"/>
      <c r="W56" s="76"/>
      <c r="X56" s="76"/>
      <c r="Y56" s="76"/>
      <c r="Z56" s="73"/>
      <c r="AA56" s="57"/>
      <c r="AB56" s="45"/>
      <c r="AC56" s="45"/>
      <c r="AD56" s="45"/>
    </row>
    <row r="57" spans="1:30" outlineLevel="3" x14ac:dyDescent="0.25">
      <c r="A57" s="45"/>
      <c r="B57" s="54"/>
      <c r="C57" s="87">
        <f t="shared" si="0"/>
        <v>4</v>
      </c>
      <c r="D57" s="73"/>
      <c r="E57" s="70"/>
      <c r="F57" s="70" t="s">
        <v>2073</v>
      </c>
      <c r="G57" s="73"/>
      <c r="H57" s="218" t="s">
        <v>2220</v>
      </c>
      <c r="I57" s="218"/>
      <c r="J57" s="218"/>
      <c r="K57" s="308">
        <v>1</v>
      </c>
      <c r="L57" s="308"/>
      <c r="M57" s="308"/>
      <c r="N57" s="308"/>
      <c r="O57" s="218"/>
      <c r="P57" s="218"/>
      <c r="Q57" s="218"/>
      <c r="R57" s="218"/>
      <c r="S57" s="218"/>
      <c r="T57" s="218">
        <f t="shared" si="1"/>
        <v>918</v>
      </c>
      <c r="U57" s="218"/>
      <c r="V57" s="218"/>
      <c r="W57" s="218"/>
      <c r="X57" s="218"/>
      <c r="Y57" s="218"/>
      <c r="Z57" s="73"/>
      <c r="AA57" s="57"/>
      <c r="AB57" s="45"/>
      <c r="AC57" s="45"/>
      <c r="AD57" s="45"/>
    </row>
    <row r="58" spans="1:30" outlineLevel="3" x14ac:dyDescent="0.25">
      <c r="A58" s="45"/>
      <c r="B58" s="54"/>
      <c r="C58" s="87">
        <f t="shared" si="0"/>
        <v>4</v>
      </c>
      <c r="D58" s="73"/>
      <c r="E58" s="70"/>
      <c r="F58" s="70" t="s">
        <v>2074</v>
      </c>
      <c r="G58" s="73"/>
      <c r="H58" s="306" t="s">
        <v>2331</v>
      </c>
      <c r="I58" s="306"/>
      <c r="J58" s="306"/>
      <c r="K58" s="307">
        <v>0</v>
      </c>
      <c r="L58" s="307"/>
      <c r="M58" s="307"/>
      <c r="N58" s="307"/>
      <c r="O58" s="306"/>
      <c r="P58" s="306"/>
      <c r="Q58" s="306"/>
      <c r="R58" s="306"/>
      <c r="S58" s="306">
        <f>S89</f>
        <v>0.3</v>
      </c>
      <c r="T58" s="306">
        <f>(K58*$S$58)</f>
        <v>0</v>
      </c>
      <c r="U58" s="306"/>
      <c r="V58" s="306"/>
      <c r="W58" s="306"/>
      <c r="X58" s="306"/>
      <c r="Y58" s="306"/>
      <c r="Z58" s="73"/>
      <c r="AA58" s="57"/>
      <c r="AB58" s="45"/>
      <c r="AC58" s="45"/>
      <c r="AD58" s="45"/>
    </row>
    <row r="59" spans="1:30" outlineLevel="3" x14ac:dyDescent="0.25">
      <c r="A59" s="45"/>
      <c r="B59" s="54"/>
      <c r="C59" s="87">
        <f t="shared" si="0"/>
        <v>4</v>
      </c>
      <c r="D59" s="73"/>
      <c r="E59" s="70"/>
      <c r="F59" s="70" t="s">
        <v>2075</v>
      </c>
      <c r="G59" s="73"/>
      <c r="H59" s="76" t="s">
        <v>2217</v>
      </c>
      <c r="I59" s="76"/>
      <c r="J59" s="76"/>
      <c r="K59" s="97">
        <v>0</v>
      </c>
      <c r="L59" s="97"/>
      <c r="M59" s="97"/>
      <c r="N59" s="97"/>
      <c r="O59" s="76"/>
      <c r="P59" s="76"/>
      <c r="Q59" s="76"/>
      <c r="R59" s="76"/>
      <c r="S59" s="76"/>
      <c r="T59" s="76">
        <f t="shared" ref="T59:T67" si="2">(K59*$S$58)</f>
        <v>0</v>
      </c>
      <c r="U59" s="76"/>
      <c r="V59" s="76"/>
      <c r="W59" s="76"/>
      <c r="X59" s="76"/>
      <c r="Y59" s="76"/>
      <c r="Z59" s="73"/>
      <c r="AA59" s="57"/>
      <c r="AB59" s="45"/>
      <c r="AC59" s="45"/>
      <c r="AD59" s="45"/>
    </row>
    <row r="60" spans="1:30" outlineLevel="3" x14ac:dyDescent="0.25">
      <c r="A60" s="45"/>
      <c r="B60" s="54"/>
      <c r="C60" s="87">
        <f t="shared" si="0"/>
        <v>4</v>
      </c>
      <c r="D60" s="73"/>
      <c r="E60" s="70"/>
      <c r="F60" s="70" t="s">
        <v>2076</v>
      </c>
      <c r="G60" s="73"/>
      <c r="H60" s="76" t="s">
        <v>2069</v>
      </c>
      <c r="I60" s="76"/>
      <c r="J60" s="76"/>
      <c r="K60" s="97">
        <v>0</v>
      </c>
      <c r="L60" s="97"/>
      <c r="M60" s="97"/>
      <c r="N60" s="97"/>
      <c r="O60" s="76"/>
      <c r="P60" s="76"/>
      <c r="Q60" s="76"/>
      <c r="R60" s="76"/>
      <c r="S60" s="76"/>
      <c r="T60" s="76">
        <f t="shared" si="2"/>
        <v>0</v>
      </c>
      <c r="U60" s="76"/>
      <c r="V60" s="76"/>
      <c r="W60" s="76"/>
      <c r="X60" s="76"/>
      <c r="Y60" s="76"/>
      <c r="Z60" s="73"/>
      <c r="AA60" s="57"/>
      <c r="AB60" s="45"/>
      <c r="AC60" s="45"/>
      <c r="AD60" s="45"/>
    </row>
    <row r="61" spans="1:30" outlineLevel="3" x14ac:dyDescent="0.25">
      <c r="A61" s="45"/>
      <c r="B61" s="54"/>
      <c r="C61" s="87">
        <f t="shared" si="0"/>
        <v>4</v>
      </c>
      <c r="D61" s="73"/>
      <c r="E61" s="70"/>
      <c r="F61" s="70" t="s">
        <v>2077</v>
      </c>
      <c r="G61" s="73"/>
      <c r="H61" s="76" t="s">
        <v>2218</v>
      </c>
      <c r="I61" s="76"/>
      <c r="J61" s="76"/>
      <c r="K61" s="97">
        <v>0</v>
      </c>
      <c r="L61" s="97"/>
      <c r="M61" s="97"/>
      <c r="N61" s="97"/>
      <c r="O61" s="76"/>
      <c r="P61" s="76"/>
      <c r="Q61" s="76"/>
      <c r="R61" s="76"/>
      <c r="S61" s="76"/>
      <c r="T61" s="76">
        <f t="shared" si="2"/>
        <v>0</v>
      </c>
      <c r="U61" s="76"/>
      <c r="V61" s="76"/>
      <c r="W61" s="76"/>
      <c r="X61" s="76"/>
      <c r="Y61" s="76"/>
      <c r="Z61" s="73"/>
      <c r="AA61" s="57"/>
      <c r="AB61" s="45"/>
      <c r="AC61" s="45"/>
      <c r="AD61" s="45"/>
    </row>
    <row r="62" spans="1:30" outlineLevel="3" x14ac:dyDescent="0.25">
      <c r="A62" s="45"/>
      <c r="B62" s="54"/>
      <c r="C62" s="87">
        <f t="shared" si="0"/>
        <v>4</v>
      </c>
      <c r="D62" s="73"/>
      <c r="E62" s="70"/>
      <c r="F62" s="70" t="s">
        <v>2078</v>
      </c>
      <c r="G62" s="73"/>
      <c r="H62" s="76" t="s">
        <v>2072</v>
      </c>
      <c r="I62" s="76"/>
      <c r="J62" s="76"/>
      <c r="K62" s="97">
        <v>-178</v>
      </c>
      <c r="L62" s="97"/>
      <c r="M62" s="97"/>
      <c r="N62" s="97"/>
      <c r="O62" s="76"/>
      <c r="P62" s="76"/>
      <c r="Q62" s="76"/>
      <c r="R62" s="76"/>
      <c r="S62" s="76"/>
      <c r="T62" s="76">
        <f t="shared" si="2"/>
        <v>-53.4</v>
      </c>
      <c r="U62" s="76"/>
      <c r="V62" s="76"/>
      <c r="W62" s="76"/>
      <c r="X62" s="76"/>
      <c r="Y62" s="76"/>
      <c r="Z62" s="73"/>
      <c r="AA62" s="57"/>
      <c r="AB62" s="45"/>
      <c r="AC62" s="45"/>
      <c r="AD62" s="45"/>
    </row>
    <row r="63" spans="1:30" outlineLevel="3" x14ac:dyDescent="0.25">
      <c r="A63" s="45"/>
      <c r="B63" s="54"/>
      <c r="C63" s="87">
        <f t="shared" si="0"/>
        <v>4</v>
      </c>
      <c r="D63" s="73"/>
      <c r="E63" s="70"/>
      <c r="F63" s="70" t="s">
        <v>2079</v>
      </c>
      <c r="G63" s="73"/>
      <c r="H63" s="76" t="s">
        <v>2219</v>
      </c>
      <c r="I63" s="76"/>
      <c r="J63" s="76"/>
      <c r="K63" s="97">
        <v>-454</v>
      </c>
      <c r="L63" s="97"/>
      <c r="M63" s="97"/>
      <c r="N63" s="97"/>
      <c r="O63" s="76"/>
      <c r="P63" s="76"/>
      <c r="Q63" s="76"/>
      <c r="R63" s="76"/>
      <c r="S63" s="76"/>
      <c r="T63" s="76">
        <f t="shared" si="2"/>
        <v>-136.19999999999999</v>
      </c>
      <c r="U63" s="76"/>
      <c r="V63" s="76"/>
      <c r="W63" s="76"/>
      <c r="X63" s="76"/>
      <c r="Y63" s="76"/>
      <c r="Z63" s="73"/>
      <c r="AA63" s="57"/>
      <c r="AB63" s="45"/>
      <c r="AC63" s="45"/>
      <c r="AD63" s="45"/>
    </row>
    <row r="64" spans="1:30" outlineLevel="3" x14ac:dyDescent="0.25">
      <c r="A64" s="45"/>
      <c r="B64" s="54"/>
      <c r="C64" s="87">
        <f t="shared" si="0"/>
        <v>4</v>
      </c>
      <c r="D64" s="73"/>
      <c r="E64" s="70"/>
      <c r="F64" s="70" t="s">
        <v>2071</v>
      </c>
      <c r="G64" s="73"/>
      <c r="H64" s="76" t="s">
        <v>2257</v>
      </c>
      <c r="I64" s="76"/>
      <c r="J64" s="76"/>
      <c r="K64" s="97">
        <v>0</v>
      </c>
      <c r="L64" s="97"/>
      <c r="M64" s="97"/>
      <c r="N64" s="97"/>
      <c r="O64" s="76"/>
      <c r="P64" s="76"/>
      <c r="Q64" s="76"/>
      <c r="R64" s="76"/>
      <c r="S64" s="76"/>
      <c r="T64" s="76">
        <f t="shared" si="2"/>
        <v>0</v>
      </c>
      <c r="U64" s="76"/>
      <c r="V64" s="76"/>
      <c r="W64" s="76"/>
      <c r="X64" s="76"/>
      <c r="Y64" s="76"/>
      <c r="Z64" s="73"/>
      <c r="AA64" s="57"/>
      <c r="AB64" s="45"/>
      <c r="AC64" s="45"/>
      <c r="AD64" s="45"/>
    </row>
    <row r="65" spans="1:30" outlineLevel="3" x14ac:dyDescent="0.25">
      <c r="A65" s="45"/>
      <c r="B65" s="54"/>
      <c r="C65" s="87">
        <f t="shared" si="0"/>
        <v>4</v>
      </c>
      <c r="D65" s="73"/>
      <c r="E65" s="70"/>
      <c r="F65" s="70" t="s">
        <v>2073</v>
      </c>
      <c r="G65" s="73"/>
      <c r="H65" s="76" t="s">
        <v>2220</v>
      </c>
      <c r="I65" s="76"/>
      <c r="J65" s="76"/>
      <c r="K65" s="97">
        <v>0</v>
      </c>
      <c r="L65" s="97"/>
      <c r="M65" s="97"/>
      <c r="N65" s="97"/>
      <c r="O65" s="76"/>
      <c r="P65" s="76"/>
      <c r="Q65" s="76"/>
      <c r="R65" s="76"/>
      <c r="S65" s="76"/>
      <c r="T65" s="76">
        <f t="shared" si="2"/>
        <v>0</v>
      </c>
      <c r="U65" s="76"/>
      <c r="V65" s="76"/>
      <c r="W65" s="76"/>
      <c r="X65" s="76"/>
      <c r="Y65" s="76"/>
      <c r="Z65" s="73"/>
      <c r="AA65" s="57"/>
      <c r="AB65" s="45"/>
      <c r="AC65" s="45"/>
      <c r="AD65" s="45"/>
    </row>
    <row r="66" spans="1:30" outlineLevel="3" x14ac:dyDescent="0.25">
      <c r="A66" s="45"/>
      <c r="B66" s="54"/>
      <c r="C66" s="87">
        <f t="shared" si="0"/>
        <v>4</v>
      </c>
      <c r="D66" s="73"/>
      <c r="E66" s="70"/>
      <c r="F66" s="70" t="s">
        <v>2071</v>
      </c>
      <c r="G66" s="73"/>
      <c r="H66" s="76" t="s">
        <v>2260</v>
      </c>
      <c r="I66" s="76"/>
      <c r="J66" s="76"/>
      <c r="K66" s="97">
        <v>0</v>
      </c>
      <c r="L66" s="97"/>
      <c r="M66" s="97"/>
      <c r="N66" s="97"/>
      <c r="O66" s="76"/>
      <c r="P66" s="76"/>
      <c r="Q66" s="76"/>
      <c r="R66" s="76"/>
      <c r="S66" s="76"/>
      <c r="T66" s="76">
        <f t="shared" si="2"/>
        <v>0</v>
      </c>
      <c r="U66" s="76"/>
      <c r="V66" s="76"/>
      <c r="W66" s="76"/>
      <c r="X66" s="76"/>
      <c r="Y66" s="76"/>
      <c r="Z66" s="73"/>
      <c r="AA66" s="57"/>
      <c r="AB66" s="45"/>
      <c r="AC66" s="45"/>
      <c r="AD66" s="45"/>
    </row>
    <row r="67" spans="1:30" outlineLevel="3" x14ac:dyDescent="0.25">
      <c r="A67" s="45"/>
      <c r="B67" s="54"/>
      <c r="C67" s="87">
        <f t="shared" si="0"/>
        <v>4</v>
      </c>
      <c r="D67" s="73"/>
      <c r="E67" s="70"/>
      <c r="F67" s="70" t="s">
        <v>2073</v>
      </c>
      <c r="G67" s="73"/>
      <c r="H67" s="218" t="s">
        <v>2220</v>
      </c>
      <c r="I67" s="218"/>
      <c r="J67" s="218"/>
      <c r="K67" s="308">
        <v>0</v>
      </c>
      <c r="L67" s="308"/>
      <c r="M67" s="308"/>
      <c r="N67" s="308"/>
      <c r="O67" s="218"/>
      <c r="P67" s="218"/>
      <c r="Q67" s="218"/>
      <c r="R67" s="218"/>
      <c r="S67" s="218"/>
      <c r="T67" s="218">
        <f t="shared" si="2"/>
        <v>0</v>
      </c>
      <c r="U67" s="218"/>
      <c r="V67" s="218"/>
      <c r="W67" s="218"/>
      <c r="X67" s="218"/>
      <c r="Y67" s="218"/>
      <c r="Z67" s="73"/>
      <c r="AA67" s="57"/>
      <c r="AB67" s="45"/>
      <c r="AC67" s="45"/>
      <c r="AD67" s="45"/>
    </row>
    <row r="68" spans="1:30" outlineLevel="3" x14ac:dyDescent="0.25">
      <c r="A68" s="45"/>
      <c r="B68" s="54"/>
      <c r="C68" s="87">
        <f t="shared" si="0"/>
        <v>4</v>
      </c>
      <c r="D68" s="73"/>
      <c r="E68" s="70"/>
      <c r="F68" s="70" t="s">
        <v>2080</v>
      </c>
      <c r="G68" s="73"/>
      <c r="H68" s="306" t="s">
        <v>2332</v>
      </c>
      <c r="I68" s="306"/>
      <c r="J68" s="306"/>
      <c r="K68" s="307">
        <v>0</v>
      </c>
      <c r="L68" s="307"/>
      <c r="M68" s="307"/>
      <c r="N68" s="307"/>
      <c r="O68" s="306"/>
      <c r="P68" s="306"/>
      <c r="Q68" s="306"/>
      <c r="R68" s="306"/>
      <c r="S68" s="306"/>
      <c r="T68" s="306">
        <f t="shared" ref="T68:T77" si="3">(K68)</f>
        <v>0</v>
      </c>
      <c r="U68" s="306"/>
      <c r="V68" s="306"/>
      <c r="W68" s="306"/>
      <c r="X68" s="306"/>
      <c r="Y68" s="306"/>
      <c r="Z68" s="73"/>
      <c r="AA68" s="57"/>
      <c r="AB68" s="45"/>
      <c r="AC68" s="45"/>
      <c r="AD68" s="45"/>
    </row>
    <row r="69" spans="1:30" outlineLevel="3" x14ac:dyDescent="0.25">
      <c r="A69" s="45"/>
      <c r="B69" s="54"/>
      <c r="C69" s="87">
        <f t="shared" si="0"/>
        <v>4</v>
      </c>
      <c r="D69" s="73"/>
      <c r="E69" s="70"/>
      <c r="F69" s="70" t="s">
        <v>2081</v>
      </c>
      <c r="G69" s="73"/>
      <c r="H69" s="76" t="s">
        <v>2217</v>
      </c>
      <c r="I69" s="76"/>
      <c r="J69" s="76"/>
      <c r="K69" s="97">
        <v>0</v>
      </c>
      <c r="L69" s="97"/>
      <c r="M69" s="97"/>
      <c r="N69" s="97"/>
      <c r="O69" s="76"/>
      <c r="P69" s="76"/>
      <c r="Q69" s="76"/>
      <c r="R69" s="76"/>
      <c r="S69" s="76"/>
      <c r="T69" s="76">
        <f t="shared" si="3"/>
        <v>0</v>
      </c>
      <c r="U69" s="76"/>
      <c r="V69" s="76"/>
      <c r="W69" s="76"/>
      <c r="X69" s="76"/>
      <c r="Y69" s="76"/>
      <c r="Z69" s="73"/>
      <c r="AA69" s="57"/>
      <c r="AB69" s="45"/>
      <c r="AC69" s="45"/>
      <c r="AD69" s="45"/>
    </row>
    <row r="70" spans="1:30" outlineLevel="3" x14ac:dyDescent="0.25">
      <c r="A70" s="45"/>
      <c r="B70" s="54"/>
      <c r="C70" s="87">
        <f t="shared" si="0"/>
        <v>4</v>
      </c>
      <c r="D70" s="73"/>
      <c r="E70" s="70"/>
      <c r="F70" s="70" t="s">
        <v>2082</v>
      </c>
      <c r="G70" s="73"/>
      <c r="H70" s="76" t="s">
        <v>2069</v>
      </c>
      <c r="I70" s="76"/>
      <c r="J70" s="76"/>
      <c r="K70" s="97">
        <v>-429</v>
      </c>
      <c r="L70" s="97"/>
      <c r="M70" s="97"/>
      <c r="N70" s="97"/>
      <c r="O70" s="76"/>
      <c r="P70" s="76"/>
      <c r="Q70" s="76"/>
      <c r="R70" s="76"/>
      <c r="S70" s="76"/>
      <c r="T70" s="76">
        <f t="shared" si="3"/>
        <v>-429</v>
      </c>
      <c r="U70" s="76"/>
      <c r="V70" s="76"/>
      <c r="W70" s="76"/>
      <c r="X70" s="76"/>
      <c r="Y70" s="76"/>
      <c r="Z70" s="73"/>
      <c r="AA70" s="57"/>
      <c r="AB70" s="45"/>
      <c r="AC70" s="45"/>
      <c r="AD70" s="45"/>
    </row>
    <row r="71" spans="1:30" outlineLevel="3" x14ac:dyDescent="0.25">
      <c r="A71" s="45"/>
      <c r="B71" s="54"/>
      <c r="C71" s="87">
        <f t="shared" si="0"/>
        <v>4</v>
      </c>
      <c r="D71" s="73"/>
      <c r="E71" s="70"/>
      <c r="F71" s="70" t="s">
        <v>2083</v>
      </c>
      <c r="G71" s="73"/>
      <c r="H71" s="76" t="s">
        <v>2218</v>
      </c>
      <c r="I71" s="76"/>
      <c r="J71" s="76"/>
      <c r="K71" s="97">
        <v>-429</v>
      </c>
      <c r="L71" s="97"/>
      <c r="M71" s="97"/>
      <c r="N71" s="97"/>
      <c r="O71" s="76"/>
      <c r="P71" s="76"/>
      <c r="Q71" s="76"/>
      <c r="R71" s="76"/>
      <c r="S71" s="76"/>
      <c r="T71" s="76">
        <f t="shared" si="3"/>
        <v>-429</v>
      </c>
      <c r="U71" s="76"/>
      <c r="V71" s="76"/>
      <c r="W71" s="76"/>
      <c r="X71" s="76"/>
      <c r="Y71" s="76"/>
      <c r="Z71" s="73"/>
      <c r="AA71" s="57"/>
      <c r="AB71" s="45"/>
      <c r="AC71" s="45"/>
      <c r="AD71" s="45"/>
    </row>
    <row r="72" spans="1:30" outlineLevel="3" x14ac:dyDescent="0.25">
      <c r="A72" s="45"/>
      <c r="B72" s="54"/>
      <c r="C72" s="87">
        <f t="shared" si="0"/>
        <v>4</v>
      </c>
      <c r="D72" s="73"/>
      <c r="E72" s="70"/>
      <c r="F72" s="70" t="s">
        <v>2084</v>
      </c>
      <c r="G72" s="73"/>
      <c r="H72" s="76" t="s">
        <v>2072</v>
      </c>
      <c r="I72" s="76"/>
      <c r="J72" s="76"/>
      <c r="K72" s="97">
        <f>-268+300</f>
        <v>32</v>
      </c>
      <c r="L72" s="97"/>
      <c r="M72" s="97"/>
      <c r="N72" s="97"/>
      <c r="O72" s="76"/>
      <c r="P72" s="76"/>
      <c r="Q72" s="76"/>
      <c r="R72" s="76"/>
      <c r="S72" s="76"/>
      <c r="T72" s="76">
        <f t="shared" si="3"/>
        <v>32</v>
      </c>
      <c r="U72" s="76"/>
      <c r="V72" s="76"/>
      <c r="W72" s="76"/>
      <c r="X72" s="76"/>
      <c r="Y72" s="76"/>
      <c r="Z72" s="73"/>
      <c r="AA72" s="57"/>
      <c r="AB72" s="45"/>
      <c r="AC72" s="45"/>
      <c r="AD72" s="45"/>
    </row>
    <row r="73" spans="1:30" outlineLevel="3" x14ac:dyDescent="0.25">
      <c r="A73" s="45"/>
      <c r="B73" s="54"/>
      <c r="C73" s="87">
        <f t="shared" si="0"/>
        <v>4</v>
      </c>
      <c r="D73" s="73"/>
      <c r="E73" s="70"/>
      <c r="F73" s="70" t="s">
        <v>2085</v>
      </c>
      <c r="G73" s="73"/>
      <c r="H73" s="76" t="s">
        <v>2219</v>
      </c>
      <c r="I73" s="76"/>
      <c r="J73" s="76"/>
      <c r="K73" s="97">
        <f>-650+300</f>
        <v>-350</v>
      </c>
      <c r="L73" s="97"/>
      <c r="M73" s="97"/>
      <c r="N73" s="97"/>
      <c r="O73" s="76"/>
      <c r="P73" s="76"/>
      <c r="Q73" s="76"/>
      <c r="R73" s="76"/>
      <c r="S73" s="76"/>
      <c r="T73" s="76">
        <f t="shared" si="3"/>
        <v>-350</v>
      </c>
      <c r="U73" s="76"/>
      <c r="V73" s="76"/>
      <c r="W73" s="76"/>
      <c r="X73" s="76"/>
      <c r="Y73" s="76"/>
      <c r="Z73" s="73"/>
      <c r="AA73" s="57"/>
      <c r="AB73" s="45"/>
      <c r="AC73" s="45"/>
      <c r="AD73" s="45"/>
    </row>
    <row r="74" spans="1:30" outlineLevel="3" x14ac:dyDescent="0.25">
      <c r="A74" s="45"/>
      <c r="B74" s="54"/>
      <c r="C74" s="87">
        <f t="shared" si="0"/>
        <v>4</v>
      </c>
      <c r="D74" s="73"/>
      <c r="E74" s="70"/>
      <c r="F74" s="70" t="s">
        <v>2084</v>
      </c>
      <c r="G74" s="73"/>
      <c r="H74" s="76" t="s">
        <v>2257</v>
      </c>
      <c r="I74" s="76"/>
      <c r="J74" s="76"/>
      <c r="K74" s="97">
        <v>-200</v>
      </c>
      <c r="L74" s="97"/>
      <c r="M74" s="97"/>
      <c r="N74" s="97"/>
      <c r="O74" s="76"/>
      <c r="P74" s="76"/>
      <c r="Q74" s="76"/>
      <c r="R74" s="97" t="s">
        <v>2258</v>
      </c>
      <c r="S74" s="76"/>
      <c r="T74" s="76">
        <f t="shared" si="3"/>
        <v>-200</v>
      </c>
      <c r="U74" s="76"/>
      <c r="V74" s="76"/>
      <c r="W74" s="76"/>
      <c r="X74" s="76"/>
      <c r="Y74" s="76"/>
      <c r="Z74" s="73"/>
      <c r="AA74" s="57"/>
      <c r="AB74" s="45"/>
      <c r="AC74" s="45"/>
      <c r="AD74" s="45"/>
    </row>
    <row r="75" spans="1:30" outlineLevel="3" x14ac:dyDescent="0.25">
      <c r="A75" s="45"/>
      <c r="B75" s="54"/>
      <c r="C75" s="87">
        <f t="shared" si="0"/>
        <v>4</v>
      </c>
      <c r="D75" s="73"/>
      <c r="E75" s="70"/>
      <c r="F75" s="70" t="s">
        <v>2085</v>
      </c>
      <c r="G75" s="73"/>
      <c r="H75" s="76" t="s">
        <v>2220</v>
      </c>
      <c r="I75" s="76"/>
      <c r="J75" s="76"/>
      <c r="K75" s="97">
        <v>-200</v>
      </c>
      <c r="L75" s="97"/>
      <c r="M75" s="97"/>
      <c r="N75" s="97"/>
      <c r="O75" s="76"/>
      <c r="P75" s="76"/>
      <c r="Q75" s="76"/>
      <c r="R75" s="76"/>
      <c r="S75" s="76"/>
      <c r="T75" s="76">
        <f t="shared" si="3"/>
        <v>-200</v>
      </c>
      <c r="U75" s="76"/>
      <c r="V75" s="76"/>
      <c r="W75" s="76"/>
      <c r="X75" s="76"/>
      <c r="Y75" s="76"/>
      <c r="Z75" s="73"/>
      <c r="AA75" s="57"/>
      <c r="AB75" s="45"/>
      <c r="AC75" s="45"/>
      <c r="AD75" s="45"/>
    </row>
    <row r="76" spans="1:30" outlineLevel="3" x14ac:dyDescent="0.25">
      <c r="A76" s="45"/>
      <c r="B76" s="54"/>
      <c r="C76" s="87">
        <f t="shared" si="0"/>
        <v>4</v>
      </c>
      <c r="D76" s="73"/>
      <c r="E76" s="70"/>
      <c r="F76" s="70" t="s">
        <v>2084</v>
      </c>
      <c r="G76" s="73"/>
      <c r="H76" s="76" t="s">
        <v>2260</v>
      </c>
      <c r="I76" s="76"/>
      <c r="J76" s="76"/>
      <c r="K76" s="97">
        <v>-100</v>
      </c>
      <c r="L76" s="97"/>
      <c r="M76" s="97"/>
      <c r="N76" s="97"/>
      <c r="O76" s="76"/>
      <c r="P76" s="76"/>
      <c r="Q76" s="76"/>
      <c r="R76" s="97" t="s">
        <v>2259</v>
      </c>
      <c r="S76" s="76"/>
      <c r="T76" s="76">
        <f t="shared" si="3"/>
        <v>-100</v>
      </c>
      <c r="U76" s="76"/>
      <c r="V76" s="76"/>
      <c r="W76" s="76"/>
      <c r="X76" s="76"/>
      <c r="Y76" s="76"/>
      <c r="Z76" s="73"/>
      <c r="AA76" s="57"/>
      <c r="AB76" s="45"/>
      <c r="AC76" s="45"/>
      <c r="AD76" s="45"/>
    </row>
    <row r="77" spans="1:30" outlineLevel="3" x14ac:dyDescent="0.25">
      <c r="A77" s="45"/>
      <c r="B77" s="54"/>
      <c r="C77" s="87">
        <f t="shared" si="0"/>
        <v>4</v>
      </c>
      <c r="D77" s="73"/>
      <c r="E77" s="70"/>
      <c r="F77" s="70" t="s">
        <v>2085</v>
      </c>
      <c r="G77" s="73"/>
      <c r="H77" s="218" t="s">
        <v>2220</v>
      </c>
      <c r="I77" s="218"/>
      <c r="J77" s="218"/>
      <c r="K77" s="308">
        <v>-100</v>
      </c>
      <c r="L77" s="308"/>
      <c r="M77" s="308"/>
      <c r="N77" s="308"/>
      <c r="O77" s="218"/>
      <c r="P77" s="218"/>
      <c r="Q77" s="218"/>
      <c r="R77" s="218"/>
      <c r="S77" s="218"/>
      <c r="T77" s="218">
        <f t="shared" si="3"/>
        <v>-100</v>
      </c>
      <c r="U77" s="218"/>
      <c r="V77" s="218"/>
      <c r="W77" s="218"/>
      <c r="X77" s="218"/>
      <c r="Y77" s="218"/>
      <c r="Z77" s="73"/>
      <c r="AA77" s="57"/>
      <c r="AB77" s="45"/>
      <c r="AC77" s="45"/>
      <c r="AD77" s="45"/>
    </row>
    <row r="78" spans="1:30" outlineLevel="3" x14ac:dyDescent="0.25">
      <c r="A78" s="45"/>
      <c r="B78" s="54"/>
      <c r="C78" s="87">
        <f t="shared" si="0"/>
        <v>4</v>
      </c>
      <c r="D78" s="73"/>
      <c r="E78" s="70"/>
      <c r="F78" s="265" t="s">
        <v>1695</v>
      </c>
      <c r="G78" s="73"/>
      <c r="H78" s="267" t="s">
        <v>2086</v>
      </c>
      <c r="I78" s="129"/>
      <c r="J78" s="129" t="s">
        <v>1038</v>
      </c>
      <c r="K78" s="79">
        <v>6</v>
      </c>
      <c r="L78" s="79">
        <v>10</v>
      </c>
      <c r="M78" s="76"/>
      <c r="N78" s="76"/>
      <c r="O78" s="76"/>
      <c r="P78" s="76"/>
      <c r="Q78" s="76"/>
      <c r="R78" s="97" t="s">
        <v>2064</v>
      </c>
      <c r="S78" s="76" t="s">
        <v>2339</v>
      </c>
      <c r="T78" s="76"/>
      <c r="U78" s="76" t="s">
        <v>2340</v>
      </c>
      <c r="V78" s="76" t="s">
        <v>2341</v>
      </c>
      <c r="W78" s="76"/>
      <c r="X78" s="76"/>
      <c r="Y78" s="76"/>
      <c r="Z78" s="73"/>
      <c r="AA78" s="57"/>
      <c r="AB78" s="45"/>
      <c r="AC78" s="45"/>
      <c r="AD78" s="45"/>
    </row>
    <row r="79" spans="1:30" outlineLevel="3" x14ac:dyDescent="0.25">
      <c r="A79" s="45"/>
      <c r="B79" s="54"/>
      <c r="C79" s="87">
        <f t="shared" si="0"/>
        <v>4</v>
      </c>
      <c r="D79" s="73"/>
      <c r="E79" s="70" t="s">
        <v>2087</v>
      </c>
      <c r="F79" s="70" t="s">
        <v>2088</v>
      </c>
      <c r="G79" s="73"/>
      <c r="H79" s="306" t="s">
        <v>2333</v>
      </c>
      <c r="I79" s="306"/>
      <c r="J79" s="306"/>
      <c r="K79" s="307">
        <v>-100</v>
      </c>
      <c r="L79" s="307"/>
      <c r="M79" s="307"/>
      <c r="N79" s="307"/>
      <c r="O79" s="306"/>
      <c r="P79" s="306"/>
      <c r="Q79" s="306"/>
      <c r="R79" s="306"/>
      <c r="S79" s="97">
        <v>918</v>
      </c>
      <c r="T79" s="306">
        <f t="shared" ref="T79:T88" si="4">EXP(K79*$S$79)</f>
        <v>0</v>
      </c>
      <c r="U79" s="358">
        <f t="shared" ref="U79:U88" si="5">SUM(T79,T89,T99,T109,T119,T129)</f>
        <v>27.540000000000092</v>
      </c>
      <c r="V79" s="366">
        <f>SUM(T48,T58,T68)</f>
        <v>918</v>
      </c>
      <c r="W79" s="306"/>
      <c r="X79" s="306"/>
      <c r="Y79" s="306"/>
      <c r="Z79" s="73"/>
      <c r="AA79" s="57"/>
      <c r="AB79" s="45"/>
      <c r="AC79" s="45"/>
      <c r="AD79" s="45"/>
    </row>
    <row r="80" spans="1:30" outlineLevel="3" x14ac:dyDescent="0.25">
      <c r="A80" s="45"/>
      <c r="B80" s="54"/>
      <c r="C80" s="87">
        <f t="shared" si="0"/>
        <v>4</v>
      </c>
      <c r="D80" s="73"/>
      <c r="E80" s="70"/>
      <c r="F80" s="70" t="s">
        <v>2089</v>
      </c>
      <c r="G80" s="73"/>
      <c r="H80" s="76" t="s">
        <v>2217</v>
      </c>
      <c r="I80" s="76"/>
      <c r="J80" s="76"/>
      <c r="K80" s="97">
        <v>-100</v>
      </c>
      <c r="L80" s="97"/>
      <c r="M80" s="97"/>
      <c r="N80" s="97"/>
      <c r="O80" s="76"/>
      <c r="P80" s="76"/>
      <c r="Q80" s="76"/>
      <c r="R80" s="76"/>
      <c r="S80" s="76"/>
      <c r="T80" s="76">
        <f t="shared" si="4"/>
        <v>0</v>
      </c>
      <c r="U80" s="359">
        <f t="shared" si="5"/>
        <v>27.540000000000092</v>
      </c>
      <c r="V80" s="365">
        <f t="shared" ref="V80:V88" si="6">SUM(T49,T59,T69)</f>
        <v>918</v>
      </c>
      <c r="W80" s="76"/>
      <c r="X80" s="76"/>
      <c r="Y80" s="76"/>
      <c r="Z80" s="73"/>
      <c r="AA80" s="57"/>
      <c r="AB80" s="45"/>
      <c r="AC80" s="45"/>
      <c r="AD80" s="45"/>
    </row>
    <row r="81" spans="1:30" outlineLevel="3" x14ac:dyDescent="0.25">
      <c r="A81" s="45"/>
      <c r="B81" s="54"/>
      <c r="C81" s="87">
        <f t="shared" si="0"/>
        <v>4</v>
      </c>
      <c r="D81" s="73"/>
      <c r="E81" s="70"/>
      <c r="F81" s="70" t="s">
        <v>2090</v>
      </c>
      <c r="G81" s="73"/>
      <c r="H81" s="76" t="s">
        <v>2069</v>
      </c>
      <c r="I81" s="76"/>
      <c r="J81" s="76"/>
      <c r="K81" s="97">
        <v>-100</v>
      </c>
      <c r="L81" s="97"/>
      <c r="M81" s="97"/>
      <c r="N81" s="97"/>
      <c r="O81" s="76"/>
      <c r="P81" s="76"/>
      <c r="Q81" s="76"/>
      <c r="R81" s="76"/>
      <c r="S81" s="76"/>
      <c r="T81" s="76">
        <f t="shared" si="4"/>
        <v>0</v>
      </c>
      <c r="U81" s="359">
        <f t="shared" si="5"/>
        <v>19.676946000000097</v>
      </c>
      <c r="V81" s="365">
        <f t="shared" si="6"/>
        <v>489.32130000000006</v>
      </c>
      <c r="W81" s="76"/>
      <c r="X81" s="76"/>
      <c r="Y81" s="76"/>
      <c r="Z81" s="73"/>
      <c r="AA81" s="57"/>
      <c r="AB81" s="45"/>
      <c r="AC81" s="45"/>
      <c r="AD81" s="45"/>
    </row>
    <row r="82" spans="1:30" outlineLevel="3" x14ac:dyDescent="0.25">
      <c r="A82" s="45"/>
      <c r="B82" s="54"/>
      <c r="C82" s="87">
        <f t="shared" si="0"/>
        <v>4</v>
      </c>
      <c r="D82" s="73"/>
      <c r="E82" s="70"/>
      <c r="F82" s="70" t="s">
        <v>2091</v>
      </c>
      <c r="G82" s="73"/>
      <c r="H82" s="76" t="s">
        <v>2218</v>
      </c>
      <c r="I82" s="76"/>
      <c r="J82" s="76"/>
      <c r="K82" s="97">
        <v>-100</v>
      </c>
      <c r="L82" s="97"/>
      <c r="M82" s="97"/>
      <c r="N82" s="97"/>
      <c r="O82" s="76"/>
      <c r="P82" s="76"/>
      <c r="Q82" s="76"/>
      <c r="R82" s="76"/>
      <c r="S82" s="76"/>
      <c r="T82" s="76">
        <f t="shared" si="4"/>
        <v>0</v>
      </c>
      <c r="U82" s="361">
        <f t="shared" si="5"/>
        <v>11.812258400000093</v>
      </c>
      <c r="V82" s="365">
        <f t="shared" si="6"/>
        <v>489.32130000000006</v>
      </c>
      <c r="W82" s="76"/>
      <c r="X82" s="78" t="s">
        <v>2343</v>
      </c>
      <c r="Y82" s="76" t="s">
        <v>2345</v>
      </c>
      <c r="Z82" s="73"/>
      <c r="AA82" s="57"/>
      <c r="AB82" s="45"/>
      <c r="AC82" s="45"/>
      <c r="AD82" s="45"/>
    </row>
    <row r="83" spans="1:30" outlineLevel="3" x14ac:dyDescent="0.25">
      <c r="A83" s="45"/>
      <c r="B83" s="54"/>
      <c r="C83" s="87">
        <f t="shared" si="0"/>
        <v>4</v>
      </c>
      <c r="D83" s="73"/>
      <c r="E83" s="70"/>
      <c r="F83" s="70" t="s">
        <v>2092</v>
      </c>
      <c r="G83" s="73"/>
      <c r="H83" s="76" t="s">
        <v>2072</v>
      </c>
      <c r="I83" s="76"/>
      <c r="J83" s="76"/>
      <c r="K83" s="97">
        <v>1.01E-3</v>
      </c>
      <c r="L83" s="97"/>
      <c r="M83" s="97"/>
      <c r="N83" s="97"/>
      <c r="O83" s="76"/>
      <c r="P83" s="76"/>
      <c r="Q83" s="76"/>
      <c r="R83" s="76"/>
      <c r="S83" s="76">
        <f>U83/$S$79*100</f>
        <v>1.6712797330596103</v>
      </c>
      <c r="T83" s="174">
        <f t="shared" si="4"/>
        <v>2.5273719299859865</v>
      </c>
      <c r="U83" s="363">
        <f t="shared" si="5"/>
        <v>15.342347949487225</v>
      </c>
      <c r="V83" s="367">
        <f t="shared" si="6"/>
        <v>936.07399999999996</v>
      </c>
      <c r="W83" s="76">
        <f>U83/U79</f>
        <v>0.55709324435320162</v>
      </c>
      <c r="X83" s="359">
        <f>U83*1.25</f>
        <v>19.177934936859032</v>
      </c>
      <c r="Y83" s="365">
        <f>V83-$S$79</f>
        <v>18.073999999999955</v>
      </c>
      <c r="Z83" s="73"/>
      <c r="AA83" s="57"/>
      <c r="AB83" s="45"/>
      <c r="AC83" s="45"/>
      <c r="AD83" s="45"/>
    </row>
    <row r="84" spans="1:30" outlineLevel="3" x14ac:dyDescent="0.25">
      <c r="A84" s="45"/>
      <c r="B84" s="54"/>
      <c r="C84" s="87">
        <f t="shared" si="0"/>
        <v>4</v>
      </c>
      <c r="D84" s="73"/>
      <c r="E84" s="70"/>
      <c r="F84" s="70" t="s">
        <v>2093</v>
      </c>
      <c r="G84" s="73"/>
      <c r="H84" s="76" t="s">
        <v>2219</v>
      </c>
      <c r="I84" s="76"/>
      <c r="J84" s="76"/>
      <c r="K84" s="97">
        <v>8.4000000000000003E-4</v>
      </c>
      <c r="L84" s="97"/>
      <c r="M84" s="97"/>
      <c r="N84" s="97"/>
      <c r="O84" s="76"/>
      <c r="P84" s="76"/>
      <c r="Q84" s="76"/>
      <c r="R84" s="76"/>
      <c r="S84" s="76">
        <f>U84/$S$79*100</f>
        <v>1.1751031819134548</v>
      </c>
      <c r="T84" s="174">
        <f t="shared" si="4"/>
        <v>2.1621865471004096</v>
      </c>
      <c r="U84" s="364">
        <f t="shared" si="5"/>
        <v>10.787447209965514</v>
      </c>
      <c r="V84" s="367">
        <f t="shared" si="6"/>
        <v>514.42000000000007</v>
      </c>
      <c r="W84" s="76">
        <f>U84/U80</f>
        <v>0.3917010606378169</v>
      </c>
      <c r="X84" s="359">
        <f>U84*1.25</f>
        <v>13.484309012456892</v>
      </c>
      <c r="Y84" s="365">
        <f>V84-$S$79</f>
        <v>-403.57999999999993</v>
      </c>
      <c r="Z84" s="73"/>
      <c r="AA84" s="57"/>
      <c r="AB84" s="45"/>
      <c r="AC84" s="45"/>
      <c r="AD84" s="45"/>
    </row>
    <row r="85" spans="1:30" outlineLevel="3" x14ac:dyDescent="0.25">
      <c r="A85" s="45"/>
      <c r="B85" s="54"/>
      <c r="C85" s="87">
        <f t="shared" si="0"/>
        <v>4</v>
      </c>
      <c r="D85" s="73"/>
      <c r="E85" s="70"/>
      <c r="F85" s="70" t="s">
        <v>2084</v>
      </c>
      <c r="G85" s="73"/>
      <c r="H85" s="76" t="s">
        <v>2257</v>
      </c>
      <c r="I85" s="76"/>
      <c r="J85" s="76"/>
      <c r="K85" s="97">
        <v>-100</v>
      </c>
      <c r="L85" s="97"/>
      <c r="M85" s="97"/>
      <c r="N85" s="97"/>
      <c r="O85" s="76"/>
      <c r="P85" s="76"/>
      <c r="Q85" s="76"/>
      <c r="R85" s="76"/>
      <c r="S85" s="76"/>
      <c r="T85" s="76">
        <f t="shared" si="4"/>
        <v>0</v>
      </c>
      <c r="U85" s="362">
        <f t="shared" si="5"/>
        <v>21.540000000000092</v>
      </c>
      <c r="V85" s="365">
        <f t="shared" si="6"/>
        <v>718</v>
      </c>
      <c r="W85" s="76"/>
      <c r="X85" s="76"/>
      <c r="Y85" s="76"/>
      <c r="Z85" s="73"/>
      <c r="AA85" s="57"/>
      <c r="AB85" s="45"/>
      <c r="AC85" s="45"/>
      <c r="AD85" s="45"/>
    </row>
    <row r="86" spans="1:30" outlineLevel="3" x14ac:dyDescent="0.25">
      <c r="A86" s="45"/>
      <c r="B86" s="54"/>
      <c r="C86" s="87">
        <f t="shared" si="0"/>
        <v>4</v>
      </c>
      <c r="D86" s="73"/>
      <c r="E86" s="70"/>
      <c r="F86" s="70" t="s">
        <v>2093</v>
      </c>
      <c r="G86" s="73"/>
      <c r="H86" s="76" t="s">
        <v>2219</v>
      </c>
      <c r="I86" s="76"/>
      <c r="J86" s="76"/>
      <c r="K86" s="97">
        <v>-100</v>
      </c>
      <c r="L86" s="97"/>
      <c r="M86" s="97"/>
      <c r="N86" s="97"/>
      <c r="O86" s="76"/>
      <c r="P86" s="76"/>
      <c r="Q86" s="76"/>
      <c r="R86" s="76"/>
      <c r="S86" s="76"/>
      <c r="T86" s="76">
        <f t="shared" si="4"/>
        <v>0</v>
      </c>
      <c r="U86" s="359">
        <f t="shared" si="5"/>
        <v>21.540000000000092</v>
      </c>
      <c r="V86" s="365">
        <f t="shared" si="6"/>
        <v>718</v>
      </c>
      <c r="W86" s="76"/>
      <c r="X86" s="76"/>
      <c r="Y86" s="76"/>
      <c r="Z86" s="73"/>
      <c r="AA86" s="57"/>
      <c r="AB86" s="45"/>
      <c r="AC86" s="45"/>
      <c r="AD86" s="45"/>
    </row>
    <row r="87" spans="1:30" outlineLevel="3" x14ac:dyDescent="0.25">
      <c r="A87" s="45"/>
      <c r="B87" s="54"/>
      <c r="C87" s="87">
        <f t="shared" si="0"/>
        <v>4</v>
      </c>
      <c r="D87" s="73"/>
      <c r="E87" s="70"/>
      <c r="F87" s="70" t="s">
        <v>2084</v>
      </c>
      <c r="G87" s="73"/>
      <c r="H87" s="76" t="s">
        <v>2260</v>
      </c>
      <c r="I87" s="76"/>
      <c r="J87" s="76"/>
      <c r="K87" s="97">
        <v>-100</v>
      </c>
      <c r="L87" s="97"/>
      <c r="M87" s="97"/>
      <c r="N87" s="97"/>
      <c r="O87" s="76"/>
      <c r="P87" s="76"/>
      <c r="Q87" s="76"/>
      <c r="R87" s="76"/>
      <c r="S87" s="76"/>
      <c r="T87" s="76">
        <f t="shared" si="4"/>
        <v>0</v>
      </c>
      <c r="U87" s="359">
        <f t="shared" si="5"/>
        <v>24.540000000000092</v>
      </c>
      <c r="V87" s="365">
        <f t="shared" si="6"/>
        <v>818</v>
      </c>
      <c r="W87" s="76"/>
      <c r="X87" s="76"/>
      <c r="Y87" s="76"/>
      <c r="Z87" s="73"/>
      <c r="AA87" s="57"/>
      <c r="AB87" s="45"/>
      <c r="AC87" s="45"/>
      <c r="AD87" s="45"/>
    </row>
    <row r="88" spans="1:30" outlineLevel="3" x14ac:dyDescent="0.25">
      <c r="A88" s="45"/>
      <c r="B88" s="54"/>
      <c r="C88" s="87">
        <f t="shared" si="0"/>
        <v>4</v>
      </c>
      <c r="D88" s="73"/>
      <c r="E88" s="70"/>
      <c r="F88" s="70" t="s">
        <v>2085</v>
      </c>
      <c r="G88" s="73"/>
      <c r="H88" s="218" t="s">
        <v>2220</v>
      </c>
      <c r="I88" s="218"/>
      <c r="J88" s="218"/>
      <c r="K88" s="308">
        <v>-100</v>
      </c>
      <c r="L88" s="308"/>
      <c r="M88" s="308"/>
      <c r="N88" s="308"/>
      <c r="O88" s="218"/>
      <c r="P88" s="218"/>
      <c r="Q88" s="218"/>
      <c r="R88" s="218"/>
      <c r="S88" s="218"/>
      <c r="T88" s="76">
        <f t="shared" si="4"/>
        <v>0</v>
      </c>
      <c r="U88" s="359">
        <f t="shared" si="5"/>
        <v>24.540000000000092</v>
      </c>
      <c r="V88" s="368">
        <f t="shared" si="6"/>
        <v>818</v>
      </c>
      <c r="W88" s="218"/>
      <c r="X88" s="218"/>
      <c r="Y88" s="218"/>
      <c r="Z88" s="73"/>
      <c r="AA88" s="57"/>
      <c r="AB88" s="45"/>
      <c r="AC88" s="45"/>
      <c r="AD88" s="45"/>
    </row>
    <row r="89" spans="1:30" outlineLevel="3" x14ac:dyDescent="0.25">
      <c r="A89" s="45"/>
      <c r="B89" s="54"/>
      <c r="C89" s="87">
        <f t="shared" si="0"/>
        <v>4</v>
      </c>
      <c r="D89" s="73"/>
      <c r="E89" s="70"/>
      <c r="F89" s="70" t="s">
        <v>2094</v>
      </c>
      <c r="G89" s="73"/>
      <c r="H89" s="306" t="s">
        <v>2334</v>
      </c>
      <c r="I89" s="306"/>
      <c r="J89" s="306"/>
      <c r="K89" s="307">
        <v>-100</v>
      </c>
      <c r="L89" s="307"/>
      <c r="M89" s="307"/>
      <c r="N89" s="307"/>
      <c r="O89" s="306"/>
      <c r="P89" s="306"/>
      <c r="Q89" s="306"/>
      <c r="R89" s="306"/>
      <c r="S89" s="97">
        <v>0.3</v>
      </c>
      <c r="T89" s="355">
        <f>EXP(K89*$S$89)</f>
        <v>9.3576229688401748E-14</v>
      </c>
      <c r="U89" s="306"/>
      <c r="V89" s="306"/>
      <c r="W89" s="306"/>
      <c r="X89" s="306"/>
      <c r="Y89" s="306"/>
      <c r="Z89" s="73"/>
      <c r="AA89" s="57"/>
      <c r="AB89" s="45"/>
      <c r="AC89" s="45"/>
      <c r="AD89" s="45"/>
    </row>
    <row r="90" spans="1:30" outlineLevel="3" x14ac:dyDescent="0.25">
      <c r="A90" s="45"/>
      <c r="B90" s="54"/>
      <c r="C90" s="87">
        <f t="shared" si="0"/>
        <v>4</v>
      </c>
      <c r="D90" s="73"/>
      <c r="E90" s="70"/>
      <c r="F90" s="70" t="s">
        <v>2095</v>
      </c>
      <c r="G90" s="73"/>
      <c r="H90" s="76" t="s">
        <v>2217</v>
      </c>
      <c r="I90" s="76"/>
      <c r="J90" s="76"/>
      <c r="K90" s="97">
        <v>-100</v>
      </c>
      <c r="L90" s="97"/>
      <c r="M90" s="97"/>
      <c r="N90" s="97"/>
      <c r="O90" s="76"/>
      <c r="P90" s="76"/>
      <c r="Q90" s="76"/>
      <c r="R90" s="76"/>
      <c r="S90" s="76"/>
      <c r="T90" s="356">
        <f t="shared" ref="T90:T98" si="7">EXP(K90*$S$89)</f>
        <v>9.3576229688401748E-14</v>
      </c>
      <c r="U90" s="76"/>
      <c r="V90" s="76"/>
      <c r="W90" s="76"/>
      <c r="X90" s="76"/>
      <c r="Y90" s="76"/>
      <c r="Z90" s="73"/>
      <c r="AA90" s="57"/>
      <c r="AB90" s="45"/>
      <c r="AC90" s="45"/>
      <c r="AD90" s="45"/>
    </row>
    <row r="91" spans="1:30" outlineLevel="3" x14ac:dyDescent="0.25">
      <c r="A91" s="45"/>
      <c r="B91" s="54"/>
      <c r="C91" s="87">
        <f t="shared" si="0"/>
        <v>4</v>
      </c>
      <c r="D91" s="73"/>
      <c r="E91" s="70"/>
      <c r="F91" s="70" t="s">
        <v>2096</v>
      </c>
      <c r="G91" s="73"/>
      <c r="H91" s="76" t="s">
        <v>2069</v>
      </c>
      <c r="I91" s="76"/>
      <c r="J91" s="76"/>
      <c r="K91" s="97">
        <v>-100</v>
      </c>
      <c r="L91" s="97"/>
      <c r="M91" s="97"/>
      <c r="N91" s="97"/>
      <c r="O91" s="76"/>
      <c r="P91" s="76"/>
      <c r="Q91" s="76"/>
      <c r="R91" s="76"/>
      <c r="S91" s="76"/>
      <c r="T91" s="356">
        <f t="shared" si="7"/>
        <v>9.3576229688401748E-14</v>
      </c>
      <c r="U91" s="76"/>
      <c r="V91" s="76"/>
      <c r="W91" s="76"/>
      <c r="X91" s="76"/>
      <c r="Y91" s="76"/>
      <c r="Z91" s="73"/>
      <c r="AA91" s="57"/>
      <c r="AB91" s="45"/>
      <c r="AC91" s="45"/>
      <c r="AD91" s="45"/>
    </row>
    <row r="92" spans="1:30" outlineLevel="3" x14ac:dyDescent="0.25">
      <c r="A92" s="45"/>
      <c r="B92" s="54"/>
      <c r="C92" s="87">
        <f t="shared" si="0"/>
        <v>4</v>
      </c>
      <c r="D92" s="73"/>
      <c r="E92" s="70"/>
      <c r="F92" s="70" t="s">
        <v>2097</v>
      </c>
      <c r="G92" s="73"/>
      <c r="H92" s="76" t="s">
        <v>2218</v>
      </c>
      <c r="I92" s="76"/>
      <c r="J92" s="76"/>
      <c r="K92" s="97">
        <v>-100</v>
      </c>
      <c r="L92" s="97"/>
      <c r="M92" s="97"/>
      <c r="N92" s="97"/>
      <c r="O92" s="76"/>
      <c r="P92" s="76"/>
      <c r="Q92" s="76"/>
      <c r="R92" s="76"/>
      <c r="S92" s="76"/>
      <c r="T92" s="356">
        <f t="shared" si="7"/>
        <v>9.3576229688401748E-14</v>
      </c>
      <c r="U92" s="76"/>
      <c r="V92" s="76"/>
      <c r="W92" s="76"/>
      <c r="X92" s="76"/>
      <c r="Y92" s="76"/>
      <c r="Z92" s="73"/>
      <c r="AA92" s="57"/>
      <c r="AB92" s="45"/>
      <c r="AC92" s="45"/>
      <c r="AD92" s="45"/>
    </row>
    <row r="93" spans="1:30" outlineLevel="3" x14ac:dyDescent="0.25">
      <c r="A93" s="45"/>
      <c r="B93" s="54"/>
      <c r="C93" s="87">
        <f t="shared" si="0"/>
        <v>4</v>
      </c>
      <c r="D93" s="73"/>
      <c r="E93" s="70"/>
      <c r="F93" s="70" t="s">
        <v>2098</v>
      </c>
      <c r="G93" s="73"/>
      <c r="H93" s="76" t="s">
        <v>2072</v>
      </c>
      <c r="I93" s="76"/>
      <c r="J93" s="76"/>
      <c r="K93" s="97">
        <v>-0.46</v>
      </c>
      <c r="L93" s="97"/>
      <c r="M93" s="97"/>
      <c r="N93" s="97"/>
      <c r="O93" s="76"/>
      <c r="P93" s="76"/>
      <c r="Q93" s="76"/>
      <c r="R93" s="76"/>
      <c r="S93" s="76"/>
      <c r="T93" s="356">
        <f t="shared" si="7"/>
        <v>0.87109869174579835</v>
      </c>
      <c r="U93" s="76"/>
      <c r="V93" s="76"/>
      <c r="W93" s="76"/>
      <c r="X93" s="76"/>
      <c r="Y93" s="76"/>
      <c r="Z93" s="73"/>
      <c r="AA93" s="57"/>
      <c r="AB93" s="45"/>
      <c r="AC93" s="45"/>
      <c r="AD93" s="45"/>
    </row>
    <row r="94" spans="1:30" outlineLevel="3" x14ac:dyDescent="0.25">
      <c r="A94" s="45"/>
      <c r="B94" s="54"/>
      <c r="C94" s="87">
        <f t="shared" si="0"/>
        <v>4</v>
      </c>
      <c r="D94" s="73"/>
      <c r="E94" s="70"/>
      <c r="F94" s="70" t="s">
        <v>2099</v>
      </c>
      <c r="G94" s="73"/>
      <c r="H94" s="76" t="s">
        <v>2219</v>
      </c>
      <c r="I94" s="76"/>
      <c r="J94" s="76"/>
      <c r="K94" s="97">
        <v>-0.22</v>
      </c>
      <c r="L94" s="97"/>
      <c r="M94" s="97"/>
      <c r="N94" s="97"/>
      <c r="O94" s="76"/>
      <c r="P94" s="76"/>
      <c r="Q94" s="76"/>
      <c r="R94" s="76"/>
      <c r="S94" s="76"/>
      <c r="T94" s="356">
        <f t="shared" si="7"/>
        <v>0.93613086429161885</v>
      </c>
      <c r="U94" s="76"/>
      <c r="V94" s="76"/>
      <c r="W94" s="76"/>
      <c r="X94" s="76"/>
      <c r="Y94" s="76"/>
      <c r="Z94" s="73"/>
      <c r="AA94" s="57"/>
      <c r="AB94" s="45"/>
      <c r="AC94" s="45"/>
      <c r="AD94" s="45"/>
    </row>
    <row r="95" spans="1:30" outlineLevel="3" x14ac:dyDescent="0.25">
      <c r="A95" s="45"/>
      <c r="B95" s="54"/>
      <c r="C95" s="87">
        <f t="shared" si="0"/>
        <v>4</v>
      </c>
      <c r="D95" s="73"/>
      <c r="E95" s="70"/>
      <c r="F95" s="70" t="s">
        <v>2084</v>
      </c>
      <c r="G95" s="73"/>
      <c r="H95" s="76" t="s">
        <v>2257</v>
      </c>
      <c r="I95" s="76"/>
      <c r="J95" s="76"/>
      <c r="K95" s="97">
        <v>-100</v>
      </c>
      <c r="L95" s="97"/>
      <c r="M95" s="97"/>
      <c r="N95" s="97"/>
      <c r="O95" s="76"/>
      <c r="P95" s="76"/>
      <c r="Q95" s="76"/>
      <c r="R95" s="76"/>
      <c r="S95" s="76"/>
      <c r="T95" s="356">
        <f t="shared" si="7"/>
        <v>9.3576229688401748E-14</v>
      </c>
      <c r="U95" s="76"/>
      <c r="V95" s="76"/>
      <c r="W95" s="76"/>
      <c r="X95" s="76"/>
      <c r="Y95" s="76"/>
      <c r="Z95" s="73"/>
      <c r="AA95" s="57"/>
      <c r="AB95" s="45"/>
      <c r="AC95" s="45"/>
      <c r="AD95" s="45"/>
    </row>
    <row r="96" spans="1:30" outlineLevel="3" x14ac:dyDescent="0.25">
      <c r="A96" s="45"/>
      <c r="B96" s="54"/>
      <c r="C96" s="87">
        <f t="shared" si="0"/>
        <v>4</v>
      </c>
      <c r="D96" s="73"/>
      <c r="E96" s="70"/>
      <c r="F96" s="70" t="s">
        <v>2093</v>
      </c>
      <c r="G96" s="73"/>
      <c r="H96" s="76" t="s">
        <v>2219</v>
      </c>
      <c r="I96" s="76"/>
      <c r="J96" s="76"/>
      <c r="K96" s="97">
        <v>-100</v>
      </c>
      <c r="L96" s="97"/>
      <c r="M96" s="97"/>
      <c r="N96" s="97"/>
      <c r="O96" s="76"/>
      <c r="P96" s="76"/>
      <c r="Q96" s="76"/>
      <c r="R96" s="76"/>
      <c r="S96" s="76"/>
      <c r="T96" s="356">
        <f t="shared" si="7"/>
        <v>9.3576229688401748E-14</v>
      </c>
      <c r="U96" s="76"/>
      <c r="V96" s="76"/>
      <c r="W96" s="76"/>
      <c r="X96" s="76"/>
      <c r="Y96" s="76"/>
      <c r="Z96" s="73"/>
      <c r="AA96" s="57"/>
      <c r="AB96" s="45"/>
      <c r="AC96" s="45"/>
      <c r="AD96" s="45"/>
    </row>
    <row r="97" spans="1:30" outlineLevel="3" x14ac:dyDescent="0.25">
      <c r="A97" s="45"/>
      <c r="B97" s="54"/>
      <c r="C97" s="87">
        <f t="shared" si="0"/>
        <v>4</v>
      </c>
      <c r="D97" s="73"/>
      <c r="E97" s="70"/>
      <c r="F97" s="70" t="s">
        <v>2084</v>
      </c>
      <c r="G97" s="73"/>
      <c r="H97" s="76" t="s">
        <v>2260</v>
      </c>
      <c r="I97" s="76"/>
      <c r="J97" s="76"/>
      <c r="K97" s="97">
        <v>-100</v>
      </c>
      <c r="L97" s="97"/>
      <c r="M97" s="97"/>
      <c r="N97" s="97"/>
      <c r="O97" s="76"/>
      <c r="P97" s="76"/>
      <c r="Q97" s="76"/>
      <c r="R97" s="76"/>
      <c r="S97" s="76"/>
      <c r="T97" s="356">
        <f t="shared" si="7"/>
        <v>9.3576229688401748E-14</v>
      </c>
      <c r="U97" s="76"/>
      <c r="V97" s="76"/>
      <c r="W97" s="76"/>
      <c r="X97" s="76"/>
      <c r="Y97" s="76"/>
      <c r="Z97" s="73"/>
      <c r="AA97" s="57"/>
      <c r="AB97" s="45"/>
      <c r="AC97" s="45"/>
      <c r="AD97" s="45"/>
    </row>
    <row r="98" spans="1:30" outlineLevel="3" x14ac:dyDescent="0.25">
      <c r="A98" s="45"/>
      <c r="B98" s="54"/>
      <c r="C98" s="87">
        <f t="shared" si="0"/>
        <v>4</v>
      </c>
      <c r="D98" s="73"/>
      <c r="E98" s="70"/>
      <c r="F98" s="70" t="s">
        <v>2085</v>
      </c>
      <c r="G98" s="73"/>
      <c r="H98" s="218" t="s">
        <v>2220</v>
      </c>
      <c r="I98" s="218"/>
      <c r="J98" s="218"/>
      <c r="K98" s="308">
        <v>-100</v>
      </c>
      <c r="L98" s="308"/>
      <c r="M98" s="308"/>
      <c r="N98" s="308"/>
      <c r="O98" s="218"/>
      <c r="P98" s="218"/>
      <c r="Q98" s="218"/>
      <c r="R98" s="218"/>
      <c r="S98" s="218"/>
      <c r="T98" s="357">
        <f t="shared" si="7"/>
        <v>9.3576229688401748E-14</v>
      </c>
      <c r="U98" s="218"/>
      <c r="V98" s="218"/>
      <c r="W98" s="218"/>
      <c r="X98" s="218"/>
      <c r="Y98" s="218"/>
      <c r="Z98" s="73"/>
      <c r="AA98" s="57"/>
      <c r="AB98" s="45"/>
      <c r="AC98" s="45"/>
      <c r="AD98" s="45"/>
    </row>
    <row r="99" spans="1:30" outlineLevel="3" x14ac:dyDescent="0.25">
      <c r="A99" s="45"/>
      <c r="B99" s="54"/>
      <c r="C99" s="87">
        <f t="shared" si="0"/>
        <v>4</v>
      </c>
      <c r="D99" s="73"/>
      <c r="E99" s="70"/>
      <c r="F99" s="70" t="s">
        <v>2100</v>
      </c>
      <c r="G99" s="73"/>
      <c r="H99" s="306" t="s">
        <v>2335</v>
      </c>
      <c r="I99" s="306"/>
      <c r="J99" s="306"/>
      <c r="K99" s="307">
        <v>-100</v>
      </c>
      <c r="L99" s="307"/>
      <c r="M99" s="307"/>
      <c r="N99" s="307"/>
      <c r="O99" s="306"/>
      <c r="P99" s="306"/>
      <c r="Q99" s="306"/>
      <c r="R99" s="306"/>
      <c r="S99" s="306">
        <f>S79*S89</f>
        <v>275.39999999999998</v>
      </c>
      <c r="T99" s="355">
        <f>EXP(K99*$S$99)</f>
        <v>0</v>
      </c>
      <c r="U99" s="306"/>
      <c r="V99" s="306"/>
      <c r="W99" s="306"/>
      <c r="X99" s="306"/>
      <c r="Y99" s="306"/>
      <c r="Z99" s="73"/>
      <c r="AA99" s="57"/>
      <c r="AB99" s="45"/>
      <c r="AC99" s="45"/>
      <c r="AD99" s="45"/>
    </row>
    <row r="100" spans="1:30" outlineLevel="3" x14ac:dyDescent="0.25">
      <c r="A100" s="45"/>
      <c r="B100" s="54"/>
      <c r="C100" s="87">
        <f t="shared" si="0"/>
        <v>4</v>
      </c>
      <c r="D100" s="73"/>
      <c r="E100" s="70"/>
      <c r="F100" s="70" t="s">
        <v>2101</v>
      </c>
      <c r="G100" s="73"/>
      <c r="H100" s="76" t="s">
        <v>2217</v>
      </c>
      <c r="I100" s="76"/>
      <c r="J100" s="76"/>
      <c r="K100" s="97">
        <v>-100</v>
      </c>
      <c r="L100" s="97"/>
      <c r="M100" s="97"/>
      <c r="N100" s="97"/>
      <c r="O100" s="76"/>
      <c r="P100" s="76"/>
      <c r="Q100" s="76"/>
      <c r="R100" s="76"/>
      <c r="S100" s="76"/>
      <c r="T100" s="356">
        <f t="shared" ref="T100:T108" si="8">EXP(K100*$S$99)</f>
        <v>0</v>
      </c>
      <c r="U100" s="76"/>
      <c r="V100" s="76"/>
      <c r="W100" s="76"/>
      <c r="X100" s="76"/>
      <c r="Y100" s="76"/>
      <c r="Z100" s="73"/>
      <c r="AA100" s="57"/>
      <c r="AB100" s="45"/>
      <c r="AC100" s="45"/>
      <c r="AD100" s="45"/>
    </row>
    <row r="101" spans="1:30" outlineLevel="3" x14ac:dyDescent="0.25">
      <c r="A101" s="45"/>
      <c r="B101" s="54"/>
      <c r="C101" s="87">
        <f t="shared" si="0"/>
        <v>4</v>
      </c>
      <c r="D101" s="73"/>
      <c r="E101" s="70"/>
      <c r="F101" s="70" t="s">
        <v>2102</v>
      </c>
      <c r="G101" s="73"/>
      <c r="H101" s="76" t="s">
        <v>2069</v>
      </c>
      <c r="I101" s="76"/>
      <c r="J101" s="76"/>
      <c r="K101" s="97">
        <v>-100</v>
      </c>
      <c r="L101" s="97"/>
      <c r="M101" s="97"/>
      <c r="N101" s="97"/>
      <c r="O101" s="76"/>
      <c r="P101" s="76"/>
      <c r="Q101" s="76"/>
      <c r="R101" s="76"/>
      <c r="S101" s="76"/>
      <c r="T101" s="356">
        <f t="shared" si="8"/>
        <v>0</v>
      </c>
      <c r="U101" s="76"/>
      <c r="V101" s="76"/>
      <c r="W101" s="76"/>
      <c r="X101" s="76"/>
      <c r="Y101" s="76"/>
      <c r="Z101" s="73"/>
      <c r="AA101" s="57"/>
      <c r="AB101" s="45"/>
      <c r="AC101" s="45"/>
      <c r="AD101" s="45"/>
    </row>
    <row r="102" spans="1:30" outlineLevel="3" x14ac:dyDescent="0.25">
      <c r="A102" s="45"/>
      <c r="B102" s="54"/>
      <c r="C102" s="87">
        <f t="shared" si="0"/>
        <v>4</v>
      </c>
      <c r="D102" s="73"/>
      <c r="E102" s="70"/>
      <c r="F102" s="70" t="s">
        <v>2103</v>
      </c>
      <c r="G102" s="73"/>
      <c r="H102" s="76" t="s">
        <v>2218</v>
      </c>
      <c r="I102" s="76"/>
      <c r="J102" s="76"/>
      <c r="K102" s="97">
        <v>-100</v>
      </c>
      <c r="L102" s="97"/>
      <c r="M102" s="97"/>
      <c r="N102" s="97"/>
      <c r="O102" s="76"/>
      <c r="P102" s="76"/>
      <c r="Q102" s="76"/>
      <c r="R102" s="76"/>
      <c r="S102" s="76"/>
      <c r="T102" s="356">
        <f t="shared" si="8"/>
        <v>0</v>
      </c>
      <c r="U102" s="76"/>
      <c r="V102" s="76"/>
      <c r="W102" s="76"/>
      <c r="X102" s="76"/>
      <c r="Y102" s="76"/>
      <c r="Z102" s="73"/>
      <c r="AA102" s="57"/>
      <c r="AB102" s="45"/>
      <c r="AC102" s="45"/>
      <c r="AD102" s="45"/>
    </row>
    <row r="103" spans="1:30" outlineLevel="3" x14ac:dyDescent="0.25">
      <c r="A103" s="45"/>
      <c r="B103" s="54"/>
      <c r="C103" s="87">
        <f t="shared" si="0"/>
        <v>4</v>
      </c>
      <c r="D103" s="73"/>
      <c r="E103" s="70"/>
      <c r="F103" s="70" t="s">
        <v>2104</v>
      </c>
      <c r="G103" s="73"/>
      <c r="H103" s="76" t="s">
        <v>2072</v>
      </c>
      <c r="I103" s="76"/>
      <c r="J103" s="76"/>
      <c r="K103" s="97">
        <v>-2.9999999999999997E-4</v>
      </c>
      <c r="L103" s="97"/>
      <c r="M103" s="97"/>
      <c r="N103" s="97"/>
      <c r="O103" s="76"/>
      <c r="P103" s="76"/>
      <c r="Q103" s="76"/>
      <c r="R103" s="76"/>
      <c r="S103" s="76"/>
      <c r="T103" s="356">
        <f t="shared" si="8"/>
        <v>0.92070094711383887</v>
      </c>
      <c r="U103" s="76"/>
      <c r="V103" s="76"/>
      <c r="W103" s="76"/>
      <c r="X103" s="76"/>
      <c r="Y103" s="76"/>
      <c r="Z103" s="73"/>
      <c r="AA103" s="57"/>
      <c r="AB103" s="45"/>
      <c r="AC103" s="45"/>
      <c r="AD103" s="45"/>
    </row>
    <row r="104" spans="1:30" outlineLevel="3" x14ac:dyDescent="0.25">
      <c r="A104" s="45"/>
      <c r="B104" s="54"/>
      <c r="C104" s="87">
        <f t="shared" si="0"/>
        <v>4</v>
      </c>
      <c r="D104" s="73"/>
      <c r="E104" s="70"/>
      <c r="F104" s="70" t="s">
        <v>2105</v>
      </c>
      <c r="G104" s="73"/>
      <c r="H104" s="76" t="s">
        <v>2219</v>
      </c>
      <c r="I104" s="76"/>
      <c r="J104" s="76"/>
      <c r="K104" s="97">
        <v>-2.4000000000000001E-4</v>
      </c>
      <c r="L104" s="97"/>
      <c r="M104" s="97"/>
      <c r="N104" s="97"/>
      <c r="O104" s="76"/>
      <c r="P104" s="76"/>
      <c r="Q104" s="76"/>
      <c r="R104" s="76"/>
      <c r="S104" s="76"/>
      <c r="T104" s="356">
        <f t="shared" si="8"/>
        <v>0.93604100004219981</v>
      </c>
      <c r="U104" s="76"/>
      <c r="V104" s="76"/>
      <c r="W104" s="76"/>
      <c r="X104" s="76"/>
      <c r="Y104" s="76"/>
      <c r="Z104" s="73"/>
      <c r="AA104" s="57"/>
      <c r="AB104" s="45"/>
      <c r="AC104" s="45"/>
      <c r="AD104" s="45"/>
    </row>
    <row r="105" spans="1:30" outlineLevel="3" x14ac:dyDescent="0.25">
      <c r="A105" s="45"/>
      <c r="B105" s="54"/>
      <c r="C105" s="87">
        <f t="shared" si="0"/>
        <v>4</v>
      </c>
      <c r="D105" s="73"/>
      <c r="E105" s="70"/>
      <c r="F105" s="70" t="s">
        <v>2084</v>
      </c>
      <c r="G105" s="73"/>
      <c r="H105" s="76" t="s">
        <v>2257</v>
      </c>
      <c r="I105" s="76"/>
      <c r="J105" s="76"/>
      <c r="K105" s="97">
        <v>-100</v>
      </c>
      <c r="L105" s="97"/>
      <c r="M105" s="97"/>
      <c r="N105" s="97"/>
      <c r="O105" s="76"/>
      <c r="P105" s="76"/>
      <c r="Q105" s="76"/>
      <c r="R105" s="76"/>
      <c r="S105" s="76"/>
      <c r="T105" s="356">
        <f t="shared" si="8"/>
        <v>0</v>
      </c>
      <c r="U105" s="76"/>
      <c r="V105" s="76"/>
      <c r="W105" s="76"/>
      <c r="X105" s="76"/>
      <c r="Y105" s="76"/>
      <c r="Z105" s="73"/>
      <c r="AA105" s="57"/>
      <c r="AB105" s="45"/>
      <c r="AC105" s="45"/>
      <c r="AD105" s="45"/>
    </row>
    <row r="106" spans="1:30" outlineLevel="3" x14ac:dyDescent="0.25">
      <c r="A106" s="45"/>
      <c r="B106" s="54"/>
      <c r="C106" s="87">
        <f t="shared" si="0"/>
        <v>4</v>
      </c>
      <c r="D106" s="73"/>
      <c r="E106" s="70"/>
      <c r="F106" s="70" t="s">
        <v>2093</v>
      </c>
      <c r="G106" s="73"/>
      <c r="H106" s="76" t="s">
        <v>2219</v>
      </c>
      <c r="I106" s="76"/>
      <c r="J106" s="76"/>
      <c r="K106" s="97">
        <v>-100</v>
      </c>
      <c r="L106" s="97"/>
      <c r="M106" s="97"/>
      <c r="N106" s="97"/>
      <c r="O106" s="76"/>
      <c r="P106" s="76"/>
      <c r="Q106" s="76"/>
      <c r="R106" s="76"/>
      <c r="S106" s="76"/>
      <c r="T106" s="356">
        <f t="shared" si="8"/>
        <v>0</v>
      </c>
      <c r="U106" s="76"/>
      <c r="V106" s="76"/>
      <c r="W106" s="76"/>
      <c r="X106" s="76"/>
      <c r="Y106" s="76"/>
      <c r="Z106" s="73"/>
      <c r="AA106" s="57"/>
      <c r="AB106" s="45"/>
      <c r="AC106" s="45"/>
      <c r="AD106" s="45"/>
    </row>
    <row r="107" spans="1:30" outlineLevel="3" x14ac:dyDescent="0.25">
      <c r="A107" s="45"/>
      <c r="B107" s="54"/>
      <c r="C107" s="87">
        <f t="shared" si="0"/>
        <v>4</v>
      </c>
      <c r="D107" s="73"/>
      <c r="E107" s="70"/>
      <c r="F107" s="70" t="s">
        <v>2084</v>
      </c>
      <c r="G107" s="73"/>
      <c r="H107" s="76" t="s">
        <v>2260</v>
      </c>
      <c r="I107" s="76"/>
      <c r="J107" s="76"/>
      <c r="K107" s="97">
        <v>-100</v>
      </c>
      <c r="L107" s="97"/>
      <c r="M107" s="97"/>
      <c r="N107" s="97"/>
      <c r="O107" s="76"/>
      <c r="P107" s="76"/>
      <c r="Q107" s="76"/>
      <c r="R107" s="76"/>
      <c r="S107" s="76"/>
      <c r="T107" s="356">
        <f t="shared" si="8"/>
        <v>0</v>
      </c>
      <c r="U107" s="76"/>
      <c r="V107" s="76"/>
      <c r="W107" s="76"/>
      <c r="X107" s="76"/>
      <c r="Y107" s="76"/>
      <c r="Z107" s="73"/>
      <c r="AA107" s="57"/>
      <c r="AB107" s="45"/>
      <c r="AC107" s="45"/>
      <c r="AD107" s="45"/>
    </row>
    <row r="108" spans="1:30" outlineLevel="3" x14ac:dyDescent="0.25">
      <c r="A108" s="45"/>
      <c r="B108" s="54"/>
      <c r="C108" s="87">
        <f t="shared" si="0"/>
        <v>4</v>
      </c>
      <c r="D108" s="73"/>
      <c r="E108" s="70"/>
      <c r="F108" s="70" t="s">
        <v>2085</v>
      </c>
      <c r="G108" s="73"/>
      <c r="H108" s="218" t="s">
        <v>2220</v>
      </c>
      <c r="I108" s="218"/>
      <c r="J108" s="218"/>
      <c r="K108" s="308">
        <v>-100</v>
      </c>
      <c r="L108" s="308"/>
      <c r="M108" s="308"/>
      <c r="N108" s="308"/>
      <c r="O108" s="218"/>
      <c r="P108" s="218"/>
      <c r="Q108" s="218"/>
      <c r="R108" s="218"/>
      <c r="S108" s="218"/>
      <c r="T108" s="357">
        <f t="shared" si="8"/>
        <v>0</v>
      </c>
      <c r="U108" s="218"/>
      <c r="V108" s="218"/>
      <c r="W108" s="218"/>
      <c r="X108" s="218"/>
      <c r="Y108" s="218"/>
      <c r="Z108" s="73"/>
      <c r="AA108" s="57"/>
      <c r="AB108" s="45"/>
      <c r="AC108" s="45"/>
      <c r="AD108" s="45"/>
    </row>
    <row r="109" spans="1:30" outlineLevel="3" x14ac:dyDescent="0.25">
      <c r="A109" s="45"/>
      <c r="B109" s="54"/>
      <c r="C109" s="87">
        <f t="shared" si="0"/>
        <v>4</v>
      </c>
      <c r="D109" s="73"/>
      <c r="E109" s="70"/>
      <c r="F109" s="70" t="s">
        <v>2106</v>
      </c>
      <c r="G109" s="73"/>
      <c r="H109" s="306" t="s">
        <v>2336</v>
      </c>
      <c r="I109" s="306"/>
      <c r="J109" s="306"/>
      <c r="K109" s="307">
        <v>-100</v>
      </c>
      <c r="L109" s="307"/>
      <c r="M109" s="307"/>
      <c r="N109" s="307"/>
      <c r="O109" s="306"/>
      <c r="P109" s="306"/>
      <c r="Q109" s="306"/>
      <c r="R109" s="306"/>
      <c r="S109" s="306"/>
      <c r="T109" s="358">
        <f t="shared" ref="T109:T118" si="9">EXP(K109)</f>
        <v>3.7200759760208361E-44</v>
      </c>
      <c r="U109" s="306"/>
      <c r="V109" s="306"/>
      <c r="W109" s="306"/>
      <c r="X109" s="306"/>
      <c r="Y109" s="306"/>
      <c r="Z109" s="73"/>
      <c r="AA109" s="57"/>
      <c r="AB109" s="45"/>
      <c r="AC109" s="45"/>
      <c r="AD109" s="45"/>
    </row>
    <row r="110" spans="1:30" outlineLevel="3" x14ac:dyDescent="0.25">
      <c r="A110" s="45"/>
      <c r="B110" s="54"/>
      <c r="C110" s="87">
        <f t="shared" si="0"/>
        <v>4</v>
      </c>
      <c r="D110" s="73"/>
      <c r="E110" s="70"/>
      <c r="F110" s="70" t="s">
        <v>2107</v>
      </c>
      <c r="G110" s="73"/>
      <c r="H110" s="76" t="s">
        <v>2217</v>
      </c>
      <c r="I110" s="76"/>
      <c r="J110" s="76"/>
      <c r="K110" s="97">
        <v>-100</v>
      </c>
      <c r="L110" s="97"/>
      <c r="M110" s="97"/>
      <c r="N110" s="97"/>
      <c r="O110" s="76"/>
      <c r="P110" s="76"/>
      <c r="Q110" s="76"/>
      <c r="R110" s="76"/>
      <c r="S110" s="76"/>
      <c r="T110" s="359">
        <f t="shared" si="9"/>
        <v>3.7200759760208361E-44</v>
      </c>
      <c r="U110" s="76"/>
      <c r="V110" s="76"/>
      <c r="W110" s="76"/>
      <c r="X110" s="76"/>
      <c r="Y110" s="76"/>
      <c r="Z110" s="73"/>
      <c r="AA110" s="57"/>
      <c r="AB110" s="45"/>
      <c r="AC110" s="45"/>
      <c r="AD110" s="45"/>
    </row>
    <row r="111" spans="1:30" outlineLevel="3" x14ac:dyDescent="0.25">
      <c r="A111" s="45"/>
      <c r="B111" s="54"/>
      <c r="C111" s="87">
        <f t="shared" si="0"/>
        <v>4</v>
      </c>
      <c r="D111" s="73"/>
      <c r="E111" s="70"/>
      <c r="F111" s="70" t="s">
        <v>2108</v>
      </c>
      <c r="G111" s="73"/>
      <c r="H111" s="76" t="s">
        <v>2069</v>
      </c>
      <c r="I111" s="76"/>
      <c r="J111" s="76"/>
      <c r="K111" s="97">
        <v>-100</v>
      </c>
      <c r="L111" s="97"/>
      <c r="M111" s="97"/>
      <c r="N111" s="97"/>
      <c r="O111" s="76"/>
      <c r="P111" s="76"/>
      <c r="Q111" s="76"/>
      <c r="R111" s="76"/>
      <c r="S111" s="76"/>
      <c r="T111" s="359">
        <f t="shared" si="9"/>
        <v>3.7200759760208361E-44</v>
      </c>
      <c r="U111" s="76"/>
      <c r="V111" s="76"/>
      <c r="W111" s="76"/>
      <c r="X111" s="76"/>
      <c r="Y111" s="76"/>
      <c r="Z111" s="73"/>
      <c r="AA111" s="57"/>
      <c r="AB111" s="45"/>
      <c r="AC111" s="45"/>
      <c r="AD111" s="45"/>
    </row>
    <row r="112" spans="1:30" outlineLevel="3" x14ac:dyDescent="0.25">
      <c r="A112" s="45"/>
      <c r="B112" s="54"/>
      <c r="C112" s="87">
        <f t="shared" si="0"/>
        <v>4</v>
      </c>
      <c r="D112" s="73"/>
      <c r="E112" s="70"/>
      <c r="F112" s="70" t="s">
        <v>2109</v>
      </c>
      <c r="G112" s="73"/>
      <c r="H112" s="76" t="s">
        <v>2218</v>
      </c>
      <c r="I112" s="76"/>
      <c r="J112" s="76"/>
      <c r="K112" s="97">
        <v>-100</v>
      </c>
      <c r="L112" s="97"/>
      <c r="M112" s="97"/>
      <c r="N112" s="97"/>
      <c r="O112" s="76"/>
      <c r="P112" s="76"/>
      <c r="Q112" s="76"/>
      <c r="R112" s="76"/>
      <c r="S112" s="76"/>
      <c r="T112" s="359">
        <f t="shared" si="9"/>
        <v>3.7200759760208361E-44</v>
      </c>
      <c r="U112" s="76"/>
      <c r="V112" s="76"/>
      <c r="W112" s="76"/>
      <c r="X112" s="76"/>
      <c r="Y112" s="76"/>
      <c r="Z112" s="73"/>
      <c r="AA112" s="57"/>
      <c r="AB112" s="45"/>
      <c r="AC112" s="45"/>
      <c r="AD112" s="45"/>
    </row>
    <row r="113" spans="1:30" outlineLevel="3" x14ac:dyDescent="0.25">
      <c r="A113" s="45"/>
      <c r="B113" s="54"/>
      <c r="C113" s="87">
        <f t="shared" si="0"/>
        <v>4</v>
      </c>
      <c r="D113" s="73"/>
      <c r="E113" s="70"/>
      <c r="F113" s="70" t="s">
        <v>2110</v>
      </c>
      <c r="G113" s="73"/>
      <c r="H113" s="76" t="s">
        <v>2072</v>
      </c>
      <c r="I113" s="76"/>
      <c r="J113" s="76"/>
      <c r="K113" s="97">
        <v>2.4</v>
      </c>
      <c r="L113" s="97"/>
      <c r="M113" s="97"/>
      <c r="N113" s="97"/>
      <c r="O113" s="76"/>
      <c r="P113" s="76"/>
      <c r="Q113" s="76"/>
      <c r="R113" s="76"/>
      <c r="S113" s="76"/>
      <c r="T113" s="359">
        <f t="shared" si="9"/>
        <v>11.023176380641601</v>
      </c>
      <c r="U113" s="76"/>
      <c r="V113" s="76"/>
      <c r="W113" s="76"/>
      <c r="X113" s="76"/>
      <c r="Y113" s="76"/>
      <c r="Z113" s="73"/>
      <c r="AA113" s="57"/>
      <c r="AB113" s="45"/>
      <c r="AC113" s="45"/>
      <c r="AD113" s="45"/>
    </row>
    <row r="114" spans="1:30" outlineLevel="3" x14ac:dyDescent="0.25">
      <c r="A114" s="45"/>
      <c r="B114" s="54"/>
      <c r="C114" s="87">
        <f t="shared" si="0"/>
        <v>4</v>
      </c>
      <c r="D114" s="73"/>
      <c r="E114" s="70"/>
      <c r="F114" s="70" t="s">
        <v>2111</v>
      </c>
      <c r="G114" s="73"/>
      <c r="H114" s="76" t="s">
        <v>2219</v>
      </c>
      <c r="I114" s="76"/>
      <c r="J114" s="76"/>
      <c r="K114" s="97">
        <v>1.91</v>
      </c>
      <c r="L114" s="97"/>
      <c r="M114" s="97"/>
      <c r="N114" s="97"/>
      <c r="O114" s="76"/>
      <c r="P114" s="76"/>
      <c r="Q114" s="76"/>
      <c r="R114" s="76"/>
      <c r="S114" s="76"/>
      <c r="T114" s="359">
        <f t="shared" si="9"/>
        <v>6.7530887985312864</v>
      </c>
      <c r="U114" s="76"/>
      <c r="V114" s="76"/>
      <c r="W114" s="76"/>
      <c r="X114" s="76"/>
      <c r="Y114" s="76"/>
      <c r="Z114" s="73"/>
      <c r="AA114" s="57"/>
      <c r="AB114" s="45"/>
      <c r="AC114" s="45"/>
      <c r="AD114" s="45"/>
    </row>
    <row r="115" spans="1:30" outlineLevel="3" x14ac:dyDescent="0.25">
      <c r="A115" s="45"/>
      <c r="B115" s="54"/>
      <c r="C115" s="87">
        <f t="shared" si="0"/>
        <v>4</v>
      </c>
      <c r="D115" s="73"/>
      <c r="E115" s="70"/>
      <c r="F115" s="70" t="s">
        <v>2084</v>
      </c>
      <c r="G115" s="73"/>
      <c r="H115" s="76" t="s">
        <v>2257</v>
      </c>
      <c r="I115" s="76"/>
      <c r="J115" s="76"/>
      <c r="K115" s="97">
        <v>-100</v>
      </c>
      <c r="L115" s="97"/>
      <c r="M115" s="97"/>
      <c r="N115" s="97"/>
      <c r="O115" s="76"/>
      <c r="P115" s="76"/>
      <c r="Q115" s="76"/>
      <c r="R115" s="76"/>
      <c r="S115" s="76"/>
      <c r="T115" s="359">
        <f t="shared" si="9"/>
        <v>3.7200759760208361E-44</v>
      </c>
      <c r="U115" s="76"/>
      <c r="V115" s="76"/>
      <c r="W115" s="76"/>
      <c r="X115" s="76"/>
      <c r="Y115" s="76"/>
      <c r="Z115" s="73"/>
      <c r="AA115" s="57"/>
      <c r="AB115" s="45"/>
      <c r="AC115" s="45"/>
      <c r="AD115" s="45"/>
    </row>
    <row r="116" spans="1:30" outlineLevel="3" x14ac:dyDescent="0.25">
      <c r="A116" s="45"/>
      <c r="B116" s="54"/>
      <c r="C116" s="87">
        <f t="shared" si="0"/>
        <v>4</v>
      </c>
      <c r="D116" s="73"/>
      <c r="E116" s="70"/>
      <c r="F116" s="70" t="s">
        <v>2093</v>
      </c>
      <c r="G116" s="73"/>
      <c r="H116" s="76" t="s">
        <v>2219</v>
      </c>
      <c r="I116" s="76"/>
      <c r="J116" s="76"/>
      <c r="K116" s="97">
        <v>-100</v>
      </c>
      <c r="L116" s="97"/>
      <c r="M116" s="97"/>
      <c r="N116" s="97"/>
      <c r="O116" s="76"/>
      <c r="P116" s="76"/>
      <c r="Q116" s="76"/>
      <c r="R116" s="76"/>
      <c r="S116" s="76"/>
      <c r="T116" s="359">
        <f t="shared" si="9"/>
        <v>3.7200759760208361E-44</v>
      </c>
      <c r="U116" s="76"/>
      <c r="V116" s="76"/>
      <c r="W116" s="76"/>
      <c r="X116" s="76"/>
      <c r="Y116" s="76"/>
      <c r="Z116" s="73"/>
      <c r="AA116" s="57"/>
      <c r="AB116" s="45"/>
      <c r="AC116" s="45"/>
      <c r="AD116" s="45"/>
    </row>
    <row r="117" spans="1:30" outlineLevel="3" x14ac:dyDescent="0.25">
      <c r="A117" s="45"/>
      <c r="B117" s="54"/>
      <c r="C117" s="87">
        <f t="shared" si="0"/>
        <v>4</v>
      </c>
      <c r="D117" s="73"/>
      <c r="E117" s="70"/>
      <c r="F117" s="70" t="s">
        <v>2084</v>
      </c>
      <c r="G117" s="73"/>
      <c r="H117" s="76" t="s">
        <v>2260</v>
      </c>
      <c r="I117" s="76"/>
      <c r="J117" s="76"/>
      <c r="K117" s="97">
        <v>-100</v>
      </c>
      <c r="L117" s="97"/>
      <c r="M117" s="97"/>
      <c r="N117" s="97"/>
      <c r="O117" s="76"/>
      <c r="P117" s="76"/>
      <c r="Q117" s="76"/>
      <c r="R117" s="76"/>
      <c r="S117" s="76"/>
      <c r="T117" s="359">
        <f t="shared" si="9"/>
        <v>3.7200759760208361E-44</v>
      </c>
      <c r="U117" s="76"/>
      <c r="V117" s="76"/>
      <c r="W117" s="76"/>
      <c r="X117" s="76"/>
      <c r="Y117" s="76"/>
      <c r="Z117" s="73"/>
      <c r="AA117" s="57"/>
      <c r="AB117" s="45"/>
      <c r="AC117" s="45"/>
      <c r="AD117" s="45"/>
    </row>
    <row r="118" spans="1:30" outlineLevel="3" x14ac:dyDescent="0.25">
      <c r="A118" s="45"/>
      <c r="B118" s="54"/>
      <c r="C118" s="87">
        <f t="shared" si="0"/>
        <v>4</v>
      </c>
      <c r="D118" s="73"/>
      <c r="E118" s="70"/>
      <c r="F118" s="70" t="s">
        <v>2085</v>
      </c>
      <c r="G118" s="73"/>
      <c r="H118" s="218" t="s">
        <v>2220</v>
      </c>
      <c r="I118" s="218"/>
      <c r="J118" s="218"/>
      <c r="K118" s="308">
        <v>-100</v>
      </c>
      <c r="L118" s="308"/>
      <c r="M118" s="308"/>
      <c r="N118" s="308"/>
      <c r="O118" s="218"/>
      <c r="P118" s="218"/>
      <c r="Q118" s="218"/>
      <c r="R118" s="218"/>
      <c r="S118" s="218"/>
      <c r="T118" s="360">
        <f t="shared" si="9"/>
        <v>3.7200759760208361E-44</v>
      </c>
      <c r="U118" s="218"/>
      <c r="V118" s="218"/>
      <c r="W118" s="218"/>
      <c r="X118" s="218"/>
      <c r="Y118" s="218"/>
      <c r="Z118" s="73"/>
      <c r="AA118" s="57"/>
      <c r="AB118" s="45"/>
      <c r="AC118" s="45"/>
      <c r="AD118" s="45"/>
    </row>
    <row r="119" spans="1:30" outlineLevel="3" x14ac:dyDescent="0.25">
      <c r="A119" s="45"/>
      <c r="B119" s="54"/>
      <c r="C119" s="87">
        <f t="shared" si="0"/>
        <v>4</v>
      </c>
      <c r="D119" s="73"/>
      <c r="E119" s="70"/>
      <c r="F119" s="70" t="s">
        <v>2112</v>
      </c>
      <c r="G119" s="73"/>
      <c r="H119" s="306" t="s">
        <v>2337</v>
      </c>
      <c r="I119" s="306" t="s">
        <v>2113</v>
      </c>
      <c r="J119" s="306"/>
      <c r="K119" s="307">
        <f>30/1000</f>
        <v>0.03</v>
      </c>
      <c r="L119" s="307"/>
      <c r="M119" s="307"/>
      <c r="N119" s="307"/>
      <c r="O119" s="306"/>
      <c r="P119" s="306"/>
      <c r="Q119" s="306"/>
      <c r="R119" s="306"/>
      <c r="S119" s="306">
        <f>S$79</f>
        <v>918</v>
      </c>
      <c r="T119" s="358">
        <f>(K119*$S$119)</f>
        <v>27.54</v>
      </c>
      <c r="U119" s="306"/>
      <c r="V119" s="306"/>
      <c r="W119" s="306"/>
      <c r="X119" s="306"/>
      <c r="Y119" s="306"/>
      <c r="Z119" s="73"/>
      <c r="AA119" s="57"/>
      <c r="AB119" s="45"/>
      <c r="AC119" s="45"/>
      <c r="AD119" s="45"/>
    </row>
    <row r="120" spans="1:30" outlineLevel="3" x14ac:dyDescent="0.25">
      <c r="A120" s="45"/>
      <c r="B120" s="54"/>
      <c r="C120" s="87">
        <f t="shared" si="0"/>
        <v>4</v>
      </c>
      <c r="D120" s="73"/>
      <c r="E120" s="70"/>
      <c r="F120" s="70" t="s">
        <v>2114</v>
      </c>
      <c r="G120" s="73"/>
      <c r="H120" s="76" t="s">
        <v>2217</v>
      </c>
      <c r="I120" s="76" t="s">
        <v>2113</v>
      </c>
      <c r="J120" s="76"/>
      <c r="K120" s="97">
        <f>30/1000</f>
        <v>0.03</v>
      </c>
      <c r="L120" s="97"/>
      <c r="M120" s="97"/>
      <c r="N120" s="97"/>
      <c r="O120" s="76"/>
      <c r="P120" s="76"/>
      <c r="Q120" s="76"/>
      <c r="R120" s="76"/>
      <c r="S120" s="76"/>
      <c r="T120" s="359">
        <f t="shared" ref="T120:T128" si="10">(K120*$S$119)</f>
        <v>27.54</v>
      </c>
      <c r="U120" s="76"/>
      <c r="V120" s="76"/>
      <c r="W120" s="76"/>
      <c r="X120" s="76"/>
      <c r="Y120" s="76"/>
      <c r="Z120" s="73"/>
      <c r="AA120" s="57"/>
      <c r="AB120" s="45"/>
      <c r="AC120" s="45"/>
      <c r="AD120" s="45"/>
    </row>
    <row r="121" spans="1:30" outlineLevel="3" x14ac:dyDescent="0.25">
      <c r="A121" s="45"/>
      <c r="B121" s="54"/>
      <c r="C121" s="87">
        <f t="shared" si="0"/>
        <v>4</v>
      </c>
      <c r="D121" s="73"/>
      <c r="E121" s="70"/>
      <c r="F121" s="70" t="s">
        <v>2115</v>
      </c>
      <c r="G121" s="73"/>
      <c r="H121" s="76" t="s">
        <v>2069</v>
      </c>
      <c r="I121" s="76" t="s">
        <v>2113</v>
      </c>
      <c r="J121" s="76"/>
      <c r="K121" s="97">
        <v>4.9147000000000003E-2</v>
      </c>
      <c r="L121" s="97"/>
      <c r="M121" s="97"/>
      <c r="N121" s="97"/>
      <c r="O121" s="76"/>
      <c r="P121" s="76"/>
      <c r="Q121" s="76"/>
      <c r="R121" s="76"/>
      <c r="S121" s="76"/>
      <c r="T121" s="359">
        <f t="shared" si="10"/>
        <v>45.116946000000006</v>
      </c>
      <c r="U121" s="76"/>
      <c r="V121" s="76"/>
      <c r="W121" s="76"/>
      <c r="X121" s="76"/>
      <c r="Y121" s="76"/>
      <c r="Z121" s="73"/>
      <c r="AA121" s="57"/>
      <c r="AB121" s="45"/>
      <c r="AC121" s="45"/>
      <c r="AD121" s="45"/>
    </row>
    <row r="122" spans="1:30" outlineLevel="3" x14ac:dyDescent="0.25">
      <c r="A122" s="45"/>
      <c r="B122" s="54"/>
      <c r="C122" s="87">
        <f t="shared" si="0"/>
        <v>4</v>
      </c>
      <c r="D122" s="73"/>
      <c r="E122" s="70"/>
      <c r="F122" s="70" t="s">
        <v>2116</v>
      </c>
      <c r="G122" s="73"/>
      <c r="H122" s="76" t="s">
        <v>2218</v>
      </c>
      <c r="I122" s="76" t="s">
        <v>2113</v>
      </c>
      <c r="J122" s="76"/>
      <c r="K122" s="97">
        <v>3.4518800000000002E-2</v>
      </c>
      <c r="L122" s="97"/>
      <c r="M122" s="97"/>
      <c r="N122" s="97"/>
      <c r="O122" s="76"/>
      <c r="P122" s="76"/>
      <c r="Q122" s="76"/>
      <c r="R122" s="76"/>
      <c r="S122" s="76"/>
      <c r="T122" s="359">
        <f t="shared" si="10"/>
        <v>31.688258400000002</v>
      </c>
      <c r="U122" s="76"/>
      <c r="V122" s="76"/>
      <c r="W122" s="76"/>
      <c r="X122" s="76"/>
      <c r="Y122" s="76"/>
      <c r="Z122" s="73"/>
      <c r="AA122" s="57"/>
      <c r="AB122" s="45"/>
      <c r="AC122" s="45"/>
      <c r="AD122" s="45"/>
    </row>
    <row r="123" spans="1:30" outlineLevel="3" x14ac:dyDescent="0.25">
      <c r="A123" s="45"/>
      <c r="B123" s="54"/>
      <c r="C123" s="87">
        <f t="shared" si="0"/>
        <v>4</v>
      </c>
      <c r="D123" s="73"/>
      <c r="E123" s="70"/>
      <c r="F123" s="70" t="s">
        <v>2117</v>
      </c>
      <c r="G123" s="73"/>
      <c r="H123" s="76" t="s">
        <v>2072</v>
      </c>
      <c r="I123" s="76" t="s">
        <v>2113</v>
      </c>
      <c r="J123" s="76"/>
      <c r="K123" s="97">
        <v>0</v>
      </c>
      <c r="L123" s="97"/>
      <c r="M123" s="97"/>
      <c r="N123" s="97"/>
      <c r="O123" s="76"/>
      <c r="P123" s="76"/>
      <c r="Q123" s="76"/>
      <c r="R123" s="76"/>
      <c r="S123" s="76"/>
      <c r="T123" s="359">
        <f t="shared" si="10"/>
        <v>0</v>
      </c>
      <c r="U123" s="76"/>
      <c r="V123" s="76"/>
      <c r="W123" s="76"/>
      <c r="X123" s="76"/>
      <c r="Y123" s="76"/>
      <c r="Z123" s="73"/>
      <c r="AA123" s="57"/>
      <c r="AB123" s="45"/>
      <c r="AC123" s="45"/>
      <c r="AD123" s="45"/>
    </row>
    <row r="124" spans="1:30" outlineLevel="3" x14ac:dyDescent="0.25">
      <c r="A124" s="45"/>
      <c r="B124" s="54"/>
      <c r="C124" s="87">
        <f t="shared" si="0"/>
        <v>4</v>
      </c>
      <c r="D124" s="73"/>
      <c r="E124" s="70"/>
      <c r="F124" s="70" t="s">
        <v>2118</v>
      </c>
      <c r="G124" s="73"/>
      <c r="H124" s="76" t="s">
        <v>2219</v>
      </c>
      <c r="I124" s="76" t="s">
        <v>2113</v>
      </c>
      <c r="J124" s="76"/>
      <c r="K124" s="97">
        <v>0</v>
      </c>
      <c r="L124" s="97"/>
      <c r="M124" s="97"/>
      <c r="N124" s="97"/>
      <c r="O124" s="76"/>
      <c r="P124" s="76"/>
      <c r="Q124" s="76"/>
      <c r="R124" s="76"/>
      <c r="S124" s="76"/>
      <c r="T124" s="359">
        <f t="shared" si="10"/>
        <v>0</v>
      </c>
      <c r="U124" s="76"/>
      <c r="V124" s="76"/>
      <c r="W124" s="76"/>
      <c r="X124" s="76"/>
      <c r="Y124" s="76"/>
      <c r="Z124" s="73"/>
      <c r="AA124" s="57"/>
      <c r="AB124" s="45"/>
      <c r="AC124" s="45"/>
      <c r="AD124" s="45"/>
    </row>
    <row r="125" spans="1:30" outlineLevel="3" x14ac:dyDescent="0.25">
      <c r="A125" s="45"/>
      <c r="B125" s="54"/>
      <c r="C125" s="87">
        <f t="shared" si="0"/>
        <v>4</v>
      </c>
      <c r="D125" s="73"/>
      <c r="E125" s="70"/>
      <c r="F125" s="70" t="s">
        <v>2084</v>
      </c>
      <c r="G125" s="73"/>
      <c r="H125" s="76" t="s">
        <v>2257</v>
      </c>
      <c r="I125" s="76" t="s">
        <v>2113</v>
      </c>
      <c r="J125" s="76"/>
      <c r="K125" s="97">
        <f>30/1000</f>
        <v>0.03</v>
      </c>
      <c r="L125" s="97"/>
      <c r="M125" s="97"/>
      <c r="N125" s="97"/>
      <c r="O125" s="76"/>
      <c r="P125" s="76"/>
      <c r="Q125" s="76"/>
      <c r="R125" s="76"/>
      <c r="S125" s="76"/>
      <c r="T125" s="359">
        <f t="shared" si="10"/>
        <v>27.54</v>
      </c>
      <c r="U125" s="76"/>
      <c r="V125" s="76"/>
      <c r="W125" s="76"/>
      <c r="X125" s="76"/>
      <c r="Y125" s="76"/>
      <c r="Z125" s="73"/>
      <c r="AA125" s="57"/>
      <c r="AB125" s="45"/>
      <c r="AC125" s="45"/>
      <c r="AD125" s="45"/>
    </row>
    <row r="126" spans="1:30" outlineLevel="3" x14ac:dyDescent="0.25">
      <c r="A126" s="45"/>
      <c r="B126" s="54"/>
      <c r="C126" s="87">
        <f t="shared" si="0"/>
        <v>4</v>
      </c>
      <c r="D126" s="73"/>
      <c r="E126" s="70"/>
      <c r="F126" s="70" t="s">
        <v>2093</v>
      </c>
      <c r="G126" s="73"/>
      <c r="H126" s="76" t="s">
        <v>2219</v>
      </c>
      <c r="I126" s="76" t="s">
        <v>2113</v>
      </c>
      <c r="J126" s="76"/>
      <c r="K126" s="97">
        <f>30/1000</f>
        <v>0.03</v>
      </c>
      <c r="L126" s="97"/>
      <c r="M126" s="97"/>
      <c r="N126" s="97"/>
      <c r="O126" s="76"/>
      <c r="P126" s="76"/>
      <c r="Q126" s="76"/>
      <c r="R126" s="76"/>
      <c r="S126" s="76"/>
      <c r="T126" s="359">
        <f t="shared" si="10"/>
        <v>27.54</v>
      </c>
      <c r="U126" s="76"/>
      <c r="V126" s="76"/>
      <c r="W126" s="76"/>
      <c r="X126" s="76"/>
      <c r="Y126" s="76"/>
      <c r="Z126" s="73"/>
      <c r="AA126" s="57"/>
      <c r="AB126" s="45"/>
      <c r="AC126" s="45"/>
      <c r="AD126" s="45"/>
    </row>
    <row r="127" spans="1:30" outlineLevel="3" x14ac:dyDescent="0.25">
      <c r="A127" s="45"/>
      <c r="B127" s="54"/>
      <c r="C127" s="87">
        <f t="shared" si="0"/>
        <v>4</v>
      </c>
      <c r="D127" s="73"/>
      <c r="E127" s="70"/>
      <c r="F127" s="70" t="s">
        <v>2084</v>
      </c>
      <c r="G127" s="73"/>
      <c r="H127" s="76" t="s">
        <v>2260</v>
      </c>
      <c r="I127" s="76" t="s">
        <v>2113</v>
      </c>
      <c r="J127" s="76"/>
      <c r="K127" s="97">
        <f>30/1000</f>
        <v>0.03</v>
      </c>
      <c r="L127" s="97"/>
      <c r="M127" s="97"/>
      <c r="N127" s="97"/>
      <c r="O127" s="76"/>
      <c r="P127" s="76"/>
      <c r="Q127" s="76"/>
      <c r="R127" s="76"/>
      <c r="S127" s="76"/>
      <c r="T127" s="359">
        <f t="shared" si="10"/>
        <v>27.54</v>
      </c>
      <c r="U127" s="76"/>
      <c r="V127" s="76"/>
      <c r="W127" s="76"/>
      <c r="X127" s="76"/>
      <c r="Y127" s="76"/>
      <c r="Z127" s="73"/>
      <c r="AA127" s="57"/>
      <c r="AB127" s="45"/>
      <c r="AC127" s="45"/>
      <c r="AD127" s="45"/>
    </row>
    <row r="128" spans="1:30" outlineLevel="3" x14ac:dyDescent="0.25">
      <c r="A128" s="45"/>
      <c r="B128" s="54"/>
      <c r="C128" s="87">
        <f t="shared" si="0"/>
        <v>4</v>
      </c>
      <c r="D128" s="73"/>
      <c r="E128" s="70"/>
      <c r="F128" s="70" t="s">
        <v>2085</v>
      </c>
      <c r="G128" s="73"/>
      <c r="H128" s="218" t="s">
        <v>2220</v>
      </c>
      <c r="I128" s="218" t="s">
        <v>2113</v>
      </c>
      <c r="J128" s="218"/>
      <c r="K128" s="308">
        <f>30/1000</f>
        <v>0.03</v>
      </c>
      <c r="L128" s="308"/>
      <c r="M128" s="308"/>
      <c r="N128" s="308"/>
      <c r="O128" s="218"/>
      <c r="P128" s="218"/>
      <c r="Q128" s="218"/>
      <c r="R128" s="218"/>
      <c r="S128" s="218"/>
      <c r="T128" s="360">
        <f t="shared" si="10"/>
        <v>27.54</v>
      </c>
      <c r="U128" s="218"/>
      <c r="V128" s="218"/>
      <c r="W128" s="218"/>
      <c r="X128" s="218"/>
      <c r="Y128" s="218"/>
      <c r="Z128" s="73"/>
      <c r="AA128" s="57"/>
      <c r="AB128" s="45"/>
      <c r="AC128" s="45"/>
      <c r="AD128" s="45"/>
    </row>
    <row r="129" spans="1:30" outlineLevel="3" x14ac:dyDescent="0.25">
      <c r="A129" s="45"/>
      <c r="B129" s="54"/>
      <c r="C129" s="87">
        <f t="shared" si="0"/>
        <v>4</v>
      </c>
      <c r="D129" s="73"/>
      <c r="E129" s="70"/>
      <c r="F129" s="70" t="s">
        <v>2119</v>
      </c>
      <c r="G129" s="73"/>
      <c r="H129" s="306" t="s">
        <v>2338</v>
      </c>
      <c r="I129" s="306" t="s">
        <v>2120</v>
      </c>
      <c r="J129" s="306"/>
      <c r="K129" s="307">
        <v>0</v>
      </c>
      <c r="L129" s="307"/>
      <c r="M129" s="307"/>
      <c r="N129" s="307"/>
      <c r="O129" s="306"/>
      <c r="P129" s="306"/>
      <c r="Q129" s="306"/>
      <c r="R129" s="306"/>
      <c r="S129" s="306"/>
      <c r="T129" s="358">
        <f t="shared" ref="T129:T138" si="11">(K129)</f>
        <v>0</v>
      </c>
      <c r="U129" s="306"/>
      <c r="V129" s="306"/>
      <c r="W129" s="306"/>
      <c r="X129" s="306"/>
      <c r="Y129" s="306"/>
      <c r="Z129" s="73"/>
      <c r="AA129" s="57"/>
      <c r="AB129" s="45"/>
      <c r="AC129" s="45"/>
      <c r="AD129" s="45"/>
    </row>
    <row r="130" spans="1:30" outlineLevel="3" x14ac:dyDescent="0.25">
      <c r="A130" s="45"/>
      <c r="B130" s="54"/>
      <c r="C130" s="87">
        <f t="shared" si="0"/>
        <v>4</v>
      </c>
      <c r="D130" s="73"/>
      <c r="E130" s="70"/>
      <c r="F130" s="70" t="s">
        <v>2121</v>
      </c>
      <c r="G130" s="73"/>
      <c r="H130" s="76" t="s">
        <v>2217</v>
      </c>
      <c r="I130" s="76" t="s">
        <v>2120</v>
      </c>
      <c r="J130" s="76"/>
      <c r="K130" s="97">
        <v>0</v>
      </c>
      <c r="L130" s="97"/>
      <c r="M130" s="97"/>
      <c r="N130" s="97"/>
      <c r="O130" s="76"/>
      <c r="P130" s="76"/>
      <c r="Q130" s="76"/>
      <c r="R130" s="76"/>
      <c r="S130" s="76"/>
      <c r="T130" s="359">
        <f t="shared" si="11"/>
        <v>0</v>
      </c>
      <c r="U130" s="76"/>
      <c r="V130" s="76"/>
      <c r="W130" s="76"/>
      <c r="X130" s="76"/>
      <c r="Y130" s="76"/>
      <c r="Z130" s="73"/>
      <c r="AA130" s="57"/>
      <c r="AB130" s="45"/>
      <c r="AC130" s="45"/>
      <c r="AD130" s="45"/>
    </row>
    <row r="131" spans="1:30" outlineLevel="3" x14ac:dyDescent="0.25">
      <c r="A131" s="45"/>
      <c r="B131" s="54"/>
      <c r="C131" s="87">
        <f t="shared" si="0"/>
        <v>4</v>
      </c>
      <c r="D131" s="73"/>
      <c r="E131" s="70"/>
      <c r="F131" s="70" t="s">
        <v>2122</v>
      </c>
      <c r="G131" s="73"/>
      <c r="H131" s="76" t="s">
        <v>2069</v>
      </c>
      <c r="I131" s="76" t="s">
        <v>2120</v>
      </c>
      <c r="J131" s="76"/>
      <c r="K131" s="97">
        <v>-25.44</v>
      </c>
      <c r="L131" s="97"/>
      <c r="M131" s="97"/>
      <c r="N131" s="97"/>
      <c r="O131" s="76"/>
      <c r="P131" s="76"/>
      <c r="Q131" s="76"/>
      <c r="R131" s="76"/>
      <c r="S131" s="76"/>
      <c r="T131" s="359">
        <f t="shared" si="11"/>
        <v>-25.44</v>
      </c>
      <c r="U131" s="76"/>
      <c r="V131" s="76"/>
      <c r="W131" s="76"/>
      <c r="X131" s="76"/>
      <c r="Y131" s="76"/>
      <c r="Z131" s="73"/>
      <c r="AA131" s="57"/>
      <c r="AB131" s="45"/>
      <c r="AC131" s="45"/>
      <c r="AD131" s="45"/>
    </row>
    <row r="132" spans="1:30" outlineLevel="3" x14ac:dyDescent="0.25">
      <c r="A132" s="45"/>
      <c r="B132" s="54"/>
      <c r="C132" s="87">
        <f t="shared" si="0"/>
        <v>4</v>
      </c>
      <c r="D132" s="73"/>
      <c r="E132" s="70"/>
      <c r="F132" s="70" t="s">
        <v>2123</v>
      </c>
      <c r="G132" s="73"/>
      <c r="H132" s="76" t="s">
        <v>2218</v>
      </c>
      <c r="I132" s="76" t="s">
        <v>2120</v>
      </c>
      <c r="J132" s="76"/>
      <c r="K132" s="97">
        <v>-19.876000000000001</v>
      </c>
      <c r="L132" s="97"/>
      <c r="M132" s="97"/>
      <c r="N132" s="97"/>
      <c r="O132" s="76"/>
      <c r="P132" s="76"/>
      <c r="Q132" s="76"/>
      <c r="R132" s="76"/>
      <c r="S132" s="76"/>
      <c r="T132" s="359">
        <f t="shared" si="11"/>
        <v>-19.876000000000001</v>
      </c>
      <c r="U132" s="76"/>
      <c r="V132" s="76"/>
      <c r="W132" s="76"/>
      <c r="X132" s="76"/>
      <c r="Y132" s="76"/>
      <c r="Z132" s="73"/>
      <c r="AA132" s="57"/>
      <c r="AB132" s="45"/>
      <c r="AC132" s="45"/>
      <c r="AD132" s="45"/>
    </row>
    <row r="133" spans="1:30" outlineLevel="3" x14ac:dyDescent="0.25">
      <c r="A133" s="45"/>
      <c r="B133" s="54"/>
      <c r="C133" s="87">
        <f t="shared" ref="C133:C139" si="12">INT($C$29)+3</f>
        <v>4</v>
      </c>
      <c r="D133" s="73"/>
      <c r="E133" s="70"/>
      <c r="F133" s="70" t="s">
        <v>2124</v>
      </c>
      <c r="G133" s="73"/>
      <c r="H133" s="76" t="s">
        <v>2072</v>
      </c>
      <c r="I133" s="76" t="s">
        <v>2120</v>
      </c>
      <c r="J133" s="76"/>
      <c r="K133" s="97">
        <v>0</v>
      </c>
      <c r="L133" s="97"/>
      <c r="M133" s="97"/>
      <c r="N133" s="97"/>
      <c r="O133" s="76"/>
      <c r="P133" s="76"/>
      <c r="Q133" s="76"/>
      <c r="R133" s="76"/>
      <c r="S133" s="76"/>
      <c r="T133" s="359">
        <f t="shared" si="11"/>
        <v>0</v>
      </c>
      <c r="U133" s="76"/>
      <c r="V133" s="76"/>
      <c r="W133" s="76"/>
      <c r="X133" s="76"/>
      <c r="Y133" s="76"/>
      <c r="Z133" s="73"/>
      <c r="AA133" s="57"/>
      <c r="AB133" s="45"/>
      <c r="AC133" s="45"/>
      <c r="AD133" s="45"/>
    </row>
    <row r="134" spans="1:30" outlineLevel="3" x14ac:dyDescent="0.25">
      <c r="A134" s="45"/>
      <c r="B134" s="54"/>
      <c r="C134" s="87">
        <f t="shared" si="12"/>
        <v>4</v>
      </c>
      <c r="D134" s="73"/>
      <c r="E134" s="70"/>
      <c r="F134" s="70" t="s">
        <v>2125</v>
      </c>
      <c r="G134" s="73"/>
      <c r="H134" s="76" t="s">
        <v>2219</v>
      </c>
      <c r="I134" s="76" t="s">
        <v>2120</v>
      </c>
      <c r="J134" s="76"/>
      <c r="K134" s="97">
        <v>0</v>
      </c>
      <c r="L134" s="97"/>
      <c r="M134" s="97"/>
      <c r="N134" s="97"/>
      <c r="O134" s="76"/>
      <c r="P134" s="76"/>
      <c r="Q134" s="76"/>
      <c r="R134" s="76"/>
      <c r="S134" s="76"/>
      <c r="T134" s="359">
        <f t="shared" si="11"/>
        <v>0</v>
      </c>
      <c r="U134" s="76"/>
      <c r="V134" s="76"/>
      <c r="W134" s="76"/>
      <c r="X134" s="76"/>
      <c r="Y134" s="76"/>
      <c r="Z134" s="73"/>
      <c r="AA134" s="57"/>
      <c r="AB134" s="45"/>
      <c r="AC134" s="45"/>
      <c r="AD134" s="45"/>
    </row>
    <row r="135" spans="1:30" outlineLevel="3" x14ac:dyDescent="0.25">
      <c r="A135" s="45"/>
      <c r="B135" s="54"/>
      <c r="C135" s="87">
        <f t="shared" si="12"/>
        <v>4</v>
      </c>
      <c r="D135" s="73"/>
      <c r="E135" s="70"/>
      <c r="F135" s="70" t="s">
        <v>2124</v>
      </c>
      <c r="G135" s="73"/>
      <c r="H135" s="76" t="s">
        <v>2257</v>
      </c>
      <c r="I135" s="76" t="s">
        <v>2120</v>
      </c>
      <c r="J135" s="76"/>
      <c r="K135" s="97">
        <f>K125*K74</f>
        <v>-6</v>
      </c>
      <c r="L135" s="97"/>
      <c r="M135" s="97"/>
      <c r="N135" s="97"/>
      <c r="O135" s="76"/>
      <c r="P135" s="76"/>
      <c r="Q135" s="76"/>
      <c r="R135" s="76"/>
      <c r="S135" s="76"/>
      <c r="T135" s="359">
        <f t="shared" si="11"/>
        <v>-6</v>
      </c>
      <c r="U135" s="76"/>
      <c r="V135" s="76"/>
      <c r="W135" s="76"/>
      <c r="X135" s="76"/>
      <c r="Y135" s="76"/>
      <c r="Z135" s="73"/>
      <c r="AA135" s="57"/>
      <c r="AB135" s="45"/>
      <c r="AC135" s="45"/>
      <c r="AD135" s="45"/>
    </row>
    <row r="136" spans="1:30" outlineLevel="3" x14ac:dyDescent="0.25">
      <c r="A136" s="45"/>
      <c r="B136" s="54"/>
      <c r="C136" s="87">
        <f t="shared" si="12"/>
        <v>4</v>
      </c>
      <c r="D136" s="73"/>
      <c r="E136" s="70"/>
      <c r="F136" s="70" t="s">
        <v>2093</v>
      </c>
      <c r="G136" s="73"/>
      <c r="H136" s="76" t="s">
        <v>2219</v>
      </c>
      <c r="I136" s="76" t="s">
        <v>2120</v>
      </c>
      <c r="J136" s="76"/>
      <c r="K136" s="97">
        <f>K126*K75</f>
        <v>-6</v>
      </c>
      <c r="L136" s="97"/>
      <c r="M136" s="97"/>
      <c r="N136" s="97"/>
      <c r="O136" s="76"/>
      <c r="P136" s="76"/>
      <c r="Q136" s="76"/>
      <c r="R136" s="76"/>
      <c r="S136" s="76"/>
      <c r="T136" s="359">
        <f t="shared" si="11"/>
        <v>-6</v>
      </c>
      <c r="U136" s="76"/>
      <c r="V136" s="76"/>
      <c r="W136" s="76"/>
      <c r="X136" s="76"/>
      <c r="Y136" s="76"/>
      <c r="Z136" s="73"/>
      <c r="AA136" s="57"/>
      <c r="AB136" s="45"/>
      <c r="AC136" s="45"/>
      <c r="AD136" s="45"/>
    </row>
    <row r="137" spans="1:30" outlineLevel="3" x14ac:dyDescent="0.25">
      <c r="A137" s="45"/>
      <c r="B137" s="54"/>
      <c r="C137" s="87">
        <f t="shared" si="12"/>
        <v>4</v>
      </c>
      <c r="D137" s="73"/>
      <c r="E137" s="70"/>
      <c r="F137" s="70" t="s">
        <v>2084</v>
      </c>
      <c r="G137" s="73"/>
      <c r="H137" s="76" t="s">
        <v>2260</v>
      </c>
      <c r="I137" s="76" t="s">
        <v>2120</v>
      </c>
      <c r="J137" s="76"/>
      <c r="K137" s="97">
        <f>K127*K76</f>
        <v>-3</v>
      </c>
      <c r="L137" s="97"/>
      <c r="M137" s="97"/>
      <c r="N137" s="97"/>
      <c r="O137" s="76"/>
      <c r="P137" s="76"/>
      <c r="Q137" s="76"/>
      <c r="R137" s="76"/>
      <c r="S137" s="76"/>
      <c r="T137" s="359">
        <f t="shared" si="11"/>
        <v>-3</v>
      </c>
      <c r="U137" s="76"/>
      <c r="V137" s="76"/>
      <c r="W137" s="76"/>
      <c r="X137" s="76"/>
      <c r="Y137" s="76"/>
      <c r="Z137" s="73"/>
      <c r="AA137" s="57"/>
      <c r="AB137" s="45"/>
      <c r="AC137" s="45"/>
      <c r="AD137" s="45"/>
    </row>
    <row r="138" spans="1:30" outlineLevel="3" x14ac:dyDescent="0.25">
      <c r="A138" s="45"/>
      <c r="B138" s="54"/>
      <c r="C138" s="87">
        <f t="shared" si="12"/>
        <v>4</v>
      </c>
      <c r="D138" s="73"/>
      <c r="E138" s="70"/>
      <c r="F138" s="70" t="s">
        <v>2125</v>
      </c>
      <c r="G138" s="73"/>
      <c r="H138" s="218" t="s">
        <v>2220</v>
      </c>
      <c r="I138" s="218" t="s">
        <v>2120</v>
      </c>
      <c r="J138" s="218"/>
      <c r="K138" s="308">
        <f>K128*K77</f>
        <v>-3</v>
      </c>
      <c r="L138" s="308"/>
      <c r="M138" s="308"/>
      <c r="N138" s="308"/>
      <c r="O138" s="218"/>
      <c r="P138" s="218"/>
      <c r="Q138" s="218"/>
      <c r="R138" s="218"/>
      <c r="S138" s="218"/>
      <c r="T138" s="360">
        <f t="shared" si="11"/>
        <v>-3</v>
      </c>
      <c r="U138" s="218"/>
      <c r="V138" s="218"/>
      <c r="W138" s="218"/>
      <c r="X138" s="218"/>
      <c r="Y138" s="218"/>
      <c r="Z138" s="73"/>
      <c r="AA138" s="57"/>
      <c r="AB138" s="45"/>
      <c r="AC138" s="45"/>
      <c r="AD138" s="45"/>
    </row>
    <row r="139" spans="1:30" outlineLevel="3" x14ac:dyDescent="0.25">
      <c r="A139" s="45"/>
      <c r="B139" s="54"/>
      <c r="C139" s="87">
        <f t="shared" si="12"/>
        <v>4</v>
      </c>
      <c r="D139" s="73"/>
      <c r="E139" s="70"/>
      <c r="F139" s="70"/>
      <c r="G139" s="73"/>
      <c r="H139" s="76"/>
      <c r="I139" s="76"/>
      <c r="J139" s="76"/>
      <c r="K139" s="76"/>
      <c r="L139" s="76"/>
      <c r="M139" s="76"/>
      <c r="N139" s="76"/>
      <c r="O139" s="76"/>
      <c r="P139" s="76"/>
      <c r="Q139" s="76"/>
      <c r="R139" s="76"/>
      <c r="S139" s="76"/>
      <c r="T139" s="76"/>
      <c r="U139" s="76"/>
      <c r="V139" s="76"/>
      <c r="W139" s="76"/>
      <c r="X139" s="76"/>
      <c r="Y139" s="76"/>
      <c r="Z139" s="73"/>
      <c r="AA139" s="57"/>
      <c r="AB139" s="45"/>
      <c r="AC139" s="45"/>
      <c r="AD139" s="45"/>
    </row>
    <row r="140" spans="1:30" ht="5.0999999999999996" customHeight="1" outlineLevel="3" x14ac:dyDescent="0.25">
      <c r="A140" s="45"/>
      <c r="B140" s="54"/>
      <c r="C140" s="87">
        <f>INT($C$29)+3.005</f>
        <v>4.0049999999999999</v>
      </c>
      <c r="D140" s="73"/>
      <c r="E140" s="73"/>
      <c r="F140" s="73"/>
      <c r="G140" s="73"/>
      <c r="H140" s="73"/>
      <c r="I140" s="73"/>
      <c r="J140" s="73"/>
      <c r="K140" s="73"/>
      <c r="L140" s="73"/>
      <c r="M140" s="73"/>
      <c r="N140" s="73"/>
      <c r="O140" s="73"/>
      <c r="P140" s="73"/>
      <c r="Q140" s="73"/>
      <c r="R140" s="73"/>
      <c r="S140" s="73"/>
      <c r="T140" s="73"/>
      <c r="U140" s="73"/>
      <c r="V140" s="73"/>
      <c r="W140" s="73"/>
      <c r="X140" s="73"/>
      <c r="Y140" s="73"/>
      <c r="Z140" s="73" t="s">
        <v>136</v>
      </c>
      <c r="AA140" s="57"/>
      <c r="AB140" s="45"/>
      <c r="AC140" s="45"/>
      <c r="AD140" s="45"/>
    </row>
    <row r="141" spans="1:30" ht="5.0999999999999996" customHeight="1" outlineLevel="2" x14ac:dyDescent="0.25">
      <c r="A141" s="45"/>
      <c r="B141" s="54"/>
      <c r="C141" s="87">
        <f>INT($C$29)+2.005</f>
        <v>3.0049999999999999</v>
      </c>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57"/>
      <c r="AB141" s="45"/>
      <c r="AC141" s="45"/>
      <c r="AD141" s="45"/>
    </row>
    <row r="142" spans="1:30" ht="5.0999999999999996" customHeight="1" outlineLevel="1" x14ac:dyDescent="0.25">
      <c r="A142" s="45"/>
      <c r="B142" s="81"/>
      <c r="C142" s="100">
        <f>INT($C$29)+1.005</f>
        <v>2.0049999999999999</v>
      </c>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4" t="s">
        <v>145</v>
      </c>
      <c r="AB142" s="45"/>
      <c r="AC142" s="45"/>
      <c r="AD142" s="45"/>
    </row>
    <row r="143" spans="1:30" ht="5.0999999999999996" customHeight="1" x14ac:dyDescent="0.25">
      <c r="A143" s="45"/>
      <c r="B143" s="85"/>
      <c r="C143" s="102">
        <f>INT($C$29)+0.005</f>
        <v>1.0049999999999999</v>
      </c>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45"/>
      <c r="AC143" s="45"/>
      <c r="AD143" s="45"/>
    </row>
    <row r="144" spans="1:30" outlineLevel="2" x14ac:dyDescent="0.25">
      <c r="A144" s="45"/>
      <c r="B144" s="45"/>
      <c r="C144" s="87">
        <f>INT($C$29)+2</f>
        <v>3</v>
      </c>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c r="AB144" s="45"/>
      <c r="AC144" s="45"/>
      <c r="AD144" s="45"/>
    </row>
    <row r="145" spans="1:30" x14ac:dyDescent="0.25">
      <c r="A145" s="45"/>
      <c r="B145" s="45"/>
      <c r="C145" s="46"/>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row>
    <row r="146" spans="1:30" x14ac:dyDescent="0.25">
      <c r="A146" s="45"/>
      <c r="B146" s="45"/>
      <c r="C146" s="46"/>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row>
    <row r="147" spans="1:30" x14ac:dyDescent="0.25">
      <c r="A147" s="45"/>
      <c r="B147" s="45"/>
      <c r="C147" s="46"/>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c r="AB147" s="45"/>
      <c r="AC147" s="45"/>
      <c r="AD147" s="45"/>
    </row>
    <row r="148" spans="1:30" x14ac:dyDescent="0.25">
      <c r="A148" s="45"/>
      <c r="B148" s="45"/>
      <c r="C148" s="46"/>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row>
    <row r="149" spans="1:30" x14ac:dyDescent="0.25">
      <c r="A149" s="45"/>
      <c r="B149" s="45"/>
      <c r="C149" s="46"/>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c r="AB149" s="45"/>
      <c r="AC149" s="45"/>
      <c r="AD149" s="45"/>
    </row>
    <row r="150" spans="1:30" x14ac:dyDescent="0.25">
      <c r="A150" s="45"/>
      <c r="B150" s="45"/>
      <c r="C150" s="46"/>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c r="AB150" s="45"/>
      <c r="AC150" s="45"/>
      <c r="AD150" s="45"/>
    </row>
    <row r="151" spans="1:30" x14ac:dyDescent="0.25">
      <c r="C151" s="233" t="s">
        <v>419</v>
      </c>
    </row>
  </sheetData>
  <mergeCells count="2">
    <mergeCell ref="J11:X11"/>
    <mergeCell ref="J12:X12"/>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CB3BF-D039-4C99-9E77-946FA99C1AAC}">
  <sheetPr codeName="Sheet4"/>
  <dimension ref="A2:C35"/>
  <sheetViews>
    <sheetView workbookViewId="0">
      <selection activeCell="B6" sqref="B6"/>
    </sheetView>
  </sheetViews>
  <sheetFormatPr defaultColWidth="8.85546875" defaultRowHeight="15" x14ac:dyDescent="0.25"/>
  <cols>
    <col min="1" max="1" width="24.140625" style="1" bestFit="1" customWidth="1"/>
    <col min="2" max="2" width="10.5703125" style="1" bestFit="1" customWidth="1"/>
    <col min="3" max="3" width="10.7109375" style="1" bestFit="1" customWidth="1"/>
    <col min="4" max="16384" width="8.85546875" style="1"/>
  </cols>
  <sheetData>
    <row r="2" spans="1:3" x14ac:dyDescent="0.25">
      <c r="A2" s="3" t="s">
        <v>34</v>
      </c>
    </row>
    <row r="3" spans="1:3" x14ac:dyDescent="0.25">
      <c r="A3" t="s">
        <v>2878</v>
      </c>
      <c r="B3" s="487">
        <v>6.9999999999999994E-5</v>
      </c>
      <c r="C3" s="1" t="s">
        <v>2882</v>
      </c>
    </row>
    <row r="4" spans="1:3" x14ac:dyDescent="0.25">
      <c r="A4" t="s">
        <v>2879</v>
      </c>
      <c r="B4" s="487">
        <v>1.2999999999999999E-4</v>
      </c>
      <c r="C4" s="1" t="s">
        <v>2883</v>
      </c>
    </row>
    <row r="5" spans="1:3" x14ac:dyDescent="0.25">
      <c r="A5" t="s">
        <v>2880</v>
      </c>
      <c r="B5" s="487">
        <v>1.9000000000000001E-4</v>
      </c>
      <c r="C5" s="1" t="s">
        <v>2884</v>
      </c>
    </row>
    <row r="6" spans="1:3" x14ac:dyDescent="0.25">
      <c r="A6" t="s">
        <v>2881</v>
      </c>
      <c r="B6" s="487">
        <v>1.9000000000000001E-4</v>
      </c>
      <c r="C6" s="1" t="s">
        <v>2883</v>
      </c>
    </row>
    <row r="8" spans="1:3" x14ac:dyDescent="0.25">
      <c r="A8" s="3" t="s">
        <v>56</v>
      </c>
    </row>
    <row r="9" spans="1:3" x14ac:dyDescent="0.25">
      <c r="A9" t="s">
        <v>57</v>
      </c>
      <c r="B9">
        <v>7</v>
      </c>
    </row>
    <row r="10" spans="1:3" ht="9.6" customHeight="1" x14ac:dyDescent="0.25">
      <c r="A10" s="3"/>
    </row>
    <row r="12" spans="1:3" x14ac:dyDescent="0.25">
      <c r="A12" s="3" t="s">
        <v>55</v>
      </c>
    </row>
    <row r="13" spans="1:3" ht="6.6" customHeight="1" x14ac:dyDescent="0.25"/>
    <row r="14" spans="1:3" x14ac:dyDescent="0.25">
      <c r="A14" t="s">
        <v>2890</v>
      </c>
      <c r="B14"/>
    </row>
    <row r="15" spans="1:3" x14ac:dyDescent="0.25">
      <c r="A15" s="341" t="str">
        <f>General!G66</f>
        <v>b</v>
      </c>
      <c r="B15">
        <v>20</v>
      </c>
      <c r="C15" s="1" t="s">
        <v>2888</v>
      </c>
    </row>
    <row r="16" spans="1:3" x14ac:dyDescent="0.25">
      <c r="A16" s="341" t="str">
        <f>General!G67</f>
        <v>bd</v>
      </c>
      <c r="B16">
        <v>20</v>
      </c>
      <c r="C16" s="1" t="s">
        <v>2888</v>
      </c>
    </row>
    <row r="17" spans="1:3" x14ac:dyDescent="0.25">
      <c r="A17" s="341" t="str">
        <f>General!G68</f>
        <v>f</v>
      </c>
      <c r="B17">
        <v>7</v>
      </c>
      <c r="C17" s="1" t="s">
        <v>2888</v>
      </c>
    </row>
    <row r="18" spans="1:3" x14ac:dyDescent="0.25">
      <c r="A18" s="341" t="str">
        <f>General!G69</f>
        <v>h</v>
      </c>
      <c r="B18">
        <v>20</v>
      </c>
      <c r="C18" s="1" t="s">
        <v>2888</v>
      </c>
    </row>
    <row r="19" spans="1:3" x14ac:dyDescent="0.25">
      <c r="A19" s="341" t="str">
        <f>General!G70</f>
        <v>i</v>
      </c>
      <c r="B19">
        <v>7</v>
      </c>
      <c r="C19" s="1" t="s">
        <v>2888</v>
      </c>
    </row>
    <row r="20" spans="1:3" x14ac:dyDescent="0.25">
      <c r="A20" s="341" t="str">
        <f>General!G71</f>
        <v>k</v>
      </c>
      <c r="B20">
        <v>7</v>
      </c>
      <c r="C20" s="1" t="s">
        <v>2888</v>
      </c>
    </row>
    <row r="21" spans="1:3" x14ac:dyDescent="0.25">
      <c r="A21" s="341" t="str">
        <f>General!G72</f>
        <v>l</v>
      </c>
      <c r="B21">
        <v>7</v>
      </c>
      <c r="C21" s="1" t="s">
        <v>2888</v>
      </c>
    </row>
    <row r="22" spans="1:3" x14ac:dyDescent="0.25">
      <c r="A22" s="341" t="str">
        <f>General!G73</f>
        <v>lf</v>
      </c>
      <c r="B22">
        <v>7</v>
      </c>
      <c r="C22" s="1" t="s">
        <v>2888</v>
      </c>
    </row>
    <row r="23" spans="1:3" x14ac:dyDescent="0.25">
      <c r="A23" s="341" t="str">
        <f>General!G74</f>
        <v>ms</v>
      </c>
      <c r="B23" s="524">
        <f>0.65*B15+0.35*B21</f>
        <v>15.45</v>
      </c>
      <c r="C23" s="1" t="s">
        <v>2888</v>
      </c>
    </row>
    <row r="24" spans="1:3" x14ac:dyDescent="0.25">
      <c r="A24" s="341" t="str">
        <f>General!G75</f>
        <v>o</v>
      </c>
      <c r="B24">
        <v>20</v>
      </c>
      <c r="C24" s="1" t="s">
        <v>2888</v>
      </c>
    </row>
    <row r="25" spans="1:3" x14ac:dyDescent="0.25">
      <c r="A25" s="341" t="str">
        <f>General!G76</f>
        <v>od</v>
      </c>
      <c r="B25">
        <v>20</v>
      </c>
      <c r="C25" s="1" t="s">
        <v>2888</v>
      </c>
    </row>
    <row r="26" spans="1:3" x14ac:dyDescent="0.25">
      <c r="A26" s="341" t="str">
        <f>General!G77</f>
        <v>of</v>
      </c>
      <c r="B26">
        <v>20</v>
      </c>
      <c r="C26" s="1" t="s">
        <v>2888</v>
      </c>
    </row>
    <row r="27" spans="1:3" x14ac:dyDescent="0.25">
      <c r="A27" s="341" t="str">
        <f>General!G78</f>
        <v>r</v>
      </c>
      <c r="B27">
        <v>7</v>
      </c>
      <c r="C27" s="1" t="s">
        <v>2888</v>
      </c>
    </row>
    <row r="28" spans="1:3" x14ac:dyDescent="0.25">
      <c r="A28" s="341" t="str">
        <f>General!G79</f>
        <v>rd</v>
      </c>
      <c r="B28">
        <v>7</v>
      </c>
      <c r="C28" s="1" t="s">
        <v>2888</v>
      </c>
    </row>
    <row r="29" spans="1:3" x14ac:dyDescent="0.25">
      <c r="A29" s="341" t="str">
        <f>General!G80</f>
        <v>v</v>
      </c>
      <c r="B29">
        <v>7</v>
      </c>
      <c r="C29" s="1" t="s">
        <v>2888</v>
      </c>
    </row>
    <row r="30" spans="1:3" x14ac:dyDescent="0.25">
      <c r="A30" s="341" t="str">
        <f>General!G81</f>
        <v>w</v>
      </c>
      <c r="B30">
        <v>20</v>
      </c>
      <c r="C30" s="1" t="s">
        <v>2888</v>
      </c>
    </row>
    <row r="31" spans="1:3" x14ac:dyDescent="0.25">
      <c r="A31" s="341" t="str">
        <f>General!G82</f>
        <v>wd</v>
      </c>
      <c r="B31">
        <v>20</v>
      </c>
      <c r="C31" s="1" t="s">
        <v>2888</v>
      </c>
    </row>
    <row r="32" spans="1:3" x14ac:dyDescent="0.25">
      <c r="A32" s="341" t="str">
        <f>General!G83</f>
        <v>z</v>
      </c>
      <c r="B32">
        <v>7</v>
      </c>
      <c r="C32" s="1" t="s">
        <v>2888</v>
      </c>
    </row>
    <row r="33" spans="1:3" x14ac:dyDescent="0.25">
      <c r="A33" s="341" t="str">
        <f>General!G84</f>
        <v>zd</v>
      </c>
      <c r="B33">
        <v>7</v>
      </c>
      <c r="C33" s="1" t="s">
        <v>2888</v>
      </c>
    </row>
    <row r="35" spans="1:3" x14ac:dyDescent="0.25">
      <c r="A35" t="s">
        <v>80</v>
      </c>
      <c r="B35" s="381">
        <f>MIN(364,INT((C35 - DATE(YEAR(C35),1,1))))</f>
        <v>88</v>
      </c>
      <c r="C35" s="4">
        <v>43554</v>
      </c>
    </row>
  </sheetData>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FA9A-1421-473B-BEA0-7AA8EA132EC0}">
  <sheetPr codeName="Sheet10"/>
  <dimension ref="A10:Q175"/>
  <sheetViews>
    <sheetView topLeftCell="A7" workbookViewId="0">
      <selection activeCell="B36" sqref="B36"/>
    </sheetView>
  </sheetViews>
  <sheetFormatPr defaultColWidth="8.85546875" defaultRowHeight="15" x14ac:dyDescent="0.25"/>
  <cols>
    <col min="1" max="1" width="26" style="1" bestFit="1" customWidth="1"/>
    <col min="2" max="2" width="13.85546875" style="1" customWidth="1"/>
    <col min="3" max="3" width="11.140625" style="1" customWidth="1"/>
    <col min="4" max="4" width="11" style="1" customWidth="1"/>
    <col min="5" max="5" width="12.42578125" style="1" customWidth="1"/>
    <col min="6" max="16384" width="8.85546875" style="1"/>
  </cols>
  <sheetData>
    <row r="10" spans="1:17" x14ac:dyDescent="0.25">
      <c r="A10" s="3" t="s">
        <v>2135</v>
      </c>
    </row>
    <row r="11" spans="1:17" x14ac:dyDescent="0.25">
      <c r="A11" t="s">
        <v>70</v>
      </c>
      <c r="B11" t="s">
        <v>71</v>
      </c>
      <c r="C11" t="s">
        <v>120</v>
      </c>
      <c r="D11" t="s">
        <v>121</v>
      </c>
      <c r="E11" t="s">
        <v>2885</v>
      </c>
      <c r="F11" t="s">
        <v>2886</v>
      </c>
    </row>
    <row r="12" spans="1:17" x14ac:dyDescent="0.25">
      <c r="A12" t="s">
        <v>2756</v>
      </c>
      <c r="B12">
        <v>188000</v>
      </c>
      <c r="C12" s="44">
        <v>1</v>
      </c>
      <c r="D12" s="44">
        <v>0</v>
      </c>
      <c r="E12" s="44">
        <v>0</v>
      </c>
      <c r="F12" s="44">
        <v>0</v>
      </c>
    </row>
    <row r="13" spans="1:17" x14ac:dyDescent="0.25">
      <c r="A13" t="s">
        <v>2754</v>
      </c>
      <c r="B13">
        <v>87000</v>
      </c>
      <c r="C13" s="44">
        <v>1</v>
      </c>
      <c r="D13" s="44">
        <v>0</v>
      </c>
      <c r="E13" s="44">
        <v>0</v>
      </c>
      <c r="F13" s="44">
        <v>0</v>
      </c>
    </row>
    <row r="14" spans="1:17" x14ac:dyDescent="0.25">
      <c r="A14" t="s">
        <v>2755</v>
      </c>
      <c r="B14">
        <v>297000</v>
      </c>
      <c r="C14" s="44">
        <v>0</v>
      </c>
      <c r="D14" s="44">
        <v>1</v>
      </c>
      <c r="E14" s="44">
        <v>0</v>
      </c>
      <c r="F14" s="44">
        <v>0</v>
      </c>
    </row>
    <row r="15" spans="1:17" x14ac:dyDescent="0.25">
      <c r="A15" t="s">
        <v>119</v>
      </c>
      <c r="B15">
        <v>30000</v>
      </c>
      <c r="C15" s="44">
        <v>0</v>
      </c>
      <c r="D15" s="44">
        <v>1</v>
      </c>
      <c r="E15" s="44">
        <v>0</v>
      </c>
      <c r="F15" s="44">
        <v>0</v>
      </c>
      <c r="Q15" s="477"/>
    </row>
    <row r="16" spans="1:17" x14ac:dyDescent="0.25">
      <c r="A16" t="s">
        <v>2757</v>
      </c>
      <c r="B16">
        <v>188000</v>
      </c>
      <c r="C16" s="44">
        <v>0</v>
      </c>
      <c r="D16" s="44">
        <v>0.3</v>
      </c>
      <c r="E16" s="44">
        <v>0</v>
      </c>
      <c r="F16" s="44">
        <v>1</v>
      </c>
    </row>
    <row r="17" spans="1:6" x14ac:dyDescent="0.25">
      <c r="A17" t="s">
        <v>23</v>
      </c>
      <c r="B17">
        <v>350000</v>
      </c>
      <c r="C17" s="44">
        <v>0</v>
      </c>
      <c r="D17" s="44">
        <v>0</v>
      </c>
      <c r="E17" s="44">
        <v>1</v>
      </c>
      <c r="F17" s="44">
        <v>0</v>
      </c>
    </row>
    <row r="18" spans="1:6" x14ac:dyDescent="0.25">
      <c r="A18" t="s">
        <v>24</v>
      </c>
      <c r="B18">
        <v>35000</v>
      </c>
      <c r="C18" s="44">
        <v>0</v>
      </c>
      <c r="D18" s="44">
        <v>0</v>
      </c>
      <c r="E18" s="44">
        <v>0</v>
      </c>
      <c r="F18" s="44">
        <v>1</v>
      </c>
    </row>
    <row r="19" spans="1:6" x14ac:dyDescent="0.25">
      <c r="A19" t="s">
        <v>25</v>
      </c>
      <c r="B19">
        <v>15000</v>
      </c>
      <c r="C19" s="44">
        <v>0</v>
      </c>
      <c r="D19" s="44">
        <v>0</v>
      </c>
      <c r="E19" s="44">
        <v>0</v>
      </c>
      <c r="F19" s="44">
        <v>0</v>
      </c>
    </row>
    <row r="20" spans="1:6" x14ac:dyDescent="0.25">
      <c r="A20" t="s">
        <v>26</v>
      </c>
      <c r="B20">
        <v>10000</v>
      </c>
      <c r="C20" s="44">
        <v>0</v>
      </c>
      <c r="D20" s="44">
        <v>0</v>
      </c>
      <c r="E20" s="44">
        <v>0</v>
      </c>
      <c r="F20" s="44">
        <v>0</v>
      </c>
    </row>
    <row r="21" spans="1:6" x14ac:dyDescent="0.25">
      <c r="A21" t="s">
        <v>27</v>
      </c>
      <c r="B21">
        <v>75000</v>
      </c>
      <c r="C21" s="44">
        <v>0</v>
      </c>
      <c r="D21" s="44">
        <v>0</v>
      </c>
      <c r="E21" s="44">
        <v>0</v>
      </c>
      <c r="F21" s="44">
        <v>0</v>
      </c>
    </row>
    <row r="22" spans="1:6" x14ac:dyDescent="0.25">
      <c r="A22" t="s">
        <v>28</v>
      </c>
      <c r="B22">
        <v>36000</v>
      </c>
      <c r="C22" s="44">
        <v>0.15</v>
      </c>
      <c r="D22" s="44">
        <v>0.3</v>
      </c>
      <c r="E22" s="44">
        <v>0</v>
      </c>
      <c r="F22" s="44">
        <v>0.15</v>
      </c>
    </row>
    <row r="23" spans="1:6" x14ac:dyDescent="0.25">
      <c r="A23" t="s">
        <v>2759</v>
      </c>
      <c r="B23">
        <v>78000</v>
      </c>
      <c r="C23" s="44">
        <v>0</v>
      </c>
      <c r="D23" s="44">
        <v>1</v>
      </c>
      <c r="E23" s="44">
        <v>0</v>
      </c>
      <c r="F23" s="44">
        <v>0</v>
      </c>
    </row>
    <row r="24" spans="1:6" x14ac:dyDescent="0.25">
      <c r="A24" t="s">
        <v>30</v>
      </c>
      <c r="B24">
        <v>22000</v>
      </c>
      <c r="C24" s="44">
        <v>0</v>
      </c>
      <c r="D24" s="44">
        <v>0.05</v>
      </c>
      <c r="E24" s="44">
        <v>0</v>
      </c>
      <c r="F24" s="44">
        <v>0</v>
      </c>
    </row>
    <row r="25" spans="1:6" x14ac:dyDescent="0.25">
      <c r="A25" t="s">
        <v>2758</v>
      </c>
      <c r="B25">
        <v>50000</v>
      </c>
      <c r="C25" s="44">
        <v>0.05</v>
      </c>
      <c r="D25" s="44">
        <v>0.05</v>
      </c>
      <c r="E25" s="44">
        <v>0.05</v>
      </c>
      <c r="F25" s="44">
        <v>0.05</v>
      </c>
    </row>
    <row r="26" spans="1:6" x14ac:dyDescent="0.25">
      <c r="A26" t="s">
        <v>32</v>
      </c>
      <c r="B26">
        <v>36000</v>
      </c>
      <c r="C26" s="44">
        <v>0</v>
      </c>
      <c r="D26" s="44">
        <v>0</v>
      </c>
      <c r="E26" s="44">
        <v>0</v>
      </c>
      <c r="F26" s="44">
        <v>0</v>
      </c>
    </row>
    <row r="27" spans="1:6" x14ac:dyDescent="0.25">
      <c r="B27" s="369">
        <f>SUM(B12:B26)</f>
        <v>1497000</v>
      </c>
    </row>
    <row r="29" spans="1:6" x14ac:dyDescent="0.25">
      <c r="A29" s="3" t="s">
        <v>33</v>
      </c>
    </row>
    <row r="30" spans="1:6" x14ac:dyDescent="0.25">
      <c r="A30" t="s">
        <v>2752</v>
      </c>
      <c r="B30" s="432">
        <v>1</v>
      </c>
    </row>
    <row r="31" spans="1:6" ht="7.35" customHeight="1" x14ac:dyDescent="0.25"/>
    <row r="32" spans="1:6" x14ac:dyDescent="0.25">
      <c r="A32" t="s">
        <v>2892</v>
      </c>
      <c r="B32">
        <v>8.6999999999999993</v>
      </c>
      <c r="C32" s="1" t="s">
        <v>2891</v>
      </c>
    </row>
    <row r="33" spans="1:3" ht="7.15" customHeight="1" x14ac:dyDescent="0.25"/>
    <row r="34" spans="1:3" x14ac:dyDescent="0.25">
      <c r="A34" t="s">
        <v>3267</v>
      </c>
      <c r="B34">
        <v>50</v>
      </c>
      <c r="C34" s="1" t="s">
        <v>2894</v>
      </c>
    </row>
    <row r="35" spans="1:3" ht="7.15" customHeight="1" x14ac:dyDescent="0.25"/>
    <row r="36" spans="1:3" x14ac:dyDescent="0.25">
      <c r="A36" t="s">
        <v>3268</v>
      </c>
      <c r="B36">
        <v>60</v>
      </c>
      <c r="C36" s="1" t="s">
        <v>3270</v>
      </c>
    </row>
    <row r="37" spans="1:3" ht="7.15" customHeight="1" x14ac:dyDescent="0.25"/>
    <row r="38" spans="1:3" x14ac:dyDescent="0.25">
      <c r="A38" t="s">
        <v>54</v>
      </c>
      <c r="B38"/>
    </row>
    <row r="39" spans="1:3" x14ac:dyDescent="0.25">
      <c r="A39" s="341" t="str">
        <f>General!I66</f>
        <v>a</v>
      </c>
      <c r="B39">
        <v>1</v>
      </c>
    </row>
    <row r="40" spans="1:3" x14ac:dyDescent="0.25">
      <c r="A40" s="341" t="str">
        <f>General!I67</f>
        <v>a2</v>
      </c>
      <c r="B40">
        <v>1</v>
      </c>
    </row>
    <row r="41" spans="1:3" x14ac:dyDescent="0.25">
      <c r="A41" s="341" t="str">
        <f>General!I68</f>
        <v>b</v>
      </c>
      <c r="B41">
        <v>1</v>
      </c>
    </row>
    <row r="42" spans="1:3" x14ac:dyDescent="0.25">
      <c r="A42" s="341" t="str">
        <f>General!I69</f>
        <v>bd</v>
      </c>
      <c r="B42">
        <v>1</v>
      </c>
    </row>
    <row r="43" spans="1:3" x14ac:dyDescent="0.25">
      <c r="A43" s="341" t="str">
        <f>General!I70</f>
        <v>f</v>
      </c>
      <c r="B43">
        <v>1</v>
      </c>
    </row>
    <row r="44" spans="1:3" x14ac:dyDescent="0.25">
      <c r="A44" s="341" t="str">
        <f>General!I71</f>
        <v>h</v>
      </c>
      <c r="B44">
        <v>1</v>
      </c>
    </row>
    <row r="45" spans="1:3" x14ac:dyDescent="0.25">
      <c r="A45" s="341" t="str">
        <f>General!I72</f>
        <v>i</v>
      </c>
      <c r="B45">
        <v>1</v>
      </c>
    </row>
    <row r="46" spans="1:3" x14ac:dyDescent="0.25">
      <c r="A46" s="341" t="str">
        <f>General!I73</f>
        <v>j</v>
      </c>
      <c r="B46">
        <v>1</v>
      </c>
    </row>
    <row r="47" spans="1:3" x14ac:dyDescent="0.25">
      <c r="A47" s="341" t="str">
        <f>General!I74</f>
        <v>jc</v>
      </c>
      <c r="B47">
        <v>1</v>
      </c>
    </row>
    <row r="48" spans="1:3" x14ac:dyDescent="0.25">
      <c r="A48" s="341" t="str">
        <f>General!I75</f>
        <v>k</v>
      </c>
      <c r="B48">
        <v>1</v>
      </c>
    </row>
    <row r="49" spans="1:2" x14ac:dyDescent="0.25">
      <c r="A49" s="341" t="str">
        <f>General!I76</f>
        <v>l</v>
      </c>
      <c r="B49">
        <v>1</v>
      </c>
    </row>
    <row r="50" spans="1:2" x14ac:dyDescent="0.25">
      <c r="A50" s="341" t="str">
        <f>General!I77</f>
        <v>lf</v>
      </c>
      <c r="B50">
        <v>1</v>
      </c>
    </row>
    <row r="51" spans="1:2" x14ac:dyDescent="0.25">
      <c r="A51" s="341" t="str">
        <f>General!I78</f>
        <v>m</v>
      </c>
      <c r="B51">
        <v>1</v>
      </c>
    </row>
    <row r="52" spans="1:2" x14ac:dyDescent="0.25">
      <c r="A52" s="341" t="str">
        <f>General!I79</f>
        <v>ms</v>
      </c>
      <c r="B52">
        <v>1</v>
      </c>
    </row>
    <row r="53" spans="1:2" x14ac:dyDescent="0.25">
      <c r="A53" s="341" t="str">
        <f>General!I80</f>
        <v>o</v>
      </c>
      <c r="B53">
        <v>1</v>
      </c>
    </row>
    <row r="54" spans="1:2" x14ac:dyDescent="0.25">
      <c r="A54" s="341" t="str">
        <f>General!I81</f>
        <v>od</v>
      </c>
      <c r="B54">
        <v>1</v>
      </c>
    </row>
    <row r="55" spans="1:2" x14ac:dyDescent="0.25">
      <c r="A55" s="341" t="str">
        <f>General!I82</f>
        <v>of</v>
      </c>
      <c r="B55">
        <v>1</v>
      </c>
    </row>
    <row r="56" spans="1:2" x14ac:dyDescent="0.25">
      <c r="A56" s="341" t="str">
        <f>General!I83</f>
        <v>r</v>
      </c>
      <c r="B56">
        <v>1</v>
      </c>
    </row>
    <row r="57" spans="1:2" x14ac:dyDescent="0.25">
      <c r="A57" s="341" t="str">
        <f>General!I84</f>
        <v>rd</v>
      </c>
      <c r="B57">
        <v>1</v>
      </c>
    </row>
    <row r="58" spans="1:2" x14ac:dyDescent="0.25">
      <c r="A58" s="341" t="str">
        <f>General!I85</f>
        <v>s</v>
      </c>
      <c r="B58">
        <v>1</v>
      </c>
    </row>
    <row r="59" spans="1:2" x14ac:dyDescent="0.25">
      <c r="A59" s="341" t="str">
        <f>General!I86</f>
        <v>sp</v>
      </c>
      <c r="B59">
        <v>1</v>
      </c>
    </row>
    <row r="60" spans="1:2" x14ac:dyDescent="0.25">
      <c r="A60" s="341" t="str">
        <f>General!I87</f>
        <v>t</v>
      </c>
      <c r="B60">
        <v>1</v>
      </c>
    </row>
    <row r="61" spans="1:2" x14ac:dyDescent="0.25">
      <c r="A61" s="341" t="str">
        <f>General!I88</f>
        <v>tc</v>
      </c>
      <c r="B61">
        <v>1</v>
      </c>
    </row>
    <row r="62" spans="1:2" x14ac:dyDescent="0.25">
      <c r="A62" s="341" t="str">
        <f>General!I89</f>
        <v>u</v>
      </c>
      <c r="B62">
        <v>1</v>
      </c>
    </row>
    <row r="63" spans="1:2" x14ac:dyDescent="0.25">
      <c r="A63" s="341" t="str">
        <f>General!I90</f>
        <v>uc</v>
      </c>
      <c r="B63">
        <v>1</v>
      </c>
    </row>
    <row r="64" spans="1:2" x14ac:dyDescent="0.25">
      <c r="A64" s="341" t="str">
        <f>General!I91</f>
        <v>v</v>
      </c>
      <c r="B64">
        <v>1</v>
      </c>
    </row>
    <row r="65" spans="1:5" x14ac:dyDescent="0.25">
      <c r="A65" s="341" t="str">
        <f>General!I92</f>
        <v>w</v>
      </c>
      <c r="B65">
        <v>1</v>
      </c>
    </row>
    <row r="66" spans="1:5" x14ac:dyDescent="0.25">
      <c r="A66" s="341" t="str">
        <f>General!I93</f>
        <v>wd</v>
      </c>
      <c r="B66">
        <v>1</v>
      </c>
    </row>
    <row r="67" spans="1:5" x14ac:dyDescent="0.25">
      <c r="A67" s="341" t="str">
        <f>General!I94</f>
        <v>x</v>
      </c>
      <c r="B67">
        <v>1</v>
      </c>
    </row>
    <row r="68" spans="1:5" x14ac:dyDescent="0.25">
      <c r="A68" s="341" t="str">
        <f>General!I95</f>
        <v>xc</v>
      </c>
      <c r="B68">
        <v>1</v>
      </c>
    </row>
    <row r="69" spans="1:5" x14ac:dyDescent="0.25">
      <c r="A69" s="341" t="str">
        <f>General!I96</f>
        <v>z</v>
      </c>
      <c r="B69">
        <v>1</v>
      </c>
    </row>
    <row r="70" spans="1:5" x14ac:dyDescent="0.25">
      <c r="A70" s="341" t="str">
        <f>General!I97</f>
        <v>zd</v>
      </c>
      <c r="B70">
        <v>1</v>
      </c>
    </row>
    <row r="72" spans="1:5" x14ac:dyDescent="0.25">
      <c r="A72" s="3" t="s">
        <v>35</v>
      </c>
    </row>
    <row r="73" spans="1:5" x14ac:dyDescent="0.25">
      <c r="A73" t="s">
        <v>2753</v>
      </c>
      <c r="B73" s="432">
        <v>1</v>
      </c>
    </row>
    <row r="74" spans="1:5" ht="7.35" customHeight="1" x14ac:dyDescent="0.25"/>
    <row r="75" spans="1:5" x14ac:dyDescent="0.25">
      <c r="A75" t="s">
        <v>2877</v>
      </c>
      <c r="B75">
        <v>63</v>
      </c>
    </row>
    <row r="76" spans="1:5" ht="7.15" customHeight="1" x14ac:dyDescent="0.25"/>
    <row r="77" spans="1:5" x14ac:dyDescent="0.25">
      <c r="A77" t="s">
        <v>3271</v>
      </c>
      <c r="B77">
        <f>0.3*harvest_maint</f>
        <v>16.5</v>
      </c>
      <c r="C77" s="1" t="s">
        <v>3272</v>
      </c>
    </row>
    <row r="78" spans="1:5" ht="7.15" customHeight="1" x14ac:dyDescent="0.25"/>
    <row r="79" spans="1:5" x14ac:dyDescent="0.25">
      <c r="A79" t="s">
        <v>2887</v>
      </c>
      <c r="B79"/>
    </row>
    <row r="80" spans="1:5" x14ac:dyDescent="0.25">
      <c r="A80" s="341" t="str">
        <f>General!G66</f>
        <v>b</v>
      </c>
      <c r="B80">
        <v>20</v>
      </c>
      <c r="C80" s="1" t="s">
        <v>2888</v>
      </c>
      <c r="E80" s="1" t="s">
        <v>2889</v>
      </c>
    </row>
    <row r="81" spans="1:3" x14ac:dyDescent="0.25">
      <c r="A81" s="341" t="str">
        <f>General!G67</f>
        <v>bd</v>
      </c>
      <c r="B81">
        <v>20</v>
      </c>
      <c r="C81" s="1" t="s">
        <v>2888</v>
      </c>
    </row>
    <row r="82" spans="1:3" x14ac:dyDescent="0.25">
      <c r="A82" s="341" t="str">
        <f>General!G68</f>
        <v>f</v>
      </c>
      <c r="B82">
        <v>12</v>
      </c>
      <c r="C82" s="1" t="s">
        <v>2888</v>
      </c>
    </row>
    <row r="83" spans="1:3" x14ac:dyDescent="0.25">
      <c r="A83" s="341" t="str">
        <f>General!G69</f>
        <v>h</v>
      </c>
      <c r="B83">
        <v>20</v>
      </c>
      <c r="C83" s="1" t="s">
        <v>2888</v>
      </c>
    </row>
    <row r="84" spans="1:3" x14ac:dyDescent="0.25">
      <c r="A84" s="341" t="str">
        <f>General!G70</f>
        <v>i</v>
      </c>
      <c r="B84">
        <v>12</v>
      </c>
      <c r="C84" s="1" t="s">
        <v>2888</v>
      </c>
    </row>
    <row r="85" spans="1:3" x14ac:dyDescent="0.25">
      <c r="A85" s="341" t="str">
        <f>General!G71</f>
        <v>k</v>
      </c>
      <c r="B85">
        <v>12</v>
      </c>
      <c r="C85" s="1" t="s">
        <v>2888</v>
      </c>
    </row>
    <row r="86" spans="1:3" x14ac:dyDescent="0.25">
      <c r="A86" s="341" t="str">
        <f>General!G72</f>
        <v>l</v>
      </c>
      <c r="B86">
        <v>12</v>
      </c>
      <c r="C86" s="1" t="s">
        <v>2888</v>
      </c>
    </row>
    <row r="87" spans="1:3" x14ac:dyDescent="0.25">
      <c r="A87" s="341" t="str">
        <f>General!G73</f>
        <v>lf</v>
      </c>
      <c r="B87">
        <v>12</v>
      </c>
      <c r="C87" s="1" t="s">
        <v>2888</v>
      </c>
    </row>
    <row r="88" spans="1:3" x14ac:dyDescent="0.25">
      <c r="A88" s="341" t="str">
        <f>General!G74</f>
        <v>ms</v>
      </c>
      <c r="B88" s="524">
        <f>0.65*B80+0.35*B86</f>
        <v>17.2</v>
      </c>
      <c r="C88" s="1" t="s">
        <v>2888</v>
      </c>
    </row>
    <row r="89" spans="1:3" x14ac:dyDescent="0.25">
      <c r="A89" s="341" t="str">
        <f>General!G75</f>
        <v>o</v>
      </c>
      <c r="B89">
        <v>20</v>
      </c>
      <c r="C89" s="1" t="s">
        <v>2888</v>
      </c>
    </row>
    <row r="90" spans="1:3" x14ac:dyDescent="0.25">
      <c r="A90" s="341" t="str">
        <f>General!G76</f>
        <v>od</v>
      </c>
      <c r="B90">
        <v>20</v>
      </c>
      <c r="C90" s="1" t="s">
        <v>2888</v>
      </c>
    </row>
    <row r="91" spans="1:3" x14ac:dyDescent="0.25">
      <c r="A91" s="341" t="str">
        <f>General!G77</f>
        <v>of</v>
      </c>
      <c r="B91">
        <v>20</v>
      </c>
      <c r="C91" s="1" t="s">
        <v>2888</v>
      </c>
    </row>
    <row r="92" spans="1:3" x14ac:dyDescent="0.25">
      <c r="A92" s="341" t="str">
        <f>General!G78</f>
        <v>r</v>
      </c>
      <c r="B92">
        <v>7</v>
      </c>
      <c r="C92" s="1" t="s">
        <v>2888</v>
      </c>
    </row>
    <row r="93" spans="1:3" x14ac:dyDescent="0.25">
      <c r="A93" s="341" t="str">
        <f>General!G79</f>
        <v>rd</v>
      </c>
      <c r="B93">
        <v>7</v>
      </c>
      <c r="C93" s="1" t="s">
        <v>2888</v>
      </c>
    </row>
    <row r="94" spans="1:3" x14ac:dyDescent="0.25">
      <c r="A94" s="341" t="str">
        <f>General!G80</f>
        <v>v</v>
      </c>
      <c r="B94">
        <v>12</v>
      </c>
      <c r="C94" s="1" t="s">
        <v>2888</v>
      </c>
    </row>
    <row r="95" spans="1:3" x14ac:dyDescent="0.25">
      <c r="A95" s="341" t="str">
        <f>General!G81</f>
        <v>w</v>
      </c>
      <c r="B95">
        <v>20</v>
      </c>
      <c r="C95" s="1" t="s">
        <v>2888</v>
      </c>
    </row>
    <row r="96" spans="1:3" x14ac:dyDescent="0.25">
      <c r="A96" s="341" t="str">
        <f>General!G82</f>
        <v>wd</v>
      </c>
      <c r="B96">
        <v>20</v>
      </c>
      <c r="C96" s="1" t="s">
        <v>2888</v>
      </c>
    </row>
    <row r="97" spans="1:3" x14ac:dyDescent="0.25">
      <c r="A97" s="341" t="str">
        <f>General!G83</f>
        <v>z</v>
      </c>
      <c r="B97">
        <v>7</v>
      </c>
      <c r="C97" s="1" t="s">
        <v>2888</v>
      </c>
    </row>
    <row r="98" spans="1:3" x14ac:dyDescent="0.25">
      <c r="A98" s="341" t="str">
        <f>General!G84</f>
        <v>zd</v>
      </c>
      <c r="B98">
        <v>7</v>
      </c>
      <c r="C98" s="1" t="s">
        <v>2888</v>
      </c>
    </row>
    <row r="100" spans="1:3" x14ac:dyDescent="0.25">
      <c r="A100" t="s">
        <v>37</v>
      </c>
      <c r="B100">
        <v>55</v>
      </c>
      <c r="C100" s="1" t="s">
        <v>2876</v>
      </c>
    </row>
    <row r="101" spans="1:3" ht="9" customHeight="1" x14ac:dyDescent="0.25"/>
    <row r="102" spans="1:3" x14ac:dyDescent="0.25">
      <c r="A102" t="s">
        <v>37</v>
      </c>
      <c r="B102" t="s">
        <v>3269</v>
      </c>
    </row>
    <row r="103" spans="1:3" x14ac:dyDescent="0.25">
      <c r="A103" s="341" t="str">
        <f>General!G66</f>
        <v>b</v>
      </c>
      <c r="B103" s="326">
        <v>1</v>
      </c>
    </row>
    <row r="104" spans="1:3" x14ac:dyDescent="0.25">
      <c r="A104" s="341" t="str">
        <f>General!G67</f>
        <v>bd</v>
      </c>
      <c r="B104" s="326">
        <v>1</v>
      </c>
    </row>
    <row r="105" spans="1:3" x14ac:dyDescent="0.25">
      <c r="A105" s="341" t="str">
        <f>General!G68</f>
        <v>f</v>
      </c>
      <c r="B105" s="326">
        <f>38/33</f>
        <v>1.1515151515151516</v>
      </c>
    </row>
    <row r="106" spans="1:3" x14ac:dyDescent="0.25">
      <c r="A106" s="341" t="str">
        <f>General!G69</f>
        <v>h</v>
      </c>
      <c r="B106" s="326">
        <v>1</v>
      </c>
    </row>
    <row r="107" spans="1:3" x14ac:dyDescent="0.25">
      <c r="A107" s="341" t="str">
        <f>General!G70</f>
        <v>i</v>
      </c>
      <c r="B107" s="326">
        <f t="shared" ref="B107:B108" si="0">38/33</f>
        <v>1.1515151515151516</v>
      </c>
    </row>
    <row r="108" spans="1:3" x14ac:dyDescent="0.25">
      <c r="A108" s="341" t="str">
        <f>General!G71</f>
        <v>k</v>
      </c>
      <c r="B108" s="326">
        <f t="shared" si="0"/>
        <v>1.1515151515151516</v>
      </c>
    </row>
    <row r="109" spans="1:3" x14ac:dyDescent="0.25">
      <c r="A109" s="341" t="str">
        <f>General!G72</f>
        <v>l</v>
      </c>
      <c r="B109" s="326">
        <v>1</v>
      </c>
    </row>
    <row r="110" spans="1:3" x14ac:dyDescent="0.25">
      <c r="A110" s="341" t="str">
        <f>General!G73</f>
        <v>lf</v>
      </c>
      <c r="B110" s="326">
        <v>1</v>
      </c>
    </row>
    <row r="111" spans="1:3" x14ac:dyDescent="0.25">
      <c r="A111" s="341" t="str">
        <f>General!G74</f>
        <v>ms</v>
      </c>
      <c r="B111" s="611">
        <f>0.65*B103+0.35*B109</f>
        <v>1</v>
      </c>
    </row>
    <row r="112" spans="1:3" x14ac:dyDescent="0.25">
      <c r="A112" s="341" t="str">
        <f>General!G75</f>
        <v>o</v>
      </c>
      <c r="B112" s="326">
        <v>1</v>
      </c>
    </row>
    <row r="113" spans="1:3" x14ac:dyDescent="0.25">
      <c r="A113" s="341" t="str">
        <f>General!G76</f>
        <v>od</v>
      </c>
      <c r="B113" s="326">
        <v>1</v>
      </c>
    </row>
    <row r="114" spans="1:3" x14ac:dyDescent="0.25">
      <c r="A114" s="341" t="str">
        <f>General!G77</f>
        <v>of</v>
      </c>
      <c r="B114" s="326">
        <v>1</v>
      </c>
    </row>
    <row r="115" spans="1:3" x14ac:dyDescent="0.25">
      <c r="A115" s="341" t="str">
        <f>General!G78</f>
        <v>r</v>
      </c>
      <c r="B115" s="326">
        <f t="shared" ref="B115:B117" si="1">38/33</f>
        <v>1.1515151515151516</v>
      </c>
    </row>
    <row r="116" spans="1:3" x14ac:dyDescent="0.25">
      <c r="A116" s="341" t="str">
        <f>General!G79</f>
        <v>rd</v>
      </c>
      <c r="B116" s="326">
        <f t="shared" si="1"/>
        <v>1.1515151515151516</v>
      </c>
    </row>
    <row r="117" spans="1:3" x14ac:dyDescent="0.25">
      <c r="A117" s="341" t="str">
        <f>General!G80</f>
        <v>v</v>
      </c>
      <c r="B117" s="326">
        <f t="shared" si="1"/>
        <v>1.1515151515151516</v>
      </c>
    </row>
    <row r="118" spans="1:3" x14ac:dyDescent="0.25">
      <c r="A118" s="341" t="str">
        <f>General!G81</f>
        <v>w</v>
      </c>
      <c r="B118" s="326">
        <v>1</v>
      </c>
    </row>
    <row r="119" spans="1:3" x14ac:dyDescent="0.25">
      <c r="A119" s="341" t="str">
        <f>General!G82</f>
        <v>wd</v>
      </c>
      <c r="B119" s="326">
        <v>1</v>
      </c>
    </row>
    <row r="120" spans="1:3" x14ac:dyDescent="0.25">
      <c r="A120" s="341" t="str">
        <f>General!G83</f>
        <v>z</v>
      </c>
      <c r="B120" s="326">
        <f t="shared" ref="B120:B121" si="2">38/33</f>
        <v>1.1515151515151516</v>
      </c>
    </row>
    <row r="121" spans="1:3" x14ac:dyDescent="0.25">
      <c r="A121" s="341" t="str">
        <f>General!G84</f>
        <v>zd</v>
      </c>
      <c r="B121" s="326">
        <f t="shared" si="2"/>
        <v>1.1515151515151516</v>
      </c>
    </row>
    <row r="123" spans="1:3" x14ac:dyDescent="0.25">
      <c r="A123" s="3" t="s">
        <v>38</v>
      </c>
    </row>
    <row r="124" spans="1:3" x14ac:dyDescent="0.25">
      <c r="A124" t="s">
        <v>2893</v>
      </c>
      <c r="B124">
        <v>33</v>
      </c>
      <c r="C124" s="1" t="s">
        <v>2895</v>
      </c>
    </row>
    <row r="125" spans="1:3" ht="4.1500000000000004" customHeight="1" x14ac:dyDescent="0.25"/>
    <row r="126" spans="1:3" x14ac:dyDescent="0.25">
      <c r="A126" t="s">
        <v>39</v>
      </c>
      <c r="B126">
        <v>30</v>
      </c>
      <c r="C126" s="1" t="s">
        <v>2894</v>
      </c>
    </row>
    <row r="127" spans="1:3" ht="3" customHeight="1" x14ac:dyDescent="0.25"/>
    <row r="128" spans="1:3" x14ac:dyDescent="0.25">
      <c r="A128" t="s">
        <v>40</v>
      </c>
      <c r="B128">
        <v>35</v>
      </c>
      <c r="C128" s="1" t="s">
        <v>3270</v>
      </c>
    </row>
    <row r="130" spans="1:3" x14ac:dyDescent="0.25">
      <c r="A130" s="3" t="s">
        <v>41</v>
      </c>
    </row>
    <row r="131" spans="1:3" x14ac:dyDescent="0.25">
      <c r="A131" t="s">
        <v>42</v>
      </c>
      <c r="B131">
        <v>20</v>
      </c>
      <c r="C131" s="1" t="s">
        <v>116</v>
      </c>
    </row>
    <row r="133" spans="1:3" x14ac:dyDescent="0.25">
      <c r="B133" t="s">
        <v>43</v>
      </c>
      <c r="C133"/>
    </row>
    <row r="134" spans="1:3" x14ac:dyDescent="0.25">
      <c r="A134" s="427" t="s">
        <v>45</v>
      </c>
      <c r="B134" t="str">
        <f>General!K66</f>
        <v>lime</v>
      </c>
      <c r="C134">
        <v>15</v>
      </c>
    </row>
    <row r="135" spans="1:3" x14ac:dyDescent="0.25">
      <c r="A135" s="427" t="s">
        <v>44</v>
      </c>
      <c r="B135" t="str">
        <f>General!K67</f>
        <v>early</v>
      </c>
      <c r="C135">
        <v>25</v>
      </c>
    </row>
    <row r="136" spans="1:3" x14ac:dyDescent="0.25">
      <c r="A136" s="427" t="s">
        <v>69</v>
      </c>
      <c r="B136" t="str">
        <f>General!K68</f>
        <v>at_seeding</v>
      </c>
      <c r="C136"/>
    </row>
    <row r="137" spans="1:3" x14ac:dyDescent="0.25">
      <c r="A137" s="427" t="s">
        <v>2896</v>
      </c>
      <c r="B137" t="str">
        <f>General!K69</f>
        <v>mid</v>
      </c>
      <c r="C137">
        <v>25</v>
      </c>
    </row>
    <row r="138" spans="1:3" x14ac:dyDescent="0.25">
      <c r="A138" s="427" t="s">
        <v>2534</v>
      </c>
      <c r="B138" t="str">
        <f>General!K70</f>
        <v>late</v>
      </c>
      <c r="C138">
        <v>30</v>
      </c>
    </row>
    <row r="140" spans="1:3" x14ac:dyDescent="0.25">
      <c r="A140" t="s">
        <v>46</v>
      </c>
      <c r="B140">
        <v>5</v>
      </c>
    </row>
    <row r="141" spans="1:3" ht="7.15" customHeight="1" x14ac:dyDescent="0.25"/>
    <row r="142" spans="1:3" x14ac:dyDescent="0.25">
      <c r="A142" t="s">
        <v>47</v>
      </c>
      <c r="B142">
        <v>0.25</v>
      </c>
      <c r="C142" s="1" t="s">
        <v>117</v>
      </c>
    </row>
    <row r="143" spans="1:3" ht="7.9" customHeight="1" x14ac:dyDescent="0.25"/>
    <row r="144" spans="1:3" x14ac:dyDescent="0.25">
      <c r="A144" t="s">
        <v>48</v>
      </c>
      <c r="B144">
        <v>20</v>
      </c>
      <c r="C144" s="1" t="s">
        <v>114</v>
      </c>
    </row>
    <row r="145" spans="1:3" ht="5.45" customHeight="1" x14ac:dyDescent="0.25"/>
    <row r="146" spans="1:3" x14ac:dyDescent="0.25">
      <c r="A146" t="s">
        <v>49</v>
      </c>
      <c r="B146">
        <v>0.5</v>
      </c>
    </row>
    <row r="147" spans="1:3" ht="6" customHeight="1" x14ac:dyDescent="0.25"/>
    <row r="148" spans="1:3" x14ac:dyDescent="0.25">
      <c r="A148" t="s">
        <v>50</v>
      </c>
      <c r="B148">
        <f>14.3+10</f>
        <v>24.3</v>
      </c>
      <c r="C148" s="1" t="s">
        <v>118</v>
      </c>
    </row>
    <row r="150" spans="1:3" x14ac:dyDescent="0.25">
      <c r="A150" s="3" t="s">
        <v>51</v>
      </c>
    </row>
    <row r="151" spans="1:3" x14ac:dyDescent="0.25">
      <c r="A151" t="s">
        <v>52</v>
      </c>
      <c r="B151">
        <v>2</v>
      </c>
      <c r="C151" s="1" t="s">
        <v>115</v>
      </c>
    </row>
    <row r="152" spans="1:3" ht="6" customHeight="1" x14ac:dyDescent="0.25"/>
    <row r="153" spans="1:3" x14ac:dyDescent="0.25">
      <c r="A153" t="s">
        <v>53</v>
      </c>
      <c r="B153">
        <f>1.3+5</f>
        <v>6.3</v>
      </c>
      <c r="C153" s="1" t="s">
        <v>13</v>
      </c>
    </row>
    <row r="155" spans="1:3" x14ac:dyDescent="0.25">
      <c r="A155" s="3" t="s">
        <v>81</v>
      </c>
    </row>
    <row r="156" spans="1:3" x14ac:dyDescent="0.25">
      <c r="A156" s="6" t="s">
        <v>3256</v>
      </c>
      <c r="B156" s="6" t="s">
        <v>92</v>
      </c>
      <c r="C156" s="6" t="s">
        <v>93</v>
      </c>
    </row>
    <row r="157" spans="1:3" x14ac:dyDescent="0.25">
      <c r="A157" s="342" t="str">
        <f>General!G66</f>
        <v>b</v>
      </c>
      <c r="B157" s="6">
        <v>1</v>
      </c>
      <c r="C157" s="6">
        <v>1</v>
      </c>
    </row>
    <row r="158" spans="1:3" x14ac:dyDescent="0.25">
      <c r="A158" s="342" t="str">
        <f>General!G67</f>
        <v>bd</v>
      </c>
      <c r="B158" s="6">
        <v>1</v>
      </c>
      <c r="C158" s="6">
        <v>1</v>
      </c>
    </row>
    <row r="159" spans="1:3" x14ac:dyDescent="0.25">
      <c r="A159" s="342" t="str">
        <f>General!G68</f>
        <v>f</v>
      </c>
      <c r="B159" s="6">
        <v>1</v>
      </c>
      <c r="C159" s="6">
        <v>1</v>
      </c>
    </row>
    <row r="160" spans="1:3" x14ac:dyDescent="0.25">
      <c r="A160" s="342" t="str">
        <f>General!G69</f>
        <v>h</v>
      </c>
      <c r="B160" s="6">
        <v>1</v>
      </c>
      <c r="C160" s="6">
        <v>3</v>
      </c>
    </row>
    <row r="161" spans="1:3" x14ac:dyDescent="0.25">
      <c r="A161" s="342" t="str">
        <f>General!G70</f>
        <v>i</v>
      </c>
      <c r="B161" s="6">
        <v>1</v>
      </c>
      <c r="C161" s="6">
        <v>1</v>
      </c>
    </row>
    <row r="162" spans="1:3" x14ac:dyDescent="0.25">
      <c r="A162" s="342" t="str">
        <f>General!G71</f>
        <v>k</v>
      </c>
      <c r="B162" s="6">
        <v>1</v>
      </c>
      <c r="C162" s="6">
        <v>1</v>
      </c>
    </row>
    <row r="163" spans="1:3" x14ac:dyDescent="0.25">
      <c r="A163" s="342" t="str">
        <f>General!G72</f>
        <v>l</v>
      </c>
      <c r="B163" s="6">
        <v>1</v>
      </c>
      <c r="C163" s="6">
        <v>1</v>
      </c>
    </row>
    <row r="164" spans="1:3" x14ac:dyDescent="0.25">
      <c r="A164" s="342" t="str">
        <f>General!G73</f>
        <v>lf</v>
      </c>
      <c r="B164" s="6">
        <v>1</v>
      </c>
      <c r="C164" s="6">
        <v>1</v>
      </c>
    </row>
    <row r="165" spans="1:3" x14ac:dyDescent="0.25">
      <c r="A165" s="342" t="str">
        <f>General!G74</f>
        <v>ms</v>
      </c>
      <c r="B165" s="6">
        <v>1</v>
      </c>
      <c r="C165" s="6">
        <v>1</v>
      </c>
    </row>
    <row r="166" spans="1:3" x14ac:dyDescent="0.25">
      <c r="A166" s="342" t="str">
        <f>General!G75</f>
        <v>o</v>
      </c>
      <c r="B166" s="6">
        <v>1</v>
      </c>
      <c r="C166" s="6">
        <v>1</v>
      </c>
    </row>
    <row r="167" spans="1:3" x14ac:dyDescent="0.25">
      <c r="A167" s="342" t="str">
        <f>General!G76</f>
        <v>od</v>
      </c>
      <c r="B167" s="6">
        <v>1</v>
      </c>
      <c r="C167" s="6">
        <v>1</v>
      </c>
    </row>
    <row r="168" spans="1:3" x14ac:dyDescent="0.25">
      <c r="A168" s="342" t="str">
        <f>General!G77</f>
        <v>of</v>
      </c>
      <c r="B168" s="6">
        <v>1</v>
      </c>
      <c r="C168" s="6">
        <v>1</v>
      </c>
    </row>
    <row r="169" spans="1:3" x14ac:dyDescent="0.25">
      <c r="A169" s="342" t="str">
        <f>General!G78</f>
        <v>r</v>
      </c>
      <c r="B169" s="6">
        <v>1</v>
      </c>
      <c r="C169" s="6">
        <v>1</v>
      </c>
    </row>
    <row r="170" spans="1:3" x14ac:dyDescent="0.25">
      <c r="A170" s="342" t="str">
        <f>General!G79</f>
        <v>rd</v>
      </c>
      <c r="B170" s="6">
        <v>1</v>
      </c>
      <c r="C170" s="6">
        <v>1</v>
      </c>
    </row>
    <row r="171" spans="1:3" x14ac:dyDescent="0.25">
      <c r="A171" s="342" t="str">
        <f>General!G80</f>
        <v>v</v>
      </c>
      <c r="B171" s="6">
        <v>1</v>
      </c>
      <c r="C171" s="6">
        <v>1</v>
      </c>
    </row>
    <row r="172" spans="1:3" x14ac:dyDescent="0.25">
      <c r="A172" s="342" t="str">
        <f>General!G81</f>
        <v>w</v>
      </c>
      <c r="B172" s="6">
        <v>1</v>
      </c>
      <c r="C172" s="6">
        <v>1</v>
      </c>
    </row>
    <row r="173" spans="1:3" x14ac:dyDescent="0.25">
      <c r="A173" s="342" t="str">
        <f>General!G82</f>
        <v>wd</v>
      </c>
      <c r="B173" s="6">
        <v>1</v>
      </c>
      <c r="C173" s="6">
        <v>1</v>
      </c>
    </row>
    <row r="174" spans="1:3" x14ac:dyDescent="0.25">
      <c r="A174" s="342" t="str">
        <f>General!G83</f>
        <v>z</v>
      </c>
      <c r="B174" s="6">
        <v>1</v>
      </c>
      <c r="C174" s="6">
        <v>1</v>
      </c>
    </row>
    <row r="175" spans="1:3" x14ac:dyDescent="0.25">
      <c r="A175" s="342" t="str">
        <f>General!G84</f>
        <v>zd</v>
      </c>
      <c r="B175" s="6">
        <v>1</v>
      </c>
      <c r="C175" s="6">
        <v>1</v>
      </c>
    </row>
  </sheetData>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B2E5E-4AB6-4061-839C-B61B6CD3F820}">
  <sheetPr codeName="Sheet11"/>
  <dimension ref="A10:F175"/>
  <sheetViews>
    <sheetView topLeftCell="A6" workbookViewId="0">
      <selection activeCell="C36" sqref="C36"/>
    </sheetView>
  </sheetViews>
  <sheetFormatPr defaultColWidth="8.85546875" defaultRowHeight="15" x14ac:dyDescent="0.25"/>
  <cols>
    <col min="1" max="1" width="26" style="1" bestFit="1" customWidth="1"/>
    <col min="2" max="2" width="13.85546875" style="1" customWidth="1"/>
    <col min="3" max="3" width="11.140625" style="1" customWidth="1"/>
    <col min="4" max="4" width="11" style="1" customWidth="1"/>
    <col min="5" max="5" width="12.42578125" style="1" customWidth="1"/>
    <col min="6" max="16384" width="8.85546875" style="1"/>
  </cols>
  <sheetData>
    <row r="10" spans="1:6" x14ac:dyDescent="0.25">
      <c r="A10" s="3" t="s">
        <v>2135</v>
      </c>
    </row>
    <row r="11" spans="1:6" x14ac:dyDescent="0.25">
      <c r="A11" t="s">
        <v>70</v>
      </c>
      <c r="B11" t="s">
        <v>71</v>
      </c>
      <c r="C11" t="s">
        <v>120</v>
      </c>
      <c r="D11" t="s">
        <v>121</v>
      </c>
      <c r="E11" t="s">
        <v>2885</v>
      </c>
      <c r="F11" t="s">
        <v>2886</v>
      </c>
    </row>
    <row r="12" spans="1:6" x14ac:dyDescent="0.25">
      <c r="A12" t="s">
        <v>122</v>
      </c>
      <c r="B12" s="315">
        <v>62666.666666666664</v>
      </c>
      <c r="C12" s="44">
        <v>1</v>
      </c>
      <c r="D12" s="44">
        <v>0</v>
      </c>
      <c r="E12" s="44">
        <v>0</v>
      </c>
      <c r="F12" s="44">
        <v>0</v>
      </c>
    </row>
    <row r="13" spans="1:6" x14ac:dyDescent="0.25">
      <c r="A13" t="s">
        <v>21</v>
      </c>
      <c r="B13" s="315">
        <v>29000</v>
      </c>
      <c r="C13" s="44">
        <v>1</v>
      </c>
      <c r="D13" s="44">
        <v>0</v>
      </c>
      <c r="E13" s="44">
        <v>0</v>
      </c>
      <c r="F13" s="44">
        <v>0</v>
      </c>
    </row>
    <row r="14" spans="1:6" x14ac:dyDescent="0.25">
      <c r="A14" t="s">
        <v>22</v>
      </c>
      <c r="B14" s="315">
        <v>99000</v>
      </c>
      <c r="C14" s="44">
        <v>0</v>
      </c>
      <c r="D14" s="44">
        <v>1</v>
      </c>
      <c r="E14" s="44">
        <v>0</v>
      </c>
      <c r="F14" s="44">
        <v>0</v>
      </c>
    </row>
    <row r="15" spans="1:6" x14ac:dyDescent="0.25">
      <c r="A15" t="s">
        <v>119</v>
      </c>
      <c r="B15" s="315">
        <v>10000</v>
      </c>
      <c r="C15" s="44">
        <v>0</v>
      </c>
      <c r="D15" s="44">
        <v>1</v>
      </c>
      <c r="E15" s="44">
        <v>0</v>
      </c>
      <c r="F15" s="44">
        <v>0</v>
      </c>
    </row>
    <row r="16" spans="1:6" x14ac:dyDescent="0.25">
      <c r="A16" t="s">
        <v>123</v>
      </c>
      <c r="B16" s="315">
        <v>62666.666666666664</v>
      </c>
      <c r="C16" s="44">
        <v>0</v>
      </c>
      <c r="D16" s="44">
        <v>0.3</v>
      </c>
      <c r="E16" s="44">
        <v>1</v>
      </c>
      <c r="F16" s="44">
        <v>1</v>
      </c>
    </row>
    <row r="17" spans="1:6" x14ac:dyDescent="0.25">
      <c r="A17" t="s">
        <v>23</v>
      </c>
      <c r="B17" s="315">
        <v>30000</v>
      </c>
      <c r="C17" s="44">
        <v>0</v>
      </c>
      <c r="D17" s="44">
        <v>0</v>
      </c>
      <c r="E17" s="44">
        <v>1</v>
      </c>
      <c r="F17" s="44">
        <v>0</v>
      </c>
    </row>
    <row r="18" spans="1:6" x14ac:dyDescent="0.25">
      <c r="A18" t="s">
        <v>24</v>
      </c>
      <c r="B18" s="315">
        <v>11666.666666666666</v>
      </c>
      <c r="C18" s="44">
        <v>0</v>
      </c>
      <c r="D18" s="44">
        <v>0</v>
      </c>
      <c r="E18" s="44">
        <v>0</v>
      </c>
      <c r="F18" s="44">
        <v>1</v>
      </c>
    </row>
    <row r="19" spans="1:6" x14ac:dyDescent="0.25">
      <c r="A19" t="s">
        <v>25</v>
      </c>
      <c r="B19" s="315">
        <v>5000</v>
      </c>
      <c r="C19" s="44">
        <v>0</v>
      </c>
      <c r="D19" s="44">
        <v>0</v>
      </c>
      <c r="E19" s="44">
        <v>0</v>
      </c>
      <c r="F19" s="44">
        <v>0</v>
      </c>
    </row>
    <row r="20" spans="1:6" x14ac:dyDescent="0.25">
      <c r="A20" t="s">
        <v>26</v>
      </c>
      <c r="B20" s="315">
        <v>3333.3333333333335</v>
      </c>
      <c r="C20" s="44">
        <v>0</v>
      </c>
      <c r="D20" s="44">
        <v>0</v>
      </c>
      <c r="E20" s="44">
        <v>0</v>
      </c>
      <c r="F20" s="44">
        <v>0</v>
      </c>
    </row>
    <row r="21" spans="1:6" x14ac:dyDescent="0.25">
      <c r="A21" t="s">
        <v>27</v>
      </c>
      <c r="B21" s="315">
        <v>25000</v>
      </c>
      <c r="C21" s="44">
        <v>0</v>
      </c>
      <c r="D21" s="44">
        <v>0</v>
      </c>
      <c r="E21" s="44">
        <v>0</v>
      </c>
      <c r="F21" s="44">
        <v>0</v>
      </c>
    </row>
    <row r="22" spans="1:6" x14ac:dyDescent="0.25">
      <c r="A22" t="s">
        <v>28</v>
      </c>
      <c r="B22" s="315">
        <v>12000</v>
      </c>
      <c r="C22" s="44">
        <v>0.15</v>
      </c>
      <c r="D22" s="44">
        <v>0.3</v>
      </c>
      <c r="E22" s="44">
        <v>0</v>
      </c>
      <c r="F22" s="44">
        <v>0.15</v>
      </c>
    </row>
    <row r="23" spans="1:6" x14ac:dyDescent="0.25">
      <c r="A23" t="s">
        <v>29</v>
      </c>
      <c r="B23" s="315">
        <v>26000</v>
      </c>
      <c r="C23" s="44">
        <v>0</v>
      </c>
      <c r="D23" s="44">
        <v>1</v>
      </c>
      <c r="E23" s="44">
        <v>0</v>
      </c>
      <c r="F23" s="44">
        <v>0</v>
      </c>
    </row>
    <row r="24" spans="1:6" x14ac:dyDescent="0.25">
      <c r="A24" t="s">
        <v>30</v>
      </c>
      <c r="B24" s="315">
        <v>7333.333333333333</v>
      </c>
      <c r="C24" s="44">
        <v>0</v>
      </c>
      <c r="D24" s="44">
        <v>0.05</v>
      </c>
      <c r="E24" s="44">
        <v>0</v>
      </c>
      <c r="F24" s="44">
        <v>0</v>
      </c>
    </row>
    <row r="25" spans="1:6" x14ac:dyDescent="0.25">
      <c r="A25" t="s">
        <v>31</v>
      </c>
      <c r="B25" s="315">
        <v>0</v>
      </c>
      <c r="C25" s="44">
        <v>0.05</v>
      </c>
      <c r="D25" s="44">
        <v>0.05</v>
      </c>
      <c r="E25" s="44">
        <v>0.05</v>
      </c>
      <c r="F25" s="44">
        <v>0.05</v>
      </c>
    </row>
    <row r="26" spans="1:6" x14ac:dyDescent="0.25">
      <c r="A26" t="s">
        <v>32</v>
      </c>
      <c r="B26" s="315">
        <v>12000</v>
      </c>
      <c r="C26" s="44">
        <v>0</v>
      </c>
      <c r="D26" s="44">
        <v>0</v>
      </c>
      <c r="E26" s="44">
        <v>0</v>
      </c>
      <c r="F26" s="44">
        <v>0</v>
      </c>
    </row>
    <row r="27" spans="1:6" x14ac:dyDescent="0.25">
      <c r="B27" s="369">
        <f>SUM(B12:B26)</f>
        <v>395666.66666666663</v>
      </c>
    </row>
    <row r="28" spans="1:6" x14ac:dyDescent="0.25">
      <c r="A28" s="3" t="s">
        <v>33</v>
      </c>
    </row>
    <row r="29" spans="1:6" x14ac:dyDescent="0.25">
      <c r="A29" t="s">
        <v>2752</v>
      </c>
      <c r="B29" s="432">
        <v>1</v>
      </c>
    </row>
    <row r="30" spans="1:6" ht="7.35" customHeight="1" x14ac:dyDescent="0.25"/>
    <row r="31" spans="1:6" ht="4.9000000000000004" customHeight="1" x14ac:dyDescent="0.25"/>
    <row r="32" spans="1:6" x14ac:dyDescent="0.25">
      <c r="A32" t="s">
        <v>2892</v>
      </c>
      <c r="B32">
        <v>4</v>
      </c>
      <c r="C32" s="1" t="s">
        <v>2891</v>
      </c>
    </row>
    <row r="33" spans="1:3" ht="7.15" customHeight="1" x14ac:dyDescent="0.25"/>
    <row r="34" spans="1:3" x14ac:dyDescent="0.25">
      <c r="A34" t="s">
        <v>3267</v>
      </c>
      <c r="B34">
        <v>40</v>
      </c>
      <c r="C34" s="1" t="s">
        <v>2894</v>
      </c>
    </row>
    <row r="35" spans="1:3" ht="7.15" customHeight="1" x14ac:dyDescent="0.25"/>
    <row r="36" spans="1:3" x14ac:dyDescent="0.25">
      <c r="A36" t="s">
        <v>3268</v>
      </c>
      <c r="B36">
        <v>35</v>
      </c>
      <c r="C36" s="1" t="s">
        <v>3270</v>
      </c>
    </row>
    <row r="37" spans="1:3" ht="7.15" customHeight="1" x14ac:dyDescent="0.25"/>
    <row r="38" spans="1:3" x14ac:dyDescent="0.25">
      <c r="A38" t="s">
        <v>54</v>
      </c>
      <c r="B38"/>
    </row>
    <row r="39" spans="1:3" x14ac:dyDescent="0.25">
      <c r="A39" s="341" t="str">
        <f>General!I66</f>
        <v>a</v>
      </c>
      <c r="B39">
        <v>1</v>
      </c>
    </row>
    <row r="40" spans="1:3" x14ac:dyDescent="0.25">
      <c r="A40" s="341" t="str">
        <f>General!I67</f>
        <v>a2</v>
      </c>
      <c r="B40">
        <v>1</v>
      </c>
    </row>
    <row r="41" spans="1:3" x14ac:dyDescent="0.25">
      <c r="A41" s="341" t="str">
        <f>General!I68</f>
        <v>b</v>
      </c>
      <c r="B41">
        <v>1</v>
      </c>
    </row>
    <row r="42" spans="1:3" x14ac:dyDescent="0.25">
      <c r="A42" s="341" t="str">
        <f>General!I69</f>
        <v>bd</v>
      </c>
      <c r="B42">
        <v>1</v>
      </c>
    </row>
    <row r="43" spans="1:3" x14ac:dyDescent="0.25">
      <c r="A43" s="341" t="str">
        <f>General!I70</f>
        <v>f</v>
      </c>
      <c r="B43">
        <v>1</v>
      </c>
    </row>
    <row r="44" spans="1:3" x14ac:dyDescent="0.25">
      <c r="A44" s="341" t="str">
        <f>General!I71</f>
        <v>h</v>
      </c>
      <c r="B44">
        <v>1</v>
      </c>
    </row>
    <row r="45" spans="1:3" x14ac:dyDescent="0.25">
      <c r="A45" s="341" t="str">
        <f>General!I72</f>
        <v>i</v>
      </c>
      <c r="B45">
        <v>1</v>
      </c>
    </row>
    <row r="46" spans="1:3" x14ac:dyDescent="0.25">
      <c r="A46" s="341" t="str">
        <f>General!I73</f>
        <v>j</v>
      </c>
      <c r="B46">
        <v>1</v>
      </c>
    </row>
    <row r="47" spans="1:3" x14ac:dyDescent="0.25">
      <c r="A47" s="341" t="str">
        <f>General!I74</f>
        <v>jc</v>
      </c>
      <c r="B47">
        <v>1</v>
      </c>
    </row>
    <row r="48" spans="1:3" x14ac:dyDescent="0.25">
      <c r="A48" s="341" t="str">
        <f>General!I75</f>
        <v>k</v>
      </c>
      <c r="B48">
        <v>1</v>
      </c>
    </row>
    <row r="49" spans="1:2" x14ac:dyDescent="0.25">
      <c r="A49" s="341" t="str">
        <f>General!I76</f>
        <v>l</v>
      </c>
      <c r="B49">
        <v>1</v>
      </c>
    </row>
    <row r="50" spans="1:2" x14ac:dyDescent="0.25">
      <c r="A50" s="341" t="str">
        <f>General!I77</f>
        <v>lf</v>
      </c>
      <c r="B50">
        <v>1</v>
      </c>
    </row>
    <row r="51" spans="1:2" x14ac:dyDescent="0.25">
      <c r="A51" s="341" t="str">
        <f>General!I78</f>
        <v>m</v>
      </c>
      <c r="B51">
        <v>1</v>
      </c>
    </row>
    <row r="52" spans="1:2" x14ac:dyDescent="0.25">
      <c r="A52" s="341" t="str">
        <f>General!I79</f>
        <v>ms</v>
      </c>
      <c r="B52">
        <v>1</v>
      </c>
    </row>
    <row r="53" spans="1:2" x14ac:dyDescent="0.25">
      <c r="A53" s="341" t="str">
        <f>General!I80</f>
        <v>o</v>
      </c>
      <c r="B53">
        <v>1</v>
      </c>
    </row>
    <row r="54" spans="1:2" x14ac:dyDescent="0.25">
      <c r="A54" s="341" t="str">
        <f>General!I81</f>
        <v>od</v>
      </c>
      <c r="B54">
        <v>1</v>
      </c>
    </row>
    <row r="55" spans="1:2" x14ac:dyDescent="0.25">
      <c r="A55" s="341" t="str">
        <f>General!I82</f>
        <v>of</v>
      </c>
      <c r="B55">
        <v>1</v>
      </c>
    </row>
    <row r="56" spans="1:2" x14ac:dyDescent="0.25">
      <c r="A56" s="341" t="str">
        <f>General!I83</f>
        <v>r</v>
      </c>
      <c r="B56">
        <v>1</v>
      </c>
    </row>
    <row r="57" spans="1:2" x14ac:dyDescent="0.25">
      <c r="A57" s="341" t="str">
        <f>General!I84</f>
        <v>rd</v>
      </c>
      <c r="B57">
        <v>1</v>
      </c>
    </row>
    <row r="58" spans="1:2" x14ac:dyDescent="0.25">
      <c r="A58" s="341" t="str">
        <f>General!I85</f>
        <v>s</v>
      </c>
      <c r="B58">
        <v>1</v>
      </c>
    </row>
    <row r="59" spans="1:2" x14ac:dyDescent="0.25">
      <c r="A59" s="341" t="str">
        <f>General!I86</f>
        <v>sp</v>
      </c>
      <c r="B59">
        <v>1</v>
      </c>
    </row>
    <row r="60" spans="1:2" x14ac:dyDescent="0.25">
      <c r="A60" s="341" t="str">
        <f>General!I87</f>
        <v>t</v>
      </c>
      <c r="B60">
        <v>1</v>
      </c>
    </row>
    <row r="61" spans="1:2" x14ac:dyDescent="0.25">
      <c r="A61" s="341" t="str">
        <f>General!I88</f>
        <v>tc</v>
      </c>
      <c r="B61">
        <v>1</v>
      </c>
    </row>
    <row r="62" spans="1:2" x14ac:dyDescent="0.25">
      <c r="A62" s="341" t="str">
        <f>General!I89</f>
        <v>u</v>
      </c>
      <c r="B62">
        <v>1</v>
      </c>
    </row>
    <row r="63" spans="1:2" x14ac:dyDescent="0.25">
      <c r="A63" s="341" t="str">
        <f>General!I90</f>
        <v>uc</v>
      </c>
      <c r="B63">
        <v>1</v>
      </c>
    </row>
    <row r="64" spans="1:2" x14ac:dyDescent="0.25">
      <c r="A64" s="341" t="str">
        <f>General!I91</f>
        <v>v</v>
      </c>
      <c r="B64">
        <v>1</v>
      </c>
    </row>
    <row r="65" spans="1:3" x14ac:dyDescent="0.25">
      <c r="A65" s="341" t="str">
        <f>General!I92</f>
        <v>w</v>
      </c>
      <c r="B65">
        <v>1</v>
      </c>
    </row>
    <row r="66" spans="1:3" x14ac:dyDescent="0.25">
      <c r="A66" s="341" t="str">
        <f>General!I93</f>
        <v>wd</v>
      </c>
      <c r="B66">
        <v>1</v>
      </c>
    </row>
    <row r="67" spans="1:3" x14ac:dyDescent="0.25">
      <c r="A67" s="341" t="str">
        <f>General!I94</f>
        <v>x</v>
      </c>
      <c r="B67">
        <v>1</v>
      </c>
    </row>
    <row r="68" spans="1:3" x14ac:dyDescent="0.25">
      <c r="A68" s="341" t="str">
        <f>General!I95</f>
        <v>xc</v>
      </c>
      <c r="B68">
        <v>1</v>
      </c>
    </row>
    <row r="69" spans="1:3" x14ac:dyDescent="0.25">
      <c r="A69" s="341" t="str">
        <f>General!I96</f>
        <v>z</v>
      </c>
      <c r="B69">
        <v>1</v>
      </c>
    </row>
    <row r="70" spans="1:3" x14ac:dyDescent="0.25">
      <c r="A70" s="341" t="str">
        <f>General!I97</f>
        <v>zd</v>
      </c>
      <c r="B70">
        <v>1</v>
      </c>
    </row>
    <row r="72" spans="1:3" x14ac:dyDescent="0.25">
      <c r="A72" s="3" t="s">
        <v>35</v>
      </c>
    </row>
    <row r="73" spans="1:3" x14ac:dyDescent="0.25">
      <c r="A73" t="s">
        <v>2753</v>
      </c>
      <c r="B73" s="432">
        <v>1</v>
      </c>
    </row>
    <row r="74" spans="1:3" ht="7.35" customHeight="1" x14ac:dyDescent="0.25"/>
    <row r="75" spans="1:3" x14ac:dyDescent="0.25">
      <c r="A75" t="s">
        <v>36</v>
      </c>
      <c r="B75">
        <v>50</v>
      </c>
    </row>
    <row r="76" spans="1:3" ht="7.15" customHeight="1" x14ac:dyDescent="0.25"/>
    <row r="77" spans="1:3" x14ac:dyDescent="0.25">
      <c r="A77" t="s">
        <v>3271</v>
      </c>
      <c r="B77">
        <f>0.3*harvest_maint</f>
        <v>12</v>
      </c>
      <c r="C77" s="1" t="s">
        <v>3272</v>
      </c>
    </row>
    <row r="78" spans="1:3" ht="7.15" customHeight="1" x14ac:dyDescent="0.25"/>
    <row r="79" spans="1:3" x14ac:dyDescent="0.25">
      <c r="A79" t="s">
        <v>2887</v>
      </c>
      <c r="B79"/>
    </row>
    <row r="80" spans="1:3" x14ac:dyDescent="0.25">
      <c r="A80" s="341" t="str">
        <f>General!G66</f>
        <v>b</v>
      </c>
      <c r="B80">
        <f>'Mach 1'!B80*0.66</f>
        <v>13.200000000000001</v>
      </c>
      <c r="C80" s="1" t="s">
        <v>2888</v>
      </c>
    </row>
    <row r="81" spans="1:3" x14ac:dyDescent="0.25">
      <c r="A81" s="341" t="str">
        <f>General!G67</f>
        <v>bd</v>
      </c>
      <c r="B81">
        <f>'Mach 1'!B81*0.66</f>
        <v>13.200000000000001</v>
      </c>
      <c r="C81" s="1" t="s">
        <v>2888</v>
      </c>
    </row>
    <row r="82" spans="1:3" x14ac:dyDescent="0.25">
      <c r="A82" s="341" t="str">
        <f>General!G68</f>
        <v>f</v>
      </c>
      <c r="B82">
        <f>'Mach 1'!B82*0.66</f>
        <v>7.92</v>
      </c>
      <c r="C82" s="1" t="s">
        <v>2888</v>
      </c>
    </row>
    <row r="83" spans="1:3" x14ac:dyDescent="0.25">
      <c r="A83" s="341" t="str">
        <f>General!G69</f>
        <v>h</v>
      </c>
      <c r="B83">
        <f>'Mach 1'!B83*0.66</f>
        <v>13.200000000000001</v>
      </c>
      <c r="C83" s="1" t="s">
        <v>2888</v>
      </c>
    </row>
    <row r="84" spans="1:3" x14ac:dyDescent="0.25">
      <c r="A84" s="341" t="str">
        <f>General!G70</f>
        <v>i</v>
      </c>
      <c r="B84">
        <f>'Mach 1'!B84*0.66</f>
        <v>7.92</v>
      </c>
      <c r="C84" s="1" t="s">
        <v>2888</v>
      </c>
    </row>
    <row r="85" spans="1:3" x14ac:dyDescent="0.25">
      <c r="A85" s="341" t="str">
        <f>General!G71</f>
        <v>k</v>
      </c>
      <c r="B85">
        <f>'Mach 1'!B85*0.66</f>
        <v>7.92</v>
      </c>
      <c r="C85" s="1" t="s">
        <v>2888</v>
      </c>
    </row>
    <row r="86" spans="1:3" x14ac:dyDescent="0.25">
      <c r="A86" s="341" t="str">
        <f>General!G72</f>
        <v>l</v>
      </c>
      <c r="B86">
        <f>'Mach 1'!B86*0.66</f>
        <v>7.92</v>
      </c>
      <c r="C86" s="1" t="s">
        <v>2888</v>
      </c>
    </row>
    <row r="87" spans="1:3" x14ac:dyDescent="0.25">
      <c r="A87" s="341" t="str">
        <f>General!G73</f>
        <v>lf</v>
      </c>
      <c r="B87">
        <f>'Mach 1'!B87*0.66</f>
        <v>7.92</v>
      </c>
      <c r="C87" s="1" t="s">
        <v>2888</v>
      </c>
    </row>
    <row r="88" spans="1:3" x14ac:dyDescent="0.25">
      <c r="A88" s="341" t="str">
        <f>General!G74</f>
        <v>ms</v>
      </c>
      <c r="B88" s="524">
        <f>0.65*B80+0.35*B86</f>
        <v>11.352000000000002</v>
      </c>
      <c r="C88" s="1" t="s">
        <v>2888</v>
      </c>
    </row>
    <row r="89" spans="1:3" x14ac:dyDescent="0.25">
      <c r="A89" s="341" t="str">
        <f>General!G75</f>
        <v>o</v>
      </c>
      <c r="B89">
        <f>'Mach 1'!B89*0.66</f>
        <v>13.200000000000001</v>
      </c>
      <c r="C89" s="1" t="s">
        <v>2888</v>
      </c>
    </row>
    <row r="90" spans="1:3" x14ac:dyDescent="0.25">
      <c r="A90" s="341" t="str">
        <f>General!G76</f>
        <v>od</v>
      </c>
      <c r="B90">
        <f>'Mach 1'!B90*0.66</f>
        <v>13.200000000000001</v>
      </c>
      <c r="C90" s="1" t="s">
        <v>2888</v>
      </c>
    </row>
    <row r="91" spans="1:3" x14ac:dyDescent="0.25">
      <c r="A91" s="341" t="str">
        <f>General!G77</f>
        <v>of</v>
      </c>
      <c r="B91">
        <f>'Mach 1'!B91*0.66</f>
        <v>13.200000000000001</v>
      </c>
      <c r="C91" s="1" t="s">
        <v>2888</v>
      </c>
    </row>
    <row r="92" spans="1:3" x14ac:dyDescent="0.25">
      <c r="A92" s="341" t="str">
        <f>General!G78</f>
        <v>r</v>
      </c>
      <c r="B92">
        <f>'Mach 1'!B92*0.66</f>
        <v>4.62</v>
      </c>
      <c r="C92" s="1" t="s">
        <v>2888</v>
      </c>
    </row>
    <row r="93" spans="1:3" x14ac:dyDescent="0.25">
      <c r="A93" s="341" t="str">
        <f>General!G79</f>
        <v>rd</v>
      </c>
      <c r="B93">
        <f>'Mach 1'!B93*0.66</f>
        <v>4.62</v>
      </c>
      <c r="C93" s="1" t="s">
        <v>2888</v>
      </c>
    </row>
    <row r="94" spans="1:3" x14ac:dyDescent="0.25">
      <c r="A94" s="341" t="str">
        <f>General!G80</f>
        <v>v</v>
      </c>
      <c r="B94">
        <f>'Mach 1'!B94*0.66</f>
        <v>7.92</v>
      </c>
      <c r="C94" s="1" t="s">
        <v>2888</v>
      </c>
    </row>
    <row r="95" spans="1:3" x14ac:dyDescent="0.25">
      <c r="A95" s="341" t="str">
        <f>General!G81</f>
        <v>w</v>
      </c>
      <c r="B95">
        <f>'Mach 1'!B95*0.66</f>
        <v>13.200000000000001</v>
      </c>
      <c r="C95" s="1" t="s">
        <v>2888</v>
      </c>
    </row>
    <row r="96" spans="1:3" x14ac:dyDescent="0.25">
      <c r="A96" s="341" t="str">
        <f>General!G82</f>
        <v>wd</v>
      </c>
      <c r="B96">
        <f>'Mach 1'!B96*0.66</f>
        <v>13.200000000000001</v>
      </c>
      <c r="C96" s="1" t="s">
        <v>2888</v>
      </c>
    </row>
    <row r="97" spans="1:3" x14ac:dyDescent="0.25">
      <c r="A97" s="341" t="str">
        <f>General!G83</f>
        <v>z</v>
      </c>
      <c r="B97">
        <f>'Mach 1'!B97*0.66</f>
        <v>4.62</v>
      </c>
      <c r="C97" s="1" t="s">
        <v>2888</v>
      </c>
    </row>
    <row r="98" spans="1:3" x14ac:dyDescent="0.25">
      <c r="A98" s="341" t="str">
        <f>General!G84</f>
        <v>zd</v>
      </c>
      <c r="B98">
        <f>'Mach 1'!B98*0.66</f>
        <v>4.62</v>
      </c>
      <c r="C98" s="1" t="s">
        <v>2888</v>
      </c>
    </row>
    <row r="100" spans="1:3" x14ac:dyDescent="0.25">
      <c r="A100" t="s">
        <v>37</v>
      </c>
      <c r="B100">
        <v>40</v>
      </c>
      <c r="C100" s="1" t="s">
        <v>2876</v>
      </c>
    </row>
    <row r="102" spans="1:3" x14ac:dyDescent="0.25">
      <c r="A102" t="s">
        <v>37</v>
      </c>
      <c r="B102" t="s">
        <v>3269</v>
      </c>
    </row>
    <row r="103" spans="1:3" x14ac:dyDescent="0.25">
      <c r="A103" s="341" t="str">
        <f>General!G66</f>
        <v>b</v>
      </c>
      <c r="B103" s="326">
        <v>1</v>
      </c>
    </row>
    <row r="104" spans="1:3" x14ac:dyDescent="0.25">
      <c r="A104" s="341" t="str">
        <f>General!G67</f>
        <v>bd</v>
      </c>
      <c r="B104" s="326">
        <v>1</v>
      </c>
    </row>
    <row r="105" spans="1:3" x14ac:dyDescent="0.25">
      <c r="A105" s="341" t="str">
        <f>General!G68</f>
        <v>f</v>
      </c>
      <c r="B105" s="326">
        <f>38/33</f>
        <v>1.1515151515151516</v>
      </c>
    </row>
    <row r="106" spans="1:3" x14ac:dyDescent="0.25">
      <c r="A106" s="341" t="str">
        <f>General!G69</f>
        <v>h</v>
      </c>
      <c r="B106" s="326">
        <v>1</v>
      </c>
    </row>
    <row r="107" spans="1:3" x14ac:dyDescent="0.25">
      <c r="A107" s="341" t="str">
        <f>General!G70</f>
        <v>i</v>
      </c>
      <c r="B107" s="326">
        <f t="shared" ref="B107:B108" si="0">38/33</f>
        <v>1.1515151515151516</v>
      </c>
    </row>
    <row r="108" spans="1:3" x14ac:dyDescent="0.25">
      <c r="A108" s="341" t="str">
        <f>General!G71</f>
        <v>k</v>
      </c>
      <c r="B108" s="326">
        <f t="shared" si="0"/>
        <v>1.1515151515151516</v>
      </c>
    </row>
    <row r="109" spans="1:3" x14ac:dyDescent="0.25">
      <c r="A109" s="341" t="str">
        <f>General!G72</f>
        <v>l</v>
      </c>
      <c r="B109" s="326">
        <v>1</v>
      </c>
    </row>
    <row r="110" spans="1:3" x14ac:dyDescent="0.25">
      <c r="A110" s="341" t="str">
        <f>General!G73</f>
        <v>lf</v>
      </c>
      <c r="B110" s="326">
        <v>1</v>
      </c>
    </row>
    <row r="111" spans="1:3" x14ac:dyDescent="0.25">
      <c r="A111" s="341" t="str">
        <f>General!G74</f>
        <v>ms</v>
      </c>
      <c r="B111" s="611">
        <f>0.65*B103+0.35*B109</f>
        <v>1</v>
      </c>
    </row>
    <row r="112" spans="1:3" x14ac:dyDescent="0.25">
      <c r="A112" s="341" t="str">
        <f>General!G75</f>
        <v>o</v>
      </c>
      <c r="B112" s="326">
        <v>1</v>
      </c>
    </row>
    <row r="113" spans="1:3" x14ac:dyDescent="0.25">
      <c r="A113" s="341" t="str">
        <f>General!G76</f>
        <v>od</v>
      </c>
      <c r="B113" s="326">
        <v>1</v>
      </c>
    </row>
    <row r="114" spans="1:3" x14ac:dyDescent="0.25">
      <c r="A114" s="341" t="str">
        <f>General!G77</f>
        <v>of</v>
      </c>
      <c r="B114" s="326">
        <v>1</v>
      </c>
    </row>
    <row r="115" spans="1:3" x14ac:dyDescent="0.25">
      <c r="A115" s="341" t="str">
        <f>General!G78</f>
        <v>r</v>
      </c>
      <c r="B115" s="326">
        <f t="shared" ref="B115:B117" si="1">38/33</f>
        <v>1.1515151515151516</v>
      </c>
    </row>
    <row r="116" spans="1:3" x14ac:dyDescent="0.25">
      <c r="A116" s="341" t="str">
        <f>General!G79</f>
        <v>rd</v>
      </c>
      <c r="B116" s="326">
        <f t="shared" si="1"/>
        <v>1.1515151515151516</v>
      </c>
    </row>
    <row r="117" spans="1:3" x14ac:dyDescent="0.25">
      <c r="A117" s="341" t="str">
        <f>General!G80</f>
        <v>v</v>
      </c>
      <c r="B117" s="326">
        <f t="shared" si="1"/>
        <v>1.1515151515151516</v>
      </c>
    </row>
    <row r="118" spans="1:3" x14ac:dyDescent="0.25">
      <c r="A118" s="341" t="str">
        <f>General!G81</f>
        <v>w</v>
      </c>
      <c r="B118" s="326">
        <v>1</v>
      </c>
    </row>
    <row r="119" spans="1:3" x14ac:dyDescent="0.25">
      <c r="A119" s="341" t="str">
        <f>General!G82</f>
        <v>wd</v>
      </c>
      <c r="B119" s="326">
        <v>1</v>
      </c>
    </row>
    <row r="120" spans="1:3" x14ac:dyDescent="0.25">
      <c r="A120" s="341" t="str">
        <f>General!G83</f>
        <v>z</v>
      </c>
      <c r="B120" s="326">
        <f t="shared" ref="B120:B121" si="2">38/33</f>
        <v>1.1515151515151516</v>
      </c>
    </row>
    <row r="121" spans="1:3" x14ac:dyDescent="0.25">
      <c r="A121" s="341" t="str">
        <f>General!G84</f>
        <v>zd</v>
      </c>
      <c r="B121" s="326">
        <f t="shared" si="2"/>
        <v>1.1515151515151516</v>
      </c>
    </row>
    <row r="123" spans="1:3" x14ac:dyDescent="0.25">
      <c r="A123" s="3" t="s">
        <v>38</v>
      </c>
    </row>
    <row r="124" spans="1:3" x14ac:dyDescent="0.25">
      <c r="A124" t="s">
        <v>2893</v>
      </c>
      <c r="B124">
        <v>23</v>
      </c>
      <c r="C124" s="1" t="s">
        <v>2895</v>
      </c>
    </row>
    <row r="125" spans="1:3" ht="4.1500000000000004" customHeight="1" x14ac:dyDescent="0.25"/>
    <row r="126" spans="1:3" x14ac:dyDescent="0.25">
      <c r="A126" t="s">
        <v>39</v>
      </c>
      <c r="B126">
        <v>20</v>
      </c>
      <c r="C126" s="1" t="s">
        <v>2894</v>
      </c>
    </row>
    <row r="127" spans="1:3" ht="3" customHeight="1" x14ac:dyDescent="0.25"/>
    <row r="128" spans="1:3" x14ac:dyDescent="0.25">
      <c r="A128" t="s">
        <v>40</v>
      </c>
      <c r="B128">
        <v>22</v>
      </c>
      <c r="C128" s="1" t="s">
        <v>3270</v>
      </c>
    </row>
    <row r="130" spans="1:3" x14ac:dyDescent="0.25">
      <c r="A130" s="3" t="s">
        <v>41</v>
      </c>
    </row>
    <row r="131" spans="1:3" x14ac:dyDescent="0.25">
      <c r="A131" t="s">
        <v>42</v>
      </c>
      <c r="B131">
        <v>20</v>
      </c>
      <c r="C131" s="1" t="s">
        <v>116</v>
      </c>
    </row>
    <row r="133" spans="1:3" x14ac:dyDescent="0.25">
      <c r="B133" t="s">
        <v>43</v>
      </c>
      <c r="C133"/>
    </row>
    <row r="134" spans="1:3" x14ac:dyDescent="0.25">
      <c r="A134" s="427" t="s">
        <v>45</v>
      </c>
      <c r="B134" t="str">
        <f>General!K66</f>
        <v>lime</v>
      </c>
      <c r="C134">
        <v>15</v>
      </c>
    </row>
    <row r="135" spans="1:3" x14ac:dyDescent="0.25">
      <c r="A135" s="427" t="s">
        <v>44</v>
      </c>
      <c r="B135" t="str">
        <f>General!K67</f>
        <v>early</v>
      </c>
      <c r="C135">
        <v>20</v>
      </c>
    </row>
    <row r="136" spans="1:3" x14ac:dyDescent="0.25">
      <c r="A136" s="427" t="s">
        <v>69</v>
      </c>
      <c r="B136" t="str">
        <f>General!K68</f>
        <v>at_seeding</v>
      </c>
      <c r="C136"/>
    </row>
    <row r="137" spans="1:3" x14ac:dyDescent="0.25">
      <c r="A137" s="427" t="s">
        <v>2896</v>
      </c>
      <c r="B137" t="str">
        <f>General!K69</f>
        <v>mid</v>
      </c>
      <c r="C137">
        <v>20</v>
      </c>
    </row>
    <row r="138" spans="1:3" x14ac:dyDescent="0.25">
      <c r="A138" s="427" t="s">
        <v>2534</v>
      </c>
      <c r="B138" t="str">
        <f>General!K70</f>
        <v>late</v>
      </c>
      <c r="C138">
        <v>25</v>
      </c>
    </row>
    <row r="140" spans="1:3" x14ac:dyDescent="0.25">
      <c r="A140" t="s">
        <v>46</v>
      </c>
      <c r="B140">
        <v>5</v>
      </c>
    </row>
    <row r="141" spans="1:3" ht="7.15" customHeight="1" x14ac:dyDescent="0.25"/>
    <row r="142" spans="1:3" x14ac:dyDescent="0.25">
      <c r="A142" t="s">
        <v>47</v>
      </c>
      <c r="B142">
        <v>0.25</v>
      </c>
      <c r="C142" s="1" t="s">
        <v>117</v>
      </c>
    </row>
    <row r="143" spans="1:3" ht="7.9" customHeight="1" x14ac:dyDescent="0.25"/>
    <row r="144" spans="1:3" x14ac:dyDescent="0.25">
      <c r="A144" t="s">
        <v>48</v>
      </c>
      <c r="B144">
        <v>20</v>
      </c>
      <c r="C144" s="1" t="s">
        <v>114</v>
      </c>
    </row>
    <row r="145" spans="1:3" ht="5.45" customHeight="1" x14ac:dyDescent="0.25"/>
    <row r="146" spans="1:3" x14ac:dyDescent="0.25">
      <c r="A146" t="s">
        <v>49</v>
      </c>
      <c r="B146">
        <v>0.3</v>
      </c>
    </row>
    <row r="147" spans="1:3" ht="6" customHeight="1" x14ac:dyDescent="0.25"/>
    <row r="148" spans="1:3" x14ac:dyDescent="0.25">
      <c r="A148" t="s">
        <v>50</v>
      </c>
      <c r="B148">
        <f>14.3+10</f>
        <v>24.3</v>
      </c>
      <c r="C148" s="1" t="s">
        <v>118</v>
      </c>
    </row>
    <row r="150" spans="1:3" x14ac:dyDescent="0.25">
      <c r="A150" s="3" t="s">
        <v>51</v>
      </c>
    </row>
    <row r="151" spans="1:3" x14ac:dyDescent="0.25">
      <c r="A151" t="s">
        <v>52</v>
      </c>
      <c r="B151">
        <v>2</v>
      </c>
      <c r="C151" s="1" t="s">
        <v>115</v>
      </c>
    </row>
    <row r="152" spans="1:3" ht="6" customHeight="1" x14ac:dyDescent="0.25"/>
    <row r="153" spans="1:3" x14ac:dyDescent="0.25">
      <c r="A153" t="s">
        <v>53</v>
      </c>
      <c r="B153">
        <f>1.3+5</f>
        <v>6.3</v>
      </c>
      <c r="C153" s="1" t="s">
        <v>13</v>
      </c>
    </row>
    <row r="155" spans="1:3" x14ac:dyDescent="0.25">
      <c r="A155" s="3" t="s">
        <v>81</v>
      </c>
    </row>
    <row r="156" spans="1:3" x14ac:dyDescent="0.25">
      <c r="A156" s="6"/>
      <c r="B156" s="6" t="s">
        <v>92</v>
      </c>
      <c r="C156" s="6" t="s">
        <v>93</v>
      </c>
    </row>
    <row r="157" spans="1:3" x14ac:dyDescent="0.25">
      <c r="A157" s="342" t="str">
        <f>General!G66</f>
        <v>b</v>
      </c>
      <c r="B157" s="6">
        <v>1</v>
      </c>
      <c r="C157" s="6">
        <v>1</v>
      </c>
    </row>
    <row r="158" spans="1:3" x14ac:dyDescent="0.25">
      <c r="A158" s="342" t="str">
        <f>General!G67</f>
        <v>bd</v>
      </c>
      <c r="B158" s="6">
        <v>1</v>
      </c>
      <c r="C158" s="6">
        <v>1</v>
      </c>
    </row>
    <row r="159" spans="1:3" x14ac:dyDescent="0.25">
      <c r="A159" s="342" t="str">
        <f>General!G68</f>
        <v>f</v>
      </c>
      <c r="B159" s="6">
        <v>1</v>
      </c>
      <c r="C159" s="6">
        <v>1</v>
      </c>
    </row>
    <row r="160" spans="1:3" x14ac:dyDescent="0.25">
      <c r="A160" s="342" t="str">
        <f>General!G69</f>
        <v>h</v>
      </c>
      <c r="B160" s="6">
        <v>1</v>
      </c>
      <c r="C160" s="6">
        <v>3</v>
      </c>
    </row>
    <row r="161" spans="1:3" x14ac:dyDescent="0.25">
      <c r="A161" s="342" t="str">
        <f>General!G70</f>
        <v>i</v>
      </c>
      <c r="B161" s="6">
        <v>1</v>
      </c>
      <c r="C161" s="6">
        <v>1</v>
      </c>
    </row>
    <row r="162" spans="1:3" x14ac:dyDescent="0.25">
      <c r="A162" s="342" t="str">
        <f>General!G71</f>
        <v>k</v>
      </c>
      <c r="B162" s="6">
        <v>1</v>
      </c>
      <c r="C162" s="6">
        <v>1</v>
      </c>
    </row>
    <row r="163" spans="1:3" x14ac:dyDescent="0.25">
      <c r="A163" s="342" t="str">
        <f>General!G72</f>
        <v>l</v>
      </c>
      <c r="B163" s="6">
        <v>1</v>
      </c>
      <c r="C163" s="6">
        <v>1</v>
      </c>
    </row>
    <row r="164" spans="1:3" x14ac:dyDescent="0.25">
      <c r="A164" s="342" t="str">
        <f>General!G73</f>
        <v>lf</v>
      </c>
      <c r="B164" s="6">
        <v>1</v>
      </c>
      <c r="C164" s="6">
        <v>1</v>
      </c>
    </row>
    <row r="165" spans="1:3" x14ac:dyDescent="0.25">
      <c r="A165" s="342" t="str">
        <f>General!G74</f>
        <v>ms</v>
      </c>
      <c r="B165" s="6">
        <v>1</v>
      </c>
      <c r="C165" s="6">
        <v>1</v>
      </c>
    </row>
    <row r="166" spans="1:3" x14ac:dyDescent="0.25">
      <c r="A166" s="342" t="str">
        <f>General!G75</f>
        <v>o</v>
      </c>
      <c r="B166" s="6">
        <v>1</v>
      </c>
      <c r="C166" s="6">
        <v>1</v>
      </c>
    </row>
    <row r="167" spans="1:3" x14ac:dyDescent="0.25">
      <c r="A167" s="342" t="str">
        <f>General!G76</f>
        <v>od</v>
      </c>
      <c r="B167" s="6">
        <v>1</v>
      </c>
      <c r="C167" s="6">
        <v>1</v>
      </c>
    </row>
    <row r="168" spans="1:3" x14ac:dyDescent="0.25">
      <c r="A168" s="342" t="str">
        <f>General!G77</f>
        <v>of</v>
      </c>
      <c r="B168" s="6">
        <v>1</v>
      </c>
      <c r="C168" s="6">
        <v>1</v>
      </c>
    </row>
    <row r="169" spans="1:3" x14ac:dyDescent="0.25">
      <c r="A169" s="342" t="str">
        <f>General!G78</f>
        <v>r</v>
      </c>
      <c r="B169" s="6">
        <v>1</v>
      </c>
      <c r="C169" s="6">
        <v>1</v>
      </c>
    </row>
    <row r="170" spans="1:3" x14ac:dyDescent="0.25">
      <c r="A170" s="342" t="str">
        <f>General!G79</f>
        <v>rd</v>
      </c>
      <c r="B170" s="6">
        <v>1</v>
      </c>
      <c r="C170" s="6">
        <v>1</v>
      </c>
    </row>
    <row r="171" spans="1:3" x14ac:dyDescent="0.25">
      <c r="A171" s="342" t="str">
        <f>General!G80</f>
        <v>v</v>
      </c>
      <c r="B171" s="6">
        <v>1</v>
      </c>
      <c r="C171" s="6">
        <v>1</v>
      </c>
    </row>
    <row r="172" spans="1:3" x14ac:dyDescent="0.25">
      <c r="A172" s="342" t="str">
        <f>General!G81</f>
        <v>w</v>
      </c>
      <c r="B172" s="6">
        <v>1</v>
      </c>
      <c r="C172" s="6">
        <v>1</v>
      </c>
    </row>
    <row r="173" spans="1:3" x14ac:dyDescent="0.25">
      <c r="A173" s="342" t="str">
        <f>General!G82</f>
        <v>wd</v>
      </c>
      <c r="B173" s="6">
        <v>1</v>
      </c>
      <c r="C173" s="6">
        <v>1</v>
      </c>
    </row>
    <row r="174" spans="1:3" x14ac:dyDescent="0.25">
      <c r="A174" s="342" t="str">
        <f>General!G83</f>
        <v>z</v>
      </c>
      <c r="B174" s="6">
        <v>1</v>
      </c>
      <c r="C174" s="6">
        <v>1</v>
      </c>
    </row>
    <row r="175" spans="1:3" x14ac:dyDescent="0.25">
      <c r="A175" s="342" t="str">
        <f>General!G84</f>
        <v>zd</v>
      </c>
      <c r="B175" s="6">
        <v>1</v>
      </c>
      <c r="C175" s="6">
        <v>1</v>
      </c>
    </row>
  </sheetData>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3D0A-5083-4ABD-B09C-EBA17F445339}">
  <dimension ref="A10:Q174"/>
  <sheetViews>
    <sheetView topLeftCell="A25" workbookViewId="0">
      <selection activeCell="C35" sqref="C35"/>
    </sheetView>
  </sheetViews>
  <sheetFormatPr defaultColWidth="8.85546875" defaultRowHeight="15" x14ac:dyDescent="0.25"/>
  <cols>
    <col min="1" max="1" width="26" style="1" bestFit="1" customWidth="1"/>
    <col min="2" max="2" width="13.85546875" style="1" customWidth="1"/>
    <col min="3" max="3" width="11.140625" style="1" customWidth="1"/>
    <col min="4" max="4" width="11" style="1" customWidth="1"/>
    <col min="5" max="5" width="12.42578125" style="1" customWidth="1"/>
    <col min="6" max="16384" width="8.85546875" style="1"/>
  </cols>
  <sheetData>
    <row r="10" spans="1:17" x14ac:dyDescent="0.25">
      <c r="A10" s="3" t="s">
        <v>2135</v>
      </c>
    </row>
    <row r="11" spans="1:17" x14ac:dyDescent="0.25">
      <c r="A11" t="s">
        <v>70</v>
      </c>
      <c r="B11" t="s">
        <v>71</v>
      </c>
      <c r="C11" t="s">
        <v>120</v>
      </c>
      <c r="D11" t="s">
        <v>121</v>
      </c>
      <c r="E11" t="s">
        <v>2885</v>
      </c>
      <c r="F11" t="s">
        <v>2886</v>
      </c>
    </row>
    <row r="12" spans="1:17" x14ac:dyDescent="0.25">
      <c r="A12" t="s">
        <v>2756</v>
      </c>
      <c r="B12">
        <v>250000</v>
      </c>
      <c r="C12" s="44">
        <v>1</v>
      </c>
      <c r="D12" s="44">
        <v>0</v>
      </c>
      <c r="E12" s="44">
        <v>0</v>
      </c>
      <c r="F12" s="44">
        <v>0</v>
      </c>
    </row>
    <row r="13" spans="1:17" x14ac:dyDescent="0.25">
      <c r="A13" t="s">
        <v>2754</v>
      </c>
      <c r="B13">
        <v>115000</v>
      </c>
      <c r="C13" s="44">
        <v>1</v>
      </c>
      <c r="D13" s="44">
        <v>0</v>
      </c>
      <c r="E13" s="44">
        <v>0</v>
      </c>
      <c r="F13" s="44">
        <v>0</v>
      </c>
    </row>
    <row r="14" spans="1:17" x14ac:dyDescent="0.25">
      <c r="A14" t="s">
        <v>2755</v>
      </c>
      <c r="B14">
        <v>500000</v>
      </c>
      <c r="C14" s="44">
        <v>0</v>
      </c>
      <c r="D14" s="44">
        <v>1</v>
      </c>
      <c r="E14" s="44">
        <v>0</v>
      </c>
      <c r="F14" s="44">
        <v>0</v>
      </c>
    </row>
    <row r="15" spans="1:17" x14ac:dyDescent="0.25">
      <c r="A15" t="s">
        <v>119</v>
      </c>
      <c r="B15">
        <v>50000</v>
      </c>
      <c r="C15" s="44">
        <v>0</v>
      </c>
      <c r="D15" s="44">
        <v>1</v>
      </c>
      <c r="E15" s="44">
        <v>0</v>
      </c>
      <c r="F15" s="44">
        <v>0</v>
      </c>
      <c r="Q15" s="477"/>
    </row>
    <row r="16" spans="1:17" x14ac:dyDescent="0.25">
      <c r="A16" t="s">
        <v>2757</v>
      </c>
      <c r="B16">
        <v>188000</v>
      </c>
      <c r="C16" s="44">
        <v>0</v>
      </c>
      <c r="D16" s="44">
        <v>0.3</v>
      </c>
      <c r="E16" s="44">
        <v>0</v>
      </c>
      <c r="F16" s="44">
        <v>1</v>
      </c>
    </row>
    <row r="17" spans="1:6" x14ac:dyDescent="0.25">
      <c r="A17" t="s">
        <v>23</v>
      </c>
      <c r="B17">
        <v>350000</v>
      </c>
      <c r="C17" s="44">
        <v>0</v>
      </c>
      <c r="D17" s="44">
        <v>0</v>
      </c>
      <c r="E17" s="44">
        <v>1</v>
      </c>
      <c r="F17" s="44">
        <v>0</v>
      </c>
    </row>
    <row r="18" spans="1:6" x14ac:dyDescent="0.25">
      <c r="A18" t="s">
        <v>24</v>
      </c>
      <c r="B18">
        <v>50000</v>
      </c>
      <c r="C18" s="44">
        <v>0</v>
      </c>
      <c r="D18" s="44">
        <v>0</v>
      </c>
      <c r="E18" s="44">
        <v>0</v>
      </c>
      <c r="F18" s="44">
        <v>1</v>
      </c>
    </row>
    <row r="19" spans="1:6" x14ac:dyDescent="0.25">
      <c r="A19" t="s">
        <v>25</v>
      </c>
      <c r="B19">
        <v>15000</v>
      </c>
      <c r="C19" s="44">
        <v>0</v>
      </c>
      <c r="D19" s="44">
        <v>0</v>
      </c>
      <c r="E19" s="44">
        <v>0</v>
      </c>
      <c r="F19" s="44">
        <v>0</v>
      </c>
    </row>
    <row r="20" spans="1:6" x14ac:dyDescent="0.25">
      <c r="A20" t="s">
        <v>26</v>
      </c>
      <c r="B20">
        <v>50000</v>
      </c>
      <c r="C20" s="44">
        <v>0</v>
      </c>
      <c r="D20" s="44">
        <v>0</v>
      </c>
      <c r="E20" s="44">
        <v>0</v>
      </c>
      <c r="F20" s="44">
        <v>0</v>
      </c>
    </row>
    <row r="21" spans="1:6" x14ac:dyDescent="0.25">
      <c r="A21" t="s">
        <v>27</v>
      </c>
      <c r="B21">
        <v>75000</v>
      </c>
      <c r="C21" s="44">
        <v>0</v>
      </c>
      <c r="D21" s="44">
        <v>0</v>
      </c>
      <c r="E21" s="44">
        <v>0</v>
      </c>
      <c r="F21" s="44">
        <v>0</v>
      </c>
    </row>
    <row r="22" spans="1:6" x14ac:dyDescent="0.25">
      <c r="A22" t="s">
        <v>28</v>
      </c>
      <c r="B22">
        <v>36000</v>
      </c>
      <c r="C22" s="44">
        <v>0.15</v>
      </c>
      <c r="D22" s="44">
        <v>0.3</v>
      </c>
      <c r="E22" s="44">
        <v>0</v>
      </c>
      <c r="F22" s="44">
        <v>0.15</v>
      </c>
    </row>
    <row r="23" spans="1:6" x14ac:dyDescent="0.25">
      <c r="A23" t="s">
        <v>2759</v>
      </c>
      <c r="B23">
        <v>78000</v>
      </c>
      <c r="C23" s="44">
        <v>0</v>
      </c>
      <c r="D23" s="44">
        <v>1</v>
      </c>
      <c r="E23" s="44">
        <v>0</v>
      </c>
      <c r="F23" s="44">
        <v>0</v>
      </c>
    </row>
    <row r="24" spans="1:6" x14ac:dyDescent="0.25">
      <c r="A24" t="s">
        <v>30</v>
      </c>
      <c r="B24">
        <v>22000</v>
      </c>
      <c r="C24" s="44">
        <v>0</v>
      </c>
      <c r="D24" s="44">
        <v>0.05</v>
      </c>
      <c r="E24" s="44">
        <v>0</v>
      </c>
      <c r="F24" s="44">
        <v>0</v>
      </c>
    </row>
    <row r="25" spans="1:6" x14ac:dyDescent="0.25">
      <c r="A25" t="s">
        <v>2758</v>
      </c>
      <c r="B25">
        <v>50000</v>
      </c>
      <c r="C25" s="44">
        <v>0.05</v>
      </c>
      <c r="D25" s="44">
        <v>0.05</v>
      </c>
      <c r="E25" s="44">
        <v>0.05</v>
      </c>
      <c r="F25" s="44">
        <v>0.05</v>
      </c>
    </row>
    <row r="26" spans="1:6" x14ac:dyDescent="0.25">
      <c r="A26" t="s">
        <v>32</v>
      </c>
      <c r="B26">
        <v>36000</v>
      </c>
      <c r="C26" s="44">
        <v>0</v>
      </c>
      <c r="D26" s="44">
        <v>0</v>
      </c>
      <c r="E26" s="44">
        <v>0</v>
      </c>
      <c r="F26" s="44">
        <v>0</v>
      </c>
    </row>
    <row r="27" spans="1:6" x14ac:dyDescent="0.25">
      <c r="B27" s="369">
        <f>SUM(B12:B26)</f>
        <v>1865000</v>
      </c>
    </row>
    <row r="28" spans="1:6" x14ac:dyDescent="0.25">
      <c r="A28" s="3" t="s">
        <v>33</v>
      </c>
    </row>
    <row r="29" spans="1:6" x14ac:dyDescent="0.25">
      <c r="A29" t="s">
        <v>2752</v>
      </c>
      <c r="B29" s="432">
        <v>1</v>
      </c>
    </row>
    <row r="30" spans="1:6" ht="7.35" customHeight="1" x14ac:dyDescent="0.25"/>
    <row r="31" spans="1:6" x14ac:dyDescent="0.25">
      <c r="A31" t="s">
        <v>2892</v>
      </c>
      <c r="B31">
        <v>12.5</v>
      </c>
      <c r="C31" s="1" t="s">
        <v>2891</v>
      </c>
      <c r="D31" s="1" t="s">
        <v>3008</v>
      </c>
    </row>
    <row r="32" spans="1:6" ht="7.15" customHeight="1" x14ac:dyDescent="0.25"/>
    <row r="33" spans="1:3" x14ac:dyDescent="0.25">
      <c r="A33" t="s">
        <v>3267</v>
      </c>
      <c r="B33">
        <v>60</v>
      </c>
      <c r="C33" s="1" t="s">
        <v>2894</v>
      </c>
    </row>
    <row r="34" spans="1:3" ht="7.15" customHeight="1" x14ac:dyDescent="0.25"/>
    <row r="35" spans="1:3" x14ac:dyDescent="0.25">
      <c r="A35" t="s">
        <v>3268</v>
      </c>
      <c r="B35">
        <v>78</v>
      </c>
      <c r="C35" s="1" t="s">
        <v>3270</v>
      </c>
    </row>
    <row r="36" spans="1:3" ht="7.15" customHeight="1" x14ac:dyDescent="0.25"/>
    <row r="37" spans="1:3" x14ac:dyDescent="0.25">
      <c r="A37" t="s">
        <v>54</v>
      </c>
      <c r="B37"/>
    </row>
    <row r="38" spans="1:3" x14ac:dyDescent="0.25">
      <c r="A38" s="341" t="str">
        <f>General!I66</f>
        <v>a</v>
      </c>
      <c r="B38">
        <v>1</v>
      </c>
    </row>
    <row r="39" spans="1:3" x14ac:dyDescent="0.25">
      <c r="A39" s="341" t="str">
        <f>General!I67</f>
        <v>a2</v>
      </c>
      <c r="B39">
        <v>1</v>
      </c>
    </row>
    <row r="40" spans="1:3" x14ac:dyDescent="0.25">
      <c r="A40" s="341" t="str">
        <f>General!I68</f>
        <v>b</v>
      </c>
      <c r="B40">
        <v>1</v>
      </c>
    </row>
    <row r="41" spans="1:3" x14ac:dyDescent="0.25">
      <c r="A41" s="341" t="str">
        <f>General!I69</f>
        <v>bd</v>
      </c>
      <c r="B41">
        <v>1</v>
      </c>
    </row>
    <row r="42" spans="1:3" x14ac:dyDescent="0.25">
      <c r="A42" s="341" t="str">
        <f>General!I70</f>
        <v>f</v>
      </c>
      <c r="B42">
        <v>1</v>
      </c>
    </row>
    <row r="43" spans="1:3" x14ac:dyDescent="0.25">
      <c r="A43" s="341" t="str">
        <f>General!I71</f>
        <v>h</v>
      </c>
      <c r="B43">
        <v>1</v>
      </c>
    </row>
    <row r="44" spans="1:3" x14ac:dyDescent="0.25">
      <c r="A44" s="341" t="str">
        <f>General!I72</f>
        <v>i</v>
      </c>
      <c r="B44">
        <v>1</v>
      </c>
    </row>
    <row r="45" spans="1:3" x14ac:dyDescent="0.25">
      <c r="A45" s="341" t="str">
        <f>General!I73</f>
        <v>j</v>
      </c>
      <c r="B45">
        <v>1</v>
      </c>
    </row>
    <row r="46" spans="1:3" x14ac:dyDescent="0.25">
      <c r="A46" s="341" t="str">
        <f>General!I74</f>
        <v>jc</v>
      </c>
      <c r="B46">
        <v>1</v>
      </c>
    </row>
    <row r="47" spans="1:3" x14ac:dyDescent="0.25">
      <c r="A47" s="341" t="str">
        <f>General!I75</f>
        <v>k</v>
      </c>
      <c r="B47">
        <v>1</v>
      </c>
    </row>
    <row r="48" spans="1:3" x14ac:dyDescent="0.25">
      <c r="A48" s="341" t="str">
        <f>General!I76</f>
        <v>l</v>
      </c>
      <c r="B48">
        <v>1</v>
      </c>
    </row>
    <row r="49" spans="1:2" x14ac:dyDescent="0.25">
      <c r="A49" s="341" t="str">
        <f>General!I77</f>
        <v>lf</v>
      </c>
      <c r="B49">
        <v>1</v>
      </c>
    </row>
    <row r="50" spans="1:2" x14ac:dyDescent="0.25">
      <c r="A50" s="341" t="str">
        <f>General!I78</f>
        <v>m</v>
      </c>
      <c r="B50">
        <v>1</v>
      </c>
    </row>
    <row r="51" spans="1:2" x14ac:dyDescent="0.25">
      <c r="A51" s="341" t="str">
        <f>General!I79</f>
        <v>ms</v>
      </c>
      <c r="B51">
        <v>1</v>
      </c>
    </row>
    <row r="52" spans="1:2" x14ac:dyDescent="0.25">
      <c r="A52" s="341" t="str">
        <f>General!I80</f>
        <v>o</v>
      </c>
      <c r="B52">
        <v>1</v>
      </c>
    </row>
    <row r="53" spans="1:2" x14ac:dyDescent="0.25">
      <c r="A53" s="341" t="str">
        <f>General!I81</f>
        <v>od</v>
      </c>
      <c r="B53">
        <v>1</v>
      </c>
    </row>
    <row r="54" spans="1:2" x14ac:dyDescent="0.25">
      <c r="A54" s="341" t="str">
        <f>General!I82</f>
        <v>of</v>
      </c>
      <c r="B54">
        <v>1</v>
      </c>
    </row>
    <row r="55" spans="1:2" x14ac:dyDescent="0.25">
      <c r="A55" s="341" t="str">
        <f>General!I83</f>
        <v>r</v>
      </c>
      <c r="B55">
        <v>1</v>
      </c>
    </row>
    <row r="56" spans="1:2" x14ac:dyDescent="0.25">
      <c r="A56" s="341" t="str">
        <f>General!I84</f>
        <v>rd</v>
      </c>
      <c r="B56">
        <v>1</v>
      </c>
    </row>
    <row r="57" spans="1:2" x14ac:dyDescent="0.25">
      <c r="A57" s="341" t="str">
        <f>General!I85</f>
        <v>s</v>
      </c>
      <c r="B57">
        <v>1</v>
      </c>
    </row>
    <row r="58" spans="1:2" x14ac:dyDescent="0.25">
      <c r="A58" s="341" t="str">
        <f>General!I86</f>
        <v>sp</v>
      </c>
      <c r="B58">
        <v>1</v>
      </c>
    </row>
    <row r="59" spans="1:2" x14ac:dyDescent="0.25">
      <c r="A59" s="341" t="str">
        <f>General!I87</f>
        <v>t</v>
      </c>
      <c r="B59">
        <v>1</v>
      </c>
    </row>
    <row r="60" spans="1:2" x14ac:dyDescent="0.25">
      <c r="A60" s="341" t="str">
        <f>General!I88</f>
        <v>tc</v>
      </c>
      <c r="B60">
        <v>1</v>
      </c>
    </row>
    <row r="61" spans="1:2" x14ac:dyDescent="0.25">
      <c r="A61" s="341" t="str">
        <f>General!I89</f>
        <v>u</v>
      </c>
      <c r="B61">
        <v>1</v>
      </c>
    </row>
    <row r="62" spans="1:2" x14ac:dyDescent="0.25">
      <c r="A62" s="341" t="str">
        <f>General!I90</f>
        <v>uc</v>
      </c>
      <c r="B62">
        <v>1</v>
      </c>
    </row>
    <row r="63" spans="1:2" x14ac:dyDescent="0.25">
      <c r="A63" s="341" t="str">
        <f>General!I91</f>
        <v>v</v>
      </c>
      <c r="B63">
        <v>1</v>
      </c>
    </row>
    <row r="64" spans="1:2" x14ac:dyDescent="0.25">
      <c r="A64" s="341" t="str">
        <f>General!I92</f>
        <v>w</v>
      </c>
      <c r="B64">
        <v>1</v>
      </c>
    </row>
    <row r="65" spans="1:3" x14ac:dyDescent="0.25">
      <c r="A65" s="341" t="str">
        <f>General!I93</f>
        <v>wd</v>
      </c>
      <c r="B65">
        <v>1</v>
      </c>
    </row>
    <row r="66" spans="1:3" x14ac:dyDescent="0.25">
      <c r="A66" s="341" t="str">
        <f>General!I94</f>
        <v>x</v>
      </c>
      <c r="B66">
        <v>1</v>
      </c>
    </row>
    <row r="67" spans="1:3" x14ac:dyDescent="0.25">
      <c r="A67" s="341" t="str">
        <f>General!I95</f>
        <v>xc</v>
      </c>
      <c r="B67">
        <v>1</v>
      </c>
    </row>
    <row r="68" spans="1:3" x14ac:dyDescent="0.25">
      <c r="A68" s="341" t="str">
        <f>General!I96</f>
        <v>z</v>
      </c>
      <c r="B68">
        <v>1</v>
      </c>
    </row>
    <row r="69" spans="1:3" x14ac:dyDescent="0.25">
      <c r="A69" s="341" t="str">
        <f>General!I97</f>
        <v>zd</v>
      </c>
      <c r="B69">
        <v>1</v>
      </c>
    </row>
    <row r="71" spans="1:3" x14ac:dyDescent="0.25">
      <c r="A71" s="3" t="s">
        <v>35</v>
      </c>
    </row>
    <row r="72" spans="1:3" x14ac:dyDescent="0.25">
      <c r="A72" t="s">
        <v>2753</v>
      </c>
      <c r="B72" s="432">
        <v>1</v>
      </c>
    </row>
    <row r="73" spans="1:3" ht="7.35" customHeight="1" x14ac:dyDescent="0.25"/>
    <row r="74" spans="1:3" x14ac:dyDescent="0.25">
      <c r="A74" t="s">
        <v>2877</v>
      </c>
      <c r="B74">
        <v>63</v>
      </c>
    </row>
    <row r="75" spans="1:3" ht="7.15" customHeight="1" x14ac:dyDescent="0.25"/>
    <row r="76" spans="1:3" x14ac:dyDescent="0.25">
      <c r="A76" t="s">
        <v>3271</v>
      </c>
      <c r="B76">
        <f>0.3*harvest_maint</f>
        <v>24</v>
      </c>
      <c r="C76" s="1" t="s">
        <v>3272</v>
      </c>
    </row>
    <row r="77" spans="1:3" ht="7.15" customHeight="1" x14ac:dyDescent="0.25"/>
    <row r="78" spans="1:3" x14ac:dyDescent="0.25">
      <c r="A78" t="s">
        <v>2887</v>
      </c>
      <c r="B78"/>
    </row>
    <row r="79" spans="1:3" x14ac:dyDescent="0.25">
      <c r="A79" s="341" t="str">
        <f>General!G66</f>
        <v>b</v>
      </c>
      <c r="B79">
        <v>30</v>
      </c>
      <c r="C79" s="1" t="s">
        <v>2888</v>
      </c>
    </row>
    <row r="80" spans="1:3" x14ac:dyDescent="0.25">
      <c r="A80" s="341" t="str">
        <f>General!G67</f>
        <v>bd</v>
      </c>
      <c r="B80">
        <v>30</v>
      </c>
      <c r="C80" s="1" t="s">
        <v>2888</v>
      </c>
    </row>
    <row r="81" spans="1:3" x14ac:dyDescent="0.25">
      <c r="A81" s="341" t="str">
        <f>General!G68</f>
        <v>f</v>
      </c>
      <c r="B81">
        <v>18</v>
      </c>
      <c r="C81" s="1" t="s">
        <v>2888</v>
      </c>
    </row>
    <row r="82" spans="1:3" x14ac:dyDescent="0.25">
      <c r="A82" s="341" t="str">
        <f>General!G69</f>
        <v>h</v>
      </c>
      <c r="B82">
        <v>30</v>
      </c>
      <c r="C82" s="1" t="s">
        <v>2888</v>
      </c>
    </row>
    <row r="83" spans="1:3" x14ac:dyDescent="0.25">
      <c r="A83" s="341" t="str">
        <f>General!G70</f>
        <v>i</v>
      </c>
      <c r="B83">
        <v>18</v>
      </c>
      <c r="C83" s="1" t="s">
        <v>2888</v>
      </c>
    </row>
    <row r="84" spans="1:3" x14ac:dyDescent="0.25">
      <c r="A84" s="341" t="str">
        <f>General!G71</f>
        <v>k</v>
      </c>
      <c r="B84">
        <v>18</v>
      </c>
      <c r="C84" s="1" t="s">
        <v>2888</v>
      </c>
    </row>
    <row r="85" spans="1:3" x14ac:dyDescent="0.25">
      <c r="A85" s="341" t="str">
        <f>General!G72</f>
        <v>l</v>
      </c>
      <c r="B85">
        <v>18</v>
      </c>
      <c r="C85" s="1" t="s">
        <v>2888</v>
      </c>
    </row>
    <row r="86" spans="1:3" x14ac:dyDescent="0.25">
      <c r="A86" s="341" t="str">
        <f>General!G73</f>
        <v>lf</v>
      </c>
      <c r="B86">
        <v>18</v>
      </c>
      <c r="C86" s="1" t="s">
        <v>2888</v>
      </c>
    </row>
    <row r="87" spans="1:3" x14ac:dyDescent="0.25">
      <c r="A87" s="341" t="str">
        <f>General!G74</f>
        <v>ms</v>
      </c>
      <c r="B87" s="524">
        <f>0.65*B79+0.35*B85</f>
        <v>25.8</v>
      </c>
      <c r="C87" s="1" t="s">
        <v>2888</v>
      </c>
    </row>
    <row r="88" spans="1:3" x14ac:dyDescent="0.25">
      <c r="A88" s="341" t="str">
        <f>General!G75</f>
        <v>o</v>
      </c>
      <c r="B88">
        <v>30</v>
      </c>
      <c r="C88" s="1" t="s">
        <v>2888</v>
      </c>
    </row>
    <row r="89" spans="1:3" x14ac:dyDescent="0.25">
      <c r="A89" s="341" t="str">
        <f>General!G76</f>
        <v>od</v>
      </c>
      <c r="B89">
        <v>30</v>
      </c>
      <c r="C89" s="1" t="s">
        <v>2888</v>
      </c>
    </row>
    <row r="90" spans="1:3" x14ac:dyDescent="0.25">
      <c r="A90" s="341" t="str">
        <f>General!G77</f>
        <v>of</v>
      </c>
      <c r="B90">
        <v>30</v>
      </c>
      <c r="C90" s="1" t="s">
        <v>2888</v>
      </c>
    </row>
    <row r="91" spans="1:3" x14ac:dyDescent="0.25">
      <c r="A91" s="341" t="str">
        <f>General!G78</f>
        <v>r</v>
      </c>
      <c r="B91">
        <v>12</v>
      </c>
      <c r="C91" s="1" t="s">
        <v>2888</v>
      </c>
    </row>
    <row r="92" spans="1:3" x14ac:dyDescent="0.25">
      <c r="A92" s="341" t="str">
        <f>General!G79</f>
        <v>rd</v>
      </c>
      <c r="B92">
        <v>12</v>
      </c>
      <c r="C92" s="1" t="s">
        <v>2888</v>
      </c>
    </row>
    <row r="93" spans="1:3" x14ac:dyDescent="0.25">
      <c r="A93" s="341" t="str">
        <f>General!G80</f>
        <v>v</v>
      </c>
      <c r="B93">
        <v>18</v>
      </c>
      <c r="C93" s="1" t="s">
        <v>2888</v>
      </c>
    </row>
    <row r="94" spans="1:3" x14ac:dyDescent="0.25">
      <c r="A94" s="341" t="str">
        <f>General!G81</f>
        <v>w</v>
      </c>
      <c r="B94">
        <v>30</v>
      </c>
      <c r="C94" s="1" t="s">
        <v>2888</v>
      </c>
    </row>
    <row r="95" spans="1:3" x14ac:dyDescent="0.25">
      <c r="A95" s="341" t="str">
        <f>General!G82</f>
        <v>wd</v>
      </c>
      <c r="B95">
        <v>30</v>
      </c>
      <c r="C95" s="1" t="s">
        <v>2888</v>
      </c>
    </row>
    <row r="96" spans="1:3" x14ac:dyDescent="0.25">
      <c r="A96" s="341" t="str">
        <f>General!G83</f>
        <v>z</v>
      </c>
      <c r="B96">
        <v>12</v>
      </c>
      <c r="C96" s="1" t="s">
        <v>2888</v>
      </c>
    </row>
    <row r="97" spans="1:3" x14ac:dyDescent="0.25">
      <c r="A97" s="341" t="str">
        <f>General!G84</f>
        <v>zd</v>
      </c>
      <c r="B97">
        <v>12</v>
      </c>
      <c r="C97" s="1" t="s">
        <v>2888</v>
      </c>
    </row>
    <row r="99" spans="1:3" x14ac:dyDescent="0.25">
      <c r="A99" t="s">
        <v>37</v>
      </c>
      <c r="B99">
        <v>80</v>
      </c>
      <c r="C99" s="1" t="s">
        <v>2876</v>
      </c>
    </row>
    <row r="101" spans="1:3" x14ac:dyDescent="0.25">
      <c r="A101" t="s">
        <v>37</v>
      </c>
      <c r="B101" t="s">
        <v>3269</v>
      </c>
    </row>
    <row r="102" spans="1:3" x14ac:dyDescent="0.25">
      <c r="A102" s="341" t="str">
        <f>General!G66</f>
        <v>b</v>
      </c>
      <c r="B102" s="326">
        <v>1</v>
      </c>
    </row>
    <row r="103" spans="1:3" x14ac:dyDescent="0.25">
      <c r="A103" s="341" t="str">
        <f>General!G67</f>
        <v>bd</v>
      </c>
      <c r="B103" s="326">
        <v>1</v>
      </c>
    </row>
    <row r="104" spans="1:3" x14ac:dyDescent="0.25">
      <c r="A104" s="341" t="str">
        <f>General!G68</f>
        <v>f</v>
      </c>
      <c r="B104" s="326">
        <f>38/33</f>
        <v>1.1515151515151516</v>
      </c>
    </row>
    <row r="105" spans="1:3" x14ac:dyDescent="0.25">
      <c r="A105" s="341" t="str">
        <f>General!G69</f>
        <v>h</v>
      </c>
      <c r="B105" s="326">
        <v>1</v>
      </c>
    </row>
    <row r="106" spans="1:3" x14ac:dyDescent="0.25">
      <c r="A106" s="341" t="str">
        <f>General!G70</f>
        <v>i</v>
      </c>
      <c r="B106" s="326">
        <f t="shared" ref="B106:B107" si="0">38/33</f>
        <v>1.1515151515151516</v>
      </c>
    </row>
    <row r="107" spans="1:3" x14ac:dyDescent="0.25">
      <c r="A107" s="341" t="str">
        <f>General!G71</f>
        <v>k</v>
      </c>
      <c r="B107" s="326">
        <f t="shared" si="0"/>
        <v>1.1515151515151516</v>
      </c>
    </row>
    <row r="108" spans="1:3" x14ac:dyDescent="0.25">
      <c r="A108" s="341" t="str">
        <f>General!G72</f>
        <v>l</v>
      </c>
      <c r="B108" s="326">
        <v>1</v>
      </c>
    </row>
    <row r="109" spans="1:3" x14ac:dyDescent="0.25">
      <c r="A109" s="341" t="str">
        <f>General!G73</f>
        <v>lf</v>
      </c>
      <c r="B109" s="326">
        <v>1</v>
      </c>
    </row>
    <row r="110" spans="1:3" x14ac:dyDescent="0.25">
      <c r="A110" s="341" t="str">
        <f>General!G74</f>
        <v>ms</v>
      </c>
      <c r="B110" s="611">
        <f>0.65*B102+0.35*B108</f>
        <v>1</v>
      </c>
    </row>
    <row r="111" spans="1:3" x14ac:dyDescent="0.25">
      <c r="A111" s="341" t="str">
        <f>General!G75</f>
        <v>o</v>
      </c>
      <c r="B111" s="326">
        <v>1</v>
      </c>
    </row>
    <row r="112" spans="1:3" x14ac:dyDescent="0.25">
      <c r="A112" s="341" t="str">
        <f>General!G76</f>
        <v>od</v>
      </c>
      <c r="B112" s="326">
        <v>1</v>
      </c>
    </row>
    <row r="113" spans="1:3" x14ac:dyDescent="0.25">
      <c r="A113" s="341" t="str">
        <f>General!G77</f>
        <v>of</v>
      </c>
      <c r="B113" s="326">
        <v>1</v>
      </c>
    </row>
    <row r="114" spans="1:3" x14ac:dyDescent="0.25">
      <c r="A114" s="341" t="str">
        <f>General!G78</f>
        <v>r</v>
      </c>
      <c r="B114" s="326">
        <f t="shared" ref="B114:B116" si="1">38/33</f>
        <v>1.1515151515151516</v>
      </c>
    </row>
    <row r="115" spans="1:3" x14ac:dyDescent="0.25">
      <c r="A115" s="341" t="str">
        <f>General!G79</f>
        <v>rd</v>
      </c>
      <c r="B115" s="326">
        <f t="shared" si="1"/>
        <v>1.1515151515151516</v>
      </c>
    </row>
    <row r="116" spans="1:3" x14ac:dyDescent="0.25">
      <c r="A116" s="341" t="str">
        <f>General!G80</f>
        <v>v</v>
      </c>
      <c r="B116" s="326">
        <f t="shared" si="1"/>
        <v>1.1515151515151516</v>
      </c>
    </row>
    <row r="117" spans="1:3" x14ac:dyDescent="0.25">
      <c r="A117" s="341" t="str">
        <f>General!G81</f>
        <v>w</v>
      </c>
      <c r="B117" s="326">
        <v>1</v>
      </c>
    </row>
    <row r="118" spans="1:3" x14ac:dyDescent="0.25">
      <c r="A118" s="341" t="str">
        <f>General!G82</f>
        <v>wd</v>
      </c>
      <c r="B118" s="326">
        <v>1</v>
      </c>
    </row>
    <row r="119" spans="1:3" x14ac:dyDescent="0.25">
      <c r="A119" s="341" t="str">
        <f>General!G83</f>
        <v>z</v>
      </c>
      <c r="B119" s="326">
        <f t="shared" ref="B119:B120" si="2">38/33</f>
        <v>1.1515151515151516</v>
      </c>
    </row>
    <row r="120" spans="1:3" x14ac:dyDescent="0.25">
      <c r="A120" s="341" t="str">
        <f>General!G84</f>
        <v>zd</v>
      </c>
      <c r="B120" s="326">
        <f t="shared" si="2"/>
        <v>1.1515151515151516</v>
      </c>
    </row>
    <row r="122" spans="1:3" x14ac:dyDescent="0.25">
      <c r="A122" s="3" t="s">
        <v>38</v>
      </c>
    </row>
    <row r="123" spans="1:3" x14ac:dyDescent="0.25">
      <c r="A123" t="s">
        <v>2893</v>
      </c>
      <c r="B123">
        <v>50</v>
      </c>
      <c r="C123" s="1" t="s">
        <v>2895</v>
      </c>
    </row>
    <row r="124" spans="1:3" ht="4.1500000000000004" customHeight="1" x14ac:dyDescent="0.25"/>
    <row r="125" spans="1:3" x14ac:dyDescent="0.25">
      <c r="A125" t="s">
        <v>39</v>
      </c>
      <c r="B125">
        <v>40</v>
      </c>
      <c r="C125" s="1" t="s">
        <v>2894</v>
      </c>
    </row>
    <row r="126" spans="1:3" ht="3" customHeight="1" x14ac:dyDescent="0.25"/>
    <row r="127" spans="1:3" x14ac:dyDescent="0.25">
      <c r="A127" t="s">
        <v>40</v>
      </c>
      <c r="B127">
        <v>50</v>
      </c>
      <c r="C127" s="1" t="s">
        <v>3270</v>
      </c>
    </row>
    <row r="129" spans="1:3" x14ac:dyDescent="0.25">
      <c r="A129" s="3" t="s">
        <v>41</v>
      </c>
    </row>
    <row r="130" spans="1:3" x14ac:dyDescent="0.25">
      <c r="A130" t="s">
        <v>42</v>
      </c>
      <c r="B130">
        <v>20</v>
      </c>
      <c r="C130" s="1" t="s">
        <v>116</v>
      </c>
    </row>
    <row r="132" spans="1:3" x14ac:dyDescent="0.25">
      <c r="B132" t="s">
        <v>43</v>
      </c>
      <c r="C132"/>
    </row>
    <row r="133" spans="1:3" x14ac:dyDescent="0.25">
      <c r="A133" s="427" t="s">
        <v>45</v>
      </c>
      <c r="B133" t="str">
        <f>General!K66</f>
        <v>lime</v>
      </c>
      <c r="C133">
        <v>15</v>
      </c>
    </row>
    <row r="134" spans="1:3" x14ac:dyDescent="0.25">
      <c r="A134" s="427" t="s">
        <v>44</v>
      </c>
      <c r="B134" t="str">
        <f>General!K67</f>
        <v>early</v>
      </c>
      <c r="C134">
        <v>25</v>
      </c>
    </row>
    <row r="135" spans="1:3" x14ac:dyDescent="0.25">
      <c r="A135" s="427" t="s">
        <v>69</v>
      </c>
      <c r="B135" t="str">
        <f>General!K68</f>
        <v>at_seeding</v>
      </c>
      <c r="C135"/>
    </row>
    <row r="136" spans="1:3" x14ac:dyDescent="0.25">
      <c r="A136" s="427" t="s">
        <v>2896</v>
      </c>
      <c r="B136" t="str">
        <f>General!K69</f>
        <v>mid</v>
      </c>
      <c r="C136">
        <v>25</v>
      </c>
    </row>
    <row r="137" spans="1:3" x14ac:dyDescent="0.25">
      <c r="A137" s="427" t="s">
        <v>2534</v>
      </c>
      <c r="B137" t="str">
        <f>General!K70</f>
        <v>late</v>
      </c>
      <c r="C137">
        <v>36</v>
      </c>
    </row>
    <row r="139" spans="1:3" x14ac:dyDescent="0.25">
      <c r="A139" t="s">
        <v>46</v>
      </c>
      <c r="B139">
        <v>5</v>
      </c>
    </row>
    <row r="140" spans="1:3" ht="7.15" customHeight="1" x14ac:dyDescent="0.25"/>
    <row r="141" spans="1:3" x14ac:dyDescent="0.25">
      <c r="A141" t="s">
        <v>47</v>
      </c>
      <c r="B141">
        <v>0.25</v>
      </c>
      <c r="C141" s="1" t="s">
        <v>117</v>
      </c>
    </row>
    <row r="142" spans="1:3" ht="7.9" customHeight="1" x14ac:dyDescent="0.25"/>
    <row r="143" spans="1:3" x14ac:dyDescent="0.25">
      <c r="A143" t="s">
        <v>48</v>
      </c>
      <c r="B143">
        <v>20</v>
      </c>
      <c r="C143" s="1" t="s">
        <v>114</v>
      </c>
    </row>
    <row r="144" spans="1:3" ht="5.45" customHeight="1" x14ac:dyDescent="0.25"/>
    <row r="145" spans="1:3" x14ac:dyDescent="0.25">
      <c r="A145" t="s">
        <v>49</v>
      </c>
      <c r="B145">
        <v>0.75</v>
      </c>
    </row>
    <row r="146" spans="1:3" ht="6" customHeight="1" x14ac:dyDescent="0.25"/>
    <row r="147" spans="1:3" x14ac:dyDescent="0.25">
      <c r="A147" t="s">
        <v>50</v>
      </c>
      <c r="B147">
        <f>14.3+10</f>
        <v>24.3</v>
      </c>
      <c r="C147" s="1" t="s">
        <v>118</v>
      </c>
    </row>
    <row r="149" spans="1:3" x14ac:dyDescent="0.25">
      <c r="A149" s="3" t="s">
        <v>51</v>
      </c>
    </row>
    <row r="150" spans="1:3" x14ac:dyDescent="0.25">
      <c r="A150" t="s">
        <v>52</v>
      </c>
      <c r="B150">
        <v>2</v>
      </c>
      <c r="C150" s="1" t="s">
        <v>115</v>
      </c>
    </row>
    <row r="151" spans="1:3" ht="6" customHeight="1" x14ac:dyDescent="0.25"/>
    <row r="152" spans="1:3" x14ac:dyDescent="0.25">
      <c r="A152" t="s">
        <v>53</v>
      </c>
      <c r="B152">
        <f>1.3+5</f>
        <v>6.3</v>
      </c>
      <c r="C152" s="1" t="s">
        <v>13</v>
      </c>
    </row>
    <row r="154" spans="1:3" x14ac:dyDescent="0.25">
      <c r="A154" s="3" t="s">
        <v>81</v>
      </c>
    </row>
    <row r="155" spans="1:3" x14ac:dyDescent="0.25">
      <c r="A155" s="6"/>
      <c r="B155" s="6" t="s">
        <v>92</v>
      </c>
      <c r="C155" s="6" t="s">
        <v>93</v>
      </c>
    </row>
    <row r="156" spans="1:3" x14ac:dyDescent="0.25">
      <c r="A156" s="342" t="str">
        <f>General!G66</f>
        <v>b</v>
      </c>
      <c r="B156" s="6">
        <v>1</v>
      </c>
      <c r="C156" s="6">
        <v>1</v>
      </c>
    </row>
    <row r="157" spans="1:3" x14ac:dyDescent="0.25">
      <c r="A157" s="342" t="str">
        <f>General!G67</f>
        <v>bd</v>
      </c>
      <c r="B157" s="6">
        <v>1</v>
      </c>
      <c r="C157" s="6">
        <v>1</v>
      </c>
    </row>
    <row r="158" spans="1:3" x14ac:dyDescent="0.25">
      <c r="A158" s="342" t="str">
        <f>General!G68</f>
        <v>f</v>
      </c>
      <c r="B158" s="6">
        <v>1</v>
      </c>
      <c r="C158" s="6">
        <v>1</v>
      </c>
    </row>
    <row r="159" spans="1:3" x14ac:dyDescent="0.25">
      <c r="A159" s="342" t="str">
        <f>General!G69</f>
        <v>h</v>
      </c>
      <c r="B159" s="6">
        <v>1</v>
      </c>
      <c r="C159" s="6">
        <v>3</v>
      </c>
    </row>
    <row r="160" spans="1:3" x14ac:dyDescent="0.25">
      <c r="A160" s="342" t="str">
        <f>General!G70</f>
        <v>i</v>
      </c>
      <c r="B160" s="6">
        <v>1</v>
      </c>
      <c r="C160" s="6">
        <v>1</v>
      </c>
    </row>
    <row r="161" spans="1:3" x14ac:dyDescent="0.25">
      <c r="A161" s="342" t="str">
        <f>General!G71</f>
        <v>k</v>
      </c>
      <c r="B161" s="6">
        <v>1</v>
      </c>
      <c r="C161" s="6">
        <v>1</v>
      </c>
    </row>
    <row r="162" spans="1:3" x14ac:dyDescent="0.25">
      <c r="A162" s="342" t="str">
        <f>General!G72</f>
        <v>l</v>
      </c>
      <c r="B162" s="6">
        <v>1</v>
      </c>
      <c r="C162" s="6">
        <v>1</v>
      </c>
    </row>
    <row r="163" spans="1:3" x14ac:dyDescent="0.25">
      <c r="A163" s="342" t="str">
        <f>General!G73</f>
        <v>lf</v>
      </c>
      <c r="B163" s="6">
        <v>1</v>
      </c>
      <c r="C163" s="6">
        <v>1</v>
      </c>
    </row>
    <row r="164" spans="1:3" x14ac:dyDescent="0.25">
      <c r="A164" s="342" t="str">
        <f>General!G74</f>
        <v>ms</v>
      </c>
      <c r="B164" s="6">
        <v>1</v>
      </c>
      <c r="C164" s="6">
        <v>1</v>
      </c>
    </row>
    <row r="165" spans="1:3" x14ac:dyDescent="0.25">
      <c r="A165" s="342" t="str">
        <f>General!G75</f>
        <v>o</v>
      </c>
      <c r="B165" s="6">
        <v>1</v>
      </c>
      <c r="C165" s="6">
        <v>1</v>
      </c>
    </row>
    <row r="166" spans="1:3" x14ac:dyDescent="0.25">
      <c r="A166" s="342" t="str">
        <f>General!G76</f>
        <v>od</v>
      </c>
      <c r="B166" s="6">
        <v>1</v>
      </c>
      <c r="C166" s="6">
        <v>1</v>
      </c>
    </row>
    <row r="167" spans="1:3" x14ac:dyDescent="0.25">
      <c r="A167" s="342" t="str">
        <f>General!G77</f>
        <v>of</v>
      </c>
      <c r="B167" s="6">
        <v>1</v>
      </c>
      <c r="C167" s="6">
        <v>1</v>
      </c>
    </row>
    <row r="168" spans="1:3" x14ac:dyDescent="0.25">
      <c r="A168" s="342" t="str">
        <f>General!G78</f>
        <v>r</v>
      </c>
      <c r="B168" s="6">
        <v>1</v>
      </c>
      <c r="C168" s="6">
        <v>1</v>
      </c>
    </row>
    <row r="169" spans="1:3" x14ac:dyDescent="0.25">
      <c r="A169" s="342" t="str">
        <f>General!G79</f>
        <v>rd</v>
      </c>
      <c r="B169" s="6">
        <v>1</v>
      </c>
      <c r="C169" s="6">
        <v>1</v>
      </c>
    </row>
    <row r="170" spans="1:3" x14ac:dyDescent="0.25">
      <c r="A170" s="342" t="str">
        <f>General!G80</f>
        <v>v</v>
      </c>
      <c r="B170" s="6">
        <v>1</v>
      </c>
      <c r="C170" s="6">
        <v>1</v>
      </c>
    </row>
    <row r="171" spans="1:3" x14ac:dyDescent="0.25">
      <c r="A171" s="342" t="str">
        <f>General!G81</f>
        <v>w</v>
      </c>
      <c r="B171" s="6">
        <v>1</v>
      </c>
      <c r="C171" s="6">
        <v>1</v>
      </c>
    </row>
    <row r="172" spans="1:3" x14ac:dyDescent="0.25">
      <c r="A172" s="342" t="str">
        <f>General!G82</f>
        <v>wd</v>
      </c>
      <c r="B172" s="6">
        <v>1</v>
      </c>
      <c r="C172" s="6">
        <v>1</v>
      </c>
    </row>
    <row r="173" spans="1:3" x14ac:dyDescent="0.25">
      <c r="A173" s="342" t="str">
        <f>General!G83</f>
        <v>z</v>
      </c>
      <c r="B173" s="6">
        <v>1</v>
      </c>
      <c r="C173" s="6">
        <v>1</v>
      </c>
    </row>
    <row r="174" spans="1:3" x14ac:dyDescent="0.25">
      <c r="A174" s="342" t="str">
        <f>General!G84</f>
        <v>zd</v>
      </c>
      <c r="B174" s="6">
        <v>1</v>
      </c>
      <c r="C174" s="6">
        <v>1</v>
      </c>
    </row>
  </sheetData>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530</vt:i4>
      </vt:variant>
    </vt:vector>
  </HeadingPairs>
  <TitlesOfParts>
    <vt:vector size="544" baseType="lpstr">
      <vt:lpstr>General</vt:lpstr>
      <vt:lpstr>Price</vt:lpstr>
      <vt:lpstr>Finance</vt:lpstr>
      <vt:lpstr>Sup Feed</vt:lpstr>
      <vt:lpstr>CropResidue</vt:lpstr>
      <vt:lpstr>ErrorChecks</vt:lpstr>
      <vt:lpstr>Sheep</vt:lpstr>
      <vt:lpstr>Emissions</vt:lpstr>
      <vt:lpstr>Parameters</vt:lpstr>
      <vt:lpstr>PastParameters</vt:lpstr>
      <vt:lpstr>Mach General</vt:lpstr>
      <vt:lpstr>Mach 1</vt:lpstr>
      <vt:lpstr>Mach 2</vt:lpstr>
      <vt:lpstr>Mach 3</vt:lpstr>
      <vt:lpstr>CropResidue!a_c2_c0t</vt:lpstr>
      <vt:lpstr>'Mach General'!approx_hay_yield</vt:lpstr>
      <vt:lpstr>Price!cart_hay</vt:lpstr>
      <vt:lpstr>casual_cost</vt:lpstr>
      <vt:lpstr>casual_super</vt:lpstr>
      <vt:lpstr>casual_workers_comp</vt:lpstr>
      <vt:lpstr>'Mach 1'!clearing_value</vt:lpstr>
      <vt:lpstr>'Mach 2'!clearing_value</vt:lpstr>
      <vt:lpstr>'Mach 3'!clearing_value</vt:lpstr>
      <vt:lpstr>CropResidue!clover_propn_in_sward_stubble</vt:lpstr>
      <vt:lpstr>Price!contract_bail</vt:lpstr>
      <vt:lpstr>Price!contract_harv_cost</vt:lpstr>
      <vt:lpstr>'Mach General'!contract_harvest_rate</vt:lpstr>
      <vt:lpstr>Price!contract_mow_hay</vt:lpstr>
      <vt:lpstr>Price!contract_seed_cost</vt:lpstr>
      <vt:lpstr>crp_insurance_date</vt:lpstr>
      <vt:lpstr>Price!diesel</vt:lpstr>
      <vt:lpstr>Price!diesel_rebate</vt:lpstr>
      <vt:lpstr>equip_insurance</vt:lpstr>
      <vt:lpstr>Finance!fixed_dep</vt:lpstr>
      <vt:lpstr>Price!flagfall</vt:lpstr>
      <vt:lpstr>'Mach 1'!fuel_seeding</vt:lpstr>
      <vt:lpstr>'Mach 2'!fuel_seeding</vt:lpstr>
      <vt:lpstr>'Mach 3'!fuel_seeding</vt:lpstr>
      <vt:lpstr>grain_density</vt:lpstr>
      <vt:lpstr>Price!grain_price</vt:lpstr>
      <vt:lpstr>Price!grain_price_info</vt:lpstr>
      <vt:lpstr>Price!grain_price_percentile</vt:lpstr>
      <vt:lpstr>'Mach 1'!harv_fuel_consumption</vt:lpstr>
      <vt:lpstr>'Mach 2'!harv_fuel_consumption</vt:lpstr>
      <vt:lpstr>'Mach 3'!harv_fuel_consumption</vt:lpstr>
      <vt:lpstr>'Mach 1'!harvest_maint</vt:lpstr>
      <vt:lpstr>'Mach 2'!harvest_maint</vt:lpstr>
      <vt:lpstr>'Mach 3'!harvest_maint</vt:lpstr>
      <vt:lpstr>'Mach 1'!harvest_maint_scalar</vt:lpstr>
      <vt:lpstr>'Mach 2'!harvest_maint_scalar</vt:lpstr>
      <vt:lpstr>'Mach 3'!harvest_maint_scalar</vt:lpstr>
      <vt:lpstr>'Mach 1'!harvest_rate</vt:lpstr>
      <vt:lpstr>'Mach 2'!harvest_rate</vt:lpstr>
      <vt:lpstr>'Mach 3'!harvest_rate</vt:lpstr>
      <vt:lpstr>General!i_a_expo_risk_coef</vt:lpstr>
      <vt:lpstr>CropResidue!i_a_t</vt:lpstr>
      <vt:lpstr>i_agedam_propn_pos</vt:lpstr>
      <vt:lpstr>i_agedam_propn_std_dc2</vt:lpstr>
      <vt:lpstr>i_agedam_propn_y</vt:lpstr>
      <vt:lpstr>i_agemax_s7c2</vt:lpstr>
      <vt:lpstr>i_agemax_s7y</vt:lpstr>
      <vt:lpstr>i_agemin_s7c2</vt:lpstr>
      <vt:lpstr>i_agemin_s7y</vt:lpstr>
      <vt:lpstr>CropResidue!i_b_t</vt:lpstr>
      <vt:lpstr>i_b0_len</vt:lpstr>
      <vt:lpstr>i_b0_pos</vt:lpstr>
      <vt:lpstr>CropResidue!i_b0_propn_b0t</vt:lpstr>
      <vt:lpstr>i_b1_pos</vt:lpstr>
      <vt:lpstr>CropResidue!i_b1_propn_b1t</vt:lpstr>
      <vt:lpstr>CropResidue!i_biomass_scalar_ks2</vt:lpstr>
      <vt:lpstr>i_bvcfw_c2</vt:lpstr>
      <vt:lpstr>i_bvcfw_y</vt:lpstr>
      <vt:lpstr>CropResidue!i_c_t</vt:lpstr>
      <vt:lpstr>General!i_c1_variation_included</vt:lpstr>
      <vt:lpstr>i_ca_c2</vt:lpstr>
      <vt:lpstr>i_ca_len</vt:lpstr>
      <vt:lpstr>i_ca_pos</vt:lpstr>
      <vt:lpstr>i_ca_y</vt:lpstr>
      <vt:lpstr>CropResidue!i_calibration_offest_t</vt:lpstr>
      <vt:lpstr>General!i_cara_risk_coef</vt:lpstr>
      <vt:lpstr>i_cb0_c2</vt:lpstr>
      <vt:lpstr>i_cb0_len</vt:lpstr>
      <vt:lpstr>i_cb0_len2</vt:lpstr>
      <vt:lpstr>i_cb0_pos</vt:lpstr>
      <vt:lpstr>i_cb0_y</vt:lpstr>
      <vt:lpstr>i_cc_c2</vt:lpstr>
      <vt:lpstr>i_cc_len</vt:lpstr>
      <vt:lpstr>i_cc_pos</vt:lpstr>
      <vt:lpstr>i_cc_y</vt:lpstr>
      <vt:lpstr>Emissions!i_CCa</vt:lpstr>
      <vt:lpstr>i_cd_c2</vt:lpstr>
      <vt:lpstr>i_cd_len</vt:lpstr>
      <vt:lpstr>i_cd_pos</vt:lpstr>
      <vt:lpstr>i_cd_y</vt:lpstr>
      <vt:lpstr>i_ce_c2</vt:lpstr>
      <vt:lpstr>i_ce_len</vt:lpstr>
      <vt:lpstr>i_ce_len2</vt:lpstr>
      <vt:lpstr>i_ce_pos</vt:lpstr>
      <vt:lpstr>i_ce_y</vt:lpstr>
      <vt:lpstr>i_cf_c2</vt:lpstr>
      <vt:lpstr>Emissions!i_cf_ch4</vt:lpstr>
      <vt:lpstr>Emissions!i_cf_co2</vt:lpstr>
      <vt:lpstr>i_cf_len</vt:lpstr>
      <vt:lpstr>Emissions!i_cf_n2o</vt:lpstr>
      <vt:lpstr>i_cf_pos</vt:lpstr>
      <vt:lpstr>i_cf_y</vt:lpstr>
      <vt:lpstr>i_cfw_initial_c2</vt:lpstr>
      <vt:lpstr>i_cfw_initial_y</vt:lpstr>
      <vt:lpstr>i_cfw_propn_c2</vt:lpstr>
      <vt:lpstr>i_cfw_propn_y</vt:lpstr>
      <vt:lpstr>i_cg_c2</vt:lpstr>
      <vt:lpstr>i_cg_len</vt:lpstr>
      <vt:lpstr>i_cg_pos</vt:lpstr>
      <vt:lpstr>i_cg_y</vt:lpstr>
      <vt:lpstr>i_ch_c2</vt:lpstr>
      <vt:lpstr>i_ch_len</vt:lpstr>
      <vt:lpstr>i_ch_pos</vt:lpstr>
      <vt:lpstr>i_ch_y</vt:lpstr>
      <vt:lpstr>Emissions!i_ch4_gwp_factor</vt:lpstr>
      <vt:lpstr>General!i_chem_idx</vt:lpstr>
      <vt:lpstr>i_ci_c2</vt:lpstr>
      <vt:lpstr>i_ci_len</vt:lpstr>
      <vt:lpstr>i_ci_pos</vt:lpstr>
      <vt:lpstr>i_ci_y</vt:lpstr>
      <vt:lpstr>i_ck_c2</vt:lpstr>
      <vt:lpstr>i_ck_len</vt:lpstr>
      <vt:lpstr>i_ck_pos</vt:lpstr>
      <vt:lpstr>i_ck_y</vt:lpstr>
      <vt:lpstr>i_cl_c2</vt:lpstr>
      <vt:lpstr>i_cl_len</vt:lpstr>
      <vt:lpstr>i_cl_pos</vt:lpstr>
      <vt:lpstr>i_cl_y</vt:lpstr>
      <vt:lpstr>i_cl0_c2</vt:lpstr>
      <vt:lpstr>i_cl0_len</vt:lpstr>
      <vt:lpstr>i_cl0_len2</vt:lpstr>
      <vt:lpstr>i_cl0_pos</vt:lpstr>
      <vt:lpstr>i_cl0_y</vt:lpstr>
      <vt:lpstr>i_cl1_c2</vt:lpstr>
      <vt:lpstr>i_cl1_len</vt:lpstr>
      <vt:lpstr>i_cl1_len2</vt:lpstr>
      <vt:lpstr>i_cl1_pos</vt:lpstr>
      <vt:lpstr>i_cl1_y</vt:lpstr>
      <vt:lpstr>i_cm_c2</vt:lpstr>
      <vt:lpstr>i_cm_len</vt:lpstr>
      <vt:lpstr>i_cm_pos</vt:lpstr>
      <vt:lpstr>i_cm_y</vt:lpstr>
      <vt:lpstr>i_cn_c2</vt:lpstr>
      <vt:lpstr>i_cn_len</vt:lpstr>
      <vt:lpstr>i_cn_pos</vt:lpstr>
      <vt:lpstr>i_cn_y</vt:lpstr>
      <vt:lpstr>Emissions!i_co2_gwp_factor</vt:lpstr>
      <vt:lpstr>'Sup Feed'!i_confinement_feeding_cost_factor</vt:lpstr>
      <vt:lpstr>'Sup Feed'!i_confinement_feeding_labour_factor</vt:lpstr>
      <vt:lpstr>i_cp_c2</vt:lpstr>
      <vt:lpstr>i_cp_len</vt:lpstr>
      <vt:lpstr>i_cp_pos</vt:lpstr>
      <vt:lpstr>i_cp_y</vt:lpstr>
      <vt:lpstr>i_cr_c2</vt:lpstr>
      <vt:lpstr>i_cr_len</vt:lpstr>
      <vt:lpstr>i_cr_pos</vt:lpstr>
      <vt:lpstr>i_cr_y</vt:lpstr>
      <vt:lpstr>i_crd_c2</vt:lpstr>
      <vt:lpstr>i_crd_len</vt:lpstr>
      <vt:lpstr>i_crd_pos</vt:lpstr>
      <vt:lpstr>i_crd_y</vt:lpstr>
      <vt:lpstr>General!i_crra_risk_coef</vt:lpstr>
      <vt:lpstr>i_cu0_c2</vt:lpstr>
      <vt:lpstr>i_cu0_len</vt:lpstr>
      <vt:lpstr>i_cu0_pos</vt:lpstr>
      <vt:lpstr>i_cu0_y</vt:lpstr>
      <vt:lpstr>i_cu1_c2</vt:lpstr>
      <vt:lpstr>i_cu1_len</vt:lpstr>
      <vt:lpstr>i_cu1_len2</vt:lpstr>
      <vt:lpstr>i_cu1_pos</vt:lpstr>
      <vt:lpstr>i_cu1_y</vt:lpstr>
      <vt:lpstr>i_cu2_c2</vt:lpstr>
      <vt:lpstr>i_cu2_len</vt:lpstr>
      <vt:lpstr>i_cu2_len2</vt:lpstr>
      <vt:lpstr>i_cu2_pos</vt:lpstr>
      <vt:lpstr>i_cu2_y</vt:lpstr>
      <vt:lpstr>i_cu3_c4</vt:lpstr>
      <vt:lpstr>i_cu3_len</vt:lpstr>
      <vt:lpstr>i_cu3_len2</vt:lpstr>
      <vt:lpstr>i_cu4_c4</vt:lpstr>
      <vt:lpstr>i_cu4_len</vt:lpstr>
      <vt:lpstr>i_cu4_len2</vt:lpstr>
      <vt:lpstr>i_cu5_c5</vt:lpstr>
      <vt:lpstr>i_cu6_c2</vt:lpstr>
      <vt:lpstr>i_cu6_len</vt:lpstr>
      <vt:lpstr>i_cu6_len2</vt:lpstr>
      <vt:lpstr>i_cu6_pos</vt:lpstr>
      <vt:lpstr>i_cu6_y</vt:lpstr>
      <vt:lpstr>i_cv_bw_c2</vt:lpstr>
      <vt:lpstr>i_cv_bw_y</vt:lpstr>
      <vt:lpstr>i_cv_cs_c2</vt:lpstr>
      <vt:lpstr>i_cv_cs_y</vt:lpstr>
      <vt:lpstr>i_cv_weight_c2</vt:lpstr>
      <vt:lpstr>i_cv_weight_y</vt:lpstr>
      <vt:lpstr>i_cvlw_s7</vt:lpstr>
      <vt:lpstr>i_cvscore_s7</vt:lpstr>
      <vt:lpstr>i_cw_c2</vt:lpstr>
      <vt:lpstr>i_cw_len</vt:lpstr>
      <vt:lpstr>i_cw_pos</vt:lpstr>
      <vt:lpstr>i_cw_y</vt:lpstr>
      <vt:lpstr>i_cx_c2</vt:lpstr>
      <vt:lpstr>i_cx_len</vt:lpstr>
      <vt:lpstr>i_cx_len2</vt:lpstr>
      <vt:lpstr>i_cx_pos</vt:lpstr>
      <vt:lpstr>i_cx_y</vt:lpstr>
      <vt:lpstr>i_d_len</vt:lpstr>
      <vt:lpstr>i_d_pos</vt:lpstr>
      <vt:lpstr>CropResidue!i_dams_in_trial_t</vt:lpstr>
      <vt:lpstr>i_dressp_adj_c2</vt:lpstr>
      <vt:lpstr>i_dressp_adj_y</vt:lpstr>
      <vt:lpstr>Emissions!i_ef_atmos_deposition_manure</vt:lpstr>
      <vt:lpstr>Emissions!i_ef_atmospheric_dep_fert_crop_r1</vt:lpstr>
      <vt:lpstr>Emissions!i_ef_atmospheric_dep_fert_pas</vt:lpstr>
      <vt:lpstr>Emissions!i_ef_ch4_burning</vt:lpstr>
      <vt:lpstr>Emissions!i_ef_diesel_ch4</vt:lpstr>
      <vt:lpstr>Emissions!i_ef_diesel_co2</vt:lpstr>
      <vt:lpstr>Emissions!i_ef_diesel_n2o</vt:lpstr>
      <vt:lpstr>Emissions!i_ef_dolomite</vt:lpstr>
      <vt:lpstr>Emissions!i_ef_fert_crop_r1</vt:lpstr>
      <vt:lpstr>Emissions!i_ef_fert_pas</vt:lpstr>
      <vt:lpstr>Emissions!i_ef_leach_runoff</vt:lpstr>
      <vt:lpstr>Emissions!i_ef_limestone</vt:lpstr>
      <vt:lpstr>Emissions!i_ef_n2o_burning</vt:lpstr>
      <vt:lpstr>Emissions!i_ef_residue</vt:lpstr>
      <vt:lpstr>Emissions!i_ef_urea</vt:lpstr>
      <vt:lpstr>Emissions!i_eff</vt:lpstr>
      <vt:lpstr>Emissions!i_eft</vt:lpstr>
      <vt:lpstr>Emissions!i_efu</vt:lpstr>
      <vt:lpstr>i_eqn_compare</vt:lpstr>
      <vt:lpstr>i_eqn_cvh</vt:lpstr>
      <vt:lpstr>i_eqn_exists_q0q1</vt:lpstr>
      <vt:lpstr>i_eqn_ph</vt:lpstr>
      <vt:lpstr>i_eqn_reportvars_q1</vt:lpstr>
      <vt:lpstr>i_eqn_romaine</vt:lpstr>
      <vt:lpstr>i_eqn_used_g0_q1p7</vt:lpstr>
      <vt:lpstr>i_eqn_used_g1_q1p7</vt:lpstr>
      <vt:lpstr>i_eqn_used_g2_q1p7</vt:lpstr>
      <vt:lpstr>i_eqn_used_g3_q1p7</vt:lpstr>
      <vt:lpstr>i_fat_birth_y</vt:lpstr>
      <vt:lpstr>i_fat_propn_birth_c2</vt:lpstr>
      <vt:lpstr>CropResidue!i_fat_t</vt:lpstr>
      <vt:lpstr>CropResidue!i_fat_yatf_t</vt:lpstr>
      <vt:lpstr>i_fd_initial_c2</vt:lpstr>
      <vt:lpstr>i_fd_initial_y</vt:lpstr>
      <vt:lpstr>CropResidue!i_fd_t</vt:lpstr>
      <vt:lpstr>CropResidue!i_fd_yatf_t</vt:lpstr>
      <vt:lpstr>i_feedbud_labourreq_l2h3</vt:lpstr>
      <vt:lpstr>i_feedbud_requisites_prob_h6h3</vt:lpstr>
      <vt:lpstr>General!i_fert_idx</vt:lpstr>
      <vt:lpstr>General!i_fert_info_n1</vt:lpstr>
      <vt:lpstr>i_fl_birth_c2</vt:lpstr>
      <vt:lpstr>i_fl_birth_y</vt:lpstr>
      <vt:lpstr>i_fl_initial_c2</vt:lpstr>
      <vt:lpstr>i_fl_initial_y</vt:lpstr>
      <vt:lpstr>i_fl_shear_c2</vt:lpstr>
      <vt:lpstr>i_fl_shear_y</vt:lpstr>
      <vt:lpstr>CropResidue!i_fl_t</vt:lpstr>
      <vt:lpstr>CropResidue!i_fl_yatf_t</vt:lpstr>
      <vt:lpstr>CropResidue!i_foo_t</vt:lpstr>
      <vt:lpstr>Emissions!i_FracGASM_fert</vt:lpstr>
      <vt:lpstr>Emissions!i_FracGASM_manure</vt:lpstr>
      <vt:lpstr>Emissions!i_FracLEACH_fert</vt:lpstr>
      <vt:lpstr>Emissions!i_FracLEACH_manure</vt:lpstr>
      <vt:lpstr>Emissions!i_FracLEACH_residue</vt:lpstr>
      <vt:lpstr>Emissions!i_FracLime</vt:lpstr>
      <vt:lpstr>Emissions!i_FracRENEWAL</vt:lpstr>
      <vt:lpstr>Emissions!i_FracWET_fert</vt:lpstr>
      <vt:lpstr>Emissions!i_FracWET_manure</vt:lpstr>
      <vt:lpstr>Emissions!i_FracWET_residue</vt:lpstr>
      <vt:lpstr>CropResidue!i_g3_inc_g3t</vt:lpstr>
      <vt:lpstr>CropResidue!i_gfw_t</vt:lpstr>
      <vt:lpstr>CropResidue!i_gfw_yatf_t</vt:lpstr>
      <vt:lpstr>CropResidue!i_growth_scalar_k</vt:lpstr>
      <vt:lpstr>i_h1_idx</vt:lpstr>
      <vt:lpstr>i_h4_len</vt:lpstr>
      <vt:lpstr>Sheep!i_h6_fuel_slice</vt:lpstr>
      <vt:lpstr>CropResidue!i_harvest_index_ks2</vt:lpstr>
      <vt:lpstr>i_hd_std</vt:lpstr>
      <vt:lpstr>i_head_adjust_dams</vt:lpstr>
      <vt:lpstr>i_head_adjust_offs</vt:lpstr>
      <vt:lpstr>i_head_adjust_sire</vt:lpstr>
      <vt:lpstr>CropResidue!i_hr</vt:lpstr>
      <vt:lpstr>i_husb_muster_infrastructurereq_h1h4</vt:lpstr>
      <vt:lpstr>i_husb_muster_labourreq_l2h4</vt:lpstr>
      <vt:lpstr>i_husb_muster_requisites_prob_h6h4</vt:lpstr>
      <vt:lpstr>i_husb_operations_contract_cost_h2</vt:lpstr>
      <vt:lpstr>i_husb_operations_infrastructurereq_h1h2</vt:lpstr>
      <vt:lpstr>i_husb_operations_labourreq_l2h2</vt:lpstr>
      <vt:lpstr>i_husb_operations_muster_propn_h2</vt:lpstr>
      <vt:lpstr>i_husb_operations_requisites_prob_h6h2</vt:lpstr>
      <vt:lpstr>i_husb_requisite_cost_h6</vt:lpstr>
      <vt:lpstr>CropResidue!i_idx_s2</vt:lpstr>
      <vt:lpstr>i_infrastructure_asset_h1</vt:lpstr>
      <vt:lpstr>i_infrastructure_costfixed_h1</vt:lpstr>
      <vt:lpstr>i_infrastructure_costvariable_h1</vt:lpstr>
      <vt:lpstr>i_infrastructure_labourfixed_h1</vt:lpstr>
      <vt:lpstr>i_infrastructure_labourvariable_h1</vt:lpstr>
      <vt:lpstr>General!i_initial_wealth</vt:lpstr>
      <vt:lpstr>i_initial_y</vt:lpstr>
      <vt:lpstr>i_initial_y0</vt:lpstr>
      <vt:lpstr>i_initial_y1</vt:lpstr>
      <vt:lpstr>i_initial_y2</vt:lpstr>
      <vt:lpstr>i_initial_y3</vt:lpstr>
      <vt:lpstr>Finance!i_interest</vt:lpstr>
      <vt:lpstr>i_kgcs_c2</vt:lpstr>
      <vt:lpstr>i_kgcs_y</vt:lpstr>
      <vt:lpstr>i_lss_std_c2</vt:lpstr>
      <vt:lpstr>i_lss_std_y</vt:lpstr>
      <vt:lpstr>i_lstr_std_c2</vt:lpstr>
      <vt:lpstr>i_lstr_std_y</vt:lpstr>
      <vt:lpstr>i_lstw_std_c2</vt:lpstr>
      <vt:lpstr>i_lstw_std_y</vt:lpstr>
      <vt:lpstr>i_lw_initial_c2</vt:lpstr>
      <vt:lpstr>i_lw_initial_y</vt:lpstr>
      <vt:lpstr>CropResidue!i_lw_yatf_t</vt:lpstr>
      <vt:lpstr>Sheep!i_mask_s7g</vt:lpstr>
      <vt:lpstr>i_mask_s7x</vt:lpstr>
      <vt:lpstr>i_mask_y</vt:lpstr>
      <vt:lpstr>i_mask_y0</vt:lpstr>
      <vt:lpstr>i_mask_y1</vt:lpstr>
      <vt:lpstr>i_mask_y2</vt:lpstr>
      <vt:lpstr>i_mask_y3</vt:lpstr>
      <vt:lpstr>'Sup Feed'!i_max_sup_selectivity</vt:lpstr>
      <vt:lpstr>CropResidue!i_md_t</vt:lpstr>
      <vt:lpstr>i_min_grazing_limit</vt:lpstr>
      <vt:lpstr>i_mobsize_scalar_l0</vt:lpstr>
      <vt:lpstr>i_muscle_birth_y</vt:lpstr>
      <vt:lpstr>i_muscle_propn_birth_c2</vt:lpstr>
      <vt:lpstr>CropResidue!i_muscle_t</vt:lpstr>
      <vt:lpstr>i_muscle_target_c2</vt:lpstr>
      <vt:lpstr>i_muscle_target_y</vt:lpstr>
      <vt:lpstr>CropResidue!i_muscle_yatf_t</vt:lpstr>
      <vt:lpstr>i_n_pasture_stage</vt:lpstr>
      <vt:lpstr>Emissions!i_n2o_gwp_factor</vt:lpstr>
      <vt:lpstr>Emissions!i_NCa</vt:lpstr>
      <vt:lpstr>Emissions!i_NCAG_t</vt:lpstr>
      <vt:lpstr>Emissions!i_NCb</vt:lpstr>
      <vt:lpstr>Emissions!i_NCBG_t</vt:lpstr>
      <vt:lpstr>i_nlb_c2</vt:lpstr>
      <vt:lpstr>i_nlb_y</vt:lpstr>
      <vt:lpstr>CropResidue!i_offs_in_trial_t</vt:lpstr>
      <vt:lpstr>CropResidue!i_propn_baled_k</vt:lpstr>
      <vt:lpstr>CropResidue!i_propn_conserved_k</vt:lpstr>
      <vt:lpstr>CropResidue!i_propn_grain_harv_ks2</vt:lpstr>
      <vt:lpstr>Emissions!i_purity_dolomite</vt:lpstr>
      <vt:lpstr>Emissions!i_purity_limestone</vt:lpstr>
      <vt:lpstr>General!i_r_expo_risk_coef</vt:lpstr>
      <vt:lpstr>CropResidue!i_rain_t</vt:lpstr>
      <vt:lpstr>Emissions!i_Rbg</vt:lpstr>
      <vt:lpstr>Emissions!i_RBG_t</vt:lpstr>
      <vt:lpstr>i_s5_len</vt:lpstr>
      <vt:lpstr>i_s7_len</vt:lpstr>
      <vt:lpstr>i_s9_len</vt:lpstr>
      <vt:lpstr>i_sale_cost_hd_s7</vt:lpstr>
      <vt:lpstr>i_sale_cost_pc_s7</vt:lpstr>
      <vt:lpstr>Sheep!i_sale_ffcfw_max</vt:lpstr>
      <vt:lpstr>Sheep!i_sale_ffcfw_min</vt:lpstr>
      <vt:lpstr>i_salegrid_keys</vt:lpstr>
      <vt:lpstr>i_salep_discount_age_s7</vt:lpstr>
      <vt:lpstr>i_salep_dressp_adj_s6</vt:lpstr>
      <vt:lpstr>i_salep_dressp_adj_s7</vt:lpstr>
      <vt:lpstr>i_salep_months_priceadj_s7s9p4</vt:lpstr>
      <vt:lpstr>i_salep_percentile</vt:lpstr>
      <vt:lpstr>i_salep_percentile_range_s4</vt:lpstr>
      <vt:lpstr>i_salep_percentile_scalar_s7s4</vt:lpstr>
      <vt:lpstr>i_salep_price_max_s7</vt:lpstr>
      <vt:lpstr>i_salep_price_type_s7</vt:lpstr>
      <vt:lpstr>i_salep_score_range_s8s6</vt:lpstr>
      <vt:lpstr>i_salep_score_scalar_s7s5s6</vt:lpstr>
      <vt:lpstr>i_salep_weight_range_s7s5</vt:lpstr>
      <vt:lpstr>i_salep_weight_scalar_s7s5s6</vt:lpstr>
      <vt:lpstr>i_scan_coeff_cycles</vt:lpstr>
      <vt:lpstr>i_scan_coeff_l0s</vt:lpstr>
      <vt:lpstr>i_scan_powers</vt:lpstr>
      <vt:lpstr>i_scan_std_c2</vt:lpstr>
      <vt:lpstr>i_scan_std_doj_c2</vt:lpstr>
      <vt:lpstr>i_scan_std_doj_y</vt:lpstr>
      <vt:lpstr>i_scan_std_y</vt:lpstr>
      <vt:lpstr>i_sd_ebg_c2</vt:lpstr>
      <vt:lpstr>i_sd_ebg_y</vt:lpstr>
      <vt:lpstr>i_sfd_c2</vt:lpstr>
      <vt:lpstr>i_sfd_y</vt:lpstr>
      <vt:lpstr>i_sfw_c2</vt:lpstr>
      <vt:lpstr>i_sfw_y</vt:lpstr>
      <vt:lpstr>CropResidue!i_sim_yr_t</vt:lpstr>
      <vt:lpstr>CropResidue!i_sr_t</vt:lpstr>
      <vt:lpstr>CropResidue!i_srw</vt:lpstr>
      <vt:lpstr>i_srw_c2</vt:lpstr>
      <vt:lpstr>i_srw_y</vt:lpstr>
      <vt:lpstr>i_srwfat_c2</vt:lpstr>
      <vt:lpstr>i_srwfat_y</vt:lpstr>
      <vt:lpstr>CropResidue!i_stub_cat_cp_s1</vt:lpstr>
      <vt:lpstr>CropResidue!i_stub_cat_dmd_s1</vt:lpstr>
      <vt:lpstr>CropResidue!i_stub_cat_idx</vt:lpstr>
      <vt:lpstr>CropResidue!i_stub_me_eff_gainlose</vt:lpstr>
      <vt:lpstr>CropResidue!i_sup_intake_pt</vt:lpstr>
      <vt:lpstr>'Sup Feed'!i_sup_s2_ks2</vt:lpstr>
      <vt:lpstr>'Sup Feed'!i_sup_selectivity_included</vt:lpstr>
      <vt:lpstr>'Sup Feed'!i_supp_inc_k3</vt:lpstr>
      <vt:lpstr>CropResidue!i_t_inc_s2kt</vt:lpstr>
      <vt:lpstr>General!i_tail_alpha</vt:lpstr>
      <vt:lpstr>General!i_tail_lambda</vt:lpstr>
      <vt:lpstr>CropResidue!i_temp_ave_t</vt:lpstr>
      <vt:lpstr>CropResidue!i_temp_max_t</vt:lpstr>
      <vt:lpstr>CropResidue!i_temp_min_t</vt:lpstr>
      <vt:lpstr>CropResidue!i_trial_biomass_use_t</vt:lpstr>
      <vt:lpstr>CropResidue!i_trial_crop_t</vt:lpstr>
      <vt:lpstr>CropResidue!i_trial_inc_t</vt:lpstr>
      <vt:lpstr>CropResidue!i_trial_yield_t</vt:lpstr>
      <vt:lpstr>General!i_utility_method</vt:lpstr>
      <vt:lpstr>'Mach General'!i_variable_dep_hr_harv</vt:lpstr>
      <vt:lpstr>'Mach General'!i_variable_dep_hr_seeding</vt:lpstr>
      <vt:lpstr>'Mach General'!i_variable_dep_hr_spraying</vt:lpstr>
      <vt:lpstr>'Mach General'!i_variable_dep_hr_spreading</vt:lpstr>
      <vt:lpstr>i_viscera_birth_y</vt:lpstr>
      <vt:lpstr>i_viscera_propn_birth_c2</vt:lpstr>
      <vt:lpstr>CropResidue!i_viscera_t</vt:lpstr>
      <vt:lpstr>CropResidue!i_viscera_yatf_t</vt:lpstr>
      <vt:lpstr>i_wool_cost_kg</vt:lpstr>
      <vt:lpstr>i_wool_cost_pc</vt:lpstr>
      <vt:lpstr>i_wool_genes_c2</vt:lpstr>
      <vt:lpstr>i_wool_genes_y</vt:lpstr>
      <vt:lpstr>i_woolp_component_mer_fd_w3</vt:lpstr>
      <vt:lpstr>i_woolp_component_mer_propn_w3</vt:lpstr>
      <vt:lpstr>i_woolp_component_price_w4w3</vt:lpstr>
      <vt:lpstr>i_woolp_component_xb_fd_w3</vt:lpstr>
      <vt:lpstr>i_woolp_component_xb_propn_w3</vt:lpstr>
      <vt:lpstr>i_woolp_cvh_adj_w4w8</vt:lpstr>
      <vt:lpstr>i_woolp_cvh_range_w8</vt:lpstr>
      <vt:lpstr>i_woolp_fd_range_w4</vt:lpstr>
      <vt:lpstr>i_woolp_fd_std</vt:lpstr>
      <vt:lpstr>i_woolp_fdprem_percentile</vt:lpstr>
      <vt:lpstr>i_woolp_fdprem_range_w5</vt:lpstr>
      <vt:lpstr>i_woolp_fdprem_w4w5</vt:lpstr>
      <vt:lpstr>i_woolp_mpg_percentile</vt:lpstr>
      <vt:lpstr>i_woolp_mpg_range_w5</vt:lpstr>
      <vt:lpstr>i_woolp_mpg_w5</vt:lpstr>
      <vt:lpstr>i_woolp_ph_adj_w4w7</vt:lpstr>
      <vt:lpstr>i_woolp_ph_range_w7</vt:lpstr>
      <vt:lpstr>i_woolp_romaine_adj_w4w9</vt:lpstr>
      <vt:lpstr>i_woolp_romaine_range_w9</vt:lpstr>
      <vt:lpstr>i_woolp_sl</vt:lpstr>
      <vt:lpstr>i_woolp_sl_range</vt:lpstr>
      <vt:lpstr>i_woolp_sl_threshold</vt:lpstr>
      <vt:lpstr>i_woolp_ss</vt:lpstr>
      <vt:lpstr>i_woolp_ss_pd0</vt:lpstr>
      <vt:lpstr>i_woolp_vm_adj_w4w6</vt:lpstr>
      <vt:lpstr>i_woolp_vm_range_w6</vt:lpstr>
      <vt:lpstr>Finance!i_working_capital_constraint_included</vt:lpstr>
      <vt:lpstr>CropResidue!i_ws_t</vt:lpstr>
      <vt:lpstr>i_x_pos</vt:lpstr>
      <vt:lpstr>i_y_idx_dams</vt:lpstr>
      <vt:lpstr>i_y_idx_offs</vt:lpstr>
      <vt:lpstr>i_y_idx_sire</vt:lpstr>
      <vt:lpstr>i_y_pos</vt:lpstr>
      <vt:lpstr>Emissions!i_Z</vt:lpstr>
      <vt:lpstr>ia_h8_h2</vt:lpstr>
      <vt:lpstr>ia_h8_h3</vt:lpstr>
      <vt:lpstr>ia_h8_h4</vt:lpstr>
      <vt:lpstr>ia_h8_h6</vt:lpstr>
      <vt:lpstr>ia_s8_s7</vt:lpstr>
      <vt:lpstr>insurance_date</vt:lpstr>
      <vt:lpstr>CropResidue!lambing_date_t</vt:lpstr>
      <vt:lpstr>manager_cost</vt:lpstr>
      <vt:lpstr>minroe</vt:lpstr>
      <vt:lpstr>minroe_dsp</vt:lpstr>
      <vt:lpstr>'Mach 1'!number_of_harvesters</vt:lpstr>
      <vt:lpstr>'Mach 2'!number_of_harvesters</vt:lpstr>
      <vt:lpstr>'Mach 3'!number_of_harvesters</vt:lpstr>
      <vt:lpstr>'Mach 1'!number_of_seeders</vt:lpstr>
      <vt:lpstr>'Mach 2'!number_of_seeders</vt:lpstr>
      <vt:lpstr>'Mach 3'!number_of_seeders</vt:lpstr>
      <vt:lpstr>opportunity_cost_capital</vt:lpstr>
      <vt:lpstr>permanent_cost</vt:lpstr>
      <vt:lpstr>permanent_ls_leave</vt:lpstr>
      <vt:lpstr>permanent_super</vt:lpstr>
      <vt:lpstr>permanent_workers_comp</vt:lpstr>
      <vt:lpstr>prejoin_to_lamb_offset_approx</vt:lpstr>
      <vt:lpstr>Parameters!Print_Area</vt:lpstr>
      <vt:lpstr>CropResidue!quality_deterioration</vt:lpstr>
      <vt:lpstr>CropResidue!quantity_decay</vt:lpstr>
      <vt:lpstr>'Mach 1'!seeding_rate_base</vt:lpstr>
      <vt:lpstr>'Mach 2'!seeding_rate_base</vt:lpstr>
      <vt:lpstr>'Mach 3'!seeding_rate_base</vt:lpstr>
      <vt:lpstr>'Mach 1'!seeding_rate_crop_adj</vt:lpstr>
      <vt:lpstr>'Mach 2'!seeding_rate_crop_adj</vt:lpstr>
      <vt:lpstr>'Mach 3'!seeding_rate_crop_adj</vt:lpstr>
      <vt:lpstr>CropResidue!shear_date_t</vt:lpstr>
      <vt:lpstr>'Mach 1'!sprayer_fuel_consumption</vt:lpstr>
      <vt:lpstr>'Mach 2'!sprayer_fuel_consumption</vt:lpstr>
      <vt:lpstr>'Mach 3'!sprayer_fuel_consumption</vt:lpstr>
      <vt:lpstr>'Mach 1'!sprayer_maint</vt:lpstr>
      <vt:lpstr>'Mach 2'!sprayer_maint</vt:lpstr>
      <vt:lpstr>'Mach 3'!sprayer_maint</vt:lpstr>
      <vt:lpstr>'Mach 1'!spraying_rate</vt:lpstr>
      <vt:lpstr>'Mach 2'!spraying_rate</vt:lpstr>
      <vt:lpstr>'Mach 3'!spraying_rate</vt:lpstr>
      <vt:lpstr>'Mach 1'!spreader_cap</vt:lpstr>
      <vt:lpstr>'Mach 2'!spreader_cap</vt:lpstr>
      <vt:lpstr>'Mach 3'!spreader_cap</vt:lpstr>
      <vt:lpstr>'Mach 1'!spreader_eff</vt:lpstr>
      <vt:lpstr>'Mach 2'!spreader_eff</vt:lpstr>
      <vt:lpstr>'Mach 3'!spreader_eff</vt:lpstr>
      <vt:lpstr>'Mach 1'!spreader_fuel</vt:lpstr>
      <vt:lpstr>'Mach 2'!spreader_fuel</vt:lpstr>
      <vt:lpstr>'Mach 3'!spreader_fuel</vt:lpstr>
      <vt:lpstr>'Mach 1'!spreader_maint</vt:lpstr>
      <vt:lpstr>'Mach 2'!spreader_maint</vt:lpstr>
      <vt:lpstr>'Mach 3'!spreader_maint</vt:lpstr>
      <vt:lpstr>'Mach 1'!spreader_speed</vt:lpstr>
      <vt:lpstr>'Mach 2'!spreader_speed</vt:lpstr>
      <vt:lpstr>'Mach 3'!spreader_speed</vt:lpstr>
      <vt:lpstr>'Mach 1'!spreader_width</vt:lpstr>
      <vt:lpstr>'Mach 2'!spreader_width</vt:lpstr>
      <vt:lpstr>'Mach 3'!spreader_width</vt:lpstr>
      <vt:lpstr>CropResidue!start_trial_t</vt:lpstr>
      <vt:lpstr>'Mach 1'!stubble_fuel_consumption</vt:lpstr>
      <vt:lpstr>'Mach 2'!stubble_fuel_consumption</vt:lpstr>
      <vt:lpstr>'Mach 3'!stubble_fuel_consumption</vt:lpstr>
      <vt:lpstr>'Mach 1'!stubble_maint</vt:lpstr>
      <vt:lpstr>'Mach 2'!stubble_maint</vt:lpstr>
      <vt:lpstr>'Mach 3'!stubble_maint</vt:lpstr>
      <vt:lpstr>sup_cartage</vt:lpstr>
      <vt:lpstr>'Mach 1'!sup_feed</vt:lpstr>
      <vt:lpstr>'Mach 2'!sup_feed</vt:lpstr>
      <vt:lpstr>'Mach 3'!sup_feed</vt:lpstr>
      <vt:lpstr>sup_md_vol</vt:lpstr>
      <vt:lpstr>sup_transaction</vt:lpstr>
      <vt:lpstr>'Mach 1'!tillage_maint</vt:lpstr>
      <vt:lpstr>'Mach 2'!tillage_maint</vt:lpstr>
      <vt:lpstr>'Mach 3'!tillage_maint</vt:lpstr>
      <vt:lpstr>'Mach 1'!time_fill_spreader</vt:lpstr>
      <vt:lpstr>'Mach 2'!time_fill_spreader</vt:lpstr>
      <vt:lpstr>'Mach 3'!time_fill_spreader</vt:lpstr>
      <vt:lpstr>CropResidue!trampling</vt:lpstr>
      <vt:lpstr>CropResidue!trial_length_t</vt:lpstr>
      <vt:lpstr>'Mach 1'!truck_chaser_rm</vt:lpstr>
      <vt:lpstr>'Mach 2'!truck_chaser_rm</vt:lpstr>
      <vt:lpstr>'Mach 3'!truck_chaser_rm</vt:lpstr>
      <vt:lpstr>CropResidue!w_foetus_start_t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Young</dc:creator>
  <cp:lastModifiedBy>John</cp:lastModifiedBy>
  <dcterms:created xsi:type="dcterms:W3CDTF">2020-01-13T01:18:05Z</dcterms:created>
  <dcterms:modified xsi:type="dcterms:W3CDTF">2026-10-29T00:13:16Z</dcterms:modified>
</cp:coreProperties>
</file>