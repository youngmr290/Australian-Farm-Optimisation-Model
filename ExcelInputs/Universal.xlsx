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283B585D-5C50-450C-8BB9-99931A90ECF9}" xr6:coauthVersionLast="47" xr6:coauthVersionMax="47" xr10:uidLastSave="{00000000-0000-0000-0000-000000000000}"/>
  <bookViews>
    <workbookView xWindow="29160" yWindow="195" windowWidth="25140" windowHeight="15075" tabRatio="625" activeTab="6"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Parameters!$E$36:$AJ$2095</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Parameters!$W$976</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General!$M$65:$M$68</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Parameters!$U$820:$AE$975</definedName>
    <definedName name="i_cl0_len">Parameters!$U$819</definedName>
    <definedName name="i_cl0_len2">Parameters!$V$819</definedName>
    <definedName name="i_cl0_pos">Parameters!$W$819</definedName>
    <definedName name="i_cl0_y">Parameters!$AH$820:$AI$975</definedName>
    <definedName name="i_cl1_c2">Parameters!$U$977:$AE$1132</definedName>
    <definedName name="i_cl1_len">Parameters!$U$976</definedName>
    <definedName name="i_cl1_len2">Parameters!$V$976</definedName>
    <definedName name="i_cl1_pos">Parameters!$W$976</definedName>
    <definedName name="i_cl1_y">Parameters!$AH$977:$AI$1132</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Parameters!$U$1134:$AE$1138</definedName>
    <definedName name="i_cu0_len">Parameters!$U$1133</definedName>
    <definedName name="i_cu0_pos">Parameters!$W$1133</definedName>
    <definedName name="i_cu0_y">Parameters!$AH$1134:$AI$1138</definedName>
    <definedName name="i_cu1_c2">Parameters!$U$1140:$AE$1299</definedName>
    <definedName name="i_cu1_len">Parameters!$U$1139</definedName>
    <definedName name="i_cu1_len2">Parameters!$V$1139</definedName>
    <definedName name="i_cu1_pos">Parameters!$W$1139</definedName>
    <definedName name="i_cu1_y">Parameters!$AH$1140:$AI$1299</definedName>
    <definedName name="i_cu2_c2">Parameters!$U$1301:$AE$1720</definedName>
    <definedName name="i_cu2_len">Parameters!$U$1300</definedName>
    <definedName name="i_cu2_len2">Parameters!$V$1300</definedName>
    <definedName name="i_cu2_pos">Parameters!$W$1300</definedName>
    <definedName name="i_cu2_y">Parameters!$AH$1301:$AI$1720</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Parameters!$U$1722:$AE$2081</definedName>
    <definedName name="i_cu6_len">Parameters!$U$1721</definedName>
    <definedName name="i_cu6_len2">Parameters!$V$1721</definedName>
    <definedName name="i_cu6_pos">Parameters!$W$1721</definedName>
    <definedName name="i_cu6_y">Parameters!$AH$1722:$AI$2081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General!$K$65:$K$69</definedName>
    <definedName name="i_fert_info_n1" localSheetId="0">General!$G$42:$K$52</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Parameters!$U$1135:$AE$1135</definedName>
    <definedName name="i_kgcs_y">Parameters!$AH$1135:$AI$1135</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071" i="24" l="1"/>
  <c r="W2071" i="24"/>
  <c r="X2071" i="24"/>
  <c r="Y2071" i="24"/>
  <c r="AA2071" i="24"/>
  <c r="AB2071" i="24" s="1"/>
  <c r="AC2071" i="24" s="1"/>
  <c r="AD2071" i="24" s="1"/>
  <c r="V2072" i="24"/>
  <c r="Y2072" i="24" s="1"/>
  <c r="W2072" i="24"/>
  <c r="X2072" i="24"/>
  <c r="AA2072" i="24"/>
  <c r="AB2072" i="24" s="1"/>
  <c r="AC2072" i="24" s="1"/>
  <c r="AD2072" i="24" s="1"/>
  <c r="V2073" i="24"/>
  <c r="W2073" i="24"/>
  <c r="X2073" i="24"/>
  <c r="Y2073" i="24"/>
  <c r="AA2073" i="24"/>
  <c r="Z2073" i="24" s="1"/>
  <c r="AB2073" i="24"/>
  <c r="AC2073" i="24" s="1"/>
  <c r="AD2073" i="24" s="1"/>
  <c r="V2074" i="24"/>
  <c r="X2074" i="24" s="1"/>
  <c r="W2074" i="24"/>
  <c r="Y2074" i="24"/>
  <c r="AA2074" i="24"/>
  <c r="Z2074" i="24" s="1"/>
  <c r="Z2071" i="24" l="1"/>
  <c r="AB2074" i="24"/>
  <c r="AC2074" i="24" s="1"/>
  <c r="AD2074" i="24" s="1"/>
  <c r="Z2072" i="24"/>
  <c r="AA947" i="24" l="1"/>
  <c r="C1128" i="24"/>
  <c r="C1127" i="24"/>
  <c r="C1126" i="24"/>
  <c r="C1125"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81" i="24"/>
  <c r="AB2081" i="24" s="1"/>
  <c r="AC2081" i="24" s="1"/>
  <c r="AD2081" i="24" s="1"/>
  <c r="W2081" i="24"/>
  <c r="V2081" i="24"/>
  <c r="Y2081" i="24" s="1"/>
  <c r="C2081" i="24"/>
  <c r="F2080" i="24"/>
  <c r="C2080" i="24"/>
  <c r="F2079" i="24"/>
  <c r="C2079" i="24"/>
  <c r="F2078" i="24"/>
  <c r="C2078" i="24"/>
  <c r="F2077" i="24"/>
  <c r="C2077" i="24"/>
  <c r="F2076" i="24"/>
  <c r="C2076" i="24"/>
  <c r="F2075" i="24"/>
  <c r="C2075" i="24"/>
  <c r="C2074" i="24"/>
  <c r="C2073" i="24"/>
  <c r="C2072" i="24"/>
  <c r="C2071" i="24"/>
  <c r="C2070" i="24"/>
  <c r="C2069" i="24"/>
  <c r="AA2068" i="24"/>
  <c r="AB2068" i="24" s="1"/>
  <c r="AC2068" i="24" s="1"/>
  <c r="AD2068" i="24" s="1"/>
  <c r="W2068" i="24"/>
  <c r="V2068" i="24"/>
  <c r="Y2068" i="24" s="1"/>
  <c r="C2068" i="24"/>
  <c r="AA2067" i="24"/>
  <c r="AB2067" i="24" s="1"/>
  <c r="AC2067" i="24" s="1"/>
  <c r="AD2067" i="24" s="1"/>
  <c r="W2067" i="24"/>
  <c r="V2067" i="24"/>
  <c r="Y2067" i="24" s="1"/>
  <c r="C2067" i="24"/>
  <c r="C2066" i="24"/>
  <c r="F2065" i="24"/>
  <c r="C2065" i="24"/>
  <c r="F2064" i="24"/>
  <c r="C2064" i="24"/>
  <c r="F2063" i="24"/>
  <c r="C2063" i="24"/>
  <c r="F2062" i="24"/>
  <c r="C2062" i="24"/>
  <c r="F2061" i="24"/>
  <c r="C2061" i="24"/>
  <c r="F2060" i="24"/>
  <c r="C2060" i="24"/>
  <c r="C2056" i="24"/>
  <c r="C2055" i="24"/>
  <c r="C2054" i="24"/>
  <c r="C2053" i="24"/>
  <c r="C2052" i="24"/>
  <c r="C2051" i="24"/>
  <c r="F2050" i="24"/>
  <c r="C2050" i="24"/>
  <c r="F2049" i="24"/>
  <c r="C2049" i="24"/>
  <c r="F2048" i="24"/>
  <c r="C2048" i="24"/>
  <c r="F2047" i="24"/>
  <c r="C2047" i="24"/>
  <c r="F2046" i="24"/>
  <c r="C2046" i="24"/>
  <c r="F2045" i="24"/>
  <c r="C2045" i="24"/>
  <c r="C2041" i="24"/>
  <c r="C2040" i="24"/>
  <c r="C2039" i="24"/>
  <c r="C2038" i="24"/>
  <c r="C2037" i="24"/>
  <c r="C2036" i="24"/>
  <c r="F2035" i="24"/>
  <c r="C2035" i="24"/>
  <c r="F2034" i="24"/>
  <c r="C2034" i="24"/>
  <c r="F2033" i="24"/>
  <c r="C2033" i="24"/>
  <c r="F2032" i="24"/>
  <c r="C2032" i="24"/>
  <c r="F2031" i="24"/>
  <c r="C2031" i="24"/>
  <c r="F2030" i="24"/>
  <c r="C2030" i="24"/>
  <c r="C2026" i="24"/>
  <c r="C2025" i="24"/>
  <c r="C2024" i="24"/>
  <c r="C2023" i="24"/>
  <c r="C2022" i="24"/>
  <c r="C2021" i="24"/>
  <c r="F2020" i="24"/>
  <c r="C2020" i="24"/>
  <c r="F2019" i="24"/>
  <c r="C2019" i="24"/>
  <c r="F2018" i="24"/>
  <c r="C2018" i="24"/>
  <c r="F2017" i="24"/>
  <c r="C2017" i="24"/>
  <c r="F2016" i="24"/>
  <c r="C2016" i="24"/>
  <c r="F2015" i="24"/>
  <c r="C2015" i="24"/>
  <c r="C2011" i="24"/>
  <c r="C2010" i="24"/>
  <c r="C2009" i="24"/>
  <c r="C2008" i="24"/>
  <c r="C2007" i="24"/>
  <c r="C2006" i="24"/>
  <c r="F2005" i="24"/>
  <c r="C2005" i="24"/>
  <c r="F2004" i="24"/>
  <c r="C2004" i="24"/>
  <c r="F2003" i="24"/>
  <c r="C2003" i="24"/>
  <c r="F2002" i="24"/>
  <c r="C2002" i="24"/>
  <c r="F2001" i="24"/>
  <c r="C2001" i="24"/>
  <c r="F2000" i="24"/>
  <c r="C2000" i="24"/>
  <c r="C1996" i="24"/>
  <c r="C1995" i="24"/>
  <c r="C1994" i="24"/>
  <c r="C1993" i="24"/>
  <c r="C1992" i="24"/>
  <c r="C1991" i="24"/>
  <c r="F1990" i="24"/>
  <c r="C1990" i="24"/>
  <c r="F1989" i="24"/>
  <c r="C1989" i="24"/>
  <c r="F1988" i="24"/>
  <c r="C1988" i="24"/>
  <c r="F1987" i="24"/>
  <c r="C1987" i="24"/>
  <c r="F1986" i="24"/>
  <c r="C1986" i="24"/>
  <c r="F1985" i="24"/>
  <c r="C1985" i="24"/>
  <c r="C1981" i="24"/>
  <c r="C1980" i="24"/>
  <c r="C1979" i="24"/>
  <c r="C1978" i="24"/>
  <c r="C1977" i="24"/>
  <c r="C1976" i="24"/>
  <c r="F1975" i="24"/>
  <c r="C1975" i="24"/>
  <c r="F1974" i="24"/>
  <c r="C1974" i="24"/>
  <c r="F1973" i="24"/>
  <c r="C1973" i="24"/>
  <c r="F1972" i="24"/>
  <c r="C1972" i="24"/>
  <c r="F1971" i="24"/>
  <c r="C1971" i="24"/>
  <c r="F1970" i="24"/>
  <c r="C1970" i="24"/>
  <c r="C1966" i="24"/>
  <c r="C1965" i="24"/>
  <c r="C1964" i="24"/>
  <c r="C1963" i="24"/>
  <c r="C1962" i="24"/>
  <c r="C1961" i="24"/>
  <c r="F1960" i="24"/>
  <c r="C1960" i="24"/>
  <c r="F1959" i="24"/>
  <c r="C1959" i="24"/>
  <c r="F1958" i="24"/>
  <c r="C1958" i="24"/>
  <c r="F1957" i="24"/>
  <c r="C1957" i="24"/>
  <c r="F1956" i="24"/>
  <c r="C1956" i="24"/>
  <c r="F1955" i="24"/>
  <c r="C1955" i="24"/>
  <c r="C1951" i="24"/>
  <c r="C1950" i="24"/>
  <c r="C1949" i="24"/>
  <c r="C1948" i="24"/>
  <c r="C1947" i="24"/>
  <c r="C1946" i="24"/>
  <c r="F1945" i="24"/>
  <c r="C1945" i="24"/>
  <c r="F1944" i="24"/>
  <c r="C1944" i="24"/>
  <c r="F1943" i="24"/>
  <c r="C1943" i="24"/>
  <c r="F1942" i="24"/>
  <c r="C1942" i="24"/>
  <c r="F1941" i="24"/>
  <c r="C1941" i="24"/>
  <c r="F1940" i="24"/>
  <c r="C1940" i="24"/>
  <c r="C1936" i="24"/>
  <c r="C1935" i="24"/>
  <c r="C1934" i="24"/>
  <c r="C1933" i="24"/>
  <c r="C1932" i="24"/>
  <c r="C1931" i="24"/>
  <c r="F1930" i="24"/>
  <c r="C1930" i="24"/>
  <c r="F1929" i="24"/>
  <c r="C1929" i="24"/>
  <c r="F1928" i="24"/>
  <c r="C1928" i="24"/>
  <c r="F1927" i="24"/>
  <c r="C1927" i="24"/>
  <c r="F1926" i="24"/>
  <c r="C1926" i="24"/>
  <c r="F1925" i="24"/>
  <c r="C1925" i="24"/>
  <c r="C1921" i="24"/>
  <c r="C1920" i="24"/>
  <c r="C1919" i="24"/>
  <c r="C1918" i="24"/>
  <c r="C1917" i="24"/>
  <c r="C1916" i="24"/>
  <c r="F1915" i="24"/>
  <c r="C1915" i="24"/>
  <c r="F1914" i="24"/>
  <c r="C1914" i="24"/>
  <c r="F1913" i="24"/>
  <c r="C1913" i="24"/>
  <c r="F1912" i="24"/>
  <c r="C1912" i="24"/>
  <c r="F1911" i="24"/>
  <c r="C1911" i="24"/>
  <c r="F1910" i="24"/>
  <c r="C1910" i="24"/>
  <c r="C1906" i="24"/>
  <c r="C1905" i="24"/>
  <c r="C1904" i="24"/>
  <c r="C1903" i="24"/>
  <c r="C1902" i="24"/>
  <c r="C1901" i="24"/>
  <c r="F1900" i="24"/>
  <c r="C1900" i="24"/>
  <c r="F1899" i="24"/>
  <c r="C1899" i="24"/>
  <c r="F1898" i="24"/>
  <c r="C1898" i="24"/>
  <c r="F1897" i="24"/>
  <c r="C1897" i="24"/>
  <c r="F1896" i="24"/>
  <c r="C1896" i="24"/>
  <c r="F1895" i="24"/>
  <c r="C1895" i="24"/>
  <c r="C1891" i="24"/>
  <c r="C1890" i="24"/>
  <c r="C1889" i="24"/>
  <c r="C1888" i="24"/>
  <c r="C1887" i="24"/>
  <c r="C1886" i="24"/>
  <c r="F1885" i="24"/>
  <c r="C1885" i="24"/>
  <c r="F1884" i="24"/>
  <c r="C1884" i="24"/>
  <c r="F1883" i="24"/>
  <c r="C1883" i="24"/>
  <c r="F1882" i="24"/>
  <c r="C1882" i="24"/>
  <c r="F1881" i="24"/>
  <c r="C1881" i="24"/>
  <c r="F1880" i="24"/>
  <c r="C1880" i="24"/>
  <c r="C1876" i="24"/>
  <c r="C1875" i="24"/>
  <c r="C1874" i="24"/>
  <c r="C1873" i="24"/>
  <c r="C1872" i="24"/>
  <c r="C1871" i="24"/>
  <c r="F1870" i="24"/>
  <c r="C1870" i="24"/>
  <c r="F1869" i="24"/>
  <c r="C1869" i="24"/>
  <c r="F1868" i="24"/>
  <c r="C1868" i="24"/>
  <c r="F1867" i="24"/>
  <c r="C1867" i="24"/>
  <c r="F1866" i="24"/>
  <c r="C1866" i="24"/>
  <c r="F1865" i="24"/>
  <c r="C1865" i="24"/>
  <c r="C1861" i="24"/>
  <c r="C1860" i="24"/>
  <c r="C1859" i="24"/>
  <c r="C1858" i="24"/>
  <c r="C1857" i="24"/>
  <c r="AA1711" i="24"/>
  <c r="AB1711" i="24" s="1"/>
  <c r="AC1711" i="24" s="1"/>
  <c r="AD1711" i="24" s="1"/>
  <c r="W1711" i="24"/>
  <c r="V1711" i="24"/>
  <c r="Y1711" i="24" s="1"/>
  <c r="AA1710" i="24"/>
  <c r="AB1710" i="24" s="1"/>
  <c r="AC1710" i="24" s="1"/>
  <c r="AD1710" i="24" s="1"/>
  <c r="W1710" i="24"/>
  <c r="V1710" i="24"/>
  <c r="X1710" i="24" s="1"/>
  <c r="Z940" i="24" l="1"/>
  <c r="V943" i="24"/>
  <c r="Y943" i="24" s="1"/>
  <c r="AB941" i="24"/>
  <c r="AC941" i="24" s="1"/>
  <c r="AD941" i="24" s="1"/>
  <c r="AB942" i="24"/>
  <c r="AC942" i="24" s="1"/>
  <c r="AD942" i="24" s="1"/>
  <c r="Y941" i="24"/>
  <c r="X940" i="24"/>
  <c r="X942" i="24"/>
  <c r="AA943" i="24"/>
  <c r="Z2067" i="24"/>
  <c r="Z2068" i="24"/>
  <c r="Z2081" i="24"/>
  <c r="X2067" i="24"/>
  <c r="X2068" i="24"/>
  <c r="X2081" i="24"/>
  <c r="Z1711" i="24"/>
  <c r="Z1710" i="24"/>
  <c r="Y1710" i="24"/>
  <c r="X1711" i="24"/>
  <c r="X943" i="24" l="1"/>
  <c r="AB943" i="24"/>
  <c r="AC943" i="24" s="1"/>
  <c r="AD943" i="24" s="1"/>
  <c r="Z943" i="24"/>
  <c r="AB1854" i="24" l="1"/>
  <c r="AC1854" i="24" s="1"/>
  <c r="AD1854" i="24" s="1"/>
  <c r="Z1854" i="24"/>
  <c r="W1854" i="24"/>
  <c r="V1854" i="24"/>
  <c r="X1854" i="24" s="1"/>
  <c r="AB1856" i="24"/>
  <c r="AC1856" i="24" s="1"/>
  <c r="AD1856" i="24" s="1"/>
  <c r="Z1856" i="24"/>
  <c r="V1856" i="24"/>
  <c r="W1856" i="24" s="1"/>
  <c r="X1856" i="24" s="1"/>
  <c r="Y1856" i="24" s="1"/>
  <c r="C1856" i="24"/>
  <c r="F1855" i="24"/>
  <c r="C1855" i="24"/>
  <c r="F1854" i="24"/>
  <c r="C1854" i="24"/>
  <c r="F1853" i="24"/>
  <c r="C1853" i="24"/>
  <c r="F1852" i="24"/>
  <c r="C1852" i="24"/>
  <c r="F1851" i="24"/>
  <c r="C1851" i="24"/>
  <c r="F1850" i="24"/>
  <c r="C1850" i="24"/>
  <c r="C1849" i="24"/>
  <c r="C1848" i="24"/>
  <c r="AB1847" i="24"/>
  <c r="AC1847" i="24" s="1"/>
  <c r="AD1847" i="24" s="1"/>
  <c r="Z1847" i="24"/>
  <c r="W1847" i="24"/>
  <c r="C1847" i="24"/>
  <c r="AB1846" i="24"/>
  <c r="AC1846" i="24" s="1"/>
  <c r="AD1846" i="24" s="1"/>
  <c r="Z1846" i="24"/>
  <c r="W1846" i="24"/>
  <c r="C1846" i="24"/>
  <c r="C1845" i="24"/>
  <c r="AB1844" i="24"/>
  <c r="AC1844" i="24" s="1"/>
  <c r="AD1844" i="24" s="1"/>
  <c r="Z1844" i="24"/>
  <c r="W1844" i="24"/>
  <c r="V1844" i="24"/>
  <c r="Y1844" i="24" s="1"/>
  <c r="C1844" i="24"/>
  <c r="AB1843" i="24"/>
  <c r="AC1843" i="24" s="1"/>
  <c r="AD1843" i="24" s="1"/>
  <c r="Z1843" i="24"/>
  <c r="W1843" i="24"/>
  <c r="V1843" i="24"/>
  <c r="Y1843" i="24" s="1"/>
  <c r="C1843" i="24"/>
  <c r="AB1842" i="24"/>
  <c r="AC1842" i="24" s="1"/>
  <c r="AD1842" i="24" s="1"/>
  <c r="Z1842" i="24"/>
  <c r="W1842" i="24"/>
  <c r="V1842" i="24"/>
  <c r="X1842" i="24" s="1"/>
  <c r="C1842" i="24"/>
  <c r="C1841" i="24"/>
  <c r="F1840" i="24"/>
  <c r="C1840" i="24"/>
  <c r="F1839" i="24"/>
  <c r="C1839" i="24"/>
  <c r="F1838" i="24"/>
  <c r="C1838" i="24"/>
  <c r="F1837" i="24"/>
  <c r="C1837" i="24"/>
  <c r="F1836" i="24"/>
  <c r="C1836" i="24"/>
  <c r="F1835" i="24"/>
  <c r="C1835" i="24"/>
  <c r="C1831" i="24"/>
  <c r="C1830" i="24"/>
  <c r="C1829" i="24"/>
  <c r="C1828" i="24"/>
  <c r="C1827" i="24"/>
  <c r="C1826" i="24"/>
  <c r="F1825" i="24"/>
  <c r="C1825" i="24"/>
  <c r="F1824" i="24"/>
  <c r="C1824" i="24"/>
  <c r="F1823" i="24"/>
  <c r="C1823" i="24"/>
  <c r="F1822" i="24"/>
  <c r="C1822" i="24"/>
  <c r="F1821" i="24"/>
  <c r="C1821" i="24"/>
  <c r="F1820" i="24"/>
  <c r="C1820" i="24"/>
  <c r="C1816" i="24"/>
  <c r="C1815" i="24"/>
  <c r="C1814" i="24"/>
  <c r="C1813" i="24"/>
  <c r="C1812" i="24"/>
  <c r="C1811" i="24"/>
  <c r="F1810" i="24"/>
  <c r="C1810" i="24"/>
  <c r="F1809" i="24"/>
  <c r="C1809" i="24"/>
  <c r="F1808" i="24"/>
  <c r="C1808" i="24"/>
  <c r="F1807" i="24"/>
  <c r="C1807" i="24"/>
  <c r="F1806" i="24"/>
  <c r="C1806" i="24"/>
  <c r="F1805" i="24"/>
  <c r="C1805" i="24"/>
  <c r="C1801" i="24"/>
  <c r="C1800" i="24"/>
  <c r="C1799" i="24"/>
  <c r="C1798" i="24"/>
  <c r="C1797" i="24"/>
  <c r="C1796" i="24"/>
  <c r="F1795" i="24"/>
  <c r="C1795" i="24"/>
  <c r="F1794" i="24"/>
  <c r="C1794" i="24"/>
  <c r="F1793" i="24"/>
  <c r="C1793" i="24"/>
  <c r="F1792" i="24"/>
  <c r="C1792" i="24"/>
  <c r="F1791" i="24"/>
  <c r="C1791" i="24"/>
  <c r="F1790" i="24"/>
  <c r="C1790" i="24"/>
  <c r="C1786" i="24"/>
  <c r="C1785" i="24"/>
  <c r="C1784" i="24"/>
  <c r="C1783" i="24"/>
  <c r="C1782" i="24"/>
  <c r="C1781" i="24"/>
  <c r="F1780" i="24"/>
  <c r="C1780" i="24"/>
  <c r="F1779" i="24"/>
  <c r="C1779" i="24"/>
  <c r="F1778" i="24"/>
  <c r="C1778" i="24"/>
  <c r="F1777" i="24"/>
  <c r="C1777" i="24"/>
  <c r="F1776" i="24"/>
  <c r="C1776" i="24"/>
  <c r="F1775" i="24"/>
  <c r="C1775" i="24"/>
  <c r="C1771" i="24"/>
  <c r="C1770" i="24"/>
  <c r="C1769" i="24"/>
  <c r="C1768" i="24"/>
  <c r="C1767" i="24"/>
  <c r="C1766" i="24"/>
  <c r="F1765" i="24"/>
  <c r="C1765" i="24"/>
  <c r="F1764" i="24"/>
  <c r="C1764" i="24"/>
  <c r="F1763" i="24"/>
  <c r="C1763" i="24"/>
  <c r="F1762" i="24"/>
  <c r="C1762" i="24"/>
  <c r="F1761" i="24"/>
  <c r="C1761" i="24"/>
  <c r="F1760" i="24"/>
  <c r="C1760" i="24"/>
  <c r="C1756" i="24"/>
  <c r="C1755" i="24"/>
  <c r="C1754" i="24"/>
  <c r="C1753" i="24"/>
  <c r="C1752" i="24"/>
  <c r="C1751" i="24"/>
  <c r="F1750" i="24"/>
  <c r="C1750" i="24"/>
  <c r="F1749" i="24"/>
  <c r="C1749" i="24"/>
  <c r="F1748" i="24"/>
  <c r="C1748" i="24"/>
  <c r="F1747" i="24"/>
  <c r="C1747" i="24"/>
  <c r="F1746" i="24"/>
  <c r="C1746" i="24"/>
  <c r="F1745" i="24"/>
  <c r="C1745" i="24"/>
  <c r="C1741" i="24"/>
  <c r="C1740" i="24"/>
  <c r="C1739" i="24"/>
  <c r="C1738" i="24"/>
  <c r="C1737" i="24"/>
  <c r="C1736" i="24"/>
  <c r="F1735" i="24"/>
  <c r="C1735" i="24"/>
  <c r="F1734" i="24"/>
  <c r="C1734" i="24"/>
  <c r="F1733" i="24"/>
  <c r="C1733" i="24"/>
  <c r="F1732" i="24"/>
  <c r="C1732" i="24"/>
  <c r="F1731" i="24"/>
  <c r="C1731" i="24"/>
  <c r="F1730" i="24"/>
  <c r="C1730" i="24"/>
  <c r="C1729" i="24"/>
  <c r="C1728" i="24"/>
  <c r="C1727" i="24"/>
  <c r="C1726" i="24"/>
  <c r="C1725" i="24"/>
  <c r="C1724" i="24"/>
  <c r="C1723" i="24"/>
  <c r="C1722" i="24"/>
  <c r="C1721" i="24"/>
  <c r="C1144" i="24"/>
  <c r="C1143"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54" i="24" l="1"/>
  <c r="Y1842" i="24"/>
  <c r="V1847" i="24"/>
  <c r="X1843" i="24"/>
  <c r="X1844" i="24"/>
  <c r="V1846" i="24"/>
  <c r="Q52" i="23"/>
  <c r="P51" i="23"/>
  <c r="Q51" i="23"/>
  <c r="Y1847" i="24" l="1"/>
  <c r="X1847" i="24"/>
  <c r="Y1846" i="24"/>
  <c r="X1846" i="24"/>
  <c r="H46" i="17"/>
  <c r="H49" i="17"/>
  <c r="J45" i="17"/>
  <c r="I45" i="17"/>
  <c r="H48" i="17"/>
  <c r="L37" i="20" l="1"/>
  <c r="L53" i="20"/>
  <c r="N52" i="20"/>
  <c r="M52" i="20"/>
  <c r="G60" i="17"/>
  <c r="H52" i="17"/>
  <c r="H51" i="17"/>
  <c r="H50" i="17"/>
  <c r="H47" i="17"/>
  <c r="H43" i="17"/>
  <c r="AD186" i="23" l="1"/>
  <c r="AC186" i="23"/>
  <c r="AA186" i="23"/>
  <c r="Z186" i="23"/>
  <c r="X186" i="23"/>
  <c r="C1132" i="24" l="1"/>
  <c r="C1131" i="24"/>
  <c r="C1130" i="24"/>
  <c r="C1129"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C1092" i="24"/>
  <c r="C1091" i="24"/>
  <c r="C1090" i="24"/>
  <c r="C1089" i="24"/>
  <c r="C1088" i="24"/>
  <c r="C1087" i="24"/>
  <c r="C1086" i="24"/>
  <c r="C1085" i="24"/>
  <c r="U975" i="24"/>
  <c r="W975" i="24" s="1"/>
  <c r="C975" i="24"/>
  <c r="AA974" i="24"/>
  <c r="AA975" i="24" s="1"/>
  <c r="W974" i="24"/>
  <c r="V974" i="24"/>
  <c r="X974" i="24" s="1"/>
  <c r="C974" i="24"/>
  <c r="AA973" i="24"/>
  <c r="AB973" i="24" s="1"/>
  <c r="AC973" i="24" s="1"/>
  <c r="AD973" i="24" s="1"/>
  <c r="W973" i="24"/>
  <c r="V973" i="24"/>
  <c r="X973" i="24" s="1"/>
  <c r="C973" i="24"/>
  <c r="AA972" i="24"/>
  <c r="AB972" i="24" s="1"/>
  <c r="AC972" i="24" s="1"/>
  <c r="AD972" i="24" s="1"/>
  <c r="W972" i="24"/>
  <c r="V972" i="24"/>
  <c r="X972" i="24" s="1"/>
  <c r="C972"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20" i="24"/>
  <c r="Z1720" i="24" s="1"/>
  <c r="AA1709" i="24"/>
  <c r="AB1709" i="24" s="1"/>
  <c r="AC1709" i="24" s="1"/>
  <c r="AD1709" i="24" s="1"/>
  <c r="AA1708" i="24"/>
  <c r="AB1708" i="24" s="1"/>
  <c r="AC1708" i="24" s="1"/>
  <c r="AD1708" i="24" s="1"/>
  <c r="AA1707" i="24"/>
  <c r="Z1707" i="24" s="1"/>
  <c r="AA1706" i="24"/>
  <c r="AB1706" i="24" s="1"/>
  <c r="AC1706" i="24" s="1"/>
  <c r="AD1706" i="24" s="1"/>
  <c r="W1709" i="24"/>
  <c r="V1709" i="24"/>
  <c r="Y1709" i="24" s="1"/>
  <c r="W1720" i="24"/>
  <c r="C1720" i="24"/>
  <c r="F1719" i="24"/>
  <c r="C1719" i="24"/>
  <c r="F1718" i="24"/>
  <c r="C1718" i="24"/>
  <c r="F1717" i="24"/>
  <c r="C1717" i="24"/>
  <c r="F1716" i="24"/>
  <c r="C1716" i="24"/>
  <c r="F1715" i="24"/>
  <c r="C1715" i="24"/>
  <c r="F1714" i="24"/>
  <c r="C1714" i="24"/>
  <c r="C1713" i="24"/>
  <c r="C1712" i="24"/>
  <c r="C1711" i="24"/>
  <c r="C1710" i="24"/>
  <c r="C1709" i="24"/>
  <c r="W1708" i="24"/>
  <c r="C1708" i="24"/>
  <c r="C1707" i="24"/>
  <c r="V1706" i="24"/>
  <c r="C1706" i="24"/>
  <c r="Z958" i="24" l="1"/>
  <c r="Z956" i="24"/>
  <c r="Z972" i="24"/>
  <c r="Z961" i="24"/>
  <c r="Y972" i="24"/>
  <c r="Z974" i="24"/>
  <c r="AA959" i="24"/>
  <c r="AB959" i="24" s="1"/>
  <c r="AC959" i="24" s="1"/>
  <c r="AD959" i="24" s="1"/>
  <c r="AB975" i="24"/>
  <c r="AC975" i="24" s="1"/>
  <c r="AD975" i="24" s="1"/>
  <c r="Z975" i="24"/>
  <c r="Y973" i="24"/>
  <c r="Z973" i="24"/>
  <c r="Y974" i="24"/>
  <c r="X957" i="24"/>
  <c r="AB974" i="24"/>
  <c r="AC974" i="24" s="1"/>
  <c r="AD974" i="24" s="1"/>
  <c r="Z960" i="24"/>
  <c r="Y960" i="24"/>
  <c r="V975"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20" i="24"/>
  <c r="AC1720" i="24" s="1"/>
  <c r="AD1720" i="24" s="1"/>
  <c r="Z1709" i="24"/>
  <c r="X1709" i="24"/>
  <c r="W1707" i="24"/>
  <c r="V1707" i="24"/>
  <c r="Y1706" i="24"/>
  <c r="X1706" i="24"/>
  <c r="V1708" i="24"/>
  <c r="Z1708" i="24"/>
  <c r="W1706" i="24"/>
  <c r="AB1707" i="24"/>
  <c r="AC1707" i="24" s="1"/>
  <c r="AD1707" i="24" s="1"/>
  <c r="Z1706" i="24"/>
  <c r="V1720" i="24"/>
  <c r="AB971" i="24" l="1"/>
  <c r="AC971" i="24" s="1"/>
  <c r="AD971" i="24" s="1"/>
  <c r="Z959" i="24"/>
  <c r="Y975" i="24"/>
  <c r="X975"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07" i="24"/>
  <c r="X1707" i="24"/>
  <c r="Y1720" i="24"/>
  <c r="X1720" i="24"/>
  <c r="Y1708" i="24"/>
  <c r="X1708" i="24"/>
  <c r="C1299" i="24" l="1"/>
  <c r="C1298" i="24"/>
  <c r="C1297" i="24"/>
  <c r="C1296" i="24"/>
  <c r="C1295" i="24"/>
  <c r="C1294" i="24"/>
  <c r="C1293" i="24"/>
  <c r="C1292" i="24"/>
  <c r="V922" i="24"/>
  <c r="V921" i="24" l="1"/>
  <c r="V920" i="24"/>
  <c r="V1676" i="24"/>
  <c r="X1676" i="24" s="1"/>
  <c r="V1677" i="24"/>
  <c r="Y1677" i="24" s="1"/>
  <c r="V1678" i="24"/>
  <c r="X1678" i="24" s="1"/>
  <c r="V1679" i="24"/>
  <c r="V1680" i="24"/>
  <c r="Y1680" i="24" s="1"/>
  <c r="V1681" i="24"/>
  <c r="V1682" i="24"/>
  <c r="Y1682" i="24" s="1"/>
  <c r="V1683" i="24"/>
  <c r="V1684" i="24"/>
  <c r="X1684" i="24" s="1"/>
  <c r="V1685" i="24"/>
  <c r="X1685" i="24" s="1"/>
  <c r="V1686" i="24"/>
  <c r="V1687" i="24"/>
  <c r="Y1687" i="24" s="1"/>
  <c r="V1688" i="24"/>
  <c r="V1689" i="24"/>
  <c r="V1690" i="24"/>
  <c r="Y1690" i="24" s="1"/>
  <c r="X1686" i="24"/>
  <c r="C1659" i="24"/>
  <c r="F1658" i="24"/>
  <c r="C1658" i="24"/>
  <c r="F1644" i="24"/>
  <c r="C1644" i="24"/>
  <c r="F1643" i="24"/>
  <c r="C1643" i="24"/>
  <c r="F1629" i="24"/>
  <c r="C1629" i="24"/>
  <c r="F1628" i="24"/>
  <c r="C1628" i="24"/>
  <c r="F1614" i="24"/>
  <c r="C1614" i="24"/>
  <c r="F1613" i="24"/>
  <c r="C1613" i="24"/>
  <c r="F1599" i="24"/>
  <c r="C1599" i="24"/>
  <c r="F1598" i="24"/>
  <c r="C1598" i="24"/>
  <c r="F1584" i="24"/>
  <c r="C1584" i="24"/>
  <c r="F1583" i="24"/>
  <c r="C1583" i="24"/>
  <c r="F1569" i="24"/>
  <c r="C1569" i="24"/>
  <c r="F1568" i="24"/>
  <c r="C1568" i="24"/>
  <c r="F1554" i="24"/>
  <c r="C1554" i="24"/>
  <c r="F1553" i="24"/>
  <c r="C1553" i="24"/>
  <c r="F1539" i="24"/>
  <c r="C1539" i="24"/>
  <c r="F1538" i="24"/>
  <c r="C1538" i="24"/>
  <c r="F1524" i="24"/>
  <c r="C1524" i="24"/>
  <c r="F1523" i="24"/>
  <c r="C1523" i="24"/>
  <c r="F1509" i="24"/>
  <c r="C1509" i="24"/>
  <c r="F1508" i="24"/>
  <c r="C1508" i="24"/>
  <c r="F1494" i="24"/>
  <c r="C1494" i="24"/>
  <c r="F1493" i="24"/>
  <c r="C1493" i="24"/>
  <c r="F1479" i="24"/>
  <c r="C1479" i="24"/>
  <c r="F1478" i="24"/>
  <c r="C1478" i="24"/>
  <c r="F1464" i="24"/>
  <c r="C1464" i="24"/>
  <c r="F1463" i="24"/>
  <c r="C1463" i="24"/>
  <c r="F1449" i="24"/>
  <c r="C1449" i="24"/>
  <c r="F1448" i="24"/>
  <c r="C1448" i="24"/>
  <c r="F1434" i="24"/>
  <c r="C1434" i="24"/>
  <c r="F1433" i="24"/>
  <c r="C1433" i="24"/>
  <c r="F1419" i="24"/>
  <c r="C1419" i="24"/>
  <c r="F1418" i="24"/>
  <c r="C1418" i="24"/>
  <c r="F1404" i="24"/>
  <c r="C1404" i="24"/>
  <c r="F1403" i="24"/>
  <c r="C1403" i="24"/>
  <c r="F1389" i="24"/>
  <c r="C1389" i="24"/>
  <c r="F1388" i="24"/>
  <c r="C1388" i="24"/>
  <c r="F1374" i="24"/>
  <c r="C1374" i="24"/>
  <c r="F1373" i="24"/>
  <c r="C1373" i="24"/>
  <c r="F1359" i="24"/>
  <c r="C1359" i="24"/>
  <c r="F1358" i="24"/>
  <c r="C1358" i="24"/>
  <c r="F1344" i="24"/>
  <c r="C1344" i="24"/>
  <c r="F1343" i="24"/>
  <c r="C1343" i="24"/>
  <c r="F1328" i="24"/>
  <c r="F1329" i="24"/>
  <c r="C1329" i="24"/>
  <c r="C1328" i="24"/>
  <c r="F1314" i="24"/>
  <c r="F1313" i="24"/>
  <c r="F1312" i="24"/>
  <c r="F1327" i="24"/>
  <c r="F1310" i="24"/>
  <c r="F1311" i="24"/>
  <c r="C1314" i="24"/>
  <c r="C1313" i="24"/>
  <c r="C1674" i="24"/>
  <c r="C1673" i="24"/>
  <c r="C1689" i="24"/>
  <c r="C1688" i="24"/>
  <c r="C1704" i="24"/>
  <c r="C1703" i="24"/>
  <c r="V923" i="24"/>
  <c r="Y923" i="24" s="1"/>
  <c r="X922" i="24"/>
  <c r="C1080" i="24"/>
  <c r="C1079" i="24"/>
  <c r="C1078" i="24"/>
  <c r="C1077"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705" i="24"/>
  <c r="V1702" i="24"/>
  <c r="V1701" i="24"/>
  <c r="V1700" i="24"/>
  <c r="V1699" i="24"/>
  <c r="V1697" i="24"/>
  <c r="V1695" i="24"/>
  <c r="V1693" i="24"/>
  <c r="V1692" i="24"/>
  <c r="V1691" i="24"/>
  <c r="AB1690" i="24"/>
  <c r="AC1690" i="24" s="1"/>
  <c r="AD1690" i="24" s="1"/>
  <c r="Z1690" i="24"/>
  <c r="W1690" i="24"/>
  <c r="C1690" i="24"/>
  <c r="AB1687" i="24"/>
  <c r="AC1687" i="24" s="1"/>
  <c r="AD1687" i="24" s="1"/>
  <c r="Z1687" i="24"/>
  <c r="W1687" i="24"/>
  <c r="F1687" i="24"/>
  <c r="C1687" i="24"/>
  <c r="AB1686" i="24"/>
  <c r="AC1686" i="24" s="1"/>
  <c r="AD1686" i="24" s="1"/>
  <c r="Z1686" i="24"/>
  <c r="W1686" i="24"/>
  <c r="F1686" i="24"/>
  <c r="C1686" i="24"/>
  <c r="AB1685" i="24"/>
  <c r="AC1685" i="24" s="1"/>
  <c r="AD1685" i="24" s="1"/>
  <c r="Z1685" i="24"/>
  <c r="W1685" i="24"/>
  <c r="F1685" i="24"/>
  <c r="C1685" i="24"/>
  <c r="AB1684" i="24"/>
  <c r="AC1684" i="24" s="1"/>
  <c r="AD1684" i="24" s="1"/>
  <c r="Z1684" i="24"/>
  <c r="W1684" i="24"/>
  <c r="F1684" i="24"/>
  <c r="C1684" i="24"/>
  <c r="C1683" i="24"/>
  <c r="AB1682" i="24"/>
  <c r="AC1682" i="24" s="1"/>
  <c r="AD1682" i="24" s="1"/>
  <c r="Z1682" i="24"/>
  <c r="W1682" i="24"/>
  <c r="C1682" i="24"/>
  <c r="C1681" i="24"/>
  <c r="AB1680" i="24"/>
  <c r="AC1680" i="24" s="1"/>
  <c r="AD1680" i="24" s="1"/>
  <c r="Z1680" i="24"/>
  <c r="W1680" i="24"/>
  <c r="C1680" i="24"/>
  <c r="C1679" i="24"/>
  <c r="AB1678" i="24"/>
  <c r="AC1678" i="24" s="1"/>
  <c r="AD1678" i="24" s="1"/>
  <c r="Z1678" i="24"/>
  <c r="W1678" i="24"/>
  <c r="C1678" i="24"/>
  <c r="AB1677" i="24"/>
  <c r="AC1677" i="24" s="1"/>
  <c r="AD1677" i="24" s="1"/>
  <c r="Z1677" i="24"/>
  <c r="W1677" i="24"/>
  <c r="C1677" i="24"/>
  <c r="AB1676" i="24"/>
  <c r="AC1676" i="24" s="1"/>
  <c r="AD1676" i="24" s="1"/>
  <c r="Z1676" i="24"/>
  <c r="W1676" i="24"/>
  <c r="C1676" i="24"/>
  <c r="Y922" i="24" l="1"/>
  <c r="X923" i="24"/>
  <c r="Y1676" i="24"/>
  <c r="X1682" i="24"/>
  <c r="X1687" i="24"/>
  <c r="Y1678" i="24"/>
  <c r="X1690" i="24"/>
  <c r="X1677" i="24"/>
  <c r="Y1685" i="24"/>
  <c r="Y1684" i="24"/>
  <c r="Y1686" i="24"/>
  <c r="X1680" i="24"/>
  <c r="C2082" i="24" l="1"/>
  <c r="C2083" i="24"/>
  <c r="C2084" i="24"/>
  <c r="C2085" i="24"/>
  <c r="C2086" i="24"/>
  <c r="C2087" i="24"/>
  <c r="C2088" i="24"/>
  <c r="C2089" i="24"/>
  <c r="C2090" i="24"/>
  <c r="C2091" i="24"/>
  <c r="C2092" i="24"/>
  <c r="C2093" i="24"/>
  <c r="C2094"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76" i="24"/>
  <c r="C977" i="24"/>
  <c r="C978" i="24"/>
  <c r="U978" i="24"/>
  <c r="V978" i="24"/>
  <c r="W978" i="24"/>
  <c r="X978" i="24"/>
  <c r="Y978" i="24"/>
  <c r="Z978" i="24"/>
  <c r="AA978" i="24"/>
  <c r="AB978" i="24"/>
  <c r="AC978" i="24"/>
  <c r="AD978" i="24"/>
  <c r="C979" i="24"/>
  <c r="U979" i="24"/>
  <c r="V979" i="24"/>
  <c r="W979" i="24"/>
  <c r="X979" i="24"/>
  <c r="Y979" i="24"/>
  <c r="Z979" i="24"/>
  <c r="AA979" i="24"/>
  <c r="AB979" i="24"/>
  <c r="AC979" i="24"/>
  <c r="AD979" i="24"/>
  <c r="C980" i="24"/>
  <c r="U980" i="24"/>
  <c r="V980" i="24"/>
  <c r="W980" i="24"/>
  <c r="X980" i="24"/>
  <c r="Y980" i="24"/>
  <c r="Z980" i="24"/>
  <c r="AA980" i="24"/>
  <c r="AB980" i="24"/>
  <c r="AC980" i="24"/>
  <c r="AD980" i="24"/>
  <c r="C981" i="24"/>
  <c r="C982" i="24"/>
  <c r="C983" i="24"/>
  <c r="C984" i="24"/>
  <c r="C985" i="24"/>
  <c r="C986" i="24"/>
  <c r="C987" i="24"/>
  <c r="C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U1054" i="24"/>
  <c r="V1054" i="24"/>
  <c r="W1054" i="24"/>
  <c r="X1054" i="24"/>
  <c r="Y1054" i="24"/>
  <c r="Z1054" i="24"/>
  <c r="AA1054" i="24"/>
  <c r="AB1054" i="24"/>
  <c r="AC1054" i="24"/>
  <c r="AD1054" i="24"/>
  <c r="C1055" i="24"/>
  <c r="U1055" i="24"/>
  <c r="V1055" i="24"/>
  <c r="W1055" i="24"/>
  <c r="X1055" i="24"/>
  <c r="Y1055" i="24"/>
  <c r="Z1055" i="24"/>
  <c r="AA1055" i="24"/>
  <c r="AB1055" i="24"/>
  <c r="AC1055" i="24"/>
  <c r="AD1055" i="24"/>
  <c r="C1056" i="24"/>
  <c r="U1056" i="24"/>
  <c r="V1056" i="24"/>
  <c r="W1056" i="24"/>
  <c r="X1056" i="24"/>
  <c r="Y1056" i="24"/>
  <c r="Z1056" i="24"/>
  <c r="AA1056" i="24"/>
  <c r="AB1056" i="24"/>
  <c r="AC1056" i="24"/>
  <c r="AD1056" i="24"/>
  <c r="C1057" i="24"/>
  <c r="C1058" i="24"/>
  <c r="C1059" i="24"/>
  <c r="C1060" i="24"/>
  <c r="C1061" i="24"/>
  <c r="C1062" i="24"/>
  <c r="C1063" i="24"/>
  <c r="C1064" i="24"/>
  <c r="C1065" i="24"/>
  <c r="C1066" i="24"/>
  <c r="C1067" i="24"/>
  <c r="C1068" i="24"/>
  <c r="C1069" i="24"/>
  <c r="C1070" i="24"/>
  <c r="C1071" i="24"/>
  <c r="C1072" i="24"/>
  <c r="C1073" i="24"/>
  <c r="C1074" i="24"/>
  <c r="C1075" i="24"/>
  <c r="C1076" i="24"/>
  <c r="C1081" i="24"/>
  <c r="C1082" i="24"/>
  <c r="C1083" i="24"/>
  <c r="C1084" i="24"/>
  <c r="C1133" i="24"/>
  <c r="C1134" i="24"/>
  <c r="U1134" i="24"/>
  <c r="V1134" i="24"/>
  <c r="W1134" i="24"/>
  <c r="X1134" i="24"/>
  <c r="Y1134" i="24"/>
  <c r="Z1134" i="24"/>
  <c r="AA1134" i="24"/>
  <c r="AB1134" i="24"/>
  <c r="AC1134" i="24"/>
  <c r="AD1134" i="24"/>
  <c r="C1135" i="24"/>
  <c r="C1136" i="24"/>
  <c r="Z1136" i="24"/>
  <c r="AA1136" i="24" s="1"/>
  <c r="AB1136" i="24" s="1"/>
  <c r="AC1136" i="24" s="1"/>
  <c r="AD1136" i="24" s="1"/>
  <c r="C1137" i="24"/>
  <c r="Z1137" i="24"/>
  <c r="AA1137" i="24" s="1"/>
  <c r="AB1137" i="24" s="1"/>
  <c r="AC1137" i="24" s="1"/>
  <c r="AD1137" i="24" s="1"/>
  <c r="C1138" i="24"/>
  <c r="Z1138" i="24"/>
  <c r="AA1138" i="24" s="1"/>
  <c r="AB1138" i="24" s="1"/>
  <c r="AC1138" i="24" s="1"/>
  <c r="AD1138" i="24" s="1"/>
  <c r="C1139" i="24"/>
  <c r="C1140" i="24"/>
  <c r="C1141" i="24"/>
  <c r="C1142" i="24"/>
  <c r="C1145" i="24"/>
  <c r="C1146" i="24"/>
  <c r="C1147" i="24"/>
  <c r="C1148" i="24"/>
  <c r="C1149" i="24"/>
  <c r="C1150" i="24"/>
  <c r="C1151" i="24"/>
  <c r="C1152" i="24"/>
  <c r="C1153" i="24"/>
  <c r="C1154" i="24"/>
  <c r="C1155" i="24"/>
  <c r="C1156" i="24"/>
  <c r="C1157" i="24"/>
  <c r="C1158" i="24"/>
  <c r="C1159" i="24"/>
  <c r="C1160"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Z1236" i="24"/>
  <c r="AA1236" i="24" s="1"/>
  <c r="AB1236" i="24" s="1"/>
  <c r="AC1236" i="24" s="1"/>
  <c r="AD1236" i="24" s="1"/>
  <c r="C1237" i="24"/>
  <c r="AH1237" i="24"/>
  <c r="AI1237" i="24"/>
  <c r="C1238" i="24"/>
  <c r="U1238" i="24"/>
  <c r="U1237" i="24" s="1"/>
  <c r="V1238" i="24"/>
  <c r="V1237" i="24" s="1"/>
  <c r="W1238" i="24"/>
  <c r="W1237" i="24" s="1"/>
  <c r="X1238" i="24"/>
  <c r="X1237" i="24" s="1"/>
  <c r="Y1238" i="24"/>
  <c r="Z1238" i="24" s="1"/>
  <c r="C1239" i="24"/>
  <c r="U1239" i="24"/>
  <c r="V1239" i="24"/>
  <c r="W1239" i="24"/>
  <c r="X1239" i="24"/>
  <c r="Y1239" i="24"/>
  <c r="Z1239" i="24" s="1"/>
  <c r="AA1239" i="24" s="1"/>
  <c r="AB1239" i="24" s="1"/>
  <c r="AC1239" i="24" s="1"/>
  <c r="AD1239" i="24" s="1"/>
  <c r="C1240" i="24"/>
  <c r="C1241" i="24"/>
  <c r="C1242" i="24"/>
  <c r="C1243" i="24"/>
  <c r="Z1243" i="24"/>
  <c r="AA1243" i="24" s="1"/>
  <c r="AB1243" i="24" s="1"/>
  <c r="AC1243" i="24" s="1"/>
  <c r="AD1243" i="24" s="1"/>
  <c r="C1244" i="24"/>
  <c r="Z1244" i="24"/>
  <c r="AA1244" i="24" s="1"/>
  <c r="AB1244" i="24" s="1"/>
  <c r="AC1244" i="24" s="1"/>
  <c r="AD1244" i="24" s="1"/>
  <c r="C1245" i="24"/>
  <c r="AH1245" i="24"/>
  <c r="AI1245" i="24"/>
  <c r="C1246" i="24"/>
  <c r="U1246" i="24"/>
  <c r="U1245" i="24" s="1"/>
  <c r="V1246" i="24"/>
  <c r="V1245" i="24" s="1"/>
  <c r="W1246" i="24"/>
  <c r="W1245" i="24" s="1"/>
  <c r="X1246" i="24"/>
  <c r="X1245" i="24" s="1"/>
  <c r="Y1246" i="24"/>
  <c r="Y1245" i="24" s="1"/>
  <c r="C1247" i="24"/>
  <c r="U1247" i="24"/>
  <c r="V1247" i="24"/>
  <c r="W1247" i="24"/>
  <c r="X1247" i="24"/>
  <c r="Y1247" i="24"/>
  <c r="Z1247" i="24" s="1"/>
  <c r="AA1247" i="24" s="1"/>
  <c r="AB1247" i="24" s="1"/>
  <c r="AC1247" i="24" s="1"/>
  <c r="AD1247" i="24" s="1"/>
  <c r="C1248" i="24"/>
  <c r="C1249" i="24"/>
  <c r="C1250" i="24"/>
  <c r="C1251" i="24"/>
  <c r="Z1251" i="24"/>
  <c r="AA1251" i="24" s="1"/>
  <c r="AB1251" i="24" s="1"/>
  <c r="AC1251" i="24" s="1"/>
  <c r="AD1251" i="24" s="1"/>
  <c r="C1252" i="24"/>
  <c r="C1253" i="24"/>
  <c r="C1254" i="24"/>
  <c r="C1255" i="24"/>
  <c r="C1256" i="24"/>
  <c r="C1257" i="24"/>
  <c r="C1258" i="24"/>
  <c r="C1259" i="24"/>
  <c r="C1260" i="24"/>
  <c r="C1261" i="24"/>
  <c r="C1262" i="24"/>
  <c r="C1263" i="24"/>
  <c r="C1264" i="24"/>
  <c r="C1265" i="24"/>
  <c r="C1266" i="24"/>
  <c r="C1267" i="24"/>
  <c r="C1268" i="24"/>
  <c r="V1268" i="24"/>
  <c r="Y1268" i="24" s="1"/>
  <c r="W1268" i="24"/>
  <c r="Z1268" i="24"/>
  <c r="AB1268" i="24"/>
  <c r="AC1268" i="24" s="1"/>
  <c r="AD1268" i="24" s="1"/>
  <c r="C1269" i="24"/>
  <c r="U1269" i="24"/>
  <c r="AA1269" i="24"/>
  <c r="AH1269" i="24"/>
  <c r="AI1269" i="24"/>
  <c r="C1270" i="24"/>
  <c r="V1270" i="24"/>
  <c r="V1269" i="24" s="1"/>
  <c r="W1270" i="24"/>
  <c r="W1269" i="24" s="1"/>
  <c r="Z1270" i="24"/>
  <c r="Z1269" i="24" s="1"/>
  <c r="AB1270" i="24"/>
  <c r="AB1269" i="24" s="1"/>
  <c r="C1271" i="24"/>
  <c r="V1271" i="24"/>
  <c r="Y1271" i="24" s="1"/>
  <c r="W1271" i="24"/>
  <c r="Z1271" i="24"/>
  <c r="AB1271" i="24"/>
  <c r="AC1271" i="24" s="1"/>
  <c r="AD1271" i="24" s="1"/>
  <c r="C1272" i="24"/>
  <c r="C1273" i="24"/>
  <c r="C1274" i="24"/>
  <c r="C1275" i="24"/>
  <c r="Z1275" i="24"/>
  <c r="AB1275" i="24"/>
  <c r="AC1275" i="24" s="1"/>
  <c r="AD1275" i="24" s="1"/>
  <c r="C1276" i="24"/>
  <c r="Z1276" i="24"/>
  <c r="AB1276" i="24"/>
  <c r="AC1276" i="24" s="1"/>
  <c r="AD1276" i="24" s="1"/>
  <c r="C1277" i="24"/>
  <c r="AH1277" i="24"/>
  <c r="AI1277" i="24"/>
  <c r="C1278" i="24"/>
  <c r="U1278" i="24"/>
  <c r="U1277" i="24" s="1"/>
  <c r="V1278" i="24"/>
  <c r="V1277" i="24" s="1"/>
  <c r="W1278" i="24"/>
  <c r="W1277" i="24" s="1"/>
  <c r="X1278" i="24"/>
  <c r="X1277" i="24" s="1"/>
  <c r="Y1278" i="24"/>
  <c r="Y1277" i="24" s="1"/>
  <c r="AA1278" i="24"/>
  <c r="Z1278" i="24" s="1"/>
  <c r="Z1277" i="24" s="1"/>
  <c r="C1279" i="24"/>
  <c r="U1279" i="24"/>
  <c r="V1279" i="24"/>
  <c r="W1279" i="24"/>
  <c r="X1279" i="24"/>
  <c r="Y1279" i="24"/>
  <c r="AA1279" i="24"/>
  <c r="Z1279" i="24" s="1"/>
  <c r="C1280" i="24"/>
  <c r="U1280" i="24"/>
  <c r="V1280" i="24"/>
  <c r="W1280" i="24"/>
  <c r="X1280" i="24"/>
  <c r="Y1280" i="24"/>
  <c r="AA1280" i="24"/>
  <c r="AB1280" i="24" s="1"/>
  <c r="AC1280" i="24" s="1"/>
  <c r="AD1280" i="24" s="1"/>
  <c r="C1281" i="24"/>
  <c r="Z1281" i="24"/>
  <c r="AB1281" i="24"/>
  <c r="AC1281" i="24" s="1"/>
  <c r="AD1281" i="24" s="1"/>
  <c r="C1282" i="24"/>
  <c r="Z1282" i="24"/>
  <c r="AB1282" i="24"/>
  <c r="AC1282" i="24" s="1"/>
  <c r="AD1282" i="24" s="1"/>
  <c r="C1283" i="24"/>
  <c r="AA1283" i="24"/>
  <c r="Z1283" i="24" s="1"/>
  <c r="C1284" i="24"/>
  <c r="U1284" i="24"/>
  <c r="U1286" i="24" s="1"/>
  <c r="U1285" i="24" s="1"/>
  <c r="V1284" i="24"/>
  <c r="V1288" i="24" s="1"/>
  <c r="W1284" i="24"/>
  <c r="W1288" i="24" s="1"/>
  <c r="X1284" i="24"/>
  <c r="X1288" i="24" s="1"/>
  <c r="Y1284" i="24"/>
  <c r="Y1288" i="24" s="1"/>
  <c r="AA1284" i="24"/>
  <c r="AA1288" i="24" s="1"/>
  <c r="C1285" i="24"/>
  <c r="AH1285" i="24"/>
  <c r="AI1285" i="24"/>
  <c r="C1286" i="24"/>
  <c r="C1287" i="24"/>
  <c r="C1288" i="24"/>
  <c r="C1289" i="24"/>
  <c r="U1289" i="24"/>
  <c r="V1289" i="24"/>
  <c r="W1289" i="24"/>
  <c r="X1289" i="24"/>
  <c r="Y1289" i="24"/>
  <c r="AA1289" i="24"/>
  <c r="Z1289" i="24" s="1"/>
  <c r="C1290" i="24"/>
  <c r="U1290" i="24"/>
  <c r="V1290" i="24"/>
  <c r="W1290" i="24"/>
  <c r="X1290" i="24"/>
  <c r="Y1290" i="24"/>
  <c r="AA1290" i="24"/>
  <c r="Z1290" i="24" s="1"/>
  <c r="C1291" i="24"/>
  <c r="U1291" i="24"/>
  <c r="V1291" i="24"/>
  <c r="W1291" i="24"/>
  <c r="X1291" i="24"/>
  <c r="Y1291" i="24"/>
  <c r="AA1291" i="24"/>
  <c r="Z1291" i="24" s="1"/>
  <c r="C1300" i="24"/>
  <c r="C1301" i="24"/>
  <c r="C1302" i="24"/>
  <c r="C1303" i="24"/>
  <c r="C1304" i="24"/>
  <c r="C1305" i="24"/>
  <c r="C1306" i="24"/>
  <c r="C1307" i="24"/>
  <c r="C1308" i="24"/>
  <c r="C1309" i="24"/>
  <c r="F1309" i="24"/>
  <c r="C1310" i="24"/>
  <c r="C1311" i="24"/>
  <c r="C1312" i="24"/>
  <c r="C1315" i="24"/>
  <c r="C1316" i="24"/>
  <c r="C1317" i="24"/>
  <c r="C1318" i="24"/>
  <c r="C1319" i="24"/>
  <c r="C1320" i="24"/>
  <c r="C1324" i="24"/>
  <c r="F1324" i="24"/>
  <c r="C1325" i="24"/>
  <c r="F1325" i="24"/>
  <c r="C1326" i="24"/>
  <c r="F1326" i="24"/>
  <c r="C1327" i="24"/>
  <c r="C1330" i="24"/>
  <c r="C1331" i="24"/>
  <c r="C1332" i="24"/>
  <c r="C1333" i="24"/>
  <c r="C1334" i="24"/>
  <c r="C1335" i="24"/>
  <c r="C1339" i="24"/>
  <c r="F1339" i="24"/>
  <c r="C1340" i="24"/>
  <c r="F1340" i="24"/>
  <c r="C1341" i="24"/>
  <c r="F1341" i="24"/>
  <c r="C1342" i="24"/>
  <c r="F1342" i="24"/>
  <c r="C1345" i="24"/>
  <c r="C1346" i="24"/>
  <c r="C1347" i="24"/>
  <c r="C1348" i="24"/>
  <c r="C1349" i="24"/>
  <c r="C1350" i="24"/>
  <c r="C1354" i="24"/>
  <c r="F1354" i="24"/>
  <c r="C1355" i="24"/>
  <c r="F1355" i="24"/>
  <c r="C1356" i="24"/>
  <c r="F1356" i="24"/>
  <c r="C1357" i="24"/>
  <c r="F1357" i="24"/>
  <c r="C1360" i="24"/>
  <c r="C1361" i="24"/>
  <c r="C1362" i="24"/>
  <c r="C1363" i="24"/>
  <c r="C1364" i="24"/>
  <c r="C1365" i="24"/>
  <c r="C1369" i="24"/>
  <c r="F1369" i="24"/>
  <c r="C1370" i="24"/>
  <c r="F1370" i="24"/>
  <c r="C1371" i="24"/>
  <c r="F1371" i="24"/>
  <c r="C1372" i="24"/>
  <c r="F1372" i="24"/>
  <c r="C1375" i="24"/>
  <c r="C1376" i="24"/>
  <c r="C1377" i="24"/>
  <c r="C1378" i="24"/>
  <c r="C1379" i="24"/>
  <c r="C1380" i="24"/>
  <c r="C1384" i="24"/>
  <c r="F1384" i="24"/>
  <c r="C1385" i="24"/>
  <c r="F1385" i="24"/>
  <c r="C1386" i="24"/>
  <c r="F1386" i="24"/>
  <c r="C1387" i="24"/>
  <c r="F1387" i="24"/>
  <c r="C1390" i="24"/>
  <c r="C1391" i="24"/>
  <c r="C1392" i="24"/>
  <c r="C1393" i="24"/>
  <c r="C1394" i="24"/>
  <c r="C1395" i="24"/>
  <c r="C1399" i="24"/>
  <c r="F1399" i="24"/>
  <c r="C1400" i="24"/>
  <c r="F1400" i="24"/>
  <c r="C1401" i="24"/>
  <c r="F1401" i="24"/>
  <c r="C1402" i="24"/>
  <c r="F1402" i="24"/>
  <c r="C1405" i="24"/>
  <c r="C1406" i="24"/>
  <c r="C1407" i="24"/>
  <c r="C1408" i="24"/>
  <c r="C1409" i="24"/>
  <c r="C1410" i="24"/>
  <c r="C1414" i="24"/>
  <c r="F1414" i="24"/>
  <c r="C1415" i="24"/>
  <c r="F1415" i="24"/>
  <c r="C1416" i="24"/>
  <c r="F1416" i="24"/>
  <c r="C1417" i="24"/>
  <c r="F1417" i="24"/>
  <c r="C1420" i="24"/>
  <c r="C1421" i="24"/>
  <c r="V1421" i="24"/>
  <c r="X1421" i="24" s="1"/>
  <c r="W1421" i="24"/>
  <c r="Z1421" i="24"/>
  <c r="AB1421" i="24"/>
  <c r="AC1421" i="24" s="1"/>
  <c r="AD1421" i="24" s="1"/>
  <c r="C1422" i="24"/>
  <c r="V1422" i="24"/>
  <c r="X1422" i="24" s="1"/>
  <c r="W1422" i="24"/>
  <c r="Z1422" i="24"/>
  <c r="AB1422" i="24"/>
  <c r="AC1422" i="24" s="1"/>
  <c r="AD1422" i="24" s="1"/>
  <c r="C1423" i="24"/>
  <c r="V1423" i="24"/>
  <c r="X1423" i="24" s="1"/>
  <c r="W1423" i="24"/>
  <c r="Z1423" i="24"/>
  <c r="AB1423" i="24"/>
  <c r="AC1423" i="24" s="1"/>
  <c r="AD1423" i="24" s="1"/>
  <c r="C1424" i="24"/>
  <c r="C1425" i="24"/>
  <c r="U1425" i="24"/>
  <c r="W1425" i="24" s="1"/>
  <c r="Z1425" i="24"/>
  <c r="AB1425" i="24"/>
  <c r="AC1425" i="24" s="1"/>
  <c r="AD1425" i="24" s="1"/>
  <c r="C1426" i="24"/>
  <c r="U1426" i="24"/>
  <c r="W1426" i="24" s="1"/>
  <c r="Z1426" i="24"/>
  <c r="AB1426" i="24"/>
  <c r="AC1426" i="24" s="1"/>
  <c r="AD1426" i="24" s="1"/>
  <c r="C1427" i="24"/>
  <c r="C1428" i="24"/>
  <c r="C1429" i="24"/>
  <c r="F1429" i="24"/>
  <c r="C1430" i="24"/>
  <c r="F1430" i="24"/>
  <c r="C1431" i="24"/>
  <c r="F1431" i="24"/>
  <c r="C1432" i="24"/>
  <c r="F1432" i="24"/>
  <c r="C1435" i="24"/>
  <c r="V1435" i="24"/>
  <c r="Z1435" i="24"/>
  <c r="AB1435" i="24"/>
  <c r="AC1435" i="24" s="1"/>
  <c r="AD1435" i="24" s="1"/>
  <c r="C1436" i="24"/>
  <c r="C1437" i="24"/>
  <c r="C1438" i="24"/>
  <c r="C1439" i="24"/>
  <c r="C1440" i="24"/>
  <c r="C1444" i="24"/>
  <c r="F1444" i="24"/>
  <c r="C1445" i="24"/>
  <c r="F1445" i="24"/>
  <c r="C1446" i="24"/>
  <c r="F1446" i="24"/>
  <c r="C1447" i="24"/>
  <c r="F1447" i="24"/>
  <c r="C1450" i="24"/>
  <c r="C1451" i="24"/>
  <c r="C1452" i="24"/>
  <c r="C1453" i="24"/>
  <c r="C1454" i="24"/>
  <c r="C1455" i="24"/>
  <c r="C1459" i="24"/>
  <c r="F1459" i="24"/>
  <c r="C1460" i="24"/>
  <c r="F1460" i="24"/>
  <c r="C1461" i="24"/>
  <c r="F1461" i="24"/>
  <c r="C1462" i="24"/>
  <c r="F1462" i="24"/>
  <c r="C1465" i="24"/>
  <c r="C1466" i="24"/>
  <c r="C1467" i="24"/>
  <c r="C1468" i="24"/>
  <c r="C1469" i="24"/>
  <c r="C1470" i="24"/>
  <c r="C1474" i="24"/>
  <c r="F1474" i="24"/>
  <c r="C1475" i="24"/>
  <c r="F1475" i="24"/>
  <c r="C1476" i="24"/>
  <c r="F1476" i="24"/>
  <c r="C1477" i="24"/>
  <c r="F1477" i="24"/>
  <c r="C1480" i="24"/>
  <c r="C1481" i="24"/>
  <c r="C1482" i="24"/>
  <c r="C1483" i="24"/>
  <c r="C1484" i="24"/>
  <c r="C1485" i="24"/>
  <c r="C1489" i="24"/>
  <c r="F1489" i="24"/>
  <c r="C1490" i="24"/>
  <c r="F1490" i="24"/>
  <c r="C1491" i="24"/>
  <c r="F1491" i="24"/>
  <c r="C1492" i="24"/>
  <c r="F1492" i="24"/>
  <c r="C1495" i="24"/>
  <c r="C1496" i="24"/>
  <c r="C1497" i="24"/>
  <c r="C1498" i="24"/>
  <c r="C1499" i="24"/>
  <c r="C1500" i="24"/>
  <c r="C1504" i="24"/>
  <c r="F1504" i="24"/>
  <c r="C1505" i="24"/>
  <c r="F1505" i="24"/>
  <c r="C1506" i="24"/>
  <c r="F1506" i="24"/>
  <c r="C1507" i="24"/>
  <c r="F1507" i="24"/>
  <c r="C1510" i="24"/>
  <c r="C1511" i="24"/>
  <c r="C1512" i="24"/>
  <c r="C1513" i="24"/>
  <c r="C1514" i="24"/>
  <c r="C1515" i="24"/>
  <c r="C1519" i="24"/>
  <c r="F1519" i="24"/>
  <c r="C1520" i="24"/>
  <c r="F1520" i="24"/>
  <c r="C1521" i="24"/>
  <c r="F1521" i="24"/>
  <c r="C1522" i="24"/>
  <c r="F1522" i="24"/>
  <c r="C1525" i="24"/>
  <c r="C1526" i="24"/>
  <c r="C1527" i="24"/>
  <c r="C1528" i="24"/>
  <c r="C1529" i="24"/>
  <c r="C1530" i="24"/>
  <c r="C1534" i="24"/>
  <c r="F1534" i="24"/>
  <c r="C1535" i="24"/>
  <c r="F1535" i="24"/>
  <c r="C1536" i="24"/>
  <c r="F1536" i="24"/>
  <c r="C1537" i="24"/>
  <c r="F1537" i="24"/>
  <c r="C1540" i="24"/>
  <c r="C1541" i="24"/>
  <c r="C1542" i="24"/>
  <c r="C1543" i="24"/>
  <c r="C1544" i="24"/>
  <c r="C1545" i="24"/>
  <c r="C1549" i="24"/>
  <c r="F1549" i="24"/>
  <c r="C1550" i="24"/>
  <c r="F1550" i="24"/>
  <c r="C1551" i="24"/>
  <c r="F1551" i="24"/>
  <c r="C1552" i="24"/>
  <c r="F1552" i="24"/>
  <c r="C1555" i="24"/>
  <c r="C1556" i="24"/>
  <c r="C1557" i="24"/>
  <c r="C1558" i="24"/>
  <c r="C1559" i="24"/>
  <c r="C1560" i="24"/>
  <c r="C1564" i="24"/>
  <c r="F1564" i="24"/>
  <c r="C1565" i="24"/>
  <c r="F1565" i="24"/>
  <c r="C1566" i="24"/>
  <c r="F1566" i="24"/>
  <c r="C1567" i="24"/>
  <c r="F1567" i="24"/>
  <c r="C1570" i="24"/>
  <c r="C1571" i="24"/>
  <c r="C1572" i="24"/>
  <c r="C1573" i="24"/>
  <c r="C1574" i="24"/>
  <c r="C1575" i="24"/>
  <c r="C1579" i="24"/>
  <c r="F1579" i="24"/>
  <c r="C1580" i="24"/>
  <c r="F1580" i="24"/>
  <c r="C1581" i="24"/>
  <c r="F1581" i="24"/>
  <c r="C1582" i="24"/>
  <c r="F1582" i="24"/>
  <c r="C1585" i="24"/>
  <c r="C1586" i="24"/>
  <c r="C1587" i="24"/>
  <c r="C1588" i="24"/>
  <c r="C1589" i="24"/>
  <c r="C1590" i="24"/>
  <c r="C1594" i="24"/>
  <c r="F1594" i="24"/>
  <c r="C1595" i="24"/>
  <c r="F1595" i="24"/>
  <c r="C1596" i="24"/>
  <c r="F1596" i="24"/>
  <c r="C1597" i="24"/>
  <c r="F1597" i="24"/>
  <c r="C1600" i="24"/>
  <c r="C1601" i="24"/>
  <c r="Z1601" i="24"/>
  <c r="AA1601" i="24" s="1"/>
  <c r="AB1601" i="24" s="1"/>
  <c r="AC1601" i="24" s="1"/>
  <c r="AD1601" i="24" s="1"/>
  <c r="C1602" i="24"/>
  <c r="Z1602" i="24"/>
  <c r="AA1602" i="24" s="1"/>
  <c r="AB1602" i="24" s="1"/>
  <c r="AC1602" i="24" s="1"/>
  <c r="AD1602" i="24" s="1"/>
  <c r="C1603" i="24"/>
  <c r="C1604" i="24"/>
  <c r="C1605" i="24"/>
  <c r="C1606" i="24"/>
  <c r="C1607" i="24"/>
  <c r="C1608" i="24"/>
  <c r="C1609" i="24"/>
  <c r="F1609" i="24"/>
  <c r="C1610" i="24"/>
  <c r="F1610" i="24"/>
  <c r="C1611" i="24"/>
  <c r="F1611" i="24"/>
  <c r="C1612" i="24"/>
  <c r="F1612" i="24"/>
  <c r="C1615" i="24"/>
  <c r="Z1615" i="24"/>
  <c r="AA1615" i="24" s="1"/>
  <c r="AB1615" i="24" s="1"/>
  <c r="AC1615" i="24" s="1"/>
  <c r="AD1615" i="24" s="1"/>
  <c r="C1616" i="24"/>
  <c r="C1617" i="24"/>
  <c r="C1618" i="24"/>
  <c r="C1619" i="24"/>
  <c r="C1620" i="24"/>
  <c r="C1624" i="24"/>
  <c r="F1624" i="24"/>
  <c r="C1625" i="24"/>
  <c r="F1625" i="24"/>
  <c r="C1626" i="24"/>
  <c r="F1626" i="24"/>
  <c r="C1627" i="24"/>
  <c r="F1627" i="24"/>
  <c r="C1630" i="24"/>
  <c r="C1631" i="24"/>
  <c r="V1631" i="24"/>
  <c r="X1631" i="24" s="1"/>
  <c r="W1631" i="24"/>
  <c r="C1632" i="24"/>
  <c r="V1632" i="24"/>
  <c r="X1632" i="24" s="1"/>
  <c r="W1632" i="24"/>
  <c r="C1633" i="24"/>
  <c r="C1634" i="24"/>
  <c r="C1635" i="24"/>
  <c r="C1636" i="24"/>
  <c r="C1637" i="24"/>
  <c r="C1638" i="24"/>
  <c r="C1639" i="24"/>
  <c r="F1639" i="24"/>
  <c r="C1640" i="24"/>
  <c r="F1640" i="24"/>
  <c r="C1641" i="24"/>
  <c r="F1641" i="24"/>
  <c r="C1642" i="24"/>
  <c r="F1642" i="24"/>
  <c r="C1645" i="24"/>
  <c r="V1645" i="24"/>
  <c r="Y1645" i="24" s="1"/>
  <c r="Z1645" i="24" s="1"/>
  <c r="AA1645" i="24" s="1"/>
  <c r="AB1645" i="24" s="1"/>
  <c r="AC1645" i="24" s="1"/>
  <c r="AD1645" i="24" s="1"/>
  <c r="W1645" i="24"/>
  <c r="C1646" i="24"/>
  <c r="AA1646" i="24"/>
  <c r="C1647" i="24"/>
  <c r="AA1647" i="24"/>
  <c r="Z1647" i="24" s="1"/>
  <c r="C1648" i="24"/>
  <c r="AA1648" i="24"/>
  <c r="U1648" i="24" s="1"/>
  <c r="C1649" i="24"/>
  <c r="C1650" i="24"/>
  <c r="C1651" i="24"/>
  <c r="C1652" i="24"/>
  <c r="C1653" i="24"/>
  <c r="C1654" i="24"/>
  <c r="F1654" i="24"/>
  <c r="C1655" i="24"/>
  <c r="F1655" i="24"/>
  <c r="C1656" i="24"/>
  <c r="F1656" i="24"/>
  <c r="C1657" i="24"/>
  <c r="F1657" i="24"/>
  <c r="C1660" i="24"/>
  <c r="AA1660" i="24"/>
  <c r="Z1660" i="24" s="1"/>
  <c r="C1661" i="24"/>
  <c r="V1661" i="24"/>
  <c r="X1661" i="24" s="1"/>
  <c r="W1661" i="24"/>
  <c r="Z1661" i="24"/>
  <c r="AB1661" i="24"/>
  <c r="AC1661" i="24" s="1"/>
  <c r="AD1661" i="24" s="1"/>
  <c r="C1662" i="24"/>
  <c r="V1662" i="24"/>
  <c r="X1662" i="24" s="1"/>
  <c r="W1662" i="24"/>
  <c r="Z1662" i="24"/>
  <c r="AB1662" i="24"/>
  <c r="AC1662" i="24" s="1"/>
  <c r="AD1662" i="24" s="1"/>
  <c r="C1663" i="24"/>
  <c r="V1663" i="24"/>
  <c r="X1663" i="24" s="1"/>
  <c r="W1663" i="24"/>
  <c r="Z1663" i="24"/>
  <c r="AB1663" i="24"/>
  <c r="AC1663" i="24" s="1"/>
  <c r="AD1663" i="24" s="1"/>
  <c r="C1664" i="24"/>
  <c r="U1664" i="24"/>
  <c r="V1664" i="24" s="1"/>
  <c r="X1664" i="24" s="1"/>
  <c r="AA1664" i="24"/>
  <c r="Z1664" i="24" s="1"/>
  <c r="C1665" i="24"/>
  <c r="V1665" i="24"/>
  <c r="X1665" i="24" s="1"/>
  <c r="W1665" i="24"/>
  <c r="Z1665" i="24"/>
  <c r="AB1665" i="24"/>
  <c r="AC1665" i="24" s="1"/>
  <c r="AD1665" i="24" s="1"/>
  <c r="C1666" i="24"/>
  <c r="C1667" i="24"/>
  <c r="V1667" i="24"/>
  <c r="X1667" i="24" s="1"/>
  <c r="W1667" i="24"/>
  <c r="Z1667" i="24"/>
  <c r="AB1667" i="24"/>
  <c r="AC1667" i="24" s="1"/>
  <c r="AD1667" i="24" s="1"/>
  <c r="C1668" i="24"/>
  <c r="C1669" i="24"/>
  <c r="F1669" i="24"/>
  <c r="C1670" i="24"/>
  <c r="F1670" i="24"/>
  <c r="C1671" i="24"/>
  <c r="F1671" i="24"/>
  <c r="C1672" i="24"/>
  <c r="F1672" i="24"/>
  <c r="C1675" i="24"/>
  <c r="U1675" i="24"/>
  <c r="V1675" i="24" s="1"/>
  <c r="Z1675" i="24"/>
  <c r="AB1675" i="24"/>
  <c r="AC1675" i="24" s="1"/>
  <c r="AD1675" i="24" s="1"/>
  <c r="C1691" i="24"/>
  <c r="X1691" i="24"/>
  <c r="W1691" i="24"/>
  <c r="Z1691" i="24"/>
  <c r="AB1691" i="24"/>
  <c r="AC1691" i="24" s="1"/>
  <c r="AD1691" i="24" s="1"/>
  <c r="C1692" i="24"/>
  <c r="X1692" i="24"/>
  <c r="W1692" i="24"/>
  <c r="Z1692" i="24"/>
  <c r="AB1692" i="24"/>
  <c r="AC1692" i="24" s="1"/>
  <c r="AD1692" i="24" s="1"/>
  <c r="C1693" i="24"/>
  <c r="X1693" i="24"/>
  <c r="W1693" i="24"/>
  <c r="Z1693" i="24"/>
  <c r="AB1693" i="24"/>
  <c r="AC1693" i="24" s="1"/>
  <c r="AD1693" i="24" s="1"/>
  <c r="C1694" i="24"/>
  <c r="C1695" i="24"/>
  <c r="Y1695" i="24"/>
  <c r="W1695" i="24"/>
  <c r="Z1695" i="24"/>
  <c r="AB1695" i="24"/>
  <c r="AC1695" i="24" s="1"/>
  <c r="AD1695" i="24" s="1"/>
  <c r="C1696" i="24"/>
  <c r="C1697" i="24"/>
  <c r="X1697" i="24"/>
  <c r="W1697" i="24"/>
  <c r="Z1697" i="24"/>
  <c r="AB1697" i="24"/>
  <c r="AC1697" i="24" s="1"/>
  <c r="AD1697" i="24" s="1"/>
  <c r="C1698" i="24"/>
  <c r="C1699" i="24"/>
  <c r="X1699" i="24"/>
  <c r="W1699" i="24"/>
  <c r="Z1699" i="24"/>
  <c r="AB1699" i="24"/>
  <c r="AC1699" i="24" s="1"/>
  <c r="AD1699" i="24" s="1"/>
  <c r="C1700" i="24"/>
  <c r="Y1700" i="24"/>
  <c r="W1700" i="24"/>
  <c r="Z1700" i="24"/>
  <c r="AB1700" i="24"/>
  <c r="AC1700" i="24" s="1"/>
  <c r="AD1700" i="24" s="1"/>
  <c r="C1701" i="24"/>
  <c r="X1701" i="24"/>
  <c r="W1701" i="24"/>
  <c r="Z1701" i="24"/>
  <c r="AB1701" i="24"/>
  <c r="AC1701" i="24" s="1"/>
  <c r="AD1701" i="24" s="1"/>
  <c r="C1702" i="24"/>
  <c r="Y1702" i="24"/>
  <c r="W1702" i="24"/>
  <c r="Z1702" i="24"/>
  <c r="AB1702" i="24"/>
  <c r="AC1702" i="24" s="1"/>
  <c r="AD1702" i="24" s="1"/>
  <c r="C1705" i="24"/>
  <c r="Y1705" i="24"/>
  <c r="W1705" i="24"/>
  <c r="Z1705" i="24"/>
  <c r="AB1705" i="24"/>
  <c r="AC1705" i="24" s="1"/>
  <c r="AD1705" i="24" s="1"/>
  <c r="C2095" i="24"/>
  <c r="AA1659" i="24" l="1"/>
  <c r="Y195" i="24"/>
  <c r="X197" i="24"/>
  <c r="U815" i="24"/>
  <c r="W197" i="24"/>
  <c r="AB677" i="24"/>
  <c r="Y197" i="24"/>
  <c r="AC677" i="24"/>
  <c r="Y1632" i="24"/>
  <c r="Z1632" i="24" s="1"/>
  <c r="AA1632" i="24" s="1"/>
  <c r="AB1632" i="24" s="1"/>
  <c r="AC1632" i="24" s="1"/>
  <c r="AD1632" i="24" s="1"/>
  <c r="V195" i="24"/>
  <c r="W203" i="24"/>
  <c r="V203" i="24"/>
  <c r="U203" i="24"/>
  <c r="U212" i="24"/>
  <c r="W1675" i="24"/>
  <c r="X677" i="24"/>
  <c r="V677" i="24"/>
  <c r="Y677" i="24"/>
  <c r="AB1289" i="24"/>
  <c r="AC1289" i="24" s="1"/>
  <c r="AD1289" i="24" s="1"/>
  <c r="U677" i="24"/>
  <c r="AB1283" i="24"/>
  <c r="AC1283" i="24" s="1"/>
  <c r="AD1283" i="24" s="1"/>
  <c r="Y196" i="24"/>
  <c r="V1425" i="24"/>
  <c r="X1425" i="24" s="1"/>
  <c r="X196" i="24"/>
  <c r="X203" i="24"/>
  <c r="AA239" i="24"/>
  <c r="Z239" i="24"/>
  <c r="W239" i="24"/>
  <c r="U915" i="24"/>
  <c r="V915" i="24" s="1"/>
  <c r="X915" i="24" s="1"/>
  <c r="AA1287" i="24"/>
  <c r="Z1287" i="24" s="1"/>
  <c r="U239" i="24"/>
  <c r="Y239" i="24"/>
  <c r="U1647" i="24"/>
  <c r="V1647" i="24" s="1"/>
  <c r="X1647" i="24" s="1"/>
  <c r="X239" i="24"/>
  <c r="V1426" i="24"/>
  <c r="X1426" i="24" s="1"/>
  <c r="U412" i="24"/>
  <c r="W816" i="24"/>
  <c r="W817" i="24" s="1"/>
  <c r="W818" i="24" s="1"/>
  <c r="Z1284" i="24"/>
  <c r="AD199" i="24"/>
  <c r="AB199" i="24"/>
  <c r="AA199" i="24"/>
  <c r="W677" i="24"/>
  <c r="Z199" i="24"/>
  <c r="Y199" i="24"/>
  <c r="X199" i="24"/>
  <c r="W199" i="24"/>
  <c r="AB1660" i="24"/>
  <c r="AC1660" i="24" s="1"/>
  <c r="AD1660" i="24" s="1"/>
  <c r="V199" i="24"/>
  <c r="AD325" i="24"/>
  <c r="W503" i="24"/>
  <c r="AB325" i="24"/>
  <c r="AA325" i="24"/>
  <c r="V206" i="24"/>
  <c r="U206" i="24"/>
  <c r="AB626" i="24"/>
  <c r="AC626" i="24" s="1"/>
  <c r="AD626" i="24" s="1"/>
  <c r="X1695" i="24"/>
  <c r="W1664" i="24"/>
  <c r="X212" i="24"/>
  <c r="Y776" i="24"/>
  <c r="Z776" i="24" s="1"/>
  <c r="AA776" i="24" s="1"/>
  <c r="AB776" i="24" s="1"/>
  <c r="AC776" i="24" s="1"/>
  <c r="AD776" i="24" s="1"/>
  <c r="X1271" i="24"/>
  <c r="M196" i="24"/>
  <c r="N196" i="24" s="1"/>
  <c r="O196" i="24" s="1"/>
  <c r="P196" i="24" s="1"/>
  <c r="AD196" i="24"/>
  <c r="W814" i="24"/>
  <c r="W815" i="24" s="1"/>
  <c r="AB1646" i="24"/>
  <c r="AB913" i="24"/>
  <c r="AC913" i="24" s="1"/>
  <c r="AD913" i="24" s="1"/>
  <c r="V197" i="24"/>
  <c r="AB623" i="24"/>
  <c r="AC623" i="24" s="1"/>
  <c r="AD623" i="24" s="1"/>
  <c r="L197" i="24"/>
  <c r="AA197" i="24" s="1"/>
  <c r="X1705" i="24"/>
  <c r="Z325" i="24"/>
  <c r="Y325" i="24"/>
  <c r="Z1646" i="24"/>
  <c r="X325" i="24"/>
  <c r="AC209" i="24"/>
  <c r="W325" i="24"/>
  <c r="AB209" i="24"/>
  <c r="U325" i="24"/>
  <c r="Z209" i="24"/>
  <c r="W196" i="24"/>
  <c r="V196" i="24"/>
  <c r="U196" i="24"/>
  <c r="W1287" i="24"/>
  <c r="U195" i="24"/>
  <c r="V1287" i="24"/>
  <c r="U1287" i="24"/>
  <c r="U1288" i="24"/>
  <c r="U817" i="24"/>
  <c r="U818" i="24" s="1"/>
  <c r="AB1648" i="24"/>
  <c r="AC1648" i="24" s="1"/>
  <c r="AD1648" i="24" s="1"/>
  <c r="AD239" i="24"/>
  <c r="AC239" i="24"/>
  <c r="Y1699" i="24"/>
  <c r="X926" i="24"/>
  <c r="Y772" i="24"/>
  <c r="Z772" i="24" s="1"/>
  <c r="AA772" i="24" s="1"/>
  <c r="AB772" i="24" s="1"/>
  <c r="AC772" i="24" s="1"/>
  <c r="AD772" i="24" s="1"/>
  <c r="AC172" i="24"/>
  <c r="Z172" i="24"/>
  <c r="AC885" i="24"/>
  <c r="AD885" i="24" s="1"/>
  <c r="AD801" i="24" s="1"/>
  <c r="X211" i="24"/>
  <c r="W206" i="24"/>
  <c r="AA797" i="24"/>
  <c r="Z797" i="24"/>
  <c r="X1700" i="24"/>
  <c r="Y810" i="24"/>
  <c r="X204" i="24"/>
  <c r="Y1692" i="24"/>
  <c r="Z540" i="24"/>
  <c r="Z541" i="24" s="1"/>
  <c r="Z542" i="24" s="1"/>
  <c r="W45" i="24"/>
  <c r="Y773" i="24"/>
  <c r="Z773" i="24" s="1"/>
  <c r="AA773" i="24" s="1"/>
  <c r="AB773" i="24" s="1"/>
  <c r="AC773" i="24" s="1"/>
  <c r="AD773" i="24" s="1"/>
  <c r="AA209" i="24"/>
  <c r="Y212" i="24"/>
  <c r="Y69" i="24"/>
  <c r="Z69" i="24" s="1"/>
  <c r="AA69" i="24" s="1"/>
  <c r="AB69" i="24" s="1"/>
  <c r="AC69" i="24" s="1"/>
  <c r="AD69" i="24" s="1"/>
  <c r="X1702" i="24"/>
  <c r="Z623" i="24"/>
  <c r="Y172" i="24"/>
  <c r="W172" i="24"/>
  <c r="V172" i="24"/>
  <c r="Y887" i="24"/>
  <c r="Y805" i="24" s="1"/>
  <c r="X887" i="24"/>
  <c r="X805" i="24" s="1"/>
  <c r="Y814" i="24"/>
  <c r="Z814" i="24" s="1"/>
  <c r="Z815" i="24" s="1"/>
  <c r="X814" i="24"/>
  <c r="X815" i="24" s="1"/>
  <c r="AB800" i="24"/>
  <c r="AB45" i="24"/>
  <c r="Z800" i="24"/>
  <c r="AC196" i="24"/>
  <c r="Y1691" i="24"/>
  <c r="Y1664" i="24"/>
  <c r="Z1280" i="24"/>
  <c r="V809" i="24"/>
  <c r="X809" i="24" s="1"/>
  <c r="Y797" i="24"/>
  <c r="Y681" i="24"/>
  <c r="V212" i="24"/>
  <c r="AB196" i="24"/>
  <c r="AA196" i="24"/>
  <c r="Z196" i="24"/>
  <c r="V75" i="24"/>
  <c r="X75" i="24" s="1"/>
  <c r="W395" i="24"/>
  <c r="Y211" i="24"/>
  <c r="Y206" i="24"/>
  <c r="Y1423" i="24"/>
  <c r="Y886" i="24"/>
  <c r="Z886" i="24" s="1"/>
  <c r="Z802" i="24" s="1"/>
  <c r="X206" i="24"/>
  <c r="X886" i="24"/>
  <c r="X804" i="24" s="1"/>
  <c r="Z628" i="24"/>
  <c r="W72" i="24"/>
  <c r="AB627" i="24"/>
  <c r="AC627" i="24" s="1"/>
  <c r="AD627" i="24" s="1"/>
  <c r="Z45" i="24"/>
  <c r="U626" i="24"/>
  <c r="V204" i="24"/>
  <c r="X172" i="24"/>
  <c r="C28" i="24"/>
  <c r="AD799" i="24"/>
  <c r="X1645" i="24"/>
  <c r="Y927" i="24"/>
  <c r="AC799" i="24"/>
  <c r="U811" i="24"/>
  <c r="V811" i="24" s="1"/>
  <c r="Y811" i="24" s="1"/>
  <c r="C38" i="24"/>
  <c r="C5" i="24"/>
  <c r="X774" i="24"/>
  <c r="Y659" i="24"/>
  <c r="Y1665" i="24"/>
  <c r="Y857" i="24"/>
  <c r="AD797" i="24"/>
  <c r="AC797" i="24"/>
  <c r="C37" i="24"/>
  <c r="X73" i="24"/>
  <c r="Y73" i="24"/>
  <c r="Z73" i="24" s="1"/>
  <c r="AA73" i="24" s="1"/>
  <c r="AB73" i="24" s="1"/>
  <c r="AC73" i="24" s="1"/>
  <c r="AD73" i="24" s="1"/>
  <c r="AA1238" i="24"/>
  <c r="Z1237" i="24"/>
  <c r="V627" i="24"/>
  <c r="W627" i="24"/>
  <c r="AB547" i="24"/>
  <c r="AC547" i="24" s="1"/>
  <c r="AA548" i="24"/>
  <c r="AA549" i="24" s="1"/>
  <c r="AA550" i="24" s="1"/>
  <c r="X1268" i="24"/>
  <c r="Z1246" i="24"/>
  <c r="Z1245" i="24" s="1"/>
  <c r="AB797" i="24"/>
  <c r="Y45" i="24"/>
  <c r="U204" i="24"/>
  <c r="AB172" i="24"/>
  <c r="W73" i="24"/>
  <c r="AC656" i="24"/>
  <c r="AC658" i="24" s="1"/>
  <c r="X45" i="24"/>
  <c r="L204" i="24"/>
  <c r="V45" i="24"/>
  <c r="L211" i="24"/>
  <c r="W797" i="24"/>
  <c r="U45" i="24"/>
  <c r="AB629" i="24"/>
  <c r="AC629" i="24" s="1"/>
  <c r="AD629" i="24" s="1"/>
  <c r="AB1664" i="24"/>
  <c r="AC1664" i="24" s="1"/>
  <c r="AD1664" i="24" s="1"/>
  <c r="Y330" i="24"/>
  <c r="Z330" i="24" s="1"/>
  <c r="AA330" i="24" s="1"/>
  <c r="AB330" i="24" s="1"/>
  <c r="AC330" i="24" s="1"/>
  <c r="AD330" i="24" s="1"/>
  <c r="AD206" i="24"/>
  <c r="AC206" i="24"/>
  <c r="AB1279" i="24"/>
  <c r="AC1279" i="24" s="1"/>
  <c r="AD1279" i="24" s="1"/>
  <c r="X919" i="24"/>
  <c r="U629" i="24"/>
  <c r="AB206" i="24"/>
  <c r="AA206" i="24"/>
  <c r="W70" i="24"/>
  <c r="Y1237"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77" i="24"/>
  <c r="AC45" i="24"/>
  <c r="Y204" i="24"/>
  <c r="W74" i="24"/>
  <c r="Y808" i="24"/>
  <c r="X657" i="24"/>
  <c r="Y1631" i="24"/>
  <c r="Z1631" i="24" s="1"/>
  <c r="AA1631" i="24" s="1"/>
  <c r="AB1631" i="24" s="1"/>
  <c r="AC1631" i="24" s="1"/>
  <c r="AD1631"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288" i="24"/>
  <c r="AC1288" i="24" s="1"/>
  <c r="AD1288" i="24" s="1"/>
  <c r="Z1288"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75" i="24"/>
  <c r="Y1675" i="24"/>
  <c r="X816" i="24"/>
  <c r="X817" i="24" s="1"/>
  <c r="X818" i="24" s="1"/>
  <c r="Y816" i="24"/>
  <c r="V817" i="24"/>
  <c r="V818" i="24" s="1"/>
  <c r="V1648" i="24"/>
  <c r="W1648"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290" i="24"/>
  <c r="AC1290" i="24" s="1"/>
  <c r="AD1290" i="24" s="1"/>
  <c r="Z207" i="24"/>
  <c r="AC1270" i="24"/>
  <c r="Y858" i="24"/>
  <c r="AC853" i="24"/>
  <c r="AB804" i="24"/>
  <c r="X797" i="24"/>
  <c r="Y775" i="24"/>
  <c r="Z775" i="24" s="1"/>
  <c r="AA775" i="24" s="1"/>
  <c r="AB775" i="24" s="1"/>
  <c r="AC775" i="24" s="1"/>
  <c r="AD775" i="24" s="1"/>
  <c r="V756" i="24"/>
  <c r="AA677" i="24"/>
  <c r="U628" i="24"/>
  <c r="Y1661" i="24"/>
  <c r="Z677" i="24"/>
  <c r="U625" i="24"/>
  <c r="X195" i="24"/>
  <c r="W71" i="24"/>
  <c r="Y1287" i="24"/>
  <c r="AB1284" i="24"/>
  <c r="AC1284" i="24" s="1"/>
  <c r="AD1284" i="24" s="1"/>
  <c r="Y918" i="24"/>
  <c r="W914" i="24"/>
  <c r="V797" i="24"/>
  <c r="Y656" i="24"/>
  <c r="Y658" i="24" s="1"/>
  <c r="W195" i="24"/>
  <c r="Y1693" i="24"/>
  <c r="X1287" i="24"/>
  <c r="Y1270" i="24"/>
  <c r="Y1269" i="24" s="1"/>
  <c r="AC886" i="24"/>
  <c r="Y853" i="24"/>
  <c r="Y753" i="24" s="1"/>
  <c r="U797" i="24"/>
  <c r="X656" i="24"/>
  <c r="X658" i="24" s="1"/>
  <c r="AB630" i="24"/>
  <c r="AC630" i="24" s="1"/>
  <c r="AD630" i="24" s="1"/>
  <c r="X1270" i="24"/>
  <c r="X1269" i="24" s="1"/>
  <c r="X853" i="24"/>
  <c r="X753" i="24" s="1"/>
  <c r="AB806" i="24"/>
  <c r="Z630" i="24"/>
  <c r="AB624" i="24"/>
  <c r="AC624" i="24" s="1"/>
  <c r="AD624" i="24" s="1"/>
  <c r="AD796" i="24"/>
  <c r="Z624" i="24"/>
  <c r="V799" i="24"/>
  <c r="AC796" i="24"/>
  <c r="AB796" i="24"/>
  <c r="L195" i="24"/>
  <c r="W806" i="24"/>
  <c r="AA796" i="24"/>
  <c r="W76" i="24"/>
  <c r="AD198" i="24"/>
  <c r="Z913" i="24"/>
  <c r="Y1286" i="24"/>
  <c r="Y1285" i="24" s="1"/>
  <c r="AB803" i="24"/>
  <c r="V801" i="24"/>
  <c r="X796" i="24"/>
  <c r="V755" i="24"/>
  <c r="AC198" i="24"/>
  <c r="X799" i="24"/>
  <c r="AA1286" i="24"/>
  <c r="X1286" i="24"/>
  <c r="X1285" i="24" s="1"/>
  <c r="W796" i="24"/>
  <c r="AB198" i="24"/>
  <c r="V806" i="24"/>
  <c r="Y1697" i="24"/>
  <c r="Y1663" i="24"/>
  <c r="U1660" i="24"/>
  <c r="Y1422" i="24"/>
  <c r="W1286" i="24"/>
  <c r="W1285" i="24" s="1"/>
  <c r="Y885" i="24"/>
  <c r="V796" i="24"/>
  <c r="AA198" i="24"/>
  <c r="Y796" i="24"/>
  <c r="Y1701" i="24"/>
  <c r="V1286" i="24"/>
  <c r="V1285" i="24" s="1"/>
  <c r="U796" i="24"/>
  <c r="AD678" i="24"/>
  <c r="W211" i="24"/>
  <c r="Z1648" i="24"/>
  <c r="Y1667" i="24"/>
  <c r="Z798" i="24"/>
  <c r="AC678" i="24"/>
  <c r="V211" i="24"/>
  <c r="Y198" i="24"/>
  <c r="W803" i="24"/>
  <c r="AB678" i="24"/>
  <c r="Y203" i="24"/>
  <c r="X198" i="24"/>
  <c r="AB1291" i="24"/>
  <c r="AC1291" i="24" s="1"/>
  <c r="AD1291" i="24" s="1"/>
  <c r="AB1278" i="24"/>
  <c r="AB915" i="24"/>
  <c r="AC915" i="24" s="1"/>
  <c r="AD915" i="24" s="1"/>
  <c r="Y855" i="24"/>
  <c r="W809" i="24"/>
  <c r="AB805" i="24"/>
  <c r="V803" i="24"/>
  <c r="AA678" i="24"/>
  <c r="AD412" i="24"/>
  <c r="W198" i="24"/>
  <c r="AB754" i="24"/>
  <c r="AC412" i="24"/>
  <c r="AD395" i="24"/>
  <c r="V198" i="24"/>
  <c r="AB1647" i="24"/>
  <c r="AC1647" i="24" s="1"/>
  <c r="AD1647" i="24" s="1"/>
  <c r="Y678" i="24"/>
  <c r="AB412" i="24"/>
  <c r="AC395" i="24"/>
  <c r="X678" i="24"/>
  <c r="AA412" i="24"/>
  <c r="AB395" i="24"/>
  <c r="Y859" i="24"/>
  <c r="W678" i="24"/>
  <c r="AA395" i="24"/>
  <c r="Y1421" i="24"/>
  <c r="V678" i="24"/>
  <c r="Y412" i="24"/>
  <c r="Y205" i="24"/>
  <c r="U1646" i="24"/>
  <c r="Y1662" i="24"/>
  <c r="AC854" i="24"/>
  <c r="Z1659" i="24" l="1"/>
  <c r="U1659" i="24"/>
  <c r="AC1646" i="24"/>
  <c r="AD1646" i="24" s="1"/>
  <c r="AB1659" i="24"/>
  <c r="Y1425" i="24"/>
  <c r="AB1287" i="24"/>
  <c r="AC1287" i="24" s="1"/>
  <c r="AD1287" i="24" s="1"/>
  <c r="Y915" i="24"/>
  <c r="W915" i="24"/>
  <c r="Y1426" i="24"/>
  <c r="W1647" i="24"/>
  <c r="Y1647"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46" i="24"/>
  <c r="AA1245"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38" i="24"/>
  <c r="AA1237" i="24"/>
  <c r="AC1278" i="24"/>
  <c r="AB1277" i="24"/>
  <c r="Z816" i="24"/>
  <c r="Y817" i="24"/>
  <c r="Y818" i="24" s="1"/>
  <c r="Y1648" i="24"/>
  <c r="X1648"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46" i="24"/>
  <c r="W1646" i="24"/>
  <c r="Z885" i="24"/>
  <c r="Z801" i="24" s="1"/>
  <c r="Y801" i="24"/>
  <c r="AD805" i="24"/>
  <c r="AD803" i="24"/>
  <c r="AD806" i="24"/>
  <c r="Z205" i="24"/>
  <c r="AA205" i="24"/>
  <c r="AB205" i="24"/>
  <c r="AC205" i="24"/>
  <c r="AD205" i="24"/>
  <c r="X812" i="24"/>
  <c r="Y812" i="24"/>
  <c r="AA1285" i="24"/>
  <c r="Z1286" i="24"/>
  <c r="Z1285" i="24" s="1"/>
  <c r="AB1286" i="24"/>
  <c r="AC753" i="24"/>
  <c r="AD853" i="24"/>
  <c r="AD753" i="24" s="1"/>
  <c r="X623" i="24"/>
  <c r="Y623" i="24"/>
  <c r="V1660" i="24"/>
  <c r="W1660" i="24"/>
  <c r="AC1269" i="24"/>
  <c r="AD1270" i="24"/>
  <c r="AD1269" i="24" s="1"/>
  <c r="X630" i="24"/>
  <c r="Y630" i="24"/>
  <c r="AC539" i="24"/>
  <c r="AB540" i="24"/>
  <c r="AB541" i="24" s="1"/>
  <c r="AB542" i="24" s="1"/>
  <c r="AC802" i="24"/>
  <c r="AD886" i="24"/>
  <c r="AC804" i="24"/>
  <c r="Y755" i="24"/>
  <c r="Y757" i="24"/>
  <c r="Y758" i="24"/>
  <c r="AD1659" i="24" l="1"/>
  <c r="AC1659" i="24"/>
  <c r="V1659" i="24"/>
  <c r="W1659" i="24"/>
  <c r="Z806" i="24"/>
  <c r="Z805" i="24"/>
  <c r="AA815" i="24"/>
  <c r="AB1246" i="24"/>
  <c r="AB1245" i="24" s="1"/>
  <c r="Y626" i="24"/>
  <c r="X626" i="24"/>
  <c r="X629" i="24"/>
  <c r="Y629" i="24"/>
  <c r="AB815" i="24"/>
  <c r="AC814" i="24"/>
  <c r="AD757" i="24"/>
  <c r="AD755" i="24"/>
  <c r="AD758" i="24"/>
  <c r="AC1238" i="24"/>
  <c r="AB1237" i="24"/>
  <c r="AD756" i="24"/>
  <c r="AD754" i="24"/>
  <c r="AD802" i="24"/>
  <c r="AD804" i="24"/>
  <c r="X1660" i="24"/>
  <c r="Y1660" i="24"/>
  <c r="X625" i="24"/>
  <c r="Y625" i="24"/>
  <c r="AD539" i="24"/>
  <c r="AD540" i="24" s="1"/>
  <c r="AD541" i="24" s="1"/>
  <c r="AD542" i="24" s="1"/>
  <c r="AC540" i="24"/>
  <c r="AC541" i="24" s="1"/>
  <c r="AC542" i="24" s="1"/>
  <c r="X628" i="24"/>
  <c r="Y628" i="24"/>
  <c r="AA816" i="24"/>
  <c r="Z817" i="24"/>
  <c r="Z818" i="24" s="1"/>
  <c r="X1646" i="24"/>
  <c r="Y1646" i="24"/>
  <c r="AC1286" i="24"/>
  <c r="AB1285" i="24"/>
  <c r="AD1278" i="24"/>
  <c r="AD1277" i="24" s="1"/>
  <c r="AC1277" i="24"/>
  <c r="X1659" i="24" l="1"/>
  <c r="Y1659" i="24"/>
  <c r="AC1246" i="24"/>
  <c r="AC1245" i="24" s="1"/>
  <c r="AC1237" i="24"/>
  <c r="AD1238" i="24"/>
  <c r="AD1237" i="24" s="1"/>
  <c r="AC815" i="24"/>
  <c r="AD814" i="24"/>
  <c r="AD815" i="24" s="1"/>
  <c r="AC1285" i="24"/>
  <c r="AD1286" i="24"/>
  <c r="AD1285" i="24" s="1"/>
  <c r="AB816" i="24"/>
  <c r="AA817" i="24"/>
  <c r="AA818" i="24" s="1"/>
  <c r="AD1246" i="24" l="1"/>
  <c r="AD1245"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J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N125" i="23" l="1"/>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N156" i="23" s="1"/>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AW221" i="23" l="1"/>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Michael</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42" authorId="1"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2" authorId="2"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2" authorId="1" shapeId="0" xr:uid="{69CED908-95AC-461E-ACCD-5C0772F2866E}">
      <text>
        <r>
          <rPr>
            <b/>
            <sz val="9"/>
            <color indexed="81"/>
            <rFont val="Tahoma"/>
            <family val="2"/>
          </rPr>
          <t>Michael Young:</t>
        </r>
        <r>
          <rPr>
            <sz val="9"/>
            <color indexed="81"/>
            <rFont val="Tahoma"/>
            <family val="2"/>
          </rPr>
          <t xml:space="preserve">
fert density t/m3</t>
        </r>
      </text>
    </comment>
    <comment ref="J42" authorId="3" shapeId="0" xr:uid="{56E3A720-7D39-48C7-BFA3-35741354EC03}">
      <text>
        <r>
          <rPr>
            <sz val="9"/>
            <color indexed="81"/>
            <rFont val="Tahoma"/>
            <family val="2"/>
          </rPr>
          <t>Proportion of nitrogen making up the fertiliser. Required for emission calculations.</t>
        </r>
      </text>
    </comment>
    <comment ref="K42" authorId="0" shapeId="0" xr:uid="{78DB029F-CCF0-4BAC-B875-7B9A3751B986}">
      <text>
        <r>
          <rPr>
            <b/>
            <sz val="9"/>
            <color indexed="81"/>
            <rFont val="Tahoma"/>
            <family val="2"/>
          </rPr>
          <t>Michael Young (21512438):</t>
        </r>
        <r>
          <rPr>
            <sz val="9"/>
            <color indexed="81"/>
            <rFont val="Tahoma"/>
            <family val="2"/>
          </rPr>
          <t xml:space="preserve">
day of yr</t>
        </r>
      </text>
    </comment>
    <comment ref="G62"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family val="2"/>
          </rPr>
          <t>John:</t>
        </r>
        <r>
          <rPr>
            <sz val="9"/>
            <color indexed="81"/>
            <rFont val="Tahoma"/>
            <family val="2"/>
          </rPr>
          <t xml:space="preserve">
Calibrated for 8% dry</t>
        </r>
      </text>
    </comment>
    <comment ref="X920" authorId="0" shapeId="0" xr:uid="{52FBDF70-A0A5-492E-8215-51A97B59AEDE}">
      <text>
        <r>
          <rPr>
            <b/>
            <sz val="9"/>
            <color indexed="81"/>
            <rFont val="Tahoma"/>
            <family val="2"/>
          </rPr>
          <t>John:</t>
        </r>
        <r>
          <rPr>
            <sz val="9"/>
            <color indexed="81"/>
            <rFont val="Tahoma"/>
            <family val="2"/>
          </rPr>
          <t xml:space="preserve">
Calibrated for 8% dry</t>
        </r>
      </text>
    </comment>
    <comment ref="W921" authorId="0" shapeId="0" xr:uid="{70C9DA3D-EE36-45C5-9E41-6B971B5BF984}">
      <text>
        <r>
          <rPr>
            <b/>
            <sz val="9"/>
            <color indexed="81"/>
            <rFont val="Tahoma"/>
            <family val="2"/>
          </rPr>
          <t>John:</t>
        </r>
        <r>
          <rPr>
            <sz val="9"/>
            <color indexed="81"/>
            <rFont val="Tahoma"/>
            <family val="2"/>
          </rPr>
          <t xml:space="preserve">
Adjusted to keep scanning % similar when % drys increased</t>
        </r>
      </text>
    </comment>
    <comment ref="X921" authorId="0" shapeId="0" xr:uid="{DAD34EA9-DAE3-4679-BEDE-ACC11A1895DD}">
      <text>
        <r>
          <rPr>
            <b/>
            <sz val="9"/>
            <color indexed="81"/>
            <rFont val="Tahoma"/>
            <family val="2"/>
          </rPr>
          <t>John:</t>
        </r>
        <r>
          <rPr>
            <sz val="9"/>
            <color indexed="81"/>
            <rFont val="Tahoma"/>
            <family val="2"/>
          </rPr>
          <t xml:space="preserve">
Adjusted to keep scanning % similar when % drys increased</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76"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78"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36"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38"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43"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44"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51"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8"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75"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76"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83"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284"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00"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23" authorId="0" shapeId="0" xr:uid="{4489C792-1EE6-4CEF-9B8E-0328AD65B31E}">
      <text>
        <r>
          <rPr>
            <b/>
            <sz val="9"/>
            <color indexed="81"/>
            <rFont val="Tahoma"/>
            <family val="2"/>
          </rPr>
          <t>John:</t>
        </r>
        <r>
          <rPr>
            <sz val="9"/>
            <color indexed="81"/>
            <rFont val="Tahoma"/>
            <family val="2"/>
          </rPr>
          <t xml:space="preserve">
From LMAT</t>
        </r>
      </text>
    </comment>
    <comment ref="U1425"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25" authorId="0" shapeId="0" xr:uid="{C228E3A4-7E5C-416C-BFB2-AFFCFB91913E}">
      <text>
        <r>
          <rPr>
            <b/>
            <sz val="9"/>
            <color indexed="81"/>
            <rFont val="Tahoma"/>
            <family val="2"/>
          </rPr>
          <t>John:</t>
        </r>
        <r>
          <rPr>
            <sz val="9"/>
            <color indexed="81"/>
            <rFont val="Tahoma"/>
            <family val="2"/>
          </rPr>
          <t xml:space="preserve">
FOO is ns in LMAT</t>
        </r>
      </text>
    </comment>
    <comment ref="AA1435"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59"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60"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63"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63"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67"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82"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97"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20"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21"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1846" authorId="0" shapeId="0" xr:uid="{2EC1B66C-7415-4407-A862-57106FD94288}">
      <text>
        <r>
          <rPr>
            <b/>
            <sz val="9"/>
            <color indexed="81"/>
            <rFont val="Tahoma"/>
            <family val="2"/>
          </rPr>
          <t>John:</t>
        </r>
        <r>
          <rPr>
            <sz val="9"/>
            <color indexed="81"/>
            <rFont val="Tahoma"/>
            <family val="2"/>
          </rPr>
          <t xml:space="preserve">
FOO is ns in LMAT</t>
        </r>
      </text>
    </comment>
    <comment ref="AA1854" authorId="0" shapeId="0" xr:uid="{15338E32-D1E0-4CA7-88AA-1A7CDD7BE366}">
      <text>
        <r>
          <rPr>
            <b/>
            <sz val="9"/>
            <color indexed="81"/>
            <rFont val="Tahoma"/>
            <family val="2"/>
          </rPr>
          <t>John:</t>
        </r>
        <r>
          <rPr>
            <sz val="9"/>
            <color indexed="81"/>
            <rFont val="Tahoma"/>
            <family val="2"/>
          </rPr>
          <t xml:space="preserve">
From LMAT</t>
        </r>
      </text>
    </comment>
    <comment ref="AA1856" authorId="0" shapeId="0" xr:uid="{46EA3FBB-895C-4D68-A98F-7B22580202F1}">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AA2081"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<sst xmlns="http://schemas.openxmlformats.org/spreadsheetml/2006/main" count="6568" uniqueCount="3775">
  <si>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</si>
  <si>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</si>
  <si>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</si>
  <si>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</si>
  <si>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</si>
  <si>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</si>
  <si>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</si>
  <si>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</si>
  <si>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</si>
  <si>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</si>
  <si>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</si>
  <si>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</si>
  <si>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</si>
  <si>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</si>
  <si>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</si>
  <si>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</si>
  <si>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</si>
  <si>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</si>
  <si>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</si>
  <si>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</si>
  <si>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</si>
  <si>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</si>
  <si>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</si>
  <si>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</si>
  <si>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</si>
  <si>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</si>
  <si>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</si>
  <si>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</si>
  <si>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</si>
  <si>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</si>
  <si>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</si>
  <si>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</si>
  <si>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</si>
  <si>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</si>
  <si>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</si>
  <si>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</si>
  <si>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</si>
  <si>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</si>
  <si>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</si>
  <si>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</si>
  <si>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</si>
  <si>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</si>
  <si>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</si>
  <si>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</si>
  <si>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</si>
  <si>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</si>
  <si>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</si>
  <si>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</si>
  <si>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</si>
  <si>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</si>
  <si>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</si>
  <si>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</si>
  <si>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</si>
  <si>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</si>
  <si>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</si>
  <si>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</si>
  <si>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</si>
  <si>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</si>
  <si>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</si>
  <si>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</si>
  <si>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</si>
  <si>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</si>
  <si>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</si>
  <si>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</si>
  <si>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</si>
  <si>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</si>
  <si>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</si>
  <si>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</si>
  <si>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</si>
  <si>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</si>
  <si>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</si>
  <si>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</si>
  <si>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</si>
  <si>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</si>
  <si>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</si>
  <si>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</si>
  <si>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</si>
  <si>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</si>
  <si>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</si>
  <si>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</si>
  <si>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</si>
  <si>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</si>
  <si>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</si>
  <si>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</si>
  <si>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</si>
  <si>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</si>
  <si>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</si>
  <si>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</si>
  <si>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</si>
  <si>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</si>
  <si>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</si>
  <si>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</si>
  <si>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</si>
  <si>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</si>
  <si>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</si>
  <si>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</si>
  <si>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</si>
  <si>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</si>
  <si>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</si>
  <si>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</si>
  <si>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</si>
  <si>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</si>
  <si>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</si>
  <si>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</si>
  <si>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</si>
  <si>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</si>
  <si>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</si>
  <si>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</si>
  <si>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</si>
  <si>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</si>
  <si>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</si>
  <si>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</si>
  <si>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</si>
  <si>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</si>
  <si>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</si>
  <si>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</si>
  <si>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</si>
  <si>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</si>
  <si>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</si>
  <si>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</si>
  <si>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</si>
  <si>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</si>
  <si>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</si>
  <si>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</si>
  <si>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</si>
  <si>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</si>
  <si>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</si>
  <si>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</si>
  <si>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</si>
  <si>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</si>
  <si>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</si>
  <si>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</si>
  <si>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</si>
  <si>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</si>
  <si>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</si>
  <si>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</si>
  <si>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</si>
  <si>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</si>
  <si>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</si>
  <si>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</si>
  <si>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</si>
  <si>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</si>
  <si>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</si>
  <si>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</si>
  <si>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</si>
  <si>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</si>
  <si>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</si>
  <si>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</si>
  <si>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</si>
  <si>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</si>
  <si>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</si>
  <si>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</si>
  <si>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</si>
  <si>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</si>
  <si>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</si>
  <si>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</si>
  <si>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</si>
  <si>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</si>
  <si>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</si>
  <si>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</si>
  <si>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</si>
  <si>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</si>
  <si>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</si>
  <si>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</si>
  <si>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</si>
  <si>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</si>
  <si>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</si>
  <si>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</si>
  <si>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</si>
  <si>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</si>
  <si>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</si>
  <si>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</si>
  <si>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</si>
  <si>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</si>
  <si>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</si>
  <si>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</si>
  <si>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</si>
  <si>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</si>
  <si>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</si>
  <si>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</si>
  <si>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</si>
  <si>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</si>
  <si>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</si>
  <si>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</si>
  <si>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</si>
  <si>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</si>
  <si>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</si>
  <si>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</si>
  <si>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</si>
  <si>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</si>
  <si>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</si>
  <si>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</si>
  <si>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</si>
  <si>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</si>
  <si>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</si>
  <si>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</si>
  <si>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</si>
  <si>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</si>
  <si>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</si>
  <si>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</si>
  <si>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</si>
  <si>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</si>
  <si>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</si>
  <si>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</si>
  <si>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</si>
  <si>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</si>
  <si>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</si>
  <si>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</si>
  <si>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</si>
  <si>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</si>
  <si>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</si>
  <si>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</si>
  <si>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</si>
  <si>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</si>
  <si>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</si>
  <si>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</si>
  <si>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</si>
  <si>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</si>
  <si>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</si>
  <si>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</si>
  <si>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</si>
  <si>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</si>
  <si>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</si>
  <si>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</si>
  <si>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</si>
  <si>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</si>
  <si>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</si>
  <si>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</si>
  <si>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</si>
  <si>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</si>
  <si>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</si>
  <si>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</si>
  <si>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</si>
  <si>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</si>
  <si>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</si>
  <si>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</si>
  <si>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</si>
  <si>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</si>
  <si>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</si>
  <si>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</si>
  <si>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</si>
  <si>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</si>
  <si>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</si>
  <si>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</si>
  <si>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</si>
  <si>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</si>
  <si>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</si>
  <si>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</si>
  <si>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</si>
  <si>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</si>
  <si>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</si>
  <si>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</si>
  <si>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</si>
  <si>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</si>
  <si>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</si>
  <si>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</si>
  <si>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</si>
  <si>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</si>
  <si>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</si>
  <si>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</si>
  <si>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</si>
  <si>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</si>
  <si>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</si>
  <si>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</si>
  <si>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</si>
  <si>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</si>
  <si>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</si>
  <si>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</si>
  <si>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</si>
  <si>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</si>
  <si>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</si>
  <si>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</si>
  <si>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</si>
  <si>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</si>
  <si>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</si>
  <si>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</si>
  <si>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</si>
  <si>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</si>
  <si>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</si>
  <si>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</si>
  <si>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</si>
  <si>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</si>
  <si>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</si>
  <si>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</si>
  <si>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</si>
  <si>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</si>
  <si>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</si>
  <si>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</si>
  <si>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</si>
  <si>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</si>
  <si>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</si>
  <si>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</si>
  <si>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</si>
  <si>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</si>
  <si>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</si>
  <si>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</si>
  <si>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</si>
  <si>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</si>
  <si>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</si>
  <si>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</si>
  <si>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</si>
  <si>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</si>
  <si>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</si>
  <si>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</si>
  <si>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</si>
  <si>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</si>
  <si>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</si>
  <si>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</si>
  <si>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</si>
  <si>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</si>
  <si>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</si>
  <si>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</si>
  <si>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</si>
  <si>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</si>
  <si>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</si>
  <si>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</si>
  <si>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</si>
  <si>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</si>
  <si>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</si>
  <si>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</si>
  <si>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</si>
  <si>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</si>
  <si>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</si>
  <si>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</si>
  <si>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</si>
  <si>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</si>
  <si>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</si>
  <si>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</si>
  <si>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</si>
  <si>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</si>
  <si>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</si>
  <si>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</si>
  <si>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</si>
  <si>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</si>
  <si>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</si>
  <si>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</si>
  <si>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</si>
  <si>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</si>
  <si>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</si>
  <si>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</si>
  <si>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</si>
  <si>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</si>
  <si>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</si>
  <si>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</si>
  <si>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</si>
  <si>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</si>
  <si>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</si>
  <si>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</si>
  <si>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</si>
  <si>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</si>
  <si>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</si>
  <si>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</si>
  <si>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</si>
  <si>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</si>
  <si>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</si>
  <si>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</si>
  <si>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</si>
  <si>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</si>
  <si>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</si>
  <si>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</si>
  <si>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</si>
  <si>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</si>
  <si>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</si>
  <si>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</si>
  <si>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</si>
  <si>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</si>
  <si>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</si>
  <si>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</si>
  <si>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</si>
  <si>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</si>
  <si>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</si>
  <si>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</si>
  <si>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</si>
  <si>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</si>
  <si>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</si>
  <si>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</si>
  <si>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</si>
  <si>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</si>
  <si>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</si>
  <si>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</si>
  <si>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</si>
  <si>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</si>
  <si>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</si>
  <si>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</si>
  <si>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</si>
  <si>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</si>
  <si>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</si>
  <si>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</si>
  <si>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</si>
  <si>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</si>
  <si>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</si>
  <si>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</si>
  <si>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</si>
  <si>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</si>
  <si>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</si>
  <si>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</si>
  <si>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</si>
  <si>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</si>
  <si>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</si>
  <si>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</si>
  <si>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</si>
  <si>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</si>
  <si>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</si>
  <si>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</si>
  <si>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</si>
  <si>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</si>
  <si>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</si>
  <si>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</si>
  <si>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</si>
  <si>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</si>
  <si>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</si>
  <si>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</si>
  <si>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</si>
  <si>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</si>
  <si>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</si>
  <si>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</si>
  <si>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</si>
  <si>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</si>
  <si>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</si>
  <si>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</si>
  <si>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</si>
  <si>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</si>
  <si>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</si>
  <si>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</si>
  <si>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</si>
  <si>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</si>
  <si>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</si>
  <si>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</si>
  <si>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</si>
  <si>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</si>
  <si>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</si>
  <si>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</si>
  <si>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</si>
  <si>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</si>
  <si>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</si>
  <si>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</si>
  <si>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</si>
  <si>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</si>
  <si>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</si>
  <si>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</si>
  <si>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</si>
  <si>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</si>
  <si>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</si>
  <si>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</si>
  <si>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</si>
  <si>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</si>
  <si>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</si>
  <si>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</si>
  <si>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</si>
  <si>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</si>
  <si>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</si>
  <si>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</si>
  <si>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</si>
  <si>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</si>
  <si>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</si>
  <si>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</si>
  <si>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</si>
  <si>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</si>
  <si>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</si>
  <si>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</si>
  <si>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</si>
  <si>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</si>
  <si>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</si>
  <si>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</si>
  <si>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</si>
  <si>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</si>
  <si>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</si>
  <si>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</si>
  <si>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</si>
  <si>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</si>
  <si>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</si>
  <si>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</si>
  <si>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</si>
  <si>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</si>
  <si>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</si>
  <si>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</si>
  <si>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</si>
  <si>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</si>
  <si>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</si>
  <si>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</si>
  <si>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</si>
  <si>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</si>
  <si>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</si>
  <si>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</si>
  <si>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</si>
  <si>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</si>
  <si>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</si>
  <si>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</si>
  <si>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</si>
  <si>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</si>
  <si>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</si>
  <si>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</si>
  <si>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</si>
  <si>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</si>
  <si>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</si>
  <si>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</si>
  <si>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</si>
  <si>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</si>
  <si>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</si>
  <si>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</si>
  <si>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</si>
  <si>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</si>
  <si>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</si>
  <si>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</si>
  <si>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</si>
  <si>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</si>
  <si>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</si>
  <si>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</si>
  <si>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</si>
  <si>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</si>
  <si>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</si>
  <si>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</si>
  <si>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</si>
  <si>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</si>
  <si>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</si>
  <si>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</si>
  <si>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</si>
  <si>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</si>
  <si>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</si>
  <si>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</si>
  <si>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</si>
  <si>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</si>
  <si>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</si>
  <si>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</si>
  <si>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</si>
  <si>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</si>
  <si>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</si>
  <si>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</si>
  <si>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</si>
  <si>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</si>
  <si>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</si>
  <si>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</si>
  <si>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</si>
  <si>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</si>
  <si>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</si>
  <si>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</si>
  <si>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</si>
  <si>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</si>
  <si>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</si>
  <si>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</si>
  <si>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</si>
  <si>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</si>
  <si>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</si>
  <si>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</si>
  <si>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</si>
  <si>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</si>
  <si>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</si>
  <si>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</si>
  <si>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</si>
  <si>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</si>
  <si>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</si>
  <si>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</si>
  <si>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</si>
  <si>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</si>
  <si>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</si>
  <si>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</si>
  <si>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</si>
  <si>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</si>
  <si>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</si>
  <si>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</si>
  <si>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</si>
  <si>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</si>
  <si>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</si>
  <si>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</si>
  <si>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</si>
  <si>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</si>
  <si>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</si>
  <si>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</si>
  <si>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</si>
  <si>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</si>
  <si>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</si>
  <si>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</si>
  <si>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</si>
  <si>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</si>
  <si>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</si>
  <si>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</si>
  <si>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</si>
  <si>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</si>
  <si>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</si>
  <si>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</si>
  <si>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</si>
  <si>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</si>
  <si>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</si>
  <si>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</si>
  <si>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</si>
  <si>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</si>
  <si>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</si>
  <si>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</si>
  <si>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</si>
  <si>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</si>
  <si>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</si>
  <si>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</si>
  <si>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</si>
  <si>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</si>
  <si>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</si>
  <si>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</si>
  <si>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</si>
  <si>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</si>
  <si>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</si>
  <si>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</si>
  <si>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</si>
  <si>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</si>
  <si>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</si>
  <si>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</si>
  <si>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</si>
  <si>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</si>
  <si>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</si>
  <si>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</si>
  <si>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</si>
  <si>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</si>
  <si>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</si>
  <si>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</si>
  <si>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</si>
  <si>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</si>
  <si>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</si>
  <si>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</si>
  <si>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</si>
  <si>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</si>
  <si>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</si>
  <si>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</si>
  <si>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</si>
  <si>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</si>
  <si>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</si>
  <si>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</si>
  <si>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</si>
  <si>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</si>
  <si>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</si>
  <si>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</si>
  <si>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</si>
  <si>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</si>
  <si>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</si>
  <si>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</si>
  <si>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</si>
  <si>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</si>
  <si>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</si>
  <si>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</si>
  <si>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</si>
  <si>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</si>
  <si>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</si>
  <si>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</si>
  <si>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</si>
  <si>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</si>
  <si>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</si>
  <si>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</si>
  <si>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</si>
  <si>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</si>
  <si>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</si>
  <si>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</si>
  <si>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</si>
  <si>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</si>
  <si>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</si>
  <si>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</si>
  <si>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</si>
  <si>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</si>
  <si>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</si>
  <si>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</si>
  <si>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</si>
  <si>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</si>
  <si>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</si>
  <si>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</si>
  <si>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</si>
  <si>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</si>
  <si>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</si>
  <si>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</si>
  <si>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</si>
  <si>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</si>
  <si>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</si>
  <si>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</si>
  <si>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</si>
  <si>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</si>
  <si>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</si>
  <si>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</si>
  <si>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</si>
  <si>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</si>
  <si>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</si>
  <si>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</si>
  <si>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</si>
  <si>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</si>
  <si>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</si>
  <si>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</si>
  <si>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</si>
  <si>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</si>
  <si>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</si>
  <si>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</si>
  <si>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</si>
  <si>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</si>
  <si>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</si>
  <si>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</si>
  <si>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</si>
  <si>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</si>
  <si>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</si>
  <si>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</si>
  <si>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</si>
  <si>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</si>
  <si>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</si>
  <si>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</si>
  <si>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</si>
  <si>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</si>
  <si>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</si>
  <si>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</si>
  <si>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</si>
  <si>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</si>
  <si>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</si>
  <si>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</si>
  <si>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</si>
  <si>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</si>
  <si>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</si>
  <si>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</si>
  <si>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</si>
  <si>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</si>
  <si>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</si>
  <si>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</si>
  <si>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</si>
  <si>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</si>
  <si>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</si>
  <si>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</si>
  <si>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</si>
  <si>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</si>
  <si>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</si>
  <si>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</si>
  <si>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</si>
  <si>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</si>
  <si>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</si>
  <si>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</si>
  <si>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</si>
  <si>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</si>
  <si>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</si>
  <si>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</si>
  <si>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</si>
  <si>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</si>
  <si>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</si>
  <si>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</si>
  <si>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</si>
  <si>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</si>
  <si>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</si>
  <si>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</si>
  <si>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</si>
  <si>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</si>
  <si>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</si>
  <si>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</si>
  <si>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</si>
  <si>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</si>
  <si>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</si>
  <si>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</si>
  <si>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</si>
  <si>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</si>
  <si>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</si>
  <si>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</si>
  <si>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</si>
  <si>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</si>
  <si>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</si>
  <si>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</si>
  <si>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</si>
  <si>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</si>
  <si>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</si>
  <si>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</si>
  <si>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</si>
  <si>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</si>
  <si>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</si>
  <si>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</si>
  <si>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</si>
  <si>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</si>
  <si>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</si>
  <si>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</si>
  <si>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</si>
  <si>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</si>
  <si>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</si>
  <si>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</si>
  <si>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</si>
  <si>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</si>
  <si>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</si>
  <si>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</si>
  <si>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</si>
  <si>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</si>
  <si>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</si>
  <si>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</si>
  <si>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</si>
  <si>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</si>
  <si>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</si>
  <si>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</si>
  <si>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</si>
  <si>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</si>
  <si>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</si>
  <si>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</si>
  <si>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</si>
  <si>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</si>
  <si>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</si>
  <si>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</si>
  <si>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</si>
  <si>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</si>
  <si>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</si>
  <si>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</si>
  <si>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</si>
  <si>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</si>
  <si>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</si>
  <si>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</si>
  <si>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</si>
  <si>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</si>
  <si>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</si>
  <si>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</si>
  <si>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</si>
  <si>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</si>
  <si>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</si>
  <si>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</si>
  <si>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</si>
  <si>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</si>
  <si>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</si>
  <si>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</si>
  <si>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</si>
  <si>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</si>
  <si>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</si>
  <si>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</si>
  <si>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</si>
  <si>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</si>
  <si>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</si>
  <si>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</si>
  <si>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</si>
  <si>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</si>
  <si>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</si>
  <si>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</si>
  <si>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</si>
  <si>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</si>
  <si>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</si>
  <si>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</si>
  <si>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</si>
  <si>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</si>
  <si>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</si>
  <si>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</si>
  <si>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</si>
  <si>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</si>
  <si>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</si>
  <si>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</si>
  <si>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</si>
  <si>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</si>
  <si>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</si>
  <si>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</si>
  <si>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</si>
  <si>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</si>
  <si>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</si>
  <si>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</si>
  <si>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</si>
  <si>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</si>
  <si>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</si>
  <si>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</si>
  <si>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</si>
  <si>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</si>
  <si>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</si>
  <si>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</si>
  <si>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</si>
  <si>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</si>
  <si>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</si>
  <si>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</si>
  <si>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</si>
  <si>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</si>
  <si>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</si>
  <si>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</si>
  <si>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</si>
  <si>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</si>
  <si>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</si>
  <si>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</si>
  <si>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</si>
  <si>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</si>
  <si>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</si>
  <si>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</si>
  <si>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</si>
  <si>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</si>
  <si>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</si>
  <si>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</si>
  <si>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</si>
  <si>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</si>
  <si>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</si>
  <si>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</si>
  <si>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</si>
  <si>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</si>
  <si>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</si>
  <si>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</si>
  <si>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</si>
  <si>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</si>
  <si>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</si>
  <si>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</si>
  <si>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</si>
  <si>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</si>
  <si>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</si>
  <si>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</si>
  <si>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</si>
  <si>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</si>
  <si>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</si>
  <si>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</si>
  <si>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</si>
  <si>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</si>
  <si>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</si>
  <si>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</si>
  <si>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</si>
  <si>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</si>
  <si>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</si>
  <si>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</si>
  <si>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</si>
  <si>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</si>
  <si>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</si>
  <si>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</si>
  <si>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</si>
  <si>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</si>
  <si>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</si>
  <si>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</si>
  <si>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</si>
  <si>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</si>
  <si>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</si>
  <si>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</si>
  <si>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</si>
  <si>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</si>
  <si>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</si>
  <si>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</si>
  <si>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</si>
  <si>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</si>
  <si>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</si>
  <si>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</si>
  <si>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</si>
  <si>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</si>
  <si>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</si>
  <si>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</si>
  <si>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</si>
  <si>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</si>
  <si>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</si>
  <si>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</si>
  <si>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</si>
  <si>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</si>
  <si>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</si>
  <si>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</si>
  <si>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</si>
  <si>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</si>
  <si>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</si>
  <si>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</si>
  <si>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</si>
  <si>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</si>
  <si>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</si>
  <si>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</si>
  <si>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</si>
  <si>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</si>
  <si>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</si>
  <si>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</si>
  <si>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</si>
  <si>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</si>
  <si>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</si>
  <si>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</si>
  <si>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</si>
  <si>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</si>
  <si>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</si>
  <si>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</si>
  <si>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</si>
  <si>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</si>
  <si>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</si>
  <si>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</si>
  <si>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</si>
  <si>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</si>
  <si>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</si>
  <si>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</si>
  <si>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</si>
  <si>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</si>
  <si>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</si>
  <si>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</si>
  <si>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</si>
  <si>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</si>
  <si>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</si>
  <si>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</si>
  <si>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</si>
  <si>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</si>
  <si>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</si>
  <si>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</si>
  <si>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</si>
  <si>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</si>
  <si>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</si>
  <si>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</si>
  <si>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</si>
  <si>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</si>
  <si>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</si>
  <si>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</si>
  <si>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</si>
  <si>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</si>
  <si>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</si>
  <si>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</si>
  <si>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</si>
  <si>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</si>
  <si>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</si>
  <si>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</si>
  <si>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</si>
  <si>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</si>
  <si>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</si>
  <si>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</si>
  <si>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</si>
  <si>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</si>
  <si>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</si>
  <si>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</si>
  <si>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</si>
  <si>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</si>
  <si>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</si>
  <si>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</si>
  <si>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</si>
  <si>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</si>
  <si>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</si>
  <si>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</si>
  <si>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</si>
  <si>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</si>
  <si>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</si>
  <si>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</si>
  <si>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</si>
  <si>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</si>
  <si>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</si>
  <si>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</si>
  <si>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</si>
  <si>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</si>
  <si>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</si>
  <si>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</si>
  <si>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</si>
  <si>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</si>
  <si>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</si>
  <si>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</si>
  <si>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</si>
  <si>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</si>
  <si>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</si>
  <si>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</si>
  <si>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</si>
  <si>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</si>
  <si>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</si>
  <si>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</si>
  <si>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</si>
  <si>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</si>
  <si>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</si>
  <si>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</si>
  <si>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</si>
  <si>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</si>
  <si>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</si>
  <si>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</si>
  <si>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</si>
  <si>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</si>
  <si>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</si>
  <si>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</si>
  <si>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</si>
  <si>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</si>
  <si>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</si>
  <si>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</si>
  <si>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</si>
  <si>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</si>
  <si>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</si>
  <si>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</si>
  <si>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</si>
  <si>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</si>
  <si>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</si>
  <si>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</si>
  <si>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</si>
  <si>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</si>
  <si>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</si>
  <si>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</si>
  <si>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</si>
  <si>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</si>
  <si>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</si>
  <si>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</si>
  <si>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</si>
  <si>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</si>
  <si>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</si>
  <si>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</si>
  <si>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</si>
  <si>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</si>
  <si>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</si>
  <si>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</si>
  <si>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</si>
  <si>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</si>
  <si>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</si>
  <si>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</si>
  <si>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</si>
  <si>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</si>
  <si>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</si>
  <si>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</si>
  <si>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</si>
  <si>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</si>
  <si>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</si>
  <si>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</si>
  <si>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</si>
  <si>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</si>
  <si>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</si>
  <si>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</si>
  <si>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</si>
  <si>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</si>
  <si>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</si>
  <si>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</si>
  <si>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</si>
  <si>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</si>
  <si>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</si>
  <si>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</si>
  <si>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</si>
  <si>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</si>
  <si>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</si>
  <si>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</si>
  <si>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</si>
  <si>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</si>
  <si>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</si>
  <si>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</si>
  <si>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</si>
  <si>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</si>
  <si>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</si>
  <si>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</si>
  <si>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</si>
  <si>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</si>
  <si>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</si>
  <si>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</si>
  <si>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</si>
  <si>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</si>
  <si>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</si>
  <si>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</si>
  <si>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</si>
  <si>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</si>
  <si>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</si>
  <si>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</si>
  <si>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</si>
  <si>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</si>
  <si>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</si>
  <si>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</si>
  <si>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</si>
  <si>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</si>
  <si>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</si>
  <si>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</si>
  <si>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</si>
  <si>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</si>
  <si>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</si>
  <si>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</si>
  <si>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</si>
  <si>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</si>
  <si>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</si>
  <si>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</si>
  <si>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</si>
  <si>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</si>
  <si>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</si>
  <si>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</si>
  <si>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</si>
  <si>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</si>
  <si>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</si>
  <si>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</si>
  <si>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</si>
  <si>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</si>
  <si>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</si>
  <si>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</si>
  <si>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</si>
  <si>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</si>
  <si>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</si>
  <si>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</si>
  <si>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</si>
  <si>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</si>
  <si>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</si>
  <si>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</si>
  <si>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</si>
  <si>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</si>
  <si>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</si>
  <si>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</si>
  <si>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</si>
  <si>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</si>
  <si>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</si>
  <si>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</si>
  <si>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</si>
  <si>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</si>
  <si>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</si>
  <si>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</si>
  <si>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</si>
  <si>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</si>
  <si>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</si>
  <si>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</si>
  <si>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</si>
  <si>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</si>
  <si>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</si>
  <si>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</si>
  <si>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</si>
  <si>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</si>
  <si>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</si>
  <si>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</si>
  <si>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</si>
  <si>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</si>
  <si>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</si>
  <si>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</si>
  <si>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</si>
  <si>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</si>
  <si>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</si>
  <si>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</si>
  <si>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</si>
  <si>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</si>
  <si>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</si>
  <si>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</si>
  <si>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</si>
  <si>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</si>
  <si>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</si>
  <si>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</si>
  <si>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</si>
  <si>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</si>
  <si>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</si>
  <si>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</si>
  <si>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</si>
  <si>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</si>
  <si>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</si>
  <si>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</si>
  <si>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</si>
  <si>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</si>
  <si>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</si>
  <si>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</si>
  <si>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</si>
  <si>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</si>
  <si>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</si>
  <si>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</si>
  <si>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</si>
  <si>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</si>
  <si>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</si>
  <si>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</si>
  <si>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</si>
  <si>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</si>
  <si>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</si>
  <si>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</si>
  <si>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</si>
  <si>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</si>
  <si>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</si>
  <si>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</si>
  <si>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</si>
  <si>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</si>
  <si>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</si>
  <si>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</si>
  <si>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</si>
  <si>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</si>
  <si>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</si>
  <si>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</si>
  <si>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</si>
  <si>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</si>
  <si>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</si>
  <si>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</si>
  <si>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</si>
  <si>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</si>
  <si>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</si>
  <si>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</si>
  <si>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</si>
  <si>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</si>
  <si>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</si>
  <si>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</si>
  <si>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</si>
  <si>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</si>
  <si>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</si>
  <si>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</si>
  <si>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</si>
  <si>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</si>
  <si>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</si>
  <si>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</si>
  <si>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</si>
  <si>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</si>
  <si>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</si>
  <si>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</si>
  <si>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</si>
  <si>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</si>
  <si>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</si>
  <si>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</si>
  <si>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</si>
  <si>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</si>
  <si>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</si>
  <si>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</si>
  <si>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</si>
  <si>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</si>
  <si>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</si>
  <si>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</si>
  <si>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</si>
  <si>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</si>
  <si>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</si>
  <si>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</si>
  <si>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</si>
  <si>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</si>
  <si>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</si>
  <si>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</si>
  <si>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</si>
  <si>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</si>
  <si>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</si>
  <si>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</si>
  <si>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</si>
  <si>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</si>
  <si>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</si>
  <si>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</si>
  <si>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</si>
  <si>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</si>
  <si>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</si>
  <si>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</si>
  <si>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</si>
  <si>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</si>
  <si>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</si>
  <si>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</si>
  <si>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</si>
  <si>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</si>
  <si>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</si>
  <si>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</si>
  <si>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</si>
  <si>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</si>
  <si>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</si>
  <si>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</si>
  <si>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</si>
  <si>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</si>
  <si>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</si>
  <si>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</si>
  <si>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</si>
  <si>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</si>
  <si>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</si>
  <si>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</si>
  <si>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</si>
  <si>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</si>
  <si>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</si>
  <si>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</si>
  <si>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</si>
  <si>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</si>
  <si>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</si>
  <si>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</si>
  <si>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</si>
  <si>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</si>
  <si>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</si>
  <si>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</si>
  <si>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</si>
  <si>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</si>
  <si>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</si>
  <si>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</si>
  <si>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</si>
  <si>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</si>
  <si>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</si>
  <si>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</si>
  <si>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</si>
  <si>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</si>
  <si>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</si>
  <si>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</si>
  <si>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</si>
  <si>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</si>
  <si>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</si>
  <si>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</si>
  <si>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</si>
  <si>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</si>
  <si>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</si>
  <si>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</si>
  <si>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</si>
  <si>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</si>
  <si>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</si>
  <si>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</si>
  <si>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</si>
  <si>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</si>
  <si>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</si>
  <si>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</si>
  <si>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</si>
  <si>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</si>
  <si>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</si>
  <si>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</si>
  <si>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</si>
  <si>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</si>
  <si>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</si>
  <si>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</si>
  <si>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</si>
  <si>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</si>
  <si>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</si>
  <si>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</si>
  <si>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</si>
  <si>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</si>
  <si>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</si>
  <si>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</si>
  <si>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</si>
  <si>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</si>
  <si>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</si>
  <si>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</si>
  <si>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</si>
  <si>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</si>
  <si>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</si>
  <si>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</si>
  <si>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</si>
  <si>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</si>
  <si>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</si>
  <si>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</si>
  <si>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</si>
  <si>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</si>
  <si>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</si>
  <si>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</si>
  <si>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</si>
  <si>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</si>
  <si>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</si>
  <si>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</si>
  <si>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</si>
  <si>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</si>
  <si>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</si>
  <si>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</si>
  <si>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</si>
  <si>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</si>
  <si>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</si>
  <si>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</si>
  <si>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</si>
  <si>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</si>
  <si>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</si>
  <si>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</si>
  <si>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</si>
  <si>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</si>
  <si>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</si>
  <si>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</si>
  <si>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</si>
  <si>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</si>
  <si>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</si>
  <si>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</si>
  <si>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</si>
  <si>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</si>
  <si>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</si>
  <si>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</si>
  <si>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</si>
  <si>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</si>
  <si>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</si>
  <si>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</si>
  <si>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</si>
  <si>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</si>
  <si>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</si>
  <si>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</si>
  <si>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</si>
  <si>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</si>
  <si>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</si>
  <si>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</si>
  <si>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</si>
  <si>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</si>
  <si>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</si>
  <si>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</si>
  <si>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</si>
  <si>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</si>
  <si>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</si>
  <si>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</si>
  <si>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</si>
  <si>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</si>
  <si>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</si>
  <si>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</si>
  <si>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</si>
  <si>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</si>
  <si>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</si>
  <si>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</si>
  <si>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</si>
  <si>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</si>
  <si>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</si>
  <si>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</si>
  <si>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</si>
  <si>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</si>
  <si>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</si>
  <si>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</si>
  <si>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</si>
  <si>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</si>
  <si>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</si>
  <si>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</si>
  <si>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</si>
  <si>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</si>
  <si>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</si>
  <si>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</si>
  <si>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</si>
  <si>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</si>
  <si>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</si>
  <si>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</si>
  <si>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</si>
  <si>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</si>
  <si>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</si>
  <si>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</si>
  <si>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</si>
  <si>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</si>
  <si>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</si>
  <si>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</si>
  <si>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</si>
  <si>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</si>
  <si>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</si>
  <si>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</si>
  <si>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</si>
  <si>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</si>
  <si>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</si>
  <si>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</si>
  <si>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</si>
  <si>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</si>
  <si>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</si>
  <si>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</si>
  <si>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</si>
  <si>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</si>
  <si>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</si>
  <si>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</si>
  <si>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</si>
  <si>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</si>
  <si>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</si>
  <si>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</si>
  <si>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</si>
  <si>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</si>
  <si>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</si>
  <si>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</si>
  <si>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</si>
  <si>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</si>
  <si>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</si>
  <si>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</si>
  <si>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</si>
  <si>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</si>
  <si>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</si>
  <si>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</si>
  <si>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</si>
  <si>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</si>
  <si>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</si>
  <si>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</si>
  <si>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</si>
  <si>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</si>
  <si>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</si>
  <si>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</si>
  <si>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</si>
  <si>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</si>
  <si>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</si>
  <si>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</si>
  <si>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</si>
  <si>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</si>
  <si>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</si>
  <si>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</si>
  <si>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</si>
  <si>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</si>
  <si>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</si>
  <si>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</si>
  <si>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</si>
  <si>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</si>
  <si>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</si>
  <si>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</si>
  <si>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</si>
  <si>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</si>
  <si>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</si>
  <si>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</si>
  <si>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</si>
  <si>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</si>
  <si>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</si>
  <si>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</si>
  <si>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</si>
  <si>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</si>
  <si>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</si>
  <si>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</si>
  <si>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</si>
  <si>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</si>
  <si>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</si>
  <si>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</si>
  <si>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</si>
  <si>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</si>
  <si>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</si>
  <si>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</si>
  <si>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</si>
  <si>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</si>
  <si>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</si>
  <si>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</si>
  <si>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</si>
  <si>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</si>
  <si>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</si>
  <si>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</si>
  <si>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</si>
  <si>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</si>
  <si>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</si>
  <si>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</si>
  <si>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</si>
  <si>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</si>
  <si>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</si>
  <si>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</si>
  <si>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</si>
  <si>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</si>
  <si>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</si>
  <si>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</si>
  <si>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</si>
  <si>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</si>
  <si>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</si>
  <si>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</si>
  <si>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</si>
  <si>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</si>
  <si>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</si>
  <si>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</si>
  <si>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</si>
  <si>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</si>
  <si>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</si>
  <si>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</si>
  <si>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</si>
  <si>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</si>
  <si>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</si>
  <si>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</si>
  <si>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</si>
  <si>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</si>
  <si>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</si>
  <si>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</si>
  <si>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</si>
  <si>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</si>
  <si>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</si>
  <si>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</si>
  <si>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</si>
  <si>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</si>
  <si>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</si>
  <si>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</si>
  <si>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</si>
  <si>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</si>
  <si>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</si>
  <si>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</si>
  <si>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</si>
  <si>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</si>
  <si>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</si>
  <si>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</si>
  <si>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</si>
  <si>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</si>
  <si>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</si>
  <si>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</si>
  <si>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</si>
  <si>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</si>
  <si>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</si>
  <si>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</si>
  <si>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</si>
  <si>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</si>
  <si>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</si>
  <si>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</si>
  <si>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</si>
  <si>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</si>
  <si>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</si>
  <si>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</si>
  <si>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</si>
  <si>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</si>
  <si>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</si>
  <si>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</si>
  <si>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</si>
  <si>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</si>
  <si>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</si>
  <si>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</si>
  <si>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</si>
  <si>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</si>
  <si>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</si>
  <si>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</si>
  <si>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</si>
  <si>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</si>
  <si>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</si>
  <si>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</si>
  <si>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</si>
  <si>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</si>
  <si>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</si>
  <si>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</si>
  <si>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</si>
  <si>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</si>
  <si>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</si>
  <si>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</si>
  <si>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</si>
  <si>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</si>
  <si>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</si>
  <si>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</si>
  <si>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</si>
  <si>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</si>
  <si>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</si>
  <si>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</si>
  <si>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</si>
  <si>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</si>
  <si>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</si>
  <si>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</si>
  <si>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</si>
  <si>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</si>
  <si>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</si>
  <si>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</si>
  <si>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</si>
  <si>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</si>
  <si>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</si>
  <si>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</si>
  <si>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</si>
  <si>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</si>
  <si>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</si>
  <si>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</si>
  <si>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</si>
  <si>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</si>
  <si>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</si>
  <si>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</si>
  <si>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</si>
  <si>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</si>
  <si>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</si>
  <si>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</si>
  <si>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</si>
  <si>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</si>
  <si>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</si>
  <si>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</si>
  <si>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</si>
  <si>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</si>
  <si>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</si>
  <si>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</si>
  <si>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</si>
  <si>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</si>
  <si>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</si>
  <si>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</si>
  <si>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</si>
  <si>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</si>
  <si>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</si>
  <si>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</si>
  <si>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</si>
  <si>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</si>
  <si>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</si>
  <si>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</si>
  <si>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</si>
  <si>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</si>
  <si>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</si>
  <si>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</si>
  <si>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</si>
  <si>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</si>
  <si>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</si>
  <si>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</si>
  <si>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</si>
  <si>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</si>
  <si>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</si>
  <si>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</si>
  <si>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</si>
  <si>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</si>
  <si>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</si>
  <si>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</si>
  <si>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</si>
  <si>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</si>
  <si>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</si>
  <si>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</si>
  <si>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</si>
  <si>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</si>
  <si>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</si>
  <si>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</si>
  <si>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</si>
  <si>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</si>
  <si>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</si>
  <si>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</si>
  <si>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</si>
  <si>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</si>
  <si>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</si>
  <si>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</si>
  <si>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</si>
  <si>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</si>
  <si>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</si>
  <si>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</si>
  <si>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</si>
  <si>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</si>
  <si>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</si>
  <si>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</si>
  <si>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</si>
  <si>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</si>
  <si>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</si>
  <si>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</si>
  <si>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</si>
  <si>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</si>
  <si>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</si>
  <si>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</si>
  <si>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</si>
  <si>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</si>
  <si>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</si>
  <si>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</si>
  <si>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</si>
  <si>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</si>
  <si>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</si>
  <si>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</si>
  <si>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</si>
  <si>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</si>
  <si>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</si>
  <si>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</si>
  <si>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</si>
  <si>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</si>
  <si>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</si>
  <si>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</si>
  <si>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</si>
  <si>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</si>
  <si>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</si>
  <si>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</si>
  <si>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</si>
  <si>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</si>
  <si>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</si>
  <si>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</si>
  <si>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</si>
  <si>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</si>
  <si>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</si>
  <si>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</si>
  <si>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</si>
  <si>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</si>
  <si>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</si>
  <si>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</si>
  <si>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</si>
  <si>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</si>
  <si>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</si>
  <si>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</si>
  <si>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</si>
  <si>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</si>
  <si>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</si>
  <si>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</si>
  <si>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</si>
  <si>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</si>
  <si>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</si>
  <si>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</si>
  <si>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</si>
  <si>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</si>
  <si>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</si>
  <si>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</si>
  <si>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</si>
  <si>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</si>
  <si>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</si>
  <si>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</si>
  <si>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</si>
  <si>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</si>
  <si>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</si>
  <si>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</si>
  <si>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</si>
  <si>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</si>
  <si>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</si>
  <si>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</si>
  <si>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</si>
  <si>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</si>
  <si>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</si>
  <si>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</si>
  <si>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</si>
  <si>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</si>
  <si>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</si>
  <si>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</si>
  <si>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</si>
  <si>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</si>
  <si>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</si>
  <si>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</si>
  <si>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</si>
  <si>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</si>
  <si>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</si>
  <si>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</si>
  <si>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</si>
  <si>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</si>
  <si>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</si>
  <si>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</si>
  <si>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</si>
  <si>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</si>
  <si>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</si>
  <si>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</si>
  <si>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</si>
  <si>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</si>
  <si>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</si>
  <si>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</si>
  <si>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</si>
  <si>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</si>
  <si>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</si>
  <si>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</si>
  <si>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</si>
  <si>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</si>
  <si>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</si>
  <si>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</si>
  <si>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</si>
  <si>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</si>
  <si>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</si>
  <si>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</si>
  <si>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</si>
  <si>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</si>
  <si>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</si>
  <si>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</si>
  <si>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</si>
  <si>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</si>
  <si>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</si>
  <si>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</si>
  <si>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</si>
  <si>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</si>
  <si>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</si>
  <si>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</si>
  <si>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</si>
  <si>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</si>
  <si>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</si>
  <si>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</si>
  <si>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</si>
  <si>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</si>
  <si>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</si>
  <si>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</si>
  <si>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</si>
  <si>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</si>
  <si>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</si>
  <si>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</si>
  <si>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</si>
  <si>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</si>
  <si>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</si>
  <si>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</si>
  <si>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</si>
  <si>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</si>
  <si>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</si>
  <si>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</si>
  <si>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</si>
  <si>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</si>
  <si>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</si>
  <si>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</si>
  <si>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</si>
  <si>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</si>
  <si>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</si>
  <si>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</si>
  <si>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</si>
  <si>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</si>
  <si>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</si>
  <si>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</si>
  <si>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</si>
  <si>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</si>
  <si>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</si>
  <si>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</si>
  <si>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</si>
  <si>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</si>
  <si>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</si>
  <si>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</si>
  <si>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</si>
  <si>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</si>
  <si>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</si>
  <si>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</si>
  <si>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</si>
  <si>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</si>
  <si>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</si>
  <si>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</si>
  <si>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</si>
  <si>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</si>
  <si>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</si>
  <si>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</si>
  <si>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</si>
  <si>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</si>
  <si>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</si>
  <si>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</si>
  <si>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</si>
  <si>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</si>
  <si>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</si>
  <si>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</si>
  <si>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</si>
  <si>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</si>
  <si>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</si>
  <si>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</si>
  <si>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</si>
  <si>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</si>
  <si>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</si>
  <si>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</si>
  <si>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</si>
  <si>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</si>
  <si>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</si>
  <si>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</si>
  <si>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</si>
  <si>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</si>
  <si>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</si>
  <si>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</si>
  <si>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</si>
  <si>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</si>
  <si>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</si>
  <si>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</si>
  <si>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</si>
  <si>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</si>
  <si>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</si>
  <si>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</si>
  <si>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</si>
  <si>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</si>
  <si>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</si>
  <si>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</si>
  <si>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</si>
  <si>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</si>
  <si>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</si>
  <si>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</si>
  <si>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</si>
  <si>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</si>
  <si>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</si>
  <si>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</si>
  <si>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</si>
  <si>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</si>
  <si>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</si>
  <si>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</si>
  <si>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</si>
  <si>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</si>
  <si>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</si>
  <si>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</si>
  <si>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</si>
  <si>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</si>
  <si>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</si>
  <si>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</si>
  <si>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</si>
  <si>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</si>
  <si>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</si>
  <si>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</si>
  <si>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</si>
  <si>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</si>
  <si>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</si>
  <si>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</si>
  <si>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</si>
  <si>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</si>
  <si>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</si>
  <si>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</si>
  <si>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</si>
  <si>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</si>
  <si>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</si>
  <si>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</si>
  <si>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</si>
  <si>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</si>
  <si>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</si>
  <si>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</si>
  <si>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</si>
  <si>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</si>
  <si>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</si>
  <si>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</si>
  <si>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</si>
  <si>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</si>
  <si>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</si>
  <si>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</si>
  <si>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</si>
  <si>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</si>
  <si>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</si>
  <si>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</si>
  <si>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</si>
  <si>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</si>
  <si>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</si>
  <si>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</si>
  <si>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</si>
  <si>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</si>
  <si>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</si>
  <si>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</si>
  <si>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</si>
  <si>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</si>
  <si>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</si>
  <si>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</si>
  <si>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</si>
  <si>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</si>
  <si>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</si>
  <si>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</si>
  <si>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</si>
  <si>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</si>
  <si>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</si>
  <si>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</si>
  <si>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</si>
  <si>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</si>
  <si>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</si>
  <si>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</si>
  <si>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</si>
  <si>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</si>
  <si>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</si>
  <si>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</si>
  <si>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</si>
  <si>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</si>
  <si>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</si>
  <si>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</si>
  <si>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</si>
  <si>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</si>
  <si>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</si>
  <si>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</si>
  <si>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</si>
  <si>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</si>
  <si>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</si>
  <si>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</si>
  <si>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</si>
  <si>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</si>
  <si>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</si>
  <si>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</si>
  <si>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</si>
  <si>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</si>
  <si>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</si>
  <si>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</si>
  <si>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</si>
  <si>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</si>
  <si>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</si>
  <si>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</si>
  <si>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</si>
  <si>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</si>
  <si>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</si>
  <si>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</si>
  <si>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</si>
  <si>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</si>
  <si>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</si>
  <si>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</si>
  <si>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</si>
  <si>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</si>
  <si>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</si>
  <si>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</si>
  <si>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</si>
  <si>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</si>
  <si>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</si>
  <si>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</si>
  <si>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</si>
  <si>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</si>
  <si>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</si>
  <si>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</si>
  <si>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</si>
  <si>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</si>
  <si>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</si>
  <si>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</si>
  <si>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</si>
  <si>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</si>
  <si>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</si>
  <si>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</si>
  <si>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</si>
  <si>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</si>
  <si>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</si>
  <si>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</si>
  <si>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</si>
  <si>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</si>
  <si>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</si>
  <si>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</si>
  <si>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</si>
  <si>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</si>
  <si>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</si>
  <si>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</si>
  <si>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</si>
  <si>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</si>
  <si>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</si>
  <si>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</si>
  <si>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</si>
  <si>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</si>
  <si>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</si>
  <si>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</si>
  <si>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</si>
  <si>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</si>
  <si>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</si>
  <si>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</si>
  <si>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</si>
  <si>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</si>
  <si>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</si>
  <si>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</si>
  <si>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</si>
  <si>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</si>
  <si>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</si>
  <si>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</si>
  <si>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</si>
  <si>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</si>
  <si>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</si>
  <si>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</si>
  <si>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</si>
  <si>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</si>
  <si>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</si>
  <si>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</si>
  <si>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</si>
  <si>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</si>
  <si>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</si>
  <si>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</si>
  <si>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</si>
  <si>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</si>
  <si>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</si>
  <si>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</si>
  <si>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</si>
  <si>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</si>
  <si>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</si>
  <si>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</si>
  <si>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</si>
  <si>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</si>
  <si>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</si>
  <si>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</si>
  <si>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</si>
  <si>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</si>
  <si>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</si>
  <si>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</si>
  <si>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</si>
  <si>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</si>
  <si>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</si>
  <si>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</si>
  <si>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</si>
  <si>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</si>
  <si>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</si>
  <si>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</si>
  <si>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</si>
  <si>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</si>
  <si>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</si>
  <si>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</si>
  <si>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</si>
  <si>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</si>
  <si>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</si>
  <si>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</si>
  <si>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</si>
  <si>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</si>
  <si>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</si>
  <si>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</si>
  <si>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</si>
  <si>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</si>
  <si>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</si>
  <si>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</si>
  <si>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</si>
  <si>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</si>
  <si>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</si>
  <si>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</si>
  <si>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</si>
  <si>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</si>
  <si>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</si>
  <si>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</si>
  <si>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</si>
  <si>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</si>
  <si>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</si>
  <si>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</si>
  <si>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</si>
  <si>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</si>
  <si>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</si>
  <si>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</si>
  <si>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</si>
  <si>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</si>
  <si>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</si>
  <si>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</si>
  <si>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</si>
  <si>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</si>
  <si>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</si>
  <si>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</si>
  <si>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</si>
  <si>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</si>
  <si>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</si>
  <si>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</si>
  <si>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</si>
  <si>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</si>
  <si>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</si>
  <si>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</si>
  <si>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</si>
  <si>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</si>
  <si>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</si>
  <si>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</si>
  <si>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</si>
  <si>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</si>
  <si>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</si>
  <si>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</si>
  <si>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</si>
  <si>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</si>
  <si>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</si>
  <si>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</si>
  <si>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</si>
  <si>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</si>
  <si>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</si>
  <si>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</si>
  <si>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</si>
  <si>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</si>
  <si>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</si>
  <si>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</si>
  <si>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</si>
  <si>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</si>
  <si>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</si>
  <si>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</si>
  <si>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</si>
  <si>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</si>
  <si>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</si>
  <si>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</si>
  <si>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</si>
  <si>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</si>
  <si>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</si>
  <si>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</si>
  <si>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</si>
  <si>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</si>
  <si>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</si>
  <si>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</si>
  <si>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</si>
  <si>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</si>
  <si>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</si>
  <si>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</si>
  <si>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</si>
  <si>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</si>
  <si>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</si>
  <si>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</si>
  <si>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</si>
  <si>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</si>
  <si>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</si>
  <si>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</si>
  <si>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</si>
  <si>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</si>
  <si>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</si>
  <si>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</si>
  <si>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</si>
  <si>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</si>
  <si>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</si>
  <si>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</si>
  <si>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</si>
  <si>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</si>
  <si>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</si>
  <si>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</si>
  <si>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</si>
  <si>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</si>
  <si>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</si>
  <si>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</si>
  <si>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</si>
  <si>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</si>
  <si>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</si>
  <si>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</si>
  <si>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</si>
  <si>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</si>
  <si>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</si>
  <si>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</si>
  <si>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</si>
  <si>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</si>
  <si>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</si>
  <si>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</si>
  <si>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</si>
  <si>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</si>
  <si>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</si>
  <si>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</si>
  <si>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</si>
  <si>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</si>
  <si>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</si>
  <si>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</si>
  <si>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</si>
  <si>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</si>
  <si>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</si>
  <si>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</si>
  <si>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</si>
  <si>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</si>
  <si>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</si>
  <si>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</si>
  <si>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</si>
  <si>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</si>
  <si>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</si>
  <si>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</si>
  <si>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</si>
  <si>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</si>
  <si>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</si>
  <si>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</si>
  <si>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</si>
  <si>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</si>
  <si>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</si>
  <si>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</si>
  <si>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</si>
  <si>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</si>
  <si>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</si>
  <si>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</si>
  <si>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</si>
  <si>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</si>
  <si>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</si>
  <si>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</si>
  <si>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</si>
  <si>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</si>
  <si>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</si>
  <si>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</si>
  <si>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</si>
  <si>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</si>
  <si>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</si>
  <si>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</si>
  <si>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</si>
  <si>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</si>
  <si>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</si>
  <si>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</si>
  <si>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</si>
  <si>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</si>
  <si>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</si>
  <si>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</si>
  <si>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</si>
  <si>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</si>
  <si>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</si>
  <si>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</si>
  <si>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</si>
  <si>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</si>
  <si>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</si>
  <si>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</si>
  <si>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</si>
  <si>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</si>
  <si>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</si>
  <si>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</si>
  <si>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</si>
  <si>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</si>
  <si>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</si>
  <si>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</si>
  <si>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</si>
  <si>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</si>
  <si>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</si>
  <si>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</si>
  <si>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</si>
  <si>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</si>
  <si>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</si>
  <si>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</si>
  <si>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</si>
  <si>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</si>
  <si>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</si>
  <si>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</si>
  <si>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</si>
  <si>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</si>
  <si>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</si>
  <si>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</si>
  <si>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</si>
  <si>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</si>
  <si>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</si>
  <si>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</si>
  <si>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</si>
  <si>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</si>
  <si>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</si>
  <si>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</si>
  <si>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</si>
  <si>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</si>
  <si>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</si>
  <si>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</si>
  <si>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</si>
  <si>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</si>
  <si>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</si>
  <si>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</si>
  <si>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</si>
  <si>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</si>
  <si>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</si>
  <si>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</si>
  <si>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</si>
  <si>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</si>
  <si>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</si>
  <si>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</si>
  <si>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</si>
  <si>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</si>
  <si>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</si>
  <si>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</si>
  <si>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</si>
  <si>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</si>
  <si>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</si>
  <si>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</si>
  <si>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</si>
  <si>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</si>
  <si>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</si>
  <si>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</si>
  <si>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</si>
  <si>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</si>
  <si>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</si>
  <si>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</si>
  <si>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</si>
  <si>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</si>
  <si>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</si>
  <si>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</si>
  <si>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</si>
  <si>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</si>
  <si>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</si>
  <si>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</si>
  <si>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</si>
  <si>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</si>
  <si>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</si>
  <si>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</si>
  <si>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</si>
  <si>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</si>
  <si>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</si>
  <si>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</si>
  <si>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</si>
  <si>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</si>
  <si>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</si>
  <si>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</si>
  <si>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</si>
  <si>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</si>
  <si>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</si>
  <si>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</si>
  <si>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</si>
  <si>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</si>
  <si>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</si>
  <si>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</si>
  <si>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</si>
  <si>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</si>
  <si>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</si>
  <si>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</si>
  <si>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</si>
  <si>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</si>
  <si>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</si>
  <si>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</si>
  <si>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</si>
  <si>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</si>
  <si>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</si>
  <si>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</si>
  <si>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</si>
  <si>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</si>
  <si>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</si>
  <si>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</si>
  <si>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</si>
  <si>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</si>
  <si>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</si>
  <si>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</si>
  <si>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</si>
  <si>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</si>
  <si>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</si>
  <si>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</si>
  <si>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</si>
  <si>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</si>
  <si>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</si>
  <si>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</si>
  <si>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</si>
  <si>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</si>
  <si>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</si>
  <si>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</si>
  <si>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</si>
  <si>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</si>
  <si>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</si>
  <si>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</si>
  <si>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</si>
  <si>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</si>
  <si>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</si>
  <si>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</si>
  <si>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</si>
  <si>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</si>
  <si>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</si>
  <si>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</si>
  <si>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</si>
  <si>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</si>
  <si>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</si>
  <si>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</si>
  <si>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</si>
  <si>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</si>
  <si>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</si>
  <si>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</si>
  <si>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</si>
  <si>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</si>
  <si>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</si>
  <si>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</si>
  <si>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</si>
  <si>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</si>
  <si>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</si>
  <si>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</si>
  <si>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</si>
  <si>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</si>
  <si>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</si>
  <si>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</si>
  <si>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</si>
  <si>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</si>
  <si>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</si>
  <si>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</si>
  <si>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</si>
  <si>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</si>
  <si>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</si>
  <si>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</si>
  <si>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</si>
  <si>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</si>
  <si>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</si>
  <si>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</si>
  <si>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</si>
  <si>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</si>
  <si>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</si>
  <si>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</si>
  <si>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</si>
  <si>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</si>
  <si>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</si>
  <si>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</si>
  <si>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</si>
  <si>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</si>
  <si>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</si>
  <si>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</si>
  <si>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</si>
  <si>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</si>
  <si>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</si>
  <si>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</si>
  <si>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</si>
  <si>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</si>
  <si>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</si>
  <si>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</si>
  <si>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</si>
  <si>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</si>
  <si>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</si>
  <si>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</si>
  <si>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</si>
  <si>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</si>
  <si>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</si>
  <si>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</si>
  <si>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</si>
  <si>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</si>
  <si>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</si>
  <si>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</si>
  <si>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</si>
  <si>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</si>
  <si>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</si>
  <si>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</si>
  <si>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</si>
  <si>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</si>
  <si>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</si>
  <si>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</si>
  <si>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</si>
  <si>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</si>
  <si>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</si>
  <si>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</si>
  <si>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</si>
  <si>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</si>
  <si>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</si>
  <si>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</si>
  <si>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</si>
  <si>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</si>
  <si>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</si>
  <si>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</si>
  <si>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</si>
  <si>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</si>
  <si>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</si>
  <si>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</si>
  <si>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</si>
  <si>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</si>
  <si>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</si>
  <si>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</si>
  <si>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</si>
  <si>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</si>
  <si>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</si>
  <si>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</si>
  <si>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</si>
  <si>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</si>
  <si>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</si>
  <si>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</si>
  <si>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</si>
  <si>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</si>
  <si>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</si>
  <si>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</si>
  <si>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</si>
  <si>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</si>
  <si>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</si>
  <si>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</si>
  <si>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</si>
  <si>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</si>
  <si>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</si>
  <si>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</si>
  <si>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</si>
  <si>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</si>
  <si>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</si>
  <si>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</si>
  <si>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</si>
  <si>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</si>
  <si>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</si>
  <si>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</si>
  <si>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</si>
  <si>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</si>
  <si>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</si>
  <si>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</si>
  <si>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</si>
  <si>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</si>
  <si>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</si>
  <si>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</si>
  <si>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</si>
  <si>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</si>
  <si>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</si>
  <si>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</si>
  <si>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</si>
  <si>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</si>
  <si>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</si>
  <si>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</si>
  <si>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</si>
  <si>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</si>
  <si>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</si>
  <si>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</si>
  <si>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</si>
  <si>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</si>
  <si>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</si>
  <si>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</si>
  <si>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</si>
  <si>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</si>
  <si>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</si>
  <si>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</si>
  <si>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</si>
  <si>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</si>
  <si>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</si>
  <si>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</si>
  <si>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</si>
  <si>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</si>
  <si>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</si>
  <si>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</si>
  <si>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</si>
  <si>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</si>
  <si>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</si>
  <si>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</si>
  <si>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</si>
  <si>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</si>
  <si>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</si>
  <si>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</si>
  <si>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</si>
  <si>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</si>
  <si>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</si>
  <si>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</si>
  <si>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</si>
  <si>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</si>
  <si>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</si>
  <si>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</si>
  <si>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</si>
  <si>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</si>
  <si>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</si>
  <si>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</si>
  <si>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</si>
  <si>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</si>
  <si>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</si>
  <si>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</si>
  <si>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</si>
  <si>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</si>
  <si>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</si>
  <si>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</si>
  <si>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</si>
  <si>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</si>
  <si>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</si>
  <si>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</si>
  <si>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</si>
  <si>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</si>
  <si>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</si>
  <si>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</si>
  <si>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</si>
  <si>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</si>
  <si>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</si>
  <si>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</si>
  <si>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</si>
  <si>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</si>
  <si>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</si>
  <si>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</si>
  <si>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</si>
  <si>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</si>
  <si>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</si>
  <si>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</si>
  <si>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</si>
  <si>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</si>
  <si>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</si>
  <si>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</si>
  <si>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</si>
  <si>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</si>
  <si>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</si>
  <si>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</si>
  <si>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</si>
  <si>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</si>
  <si>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</si>
  <si>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</si>
  <si>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</si>
  <si>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</si>
  <si>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</si>
  <si>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</si>
  <si>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</si>
  <si>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</si>
  <si>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</si>
  <si>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</si>
  <si>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</si>
  <si>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</si>
  <si>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</si>
  <si>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</si>
  <si>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</si>
  <si>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</si>
  <si>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</si>
  <si>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</si>
  <si>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</si>
  <si>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</si>
  <si>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</si>
  <si>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</si>
  <si>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</si>
  <si>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</si>
  <si>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</si>
  <si>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</si>
  <si>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</si>
  <si>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</si>
  <si>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</si>
  <si>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</si>
  <si>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</si>
  <si>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</si>
  <si>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</si>
  <si>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</si>
  <si>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</si>
  <si>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</si>
  <si>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</si>
  <si>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</si>
  <si>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</si>
  <si>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</si>
  <si>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</si>
  <si>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</si>
  <si>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</si>
  <si>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</si>
  <si>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</si>
  <si>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</si>
  <si>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</si>
  <si>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</si>
  <si>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</si>
  <si>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</si>
  <si>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</si>
  <si>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</si>
  <si>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</si>
  <si>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</si>
  <si>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</si>
  <si>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</si>
  <si>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</si>
  <si>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</si>
  <si>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</si>
  <si>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</si>
  <si>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</si>
  <si>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</si>
  <si>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</si>
  <si>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</si>
  <si>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</si>
  <si>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</si>
  <si>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</si>
  <si>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</si>
  <si>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</si>
  <si>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</si>
  <si>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</si>
  <si>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</si>
  <si>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</si>
  <si>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</si>
  <si>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</si>
  <si>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</si>
  <si>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</si>
  <si>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</si>
  <si>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</si>
  <si>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</si>
  <si>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</si>
  <si>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</si>
  <si>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</si>
  <si>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</si>
  <si>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</si>
  <si>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</si>
  <si>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</si>
  <si>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</si>
  <si>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</si>
  <si>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</si>
  <si>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</si>
  <si>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</si>
  <si>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</si>
  <si>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</si>
  <si>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</si>
  <si>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</si>
  <si>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</si>
  <si>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</si>
  <si>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</si>
  <si>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</si>
  <si>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</si>
  <si>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</si>
  <si>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</si>
  <si>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</si>
  <si>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</si>
  <si>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</si>
  <si>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</si>
  <si>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</si>
  <si>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</si>
  <si>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</si>
  <si>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</si>
  <si>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</si>
  <si>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</si>
  <si>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</si>
  <si>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</si>
  <si>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</si>
  <si>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</si>
  <si>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</si>
  <si>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</si>
  <si>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</si>
  <si>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</si>
  <si>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</si>
  <si>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</si>
  <si>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</si>
  <si>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</si>
  <si>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</si>
  <si>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</si>
  <si>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</si>
  <si>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</si>
  <si>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</si>
  <si>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</si>
  <si>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</si>
  <si>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</si>
  <si>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</si>
  <si>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</si>
  <si>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</si>
  <si>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</si>
  <si>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</si>
  <si>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</si>
  <si>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</si>
  <si>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</si>
  <si>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</si>
  <si>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</si>
  <si>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</si>
  <si>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</si>
  <si>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</si>
  <si>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</si>
  <si>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</si>
  <si>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</si>
  <si>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</si>
  <si>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</si>
  <si>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</si>
  <si>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</si>
  <si>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</si>
  <si>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</si>
  <si>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</si>
  <si>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</si>
  <si>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</si>
  <si>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</si>
  <si>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</si>
  <si>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</si>
  <si>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</si>
  <si>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</si>
  <si>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</si>
  <si>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</si>
  <si>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</si>
  <si>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</si>
  <si>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</si>
  <si>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</si>
  <si>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</si>
  <si>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</si>
  <si>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</si>
  <si>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</si>
  <si>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</si>
  <si>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</si>
  <si>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</si>
  <si>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</si>
  <si>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</si>
  <si>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</si>
  <si>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</si>
  <si>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</si>
  <si>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</si>
  <si>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</si>
  <si>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</si>
  <si>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</si>
  <si>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</si>
  <si>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</si>
  <si>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</si>
  <si>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</si>
  <si>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</si>
  <si>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</si>
  <si>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</si>
  <si>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</si>
  <si>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</si>
  <si>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</si>
  <si>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</si>
  <si>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</si>
  <si>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</si>
  <si>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</si>
  <si>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</si>
  <si>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</si>
  <si>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</si>
  <si>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</si>
  <si>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</si>
  <si>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</si>
  <si>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</si>
  <si>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</si>
  <si>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</si>
  <si>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</si>
  <si>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</si>
  <si>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</si>
  <si>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</si>
  <si>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</si>
  <si>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</si>
  <si>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</si>
  <si>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</si>
  <si>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</si>
  <si>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</si>
  <si>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</si>
  <si>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</si>
  <si>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</si>
  <si>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</si>
  <si>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</si>
  <si>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</si>
  <si>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</si>
  <si>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</si>
  <si>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</si>
  <si>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</si>
  <si>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</si>
  <si>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</si>
  <si>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</si>
  <si>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</si>
  <si>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</si>
  <si>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</si>
  <si>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</si>
  <si>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</si>
  <si>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</si>
  <si>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</si>
  <si>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</si>
  <si>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</si>
  <si>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</si>
  <si>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</si>
  <si>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</si>
  <si>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</si>
  <si>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</si>
  <si>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</si>
  <si>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</si>
  <si>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</si>
  <si>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</si>
  <si>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</si>
  <si>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</si>
  <si>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</si>
  <si>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</si>
  <si>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</si>
  <si>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</si>
  <si>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</si>
  <si>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</si>
  <si>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</si>
  <si>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</si>
  <si>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</si>
  <si>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</si>
  <si>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</si>
  <si>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</si>
  <si>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</si>
  <si>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</si>
  <si>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</si>
  <si>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</si>
  <si>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</si>
  <si>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</si>
  <si>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</si>
  <si>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</si>
  <si>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</si>
  <si>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</si>
  <si>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</si>
  <si>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</si>
  <si>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</si>
  <si>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</si>
  <si>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</si>
  <si>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</si>
  <si>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</si>
  <si>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</si>
  <si>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</si>
  <si>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</si>
  <si>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</si>
  <si>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</si>
  <si>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</si>
  <si>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</si>
  <si>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</si>
  <si>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</si>
  <si>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</si>
  <si>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</si>
  <si>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</si>
  <si>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</si>
  <si>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</si>
  <si>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</si>
  <si>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</si>
  <si>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</si>
  <si>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</si>
  <si>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</si>
  <si>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</si>
  <si>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</si>
  <si>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</si>
  <si>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</si>
  <si>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</si>
  <si>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</si>
  <si>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</si>
  <si>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</si>
  <si>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</si>
  <si>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</si>
  <si>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</si>
  <si>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</si>
  <si>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</si>
  <si>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</si>
  <si>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</si>
  <si>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</si>
  <si>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</si>
  <si>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</si>
  <si>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</si>
  <si>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</si>
  <si>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</si>
  <si>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</si>
  <si>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</si>
  <si>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</si>
  <si>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</si>
  <si>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</si>
  <si>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</si>
  <si>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</si>
  <si>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</si>
  <si>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</si>
  <si>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</si>
  <si>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</si>
  <si>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</si>
  <si>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</si>
  <si>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</si>
  <si>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</si>
  <si>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</si>
  <si>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</si>
  <si>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</si>
  <si>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</si>
  <si>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</si>
  <si>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</si>
  <si>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</si>
  <si>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</si>
  <si>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</si>
  <si>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</si>
  <si>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</si>
  <si>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</si>
  <si>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</si>
  <si>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</si>
  <si>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</si>
  <si>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</si>
  <si>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</si>
  <si>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</si>
  <si>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</si>
  <si>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</si>
  <si>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</si>
  <si>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</si>
  <si>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</si>
  <si>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</si>
  <si>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</si>
  <si>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</si>
  <si>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</si>
  <si>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</si>
  <si>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</si>
  <si>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</si>
  <si>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</si>
  <si>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</si>
  <si>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</si>
  <si>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</si>
  <si>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</si>
  <si>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</si>
  <si>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</si>
  <si>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</si>
  <si>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</si>
  <si>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</si>
  <si>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</si>
  <si>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</si>
  <si>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</si>
  <si>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</si>
  <si>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</si>
  <si>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</si>
  <si>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</si>
  <si>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</si>
  <si>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</si>
  <si>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</si>
  <si>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</si>
  <si>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</si>
  <si>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</si>
  <si>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</si>
  <si>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</si>
  <si>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</si>
  <si>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</si>
  <si>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</si>
  <si>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</si>
  <si>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</si>
  <si>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</si>
  <si>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</si>
  <si>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</si>
  <si>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</si>
  <si>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</si>
  <si>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</si>
  <si>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</si>
  <si>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</si>
  <si>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</si>
  <si>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</si>
  <si>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</si>
  <si>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</si>
  <si>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</si>
  <si>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</si>
  <si>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</si>
  <si>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</si>
  <si>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</si>
  <si>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</si>
  <si>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</si>
  <si>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</si>
  <si>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</si>
  <si>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</si>
  <si>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</si>
  <si>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</si>
  <si>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</si>
  <si>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</si>
  <si>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</si>
  <si>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</si>
  <si>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</si>
  <si>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</si>
  <si>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</si>
  <si>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</si>
  <si>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</si>
  <si>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</si>
  <si>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</si>
  <si>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</si>
  <si>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</si>
  <si>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</si>
  <si>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</si>
  <si>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</si>
  <si>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</si>
  <si>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</si>
  <si>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</si>
  <si>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</si>
  <si>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</si>
  <si>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</si>
  <si>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</si>
  <si>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</si>
  <si>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</si>
  <si>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</si>
  <si>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</si>
  <si>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</si>
  <si>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</si>
  <si>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</si>
  <si>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</si>
  <si>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</si>
  <si>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</si>
  <si>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</si>
  <si>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</si>
  <si>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</si>
  <si>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</si>
  <si>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</si>
  <si>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</si>
  <si>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</si>
  <si>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</si>
  <si>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</si>
  <si>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</si>
  <si>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</si>
  <si>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</si>
  <si>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</si>
  <si>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</si>
  <si>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</si>
  <si>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</si>
  <si>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</si>
  <si>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</si>
  <si>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</si>
  <si>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</si>
  <si>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</si>
  <si>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</si>
  <si>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</si>
  <si>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</si>
  <si>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</si>
  <si>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</si>
  <si>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</si>
  <si>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</si>
  <si>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</si>
  <si>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</si>
  <si>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</si>
  <si>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</si>
  <si>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</si>
  <si>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</si>
  <si>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</si>
  <si>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</si>
  <si>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</si>
  <si>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</si>
  <si>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</si>
  <si>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</si>
  <si>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</si>
  <si>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</si>
  <si>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</si>
  <si>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</si>
  <si>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</si>
  <si>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</si>
  <si>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</si>
  <si>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</si>
  <si>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</si>
  <si>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</si>
  <si>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</si>
  <si>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</si>
  <si>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</si>
  <si>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</si>
  <si>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</si>
  <si>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</si>
  <si>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</si>
  <si>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</si>
  <si>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</si>
  <si>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</si>
  <si>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</si>
  <si>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</si>
  <si>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</si>
  <si>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</si>
  <si>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</si>
  <si>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</si>
  <si>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</si>
  <si>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</si>
  <si>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</si>
  <si>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</si>
  <si>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</si>
  <si>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</si>
  <si>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</si>
  <si>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</si>
  <si>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</si>
  <si>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</si>
  <si>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</si>
  <si>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</si>
  <si>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</si>
  <si>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</si>
  <si>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</si>
  <si>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</si>
  <si>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</si>
  <si>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</si>
  <si>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</si>
  <si>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</si>
  <si>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</si>
  <si>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</si>
  <si>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</si>
  <si>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</si>
  <si>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</si>
  <si>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</si>
  <si>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</si>
  <si>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</si>
  <si>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</si>
  <si>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</si>
  <si>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</si>
  <si>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</si>
  <si>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</si>
  <si>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</si>
  <si>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</si>
  <si>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</si>
  <si>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</si>
  <si>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</si>
  <si>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</si>
  <si>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</si>
  <si>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</si>
  <si>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</si>
  <si>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</si>
  <si>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</si>
  <si>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</si>
  <si>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</si>
  <si>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</si>
  <si>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</si>
  <si>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</si>
  <si>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</si>
  <si>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</si>
  <si>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</si>
  <si>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</si>
  <si>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</si>
  <si>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</si>
  <si>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</si>
  <si>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</si>
  <si>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</si>
  <si>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</si>
  <si>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</si>
  <si>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</si>
  <si>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</si>
  <si>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</si>
  <si>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</si>
  <si>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</si>
  <si>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</si>
  <si>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</si>
  <si>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</si>
  <si>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</si>
  <si>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</si>
  <si>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</si>
  <si>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</si>
  <si>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</si>
  <si>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</si>
  <si>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</si>
  <si>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</si>
  <si>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</si>
  <si>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</si>
  <si>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</si>
  <si>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</si>
  <si>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</si>
  <si>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</si>
  <si>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</si>
  <si>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</si>
  <si>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</si>
  <si>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</si>
  <si>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</si>
  <si>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</si>
  <si>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</si>
  <si>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</si>
  <si>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</si>
  <si>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</si>
  <si>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</si>
  <si>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</si>
  <si>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</si>
  <si>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</si>
  <si>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</si>
  <si>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</si>
  <si>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</si>
  <si>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</si>
  <si>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</si>
  <si>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</si>
  <si>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</si>
  <si>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</si>
  <si>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</si>
  <si>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</si>
  <si>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</si>
  <si>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</si>
  <si>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</si>
  <si>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</si>
  <si>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</si>
  <si>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</si>
  <si>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</si>
  <si>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</si>
  <si>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</si>
  <si>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</si>
  <si>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</si>
  <si>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</si>
  <si>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</si>
  <si>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</si>
  <si>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</si>
  <si>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</si>
  <si>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</si>
  <si>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</si>
  <si>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</si>
  <si>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</si>
  <si>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</si>
  <si>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</si>
  <si>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</si>
  <si>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</si>
  <si>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</si>
  <si>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</si>
  <si>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</si>
  <si>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</si>
  <si>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</si>
  <si>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</si>
  <si>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</si>
  <si>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</si>
  <si>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</si>
  <si>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</si>
  <si>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</si>
  <si>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</si>
  <si>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</si>
  <si>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</si>
  <si>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</si>
  <si>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</si>
  <si>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</si>
  <si>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</si>
  <si>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</si>
  <si>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</si>
  <si>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</si>
  <si>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</si>
  <si>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</si>
  <si>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</si>
  <si>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</si>
  <si>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</si>
  <si>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</si>
  <si>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</si>
  <si>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</si>
  <si>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</si>
  <si>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</si>
  <si>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</si>
  <si>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</si>
  <si>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</si>
  <si>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</si>
  <si>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</si>
  <si>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</si>
  <si>
    <t>Ewe Mortality v5e.xlsx #22</t>
  </si>
  <si>
    <t>See RR v5j.xlsx #24 &amp; #25</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</si>
  <si>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</si>
  <si>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</si>
  <si>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</si>
  <si>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</si>
  <si>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</si>
  <si>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</si>
  <si>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</si>
  <si>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</si>
  <si>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</si>
  <si>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</si>
  <si>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</si>
  <si>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</si>
  <si>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</si>
  <si>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</si>
  <si>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</si>
  <si>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</si>
  <si>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</si>
  <si>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</si>
  <si>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</si>
  <si>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</si>
  <si>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</si>
  <si>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</si>
  <si>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</si>
  <si>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</si>
  <si>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</si>
  <si>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</si>
  <si>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</si>
  <si>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</si>
  <si>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</si>
  <si>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</si>
  <si>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</si>
  <si>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</si>
  <si>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</si>
  <si>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</si>
  <si>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</si>
  <si>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</si>
  <si>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</si>
  <si>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</si>
  <si>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</si>
  <si>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</si>
  <si>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</si>
  <si>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</si>
  <si>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</si>
  <si>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</si>
  <si>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</si>
  <si>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</si>
  <si>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</si>
  <si>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</si>
  <si>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</si>
  <si>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</si>
  <si>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</si>
  <si>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</si>
  <si>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</si>
  <si>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</si>
  <si>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</si>
  <si>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</si>
  <si>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</si>
  <si>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</si>
  <si>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</si>
  <si>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</si>
  <si>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</si>
  <si>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</si>
  <si>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</si>
  <si>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</si>
  <si>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</si>
  <si>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</si>
  <si>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</si>
  <si>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</si>
  <si>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</si>
  <si>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</si>
  <si>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</si>
  <si>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</si>
  <si>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</si>
  <si>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</si>
  <si>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</si>
  <si>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</si>
  <si>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Lamb survival from EL intercept adjustment:  0 young</t>
  </si>
  <si>
    <t>Lamb survival from EL LWj adjustment:  0 young</t>
  </si>
  <si>
    <t>Lamb survival from EL LWj^2 adjustment:  0 young</t>
  </si>
  <si>
    <t>Lamb survival from EL LWCep adjustment:  0 young</t>
  </si>
  <si>
    <t>Lamb survival from EL LWCep^2 adjustment:  0 young</t>
  </si>
  <si>
    <t>C(L0,37,0)</t>
  </si>
  <si>
    <t>C(L0,37,1)</t>
  </si>
  <si>
    <t>C(L0,37,2)</t>
  </si>
  <si>
    <t>C(L0,37,3)</t>
  </si>
  <si>
    <t>Lamb survival from EL LWClp adjustment:  0 young</t>
  </si>
  <si>
    <t>Lamb survival from EL LWClp^2 adjustment:  0 young</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</si>
  <si>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</si>
  <si>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</si>
  <si>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</si>
  <si>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</si>
  <si>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</si>
  <si>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</si>
  <si>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</si>
  <si>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</si>
  <si>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</si>
  <si>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</si>
  <si>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</si>
  <si>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</si>
  <si>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</si>
  <si>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</si>
  <si>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</si>
  <si>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</si>
  <si>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</si>
  <si>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</si>
  <si>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</si>
  <si>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</si>
  <si>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</si>
  <si>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</si>
  <si>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</si>
  <si>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</si>
  <si>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</si>
  <si>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</si>
  <si>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</si>
  <si>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</si>
  <si>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</si>
  <si>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</si>
  <si>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</si>
  <si>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</si>
  <si>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</si>
  <si>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</si>
  <si>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</si>
  <si>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</si>
  <si>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</si>
  <si>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</si>
  <si>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</si>
  <si>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</si>
  <si>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</si>
  <si>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</si>
  <si>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</si>
  <si>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</si>
  <si>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</si>
  <si>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</si>
  <si>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</si>
  <si>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</si>
  <si>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</si>
  <si>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</si>
  <si>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</si>
  <si>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</si>
  <si>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</si>
  <si>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</si>
  <si>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</si>
  <si>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</si>
  <si>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</si>
  <si>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</si>
  <si>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</si>
  <si>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</si>
  <si>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</si>
  <si>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</si>
  <si>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</si>
  <si>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</si>
  <si>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</si>
  <si>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</si>
  <si>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</si>
  <si>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</si>
  <si>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</si>
  <si>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</si>
  <si>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</si>
  <si>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</si>
  <si>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</si>
  <si>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</si>
  <si>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</si>
  <si>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30Sep25: Added EweLamb equation system for progeny survival #2, and activated it in the first p7 period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</si>
  <si>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</si>
  <si>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</si>
  <si>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</si>
  <si>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</si>
  <si>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</si>
  <si>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</si>
  <si>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</si>
  <si>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</si>
  <si>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</si>
  <si>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</si>
  <si>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</si>
  <si>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</si>
  <si>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</si>
  <si>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</si>
  <si>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</si>
  <si>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</si>
  <si>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</si>
  <si>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</si>
  <si>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</si>
  <si>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</si>
  <si>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</si>
  <si>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</si>
  <si>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</si>
  <si>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</si>
  <si>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</si>
  <si>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</si>
  <si>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</si>
  <si>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</si>
  <si>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</si>
  <si>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</si>
  <si>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</si>
  <si>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</si>
  <si>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</si>
  <si>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</si>
  <si>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</si>
  <si>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</si>
  <si>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</si>
  <si>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</si>
  <si>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</si>
  <si>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</si>
  <si>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</si>
  <si>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</si>
  <si>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</si>
  <si>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</si>
  <si>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</si>
  <si>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</si>
  <si>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</si>
  <si>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</si>
  <si>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</si>
  <si>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</si>
  <si>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</si>
  <si>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</si>
  <si>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</si>
  <si>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</si>
  <si>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</si>
  <si>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</si>
  <si>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</si>
  <si>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</si>
  <si>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</si>
  <si>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</si>
  <si>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</si>
  <si>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</si>
  <si>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</si>
  <si>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</si>
  <si>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</si>
  <si>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</si>
  <si>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</si>
  <si>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</si>
  <si>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</si>
  <si>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</si>
  <si>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</si>
  <si>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</si>
  <si>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</si>
  <si>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</si>
  <si>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</si>
  <si>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</si>
  <si>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</si>
  <si>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</si>
  <si>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</si>
  <si>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</si>
  <si>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</si>
  <si>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</si>
  <si>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</si>
  <si>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</si>
  <si>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</si>
  <si>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</si>
  <si>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</si>
  <si>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</si>
  <si>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</si>
  <si>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</si>
  <si>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</si>
  <si>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</si>
  <si>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</si>
  <si>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</si>
  <si>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</si>
  <si>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</si>
  <si>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</si>
  <si>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</si>
  <si>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</si>
  <si>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</si>
  <si>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</si>
  <si>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</si>
  <si>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</si>
  <si>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</si>
  <si>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</si>
  <si>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</si>
  <si>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</si>
  <si>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</si>
  <si>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</si>
  <si>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</si>
  <si>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</si>
  <si>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</si>
  <si>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</si>
  <si>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</si>
  <si>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</si>
  <si>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</si>
  <si>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</si>
  <si>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</si>
  <si>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</si>
  <si>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</si>
  <si>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</si>
  <si>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</si>
  <si>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</si>
  <si>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</si>
  <si>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</si>
  <si>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</si>
  <si>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</si>
  <si>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</si>
  <si>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</si>
  <si>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</si>
  <si>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</si>
  <si>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</si>
  <si>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</si>
  <si>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</si>
  <si>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</si>
  <si>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</si>
  <si>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</si>
  <si>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</si>
  <si>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</si>
  <si>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</si>
  <si>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</si>
  <si>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</si>
  <si>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</si>
  <si>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</si>
  <si>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</si>
  <si>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</si>
  <si>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</si>
  <si>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</si>
  <si>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</si>
  <si>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</si>
  <si>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</si>
  <si>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</si>
  <si>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</si>
  <si>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</si>
  <si>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</si>
  <si>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</si>
  <si>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</si>
  <si>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</si>
  <si>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</si>
  <si>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</si>
  <si>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</si>
  <si>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</si>
  <si>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</si>
  <si>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</si>
  <si>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</si>
  <si>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</si>
  <si>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</si>
  <si>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</si>
  <si>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</si>
  <si>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</si>
  <si>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</si>
  <si>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</si>
  <si>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</si>
  <si>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</si>
  <si>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</si>
  <si>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</si>
  <si>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</si>
  <si>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</si>
  <si>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</si>
  <si>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</si>
  <si>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</si>
  <si>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</si>
  <si>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</si>
  <si>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</si>
  <si>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</si>
  <si>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</si>
  <si>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</si>
  <si>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</si>
  <si>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</si>
  <si>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</si>
  <si>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</si>
  <si>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</si>
  <si>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</si>
  <si>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</si>
  <si>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</si>
  <si>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</si>
  <si>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</si>
  <si>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</si>
  <si>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</si>
  <si>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</si>
  <si>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</si>
  <si>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</si>
  <si>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</si>
  <si>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</si>
  <si>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</si>
  <si>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</si>
  <si>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</si>
  <si>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</si>
  <si>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</si>
  <si>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</si>
  <si>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</si>
  <si>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</si>
  <si>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</si>
  <si>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</si>
  <si>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</si>
  <si>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</si>
  <si>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</si>
  <si>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</si>
  <si>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</si>
  <si>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</si>
  <si>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</si>
  <si>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</si>
  <si>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</si>
  <si>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</si>
  <si>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</si>
  <si>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</si>
  <si>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</si>
  <si>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</si>
  <si>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</si>
  <si>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</si>
  <si>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</si>
  <si>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</si>
  <si>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</si>
  <si>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</si>
  <si>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</si>
  <si>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</si>
  <si>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</si>
  <si>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</si>
  <si>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</si>
  <si>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</si>
  <si>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</si>
  <si>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</si>
  <si>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</si>
  <si>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</si>
  <si>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</si>
  <si>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</si>
  <si>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</si>
  <si>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</si>
  <si>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</si>
  <si>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</si>
  <si>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</si>
  <si>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</si>
  <si>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</si>
  <si>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</si>
  <si>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</si>
  <si>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</si>
  <si>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</si>
  <si>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</si>
  <si>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</si>
  <si>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</si>
  <si>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</si>
  <si>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Progeny survival at birth: Maternal Join wt (requires back transforming)</t>
  </si>
  <si>
    <t>3Oct25: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</si>
</sst>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8">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8">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7"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multiLvlStrRef>
              <c:f>Sheep!$AV$196:$AV$204</c:f>
            </c:multiLvlStrRef>
          </c:cat>
          <c:val>
            <c:numRef>
              <c:f>Sheep!$AW$196:$AW$204</c:f>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multiLvlStrRef>
              <c:f>Sheep!$AV$196:$AV$204</c:f>
            </c:multiLvlStrRef>
          </c:cat>
          <c:val>
            <c:numRef>
              <c:f>Sheep!$AX$196:$AX$204</c:f>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multiLvlStrRef>
              <c:f>Sheep!$AV$196:$AV$204</c:f>
            </c:multiLvlStrRef>
          </c:cat>
          <c:val>
            <c:numRef>
              <c:f>Sheep!$AY$196:$AY$204</c:f>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multiLvlStrRef>
              <c:f>Sheep!$AV$196:$AV$204</c:f>
            </c:multiLvlStrRef>
          </c:cat>
          <c:val>
            <c:numRef>
              <c:f>Sheep!$AZ$196:$AZ$204</c:f>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multiLvlStrRef>
              <c:f>Sheep!$AV$196:$AV$204</c:f>
            </c:multiLvlStrRef>
          </c:cat>
          <c:val>
            <c:numRef>
              <c:f>Sheep!$BA$196:$BA$204</c:f>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multiLvlStrRef>
              <c:f>Sheep!$AV$196:$AV$204</c:f>
            </c:multiLvlStrRef>
          </c:cat>
          <c:val>
            <c:numRef>
              <c:f>Sheep!$BB$196:$BB$204</c:f>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multiLvlStrRef>
              <c:f>Sheep!$AV$196:$AV$204</c:f>
            </c:multiLvlStrRef>
          </c:cat>
          <c:val>
            <c:numRef>
              <c:f>Sheep!$BC$196:$BC$204</c:f>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multiLvlStrRef>
              <c:f>Sheep!$AV$196:$AV$204</c:f>
            </c:multiLvlStrRef>
          </c:cat>
          <c:val>
            <c:numRef>
              <c:f>Sheep!$BD$196:$BD$204</c:f>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marker val="1"/>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6"/>
  <sheetViews>
    <sheetView topLeftCell="A22" workbookViewId="0">
      <selection activeCell="F44" sqref="F4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2326</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2328</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2319</v>
      </c>
      <c r="G21" s="387" t="s">
        <v>2321</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50" t="s">
        <v>2327</v>
      </c>
      <c r="G23" s="94"/>
      <c r="H23" s="94"/>
      <c r="I23" s="94"/>
      <c r="J23" s="94"/>
      <c r="K23" s="350" t="s">
        <v>2321</v>
      </c>
      <c r="L23" s="94"/>
      <c r="M23" s="94"/>
      <c r="N23" s="94"/>
      <c r="O23" s="94"/>
      <c r="P23" s="350" t="s">
        <v>2322</v>
      </c>
      <c r="Q23" s="94"/>
      <c r="R23" s="94"/>
      <c r="S23" s="94"/>
      <c r="T23" s="94"/>
      <c r="U23" s="94"/>
      <c r="V23" s="94"/>
      <c r="W23" s="73"/>
      <c r="X23" s="57"/>
      <c r="Y23" s="45"/>
      <c r="Z23" s="45"/>
      <c r="AA23" s="45"/>
    </row>
    <row r="24" spans="1:27" ht="60" outlineLevel="3" x14ac:dyDescent="0.25">
      <c r="A24" s="45"/>
      <c r="B24" s="54"/>
      <c r="C24" s="73"/>
      <c r="D24" s="73"/>
      <c r="E24" s="76"/>
      <c r="F24" s="354" t="s">
        <v>2320</v>
      </c>
      <c r="G24" s="353" t="s">
        <v>2321</v>
      </c>
      <c r="H24" s="76"/>
      <c r="I24" s="76"/>
      <c r="J24" s="76"/>
      <c r="K24" s="354" t="s">
        <v>2323</v>
      </c>
      <c r="L24" s="351">
        <v>5.0000000000000004E-6</v>
      </c>
      <c r="M24" s="76"/>
      <c r="N24" s="76"/>
      <c r="O24" s="76"/>
      <c r="P24" s="354" t="s">
        <v>2324</v>
      </c>
      <c r="Q24" s="351">
        <v>0.7</v>
      </c>
      <c r="R24" s="76"/>
      <c r="S24" s="76"/>
      <c r="T24" s="76"/>
      <c r="U24" s="76"/>
      <c r="V24" s="76"/>
      <c r="W24" s="73"/>
      <c r="X24" s="57"/>
      <c r="Y24" s="45"/>
      <c r="Z24" s="45"/>
      <c r="AA24" s="45"/>
    </row>
    <row r="25" spans="1:27" outlineLevel="3" x14ac:dyDescent="0.25">
      <c r="A25" s="45"/>
      <c r="B25" s="54"/>
      <c r="C25" s="73"/>
      <c r="D25" s="73"/>
      <c r="E25" s="76"/>
      <c r="F25" s="76"/>
      <c r="G25" s="353" t="s">
        <v>2322</v>
      </c>
      <c r="H25" s="76"/>
      <c r="I25" s="76"/>
      <c r="J25" s="76"/>
      <c r="K25" s="76"/>
      <c r="L25" s="76"/>
      <c r="M25" s="76"/>
      <c r="N25" s="76"/>
      <c r="O25" s="76"/>
      <c r="P25" s="76" t="s">
        <v>2325</v>
      </c>
      <c r="Q25" s="351">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68"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ht="12" customHeight="1" outlineLevel="1" x14ac:dyDescent="0.25">
      <c r="A34" s="7"/>
      <c r="B34" s="8"/>
      <c r="C34" s="8"/>
      <c r="D34" s="8"/>
      <c r="E34" s="8"/>
      <c r="F34" s="8"/>
      <c r="G34" s="8"/>
      <c r="H34" s="9"/>
      <c r="I34" s="9"/>
      <c r="J34" s="9"/>
      <c r="K34" s="9"/>
      <c r="L34" s="9"/>
      <c r="M34" s="9"/>
      <c r="N34" s="9"/>
      <c r="O34" s="9"/>
      <c r="P34" s="9"/>
      <c r="Q34" s="9"/>
      <c r="R34" s="9"/>
      <c r="S34" s="9"/>
      <c r="T34" s="9"/>
      <c r="U34" s="9"/>
      <c r="V34" s="9"/>
      <c r="W34" s="9"/>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row>
    <row r="35" spans="1:68" ht="5.0999999999999996" customHeight="1" outlineLevel="1" thickBot="1" x14ac:dyDescent="0.3">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x14ac:dyDescent="0.25">
      <c r="A36" s="7"/>
      <c r="B36" s="8"/>
      <c r="C36" s="10" t="s">
        <v>86</v>
      </c>
      <c r="D36" s="10"/>
      <c r="E36" s="10"/>
      <c r="F36" s="10"/>
      <c r="G36" s="10"/>
      <c r="H36" s="10"/>
      <c r="I36" s="10"/>
      <c r="J36" s="10"/>
      <c r="K36" s="620"/>
      <c r="L36" s="11"/>
      <c r="M36" s="11"/>
      <c r="N36" s="11"/>
      <c r="O36" s="11"/>
      <c r="P36" s="11"/>
      <c r="Q36" s="11"/>
      <c r="R36" s="11"/>
      <c r="S36" s="11"/>
      <c r="T36" s="11"/>
      <c r="U36" s="11"/>
      <c r="V36" s="11"/>
      <c r="W36" s="12"/>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row>
    <row r="37" spans="1:68" ht="12" customHeight="1" outlineLevel="1" x14ac:dyDescent="0.25">
      <c r="A37" s="7"/>
      <c r="B37" s="8"/>
      <c r="C37" s="13"/>
      <c r="D37" s="13"/>
      <c r="E37" s="13" t="s">
        <v>87</v>
      </c>
      <c r="F37" s="14"/>
      <c r="G37" s="15" t="s">
        <v>3480</v>
      </c>
      <c r="H37" s="14"/>
      <c r="I37" s="14" t="s">
        <v>3481</v>
      </c>
      <c r="J37" s="14"/>
      <c r="K37" s="14"/>
      <c r="L37" s="14"/>
      <c r="M37" s="14"/>
      <c r="N37" s="14"/>
      <c r="O37" s="14"/>
      <c r="P37" s="14"/>
      <c r="Q37" s="14"/>
      <c r="R37" s="14"/>
      <c r="S37" s="16"/>
      <c r="T37" s="14"/>
      <c r="U37" s="16"/>
      <c r="V37" s="16"/>
      <c r="W37" s="17"/>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8"/>
      <c r="F38" s="14"/>
      <c r="G38" s="509"/>
      <c r="H38" s="14"/>
      <c r="I38" s="14"/>
      <c r="J38" s="14"/>
      <c r="K38" s="14"/>
      <c r="L38" s="14"/>
      <c r="M38" s="14"/>
      <c r="N38" s="14"/>
      <c r="O38" s="14"/>
      <c r="P38" s="14"/>
      <c r="Q38" s="14"/>
      <c r="R38" s="14"/>
      <c r="S38" s="16"/>
      <c r="T38" s="19"/>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8"/>
      <c r="D39" s="13"/>
      <c r="E39" s="18"/>
      <c r="F39" s="14"/>
      <c r="G39" s="14"/>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8"/>
      <c r="E40" s="18"/>
      <c r="F40" s="18"/>
      <c r="G40" s="18"/>
      <c r="H40" s="18"/>
      <c r="I40" s="18" t="s">
        <v>3482</v>
      </c>
      <c r="J40" s="18"/>
      <c r="K40" s="18"/>
      <c r="L40" s="18"/>
      <c r="M40" s="18"/>
      <c r="N40" s="18"/>
      <c r="O40" s="18"/>
      <c r="P40" s="18"/>
      <c r="Q40" s="21"/>
      <c r="R40" s="21"/>
      <c r="S40" s="21"/>
      <c r="T40" s="21"/>
      <c r="U40" s="21"/>
      <c r="V40" s="21"/>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c r="J41" s="18"/>
      <c r="K41" s="18"/>
      <c r="L41" s="18"/>
      <c r="M41" s="18"/>
      <c r="N41" s="18"/>
      <c r="O41" s="18"/>
      <c r="P41" s="18"/>
      <c r="Q41" s="23"/>
      <c r="R41" s="23"/>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t="s">
        <v>3483</v>
      </c>
      <c r="H42" s="18" t="s">
        <v>3484</v>
      </c>
      <c r="I42" s="18" t="s">
        <v>3485</v>
      </c>
      <c r="J42" s="18" t="s">
        <v>3486</v>
      </c>
      <c r="K42" s="18" t="s">
        <v>3487</v>
      </c>
      <c r="L42" s="22"/>
      <c r="M42" s="22"/>
      <c r="N42" s="22"/>
      <c r="O42" s="22"/>
      <c r="P42" s="23"/>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547"/>
      <c r="G43" s="523" t="s">
        <v>45</v>
      </c>
      <c r="H43" s="621">
        <f>29+22</f>
        <v>51</v>
      </c>
      <c r="I43" s="621">
        <v>1.3</v>
      </c>
      <c r="J43" s="621">
        <v>0</v>
      </c>
      <c r="K43" s="628">
        <v>0</v>
      </c>
      <c r="L43" s="622"/>
      <c r="M43" s="622"/>
      <c r="N43" s="622"/>
      <c r="O43" s="622"/>
      <c r="P43" s="622"/>
      <c r="Q43" s="623"/>
      <c r="R43" s="623"/>
      <c r="S43" s="623"/>
      <c r="T43" s="623"/>
      <c r="U43" s="623"/>
      <c r="V43" s="624"/>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7"/>
      <c r="G44" s="523" t="s">
        <v>3492</v>
      </c>
      <c r="H44" s="621">
        <v>536</v>
      </c>
      <c r="I44" s="621">
        <v>1.17</v>
      </c>
      <c r="J44" s="621">
        <v>0</v>
      </c>
      <c r="K44" s="628">
        <v>0</v>
      </c>
      <c r="L44" s="622"/>
      <c r="M44" s="622"/>
      <c r="N44" s="622"/>
      <c r="O44" s="622"/>
      <c r="P44" s="622"/>
      <c r="Q44" s="623"/>
      <c r="R44" s="623"/>
      <c r="S44" s="623"/>
      <c r="T44" s="623"/>
      <c r="U44" s="623"/>
      <c r="V44" s="624"/>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7"/>
      <c r="G45" s="523" t="s">
        <v>3493</v>
      </c>
      <c r="H45" s="621">
        <v>1017</v>
      </c>
      <c r="I45" s="621">
        <f>0.6*I48+0.4*I47</f>
        <v>0.99800000000000011</v>
      </c>
      <c r="J45" s="633">
        <f>0.6*J48+0.4*J47</f>
        <v>6.6000000000000003E-2</v>
      </c>
      <c r="K45" s="628">
        <v>0</v>
      </c>
      <c r="L45" s="622"/>
      <c r="M45" s="622"/>
      <c r="N45" s="622"/>
      <c r="O45" s="622"/>
      <c r="P45" s="622"/>
      <c r="Q45" s="623"/>
      <c r="R45" s="623"/>
      <c r="S45" s="623"/>
      <c r="T45" s="623"/>
      <c r="U45" s="623"/>
      <c r="V45" s="624"/>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7"/>
      <c r="G46" s="523" t="s">
        <v>3496</v>
      </c>
      <c r="H46" s="621">
        <f>453+22</f>
        <v>475</v>
      </c>
      <c r="I46" s="621">
        <v>1.08</v>
      </c>
      <c r="J46" s="633">
        <v>0.21</v>
      </c>
      <c r="K46" s="628">
        <v>0</v>
      </c>
      <c r="L46" s="622"/>
      <c r="M46" s="622"/>
      <c r="N46" s="622"/>
      <c r="O46" s="622"/>
      <c r="P46" s="622"/>
      <c r="Q46" s="623"/>
      <c r="R46" s="623"/>
      <c r="S46" s="623"/>
      <c r="T46" s="623"/>
      <c r="U46" s="623"/>
      <c r="V46" s="624"/>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7"/>
      <c r="G47" s="523" t="s">
        <v>44</v>
      </c>
      <c r="H47" s="621">
        <f>676+22</f>
        <v>698</v>
      </c>
      <c r="I47" s="621">
        <v>1.1000000000000001</v>
      </c>
      <c r="J47" s="621">
        <v>0</v>
      </c>
      <c r="K47" s="628">
        <v>0</v>
      </c>
      <c r="L47" s="622"/>
      <c r="M47" s="622"/>
      <c r="N47" s="622"/>
      <c r="O47" s="622"/>
      <c r="P47" s="622"/>
      <c r="Q47" s="623"/>
      <c r="R47" s="623"/>
      <c r="S47" s="623"/>
      <c r="T47" s="623"/>
      <c r="U47" s="623"/>
      <c r="V47" s="624"/>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7"/>
      <c r="G48" s="523" t="s">
        <v>3494</v>
      </c>
      <c r="H48" s="621">
        <f>1209+22</f>
        <v>1231</v>
      </c>
      <c r="I48" s="621">
        <v>0.93</v>
      </c>
      <c r="J48" s="628">
        <v>0.11</v>
      </c>
      <c r="K48" s="628">
        <v>0</v>
      </c>
      <c r="L48" s="622"/>
      <c r="M48" s="622"/>
      <c r="N48" s="622"/>
      <c r="O48" s="622"/>
      <c r="P48" s="622"/>
      <c r="Q48" s="623"/>
      <c r="R48" s="623"/>
      <c r="S48" s="623"/>
      <c r="T48" s="623"/>
      <c r="U48" s="623"/>
      <c r="V48" s="624"/>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7"/>
      <c r="G49" s="523" t="s">
        <v>3495</v>
      </c>
      <c r="H49" s="621">
        <f>674+22</f>
        <v>696</v>
      </c>
      <c r="I49" s="621">
        <v>0.95</v>
      </c>
      <c r="J49" s="628">
        <v>0.34300000000000003</v>
      </c>
      <c r="K49" s="628">
        <v>0.6</v>
      </c>
      <c r="L49" s="622"/>
      <c r="M49" s="622"/>
      <c r="N49" s="622"/>
      <c r="O49" s="622"/>
      <c r="P49" s="622"/>
      <c r="Q49" s="623"/>
      <c r="R49" s="623"/>
      <c r="S49" s="623"/>
      <c r="T49" s="623"/>
      <c r="U49" s="623"/>
      <c r="V49" s="624"/>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7"/>
      <c r="G50" s="625" t="s">
        <v>69</v>
      </c>
      <c r="H50" s="621">
        <f>1083+22</f>
        <v>1105</v>
      </c>
      <c r="I50" s="621">
        <v>0.97</v>
      </c>
      <c r="J50" s="626">
        <v>0.27600000000000002</v>
      </c>
      <c r="K50" s="628">
        <v>0</v>
      </c>
      <c r="L50" s="622"/>
      <c r="M50" s="622"/>
      <c r="N50" s="622"/>
      <c r="O50" s="622"/>
      <c r="P50" s="622"/>
      <c r="Q50" s="623"/>
      <c r="R50" s="623"/>
      <c r="S50" s="623"/>
      <c r="T50" s="623"/>
      <c r="U50" s="623"/>
      <c r="V50" s="624"/>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7"/>
      <c r="G51" s="627" t="s">
        <v>2912</v>
      </c>
      <c r="H51" s="621">
        <f>830+30</f>
        <v>860</v>
      </c>
      <c r="I51" s="621">
        <v>0.7</v>
      </c>
      <c r="J51" s="633">
        <v>0.46</v>
      </c>
      <c r="K51" s="628">
        <v>1</v>
      </c>
      <c r="L51" s="622"/>
      <c r="M51" s="622"/>
      <c r="N51" s="622"/>
      <c r="O51" s="622"/>
      <c r="Q51" s="623"/>
      <c r="R51" s="623"/>
      <c r="S51" s="623"/>
      <c r="T51" s="623"/>
      <c r="U51" s="623"/>
      <c r="V51" s="624"/>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7"/>
      <c r="G52" s="627" t="s">
        <v>2547</v>
      </c>
      <c r="H52" s="621">
        <f>621+22</f>
        <v>643</v>
      </c>
      <c r="I52" s="621">
        <v>1.32</v>
      </c>
      <c r="J52" s="628">
        <v>0.32</v>
      </c>
      <c r="K52" s="628">
        <v>0.35</v>
      </c>
      <c r="L52" s="622"/>
      <c r="M52" s="622"/>
      <c r="N52" s="622"/>
      <c r="O52" s="622"/>
      <c r="P52" s="28"/>
      <c r="Q52" s="623"/>
      <c r="R52" s="623"/>
      <c r="S52" s="623"/>
      <c r="T52" s="623"/>
      <c r="U52" s="623"/>
      <c r="V52" s="624"/>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7"/>
      <c r="R53" s="629"/>
      <c r="S53" s="629"/>
      <c r="T53" s="629"/>
      <c r="U53" s="629"/>
      <c r="V53" s="624"/>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7"/>
      <c r="H54" s="28"/>
      <c r="I54" s="28"/>
      <c r="J54" s="630"/>
      <c r="K54" s="630"/>
      <c r="L54" s="630"/>
      <c r="M54" s="630"/>
      <c r="N54" s="630"/>
      <c r="O54" s="630"/>
      <c r="Q54" s="630"/>
      <c r="R54" s="629"/>
      <c r="S54" s="629"/>
      <c r="T54" s="629"/>
      <c r="U54" s="629"/>
      <c r="V54" s="624"/>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7"/>
      <c r="O55" s="622"/>
      <c r="Q55" s="623"/>
      <c r="R55" s="623"/>
      <c r="S55" s="623"/>
      <c r="T55" s="623"/>
      <c r="U55" s="623"/>
      <c r="V55" s="624"/>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7"/>
      <c r="O56" s="622"/>
      <c r="P56" s="622"/>
      <c r="Q56" s="623"/>
      <c r="R56" s="623"/>
      <c r="S56" s="623"/>
      <c r="T56" s="623"/>
      <c r="U56" s="623"/>
      <c r="V56" s="624"/>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7"/>
      <c r="O57" s="622"/>
      <c r="P57" s="622"/>
      <c r="Q57" s="623"/>
      <c r="R57" s="623"/>
      <c r="S57" s="623"/>
      <c r="T57" s="623"/>
      <c r="U57" s="623"/>
      <c r="V57" s="624"/>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7"/>
      <c r="O58" s="622"/>
      <c r="P58" s="622"/>
      <c r="Q58" s="623"/>
      <c r="R58" s="623"/>
      <c r="S58" s="623"/>
      <c r="T58" s="623"/>
      <c r="U58" s="623"/>
      <c r="V58" s="624"/>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5.0999999999999996" customHeight="1" outlineLevel="1" x14ac:dyDescent="0.25">
      <c r="A59" s="7"/>
      <c r="B59" s="8"/>
      <c r="C59" s="18"/>
      <c r="D59" s="18"/>
      <c r="E59" s="18"/>
      <c r="F59" s="33"/>
      <c r="G59" s="34"/>
      <c r="H59" s="34"/>
      <c r="I59" s="34"/>
      <c r="J59" s="35"/>
      <c r="K59" s="35"/>
      <c r="L59" s="35"/>
      <c r="M59" s="35"/>
      <c r="N59" s="35"/>
      <c r="O59" s="35"/>
      <c r="P59" s="35"/>
      <c r="Q59" s="35"/>
      <c r="R59" s="35"/>
      <c r="S59" s="35"/>
      <c r="T59" s="35"/>
      <c r="U59" s="35"/>
      <c r="V59" s="27"/>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25.35" customHeight="1" outlineLevel="1" x14ac:dyDescent="0.25">
      <c r="A60" s="7"/>
      <c r="B60" s="8"/>
      <c r="C60" s="36"/>
      <c r="D60" s="36"/>
      <c r="E60" s="36"/>
      <c r="F60" s="36"/>
      <c r="G60" s="37" t="str">
        <f>G37</f>
        <v>Fert info</v>
      </c>
      <c r="H60" s="36"/>
      <c r="I60" s="36"/>
      <c r="J60" s="36"/>
      <c r="K60" s="36"/>
      <c r="L60" s="36"/>
      <c r="M60" s="36"/>
      <c r="N60" s="36"/>
      <c r="O60" s="36"/>
      <c r="P60" s="36"/>
      <c r="Q60" s="36"/>
      <c r="R60" s="36"/>
      <c r="S60" s="36"/>
      <c r="T60" s="36"/>
      <c r="U60" s="36"/>
      <c r="V60" s="36"/>
      <c r="W60" s="38" t="s">
        <v>91</v>
      </c>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12" customHeight="1" outlineLevel="1" x14ac:dyDescent="0.25">
      <c r="A61" s="7"/>
      <c r="B61" s="8"/>
      <c r="C61" s="8"/>
      <c r="D61" s="8"/>
      <c r="E61" s="8"/>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x14ac:dyDescent="0.25"/>
    <row r="64" spans="1:68" x14ac:dyDescent="0.25">
      <c r="G64" t="s">
        <v>2296</v>
      </c>
      <c r="I64" t="s">
        <v>2297</v>
      </c>
      <c r="K64" t="s">
        <v>2705</v>
      </c>
      <c r="M64" t="s">
        <v>2706</v>
      </c>
    </row>
    <row r="65" spans="7:13" x14ac:dyDescent="0.25">
      <c r="G65" s="338" t="s">
        <v>4</v>
      </c>
      <c r="I65" s="338" t="s">
        <v>2298</v>
      </c>
      <c r="K65" s="338" t="s">
        <v>45</v>
      </c>
      <c r="M65" s="432" t="s">
        <v>2707</v>
      </c>
    </row>
    <row r="66" spans="7:13" x14ac:dyDescent="0.25">
      <c r="G66" s="339" t="s">
        <v>2290</v>
      </c>
      <c r="I66" s="339" t="s">
        <v>2564</v>
      </c>
      <c r="K66" s="339" t="s">
        <v>2913</v>
      </c>
      <c r="M66" s="433" t="s">
        <v>2708</v>
      </c>
    </row>
    <row r="67" spans="7:13" ht="45" x14ac:dyDescent="0.25">
      <c r="G67" s="339" t="s">
        <v>10</v>
      </c>
      <c r="I67" s="339" t="s">
        <v>4</v>
      </c>
      <c r="K67" s="339" t="s">
        <v>2697</v>
      </c>
      <c r="M67" s="433" t="s">
        <v>2709</v>
      </c>
    </row>
    <row r="68" spans="7:13" ht="30" x14ac:dyDescent="0.25">
      <c r="G68" t="s">
        <v>60</v>
      </c>
      <c r="H68" s="343"/>
      <c r="I68" s="339" t="s">
        <v>2290</v>
      </c>
      <c r="K68" s="339" t="s">
        <v>2698</v>
      </c>
      <c r="M68" s="434" t="s">
        <v>2710</v>
      </c>
    </row>
    <row r="69" spans="7:13" x14ac:dyDescent="0.25">
      <c r="G69" s="339" t="s">
        <v>61</v>
      </c>
      <c r="I69" s="339" t="s">
        <v>10</v>
      </c>
      <c r="K69" s="340" t="s">
        <v>2914</v>
      </c>
    </row>
    <row r="70" spans="7:13" x14ac:dyDescent="0.25">
      <c r="G70" s="339" t="s">
        <v>62</v>
      </c>
      <c r="I70" s="339" t="s">
        <v>60</v>
      </c>
    </row>
    <row r="71" spans="7:13" x14ac:dyDescent="0.25">
      <c r="G71" s="339" t="s">
        <v>7</v>
      </c>
      <c r="I71" s="339" t="s">
        <v>61</v>
      </c>
    </row>
    <row r="72" spans="7:13" x14ac:dyDescent="0.25">
      <c r="G72" s="339" t="s">
        <v>3286</v>
      </c>
      <c r="I72" s="339" t="s">
        <v>2299</v>
      </c>
    </row>
    <row r="73" spans="7:13" x14ac:dyDescent="0.25">
      <c r="G73" s="339" t="s">
        <v>3211</v>
      </c>
      <c r="I73" s="339" t="s">
        <v>107</v>
      </c>
    </row>
    <row r="74" spans="7:13" x14ac:dyDescent="0.25">
      <c r="G74" s="339" t="s">
        <v>6</v>
      </c>
      <c r="I74" s="339" t="s">
        <v>62</v>
      </c>
    </row>
    <row r="75" spans="7:13" x14ac:dyDescent="0.25">
      <c r="G75" s="339" t="s">
        <v>2294</v>
      </c>
      <c r="I75" s="339" t="s">
        <v>7</v>
      </c>
    </row>
    <row r="76" spans="7:13" x14ac:dyDescent="0.25">
      <c r="G76" s="339" t="s">
        <v>72</v>
      </c>
      <c r="I76" s="339" t="s">
        <v>3286</v>
      </c>
    </row>
    <row r="77" spans="7:13" x14ac:dyDescent="0.25">
      <c r="G77" s="339" t="s">
        <v>9</v>
      </c>
      <c r="I77" s="339" t="s">
        <v>113</v>
      </c>
    </row>
    <row r="78" spans="7:13" x14ac:dyDescent="0.25">
      <c r="G78" s="339" t="s">
        <v>2293</v>
      </c>
      <c r="I78" s="339" t="s">
        <v>3211</v>
      </c>
    </row>
    <row r="79" spans="7:13" x14ac:dyDescent="0.25">
      <c r="G79" s="339" t="s">
        <v>63</v>
      </c>
      <c r="I79" s="339" t="s">
        <v>6</v>
      </c>
    </row>
    <row r="80" spans="7:13" x14ac:dyDescent="0.25">
      <c r="G80" s="339" t="s">
        <v>5</v>
      </c>
      <c r="I80" s="339" t="s">
        <v>2294</v>
      </c>
    </row>
    <row r="81" spans="7:9" x14ac:dyDescent="0.25">
      <c r="G81" s="339" t="s">
        <v>2292</v>
      </c>
      <c r="I81" s="339" t="s">
        <v>72</v>
      </c>
    </row>
    <row r="82" spans="7:9" x14ac:dyDescent="0.25">
      <c r="G82" s="339" t="s">
        <v>8</v>
      </c>
      <c r="I82" s="339" t="s">
        <v>9</v>
      </c>
    </row>
    <row r="83" spans="7:9" x14ac:dyDescent="0.25">
      <c r="G83" s="340" t="s">
        <v>2291</v>
      </c>
      <c r="I83" s="339" t="s">
        <v>2293</v>
      </c>
    </row>
    <row r="84" spans="7:9" x14ac:dyDescent="0.25">
      <c r="I84" s="339" t="s">
        <v>2300</v>
      </c>
    </row>
    <row r="85" spans="7:9" x14ac:dyDescent="0.25">
      <c r="I85" s="339" t="s">
        <v>2550</v>
      </c>
    </row>
    <row r="86" spans="7:9" x14ac:dyDescent="0.25">
      <c r="I86" s="339" t="s">
        <v>2301</v>
      </c>
    </row>
    <row r="87" spans="7:9" x14ac:dyDescent="0.25">
      <c r="I87" s="339" t="s">
        <v>106</v>
      </c>
    </row>
    <row r="88" spans="7:9" x14ac:dyDescent="0.25">
      <c r="I88" s="339" t="s">
        <v>2302</v>
      </c>
    </row>
    <row r="89" spans="7:9" x14ac:dyDescent="0.25">
      <c r="I89" s="339" t="s">
        <v>108</v>
      </c>
    </row>
    <row r="90" spans="7:9" x14ac:dyDescent="0.25">
      <c r="I90" s="339" t="s">
        <v>63</v>
      </c>
    </row>
    <row r="91" spans="7:9" x14ac:dyDescent="0.25">
      <c r="I91" s="339" t="s">
        <v>5</v>
      </c>
    </row>
    <row r="92" spans="7:9" x14ac:dyDescent="0.25">
      <c r="I92" s="339" t="s">
        <v>2292</v>
      </c>
    </row>
    <row r="93" spans="7:9" x14ac:dyDescent="0.25">
      <c r="I93" s="339" t="s">
        <v>2303</v>
      </c>
    </row>
    <row r="94" spans="7:9" x14ac:dyDescent="0.25">
      <c r="I94" s="339" t="s">
        <v>109</v>
      </c>
    </row>
    <row r="95" spans="7:9" x14ac:dyDescent="0.25">
      <c r="I95" s="339" t="s">
        <v>8</v>
      </c>
    </row>
    <row r="96" spans="7:9" x14ac:dyDescent="0.25">
      <c r="I96" s="340" t="s">
        <v>2291</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3017</v>
      </c>
    </row>
    <row r="9" spans="1:3" x14ac:dyDescent="0.25">
      <c r="A9" s="341" t="str">
        <f>General!G65</f>
        <v>b</v>
      </c>
      <c r="B9">
        <v>680</v>
      </c>
      <c r="C9" s="1" t="s">
        <v>2891</v>
      </c>
    </row>
    <row r="10" spans="1:3" x14ac:dyDescent="0.25">
      <c r="A10" s="341" t="str">
        <f>General!G66</f>
        <v>bd</v>
      </c>
      <c r="B10">
        <v>680</v>
      </c>
      <c r="C10" s="1" t="s">
        <v>2891</v>
      </c>
    </row>
    <row r="11" spans="1:3" x14ac:dyDescent="0.25">
      <c r="A11" s="341" t="str">
        <f>General!G67</f>
        <v>f</v>
      </c>
      <c r="B11">
        <v>680</v>
      </c>
      <c r="C11" s="1" t="s">
        <v>2891</v>
      </c>
    </row>
    <row r="12" spans="1:3" x14ac:dyDescent="0.25">
      <c r="A12" s="341" t="str">
        <f>General!G68</f>
        <v>h</v>
      </c>
      <c r="B12">
        <v>680</v>
      </c>
      <c r="C12" s="1" t="s">
        <v>2891</v>
      </c>
    </row>
    <row r="13" spans="1:3" x14ac:dyDescent="0.25">
      <c r="A13" s="341" t="str">
        <f>General!G69</f>
        <v>i</v>
      </c>
      <c r="B13">
        <v>680</v>
      </c>
      <c r="C13" s="1" t="s">
        <v>2891</v>
      </c>
    </row>
    <row r="14" spans="1:3" x14ac:dyDescent="0.25">
      <c r="A14" s="341" t="str">
        <f>General!G70</f>
        <v>k</v>
      </c>
      <c r="B14">
        <v>680</v>
      </c>
      <c r="C14" s="1" t="s">
        <v>2891</v>
      </c>
    </row>
    <row r="15" spans="1:3" x14ac:dyDescent="0.25">
      <c r="A15" s="341" t="str">
        <f>General!G71</f>
        <v>l</v>
      </c>
      <c r="B15">
        <v>680</v>
      </c>
      <c r="C15" s="1" t="s">
        <v>2891</v>
      </c>
    </row>
    <row r="16" spans="1:3" x14ac:dyDescent="0.25">
      <c r="A16" s="341" t="str">
        <f>General!G72</f>
        <v>lf</v>
      </c>
      <c r="B16">
        <v>680</v>
      </c>
      <c r="C16" s="1" t="s">
        <v>2891</v>
      </c>
    </row>
    <row r="17" spans="1:3" x14ac:dyDescent="0.25">
      <c r="A17" s="341" t="str">
        <f>General!G73</f>
        <v>ms</v>
      </c>
      <c r="B17">
        <v>680</v>
      </c>
      <c r="C17" s="1" t="s">
        <v>2891</v>
      </c>
    </row>
    <row r="18" spans="1:3" x14ac:dyDescent="0.25">
      <c r="A18" s="341" t="str">
        <f>General!G74</f>
        <v>o</v>
      </c>
      <c r="B18">
        <v>680</v>
      </c>
      <c r="C18" s="1" t="s">
        <v>2891</v>
      </c>
    </row>
    <row r="19" spans="1:3" x14ac:dyDescent="0.25">
      <c r="A19" s="341" t="str">
        <f>General!G75</f>
        <v>od</v>
      </c>
      <c r="B19">
        <v>680</v>
      </c>
      <c r="C19" s="1" t="s">
        <v>2891</v>
      </c>
    </row>
    <row r="20" spans="1:3" x14ac:dyDescent="0.25">
      <c r="A20" s="341" t="str">
        <f>General!G76</f>
        <v>of</v>
      </c>
      <c r="B20">
        <v>680</v>
      </c>
      <c r="C20" s="1" t="s">
        <v>2891</v>
      </c>
    </row>
    <row r="21" spans="1:3" x14ac:dyDescent="0.25">
      <c r="A21" s="341" t="str">
        <f>General!G77</f>
        <v>r</v>
      </c>
      <c r="B21">
        <v>680</v>
      </c>
      <c r="C21" s="1" t="s">
        <v>2891</v>
      </c>
    </row>
    <row r="22" spans="1:3" x14ac:dyDescent="0.25">
      <c r="A22" s="341" t="str">
        <f>General!G78</f>
        <v>rd</v>
      </c>
      <c r="B22">
        <v>680</v>
      </c>
      <c r="C22" s="1" t="s">
        <v>2891</v>
      </c>
    </row>
    <row r="23" spans="1:3" x14ac:dyDescent="0.25">
      <c r="A23" s="341" t="str">
        <f>General!G79</f>
        <v>v</v>
      </c>
      <c r="B23">
        <v>680</v>
      </c>
      <c r="C23" s="1" t="s">
        <v>2891</v>
      </c>
    </row>
    <row r="24" spans="1:3" x14ac:dyDescent="0.25">
      <c r="A24" s="341" t="str">
        <f>General!G80</f>
        <v>w</v>
      </c>
      <c r="B24">
        <v>680</v>
      </c>
      <c r="C24" s="1" t="s">
        <v>2891</v>
      </c>
    </row>
    <row r="25" spans="1:3" x14ac:dyDescent="0.25">
      <c r="A25" s="341" t="str">
        <f>General!G81</f>
        <v>wd</v>
      </c>
      <c r="B25">
        <v>680</v>
      </c>
      <c r="C25" s="1" t="s">
        <v>2891</v>
      </c>
    </row>
    <row r="26" spans="1:3" x14ac:dyDescent="0.25">
      <c r="A26" s="341" t="str">
        <f>General!G82</f>
        <v>z</v>
      </c>
      <c r="B26">
        <v>680</v>
      </c>
      <c r="C26" s="1" t="s">
        <v>2891</v>
      </c>
    </row>
    <row r="27" spans="1:3" x14ac:dyDescent="0.25">
      <c r="A27" s="341" t="str">
        <f>General!G83</f>
        <v>zd</v>
      </c>
      <c r="B27">
        <v>680</v>
      </c>
      <c r="C27" s="1" t="s">
        <v>2891</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5">
        <f>MIN(364,INT((C46 - DATE(YEAR(C46),1,1))))</f>
        <v>226</v>
      </c>
      <c r="C46" s="4">
        <v>43692</v>
      </c>
    </row>
    <row r="48" spans="1:11" x14ac:dyDescent="0.25">
      <c r="A48" s="1" t="s">
        <v>2253</v>
      </c>
      <c r="B48">
        <v>50</v>
      </c>
      <c r="K48" s="1" t="s">
        <v>2254</v>
      </c>
    </row>
    <row r="49" spans="1:27" x14ac:dyDescent="0.25">
      <c r="A49" s="3"/>
      <c r="B49" s="3"/>
      <c r="C49" s="3"/>
      <c r="M49" s="613" t="s">
        <v>2304</v>
      </c>
      <c r="N49" s="613"/>
      <c r="O49" s="613"/>
      <c r="P49" s="613"/>
      <c r="Q49" s="613"/>
      <c r="R49" s="613" t="s">
        <v>2308</v>
      </c>
      <c r="S49" s="613"/>
      <c r="T49" s="613"/>
      <c r="U49" s="613"/>
      <c r="V49" s="613"/>
      <c r="W49" s="613" t="s">
        <v>2309</v>
      </c>
      <c r="X49" s="613"/>
      <c r="Y49" s="613"/>
      <c r="Z49" s="613"/>
      <c r="AA49" s="613"/>
    </row>
    <row r="50" spans="1:27" x14ac:dyDescent="0.2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25">
      <c r="A51" t="s">
        <v>59</v>
      </c>
      <c r="B51" t="s">
        <v>3277</v>
      </c>
      <c r="C51" t="s">
        <v>3279</v>
      </c>
      <c r="D51" t="s">
        <v>2255</v>
      </c>
      <c r="E51" t="s">
        <v>64</v>
      </c>
      <c r="F51" t="s">
        <v>65</v>
      </c>
      <c r="G51" t="s">
        <v>3250</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General!G65</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General!G66</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25">
      <c r="A54" s="341" t="str">
        <f>General!G67</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General!G68</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General!G69</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General!G70</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General!G71</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General!G72</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25">
      <c r="A60" s="341" t="str">
        <f>General!G73</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General!G74</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General!G75</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25">
      <c r="A63" s="341" t="str">
        <f>General!G76</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25">
      <c r="A64" s="341" t="str">
        <f>General!G77</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General!G78</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25">
      <c r="A66" s="341" t="str">
        <f>General!G79</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General!G80</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General!G81</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25">
      <c r="A69" s="341" t="str">
        <f>General!G82</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25">
      <c r="A70" s="341" t="str">
        <f>General!G83</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25">
      <c r="L71"/>
      <c r="M71" t="s">
        <v>3247</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2295</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2201</v>
      </c>
      <c r="B9" s="42">
        <v>0</v>
      </c>
    </row>
    <row r="10" spans="1:2" x14ac:dyDescent="0.25">
      <c r="A10" t="s">
        <v>2202</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3026</v>
      </c>
    </row>
    <row r="19" spans="1:2" ht="30" x14ac:dyDescent="0.25">
      <c r="A19" s="5" t="s">
        <v>3025</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2559</v>
      </c>
      <c r="K9" s="18"/>
      <c r="L9" s="21" t="s">
        <v>2559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2560</v>
      </c>
      <c r="K10" s="22"/>
      <c r="L10" s="21" t="s">
        <v>2561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2685</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2686</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2688</v>
      </c>
      <c r="K22" s="21"/>
      <c r="L22" s="21" t="s">
        <v>2688</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2689</v>
      </c>
      <c r="K23" s="18"/>
      <c r="L23" s="18" t="s">
        <v>2690</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2687</v>
      </c>
      <c r="K24" s="22"/>
      <c r="L24" s="18" t="s">
        <v>2691</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3281</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3278</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TRANSPOSE(General!G65:G83)</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3213</v>
      </c>
      <c r="H54" s="28"/>
      <c r="I54" s="41" t="s">
        <v>3212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3214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3215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3216</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3217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TRANSPOSE(General!G65:G83)</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2313</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2305</v>
      </c>
      <c r="K88" t="s">
        <v>2307</v>
      </c>
      <c r="L88" t="s">
        <v>2306</v>
      </c>
      <c r="AC88" s="27"/>
      <c r="AD88" s="27"/>
      <c r="AE88" s="27"/>
      <c r="AF88" s="17"/>
      <c r="AG88" s="9"/>
      <c r="AH88" s="9"/>
      <c r="AI88" s="9"/>
    </row>
    <row r="89" spans="1:35" ht="12" customHeight="1" x14ac:dyDescent="0.25">
      <c r="A89" s="7"/>
      <c r="B89" s="8"/>
      <c r="C89" s="18"/>
      <c r="D89" s="18"/>
      <c r="E89" s="18"/>
      <c r="F89" s="24"/>
      <c r="I89" s="346" t="str">
        <f>General!G65</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General!G66</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General!G67</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General!G68</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General!G69</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General!G70</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General!G71</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General!G72</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General!G73</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General!G74</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General!G75</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General!G76</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General!G77</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General!G78</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General!G79</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General!G80</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General!G81</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General!G82</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General!G83</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5" t="s">
        <v>3249</v>
      </c>
      <c r="K11" s="636"/>
      <c r="L11" s="636"/>
      <c r="M11" s="636"/>
      <c r="N11" s="636"/>
      <c r="O11" s="636"/>
      <c r="P11" s="636"/>
      <c r="Q11" s="636"/>
      <c r="R11" s="636"/>
      <c r="S11" s="636"/>
      <c r="T11" s="636"/>
      <c r="U11" s="637"/>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8" t="s">
        <v>3248</v>
      </c>
      <c r="K12" s="639"/>
      <c r="L12" s="639"/>
      <c r="M12" s="639"/>
      <c r="N12" s="639"/>
      <c r="O12" s="639"/>
      <c r="P12" s="639"/>
      <c r="Q12" s="639"/>
      <c r="R12" s="639"/>
      <c r="S12" s="639"/>
      <c r="T12" s="639"/>
      <c r="U12" s="640"/>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3028</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3029</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2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25">
      <c r="A32" s="7"/>
      <c r="B32" s="8"/>
      <c r="C32" s="18"/>
      <c r="D32" s="18"/>
      <c r="E32" s="18"/>
      <c r="F32" s="24"/>
      <c r="G32" s="496"/>
      <c r="H32" s="496"/>
      <c r="I32" s="496" t="s">
        <v>3030</v>
      </c>
      <c r="J32" s="497">
        <v>1</v>
      </c>
      <c r="K32" s="496"/>
      <c r="Q32" s="30"/>
      <c r="R32" s="30"/>
      <c r="S32" s="30"/>
      <c r="T32" s="30"/>
      <c r="U32" s="30"/>
      <c r="V32" s="27"/>
      <c r="W32" s="17"/>
      <c r="X32" s="9"/>
      <c r="Y32" s="9"/>
      <c r="Z32" s="9"/>
    </row>
    <row r="33" spans="1:80" customFormat="1" ht="12" customHeight="1" outlineLevel="1" x14ac:dyDescent="0.25">
      <c r="A33" s="7"/>
      <c r="B33" s="8"/>
      <c r="C33" s="18"/>
      <c r="D33" s="18"/>
      <c r="E33" s="18"/>
      <c r="F33" s="24"/>
      <c r="G33" s="496"/>
      <c r="H33" s="496"/>
      <c r="I33" s="498" t="s">
        <v>3031</v>
      </c>
      <c r="J33" s="499">
        <v>0.05</v>
      </c>
      <c r="K33" s="496"/>
      <c r="L33" s="496"/>
      <c r="O33" s="496"/>
      <c r="P33" s="30"/>
      <c r="Q33" s="30"/>
      <c r="R33" s="30"/>
      <c r="S33" s="30"/>
      <c r="T33" s="30"/>
      <c r="U33" s="30"/>
      <c r="V33" s="27"/>
      <c r="W33" s="17"/>
      <c r="X33" s="9"/>
      <c r="Y33" s="9"/>
      <c r="Z33" s="9"/>
    </row>
    <row r="34" spans="1:80" customFormat="1" ht="12" customHeight="1" outlineLevel="1" x14ac:dyDescent="0.2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25">
      <c r="A35" s="7"/>
      <c r="B35" s="8"/>
      <c r="C35" s="18"/>
      <c r="D35" s="18"/>
      <c r="E35" s="18"/>
      <c r="F35" s="24"/>
      <c r="G35" s="500"/>
      <c r="H35" s="500"/>
      <c r="I35" s="28" t="s">
        <v>3032</v>
      </c>
      <c r="J35" s="28"/>
      <c r="K35" s="14" t="s">
        <v>3033</v>
      </c>
      <c r="L35" s="501"/>
      <c r="M35" s="502">
        <v>0.5</v>
      </c>
      <c r="O35" s="496"/>
      <c r="P35" s="30"/>
      <c r="Q35" s="30"/>
      <c r="R35" s="30"/>
      <c r="S35" s="30"/>
      <c r="T35" s="30"/>
      <c r="U35" s="30"/>
      <c r="V35" s="27"/>
      <c r="W35" s="17"/>
      <c r="X35" s="9"/>
      <c r="Y35" s="9"/>
      <c r="Z35" s="9"/>
    </row>
    <row r="36" spans="1:80" customFormat="1" ht="12" customHeight="1" outlineLevel="1" x14ac:dyDescent="0.25">
      <c r="A36" s="7"/>
      <c r="B36" s="8"/>
      <c r="C36" s="18"/>
      <c r="D36" s="18"/>
      <c r="E36" s="18"/>
      <c r="F36" s="24"/>
      <c r="G36" s="500"/>
      <c r="H36" s="500"/>
      <c r="I36" s="503" t="s">
        <v>3034</v>
      </c>
      <c r="J36" s="504"/>
      <c r="K36" s="505"/>
      <c r="L36" s="505"/>
      <c r="M36" s="506"/>
      <c r="O36" s="496"/>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3035</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3036</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10" t="s">
        <v>97</v>
      </c>
      <c r="I54" s="513" t="s">
        <v>3037</v>
      </c>
      <c r="J54" s="513" t="s">
        <v>3038</v>
      </c>
      <c r="K54" s="513" t="s">
        <v>3039</v>
      </c>
      <c r="L54" s="513" t="s">
        <v>3040</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4" t="str">
        <f>General!G65</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4" t="str">
        <f>General!G66</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4" t="str">
        <f>General!G67</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4" t="str">
        <f>General!G68</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4" t="str">
        <f>General!G69</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4" t="str">
        <f>General!G70</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4" t="str">
        <f>General!G71</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4" t="str">
        <f>General!G72</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4" t="str">
        <f>General!G73</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4" t="str">
        <f>General!G74</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4" t="str">
        <f>General!G75</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4" t="str">
        <f>General!G76</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4" t="str">
        <f>General!G77</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4" t="str">
        <f>General!G78</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4" t="str">
        <f>General!G79</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4" t="str">
        <f>General!G80</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4" t="str">
        <f>General!G81</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4" t="str">
        <f>General!G82</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4" t="str">
        <f>General!G83</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3041</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3029</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8"/>
      <c r="D85" s="13"/>
      <c r="E85" s="18"/>
      <c r="F85" s="14"/>
      <c r="G85" s="492"/>
      <c r="H85" s="14"/>
      <c r="I85" s="14" t="s">
        <v>2780</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25">
      <c r="A92" s="7"/>
      <c r="B92" s="8"/>
      <c r="C92" s="18"/>
      <c r="D92" s="18"/>
      <c r="E92" s="18"/>
      <c r="F92" s="24"/>
      <c r="G92" s="345" t="s">
        <v>3042</v>
      </c>
      <c r="I92" s="517"/>
      <c r="K92" s="518"/>
      <c r="L92" s="518"/>
      <c r="M92" s="26"/>
      <c r="O92" s="494"/>
      <c r="P92" s="26"/>
      <c r="Q92" s="26"/>
      <c r="R92" s="26"/>
      <c r="S92" s="26"/>
      <c r="T92" s="26"/>
      <c r="U92" s="26"/>
      <c r="V92" s="27"/>
      <c r="W92" s="17"/>
      <c r="X92" s="9"/>
      <c r="Y92" s="9"/>
      <c r="Z92" s="9"/>
    </row>
    <row r="93" spans="1:26" customFormat="1" outlineLevel="1" x14ac:dyDescent="0.25">
      <c r="A93" s="7"/>
      <c r="B93" s="8"/>
      <c r="C93" s="18"/>
      <c r="D93" s="18"/>
      <c r="E93" s="18"/>
      <c r="F93" s="24"/>
      <c r="G93" s="345"/>
      <c r="H93" s="519" t="s">
        <v>2305</v>
      </c>
      <c r="I93" s="520" t="s">
        <v>2307</v>
      </c>
      <c r="J93" s="521" t="s">
        <v>2306</v>
      </c>
      <c r="K93" s="522"/>
      <c r="L93" s="518"/>
      <c r="M93" s="27"/>
      <c r="O93" s="494"/>
      <c r="P93" s="26"/>
      <c r="Q93" s="26"/>
      <c r="R93" s="26"/>
      <c r="S93" s="27"/>
      <c r="T93" s="26"/>
      <c r="U93" s="26"/>
      <c r="V93" s="27"/>
      <c r="W93" s="17"/>
      <c r="X93" s="9"/>
      <c r="Y93" s="9"/>
      <c r="Z93" s="9"/>
    </row>
    <row r="94" spans="1:26" customFormat="1" outlineLevel="1" x14ac:dyDescent="0.25">
      <c r="A94" s="7"/>
      <c r="B94" s="8"/>
      <c r="C94" s="18"/>
      <c r="D94" s="18"/>
      <c r="E94" s="18"/>
      <c r="F94" s="24"/>
      <c r="H94" s="523" t="s">
        <v>2304</v>
      </c>
      <c r="I94" t="s">
        <v>2308</v>
      </c>
      <c r="J94" t="s">
        <v>2309</v>
      </c>
      <c r="K94" s="518"/>
      <c r="L94" s="518"/>
      <c r="O94" s="507"/>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General!G65</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General!G66</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General!G67</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General!G68</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General!G69</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General!G70</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General!G71</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General!G72</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General!G73</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General!G74</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General!G75</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General!G76</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General!G77</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General!G78</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General!G79</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General!G80</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General!G81</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General!G82</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General!G83</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2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25">
      <c r="A116" s="7"/>
      <c r="B116" s="8"/>
      <c r="C116" s="18"/>
      <c r="D116" s="18"/>
      <c r="E116" s="18"/>
      <c r="F116" s="24"/>
      <c r="G116" s="526" t="s">
        <v>3043</v>
      </c>
      <c r="I116" s="527"/>
      <c r="K116" s="518"/>
      <c r="L116" s="518"/>
      <c r="M116" s="26"/>
      <c r="O116" s="494"/>
      <c r="P116" s="26"/>
      <c r="Q116" s="26"/>
      <c r="R116" s="26"/>
      <c r="S116" s="26"/>
      <c r="T116" s="26"/>
      <c r="U116" s="26"/>
      <c r="V116" s="27"/>
      <c r="W116" s="17"/>
      <c r="X116" s="9"/>
      <c r="Y116" s="9"/>
      <c r="Z116" s="9"/>
    </row>
    <row r="117" spans="1:26" customFormat="1" outlineLevel="1" x14ac:dyDescent="0.25">
      <c r="A117" s="7"/>
      <c r="B117" s="8"/>
      <c r="C117" s="18"/>
      <c r="D117" s="18"/>
      <c r="E117" s="18"/>
      <c r="F117" s="24"/>
      <c r="H117" s="523" t="s">
        <v>2304</v>
      </c>
      <c r="I117" t="s">
        <v>2308</v>
      </c>
      <c r="J117" t="s">
        <v>2309</v>
      </c>
      <c r="K117" s="518"/>
      <c r="L117" s="518"/>
      <c r="O117" s="507"/>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4" t="str">
        <f>General!G65</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4" t="str">
        <f>General!G66</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4" t="str">
        <f>General!G67</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4" t="str">
        <f>General!G68</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4" t="str">
        <f>General!G69</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4" t="str">
        <f>General!G70</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4" t="str">
        <f>General!G71</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4" t="str">
        <f>General!G72</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4" t="str">
        <f>General!G73</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4" t="str">
        <f>General!G74</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4" t="str">
        <f>General!G75</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4" t="str">
        <f>General!G76</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4" t="str">
        <f>General!G77</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4" t="str">
        <f>General!G78</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4" t="str">
        <f>General!G79</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4" t="str">
        <f>General!G80</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4" t="str">
        <f>General!G81</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4" t="str">
        <f>General!G82</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4" t="str">
        <f>General!G83</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25">
      <c r="A138" s="7"/>
      <c r="B138" s="8"/>
      <c r="C138" s="18"/>
      <c r="D138" s="18"/>
      <c r="E138" s="18"/>
      <c r="F138" s="24"/>
      <c r="G138" s="526" t="s">
        <v>3044</v>
      </c>
      <c r="I138" s="527"/>
      <c r="K138" s="518"/>
      <c r="L138" s="518"/>
      <c r="M138" s="26"/>
      <c r="O138" s="494"/>
      <c r="P138" s="26"/>
      <c r="Q138" s="26"/>
      <c r="R138" s="26"/>
      <c r="S138" s="26"/>
      <c r="T138" s="26"/>
      <c r="U138" s="26"/>
      <c r="V138" s="27"/>
      <c r="W138" s="17"/>
      <c r="X138" s="9"/>
      <c r="Y138" s="9"/>
      <c r="Z138" s="9"/>
    </row>
    <row r="139" spans="1:26" customFormat="1" outlineLevel="1" x14ac:dyDescent="0.25">
      <c r="A139" s="7"/>
      <c r="B139" s="8"/>
      <c r="C139" s="18"/>
      <c r="D139" s="18"/>
      <c r="E139" s="18"/>
      <c r="F139" s="24"/>
      <c r="H139" s="523" t="s">
        <v>2304</v>
      </c>
      <c r="I139" t="s">
        <v>2308</v>
      </c>
      <c r="J139" t="s">
        <v>2309</v>
      </c>
      <c r="K139" s="518"/>
      <c r="L139" s="518"/>
      <c r="O139" s="507"/>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General!G65</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General!G66</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General!G67</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General!G68</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General!G69</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General!G70</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General!G71</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General!G72</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General!G73</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General!G74</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General!G75</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General!G76</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General!G77</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General!G78</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General!G79</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General!G80</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General!G81</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General!G82</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General!G83</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25">
      <c r="A160" s="7"/>
      <c r="B160" s="8"/>
      <c r="C160" s="18"/>
      <c r="D160" s="18"/>
      <c r="E160" s="18"/>
      <c r="F160" s="27"/>
      <c r="G160" s="483" t="s">
        <v>3045</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25">
      <c r="A161" s="7"/>
      <c r="B161" s="8"/>
      <c r="C161" s="18"/>
      <c r="D161" s="18"/>
      <c r="E161" s="18"/>
      <c r="F161" s="24"/>
      <c r="H161" s="28" t="s">
        <v>3046</v>
      </c>
      <c r="I161" s="28" t="s">
        <v>3047</v>
      </c>
      <c r="J161" s="28" t="s">
        <v>3048</v>
      </c>
      <c r="L161" s="518"/>
      <c r="O161" s="507"/>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4" t="str">
        <f>General!G65</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4" t="str">
        <f>General!G66</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4" t="str">
        <f>General!G67</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4" t="str">
        <f>General!G68</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4" t="str">
        <f>General!G69</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4" t="str">
        <f>General!G70</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4" t="str">
        <f>General!G71</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4" t="str">
        <f>General!G72</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4" t="str">
        <f>General!G73</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4" t="str">
        <f>General!G74</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4" t="str">
        <f>General!G75</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4" t="str">
        <f>General!G76</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4" t="str">
        <f>General!G77</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4" t="str">
        <f>General!G78</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4" t="str">
        <f>General!G79</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4" t="str">
        <f>General!G80</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4" t="str">
        <f>General!G81</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4" t="str">
        <f>General!G82</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4" t="str">
        <f>General!G83</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2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 customHeight="1" outlineLevel="1" x14ac:dyDescent="0.2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6" t="s">
        <v>3049</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7" t="s">
        <v>2298</v>
      </c>
      <c r="I186" s="538" t="s">
        <v>4</v>
      </c>
      <c r="J186" s="538" t="s">
        <v>3050</v>
      </c>
      <c r="K186" s="538" t="s">
        <v>531</v>
      </c>
      <c r="L186" s="539" t="s">
        <v>3051</v>
      </c>
      <c r="M186" s="540" t="s">
        <v>10</v>
      </c>
      <c r="N186" s="540" t="s">
        <v>3052</v>
      </c>
      <c r="O186" s="540" t="s">
        <v>60</v>
      </c>
      <c r="P186" s="541" t="s">
        <v>61</v>
      </c>
      <c r="Q186" s="542" t="s">
        <v>2299</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3053</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3054</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3055</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3056</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3057</v>
      </c>
      <c r="K205" s="21" t="s">
        <v>3058</v>
      </c>
      <c r="L205" s="21" t="s">
        <v>3059</v>
      </c>
      <c r="M205" s="21" t="s">
        <v>3060</v>
      </c>
      <c r="N205" s="21" t="s">
        <v>3061</v>
      </c>
      <c r="O205" s="21" t="s">
        <v>3062</v>
      </c>
      <c r="P205" s="21" t="s">
        <v>3063</v>
      </c>
      <c r="Q205" s="21" t="s">
        <v>3064</v>
      </c>
      <c r="R205" s="21" t="s">
        <v>3065</v>
      </c>
      <c r="S205" s="21" t="s">
        <v>3066</v>
      </c>
      <c r="T205" s="21" t="s">
        <v>3067</v>
      </c>
      <c r="U205" s="21" t="s">
        <v>3068</v>
      </c>
      <c r="V205" s="21" t="s">
        <v>3069</v>
      </c>
      <c r="W205" s="21" t="s">
        <v>3070</v>
      </c>
      <c r="X205" s="21" t="s">
        <v>3071</v>
      </c>
      <c r="Y205" s="21" t="s">
        <v>3072</v>
      </c>
      <c r="Z205" s="21" t="s">
        <v>3073</v>
      </c>
      <c r="AA205" s="21" t="s">
        <v>3074</v>
      </c>
      <c r="AB205" s="21" t="s">
        <v>3075</v>
      </c>
      <c r="AC205" s="21" t="s">
        <v>3076</v>
      </c>
      <c r="AD205" s="21" t="s">
        <v>3077</v>
      </c>
      <c r="AE205" s="21" t="s">
        <v>3078</v>
      </c>
      <c r="AF205" s="21" t="s">
        <v>3079</v>
      </c>
      <c r="AG205" s="21" t="s">
        <v>3080</v>
      </c>
      <c r="AH205" s="21" t="s">
        <v>3081</v>
      </c>
      <c r="AI205" s="21" t="s">
        <v>3082</v>
      </c>
      <c r="AJ205" s="21" t="s">
        <v>3083</v>
      </c>
      <c r="AK205" s="21" t="s">
        <v>3084</v>
      </c>
      <c r="AL205" s="21" t="s">
        <v>3085</v>
      </c>
      <c r="AM205" s="21" t="s">
        <v>3086</v>
      </c>
      <c r="AN205" s="21"/>
      <c r="AO205" s="17"/>
      <c r="AP205" s="9"/>
      <c r="AQ205" s="9"/>
      <c r="AR205" s="9"/>
    </row>
    <row r="206" spans="1:44" customFormat="1" ht="12" customHeight="1" outlineLevel="1" x14ac:dyDescent="0.25">
      <c r="A206" s="7"/>
      <c r="B206" s="8"/>
      <c r="C206" s="18"/>
      <c r="D206" s="18"/>
      <c r="E206" s="18"/>
      <c r="F206" s="18"/>
      <c r="G206" s="18"/>
      <c r="H206" s="18"/>
      <c r="I206" s="18"/>
      <c r="J206" s="548" t="s">
        <v>399</v>
      </c>
      <c r="K206" s="548"/>
      <c r="L206" s="548"/>
      <c r="M206" s="548"/>
      <c r="N206" s="548"/>
      <c r="O206" s="548"/>
      <c r="P206" s="548"/>
      <c r="Q206" s="548"/>
      <c r="R206" s="548" t="s">
        <v>3087</v>
      </c>
      <c r="S206" s="548"/>
      <c r="T206" s="548"/>
      <c r="U206" s="548"/>
      <c r="V206" s="548"/>
      <c r="W206" s="548"/>
      <c r="X206" s="548"/>
      <c r="Y206" s="548"/>
      <c r="Z206" s="548"/>
      <c r="AA206" s="548"/>
      <c r="AB206" s="548"/>
      <c r="AC206" s="548"/>
      <c r="AD206" s="548" t="s">
        <v>400</v>
      </c>
      <c r="AE206" s="548"/>
      <c r="AF206" s="548"/>
      <c r="AG206" s="548"/>
      <c r="AH206" s="548"/>
      <c r="AI206" s="548"/>
      <c r="AJ206" s="548" t="s">
        <v>3088</v>
      </c>
      <c r="AK206" s="548"/>
      <c r="AL206" s="549"/>
      <c r="AM206" s="549"/>
      <c r="AN206" s="21"/>
      <c r="AO206" s="17"/>
      <c r="AP206" s="9"/>
      <c r="AQ206" s="9"/>
      <c r="AR206" s="9"/>
    </row>
    <row r="207" spans="1:44" customFormat="1" ht="12" customHeight="1" outlineLevel="1" x14ac:dyDescent="0.25">
      <c r="A207" s="7"/>
      <c r="B207" s="8"/>
      <c r="C207" s="18"/>
      <c r="D207" s="18"/>
      <c r="E207" s="18"/>
      <c r="F207" s="18"/>
      <c r="G207" s="18"/>
      <c r="H207" s="18"/>
      <c r="I207" s="18"/>
      <c r="J207" s="550" t="s">
        <v>3089</v>
      </c>
      <c r="K207" s="550" t="s">
        <v>3090</v>
      </c>
      <c r="L207" s="550" t="s">
        <v>3091</v>
      </c>
      <c r="M207" s="550" t="s">
        <v>3091</v>
      </c>
      <c r="N207" s="550" t="s">
        <v>3091</v>
      </c>
      <c r="O207" s="550" t="s">
        <v>3091</v>
      </c>
      <c r="P207" s="550" t="s">
        <v>3091</v>
      </c>
      <c r="Q207" s="550" t="s">
        <v>3092</v>
      </c>
      <c r="R207" s="550" t="s">
        <v>3093</v>
      </c>
      <c r="S207" s="550" t="s">
        <v>3093</v>
      </c>
      <c r="T207" s="550" t="s">
        <v>3094</v>
      </c>
      <c r="U207" s="550" t="s">
        <v>3094</v>
      </c>
      <c r="V207" s="550" t="s">
        <v>3095</v>
      </c>
      <c r="W207" s="550" t="s">
        <v>3095</v>
      </c>
      <c r="X207" s="550" t="s">
        <v>3096</v>
      </c>
      <c r="Y207" s="550" t="s">
        <v>3096</v>
      </c>
      <c r="Z207" s="550" t="s">
        <v>3097</v>
      </c>
      <c r="AA207" s="550" t="s">
        <v>3097</v>
      </c>
      <c r="AB207" s="550" t="s">
        <v>3098</v>
      </c>
      <c r="AC207" s="550" t="s">
        <v>3098</v>
      </c>
      <c r="AD207" s="550" t="s">
        <v>3099</v>
      </c>
      <c r="AE207" s="550" t="s">
        <v>3100</v>
      </c>
      <c r="AF207" s="550" t="s">
        <v>3101</v>
      </c>
      <c r="AG207" s="550" t="s">
        <v>3102</v>
      </c>
      <c r="AH207" s="550" t="s">
        <v>3102</v>
      </c>
      <c r="AI207" s="550" t="s">
        <v>3103</v>
      </c>
      <c r="AJ207" s="549" t="s">
        <v>3104</v>
      </c>
      <c r="AK207" s="549" t="s">
        <v>3104</v>
      </c>
      <c r="AL207" s="549"/>
      <c r="AM207" s="549"/>
      <c r="AN207" s="21"/>
      <c r="AO207" s="17"/>
      <c r="AP207" s="9"/>
      <c r="AQ207" s="9"/>
      <c r="AR207" s="9"/>
    </row>
    <row r="208" spans="1:44" customFormat="1" ht="12" customHeight="1" outlineLevel="1" x14ac:dyDescent="0.25">
      <c r="A208" s="7"/>
      <c r="B208" s="8"/>
      <c r="C208" s="18"/>
      <c r="D208" s="18"/>
      <c r="E208" s="18"/>
      <c r="F208" s="18"/>
      <c r="G208" s="18"/>
      <c r="H208" s="18"/>
      <c r="I208" s="21"/>
      <c r="J208" s="550" t="s">
        <v>3105</v>
      </c>
      <c r="K208" s="550" t="s">
        <v>3105</v>
      </c>
      <c r="L208" s="550" t="s">
        <v>3105</v>
      </c>
      <c r="M208" s="550" t="s">
        <v>3105</v>
      </c>
      <c r="N208" s="550" t="s">
        <v>3105</v>
      </c>
      <c r="O208" s="550" t="s">
        <v>3105</v>
      </c>
      <c r="P208" s="550" t="s">
        <v>3105</v>
      </c>
      <c r="Q208" s="550" t="s">
        <v>3105</v>
      </c>
      <c r="R208" s="550" t="s">
        <v>3106</v>
      </c>
      <c r="S208" s="550" t="s">
        <v>3107</v>
      </c>
      <c r="T208" s="550" t="s">
        <v>3108</v>
      </c>
      <c r="U208" s="550" t="s">
        <v>3109</v>
      </c>
      <c r="V208" s="550" t="s">
        <v>3110</v>
      </c>
      <c r="W208" s="550" t="s">
        <v>3111</v>
      </c>
      <c r="X208" s="550" t="s">
        <v>3112</v>
      </c>
      <c r="Y208" s="550" t="s">
        <v>3113</v>
      </c>
      <c r="Z208" s="550" t="s">
        <v>3114</v>
      </c>
      <c r="AA208" s="550" t="s">
        <v>3105</v>
      </c>
      <c r="AB208" s="550" t="s">
        <v>3114</v>
      </c>
      <c r="AC208" s="550" t="s">
        <v>3105</v>
      </c>
      <c r="AD208" s="550" t="s">
        <v>3115</v>
      </c>
      <c r="AE208" s="550" t="s">
        <v>3115</v>
      </c>
      <c r="AF208" s="550" t="s">
        <v>3115</v>
      </c>
      <c r="AG208" s="550" t="s">
        <v>3115</v>
      </c>
      <c r="AH208" s="550" t="s">
        <v>3116</v>
      </c>
      <c r="AI208" s="550" t="s">
        <v>3115</v>
      </c>
      <c r="AJ208" s="550" t="s">
        <v>3117</v>
      </c>
      <c r="AK208" s="550" t="s">
        <v>3116</v>
      </c>
      <c r="AL208" s="549"/>
      <c r="AM208" s="549"/>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0999999999999996" customHeight="1" outlineLevel="1" x14ac:dyDescent="0.2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25">
      <c r="A211" s="7"/>
      <c r="B211" s="8"/>
      <c r="C211" s="18"/>
      <c r="D211" s="18"/>
      <c r="E211" s="18"/>
      <c r="F211" s="24"/>
      <c r="G211" s="551" t="s">
        <v>3118</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25">
      <c r="A212" s="7"/>
      <c r="B212" s="8"/>
      <c r="C212" s="18"/>
      <c r="D212" s="18"/>
      <c r="E212" s="18"/>
      <c r="F212" s="24"/>
      <c r="G212" s="25"/>
      <c r="H212" s="25" t="s">
        <v>3119</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2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25">
      <c r="A214" s="7"/>
      <c r="B214" s="8"/>
      <c r="C214" s="18"/>
      <c r="D214" s="18"/>
      <c r="E214" s="18"/>
      <c r="F214" s="24"/>
      <c r="G214" s="25"/>
      <c r="H214" s="25" t="s">
        <v>3120</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25">
      <c r="A215" s="7"/>
      <c r="B215" s="8"/>
      <c r="C215" s="18"/>
      <c r="D215" s="18"/>
      <c r="E215" s="18"/>
      <c r="F215" s="24"/>
      <c r="G215" s="25"/>
      <c r="H215" s="25" t="s">
        <v>3120</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25">
      <c r="A216" s="7"/>
      <c r="B216" s="8"/>
      <c r="C216" s="18"/>
      <c r="D216" s="18"/>
      <c r="E216" s="18"/>
      <c r="F216" s="24"/>
      <c r="G216" s="28"/>
      <c r="H216" s="25" t="s">
        <v>3121</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25">
      <c r="A217" s="7"/>
      <c r="B217" s="8"/>
      <c r="C217" s="18"/>
      <c r="D217" s="18"/>
      <c r="E217" s="18"/>
      <c r="F217" s="24"/>
      <c r="G217" s="25"/>
      <c r="H217" s="25" t="s">
        <v>3122</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2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25">
      <c r="A219" s="7"/>
      <c r="B219" s="8"/>
      <c r="C219" s="18"/>
      <c r="D219" s="18"/>
      <c r="E219" s="18"/>
      <c r="F219" s="24"/>
      <c r="G219" s="25"/>
      <c r="H219" s="25" t="s">
        <v>3123</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25">
      <c r="A221" s="7"/>
      <c r="B221" s="8"/>
      <c r="C221" s="18"/>
      <c r="D221" s="18"/>
      <c r="E221" s="18"/>
      <c r="F221" s="24"/>
      <c r="G221" s="25"/>
      <c r="H221" s="25" t="s">
        <v>3124</v>
      </c>
      <c r="I221" s="25"/>
      <c r="J221" s="558" t="s">
        <v>2305</v>
      </c>
      <c r="K221" s="558" t="s">
        <v>2305</v>
      </c>
      <c r="L221" s="558" t="s">
        <v>2305</v>
      </c>
      <c r="M221" s="558" t="s">
        <v>2305</v>
      </c>
      <c r="N221" s="558" t="s">
        <v>2305</v>
      </c>
      <c r="O221" s="558" t="s">
        <v>2305</v>
      </c>
      <c r="P221" s="558" t="s">
        <v>2305</v>
      </c>
      <c r="Q221" s="558" t="s">
        <v>2305</v>
      </c>
      <c r="R221" s="558" t="s">
        <v>3125</v>
      </c>
      <c r="S221" s="558" t="s">
        <v>2305</v>
      </c>
      <c r="T221" s="558" t="s">
        <v>3125</v>
      </c>
      <c r="U221" s="558" t="s">
        <v>2305</v>
      </c>
      <c r="V221" s="558" t="s">
        <v>3125</v>
      </c>
      <c r="W221" s="558" t="s">
        <v>2305</v>
      </c>
      <c r="X221" s="558" t="s">
        <v>3125</v>
      </c>
      <c r="Y221" s="558" t="s">
        <v>2305</v>
      </c>
      <c r="Z221" s="558" t="s">
        <v>3125</v>
      </c>
      <c r="AA221" s="558" t="s">
        <v>2305</v>
      </c>
      <c r="AB221" s="558" t="s">
        <v>3125</v>
      </c>
      <c r="AC221" s="558" t="s">
        <v>2305</v>
      </c>
      <c r="AD221" s="558" t="s">
        <v>2307</v>
      </c>
      <c r="AE221" s="558" t="s">
        <v>2307</v>
      </c>
      <c r="AF221" s="558" t="s">
        <v>2307</v>
      </c>
      <c r="AG221" s="558" t="s">
        <v>2307</v>
      </c>
      <c r="AH221" s="558" t="s">
        <v>2307</v>
      </c>
      <c r="AI221" s="558" t="s">
        <v>2307</v>
      </c>
      <c r="AJ221" s="558" t="s">
        <v>2305</v>
      </c>
      <c r="AK221" s="558" t="s">
        <v>2307</v>
      </c>
      <c r="AL221" s="494"/>
      <c r="AM221" s="494"/>
      <c r="AN221" s="27"/>
      <c r="AO221" s="17"/>
      <c r="AP221" s="9"/>
      <c r="AQ221" s="9"/>
      <c r="AR221" s="9"/>
    </row>
    <row r="222" spans="1:44" customFormat="1" outlineLevel="1" x14ac:dyDescent="0.25">
      <c r="A222" s="7"/>
      <c r="B222" s="8"/>
      <c r="C222" s="18"/>
      <c r="D222" s="18"/>
      <c r="E222" s="18"/>
      <c r="F222" s="24"/>
      <c r="G222" s="25"/>
      <c r="H222" s="25" t="s">
        <v>3126</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45" customHeight="1" outlineLevel="1" x14ac:dyDescent="0.25">
      <c r="A223" s="7"/>
      <c r="B223" s="8"/>
      <c r="C223" s="18"/>
      <c r="D223" s="18"/>
      <c r="E223" s="18"/>
      <c r="F223" s="24"/>
      <c r="G223" s="25"/>
      <c r="H223" s="561" t="s">
        <v>3127</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25">
      <c r="A224" s="7"/>
      <c r="B224" s="8"/>
      <c r="C224" s="18"/>
      <c r="D224" s="18"/>
      <c r="E224" s="18"/>
      <c r="F224" s="24"/>
      <c r="G224" s="25"/>
      <c r="H224" s="563" t="s">
        <v>3128</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25">
      <c r="A225" s="7"/>
      <c r="B225" s="8"/>
      <c r="C225" s="18"/>
      <c r="D225" s="18"/>
      <c r="E225" s="18"/>
      <c r="F225" s="24"/>
      <c r="G225" s="551" t="s">
        <v>3129</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25">
      <c r="A226" s="7"/>
      <c r="B226" s="8"/>
      <c r="C226" s="18"/>
      <c r="D226" s="18"/>
      <c r="E226" s="18"/>
      <c r="F226" s="24"/>
      <c r="G226" s="25"/>
      <c r="H226" s="25" t="s">
        <v>3130</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25">
      <c r="A227" s="7"/>
      <c r="B227" s="8"/>
      <c r="C227" s="18"/>
      <c r="D227" s="18"/>
      <c r="E227" s="18"/>
      <c r="F227" s="24"/>
      <c r="G227" s="25"/>
      <c r="H227" s="25" t="s">
        <v>3131</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25">
      <c r="A228" s="7"/>
      <c r="B228" s="8"/>
      <c r="C228" s="18"/>
      <c r="D228" s="18"/>
      <c r="E228" s="18"/>
      <c r="F228" s="24"/>
      <c r="G228" s="25"/>
      <c r="H228" s="25" t="s">
        <v>3132</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25">
      <c r="A229" s="7"/>
      <c r="B229" s="8"/>
      <c r="C229" s="18"/>
      <c r="D229" s="18"/>
      <c r="E229" s="18"/>
      <c r="F229" s="24"/>
      <c r="G229" s="25"/>
      <c r="H229" s="25" t="s">
        <v>3133</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25">
      <c r="A230" s="7"/>
      <c r="B230" s="8"/>
      <c r="C230" s="18"/>
      <c r="D230" s="18"/>
      <c r="E230" s="18"/>
      <c r="F230" s="24"/>
      <c r="G230" s="25"/>
      <c r="H230" s="25" t="s">
        <v>3134</v>
      </c>
      <c r="I230" s="634" t="s">
        <v>3135</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25">
      <c r="A231" s="7"/>
      <c r="B231" s="8"/>
      <c r="C231" s="18"/>
      <c r="D231" s="18"/>
      <c r="E231" s="18"/>
      <c r="F231" s="24"/>
      <c r="G231" s="25"/>
      <c r="H231" s="25" t="s">
        <v>3136</v>
      </c>
      <c r="I231" s="634"/>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25">
      <c r="A232" s="7"/>
      <c r="B232" s="8"/>
      <c r="C232" s="18"/>
      <c r="D232" s="18"/>
      <c r="E232" s="18"/>
      <c r="F232" s="24"/>
      <c r="G232" s="25"/>
      <c r="H232" s="25" t="s">
        <v>3137</v>
      </c>
      <c r="I232" s="634"/>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25">
      <c r="A233" s="7"/>
      <c r="B233" s="8"/>
      <c r="C233" s="18"/>
      <c r="D233" s="18"/>
      <c r="E233" s="18"/>
      <c r="F233" s="24"/>
      <c r="G233" s="25"/>
      <c r="H233" s="25" t="s">
        <v>3138</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25">
      <c r="A234" s="7"/>
      <c r="B234" s="8"/>
      <c r="C234" s="18"/>
      <c r="D234" s="18"/>
      <c r="E234" s="18"/>
      <c r="F234" s="24"/>
      <c r="G234" s="25"/>
      <c r="H234" s="25" t="s">
        <v>3139</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2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25">
      <c r="A236" s="7"/>
      <c r="B236" s="8"/>
      <c r="C236" s="18"/>
      <c r="D236" s="18"/>
      <c r="E236" s="18"/>
      <c r="F236" s="24"/>
      <c r="G236" s="25"/>
      <c r="H236" s="25" t="s">
        <v>3140</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25">
      <c r="A237" s="7"/>
      <c r="B237" s="8"/>
      <c r="C237" s="18"/>
      <c r="D237" s="18"/>
      <c r="E237" s="18"/>
      <c r="F237" s="24"/>
      <c r="G237" s="25"/>
      <c r="H237" s="25" t="s">
        <v>3141</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2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25">
      <c r="A239" s="7"/>
      <c r="B239" s="8"/>
      <c r="C239" s="18"/>
      <c r="D239" s="18"/>
      <c r="E239" s="18"/>
      <c r="F239" s="24"/>
      <c r="G239" s="25"/>
      <c r="H239" s="25" t="s">
        <v>3142</v>
      </c>
      <c r="I239" s="16" t="s">
        <v>3143</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25">
      <c r="A240" s="7"/>
      <c r="B240" s="8"/>
      <c r="C240" s="18"/>
      <c r="D240" s="18"/>
      <c r="E240" s="18"/>
      <c r="F240" s="24"/>
      <c r="G240" s="25"/>
      <c r="H240" s="25"/>
      <c r="I240" s="570" t="s">
        <v>3144</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25">
      <c r="A241" s="7"/>
      <c r="B241" s="8"/>
      <c r="C241" s="18"/>
      <c r="D241" s="18"/>
      <c r="E241" s="18"/>
      <c r="F241" s="24"/>
      <c r="G241" s="25"/>
      <c r="H241" s="25"/>
      <c r="I241" s="570" t="s">
        <v>3145</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25">
      <c r="A242" s="7"/>
      <c r="B242" s="8"/>
      <c r="C242" s="18"/>
      <c r="D242" s="18"/>
      <c r="E242" s="18"/>
      <c r="F242" s="24"/>
      <c r="G242" s="25"/>
      <c r="H242" s="25"/>
      <c r="I242" s="570" t="s">
        <v>3146</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25">
      <c r="A243" s="7"/>
      <c r="B243" s="8"/>
      <c r="C243" s="18"/>
      <c r="D243" s="18"/>
      <c r="E243" s="18"/>
      <c r="F243" s="24"/>
      <c r="G243" s="25"/>
      <c r="H243" s="25"/>
      <c r="I243" s="570" t="s">
        <v>3147</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25">
      <c r="A244" s="7"/>
      <c r="B244" s="8"/>
      <c r="C244" s="18"/>
      <c r="D244" s="18"/>
      <c r="E244" s="18"/>
      <c r="F244" s="24"/>
      <c r="G244" s="25"/>
      <c r="H244" s="25"/>
      <c r="I244" s="570" t="s">
        <v>3148</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25">
      <c r="A245" s="7"/>
      <c r="B245" s="8"/>
      <c r="C245" s="18"/>
      <c r="D245" s="18"/>
      <c r="E245" s="18"/>
      <c r="F245" s="24"/>
      <c r="G245" s="25"/>
      <c r="H245" s="25"/>
      <c r="I245" s="570" t="s">
        <v>3149</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25">
      <c r="A246" s="7"/>
      <c r="B246" s="8"/>
      <c r="C246" s="18"/>
      <c r="D246" s="18"/>
      <c r="E246" s="18"/>
      <c r="F246" s="24"/>
      <c r="G246" s="25"/>
      <c r="H246" s="25"/>
      <c r="I246" s="570" t="s">
        <v>3150</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25">
      <c r="A247" s="7"/>
      <c r="B247" s="8"/>
      <c r="C247" s="18"/>
      <c r="D247" s="18"/>
      <c r="E247" s="18"/>
      <c r="F247" s="24"/>
      <c r="G247" s="25"/>
      <c r="H247" s="25"/>
      <c r="I247" s="570" t="s">
        <v>3151</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25">
      <c r="A248" s="7"/>
      <c r="B248" s="8"/>
      <c r="C248" s="18"/>
      <c r="D248" s="18"/>
      <c r="E248" s="18"/>
      <c r="F248" s="24"/>
      <c r="G248" s="25"/>
      <c r="H248" s="25"/>
      <c r="I248" s="570" t="s">
        <v>3152</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25">
      <c r="A249" s="7"/>
      <c r="B249" s="8"/>
      <c r="C249" s="18"/>
      <c r="D249" s="18"/>
      <c r="E249" s="18"/>
      <c r="F249" s="24"/>
      <c r="G249" s="25"/>
      <c r="H249" s="25"/>
      <c r="I249" s="570" t="s">
        <v>3153</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2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25">
      <c r="A251" s="7"/>
      <c r="B251" s="8"/>
      <c r="C251" s="18"/>
      <c r="D251" s="18"/>
      <c r="E251" s="18"/>
      <c r="F251" s="24"/>
      <c r="G251" s="25"/>
      <c r="H251" s="25" t="s">
        <v>3154</v>
      </c>
      <c r="I251" s="570" t="s">
        <v>3145</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25">
      <c r="A252" s="7"/>
      <c r="B252" s="8"/>
      <c r="C252" s="18"/>
      <c r="D252" s="18"/>
      <c r="E252" s="18"/>
      <c r="F252" s="24"/>
      <c r="G252" s="25"/>
      <c r="H252" s="25"/>
      <c r="I252" s="570" t="s">
        <v>3146</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25">
      <c r="A253" s="7"/>
      <c r="B253" s="8"/>
      <c r="C253" s="18"/>
      <c r="D253" s="18"/>
      <c r="E253" s="18"/>
      <c r="F253" s="24"/>
      <c r="G253" s="25"/>
      <c r="H253" s="25"/>
      <c r="I253" s="570" t="s">
        <v>3147</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25">
      <c r="A254" s="7"/>
      <c r="B254" s="8"/>
      <c r="C254" s="18"/>
      <c r="D254" s="18"/>
      <c r="E254" s="18"/>
      <c r="F254" s="24"/>
      <c r="G254" s="25"/>
      <c r="H254" s="25"/>
      <c r="I254" s="570" t="s">
        <v>3148</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25">
      <c r="A255" s="7"/>
      <c r="B255" s="8"/>
      <c r="C255" s="18"/>
      <c r="D255" s="18"/>
      <c r="E255" s="18"/>
      <c r="F255" s="24"/>
      <c r="G255" s="25"/>
      <c r="H255" s="25"/>
      <c r="I255" s="570" t="s">
        <v>3149</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25">
      <c r="A256" s="7"/>
      <c r="B256" s="8"/>
      <c r="C256" s="18"/>
      <c r="D256" s="18"/>
      <c r="E256" s="18"/>
      <c r="F256" s="24"/>
      <c r="G256" s="25"/>
      <c r="H256" s="25"/>
      <c r="I256" s="570" t="s">
        <v>3150</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2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25">
      <c r="A258" s="7"/>
      <c r="B258" s="8"/>
      <c r="C258" s="18"/>
      <c r="D258" s="18"/>
      <c r="E258" s="18"/>
      <c r="F258" s="24"/>
      <c r="G258" s="551" t="s">
        <v>3155</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25">
      <c r="A259" s="7"/>
      <c r="B259" s="8"/>
      <c r="C259" s="18"/>
      <c r="D259" s="18"/>
      <c r="E259" s="18"/>
      <c r="F259" s="24"/>
      <c r="G259" s="25"/>
      <c r="H259" s="25" t="s">
        <v>3156</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25">
      <c r="A260" s="7"/>
      <c r="B260" s="8"/>
      <c r="C260" s="18"/>
      <c r="D260" s="18"/>
      <c r="E260" s="18"/>
      <c r="F260" s="24"/>
      <c r="G260" s="25"/>
      <c r="H260" s="25" t="s">
        <v>3131</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25">
      <c r="A261" s="7"/>
      <c r="B261" s="8"/>
      <c r="C261" s="18"/>
      <c r="D261" s="18"/>
      <c r="E261" s="18"/>
      <c r="F261" s="24"/>
      <c r="G261" s="25"/>
      <c r="H261" s="25" t="s">
        <v>3132</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25">
      <c r="A262" s="7"/>
      <c r="B262" s="8"/>
      <c r="C262" s="18"/>
      <c r="D262" s="18"/>
      <c r="E262" s="18"/>
      <c r="F262" s="24"/>
      <c r="G262" s="25"/>
      <c r="H262" s="25" t="s">
        <v>3157</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25">
      <c r="A263" s="7"/>
      <c r="B263" s="8"/>
      <c r="C263" s="18"/>
      <c r="D263" s="18"/>
      <c r="E263" s="18"/>
      <c r="F263" s="24"/>
      <c r="G263" s="25"/>
      <c r="H263" s="25" t="s">
        <v>3134</v>
      </c>
      <c r="I263" s="634" t="s">
        <v>3135</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25">
      <c r="A264" s="7"/>
      <c r="B264" s="8"/>
      <c r="C264" s="18"/>
      <c r="D264" s="18"/>
      <c r="E264" s="18"/>
      <c r="F264" s="24"/>
      <c r="G264" s="25"/>
      <c r="H264" s="25" t="s">
        <v>3136</v>
      </c>
      <c r="I264" s="634"/>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25">
      <c r="A265" s="7"/>
      <c r="B265" s="8"/>
      <c r="C265" s="18"/>
      <c r="D265" s="18"/>
      <c r="E265" s="18"/>
      <c r="F265" s="24"/>
      <c r="G265" s="25"/>
      <c r="H265" s="25" t="s">
        <v>3137</v>
      </c>
      <c r="I265" s="634"/>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2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2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25">
      <c r="A268" s="7"/>
      <c r="B268" s="8"/>
      <c r="C268" s="18"/>
      <c r="D268" s="18"/>
      <c r="E268" s="18"/>
      <c r="F268" s="24"/>
      <c r="G268" s="551" t="s">
        <v>3158</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25">
      <c r="A269" s="7"/>
      <c r="B269" s="8"/>
      <c r="C269" s="18"/>
      <c r="D269" s="18"/>
      <c r="E269" s="18"/>
      <c r="F269" s="24"/>
      <c r="H269" s="507" t="s">
        <v>3159</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25">
      <c r="A270" s="7"/>
      <c r="B270" s="8"/>
      <c r="C270" s="18"/>
      <c r="D270" s="18"/>
      <c r="E270" s="18"/>
      <c r="F270" s="24"/>
      <c r="H270" s="507"/>
      <c r="I270" s="495" t="s">
        <v>3160</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25">
      <c r="A271" s="7"/>
      <c r="B271" s="8"/>
      <c r="C271" s="18"/>
      <c r="D271" s="18"/>
      <c r="E271" s="18"/>
      <c r="F271" s="24"/>
      <c r="H271" s="507"/>
      <c r="I271" s="495" t="s">
        <v>3161</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25">
      <c r="A272" s="7"/>
      <c r="B272" s="8"/>
      <c r="C272" s="18"/>
      <c r="D272" s="18"/>
      <c r="E272" s="18"/>
      <c r="F272" s="24"/>
      <c r="H272" s="507"/>
      <c r="I272" s="495" t="s">
        <v>3162</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2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25">
      <c r="A274" s="7"/>
      <c r="B274" s="8"/>
      <c r="C274" s="18"/>
      <c r="D274" s="18"/>
      <c r="E274" s="18"/>
      <c r="F274" s="24"/>
      <c r="H274" s="507" t="s">
        <v>3163</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25">
      <c r="A275" s="7"/>
      <c r="B275" s="8"/>
      <c r="C275" s="18"/>
      <c r="D275" s="18"/>
      <c r="E275" s="18"/>
      <c r="F275" s="24"/>
      <c r="I275" s="495" t="s">
        <v>2784</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25">
      <c r="A276" s="7"/>
      <c r="B276" s="8"/>
      <c r="C276" s="18"/>
      <c r="D276" s="18"/>
      <c r="E276" s="18"/>
      <c r="F276" s="24"/>
      <c r="G276" s="507"/>
      <c r="H276" s="507"/>
      <c r="I276" s="495" t="s">
        <v>2785</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25">
      <c r="A277" s="7"/>
      <c r="B277" s="8"/>
      <c r="C277" s="18"/>
      <c r="D277" s="18"/>
      <c r="E277" s="18"/>
      <c r="F277" s="24"/>
      <c r="H277" s="507"/>
      <c r="I277" s="495" t="s">
        <v>2786</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25">
      <c r="A278" s="7"/>
      <c r="B278" s="8"/>
      <c r="C278" s="18"/>
      <c r="D278" s="18"/>
      <c r="E278" s="18"/>
      <c r="F278" s="24"/>
      <c r="G278" s="507"/>
      <c r="H278" s="507"/>
      <c r="I278" s="495" t="s">
        <v>2787</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2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25">
      <c r="A280" s="7"/>
      <c r="B280" s="8"/>
      <c r="C280" s="18"/>
      <c r="D280" s="18"/>
      <c r="E280" s="18"/>
      <c r="F280" s="24"/>
      <c r="G280" s="574" t="s">
        <v>3164</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25">
      <c r="A281" s="7"/>
      <c r="B281" s="8"/>
      <c r="C281" s="18"/>
      <c r="D281" s="18"/>
      <c r="E281" s="18"/>
      <c r="F281" s="24"/>
      <c r="G281" s="507"/>
      <c r="H281" s="507" t="s">
        <v>3165</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2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25">
      <c r="A283" s="7"/>
      <c r="B283" s="8"/>
      <c r="C283" s="18"/>
      <c r="D283" s="18"/>
      <c r="E283" s="18"/>
      <c r="F283" s="24"/>
      <c r="G283" s="507"/>
      <c r="H283" s="507" t="s">
        <v>3166</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2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2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2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25">
      <c r="A287" s="7"/>
      <c r="B287" s="8"/>
      <c r="C287" s="18"/>
      <c r="D287" s="18"/>
      <c r="E287" s="18"/>
      <c r="F287" s="24"/>
      <c r="G287" s="574" t="s">
        <v>3167</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25">
      <c r="A288" s="7"/>
      <c r="B288" s="8"/>
      <c r="C288" s="18"/>
      <c r="D288" s="18"/>
      <c r="E288" s="18"/>
      <c r="F288" s="24"/>
      <c r="G288" s="507"/>
      <c r="H288" s="507" t="s">
        <v>3168</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25">
      <c r="A289" s="7"/>
      <c r="B289" s="8"/>
      <c r="C289" s="18"/>
      <c r="D289" s="18"/>
      <c r="E289" s="18"/>
      <c r="F289" s="24"/>
      <c r="G289" s="507"/>
      <c r="H289" s="507" t="s">
        <v>3169</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25">
      <c r="A290" s="7"/>
      <c r="B290" s="8"/>
      <c r="C290" s="18"/>
      <c r="D290" s="18"/>
      <c r="E290" s="18"/>
      <c r="F290" s="24"/>
      <c r="G290" s="507"/>
      <c r="H290" s="507" t="s">
        <v>3170</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25">
      <c r="A291" s="7"/>
      <c r="B291" s="8"/>
      <c r="C291" s="18"/>
      <c r="D291" s="18"/>
      <c r="E291" s="18"/>
      <c r="F291" s="24"/>
      <c r="G291" s="507"/>
      <c r="H291" s="507" t="s">
        <v>3171</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25">
      <c r="A292" s="7"/>
      <c r="B292" s="8"/>
      <c r="C292" s="18"/>
      <c r="D292" s="18"/>
      <c r="E292" s="18"/>
      <c r="F292" s="24"/>
      <c r="G292" s="507"/>
      <c r="H292" s="507" t="s">
        <v>3172</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2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2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25">
      <c r="A295" s="7"/>
      <c r="B295" s="8"/>
      <c r="C295" s="18"/>
      <c r="D295" s="18"/>
      <c r="E295" s="18"/>
      <c r="F295" s="24"/>
      <c r="G295" s="551" t="s">
        <v>3173</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25">
      <c r="A296" s="7"/>
      <c r="B296" s="8"/>
      <c r="C296" s="18"/>
      <c r="D296" s="18"/>
      <c r="E296" s="18"/>
      <c r="F296" s="24"/>
      <c r="G296" s="25"/>
      <c r="H296" s="28" t="s">
        <v>2352</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3174</v>
      </c>
      <c r="AR296" s="9"/>
    </row>
    <row r="297" spans="1:44" customFormat="1" ht="12" customHeight="1" outlineLevel="1" x14ac:dyDescent="0.25">
      <c r="A297" s="7"/>
      <c r="B297" s="8"/>
      <c r="C297" s="18"/>
      <c r="D297" s="18"/>
      <c r="E297" s="18"/>
      <c r="F297" s="24"/>
      <c r="G297" s="25"/>
      <c r="H297" s="41" t="s">
        <v>3175</v>
      </c>
      <c r="I297" s="580" t="s">
        <v>3176</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25">
      <c r="A298" s="7"/>
      <c r="B298" s="8"/>
      <c r="C298" s="18"/>
      <c r="D298" s="18"/>
      <c r="E298" s="18"/>
      <c r="F298" s="24"/>
      <c r="G298" s="25"/>
      <c r="H298" s="28"/>
      <c r="I298" s="580" t="s">
        <v>3177</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25">
      <c r="A299" s="7"/>
      <c r="B299" s="8"/>
      <c r="C299" s="18"/>
      <c r="D299" s="18"/>
      <c r="E299" s="18"/>
      <c r="F299" s="24"/>
      <c r="G299" s="25"/>
      <c r="H299" s="28"/>
      <c r="I299" s="580" t="s">
        <v>3178</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25">
      <c r="A300" s="7"/>
      <c r="B300" s="8"/>
      <c r="C300" s="18"/>
      <c r="D300" s="18"/>
      <c r="E300" s="18"/>
      <c r="F300" s="24"/>
      <c r="G300" s="25"/>
      <c r="H300" s="28"/>
      <c r="I300" s="580" t="s">
        <v>3179</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25">
      <c r="A301" s="7"/>
      <c r="B301" s="8"/>
      <c r="C301" s="18"/>
      <c r="D301" s="18"/>
      <c r="E301" s="18"/>
      <c r="F301" s="24"/>
      <c r="G301" s="25"/>
      <c r="H301" s="28"/>
      <c r="I301" s="580" t="s">
        <v>3180</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25">
      <c r="A302" s="7"/>
      <c r="B302" s="8"/>
      <c r="C302" s="18"/>
      <c r="D302" s="18"/>
      <c r="E302" s="18"/>
      <c r="F302" s="24"/>
      <c r="G302" s="25"/>
      <c r="H302" s="28"/>
      <c r="I302" s="580" t="s">
        <v>3181</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25">
      <c r="A303" s="7"/>
      <c r="B303" s="8"/>
      <c r="C303" s="18"/>
      <c r="D303" s="18"/>
      <c r="E303" s="18"/>
      <c r="F303" s="24"/>
      <c r="G303" s="25"/>
      <c r="H303" s="28"/>
      <c r="I303" s="580" t="s">
        <v>3182</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25">
      <c r="A304" s="7"/>
      <c r="B304" s="8"/>
      <c r="C304" s="18"/>
      <c r="D304" s="18"/>
      <c r="E304" s="18"/>
      <c r="F304" s="24"/>
      <c r="G304" s="25"/>
      <c r="H304" s="28"/>
      <c r="I304" s="580" t="s">
        <v>3183</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25">
      <c r="A305" s="7"/>
      <c r="B305" s="8"/>
      <c r="C305" s="18"/>
      <c r="D305" s="18"/>
      <c r="E305" s="18"/>
      <c r="F305" s="24"/>
      <c r="G305" s="25"/>
      <c r="H305" s="28"/>
      <c r="I305" s="580" t="s">
        <v>3184</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25">
      <c r="A306" s="7"/>
      <c r="B306" s="8"/>
      <c r="C306" s="18"/>
      <c r="D306" s="18"/>
      <c r="E306" s="18"/>
      <c r="F306" s="24"/>
      <c r="G306" s="25"/>
      <c r="H306" s="28"/>
      <c r="I306" s="580" t="s">
        <v>3185</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25">
      <c r="A307" s="7"/>
      <c r="B307" s="8"/>
      <c r="C307" s="18"/>
      <c r="D307" s="18"/>
      <c r="E307" s="18"/>
      <c r="F307" s="24"/>
      <c r="G307" s="25"/>
      <c r="H307" s="28"/>
      <c r="I307" s="580" t="s">
        <v>3186</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25">
      <c r="A308" s="7"/>
      <c r="B308" s="8"/>
      <c r="C308" s="18"/>
      <c r="D308" s="18"/>
      <c r="E308" s="18"/>
      <c r="F308" s="24"/>
      <c r="G308" s="25"/>
      <c r="H308" s="28"/>
      <c r="I308" s="580" t="s">
        <v>3187</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25">
      <c r="A309" s="7"/>
      <c r="B309" s="8"/>
      <c r="C309" s="18"/>
      <c r="D309" s="18"/>
      <c r="E309" s="18"/>
      <c r="F309" s="24"/>
      <c r="G309" s="25"/>
      <c r="H309" s="28"/>
      <c r="I309" s="580" t="s">
        <v>3188</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25">
      <c r="A310" s="7"/>
      <c r="B310" s="8"/>
      <c r="C310" s="18"/>
      <c r="D310" s="18"/>
      <c r="E310" s="18"/>
      <c r="F310" s="24"/>
      <c r="G310" s="25"/>
      <c r="H310" s="28"/>
      <c r="I310" s="580" t="s">
        <v>3189</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25">
      <c r="A311" s="7"/>
      <c r="B311" s="8"/>
      <c r="C311" s="18"/>
      <c r="D311" s="18"/>
      <c r="E311" s="18"/>
      <c r="F311" s="24"/>
      <c r="G311" s="25"/>
      <c r="H311" s="28"/>
      <c r="I311" s="580" t="s">
        <v>3190</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25">
      <c r="A312" s="7"/>
      <c r="B312" s="8"/>
      <c r="C312" s="18"/>
      <c r="D312" s="18"/>
      <c r="E312" s="18"/>
      <c r="F312" s="24"/>
      <c r="G312" s="25"/>
      <c r="H312" s="28"/>
      <c r="I312" s="580" t="s">
        <v>3191</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25">
      <c r="A313" s="7"/>
      <c r="B313" s="8"/>
      <c r="C313" s="18"/>
      <c r="D313" s="18"/>
      <c r="E313" s="18"/>
      <c r="F313" s="24"/>
      <c r="G313" s="25"/>
      <c r="H313" s="28"/>
      <c r="I313" s="580" t="s">
        <v>3192</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25">
      <c r="A314" s="7"/>
      <c r="B314" s="8"/>
      <c r="C314" s="18"/>
      <c r="D314" s="18"/>
      <c r="E314" s="18"/>
      <c r="F314" s="24"/>
      <c r="G314" s="25"/>
      <c r="H314" s="28"/>
      <c r="I314" s="580" t="s">
        <v>3193</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25">
      <c r="A315" s="7"/>
      <c r="B315" s="8"/>
      <c r="C315" s="18"/>
      <c r="D315" s="18"/>
      <c r="E315" s="18"/>
      <c r="F315" s="24"/>
      <c r="G315" s="25"/>
      <c r="H315" s="28"/>
      <c r="I315" s="580" t="s">
        <v>3194</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25">
      <c r="A316" s="7"/>
      <c r="B316" s="8"/>
      <c r="C316" s="18"/>
      <c r="D316" s="18"/>
      <c r="E316" s="18"/>
      <c r="F316" s="24"/>
      <c r="G316" s="25"/>
      <c r="H316" s="28"/>
      <c r="I316" s="580" t="s">
        <v>3195</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2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2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2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25">
      <c r="A320" s="7"/>
      <c r="B320" s="8"/>
      <c r="C320" s="18"/>
      <c r="D320" s="18"/>
      <c r="E320" s="18"/>
      <c r="F320" s="24"/>
      <c r="G320" s="551" t="s">
        <v>3196</v>
      </c>
      <c r="H320" s="28"/>
      <c r="I320" s="583" t="s">
        <v>3197</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25">
      <c r="A321" s="7"/>
      <c r="B321" s="8"/>
      <c r="C321" s="18"/>
      <c r="D321" s="18"/>
      <c r="E321" s="18"/>
      <c r="F321" s="24"/>
      <c r="G321" s="551"/>
      <c r="H321" s="28"/>
      <c r="I321" s="585" t="s">
        <v>2298</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2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25">
      <c r="A323" s="7"/>
      <c r="B323" s="8"/>
      <c r="C323" s="18"/>
      <c r="D323" s="18"/>
      <c r="E323" s="18"/>
      <c r="F323" s="24"/>
      <c r="G323" s="551"/>
      <c r="H323" s="28"/>
      <c r="I323" s="585" t="s">
        <v>3050</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2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25">
      <c r="A325" s="7"/>
      <c r="B325" s="8"/>
      <c r="C325" s="18"/>
      <c r="D325" s="18"/>
      <c r="E325" s="18"/>
      <c r="F325" s="24"/>
      <c r="G325" s="588" t="s">
        <v>3198</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25">
      <c r="A326" s="7"/>
      <c r="B326" s="8"/>
      <c r="C326" s="18">
        <v>0</v>
      </c>
      <c r="D326" s="18"/>
      <c r="E326" s="18"/>
      <c r="F326" s="24"/>
      <c r="G326" s="551"/>
      <c r="H326" s="25" t="s">
        <v>2305</v>
      </c>
      <c r="I326" s="514" t="str">
        <f>General!G65</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25">
      <c r="A327" s="7"/>
      <c r="B327" s="8"/>
      <c r="C327" s="18"/>
      <c r="D327" s="18"/>
      <c r="E327" s="18"/>
      <c r="F327" s="24"/>
      <c r="G327" s="551"/>
      <c r="H327" s="25"/>
      <c r="I327" s="514" t="str">
        <f>General!G66</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51"/>
      <c r="H328" s="25"/>
      <c r="I328" s="514" t="str">
        <f>General!G67</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25">
      <c r="A329" s="7"/>
      <c r="B329" s="8"/>
      <c r="C329" s="18"/>
      <c r="D329" s="18"/>
      <c r="E329" s="18"/>
      <c r="F329" s="24"/>
      <c r="G329" s="551"/>
      <c r="H329" s="25"/>
      <c r="I329" s="514" t="str">
        <f>General!G68</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25">
      <c r="A330" s="7"/>
      <c r="B330" s="8"/>
      <c r="C330" s="18"/>
      <c r="D330" s="18"/>
      <c r="E330" s="18"/>
      <c r="F330" s="24"/>
      <c r="G330" s="551"/>
      <c r="H330" s="25"/>
      <c r="I330" s="514" t="str">
        <f>General!G69</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25">
      <c r="A331" s="7"/>
      <c r="B331" s="8"/>
      <c r="C331" s="18"/>
      <c r="D331" s="18"/>
      <c r="E331" s="18"/>
      <c r="F331" s="24"/>
      <c r="G331" s="551"/>
      <c r="H331" s="25"/>
      <c r="I331" s="514" t="str">
        <f>General!G70</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25">
      <c r="A332" s="7"/>
      <c r="B332" s="8"/>
      <c r="C332" s="18"/>
      <c r="D332" s="18"/>
      <c r="E332" s="18"/>
      <c r="F332" s="24"/>
      <c r="G332" s="551"/>
      <c r="H332" s="25"/>
      <c r="I332" s="514" t="str">
        <f>General!G71</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25">
      <c r="A333" s="7"/>
      <c r="B333" s="8"/>
      <c r="C333" s="18"/>
      <c r="D333" s="18"/>
      <c r="E333" s="18"/>
      <c r="F333" s="24"/>
      <c r="G333" s="551"/>
      <c r="H333" s="25"/>
      <c r="I333" s="514" t="str">
        <f>General!G72</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25">
      <c r="A334" s="7"/>
      <c r="B334" s="8"/>
      <c r="C334" s="18"/>
      <c r="D334" s="18"/>
      <c r="E334" s="18"/>
      <c r="F334" s="24"/>
      <c r="G334" s="551"/>
      <c r="H334" s="25"/>
      <c r="I334" s="514" t="str">
        <f>General!G73</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25">
      <c r="A335" s="7"/>
      <c r="B335" s="8"/>
      <c r="C335" s="18"/>
      <c r="D335" s="18"/>
      <c r="E335" s="18"/>
      <c r="F335" s="24"/>
      <c r="G335" s="551"/>
      <c r="H335" s="25"/>
      <c r="I335" s="514" t="str">
        <f>General!G74</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25">
      <c r="A336" s="7"/>
      <c r="B336" s="8"/>
      <c r="C336" s="18"/>
      <c r="D336" s="18"/>
      <c r="E336" s="18"/>
      <c r="F336" s="24"/>
      <c r="G336" s="551"/>
      <c r="H336" s="25"/>
      <c r="I336" s="514" t="str">
        <f>General!G75</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25">
      <c r="A337" s="7"/>
      <c r="B337" s="8"/>
      <c r="C337" s="18"/>
      <c r="D337" s="18"/>
      <c r="E337" s="18"/>
      <c r="F337" s="24"/>
      <c r="G337" s="551"/>
      <c r="H337" s="25"/>
      <c r="I337" s="514" t="str">
        <f>General!G76</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25">
      <c r="A338" s="7"/>
      <c r="B338" s="8"/>
      <c r="C338" s="18"/>
      <c r="D338" s="18"/>
      <c r="E338" s="18"/>
      <c r="F338" s="24"/>
      <c r="G338" s="551"/>
      <c r="H338" s="25"/>
      <c r="I338" s="514" t="str">
        <f>General!G77</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25">
      <c r="A339" s="7"/>
      <c r="B339" s="8"/>
      <c r="C339" s="18"/>
      <c r="D339" s="18"/>
      <c r="E339" s="18"/>
      <c r="F339" s="24"/>
      <c r="G339" s="551"/>
      <c r="H339" s="25"/>
      <c r="I339" s="514" t="str">
        <f>General!G78</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25">
      <c r="A340" s="7"/>
      <c r="B340" s="8"/>
      <c r="C340" s="18"/>
      <c r="D340" s="18"/>
      <c r="E340" s="18"/>
      <c r="F340" s="24"/>
      <c r="G340" s="551"/>
      <c r="H340" s="25"/>
      <c r="I340" s="514" t="str">
        <f>General!G79</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25">
      <c r="A341" s="7"/>
      <c r="B341" s="8"/>
      <c r="C341" s="18"/>
      <c r="D341" s="18"/>
      <c r="E341" s="18"/>
      <c r="F341" s="24"/>
      <c r="G341" s="551"/>
      <c r="H341" s="25"/>
      <c r="I341" s="514" t="str">
        <f>General!G80</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25">
      <c r="A342" s="7"/>
      <c r="B342" s="8"/>
      <c r="C342" s="18"/>
      <c r="D342" s="18"/>
      <c r="E342" s="18"/>
      <c r="F342" s="24"/>
      <c r="G342" s="551"/>
      <c r="H342" s="25"/>
      <c r="I342" s="514" t="str">
        <f>General!G81</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25">
      <c r="A343" s="7"/>
      <c r="B343" s="8"/>
      <c r="C343" s="18"/>
      <c r="D343" s="18"/>
      <c r="E343" s="18"/>
      <c r="F343" s="24"/>
      <c r="G343" s="551"/>
      <c r="H343" s="24"/>
      <c r="I343" s="514" t="str">
        <f>General!G82</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25">
      <c r="A344" s="7"/>
      <c r="B344" s="8"/>
      <c r="C344" s="18"/>
      <c r="D344" s="18"/>
      <c r="E344" s="18"/>
      <c r="F344" s="24"/>
      <c r="G344" s="551"/>
      <c r="H344" s="24"/>
      <c r="I344" s="514" t="str">
        <f>General!G83</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25">
      <c r="A345" s="7"/>
      <c r="B345" s="8"/>
      <c r="C345" s="18">
        <v>1</v>
      </c>
      <c r="D345" s="18"/>
      <c r="E345" s="18"/>
      <c r="F345" s="24"/>
      <c r="G345" s="551"/>
      <c r="H345" s="25" t="s">
        <v>2307</v>
      </c>
      <c r="I345" s="514" t="str">
        <f>General!G65</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25">
      <c r="A346" s="7"/>
      <c r="B346" s="8"/>
      <c r="C346" s="18"/>
      <c r="D346" s="18"/>
      <c r="E346" s="18"/>
      <c r="F346" s="24"/>
      <c r="G346" s="551"/>
      <c r="H346" s="25"/>
      <c r="I346" s="514" t="str">
        <f>General!G66</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25">
      <c r="A347" s="7"/>
      <c r="B347" s="8"/>
      <c r="C347" s="18"/>
      <c r="D347" s="18"/>
      <c r="E347" s="18"/>
      <c r="F347" s="24"/>
      <c r="G347" s="551"/>
      <c r="H347" s="25"/>
      <c r="I347" s="514" t="str">
        <f>General!G67</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25">
      <c r="A348" s="7"/>
      <c r="B348" s="8"/>
      <c r="C348" s="18"/>
      <c r="D348" s="18"/>
      <c r="E348" s="18"/>
      <c r="F348" s="24"/>
      <c r="G348" s="551"/>
      <c r="H348" s="25"/>
      <c r="I348" s="514" t="str">
        <f>General!G68</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25">
      <c r="A349" s="7"/>
      <c r="B349" s="8"/>
      <c r="C349" s="18"/>
      <c r="D349" s="18"/>
      <c r="E349" s="18"/>
      <c r="F349" s="24"/>
      <c r="G349" s="551"/>
      <c r="H349" s="25"/>
      <c r="I349" s="514" t="str">
        <f>General!G69</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25">
      <c r="A350" s="7"/>
      <c r="B350" s="8"/>
      <c r="C350" s="18"/>
      <c r="D350" s="18"/>
      <c r="E350" s="18"/>
      <c r="F350" s="24"/>
      <c r="G350" s="551"/>
      <c r="H350" s="25"/>
      <c r="I350" s="514" t="str">
        <f>General!G70</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25">
      <c r="A351" s="7"/>
      <c r="B351" s="8"/>
      <c r="C351" s="18"/>
      <c r="D351" s="18"/>
      <c r="E351" s="18"/>
      <c r="F351" s="24"/>
      <c r="G351" s="551"/>
      <c r="H351" s="25"/>
      <c r="I351" s="514" t="str">
        <f>General!G71</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25">
      <c r="A352" s="7"/>
      <c r="B352" s="8"/>
      <c r="C352" s="18"/>
      <c r="D352" s="18"/>
      <c r="E352" s="18"/>
      <c r="F352" s="24"/>
      <c r="G352" s="551"/>
      <c r="H352" s="25"/>
      <c r="I352" s="514" t="str">
        <f>General!G72</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25">
      <c r="A353" s="7"/>
      <c r="B353" s="8"/>
      <c r="C353" s="18"/>
      <c r="D353" s="18"/>
      <c r="E353" s="18"/>
      <c r="F353" s="24"/>
      <c r="G353" s="551"/>
      <c r="H353" s="25"/>
      <c r="I353" s="514" t="str">
        <f>General!G73</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25">
      <c r="A354" s="7"/>
      <c r="B354" s="8"/>
      <c r="C354" s="18"/>
      <c r="D354" s="18"/>
      <c r="E354" s="18"/>
      <c r="F354" s="24"/>
      <c r="G354" s="551"/>
      <c r="H354" s="589"/>
      <c r="I354" s="514" t="str">
        <f>General!G74</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25">
      <c r="A355" s="7"/>
      <c r="B355" s="8"/>
      <c r="C355" s="18"/>
      <c r="D355" s="18"/>
      <c r="E355" s="18"/>
      <c r="F355" s="24"/>
      <c r="G355" s="551"/>
      <c r="H355" s="25"/>
      <c r="I355" s="514" t="str">
        <f>General!G75</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25">
      <c r="A356" s="7"/>
      <c r="B356" s="8"/>
      <c r="C356" s="18"/>
      <c r="D356" s="18"/>
      <c r="E356" s="18"/>
      <c r="F356" s="24"/>
      <c r="G356" s="551"/>
      <c r="H356" s="25"/>
      <c r="I356" s="514" t="str">
        <f>General!G76</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25">
      <c r="A357" s="7"/>
      <c r="B357" s="8"/>
      <c r="C357" s="18"/>
      <c r="D357" s="18"/>
      <c r="E357" s="18"/>
      <c r="F357" s="24"/>
      <c r="G357" s="551"/>
      <c r="H357" s="25"/>
      <c r="I357" s="514" t="str">
        <f>General!G77</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25">
      <c r="A358" s="7"/>
      <c r="B358" s="8"/>
      <c r="C358" s="18"/>
      <c r="D358" s="18"/>
      <c r="E358" s="18"/>
      <c r="F358" s="24"/>
      <c r="G358" s="551"/>
      <c r="H358" s="25"/>
      <c r="I358" s="514" t="str">
        <f>General!G78</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25">
      <c r="A359" s="7"/>
      <c r="B359" s="8"/>
      <c r="C359" s="18"/>
      <c r="D359" s="18"/>
      <c r="E359" s="18"/>
      <c r="F359" s="24"/>
      <c r="G359" s="551"/>
      <c r="H359" s="25"/>
      <c r="I359" s="514" t="str">
        <f>General!G79</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25">
      <c r="A360" s="7"/>
      <c r="B360" s="8"/>
      <c r="C360" s="18"/>
      <c r="D360" s="18"/>
      <c r="E360" s="18"/>
      <c r="F360" s="24"/>
      <c r="G360" s="551"/>
      <c r="H360" s="25"/>
      <c r="I360" s="514" t="str">
        <f>General!G80</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25">
      <c r="A361" s="7"/>
      <c r="B361" s="8"/>
      <c r="C361" s="18"/>
      <c r="D361" s="18"/>
      <c r="E361" s="18"/>
      <c r="F361" s="24"/>
      <c r="G361" s="551"/>
      <c r="H361" s="25"/>
      <c r="I361" s="514" t="str">
        <f>General!G81</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25">
      <c r="A362" s="7"/>
      <c r="B362" s="8"/>
      <c r="C362" s="18"/>
      <c r="D362" s="18"/>
      <c r="E362" s="18"/>
      <c r="F362" s="24"/>
      <c r="G362" s="551"/>
      <c r="H362" s="24"/>
      <c r="I362" s="514" t="str">
        <f>General!G82</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25">
      <c r="A363" s="7"/>
      <c r="B363" s="8"/>
      <c r="C363" s="18"/>
      <c r="D363" s="18"/>
      <c r="E363" s="18"/>
      <c r="F363" s="24"/>
      <c r="G363" s="551"/>
      <c r="H363" s="24"/>
      <c r="I363" s="514" t="str">
        <f>General!G83</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25">
      <c r="A364" s="7"/>
      <c r="B364" s="8"/>
      <c r="C364" s="18">
        <v>2</v>
      </c>
      <c r="D364" s="18"/>
      <c r="E364" s="18"/>
      <c r="F364" s="24"/>
      <c r="G364" s="551"/>
      <c r="H364" s="25" t="s">
        <v>2306</v>
      </c>
      <c r="I364" s="514" t="str">
        <f>General!G65</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25">
      <c r="A365" s="7"/>
      <c r="B365" s="8"/>
      <c r="C365" s="18"/>
      <c r="D365" s="18"/>
      <c r="E365" s="18"/>
      <c r="F365" s="24"/>
      <c r="G365" s="551"/>
      <c r="H365" s="25"/>
      <c r="I365" s="514" t="str">
        <f>General!G66</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25">
      <c r="A366" s="7"/>
      <c r="B366" s="8"/>
      <c r="C366" s="18"/>
      <c r="D366" s="18"/>
      <c r="E366" s="18"/>
      <c r="F366" s="24"/>
      <c r="G366" s="551"/>
      <c r="H366" s="25"/>
      <c r="I366" s="514" t="str">
        <f>General!G67</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25">
      <c r="A367" s="7"/>
      <c r="B367" s="8"/>
      <c r="C367" s="18"/>
      <c r="D367" s="18"/>
      <c r="E367" s="18"/>
      <c r="F367" s="24"/>
      <c r="G367" s="551"/>
      <c r="H367" s="25"/>
      <c r="I367" s="514" t="str">
        <f>General!G68</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25">
      <c r="A368" s="7"/>
      <c r="B368" s="8"/>
      <c r="C368" s="18"/>
      <c r="D368" s="18"/>
      <c r="E368" s="18"/>
      <c r="F368" s="24"/>
      <c r="G368" s="551"/>
      <c r="H368" s="25"/>
      <c r="I368" s="514" t="str">
        <f>General!G69</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25">
      <c r="A369" s="7"/>
      <c r="B369" s="8"/>
      <c r="C369" s="18"/>
      <c r="D369" s="18"/>
      <c r="E369" s="18"/>
      <c r="F369" s="24"/>
      <c r="G369" s="551"/>
      <c r="H369" s="25"/>
      <c r="I369" s="514" t="str">
        <f>General!G70</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25">
      <c r="A370" s="7"/>
      <c r="B370" s="8"/>
      <c r="C370" s="18"/>
      <c r="D370" s="18"/>
      <c r="E370" s="18"/>
      <c r="F370" s="24"/>
      <c r="G370" s="551"/>
      <c r="H370" s="25"/>
      <c r="I370" s="514" t="str">
        <f>General!G71</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25">
      <c r="A371" s="7"/>
      <c r="B371" s="8"/>
      <c r="C371" s="18"/>
      <c r="D371" s="18"/>
      <c r="E371" s="18"/>
      <c r="F371" s="24"/>
      <c r="G371" s="551"/>
      <c r="H371" s="25"/>
      <c r="I371" s="514" t="str">
        <f>General!G72</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25">
      <c r="A372" s="7"/>
      <c r="B372" s="8"/>
      <c r="C372" s="18"/>
      <c r="D372" s="18"/>
      <c r="E372" s="18"/>
      <c r="F372" s="24"/>
      <c r="G372" s="551"/>
      <c r="H372" s="25"/>
      <c r="I372" s="514" t="str">
        <f>General!G73</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25">
      <c r="A373" s="7"/>
      <c r="B373" s="8"/>
      <c r="C373" s="18"/>
      <c r="D373" s="18"/>
      <c r="E373" s="18"/>
      <c r="F373" s="24"/>
      <c r="G373" s="551"/>
      <c r="H373" s="25"/>
      <c r="I373" s="514" t="str">
        <f>General!G74</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25">
      <c r="A374" s="7"/>
      <c r="B374" s="8"/>
      <c r="C374" s="18"/>
      <c r="D374" s="18"/>
      <c r="E374" s="18"/>
      <c r="F374" s="24"/>
      <c r="G374" s="551"/>
      <c r="H374" s="25"/>
      <c r="I374" s="514" t="str">
        <f>General!G75</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25">
      <c r="A375" s="7"/>
      <c r="B375" s="8"/>
      <c r="C375" s="18"/>
      <c r="D375" s="18"/>
      <c r="E375" s="18"/>
      <c r="F375" s="24"/>
      <c r="G375" s="551"/>
      <c r="H375" s="25"/>
      <c r="I375" s="514" t="str">
        <f>General!G76</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25">
      <c r="A376" s="7"/>
      <c r="B376" s="8"/>
      <c r="C376" s="18"/>
      <c r="D376" s="18"/>
      <c r="E376" s="18"/>
      <c r="F376" s="24"/>
      <c r="G376" s="551"/>
      <c r="H376" s="25"/>
      <c r="I376" s="514" t="str">
        <f>General!G77</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25">
      <c r="A377" s="7"/>
      <c r="B377" s="8"/>
      <c r="C377" s="18"/>
      <c r="D377" s="18"/>
      <c r="E377" s="18"/>
      <c r="F377" s="24"/>
      <c r="G377" s="551"/>
      <c r="H377" s="25"/>
      <c r="I377" s="514" t="str">
        <f>General!G78</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25">
      <c r="A378" s="7"/>
      <c r="B378" s="8"/>
      <c r="C378" s="18"/>
      <c r="D378" s="18"/>
      <c r="E378" s="18"/>
      <c r="F378" s="24"/>
      <c r="G378" s="551"/>
      <c r="H378" s="25"/>
      <c r="I378" s="514" t="str">
        <f>General!G79</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25">
      <c r="A379" s="7"/>
      <c r="B379" s="8"/>
      <c r="C379" s="18"/>
      <c r="D379" s="18"/>
      <c r="E379" s="18"/>
      <c r="F379" s="24"/>
      <c r="G379" s="551"/>
      <c r="H379" s="25"/>
      <c r="I379" s="514" t="str">
        <f>General!G80</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25">
      <c r="A380" s="7"/>
      <c r="B380" s="8"/>
      <c r="C380" s="18"/>
      <c r="D380" s="18"/>
      <c r="E380" s="18"/>
      <c r="F380" s="24"/>
      <c r="G380" s="551"/>
      <c r="H380" s="25"/>
      <c r="I380" s="514" t="str">
        <f>General!G81</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25">
      <c r="A381" s="7"/>
      <c r="B381" s="8"/>
      <c r="C381" s="18"/>
      <c r="D381" s="18"/>
      <c r="E381" s="18"/>
      <c r="F381" s="24"/>
      <c r="G381" s="551"/>
      <c r="H381" s="24"/>
      <c r="I381" s="514" t="str">
        <f>General!G82</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25">
      <c r="A382" s="7"/>
      <c r="B382" s="8"/>
      <c r="C382" s="18"/>
      <c r="D382" s="18"/>
      <c r="E382" s="18"/>
      <c r="F382" s="24"/>
      <c r="G382" s="551"/>
      <c r="H382" s="24"/>
      <c r="I382" s="514" t="str">
        <f>General!G83</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2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41" t="s">
        <v>2179</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2" t="s">
        <v>2178</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abSelected="1" zoomScale="85" zoomScaleNormal="85" workbookViewId="0">
      <pane ySplit="22" topLeftCell="A399" activePane="bottomLeft" state="frozen"/>
      <selection pane="bottomLeft" activeCell="Q404" sqref="Q404"/>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collapsed="1"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25">
      <c r="A11" s="45"/>
      <c r="B11" s="54"/>
      <c r="C11" s="47">
        <f>INT($C$6)+1.045</f>
        <v>2.0449999999999999</v>
      </c>
      <c r="D11" s="73"/>
      <c r="E11" s="70"/>
      <c r="F11" s="70"/>
      <c r="G11" s="73"/>
      <c r="H11" s="76" t="s">
        <v>134</v>
      </c>
      <c r="I11" s="279">
        <v>45930.900759259297</v>
      </c>
      <c r="J11" s="645" t="s">
        <v>3511</v>
      </c>
      <c r="K11" s="641"/>
      <c r="L11" s="641"/>
      <c r="M11" s="641"/>
      <c r="N11" s="641"/>
      <c r="O11" s="641"/>
      <c r="P11" s="641"/>
      <c r="Q11" s="641"/>
      <c r="R11" s="641"/>
      <c r="S11" s="641"/>
      <c r="T11" s="641"/>
      <c r="U11" s="641"/>
      <c r="V11" s="641"/>
      <c r="W11" s="641"/>
      <c r="X11" s="641"/>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25">
      <c r="A12" s="45"/>
      <c r="B12" s="54"/>
      <c r="C12" s="47">
        <f>INT($C$6)+1.045</f>
        <v>2.0449999999999999</v>
      </c>
      <c r="D12" s="73"/>
      <c r="E12" s="70"/>
      <c r="F12" s="70"/>
      <c r="G12" s="73"/>
      <c r="H12" s="76" t="s">
        <v>135</v>
      </c>
      <c r="I12" s="271">
        <v>45931.428264120397</v>
      </c>
      <c r="J12" s="642" t="s">
        <v>3512</v>
      </c>
      <c r="K12" s="643"/>
      <c r="L12" s="643"/>
      <c r="M12" s="643"/>
      <c r="N12" s="643"/>
      <c r="O12" s="643"/>
      <c r="P12" s="643"/>
      <c r="Q12" s="643"/>
      <c r="R12" s="643"/>
      <c r="S12" s="643"/>
      <c r="T12" s="643"/>
      <c r="U12" s="643"/>
      <c r="V12" s="643"/>
      <c r="W12" s="643"/>
      <c r="X12" s="644"/>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hidden="1"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0999999999999996" customHeight="1" outlineLevel="1" collapsed="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hidden="1"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00000000000001" customHeight="1" outlineLevel="1" collapsed="1" x14ac:dyDescent="0.2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0999999999999996" hidden="1"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hidden="1"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hidden="1"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hidden="1"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hidden="1"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45" hidden="1" customHeight="1" outlineLevel="2" collapsed="1"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hidden="1"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hidden="1"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collapsed="1" x14ac:dyDescent="0.2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0999999999999996" hidden="1"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collapsed="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0999999999999996" hidden="1"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hidden="1" outlineLevel="2" x14ac:dyDescent="0.25">
      <c r="A44" s="45"/>
      <c r="B44" s="54"/>
      <c r="C44" s="87">
        <f>INT($C$29)+2</f>
        <v>3</v>
      </c>
      <c r="D44" s="73"/>
      <c r="E44" s="70"/>
      <c r="F44" s="70"/>
      <c r="G44" s="73"/>
      <c r="H44" s="76" t="s">
        <v>2563</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hidden="1"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0999999999999996" hidden="1"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hidden="1" outlineLevel="2" x14ac:dyDescent="0.25">
      <c r="A47" s="45"/>
      <c r="B47" s="54"/>
      <c r="C47" s="87">
        <f>INT($C$29)+2</f>
        <v>3</v>
      </c>
      <c r="D47" s="73"/>
      <c r="E47" s="70"/>
      <c r="F47" s="70"/>
      <c r="G47" s="73"/>
      <c r="H47" s="76"/>
      <c r="I47" s="76"/>
      <c r="J47" s="95" t="s">
        <v>2719</v>
      </c>
      <c r="K47" s="95"/>
      <c r="L47" s="95"/>
      <c r="M47" s="95"/>
      <c r="N47" s="95"/>
      <c r="O47" s="76"/>
      <c r="P47" s="95" t="s">
        <v>2720</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5.5" hidden="1"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3497</v>
      </c>
      <c r="Q48" s="96" t="s">
        <v>3504</v>
      </c>
      <c r="R48" s="96" t="s">
        <v>3498</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hidden="1"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hidden="1"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hidden="1"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hidden="1"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hidden="1"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hidden="1" outlineLevel="2" x14ac:dyDescent="0.2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0999999999999996" hidden="1"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0999999999999996" customHeight="1" collapsed="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hidden="1"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hidden="1"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0999999999999996" customHeight="1" outlineLevel="1" collapsed="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hidden="1"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45" hidden="1" customHeight="1" outlineLevel="2" collapsed="1"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collapsed="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0999999999999996" hidden="1"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hidden="1" outlineLevel="2" x14ac:dyDescent="0.25">
      <c r="A93" s="45"/>
      <c r="B93" s="54"/>
      <c r="C93" s="87">
        <f>INT($C$81)+2</f>
        <v>3</v>
      </c>
      <c r="D93" s="73"/>
      <c r="E93" s="70"/>
      <c r="F93" s="70"/>
      <c r="G93" s="73"/>
      <c r="H93" s="105"/>
      <c r="I93" s="106" t="s">
        <v>2205</v>
      </c>
      <c r="J93" s="107"/>
      <c r="K93" s="76"/>
      <c r="L93" s="76"/>
      <c r="M93" s="107"/>
      <c r="N93" s="106" t="s">
        <v>175</v>
      </c>
      <c r="O93" s="107"/>
      <c r="P93" s="107"/>
      <c r="Q93" s="612" t="s">
        <v>176</v>
      </c>
      <c r="R93" s="611"/>
      <c r="S93" s="611"/>
      <c r="T93" s="611"/>
      <c r="U93" s="611" t="s">
        <v>177</v>
      </c>
      <c r="V93" s="611"/>
      <c r="W93" s="611" t="s">
        <v>178</v>
      </c>
      <c r="X93" s="611"/>
      <c r="Y93" s="106" t="s">
        <v>2693</v>
      </c>
      <c r="Z93" s="107"/>
      <c r="AA93" s="107"/>
      <c r="AB93" s="107"/>
      <c r="AC93" s="107"/>
      <c r="AD93" s="107"/>
      <c r="AE93" s="76"/>
      <c r="AF93" s="76" t="s">
        <v>2692</v>
      </c>
      <c r="AG93" s="76"/>
      <c r="AH93" s="76"/>
      <c r="AI93" s="76"/>
      <c r="AJ93" s="76"/>
      <c r="AK93" s="76"/>
      <c r="AL93" s="76"/>
      <c r="AM93" s="76"/>
      <c r="AN93" s="73"/>
      <c r="AO93" s="57"/>
      <c r="AP93" s="45"/>
      <c r="AQ93" s="45"/>
      <c r="AR93" s="45"/>
      <c r="AS93" s="441"/>
      <c r="AT93" s="441"/>
      <c r="AX93" s="429" t="s">
        <v>2181</v>
      </c>
      <c r="BD93" t="s">
        <v>2234</v>
      </c>
    </row>
    <row r="94" spans="1:65" hidden="1" outlineLevel="2" x14ac:dyDescent="0.25">
      <c r="A94" s="45"/>
      <c r="B94" s="54"/>
      <c r="C94" s="87">
        <f>INT($C$81)+2</f>
        <v>3</v>
      </c>
      <c r="D94" s="73"/>
      <c r="E94" s="70"/>
      <c r="F94" s="70"/>
      <c r="G94" s="73"/>
      <c r="H94" s="76"/>
      <c r="I94" s="95" t="s">
        <v>3282</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3240</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2235</v>
      </c>
    </row>
    <row r="95" spans="1:65" hidden="1" outlineLevel="3" x14ac:dyDescent="0.2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4">AH95</f>
        <v>50</v>
      </c>
      <c r="AZ95">
        <f t="shared" si="4"/>
        <v>70</v>
      </c>
      <c r="BD95" t="s">
        <v>2236</v>
      </c>
      <c r="BE95" s="153">
        <v>50</v>
      </c>
      <c r="BF95">
        <f>IFERROR(MIN(2,MATCH($BE95,i_woolp_mpg_range_w5,1)),1)-1</f>
        <v>1</v>
      </c>
      <c r="BG95" t="s">
        <v>2237</v>
      </c>
      <c r="BH95" s="97">
        <v>50</v>
      </c>
      <c r="BI95">
        <f>IFERROR(MIN(2,MATCH($BH95,i_woolp_fdprem_range_w5,1)),1)-1</f>
        <v>1</v>
      </c>
      <c r="BK95" s="313" t="s">
        <v>2315</v>
      </c>
      <c r="BL95" s="313"/>
      <c r="BM95" s="313"/>
    </row>
    <row r="96" spans="1:65" hidden="1" outlineLevel="3" x14ac:dyDescent="0.25">
      <c r="A96" s="45"/>
      <c r="B96" s="54"/>
      <c r="C96" s="87">
        <f t="shared" si="3"/>
        <v>4</v>
      </c>
      <c r="D96" s="73"/>
      <c r="E96" s="70"/>
      <c r="F96" s="70">
        <f t="shared" ref="F96:F101" si="5">($J99-$J96)/($H99-$H96)</f>
        <v>-3232.0065628113143</v>
      </c>
      <c r="G96" s="73"/>
      <c r="H96" s="79">
        <v>12</v>
      </c>
      <c r="I96" s="604">
        <v>8683.1022294036629</v>
      </c>
      <c r="J96" s="604">
        <v>10165.016407028286</v>
      </c>
      <c r="K96" s="604">
        <v>11506.435536455769</v>
      </c>
      <c r="L96" s="604">
        <v>12777.062587334305</v>
      </c>
      <c r="M96" s="604">
        <v>15594.103265182059</v>
      </c>
      <c r="N96" s="111">
        <f t="shared" ref="N96:W102" si="6">N97</f>
        <v>0</v>
      </c>
      <c r="O96" s="111">
        <f t="shared" si="6"/>
        <v>-1.9178082191780823E-2</v>
      </c>
      <c r="P96" s="111">
        <f t="shared" si="6"/>
        <v>-5.4794520547945202E-2</v>
      </c>
      <c r="Q96" s="608">
        <f t="shared" si="6"/>
        <v>-2.7397260273972601E-2</v>
      </c>
      <c r="R96" s="608">
        <f t="shared" si="6"/>
        <v>-1.0958904109589041E-2</v>
      </c>
      <c r="S96" s="608">
        <f t="shared" si="6"/>
        <v>0</v>
      </c>
      <c r="T96" s="608">
        <f t="shared" si="6"/>
        <v>4.10958904109589E-3</v>
      </c>
      <c r="U96" s="608">
        <f t="shared" si="6"/>
        <v>0</v>
      </c>
      <c r="V96" s="608">
        <f t="shared" si="6"/>
        <v>0</v>
      </c>
      <c r="W96" s="608">
        <f t="shared" si="6"/>
        <v>0</v>
      </c>
      <c r="X96" s="608">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2238</v>
      </c>
      <c r="BD96" s="321" t="s">
        <v>2239</v>
      </c>
      <c r="BE96" s="321" t="s">
        <v>2237</v>
      </c>
      <c r="BF96" s="330" t="s">
        <v>2243</v>
      </c>
      <c r="BG96" s="419" t="s">
        <v>2678</v>
      </c>
      <c r="BK96" s="319" t="s">
        <v>2314</v>
      </c>
      <c r="BL96" s="319" t="s">
        <v>2236</v>
      </c>
      <c r="BM96" s="319" t="s">
        <v>2237</v>
      </c>
    </row>
    <row r="97" spans="1:65" hidden="1" outlineLevel="3" x14ac:dyDescent="0.25">
      <c r="A97" s="45"/>
      <c r="B97" s="54"/>
      <c r="C97" s="87">
        <f t="shared" si="3"/>
        <v>4</v>
      </c>
      <c r="D97" s="73"/>
      <c r="E97" s="70"/>
      <c r="F97" s="70">
        <f t="shared" si="5"/>
        <v>-824.80555555555577</v>
      </c>
      <c r="G97" s="73"/>
      <c r="H97" s="79">
        <v>13.5</v>
      </c>
      <c r="I97" s="604">
        <v>2803</v>
      </c>
      <c r="J97" s="604">
        <v>3100.1750000000002</v>
      </c>
      <c r="K97" s="604">
        <v>5357</v>
      </c>
      <c r="L97" s="604">
        <v>6282.9</v>
      </c>
      <c r="M97" s="604">
        <v>7260.4</v>
      </c>
      <c r="N97" s="287">
        <f t="shared" si="6"/>
        <v>0</v>
      </c>
      <c r="O97" s="287">
        <f t="shared" si="6"/>
        <v>-1.9178082191780823E-2</v>
      </c>
      <c r="P97" s="287">
        <f t="shared" si="6"/>
        <v>-5.4794520547945202E-2</v>
      </c>
      <c r="Q97" s="607">
        <f t="shared" si="6"/>
        <v>-2.7397260273972601E-2</v>
      </c>
      <c r="R97" s="607">
        <f t="shared" si="6"/>
        <v>-1.0958904109589041E-2</v>
      </c>
      <c r="S97" s="607">
        <f t="shared" si="6"/>
        <v>0</v>
      </c>
      <c r="T97" s="607">
        <f t="shared" si="6"/>
        <v>4.10958904109589E-3</v>
      </c>
      <c r="U97" s="607">
        <f t="shared" si="6"/>
        <v>0</v>
      </c>
      <c r="V97" s="607">
        <f t="shared" si="6"/>
        <v>0</v>
      </c>
      <c r="W97" s="607">
        <f t="shared" si="6"/>
        <v>0</v>
      </c>
      <c r="X97" s="607">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43">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hidden="1" outlineLevel="3" x14ac:dyDescent="0.25">
      <c r="A98" s="45"/>
      <c r="B98" s="54"/>
      <c r="C98" s="87">
        <f t="shared" si="3"/>
        <v>4</v>
      </c>
      <c r="D98" s="73"/>
      <c r="E98" s="70"/>
      <c r="F98" s="70">
        <f t="shared" si="5"/>
        <v>-510.12500000000023</v>
      </c>
      <c r="G98" s="73"/>
      <c r="H98" s="79">
        <v>14</v>
      </c>
      <c r="I98" s="604">
        <v>1920.5833333333335</v>
      </c>
      <c r="J98" s="604">
        <v>2623.7500000000005</v>
      </c>
      <c r="K98" s="604">
        <v>3032.5</v>
      </c>
      <c r="L98" s="604">
        <v>3806</v>
      </c>
      <c r="M98" s="604">
        <v>4921</v>
      </c>
      <c r="N98" s="287">
        <f t="shared" si="6"/>
        <v>0</v>
      </c>
      <c r="O98" s="287">
        <f t="shared" si="6"/>
        <v>-1.9178082191780823E-2</v>
      </c>
      <c r="P98" s="287">
        <f t="shared" si="6"/>
        <v>-5.4794520547945202E-2</v>
      </c>
      <c r="Q98" s="607">
        <f t="shared" si="6"/>
        <v>-2.7397260273972601E-2</v>
      </c>
      <c r="R98" s="607">
        <f t="shared" si="6"/>
        <v>-1.0958904109589041E-2</v>
      </c>
      <c r="S98" s="607">
        <f t="shared" si="6"/>
        <v>0</v>
      </c>
      <c r="T98" s="607">
        <f t="shared" si="6"/>
        <v>4.10958904109589E-3</v>
      </c>
      <c r="U98" s="607">
        <f t="shared" si="6"/>
        <v>0</v>
      </c>
      <c r="V98" s="607">
        <f t="shared" si="6"/>
        <v>0</v>
      </c>
      <c r="W98" s="607">
        <f t="shared" si="6"/>
        <v>0</v>
      </c>
      <c r="X98" s="607">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8"/>
        <v>1.017871563475772</v>
      </c>
      <c r="AX98" s="116">
        <f t="shared" si="9"/>
        <v>0.23011496340245774</v>
      </c>
      <c r="AY98" s="116">
        <f t="shared" si="10"/>
        <v>0.59462404032405769</v>
      </c>
      <c r="AZ98" s="116">
        <f t="shared" si="10"/>
        <v>0.40501545452978349</v>
      </c>
      <c r="BC98" s="443">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hidden="1" outlineLevel="3" x14ac:dyDescent="0.25">
      <c r="A99" s="45"/>
      <c r="B99" s="54"/>
      <c r="C99" s="87">
        <f t="shared" si="3"/>
        <v>4</v>
      </c>
      <c r="D99" s="73"/>
      <c r="E99" s="70"/>
      <c r="F99" s="70">
        <f t="shared" si="5"/>
        <v>-213.73999999999987</v>
      </c>
      <c r="G99" s="73"/>
      <c r="H99" s="79">
        <v>14.5</v>
      </c>
      <c r="I99" s="604">
        <v>1726.9924999999998</v>
      </c>
      <c r="J99" s="604">
        <v>2085</v>
      </c>
      <c r="K99" s="604">
        <v>2570.75</v>
      </c>
      <c r="L99" s="604">
        <v>3416.6</v>
      </c>
      <c r="M99" s="604">
        <v>4062.8249999999998</v>
      </c>
      <c r="N99" s="287">
        <f t="shared" si="6"/>
        <v>0</v>
      </c>
      <c r="O99" s="287">
        <f t="shared" si="6"/>
        <v>-1.9178082191780823E-2</v>
      </c>
      <c r="P99" s="287">
        <f t="shared" si="6"/>
        <v>-5.4794520547945202E-2</v>
      </c>
      <c r="Q99" s="607">
        <f t="shared" si="6"/>
        <v>-2.7397260273972601E-2</v>
      </c>
      <c r="R99" s="607">
        <f t="shared" si="6"/>
        <v>-1.0958904109589041E-2</v>
      </c>
      <c r="S99" s="607">
        <f t="shared" si="6"/>
        <v>0</v>
      </c>
      <c r="T99" s="607">
        <f t="shared" si="6"/>
        <v>4.10958904109589E-3</v>
      </c>
      <c r="U99" s="607">
        <f t="shared" si="6"/>
        <v>0</v>
      </c>
      <c r="V99" s="607">
        <f t="shared" si="6"/>
        <v>0</v>
      </c>
      <c r="W99" s="607">
        <f t="shared" si="6"/>
        <v>0</v>
      </c>
      <c r="X99" s="607">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8"/>
        <v>1.0027069468640681</v>
      </c>
      <c r="AX99" s="116">
        <f t="shared" si="9"/>
        <v>9.7042383005294219E-2</v>
      </c>
      <c r="AY99" s="116">
        <f t="shared" si="10"/>
        <v>0.16002820534436513</v>
      </c>
      <c r="AZ99" s="116">
        <f t="shared" si="10"/>
        <v>0.43702152766096458</v>
      </c>
      <c r="BC99" s="443">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hidden="1" outlineLevel="3" x14ac:dyDescent="0.25">
      <c r="A100" s="45"/>
      <c r="B100" s="54"/>
      <c r="C100" s="87">
        <f t="shared" si="3"/>
        <v>4</v>
      </c>
      <c r="D100" s="73"/>
      <c r="E100" s="70"/>
      <c r="F100" s="70">
        <f t="shared" si="5"/>
        <v>-122.36222222222212</v>
      </c>
      <c r="G100" s="73"/>
      <c r="H100" s="79">
        <v>15</v>
      </c>
      <c r="I100" s="604">
        <v>1604.875</v>
      </c>
      <c r="J100" s="604">
        <v>1862.9666666666665</v>
      </c>
      <c r="K100" s="604">
        <v>2423.25</v>
      </c>
      <c r="L100" s="604">
        <v>2865.4</v>
      </c>
      <c r="M100" s="604">
        <v>3540.4458333333328</v>
      </c>
      <c r="N100" s="287">
        <f t="shared" si="6"/>
        <v>0</v>
      </c>
      <c r="O100" s="287">
        <f t="shared" si="6"/>
        <v>-1.9178082191780823E-2</v>
      </c>
      <c r="P100" s="287">
        <f t="shared" si="6"/>
        <v>-5.4794520547945202E-2</v>
      </c>
      <c r="Q100" s="607">
        <f t="shared" si="6"/>
        <v>-2.7397260273972601E-2</v>
      </c>
      <c r="R100" s="607">
        <f t="shared" si="6"/>
        <v>-1.0958904109589041E-2</v>
      </c>
      <c r="S100" s="607">
        <f t="shared" si="6"/>
        <v>0</v>
      </c>
      <c r="T100" s="607">
        <f t="shared" si="6"/>
        <v>4.10958904109589E-3</v>
      </c>
      <c r="U100" s="607">
        <f t="shared" si="6"/>
        <v>0</v>
      </c>
      <c r="V100" s="607">
        <f t="shared" si="6"/>
        <v>0</v>
      </c>
      <c r="W100" s="607">
        <f t="shared" si="6"/>
        <v>0</v>
      </c>
      <c r="X100" s="607">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8"/>
        <v>0.93949365734816614</v>
      </c>
      <c r="AX100" s="116">
        <f t="shared" si="9"/>
        <v>9.1156279973532373E-2</v>
      </c>
      <c r="AY100" s="116">
        <f t="shared" si="10"/>
        <v>0.11097133833206674</v>
      </c>
      <c r="AZ100" s="116">
        <f t="shared" si="10"/>
        <v>0.14393230565930515</v>
      </c>
      <c r="BC100" s="443">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hidden="1" outlineLevel="3" x14ac:dyDescent="0.25">
      <c r="A101" s="45"/>
      <c r="B101" s="54"/>
      <c r="C101" s="87">
        <f t="shared" si="3"/>
        <v>4</v>
      </c>
      <c r="D101" s="73"/>
      <c r="E101" s="70"/>
      <c r="F101" s="70">
        <f t="shared" si="5"/>
        <v>-67.833333333333329</v>
      </c>
      <c r="G101" s="73"/>
      <c r="H101" s="79">
        <v>16</v>
      </c>
      <c r="I101" s="604">
        <v>1446.56</v>
      </c>
      <c r="J101" s="604">
        <v>1603.5</v>
      </c>
      <c r="K101" s="604">
        <v>2149.0666666666666</v>
      </c>
      <c r="L101" s="604">
        <v>2524.7666666666669</v>
      </c>
      <c r="M101" s="604">
        <v>3081.2125000000001</v>
      </c>
      <c r="N101" s="287">
        <f t="shared" si="6"/>
        <v>0</v>
      </c>
      <c r="O101" s="287">
        <f t="shared" si="6"/>
        <v>-1.9178082191780823E-2</v>
      </c>
      <c r="P101" s="287">
        <f t="shared" si="6"/>
        <v>-5.4794520547945202E-2</v>
      </c>
      <c r="Q101" s="607">
        <f t="shared" si="6"/>
        <v>-2.7397260273972601E-2</v>
      </c>
      <c r="R101" s="607">
        <f t="shared" si="6"/>
        <v>-1.0958904109589041E-2</v>
      </c>
      <c r="S101" s="607">
        <f t="shared" si="6"/>
        <v>0</v>
      </c>
      <c r="T101" s="607">
        <f t="shared" si="6"/>
        <v>4.10958904109589E-3</v>
      </c>
      <c r="U101" s="607">
        <f t="shared" si="6"/>
        <v>0</v>
      </c>
      <c r="V101" s="607">
        <f t="shared" si="6"/>
        <v>0</v>
      </c>
      <c r="W101" s="607">
        <f t="shared" si="6"/>
        <v>0</v>
      </c>
      <c r="X101" s="607">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hidden="1" outlineLevel="3" x14ac:dyDescent="0.25">
      <c r="A102" s="45"/>
      <c r="B102" s="54"/>
      <c r="C102" s="87">
        <f t="shared" si="3"/>
        <v>4</v>
      </c>
      <c r="D102" s="73"/>
      <c r="E102" s="70"/>
      <c r="F102" s="70">
        <f t="shared" ref="F102:F109" si="16">($J103-$J102)/($H103-$H102)</f>
        <v>-54.770000000000209</v>
      </c>
      <c r="G102" s="73"/>
      <c r="H102" s="79">
        <v>17</v>
      </c>
      <c r="I102" s="604">
        <v>1313.1</v>
      </c>
      <c r="J102" s="604">
        <v>1550.6500000000003</v>
      </c>
      <c r="K102" s="604">
        <v>1959.2</v>
      </c>
      <c r="L102" s="604">
        <v>2343.35</v>
      </c>
      <c r="M102" s="604">
        <v>2671.9333333333329</v>
      </c>
      <c r="N102" s="287">
        <f t="shared" si="6"/>
        <v>0</v>
      </c>
      <c r="O102" s="287">
        <f t="shared" si="6"/>
        <v>-1.9178082191780823E-2</v>
      </c>
      <c r="P102" s="287">
        <f t="shared" si="6"/>
        <v>-5.4794520547945202E-2</v>
      </c>
      <c r="Q102" s="607">
        <f t="shared" si="6"/>
        <v>-2.7397260273972601E-2</v>
      </c>
      <c r="R102" s="607">
        <f t="shared" si="6"/>
        <v>-1.0958904109589041E-2</v>
      </c>
      <c r="S102" s="607">
        <f t="shared" si="6"/>
        <v>0</v>
      </c>
      <c r="T102" s="607">
        <f t="shared" si="6"/>
        <v>4.10958904109589E-3</v>
      </c>
      <c r="U102" s="607">
        <f t="shared" si="6"/>
        <v>0</v>
      </c>
      <c r="V102" s="607">
        <f t="shared" si="6"/>
        <v>0</v>
      </c>
      <c r="W102" s="607">
        <f t="shared" si="6"/>
        <v>0</v>
      </c>
      <c r="X102" s="607">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hidden="1" outlineLevel="3" x14ac:dyDescent="0.25">
      <c r="A103" s="45"/>
      <c r="B103" s="54"/>
      <c r="C103" s="87">
        <f t="shared" si="3"/>
        <v>4</v>
      </c>
      <c r="D103" s="73"/>
      <c r="E103" s="70"/>
      <c r="F103" s="70">
        <f t="shared" si="16"/>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hidden="1"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5">
        <f t="shared" si="17"/>
        <v>-2.7397260273972601E-2</v>
      </c>
      <c r="R104" s="605">
        <f t="shared" si="17"/>
        <v>-1.0958904109589041E-2</v>
      </c>
      <c r="S104" s="605">
        <f t="shared" si="17"/>
        <v>0</v>
      </c>
      <c r="T104" s="605">
        <f t="shared" si="17"/>
        <v>4.10958904109589E-3</v>
      </c>
      <c r="U104" s="605">
        <f t="shared" si="17"/>
        <v>0</v>
      </c>
      <c r="V104" s="605">
        <f t="shared" si="17"/>
        <v>0</v>
      </c>
      <c r="W104" s="605">
        <f t="shared" si="17"/>
        <v>0</v>
      </c>
      <c r="X104" s="605">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hidden="1" outlineLevel="3" x14ac:dyDescent="0.25">
      <c r="A105" s="45"/>
      <c r="B105" s="54"/>
      <c r="C105" s="87">
        <f t="shared" si="3"/>
        <v>4</v>
      </c>
      <c r="D105" s="73"/>
      <c r="E105" s="70"/>
      <c r="F105" s="70">
        <f t="shared" si="16"/>
        <v>-42</v>
      </c>
      <c r="G105" s="73"/>
      <c r="H105" s="79">
        <v>20</v>
      </c>
      <c r="I105" s="604">
        <v>1165</v>
      </c>
      <c r="J105" s="604">
        <v>1342</v>
      </c>
      <c r="K105" s="604">
        <v>1440</v>
      </c>
      <c r="L105" s="604">
        <v>1627</v>
      </c>
      <c r="M105" s="604">
        <v>2188</v>
      </c>
      <c r="N105" s="289">
        <f t="shared" si="17"/>
        <v>0</v>
      </c>
      <c r="O105" s="289">
        <f t="shared" si="17"/>
        <v>-1.9178082191780823E-2</v>
      </c>
      <c r="P105" s="289">
        <f t="shared" si="17"/>
        <v>-5.4794520547945202E-2</v>
      </c>
      <c r="Q105" s="605">
        <f t="shared" si="17"/>
        <v>-2.7397260273972601E-2</v>
      </c>
      <c r="R105" s="605">
        <f t="shared" si="17"/>
        <v>-1.0958904109589041E-2</v>
      </c>
      <c r="S105" s="605">
        <f t="shared" si="17"/>
        <v>0</v>
      </c>
      <c r="T105" s="605">
        <f t="shared" si="17"/>
        <v>4.10958904109589E-3</v>
      </c>
      <c r="U105" s="605">
        <f t="shared" si="17"/>
        <v>0</v>
      </c>
      <c r="V105" s="605">
        <f t="shared" si="17"/>
        <v>0</v>
      </c>
      <c r="W105" s="605">
        <f t="shared" si="17"/>
        <v>0</v>
      </c>
      <c r="X105" s="605">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hidden="1" outlineLevel="3" x14ac:dyDescent="0.25">
      <c r="A106" s="45"/>
      <c r="B106" s="54"/>
      <c r="C106" s="87">
        <f t="shared" si="3"/>
        <v>4</v>
      </c>
      <c r="D106" s="73"/>
      <c r="E106" s="70"/>
      <c r="F106" s="70">
        <f t="shared" si="16"/>
        <v>-28</v>
      </c>
      <c r="G106" s="73"/>
      <c r="H106" s="79">
        <v>21</v>
      </c>
      <c r="I106" s="604">
        <v>1157</v>
      </c>
      <c r="J106" s="604">
        <v>1300</v>
      </c>
      <c r="K106" s="604">
        <v>1400</v>
      </c>
      <c r="L106" s="604">
        <v>1548</v>
      </c>
      <c r="M106" s="604">
        <v>2178</v>
      </c>
      <c r="N106" s="289">
        <f t="shared" si="17"/>
        <v>0</v>
      </c>
      <c r="O106" s="289">
        <f t="shared" si="17"/>
        <v>-1.9178082191780823E-2</v>
      </c>
      <c r="P106" s="289">
        <f t="shared" si="17"/>
        <v>-5.4794520547945202E-2</v>
      </c>
      <c r="Q106" s="605">
        <f t="shared" si="17"/>
        <v>-2.7397260273972601E-2</v>
      </c>
      <c r="R106" s="605">
        <f t="shared" si="17"/>
        <v>-1.0958904109589041E-2</v>
      </c>
      <c r="S106" s="605">
        <f t="shared" si="17"/>
        <v>0</v>
      </c>
      <c r="T106" s="605">
        <f t="shared" si="17"/>
        <v>4.10958904109589E-3</v>
      </c>
      <c r="U106" s="605">
        <f t="shared" si="17"/>
        <v>0</v>
      </c>
      <c r="V106" s="605">
        <f t="shared" si="17"/>
        <v>0</v>
      </c>
      <c r="W106" s="605">
        <f t="shared" si="17"/>
        <v>0</v>
      </c>
      <c r="X106" s="605">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hidden="1" outlineLevel="3" x14ac:dyDescent="0.25">
      <c r="A107" s="45"/>
      <c r="B107" s="54"/>
      <c r="C107" s="87">
        <f t="shared" si="3"/>
        <v>4</v>
      </c>
      <c r="D107" s="73"/>
      <c r="E107" s="70"/>
      <c r="F107" s="70">
        <f t="shared" si="16"/>
        <v>-65</v>
      </c>
      <c r="G107" s="73"/>
      <c r="H107" s="79">
        <v>22</v>
      </c>
      <c r="I107" s="604">
        <v>1141</v>
      </c>
      <c r="J107" s="604">
        <v>1272</v>
      </c>
      <c r="K107" s="604">
        <v>1375</v>
      </c>
      <c r="L107" s="604">
        <v>1498</v>
      </c>
      <c r="M107" s="604">
        <v>2182</v>
      </c>
      <c r="N107" s="289">
        <f t="shared" si="17"/>
        <v>0</v>
      </c>
      <c r="O107" s="289">
        <f t="shared" si="17"/>
        <v>-1.9178082191780823E-2</v>
      </c>
      <c r="P107" s="289">
        <f t="shared" si="17"/>
        <v>-5.4794520547945202E-2</v>
      </c>
      <c r="Q107" s="605">
        <f t="shared" si="17"/>
        <v>-2.7397260273972601E-2</v>
      </c>
      <c r="R107" s="605">
        <f t="shared" si="17"/>
        <v>-1.0958904109589041E-2</v>
      </c>
      <c r="S107" s="605">
        <f t="shared" si="17"/>
        <v>0</v>
      </c>
      <c r="T107" s="605">
        <f t="shared" si="17"/>
        <v>4.10958904109589E-3</v>
      </c>
      <c r="U107" s="605">
        <f t="shared" si="17"/>
        <v>0</v>
      </c>
      <c r="V107" s="605">
        <f t="shared" si="17"/>
        <v>0</v>
      </c>
      <c r="W107" s="605">
        <f t="shared" si="17"/>
        <v>0</v>
      </c>
      <c r="X107" s="605">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hidden="1" outlineLevel="3" x14ac:dyDescent="0.25">
      <c r="A108" s="45"/>
      <c r="B108" s="54"/>
      <c r="C108" s="87">
        <f t="shared" si="3"/>
        <v>4</v>
      </c>
      <c r="D108" s="73"/>
      <c r="E108" s="70"/>
      <c r="F108" s="70">
        <f t="shared" si="16"/>
        <v>-122.75</v>
      </c>
      <c r="G108" s="73"/>
      <c r="H108" s="79">
        <v>23</v>
      </c>
      <c r="I108" s="604">
        <v>1100.5</v>
      </c>
      <c r="J108" s="604">
        <v>1207</v>
      </c>
      <c r="K108" s="604">
        <v>1264.5</v>
      </c>
      <c r="L108" s="604">
        <v>1419</v>
      </c>
      <c r="M108" s="604">
        <v>2069.5</v>
      </c>
      <c r="N108" s="289">
        <f t="shared" si="17"/>
        <v>0</v>
      </c>
      <c r="O108" s="289">
        <f t="shared" si="17"/>
        <v>-1.9178082191780823E-2</v>
      </c>
      <c r="P108" s="289">
        <f t="shared" si="17"/>
        <v>-5.4794520547945202E-2</v>
      </c>
      <c r="Q108" s="605">
        <f t="shared" si="17"/>
        <v>-2.7397260273972601E-2</v>
      </c>
      <c r="R108" s="605">
        <f t="shared" si="17"/>
        <v>-1.0958904109589041E-2</v>
      </c>
      <c r="S108" s="605">
        <f t="shared" si="17"/>
        <v>0</v>
      </c>
      <c r="T108" s="605">
        <f t="shared" si="17"/>
        <v>4.10958904109589E-3</v>
      </c>
      <c r="U108" s="605">
        <f t="shared" si="17"/>
        <v>0</v>
      </c>
      <c r="V108" s="605">
        <f t="shared" si="17"/>
        <v>0</v>
      </c>
      <c r="W108" s="605">
        <f t="shared" si="17"/>
        <v>0</v>
      </c>
      <c r="X108" s="605">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hidden="1" outlineLevel="3" x14ac:dyDescent="0.25">
      <c r="A109" s="45"/>
      <c r="B109" s="54"/>
      <c r="C109" s="87">
        <f t="shared" si="3"/>
        <v>4</v>
      </c>
      <c r="D109" s="73"/>
      <c r="E109" s="70"/>
      <c r="F109" s="70">
        <f t="shared" si="16"/>
        <v>-93.5</v>
      </c>
      <c r="G109" s="73"/>
      <c r="H109" s="79">
        <v>25</v>
      </c>
      <c r="I109" s="604">
        <v>832.5</v>
      </c>
      <c r="J109" s="604">
        <v>961.5</v>
      </c>
      <c r="K109" s="604">
        <v>1054.5</v>
      </c>
      <c r="L109" s="604">
        <v>1206.5</v>
      </c>
      <c r="M109" s="604">
        <v>1581.5</v>
      </c>
      <c r="N109" s="289">
        <f t="shared" ref="N109:X110" si="24">N108</f>
        <v>0</v>
      </c>
      <c r="O109" s="289">
        <f t="shared" si="24"/>
        <v>-1.9178082191780823E-2</v>
      </c>
      <c r="P109" s="289">
        <f t="shared" si="24"/>
        <v>-5.4794520547945202E-2</v>
      </c>
      <c r="Q109" s="605">
        <f t="shared" si="24"/>
        <v>-2.7397260273972601E-2</v>
      </c>
      <c r="R109" s="605">
        <f t="shared" si="24"/>
        <v>-1.0958904109589041E-2</v>
      </c>
      <c r="S109" s="605">
        <f t="shared" si="24"/>
        <v>0</v>
      </c>
      <c r="T109" s="605">
        <f t="shared" si="24"/>
        <v>4.10958904109589E-3</v>
      </c>
      <c r="U109" s="605">
        <f t="shared" si="24"/>
        <v>0</v>
      </c>
      <c r="V109" s="605">
        <f t="shared" si="24"/>
        <v>0</v>
      </c>
      <c r="W109" s="605">
        <f t="shared" si="24"/>
        <v>0</v>
      </c>
      <c r="X109" s="605">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7">
        <f ca="1">(SUM($BD$99:$BD$112)*(1+$BE109)*$AV109*(1-i_wool_cost_pc)-i_wool_cost_kg*100)*$N$156</f>
        <v>510.82267339850625</v>
      </c>
    </row>
    <row r="110" spans="1:65" hidden="1" outlineLevel="3" x14ac:dyDescent="0.25">
      <c r="A110" s="45"/>
      <c r="B110" s="54"/>
      <c r="C110" s="87">
        <f t="shared" si="3"/>
        <v>4</v>
      </c>
      <c r="D110" s="73"/>
      <c r="E110" s="70"/>
      <c r="F110" s="70">
        <f>($J112-$J110)/($H112-$H110)</f>
        <v>-41.756450994974429</v>
      </c>
      <c r="G110" s="73"/>
      <c r="H110" s="79">
        <v>28</v>
      </c>
      <c r="I110" s="604">
        <v>498</v>
      </c>
      <c r="J110" s="604">
        <v>681</v>
      </c>
      <c r="K110" s="604">
        <v>781</v>
      </c>
      <c r="L110" s="604">
        <v>850</v>
      </c>
      <c r="M110" s="604">
        <v>1191</v>
      </c>
      <c r="N110" s="289">
        <f t="shared" si="24"/>
        <v>0</v>
      </c>
      <c r="O110" s="289">
        <f t="shared" si="24"/>
        <v>-1.9178082191780823E-2</v>
      </c>
      <c r="P110" s="289">
        <f t="shared" si="24"/>
        <v>-5.4794520547945202E-2</v>
      </c>
      <c r="Q110" s="605">
        <f t="shared" si="24"/>
        <v>-2.7397260273972601E-2</v>
      </c>
      <c r="R110" s="605">
        <f t="shared" si="24"/>
        <v>-1.0958904109589041E-2</v>
      </c>
      <c r="S110" s="605">
        <f t="shared" si="24"/>
        <v>0</v>
      </c>
      <c r="T110" s="605">
        <f t="shared" si="24"/>
        <v>4.10958904109589E-3</v>
      </c>
      <c r="U110" s="605">
        <f t="shared" si="24"/>
        <v>0</v>
      </c>
      <c r="V110" s="605">
        <f t="shared" si="24"/>
        <v>0</v>
      </c>
      <c r="W110" s="605">
        <f t="shared" si="24"/>
        <v>0</v>
      </c>
      <c r="X110" s="605">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7">
        <f ca="1">(SUM($BD$99:$BD$112)*(1+$BE110)*$AV110*(1-i_wool_cost_pc)-i_wool_cost_kg*100)*$N$156</f>
        <v>366.16806357600194</v>
      </c>
    </row>
    <row r="111" spans="1:65" hidden="1" outlineLevel="3" x14ac:dyDescent="0.25">
      <c r="A111" s="45"/>
      <c r="B111" s="54"/>
      <c r="C111" s="87">
        <f t="shared" si="3"/>
        <v>4</v>
      </c>
      <c r="D111" s="73"/>
      <c r="E111" s="70"/>
      <c r="F111" s="70"/>
      <c r="G111" s="73"/>
      <c r="H111" s="79">
        <v>32</v>
      </c>
      <c r="I111" s="604">
        <v>425.42270074144187</v>
      </c>
      <c r="J111" s="604">
        <v>498.02808013882316</v>
      </c>
      <c r="K111" s="604">
        <v>563.75</v>
      </c>
      <c r="L111" s="604">
        <v>626.00351001735282</v>
      </c>
      <c r="M111" s="604">
        <v>764.02250617868208</v>
      </c>
      <c r="N111" s="289">
        <f t="shared" ref="N111:AD111" si="25">N109</f>
        <v>0</v>
      </c>
      <c r="O111" s="289">
        <f t="shared" si="25"/>
        <v>-1.9178082191780823E-2</v>
      </c>
      <c r="P111" s="289">
        <f t="shared" si="25"/>
        <v>-5.4794520547945202E-2</v>
      </c>
      <c r="Q111" s="605">
        <f t="shared" si="25"/>
        <v>-2.7397260273972601E-2</v>
      </c>
      <c r="R111" s="605">
        <f t="shared" si="25"/>
        <v>-1.0958904109589041E-2</v>
      </c>
      <c r="S111" s="605">
        <f t="shared" si="25"/>
        <v>0</v>
      </c>
      <c r="T111" s="605">
        <f t="shared" si="25"/>
        <v>4.10958904109589E-3</v>
      </c>
      <c r="U111" s="605">
        <f t="shared" si="25"/>
        <v>0</v>
      </c>
      <c r="V111" s="605">
        <f t="shared" si="25"/>
        <v>0</v>
      </c>
      <c r="W111" s="605">
        <f t="shared" si="25"/>
        <v>0</v>
      </c>
      <c r="X111" s="605">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7">
        <f ca="1">(SUM($BD$99:$BD$112)*(1+$BE111)*$AV111*(1-i_wool_cost_pc)-i_wool_cost_kg*100)*$N$156</f>
        <v>250.89478706389966</v>
      </c>
    </row>
    <row r="112" spans="1:65" hidden="1" outlineLevel="3" x14ac:dyDescent="0.25">
      <c r="A112" s="45"/>
      <c r="B112" s="54"/>
      <c r="C112" s="87">
        <f t="shared" si="3"/>
        <v>4</v>
      </c>
      <c r="D112" s="73"/>
      <c r="E112" s="70"/>
      <c r="F112" s="70"/>
      <c r="G112" s="73"/>
      <c r="H112" s="79">
        <v>35</v>
      </c>
      <c r="I112" s="604">
        <v>332.03722984697902</v>
      </c>
      <c r="J112" s="604">
        <v>388.70484303517901</v>
      </c>
      <c r="K112" s="604">
        <v>440</v>
      </c>
      <c r="L112" s="604">
        <v>488.58810537939735</v>
      </c>
      <c r="M112" s="604">
        <v>596.3102487248251</v>
      </c>
      <c r="N112" s="289">
        <f t="shared" ref="N112:AD112" si="26">N110</f>
        <v>0</v>
      </c>
      <c r="O112" s="289">
        <f t="shared" si="26"/>
        <v>-1.9178082191780823E-2</v>
      </c>
      <c r="P112" s="289">
        <f t="shared" si="26"/>
        <v>-5.4794520547945202E-2</v>
      </c>
      <c r="Q112" s="605">
        <f t="shared" si="26"/>
        <v>-2.7397260273972601E-2</v>
      </c>
      <c r="R112" s="605">
        <f t="shared" si="26"/>
        <v>-1.0958904109589041E-2</v>
      </c>
      <c r="S112" s="605">
        <f t="shared" si="26"/>
        <v>0</v>
      </c>
      <c r="T112" s="605">
        <f t="shared" si="26"/>
        <v>4.10958904109589E-3</v>
      </c>
      <c r="U112" s="605">
        <f t="shared" si="26"/>
        <v>0</v>
      </c>
      <c r="V112" s="605">
        <f t="shared" si="26"/>
        <v>0</v>
      </c>
      <c r="W112" s="605">
        <f t="shared" si="26"/>
        <v>0</v>
      </c>
      <c r="X112" s="605">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7">
        <f ca="1">(SUM($BD$99:$BD$112)*(1+$BE112)*$AV112*(1-i_wool_cost_pc)-i_wool_cost_kg*100)*$N$156</f>
        <v>185.84791428672199</v>
      </c>
    </row>
    <row r="113" spans="1:59" hidden="1" outlineLevel="3" x14ac:dyDescent="0.2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7">N111</f>
        <v>0</v>
      </c>
      <c r="O113" s="293">
        <f t="shared" si="27"/>
        <v>-1.9178082191780823E-2</v>
      </c>
      <c r="P113" s="293">
        <f t="shared" si="27"/>
        <v>-5.4794520547945202E-2</v>
      </c>
      <c r="Q113" s="603">
        <f t="shared" si="27"/>
        <v>-2.7397260273972601E-2</v>
      </c>
      <c r="R113" s="603">
        <f t="shared" si="27"/>
        <v>-1.0958904109589041E-2</v>
      </c>
      <c r="S113" s="603">
        <f t="shared" si="27"/>
        <v>0</v>
      </c>
      <c r="T113" s="603">
        <f t="shared" si="27"/>
        <v>4.10958904109589E-3</v>
      </c>
      <c r="U113" s="603">
        <f t="shared" si="27"/>
        <v>0</v>
      </c>
      <c r="V113" s="603">
        <f t="shared" si="27"/>
        <v>0</v>
      </c>
      <c r="W113" s="603">
        <f t="shared" si="27"/>
        <v>0</v>
      </c>
      <c r="X113" s="603">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6">
        <f t="shared" ca="1" si="14"/>
        <v>272.29124999999993</v>
      </c>
      <c r="BG113" s="418">
        <f ca="1">(SUM($BD$99:$BD$112)*(1+$BE113)*$AV113*(1-i_wool_cost_pc)-i_wool_cost_kg*100)*$N$156</f>
        <v>120.90389340097958</v>
      </c>
    </row>
    <row r="114" spans="1:59" ht="15.75" hidden="1" outlineLevel="3" thickBot="1" x14ac:dyDescent="0.3">
      <c r="A114" s="45"/>
      <c r="B114" s="54"/>
      <c r="C114" s="87">
        <f>INT($C$81+3)</f>
        <v>4</v>
      </c>
      <c r="D114" s="73"/>
      <c r="E114" s="70"/>
      <c r="F114" s="70"/>
      <c r="G114" s="73"/>
      <c r="H114" s="76" t="s">
        <v>196</v>
      </c>
      <c r="I114" s="595" t="s">
        <v>3239</v>
      </c>
      <c r="J114" s="119"/>
      <c r="K114" s="119"/>
      <c r="L114" s="119"/>
      <c r="M114" s="119"/>
      <c r="N114" s="119" t="s">
        <v>197</v>
      </c>
      <c r="O114" s="119"/>
      <c r="P114" s="119"/>
      <c r="Q114" s="602" t="s">
        <v>3238</v>
      </c>
      <c r="R114" s="602"/>
      <c r="S114" s="602"/>
      <c r="T114" s="602"/>
      <c r="U114" s="602"/>
      <c r="V114" s="602"/>
      <c r="W114" s="602"/>
      <c r="X114" s="602"/>
      <c r="Y114" s="119" t="s">
        <v>2183</v>
      </c>
      <c r="Z114" s="119"/>
      <c r="AA114" s="119"/>
      <c r="AB114" s="119"/>
      <c r="AC114" s="119"/>
      <c r="AD114" s="119"/>
      <c r="AE114" s="76"/>
      <c r="AF114" s="119" t="s">
        <v>3237</v>
      </c>
      <c r="AG114" s="119"/>
      <c r="AH114" s="119"/>
      <c r="AI114" s="119"/>
      <c r="AJ114" s="119"/>
      <c r="AK114" s="76"/>
      <c r="AL114" s="76"/>
      <c r="AM114" s="76"/>
      <c r="AN114" s="73"/>
      <c r="AO114" s="57"/>
      <c r="AP114" s="45"/>
      <c r="AQ114" s="45"/>
      <c r="AR114" s="45"/>
      <c r="AS114" s="441"/>
      <c r="AT114" s="441"/>
    </row>
    <row r="115" spans="1:59" ht="16.5" hidden="1" outlineLevel="3" thickTop="1" thickBot="1" x14ac:dyDescent="0.3">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2694</v>
      </c>
    </row>
    <row r="116" spans="1:59" ht="15.75" hidden="1" outlineLevel="3" thickTop="1" x14ac:dyDescent="0.2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2696</v>
      </c>
    </row>
    <row r="117" spans="1:59" hidden="1" outlineLevel="3" x14ac:dyDescent="0.2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2695</v>
      </c>
    </row>
    <row r="118" spans="1:59" hidden="1" outlineLevel="3" x14ac:dyDescent="0.25">
      <c r="A118" s="45"/>
      <c r="B118" s="54"/>
      <c r="C118" s="87">
        <f>INT($C$81+3)</f>
        <v>4</v>
      </c>
      <c r="D118" s="73"/>
      <c r="E118" s="70"/>
      <c r="F118" s="70"/>
      <c r="G118" s="73"/>
      <c r="H118" s="76" t="s">
        <v>202</v>
      </c>
      <c r="I118" s="97">
        <v>50</v>
      </c>
      <c r="J118" s="76" t="s">
        <v>2684</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0999999999999996" hidden="1"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collapsed="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0999999999999996" hidden="1"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hidden="1"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hidden="1" outlineLevel="2" x14ac:dyDescent="0.25">
      <c r="A123" s="45"/>
      <c r="B123" s="54"/>
      <c r="C123" s="87">
        <f>INT($C$81)+2</f>
        <v>3</v>
      </c>
      <c r="D123" s="73"/>
      <c r="E123" s="70"/>
      <c r="F123" s="70"/>
      <c r="G123" s="73"/>
      <c r="H123" s="76" t="s">
        <v>2184</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hidden="1" outlineLevel="3" x14ac:dyDescent="0.2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hidden="1" outlineLevel="3" x14ac:dyDescent="0.25">
      <c r="A125" s="45"/>
      <c r="B125" s="54"/>
      <c r="C125" s="87">
        <f>INT($C$81+3)</f>
        <v>4</v>
      </c>
      <c r="D125" s="73"/>
      <c r="E125" s="70"/>
      <c r="F125" s="70"/>
      <c r="G125" s="73"/>
      <c r="H125" s="76"/>
      <c r="I125" s="78" t="s">
        <v>2188</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hidden="1" outlineLevel="3" x14ac:dyDescent="0.2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hidden="1" outlineLevel="3" x14ac:dyDescent="0.2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hidden="1" outlineLevel="3" x14ac:dyDescent="0.25">
      <c r="A128" s="45"/>
      <c r="B128" s="54"/>
      <c r="C128" s="87">
        <f>INT($C$81+3)</f>
        <v>4</v>
      </c>
      <c r="D128" s="73"/>
      <c r="E128" s="70"/>
      <c r="F128" s="70"/>
      <c r="G128" s="73"/>
      <c r="H128" s="76"/>
      <c r="I128" s="121" t="s">
        <v>2193</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hidden="1" outlineLevel="2" x14ac:dyDescent="0.25">
      <c r="A129" s="45"/>
      <c r="B129" s="54"/>
      <c r="C129" s="87">
        <f>INT($C$81)+2</f>
        <v>3</v>
      </c>
      <c r="D129" s="73"/>
      <c r="E129" s="70"/>
      <c r="F129" s="70"/>
      <c r="G129" s="73"/>
      <c r="H129" s="76" t="s">
        <v>2194</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hidden="1" outlineLevel="3" x14ac:dyDescent="0.25">
      <c r="A130" s="45"/>
      <c r="B130" s="54"/>
      <c r="C130" s="87">
        <f>INT($C$81+3)</f>
        <v>4</v>
      </c>
      <c r="D130" s="73"/>
      <c r="E130" s="70"/>
      <c r="F130" s="70"/>
      <c r="G130" s="73"/>
      <c r="H130" s="76"/>
      <c r="I130" s="78" t="s">
        <v>2188</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hidden="1" outlineLevel="3" x14ac:dyDescent="0.2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hidden="1" outlineLevel="3" x14ac:dyDescent="0.2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hidden="1" outlineLevel="3" x14ac:dyDescent="0.25">
      <c r="A133" s="45"/>
      <c r="B133" s="54"/>
      <c r="C133" s="87">
        <f>INT($C$81+3)</f>
        <v>4</v>
      </c>
      <c r="D133" s="73"/>
      <c r="E133" s="70"/>
      <c r="F133" s="70"/>
      <c r="G133" s="73"/>
      <c r="H133" s="76"/>
      <c r="I133" s="121" t="s">
        <v>2193</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0999999999999996" hidden="1"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collapsed="1" x14ac:dyDescent="0.25">
      <c r="A135" s="45"/>
      <c r="B135" s="54"/>
      <c r="C135" s="87">
        <f>INT($C$81)+1</f>
        <v>2</v>
      </c>
      <c r="D135" s="73"/>
      <c r="E135" s="70"/>
      <c r="F135" s="70"/>
      <c r="G135" s="73"/>
      <c r="H135" s="90" t="s">
        <v>3236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0999999999999996" hidden="1"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hidden="1" customHeight="1" outlineLevel="3" x14ac:dyDescent="0.25">
      <c r="A137" s="45"/>
      <c r="B137" s="54"/>
      <c r="C137" s="87">
        <f t="shared" ref="C137:C146" si="32">INT($C$81+3)</f>
        <v>4</v>
      </c>
      <c r="D137" s="73"/>
      <c r="E137" s="70"/>
      <c r="F137" s="70"/>
      <c r="G137" s="73"/>
      <c r="H137" s="246" t="s">
        <v>3235</v>
      </c>
      <c r="I137" s="76" t="s">
        <v>2782</v>
      </c>
      <c r="J137" s="76" t="s">
        <v>2783</v>
      </c>
      <c r="K137" s="76" t="s">
        <v>3234</v>
      </c>
      <c r="L137" s="76"/>
      <c r="M137" s="76"/>
      <c r="N137" s="76"/>
      <c r="O137" s="76"/>
      <c r="P137" s="246" t="s">
        <v>3233</v>
      </c>
      <c r="Q137" s="76"/>
      <c r="R137" s="76" t="s">
        <v>3232</v>
      </c>
      <c r="S137" s="76" t="s">
        <v>3231</v>
      </c>
      <c r="T137" s="76" t="s">
        <v>3230</v>
      </c>
      <c r="U137" s="76" t="s">
        <v>3229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hidden="1" customHeight="1" outlineLevel="3" x14ac:dyDescent="0.25">
      <c r="A138" s="45"/>
      <c r="B138" s="54"/>
      <c r="C138" s="87">
        <f t="shared" si="32"/>
        <v>4</v>
      </c>
      <c r="D138" s="73"/>
      <c r="E138" s="70"/>
      <c r="F138" s="70"/>
      <c r="G138" s="73"/>
      <c r="H138" s="76" t="s">
        <v>3228</v>
      </c>
      <c r="I138" s="599">
        <v>-0.10100000000000001</v>
      </c>
      <c r="J138" s="599">
        <v>0</v>
      </c>
      <c r="K138" s="598">
        <v>0</v>
      </c>
      <c r="L138" s="76"/>
      <c r="M138" s="76"/>
      <c r="N138" s="76"/>
      <c r="O138" s="76"/>
      <c r="P138" s="76" t="s">
        <v>3228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hidden="1" customHeight="1" outlineLevel="3" x14ac:dyDescent="0.25">
      <c r="A139" s="45"/>
      <c r="B139" s="54"/>
      <c r="C139" s="87">
        <f t="shared" si="32"/>
        <v>4</v>
      </c>
      <c r="D139" s="73"/>
      <c r="E139" s="70"/>
      <c r="F139" s="70"/>
      <c r="G139" s="73"/>
      <c r="H139" s="76" t="s">
        <v>3227</v>
      </c>
      <c r="I139" s="599">
        <v>0</v>
      </c>
      <c r="J139" s="599">
        <v>0.113</v>
      </c>
      <c r="K139" s="598">
        <v>5.9005989731888203E-3</v>
      </c>
      <c r="L139" s="76"/>
      <c r="M139" s="76"/>
      <c r="N139" s="76"/>
      <c r="O139" s="76"/>
      <c r="P139" s="76" t="s">
        <v>3227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hidden="1" customHeight="1" outlineLevel="3" x14ac:dyDescent="0.25">
      <c r="A140" s="45"/>
      <c r="B140" s="54"/>
      <c r="C140" s="87">
        <f t="shared" si="32"/>
        <v>4</v>
      </c>
      <c r="D140" s="73"/>
      <c r="E140" s="70"/>
      <c r="F140" s="70"/>
      <c r="G140" s="73"/>
      <c r="H140" s="76" t="s">
        <v>3226</v>
      </c>
      <c r="I140" s="599">
        <v>-6.0999999999999999E-2</v>
      </c>
      <c r="J140" s="599">
        <v>5.1999999999999998E-2</v>
      </c>
      <c r="K140" s="598">
        <v>3.5107296137339059E-3</v>
      </c>
      <c r="L140" s="76"/>
      <c r="M140" s="76"/>
      <c r="N140" s="76"/>
      <c r="O140" s="76"/>
      <c r="P140" s="76" t="s">
        <v>3226</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hidden="1" customHeight="1" outlineLevel="3" x14ac:dyDescent="0.25">
      <c r="A141" s="45"/>
      <c r="B141" s="54"/>
      <c r="C141" s="87">
        <f t="shared" si="32"/>
        <v>4</v>
      </c>
      <c r="D141" s="73"/>
      <c r="E141" s="70"/>
      <c r="F141" s="70"/>
      <c r="G141" s="73"/>
      <c r="H141" s="76" t="s">
        <v>3225</v>
      </c>
      <c r="I141" s="356">
        <v>47.809731093905945</v>
      </c>
      <c r="J141" s="365">
        <v>4566.4973039173738</v>
      </c>
      <c r="K141" s="356">
        <v>45.892351332455597</v>
      </c>
      <c r="L141" s="76"/>
      <c r="M141" s="76"/>
      <c r="N141" s="76"/>
      <c r="O141" s="76"/>
      <c r="P141" s="76" t="s">
        <v>3225</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hidden="1" customHeight="1" outlineLevel="3" x14ac:dyDescent="0.25">
      <c r="A142" s="45"/>
      <c r="B142" s="54"/>
      <c r="C142" s="87">
        <f t="shared" si="32"/>
        <v>4</v>
      </c>
      <c r="D142" s="73"/>
      <c r="E142" s="70"/>
      <c r="F142" s="70"/>
      <c r="G142" s="73"/>
      <c r="H142" s="76" t="s">
        <v>3224</v>
      </c>
      <c r="I142" s="442">
        <v>-0.22538711253423788</v>
      </c>
      <c r="J142" s="596">
        <v>-0.50483440440253269</v>
      </c>
      <c r="K142" s="596">
        <v>-0.22213692403040283</v>
      </c>
      <c r="L142" s="76"/>
      <c r="M142" s="76"/>
      <c r="N142" s="76"/>
      <c r="O142" s="76"/>
      <c r="P142" s="76" t="s">
        <v>3224</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hidden="1" customHeight="1" outlineLevel="3" x14ac:dyDescent="0.2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hidden="1" customHeight="1" outlineLevel="3" x14ac:dyDescent="0.25">
      <c r="A144" s="45"/>
      <c r="B144" s="54"/>
      <c r="C144" s="87">
        <f t="shared" si="32"/>
        <v>4</v>
      </c>
      <c r="D144" s="73"/>
      <c r="E144" s="70"/>
      <c r="F144" s="70"/>
      <c r="G144" s="73"/>
      <c r="H144" s="76" t="s">
        <v>3223</v>
      </c>
      <c r="I144" s="76">
        <v>35</v>
      </c>
      <c r="J144" s="76"/>
      <c r="K144" s="76"/>
      <c r="L144" s="76"/>
      <c r="M144" s="76"/>
      <c r="N144" s="76"/>
      <c r="O144" s="76"/>
      <c r="P144" s="76" t="s">
        <v>3222</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hidden="1" customHeight="1" outlineLevel="3" x14ac:dyDescent="0.25">
      <c r="A145" s="45"/>
      <c r="B145" s="54"/>
      <c r="C145" s="87">
        <f t="shared" si="32"/>
        <v>4</v>
      </c>
      <c r="D145" s="73"/>
      <c r="E145" s="70"/>
      <c r="F145" s="70"/>
      <c r="G145" s="73"/>
      <c r="H145" s="76"/>
      <c r="I145" s="76"/>
      <c r="J145" s="76"/>
      <c r="K145" s="76"/>
      <c r="L145" s="76"/>
      <c r="M145" s="76"/>
      <c r="N145" s="76"/>
      <c r="O145" s="76"/>
      <c r="P145" s="76" t="s">
        <v>3221</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hidden="1" customHeight="1" outlineLevel="2" x14ac:dyDescent="0.25">
      <c r="A146" s="45"/>
      <c r="B146" s="54"/>
      <c r="C146" s="87">
        <f t="shared" si="32"/>
        <v>4</v>
      </c>
      <c r="D146" s="73"/>
      <c r="E146" s="70"/>
      <c r="F146" s="70"/>
      <c r="G146" s="73"/>
      <c r="H146" s="76" t="s">
        <v>196</v>
      </c>
      <c r="I146" s="595" t="s">
        <v>3220</v>
      </c>
      <c r="J146" s="119"/>
      <c r="K146" s="119"/>
      <c r="L146" s="119"/>
      <c r="M146" s="119"/>
      <c r="N146" s="119"/>
      <c r="O146" s="76"/>
      <c r="P146" s="76" t="s">
        <v>196</v>
      </c>
      <c r="Q146" s="76"/>
      <c r="R146" s="595" t="s">
        <v>3219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0999999999999996" hidden="1"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collapsed="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0999999999999996" hidden="1"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hidden="1"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hidden="1" outlineLevel="3" x14ac:dyDescent="0.2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hidden="1" outlineLevel="3" x14ac:dyDescent="0.25">
      <c r="A152" s="45"/>
      <c r="B152" s="54"/>
      <c r="C152" s="87">
        <f t="shared" si="33"/>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hidden="1" outlineLevel="3" x14ac:dyDescent="0.25">
      <c r="A153" s="45"/>
      <c r="B153" s="54"/>
      <c r="C153" s="87">
        <f t="shared" si="33"/>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hidden="1" outlineLevel="3" x14ac:dyDescent="0.2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hidden="1" outlineLevel="3" x14ac:dyDescent="0.25">
      <c r="A155" s="45"/>
      <c r="B155" s="54"/>
      <c r="C155" s="87">
        <f t="shared" si="33"/>
        <v>4</v>
      </c>
      <c r="D155" s="73"/>
      <c r="E155" s="70"/>
      <c r="F155" s="70"/>
      <c r="G155" s="73"/>
      <c r="H155" s="125" t="s">
        <v>2198</v>
      </c>
      <c r="I155" s="126"/>
      <c r="J155" s="126"/>
      <c r="K155" s="298">
        <f>SUM(K151:K154)</f>
        <v>0.4467741935483871</v>
      </c>
      <c r="L155" s="127"/>
      <c r="M155" s="76"/>
      <c r="N155" s="76" t="s">
        <v>2679</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hidden="1" outlineLevel="3" x14ac:dyDescent="0.25">
      <c r="A156" s="45"/>
      <c r="B156" s="54"/>
      <c r="C156" s="87">
        <f t="shared" si="33"/>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hidden="1" outlineLevel="3" x14ac:dyDescent="0.25">
      <c r="A157" s="45"/>
      <c r="B157" s="54"/>
      <c r="C157" s="87">
        <f t="shared" si="33"/>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0999999999999996" hidden="1"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0999999999999996" hidden="1"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0999999999999996" customHeight="1" collapsed="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hidden="1"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hidden="1"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0999999999999996" customHeight="1" outlineLevel="1" collapsed="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hidden="1"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45" hidden="1" customHeight="1" outlineLevel="2" collapsed="1"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2240</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2781</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2551</v>
      </c>
      <c r="AM181" s="95"/>
      <c r="AN181" s="73"/>
      <c r="AO181" s="57"/>
      <c r="AP181" s="45"/>
      <c r="AQ181" s="45"/>
      <c r="AR181" s="45"/>
      <c r="AS181" s="441"/>
      <c r="AT181" s="441"/>
      <c r="AV181" t="s">
        <v>2683</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2782</v>
      </c>
      <c r="P182" s="134" t="s">
        <v>2783</v>
      </c>
      <c r="Q182" s="134" t="s">
        <v>2784</v>
      </c>
      <c r="R182" s="134" t="s">
        <v>2785</v>
      </c>
      <c r="S182" s="134" t="s">
        <v>2786</v>
      </c>
      <c r="T182" s="134" t="s">
        <v>2787</v>
      </c>
      <c r="U182" s="132" t="s">
        <v>232</v>
      </c>
      <c r="V182" s="132" t="s">
        <v>233</v>
      </c>
      <c r="W182" s="133" t="s">
        <v>234</v>
      </c>
      <c r="X182" s="133" t="s">
        <v>2680</v>
      </c>
      <c r="Y182" s="133" t="s">
        <v>2681</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2241</v>
      </c>
      <c r="AX182" t="s">
        <v>2242</v>
      </c>
      <c r="AY182" t="s">
        <v>1173</v>
      </c>
      <c r="AZ182" s="5" t="s">
        <v>2682</v>
      </c>
      <c r="BA182" s="423" t="s">
        <v>272</v>
      </c>
      <c r="BD182" t="s">
        <v>2286</v>
      </c>
    </row>
    <row r="183" spans="1:58" outlineLevel="3" x14ac:dyDescent="0.25">
      <c r="A183" s="45"/>
      <c r="B183" s="54"/>
      <c r="C183" s="87">
        <f>INT($C$167+3)</f>
        <v>4</v>
      </c>
      <c r="D183" s="73"/>
      <c r="E183" s="70">
        <v>0</v>
      </c>
      <c r="F183" s="70"/>
      <c r="G183" s="73"/>
      <c r="H183" s="135" t="s">
        <v>2777</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41"/>
      <c r="AT183" s="441"/>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outlineLevel="3" x14ac:dyDescent="0.25">
      <c r="A184" s="45"/>
      <c r="B184" s="54"/>
      <c r="C184" s="87">
        <f t="shared" ref="C184:C191" si="39">INT($C$167)+3</f>
        <v>4</v>
      </c>
      <c r="D184" s="73"/>
      <c r="E184" s="70">
        <v>1</v>
      </c>
      <c r="F184" s="70"/>
      <c r="G184" s="73"/>
      <c r="H184" s="76" t="s">
        <v>2778</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41"/>
      <c r="AT184" s="441"/>
      <c r="AV184" s="325" t="str">
        <f t="shared" si="35"/>
        <v>empty grid (1)</v>
      </c>
      <c r="AY184" s="316">
        <f t="shared" ca="1" si="36"/>
        <v>1</v>
      </c>
      <c r="AZ184" s="326">
        <f t="shared" ca="1" si="37"/>
        <v>0</v>
      </c>
      <c r="BA184" s="326">
        <f t="shared" ca="1" si="38"/>
        <v>0</v>
      </c>
    </row>
    <row r="185" spans="1:58" outlineLevel="3" x14ac:dyDescent="0.25">
      <c r="A185" s="45"/>
      <c r="B185" s="54"/>
      <c r="C185" s="87">
        <f t="shared" si="39"/>
        <v>4</v>
      </c>
      <c r="D185" s="73"/>
      <c r="E185" s="70">
        <v>2</v>
      </c>
      <c r="F185" s="70"/>
      <c r="G185" s="73"/>
      <c r="H185" s="76" t="s">
        <v>2779</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41"/>
      <c r="AT185" s="441"/>
      <c r="AV185" s="325" t="str">
        <f t="shared" si="35"/>
        <v>empty grid (2)</v>
      </c>
      <c r="AY185" s="316">
        <f t="shared" ca="1" si="36"/>
        <v>1</v>
      </c>
      <c r="AZ185" s="326">
        <f t="shared" ca="1" si="37"/>
        <v>0</v>
      </c>
      <c r="BA185" s="326">
        <f t="shared" ca="1" si="38"/>
        <v>0</v>
      </c>
    </row>
    <row r="186" spans="1:58" outlineLevel="3" x14ac:dyDescent="0.2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40">Z$189</f>
        <v>0.63909774436090228</v>
      </c>
      <c r="AA186" s="593">
        <f t="shared" si="40"/>
        <v>0.85964912280701755</v>
      </c>
      <c r="AB186" s="96">
        <v>1</v>
      </c>
      <c r="AC186" s="593">
        <f t="shared" si="40"/>
        <v>1.2656641604010026</v>
      </c>
      <c r="AD186" s="593">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41"/>
      <c r="AT186" s="441"/>
      <c r="AV186" s="325" t="str">
        <f t="shared" si="35"/>
        <v>Yearling grid (3)</v>
      </c>
      <c r="AY186" s="316">
        <f t="shared" ca="1" si="36"/>
        <v>1</v>
      </c>
      <c r="AZ186" s="326">
        <f t="shared" ca="1" si="37"/>
        <v>3.6661218629701886</v>
      </c>
      <c r="BA186" s="326">
        <f t="shared" ca="1" si="38"/>
        <v>3.6661218629701886</v>
      </c>
      <c r="BD186" s="326">
        <f ca="1">50*0.44*AZ186</f>
        <v>80.654680985344143</v>
      </c>
      <c r="BE186" t="s">
        <v>2287</v>
      </c>
    </row>
    <row r="187" spans="1:58" outlineLevel="3" x14ac:dyDescent="0.2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41"/>
      <c r="AT187" s="441"/>
      <c r="AV187" s="325" t="str">
        <f t="shared" si="35"/>
        <v>Export wether grid (4)</v>
      </c>
      <c r="AY187" s="316">
        <f t="shared" ca="1" si="36"/>
        <v>1</v>
      </c>
      <c r="AZ187" s="326">
        <f t="shared" ca="1" si="37"/>
        <v>103.34061503440209</v>
      </c>
      <c r="BA187" s="326">
        <f t="shared" ca="1" si="38"/>
        <v>103.34061503440209</v>
      </c>
    </row>
    <row r="188" spans="1:58" outlineLevel="3" x14ac:dyDescent="0.2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41"/>
      <c r="AT188" s="441"/>
      <c r="AV188" s="325" t="str">
        <f t="shared" si="35"/>
        <v>Breeder grid (5)</v>
      </c>
      <c r="AY188" s="316">
        <f t="shared" ca="1" si="36"/>
        <v>1</v>
      </c>
      <c r="AZ188" s="326">
        <f t="shared" ca="1" si="37"/>
        <v>130</v>
      </c>
      <c r="BA188" s="326">
        <f t="shared" ca="1" si="38"/>
        <v>130</v>
      </c>
      <c r="BD188" s="326">
        <f ca="1">AZ188*(1+AVERAGE($J$279:$U$279))*($M$238/$N$238)</f>
        <v>109.45161290322579</v>
      </c>
      <c r="BE188" t="s">
        <v>2288</v>
      </c>
    </row>
    <row r="189" spans="1:58" outlineLevel="3" x14ac:dyDescent="0.2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41"/>
      <c r="AT189" s="441"/>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2775</v>
      </c>
    </row>
    <row r="190" spans="1:58" outlineLevel="3" x14ac:dyDescent="0.2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41"/>
      <c r="AT190" s="441"/>
      <c r="AV190" s="327" t="str">
        <f t="shared" si="35"/>
        <v>Ram grid (7)</v>
      </c>
      <c r="AW190" s="319"/>
      <c r="AX190" s="319"/>
      <c r="AY190" s="320">
        <f t="shared" ca="1" si="36"/>
        <v>1</v>
      </c>
      <c r="AZ190" s="328">
        <f t="shared" ca="1" si="37"/>
        <v>1.9950000000000001</v>
      </c>
      <c r="BA190" s="328">
        <f t="shared" ca="1" si="38"/>
        <v>1.9950000000000001</v>
      </c>
    </row>
    <row r="191" spans="1:58" outlineLevel="3" x14ac:dyDescent="0.2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collapsed="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0999999999999996" hidden="1"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hidden="1"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2780</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hidden="1"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2552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hidden="1"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hidden="1"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hidden="1" outlineLevel="2" x14ac:dyDescent="0.2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hidden="1" outlineLevel="3" x14ac:dyDescent="0.2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hidden="1" outlineLevel="3" x14ac:dyDescent="0.25">
      <c r="A200" s="45"/>
      <c r="B200" s="54"/>
      <c r="C200" s="87">
        <f t="shared" si="41"/>
        <v>4</v>
      </c>
      <c r="D200" s="73"/>
      <c r="E200" s="70">
        <f t="shared" si="42"/>
        <v>0</v>
      </c>
      <c r="F200" s="70">
        <f t="shared" si="42"/>
        <v>0</v>
      </c>
      <c r="G200" s="73"/>
      <c r="H200" s="97" t="s">
        <v>2553</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hidden="1" outlineLevel="3" x14ac:dyDescent="0.25">
      <c r="A201" s="45"/>
      <c r="B201" s="54"/>
      <c r="C201" s="87">
        <f t="shared" si="41"/>
        <v>4</v>
      </c>
      <c r="D201" s="73"/>
      <c r="E201" s="70">
        <f t="shared" si="42"/>
        <v>0</v>
      </c>
      <c r="F201" s="70">
        <f t="shared" si="42"/>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hidden="1" outlineLevel="3" x14ac:dyDescent="0.25">
      <c r="A202" s="45"/>
      <c r="B202" s="54"/>
      <c r="C202" s="87">
        <f t="shared" si="41"/>
        <v>4</v>
      </c>
      <c r="D202" s="73"/>
      <c r="E202" s="70">
        <f t="shared" si="42"/>
        <v>0</v>
      </c>
      <c r="F202" s="70">
        <f t="shared" si="42"/>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hidden="1" outlineLevel="3" x14ac:dyDescent="0.25">
      <c r="A203" s="45"/>
      <c r="B203" s="54"/>
      <c r="C203" s="87">
        <f t="shared" si="41"/>
        <v>4</v>
      </c>
      <c r="D203" s="73"/>
      <c r="E203" s="70">
        <f t="shared" si="42"/>
        <v>0</v>
      </c>
      <c r="F203" s="70">
        <f t="shared" si="42"/>
        <v>0</v>
      </c>
      <c r="G203" s="73"/>
      <c r="H203" s="76"/>
      <c r="I203" s="173">
        <f t="shared" ref="I203:N204" si="43">I202</f>
        <v>31.1</v>
      </c>
      <c r="J203" s="448">
        <f t="shared" si="43"/>
        <v>4</v>
      </c>
      <c r="K203" s="449">
        <f t="shared" si="43"/>
        <v>5</v>
      </c>
      <c r="L203" s="449">
        <f t="shared" si="43"/>
        <v>5</v>
      </c>
      <c r="M203" s="449">
        <f t="shared" si="43"/>
        <v>5</v>
      </c>
      <c r="N203" s="450">
        <f t="shared" si="43"/>
        <v>3.6</v>
      </c>
      <c r="O203" s="447">
        <v>0</v>
      </c>
      <c r="P203" s="174"/>
      <c r="Q203" s="392">
        <f t="shared" ref="Q203:U204" si="44">Q202</f>
        <v>0.87644444444444447</v>
      </c>
      <c r="R203" s="393">
        <f t="shared" si="44"/>
        <v>0.75088954500719218</v>
      </c>
      <c r="S203" s="393">
        <f t="shared" si="44"/>
        <v>0.75088954500719218</v>
      </c>
      <c r="T203" s="393">
        <f t="shared" si="44"/>
        <v>0.75088954500719218</v>
      </c>
      <c r="U203" s="394">
        <f t="shared" si="44"/>
        <v>0.94890510948905105</v>
      </c>
      <c r="V203" s="175">
        <v>0</v>
      </c>
      <c r="W203" s="174"/>
      <c r="X203" s="392">
        <f t="shared" ref="X203:AB204" si="45">X202</f>
        <v>0.8666666666666667</v>
      </c>
      <c r="Y203" s="393">
        <f t="shared" si="45"/>
        <v>1</v>
      </c>
      <c r="Z203" s="393">
        <f t="shared" si="45"/>
        <v>1</v>
      </c>
      <c r="AA203" s="393">
        <f t="shared" si="45"/>
        <v>1</v>
      </c>
      <c r="AB203" s="394">
        <f t="shared" si="45"/>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hidden="1" outlineLevel="3" x14ac:dyDescent="0.25">
      <c r="A204" s="45"/>
      <c r="B204" s="54"/>
      <c r="C204" s="87">
        <f t="shared" si="41"/>
        <v>4</v>
      </c>
      <c r="D204" s="73"/>
      <c r="E204" s="70">
        <f t="shared" si="42"/>
        <v>0</v>
      </c>
      <c r="F204" s="70">
        <f t="shared" si="42"/>
        <v>0</v>
      </c>
      <c r="G204" s="73"/>
      <c r="H204" s="76"/>
      <c r="I204" s="173">
        <f t="shared" si="43"/>
        <v>31.1</v>
      </c>
      <c r="J204" s="451">
        <f t="shared" si="43"/>
        <v>4</v>
      </c>
      <c r="K204" s="452">
        <f t="shared" si="43"/>
        <v>5</v>
      </c>
      <c r="L204" s="452">
        <f t="shared" si="43"/>
        <v>5</v>
      </c>
      <c r="M204" s="452">
        <f t="shared" si="43"/>
        <v>5</v>
      </c>
      <c r="N204" s="453">
        <f t="shared" si="43"/>
        <v>3.6</v>
      </c>
      <c r="O204" s="447">
        <v>0</v>
      </c>
      <c r="P204" s="174"/>
      <c r="Q204" s="395">
        <f t="shared" si="44"/>
        <v>0.87644444444444447</v>
      </c>
      <c r="R204" s="396">
        <f t="shared" si="44"/>
        <v>0.75088954500719218</v>
      </c>
      <c r="S204" s="396">
        <f t="shared" si="44"/>
        <v>0.75088954500719218</v>
      </c>
      <c r="T204" s="396">
        <f t="shared" si="44"/>
        <v>0.75088954500719218</v>
      </c>
      <c r="U204" s="397">
        <f t="shared" si="44"/>
        <v>0.94890510948905105</v>
      </c>
      <c r="V204" s="175">
        <v>0</v>
      </c>
      <c r="W204" s="174"/>
      <c r="X204" s="395">
        <f t="shared" si="45"/>
        <v>0.8666666666666667</v>
      </c>
      <c r="Y204" s="396">
        <f t="shared" si="45"/>
        <v>1</v>
      </c>
      <c r="Z204" s="396">
        <f t="shared" si="45"/>
        <v>1</v>
      </c>
      <c r="AA204" s="396">
        <f t="shared" si="45"/>
        <v>1</v>
      </c>
      <c r="AB204" s="397">
        <f t="shared" si="45"/>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hidden="1" outlineLevel="3" x14ac:dyDescent="0.25">
      <c r="A205" s="45"/>
      <c r="B205" s="54"/>
      <c r="C205" s="87">
        <f t="shared" si="41"/>
        <v>4</v>
      </c>
      <c r="D205" s="73"/>
      <c r="E205" s="70">
        <f t="shared" si="42"/>
        <v>0</v>
      </c>
      <c r="F205" s="70">
        <f t="shared" si="42"/>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hidden="1" outlineLevel="2" x14ac:dyDescent="0.2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hidden="1" outlineLevel="3" x14ac:dyDescent="0.2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hidden="1" outlineLevel="3" x14ac:dyDescent="0.25">
      <c r="A208" s="45"/>
      <c r="B208" s="54"/>
      <c r="C208" s="87">
        <f t="shared" si="46"/>
        <v>4</v>
      </c>
      <c r="D208" s="73"/>
      <c r="E208" s="70"/>
      <c r="F208" s="70">
        <f t="shared" si="47"/>
        <v>1</v>
      </c>
      <c r="G208" s="73"/>
      <c r="H208" s="97" t="s">
        <v>2554</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2776</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hidden="1" outlineLevel="3" x14ac:dyDescent="0.25">
      <c r="A209" s="45"/>
      <c r="B209" s="54"/>
      <c r="C209" s="87">
        <f t="shared" si="46"/>
        <v>4</v>
      </c>
      <c r="D209" s="73"/>
      <c r="E209" s="70"/>
      <c r="F209" s="70">
        <f t="shared" si="47"/>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hidden="1" outlineLevel="3" x14ac:dyDescent="0.25">
      <c r="A210" s="45"/>
      <c r="B210" s="54"/>
      <c r="C210" s="87">
        <f t="shared" si="46"/>
        <v>4</v>
      </c>
      <c r="D210" s="73"/>
      <c r="E210" s="70"/>
      <c r="F210" s="70">
        <f t="shared" si="47"/>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hidden="1" outlineLevel="3" x14ac:dyDescent="0.25">
      <c r="A211" s="45"/>
      <c r="B211" s="54"/>
      <c r="C211" s="87">
        <f t="shared" si="46"/>
        <v>4</v>
      </c>
      <c r="D211" s="73"/>
      <c r="E211" s="70"/>
      <c r="F211" s="70">
        <f t="shared" si="47"/>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hidden="1" outlineLevel="3" x14ac:dyDescent="0.25">
      <c r="A212" s="45"/>
      <c r="B212" s="54"/>
      <c r="C212" s="87">
        <f t="shared" si="46"/>
        <v>4</v>
      </c>
      <c r="D212" s="73"/>
      <c r="E212" s="70"/>
      <c r="F212" s="70">
        <f t="shared" si="47"/>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hidden="1" outlineLevel="3" x14ac:dyDescent="0.25">
      <c r="A213" s="45"/>
      <c r="B213" s="54"/>
      <c r="C213" s="87">
        <f t="shared" si="46"/>
        <v>4</v>
      </c>
      <c r="D213" s="73"/>
      <c r="E213" s="70"/>
      <c r="F213" s="70">
        <f t="shared" si="47"/>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hidden="1" outlineLevel="2" x14ac:dyDescent="0.2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hidden="1" outlineLevel="3" x14ac:dyDescent="0.2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hidden="1" outlineLevel="3" x14ac:dyDescent="0.25">
      <c r="A216" s="45"/>
      <c r="B216" s="54"/>
      <c r="C216" s="87">
        <f t="shared" si="48"/>
        <v>4</v>
      </c>
      <c r="D216" s="73"/>
      <c r="E216" s="70"/>
      <c r="F216" s="70">
        <f t="shared" si="49"/>
        <v>2</v>
      </c>
      <c r="G216" s="73"/>
      <c r="H216" s="97" t="s">
        <v>2554</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hidden="1" outlineLevel="3" x14ac:dyDescent="0.25">
      <c r="A217" s="45"/>
      <c r="B217" s="54"/>
      <c r="C217" s="87">
        <f t="shared" si="48"/>
        <v>4</v>
      </c>
      <c r="D217" s="73"/>
      <c r="E217" s="70"/>
      <c r="F217" s="70">
        <f t="shared" si="49"/>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hidden="1" outlineLevel="3" x14ac:dyDescent="0.25">
      <c r="A218" s="45"/>
      <c r="B218" s="54"/>
      <c r="C218" s="87">
        <f t="shared" si="48"/>
        <v>4</v>
      </c>
      <c r="D218" s="73"/>
      <c r="E218" s="70"/>
      <c r="F218" s="70">
        <f t="shared" si="49"/>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hidden="1" outlineLevel="3" x14ac:dyDescent="0.25">
      <c r="A219" s="45"/>
      <c r="B219" s="54"/>
      <c r="C219" s="87">
        <f t="shared" si="48"/>
        <v>4</v>
      </c>
      <c r="D219" s="73"/>
      <c r="E219" s="70"/>
      <c r="F219" s="70">
        <f t="shared" si="49"/>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hidden="1" outlineLevel="3" x14ac:dyDescent="0.25">
      <c r="A220" s="45"/>
      <c r="B220" s="54"/>
      <c r="C220" s="87">
        <f t="shared" si="48"/>
        <v>4</v>
      </c>
      <c r="D220" s="73"/>
      <c r="E220" s="70"/>
      <c r="F220" s="70">
        <f t="shared" si="49"/>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hidden="1" outlineLevel="3" x14ac:dyDescent="0.25">
      <c r="A221" s="45"/>
      <c r="B221" s="54"/>
      <c r="C221" s="87">
        <f t="shared" si="48"/>
        <v>4</v>
      </c>
      <c r="D221" s="73"/>
      <c r="E221" s="70"/>
      <c r="F221" s="70">
        <f t="shared" si="49"/>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hidden="1" outlineLevel="2" x14ac:dyDescent="0.25">
      <c r="A222" s="45"/>
      <c r="B222" s="54"/>
      <c r="C222" s="87">
        <f>INT($C$167)+2</f>
        <v>3</v>
      </c>
      <c r="D222" s="73"/>
      <c r="E222" s="70">
        <v>3</v>
      </c>
      <c r="F222" s="70">
        <f>E222</f>
        <v>3</v>
      </c>
      <c r="G222" s="73"/>
      <c r="H222" s="96" t="str">
        <f>INDEX($H$183:$H$190,$E222+1,1)</f>
        <v>Yearling grid (3)</v>
      </c>
      <c r="I222" s="173">
        <f t="shared" ref="I222:N228" si="50">I246</f>
        <v>10.1</v>
      </c>
      <c r="J222" s="444">
        <f t="shared" si="50"/>
        <v>3</v>
      </c>
      <c r="K222" s="445">
        <f t="shared" si="50"/>
        <v>3</v>
      </c>
      <c r="L222" s="445">
        <f t="shared" si="50"/>
        <v>3</v>
      </c>
      <c r="M222" s="445">
        <f t="shared" si="50"/>
        <v>3</v>
      </c>
      <c r="N222" s="446">
        <f t="shared" si="50"/>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hidden="1" outlineLevel="3" x14ac:dyDescent="0.2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8">
        <f t="shared" si="50"/>
        <v>4.4000000000000004</v>
      </c>
      <c r="K223" s="449">
        <f t="shared" si="50"/>
        <v>4.4000000000000004</v>
      </c>
      <c r="L223" s="449">
        <f t="shared" si="50"/>
        <v>4.4000000000000004</v>
      </c>
      <c r="M223" s="449">
        <f t="shared" si="50"/>
        <v>4.4000000000000004</v>
      </c>
      <c r="N223" s="450">
        <f t="shared" si="50"/>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hidden="1" outlineLevel="3" x14ac:dyDescent="0.25">
      <c r="A224" s="45"/>
      <c r="B224" s="54"/>
      <c r="C224" s="87">
        <f t="shared" si="51"/>
        <v>4</v>
      </c>
      <c r="D224" s="73"/>
      <c r="E224" s="70"/>
      <c r="F224" s="70">
        <f t="shared" si="52"/>
        <v>3</v>
      </c>
      <c r="G224" s="73"/>
      <c r="H224" s="179" t="s">
        <v>256</v>
      </c>
      <c r="I224" s="173">
        <f t="shared" si="50"/>
        <v>18.100000000000001</v>
      </c>
      <c r="J224" s="448">
        <f t="shared" si="50"/>
        <v>5</v>
      </c>
      <c r="K224" s="449">
        <f t="shared" si="50"/>
        <v>5.2</v>
      </c>
      <c r="L224" s="449">
        <f t="shared" si="50"/>
        <v>5.2</v>
      </c>
      <c r="M224" s="449">
        <f t="shared" si="50"/>
        <v>5.2</v>
      </c>
      <c r="N224" s="450">
        <f t="shared" si="50"/>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hidden="1" outlineLevel="3" x14ac:dyDescent="0.25">
      <c r="A225" s="45"/>
      <c r="B225" s="54"/>
      <c r="C225" s="87">
        <f t="shared" si="51"/>
        <v>4</v>
      </c>
      <c r="D225" s="73"/>
      <c r="E225" s="70"/>
      <c r="F225" s="70">
        <f t="shared" si="52"/>
        <v>3</v>
      </c>
      <c r="G225" s="73"/>
      <c r="H225" s="76"/>
      <c r="I225" s="173">
        <f t="shared" si="50"/>
        <v>35.1</v>
      </c>
      <c r="J225" s="448">
        <f t="shared" si="50"/>
        <v>4.5</v>
      </c>
      <c r="K225" s="449">
        <f t="shared" si="50"/>
        <v>4.9000000000000004</v>
      </c>
      <c r="L225" s="449">
        <f t="shared" si="50"/>
        <v>4.9000000000000004</v>
      </c>
      <c r="M225" s="449">
        <f t="shared" si="50"/>
        <v>4.9000000000000004</v>
      </c>
      <c r="N225" s="450">
        <f t="shared" si="50"/>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hidden="1" outlineLevel="3" x14ac:dyDescent="0.25">
      <c r="A226" s="45"/>
      <c r="B226" s="54"/>
      <c r="C226" s="87">
        <f t="shared" si="51"/>
        <v>4</v>
      </c>
      <c r="D226" s="73"/>
      <c r="E226" s="70"/>
      <c r="F226" s="70">
        <f t="shared" si="52"/>
        <v>3</v>
      </c>
      <c r="G226" s="73"/>
      <c r="H226" s="76"/>
      <c r="I226" s="173">
        <f t="shared" si="50"/>
        <v>40.1</v>
      </c>
      <c r="J226" s="448">
        <f t="shared" si="50"/>
        <v>4.4000000000000004</v>
      </c>
      <c r="K226" s="449">
        <f t="shared" si="50"/>
        <v>4.5999999999999996</v>
      </c>
      <c r="L226" s="449">
        <f t="shared" si="50"/>
        <v>4.5999999999999996</v>
      </c>
      <c r="M226" s="449">
        <f t="shared" si="50"/>
        <v>4.5999999999999996</v>
      </c>
      <c r="N226" s="450">
        <f t="shared" si="50"/>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hidden="1" outlineLevel="3" x14ac:dyDescent="0.25">
      <c r="A227" s="45"/>
      <c r="B227" s="54"/>
      <c r="C227" s="87">
        <f t="shared" si="51"/>
        <v>4</v>
      </c>
      <c r="D227" s="73"/>
      <c r="E227" s="70"/>
      <c r="F227" s="70">
        <f t="shared" si="52"/>
        <v>3</v>
      </c>
      <c r="G227" s="73"/>
      <c r="H227" s="76"/>
      <c r="I227" s="173">
        <f t="shared" si="50"/>
        <v>45.1</v>
      </c>
      <c r="J227" s="448">
        <f t="shared" si="50"/>
        <v>4</v>
      </c>
      <c r="K227" s="449">
        <f t="shared" si="50"/>
        <v>4</v>
      </c>
      <c r="L227" s="449">
        <f t="shared" si="50"/>
        <v>4</v>
      </c>
      <c r="M227" s="449">
        <f t="shared" si="50"/>
        <v>4</v>
      </c>
      <c r="N227" s="450">
        <f t="shared" si="50"/>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hidden="1" outlineLevel="3" x14ac:dyDescent="0.25">
      <c r="A228" s="45"/>
      <c r="B228" s="54"/>
      <c r="C228" s="87">
        <f t="shared" si="51"/>
        <v>4</v>
      </c>
      <c r="D228" s="73"/>
      <c r="E228" s="70"/>
      <c r="F228" s="70">
        <f t="shared" si="52"/>
        <v>3</v>
      </c>
      <c r="G228" s="73"/>
      <c r="H228" s="76"/>
      <c r="I228" s="173">
        <f t="shared" si="50"/>
        <v>45.1</v>
      </c>
      <c r="J228" s="451">
        <f t="shared" si="50"/>
        <v>4</v>
      </c>
      <c r="K228" s="452">
        <f t="shared" si="50"/>
        <v>4</v>
      </c>
      <c r="L228" s="452">
        <f t="shared" si="50"/>
        <v>4</v>
      </c>
      <c r="M228" s="452">
        <f t="shared" si="50"/>
        <v>4</v>
      </c>
      <c r="N228" s="453">
        <f t="shared" si="50"/>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hidden="1" outlineLevel="3" x14ac:dyDescent="0.25">
      <c r="A229" s="45"/>
      <c r="B229" s="54"/>
      <c r="C229" s="87">
        <f t="shared" si="51"/>
        <v>4</v>
      </c>
      <c r="D229" s="73"/>
      <c r="E229" s="70"/>
      <c r="F229" s="70">
        <f t="shared" si="52"/>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hidden="1" outlineLevel="2" x14ac:dyDescent="0.2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3">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hidden="1" outlineLevel="3" x14ac:dyDescent="0.2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3"/>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hidden="1" outlineLevel="3" x14ac:dyDescent="0.25">
      <c r="A232" s="45"/>
      <c r="B232" s="54"/>
      <c r="C232" s="87">
        <f t="shared" si="54"/>
        <v>4</v>
      </c>
      <c r="D232" s="73"/>
      <c r="E232" s="70"/>
      <c r="F232" s="70">
        <f t="shared" si="55"/>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3"/>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hidden="1" outlineLevel="3" x14ac:dyDescent="0.25">
      <c r="A233" s="45"/>
      <c r="B233" s="54"/>
      <c r="C233" s="87">
        <f t="shared" si="54"/>
        <v>4</v>
      </c>
      <c r="D233" s="73"/>
      <c r="E233" s="70"/>
      <c r="F233" s="70">
        <f t="shared" si="55"/>
        <v>4</v>
      </c>
      <c r="G233" s="73"/>
      <c r="H233" s="97" t="s">
        <v>2555</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3"/>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hidden="1" outlineLevel="3" x14ac:dyDescent="0.25">
      <c r="A234" s="45"/>
      <c r="B234" s="54"/>
      <c r="C234" s="87">
        <f t="shared" si="54"/>
        <v>4</v>
      </c>
      <c r="D234" s="73"/>
      <c r="E234" s="70"/>
      <c r="F234" s="70">
        <f t="shared" si="55"/>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3"/>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hidden="1" outlineLevel="3" x14ac:dyDescent="0.25">
      <c r="A235" s="45"/>
      <c r="B235" s="54"/>
      <c r="C235" s="87">
        <f t="shared" si="54"/>
        <v>4</v>
      </c>
      <c r="D235" s="73"/>
      <c r="E235" s="70"/>
      <c r="F235" s="70">
        <f t="shared" si="55"/>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3"/>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hidden="1" outlineLevel="3" x14ac:dyDescent="0.25">
      <c r="A236" s="45"/>
      <c r="B236" s="54"/>
      <c r="C236" s="87">
        <f t="shared" si="54"/>
        <v>4</v>
      </c>
      <c r="D236" s="73"/>
      <c r="E236" s="70"/>
      <c r="F236" s="70">
        <f t="shared" si="55"/>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3"/>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hidden="1" outlineLevel="3" x14ac:dyDescent="0.25">
      <c r="A237" s="45"/>
      <c r="B237" s="54"/>
      <c r="C237" s="87">
        <f t="shared" si="54"/>
        <v>4</v>
      </c>
      <c r="D237" s="73"/>
      <c r="E237" s="70"/>
      <c r="F237" s="70">
        <f t="shared" si="55"/>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hidden="1" outlineLevel="2" x14ac:dyDescent="0.2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hidden="1" outlineLevel="3" x14ac:dyDescent="0.2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hidden="1" outlineLevel="3" x14ac:dyDescent="0.25">
      <c r="A240" s="45"/>
      <c r="B240" s="54"/>
      <c r="C240" s="87">
        <f t="shared" si="56"/>
        <v>4</v>
      </c>
      <c r="D240" s="73"/>
      <c r="E240" s="70"/>
      <c r="F240" s="70">
        <f t="shared" si="57"/>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hidden="1" outlineLevel="3" x14ac:dyDescent="0.25">
      <c r="A241" s="45"/>
      <c r="B241" s="54"/>
      <c r="C241" s="87">
        <f t="shared" si="56"/>
        <v>4</v>
      </c>
      <c r="D241" s="73"/>
      <c r="E241" s="70"/>
      <c r="F241" s="70">
        <f t="shared" si="57"/>
        <v>5</v>
      </c>
      <c r="G241" s="73"/>
      <c r="H241" s="97" t="s">
        <v>2556</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hidden="1" outlineLevel="3" x14ac:dyDescent="0.25">
      <c r="A242" s="45"/>
      <c r="B242" s="54"/>
      <c r="C242" s="87">
        <f t="shared" si="56"/>
        <v>4</v>
      </c>
      <c r="D242" s="73"/>
      <c r="E242" s="70"/>
      <c r="F242" s="70">
        <f t="shared" si="57"/>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hidden="1" outlineLevel="3" x14ac:dyDescent="0.25">
      <c r="A243" s="45"/>
      <c r="B243" s="54"/>
      <c r="C243" s="87">
        <f t="shared" si="56"/>
        <v>4</v>
      </c>
      <c r="D243" s="73"/>
      <c r="E243" s="70"/>
      <c r="F243" s="70">
        <f t="shared" si="57"/>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hidden="1" outlineLevel="3" x14ac:dyDescent="0.25">
      <c r="A244" s="45"/>
      <c r="B244" s="54"/>
      <c r="C244" s="87">
        <f t="shared" si="56"/>
        <v>4</v>
      </c>
      <c r="D244" s="73"/>
      <c r="E244" s="70"/>
      <c r="F244" s="70">
        <f t="shared" si="57"/>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hidden="1" outlineLevel="3" x14ac:dyDescent="0.25">
      <c r="A245" s="45"/>
      <c r="B245" s="54"/>
      <c r="C245" s="87">
        <f t="shared" si="56"/>
        <v>4</v>
      </c>
      <c r="D245" s="73"/>
      <c r="E245" s="70"/>
      <c r="F245" s="70">
        <f t="shared" si="57"/>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hidden="1" outlineLevel="2" x14ac:dyDescent="0.2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hidden="1" outlineLevel="3" x14ac:dyDescent="0.2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hidden="1" outlineLevel="3" x14ac:dyDescent="0.25">
      <c r="A248" s="45"/>
      <c r="B248" s="54"/>
      <c r="C248" s="87">
        <f t="shared" si="58"/>
        <v>4</v>
      </c>
      <c r="D248" s="73"/>
      <c r="E248" s="70"/>
      <c r="F248" s="70">
        <f t="shared" si="59"/>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hidden="1" outlineLevel="3" x14ac:dyDescent="0.25">
      <c r="A249" s="45"/>
      <c r="B249" s="54"/>
      <c r="C249" s="87">
        <f t="shared" si="58"/>
        <v>4</v>
      </c>
      <c r="D249" s="73"/>
      <c r="E249" s="70"/>
      <c r="F249" s="70">
        <f t="shared" si="59"/>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hidden="1" outlineLevel="3" x14ac:dyDescent="0.25">
      <c r="A250" s="45"/>
      <c r="B250" s="54"/>
      <c r="C250" s="87">
        <f t="shared" si="58"/>
        <v>4</v>
      </c>
      <c r="D250" s="73"/>
      <c r="E250" s="70"/>
      <c r="F250" s="70">
        <f t="shared" si="59"/>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hidden="1" outlineLevel="3" x14ac:dyDescent="0.25">
      <c r="A251" s="45"/>
      <c r="B251" s="54"/>
      <c r="C251" s="87">
        <f t="shared" si="58"/>
        <v>4</v>
      </c>
      <c r="D251" s="73"/>
      <c r="E251" s="70"/>
      <c r="F251" s="70">
        <f t="shared" si="59"/>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hidden="1" outlineLevel="3" x14ac:dyDescent="0.25">
      <c r="A252" s="45"/>
      <c r="B252" s="54"/>
      <c r="C252" s="87">
        <f t="shared" si="58"/>
        <v>4</v>
      </c>
      <c r="D252" s="73"/>
      <c r="E252" s="70"/>
      <c r="F252" s="70">
        <f t="shared" si="59"/>
        <v>6</v>
      </c>
      <c r="G252" s="73"/>
      <c r="H252" s="76"/>
      <c r="I252" s="173">
        <f t="shared" ref="I252:N252" si="60">I251</f>
        <v>45.1</v>
      </c>
      <c r="J252" s="465">
        <f t="shared" si="60"/>
        <v>4</v>
      </c>
      <c r="K252" s="466">
        <f t="shared" si="60"/>
        <v>4</v>
      </c>
      <c r="L252" s="466">
        <f t="shared" si="60"/>
        <v>4</v>
      </c>
      <c r="M252" s="466">
        <f t="shared" si="60"/>
        <v>4</v>
      </c>
      <c r="N252" s="467">
        <f t="shared" si="60"/>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hidden="1" outlineLevel="3" x14ac:dyDescent="0.25">
      <c r="A253" s="45"/>
      <c r="B253" s="54"/>
      <c r="C253" s="87">
        <f t="shared" si="58"/>
        <v>4</v>
      </c>
      <c r="D253" s="73"/>
      <c r="E253" s="70"/>
      <c r="F253" s="70">
        <f t="shared" si="59"/>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hidden="1" outlineLevel="2" x14ac:dyDescent="0.2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hidden="1" outlineLevel="3" x14ac:dyDescent="0.2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hidden="1" outlineLevel="3" x14ac:dyDescent="0.25">
      <c r="A256" s="45"/>
      <c r="B256" s="54"/>
      <c r="C256" s="87">
        <f t="shared" si="61"/>
        <v>4</v>
      </c>
      <c r="D256" s="73"/>
      <c r="E256" s="70"/>
      <c r="F256" s="70">
        <f t="shared" si="62"/>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hidden="1" outlineLevel="3" x14ac:dyDescent="0.25">
      <c r="A257" s="45"/>
      <c r="B257" s="54"/>
      <c r="C257" s="87">
        <f t="shared" si="61"/>
        <v>4</v>
      </c>
      <c r="D257" s="73"/>
      <c r="E257" s="70"/>
      <c r="F257" s="70">
        <f t="shared" si="62"/>
        <v>7</v>
      </c>
      <c r="G257" s="73"/>
      <c r="H257" s="76"/>
      <c r="I257" s="173">
        <f t="shared" ref="I257:N260" si="63">I256</f>
        <v>30</v>
      </c>
      <c r="J257" s="468">
        <f t="shared" si="63"/>
        <v>1</v>
      </c>
      <c r="K257" s="469">
        <f t="shared" si="63"/>
        <v>1</v>
      </c>
      <c r="L257" s="469">
        <f t="shared" si="63"/>
        <v>1</v>
      </c>
      <c r="M257" s="469">
        <f t="shared" si="63"/>
        <v>1</v>
      </c>
      <c r="N257" s="470">
        <f t="shared" si="63"/>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hidden="1" outlineLevel="3" x14ac:dyDescent="0.25">
      <c r="A258" s="45"/>
      <c r="B258" s="54"/>
      <c r="C258" s="87">
        <f t="shared" si="61"/>
        <v>4</v>
      </c>
      <c r="D258" s="73"/>
      <c r="E258" s="70"/>
      <c r="F258" s="70">
        <f t="shared" si="62"/>
        <v>7</v>
      </c>
      <c r="G258" s="73"/>
      <c r="H258" s="76"/>
      <c r="I258" s="173">
        <f t="shared" si="63"/>
        <v>30</v>
      </c>
      <c r="J258" s="468">
        <f t="shared" si="63"/>
        <v>1</v>
      </c>
      <c r="K258" s="469">
        <f t="shared" si="63"/>
        <v>1</v>
      </c>
      <c r="L258" s="469">
        <f t="shared" si="63"/>
        <v>1</v>
      </c>
      <c r="M258" s="469">
        <f t="shared" si="63"/>
        <v>1</v>
      </c>
      <c r="N258" s="470">
        <f t="shared" si="63"/>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hidden="1" outlineLevel="3" x14ac:dyDescent="0.25">
      <c r="A259" s="45"/>
      <c r="B259" s="54"/>
      <c r="C259" s="87">
        <f t="shared" si="61"/>
        <v>4</v>
      </c>
      <c r="D259" s="73"/>
      <c r="E259" s="70"/>
      <c r="F259" s="70">
        <f t="shared" si="62"/>
        <v>7</v>
      </c>
      <c r="G259" s="73"/>
      <c r="H259" s="76"/>
      <c r="I259" s="173">
        <f t="shared" si="63"/>
        <v>30</v>
      </c>
      <c r="J259" s="468">
        <f t="shared" si="63"/>
        <v>1</v>
      </c>
      <c r="K259" s="469">
        <f t="shared" si="63"/>
        <v>1</v>
      </c>
      <c r="L259" s="469">
        <f t="shared" si="63"/>
        <v>1</v>
      </c>
      <c r="M259" s="469">
        <f t="shared" si="63"/>
        <v>1</v>
      </c>
      <c r="N259" s="470">
        <f t="shared" si="63"/>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hidden="1" outlineLevel="3" x14ac:dyDescent="0.25">
      <c r="A260" s="45"/>
      <c r="B260" s="54"/>
      <c r="C260" s="87">
        <f t="shared" si="61"/>
        <v>4</v>
      </c>
      <c r="D260" s="73"/>
      <c r="E260" s="70"/>
      <c r="F260" s="70">
        <f t="shared" si="62"/>
        <v>7</v>
      </c>
      <c r="G260" s="73"/>
      <c r="H260" s="76"/>
      <c r="I260" s="173">
        <f t="shared" si="63"/>
        <v>30</v>
      </c>
      <c r="J260" s="465">
        <f t="shared" si="63"/>
        <v>1</v>
      </c>
      <c r="K260" s="466">
        <f t="shared" si="63"/>
        <v>1</v>
      </c>
      <c r="L260" s="466">
        <f t="shared" si="63"/>
        <v>1</v>
      </c>
      <c r="M260" s="466">
        <f t="shared" si="63"/>
        <v>1</v>
      </c>
      <c r="N260" s="467">
        <f t="shared" si="63"/>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hidden="1" outlineLevel="3" x14ac:dyDescent="0.25">
      <c r="A261" s="45"/>
      <c r="B261" s="54"/>
      <c r="C261" s="87">
        <f t="shared" si="61"/>
        <v>4</v>
      </c>
      <c r="D261" s="73"/>
      <c r="E261" s="70"/>
      <c r="F261" s="70">
        <f t="shared" si="62"/>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0999999999999996" hidden="1"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collapsed="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0999999999999996" hidden="1"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hidden="1"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hidden="1"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hidden="1"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hidden="1"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hidden="1"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hidden="1"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hidden="1"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hidden="1"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hidden="1"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hidden="1"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hidden="1"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hidden="1"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hidden="1"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hidden="1"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hidden="1"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hidden="1"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hidden="1"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hidden="1"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hidden="1"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0999999999999996" hidden="1"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0999999999999996" hidden="1"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0999999999999996" customHeight="1" collapsed="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hidden="1"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hidden="1"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0999999999999996" customHeight="1" outlineLevel="1" collapsed="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hidden="1"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00000000000001" customHeight="1" outlineLevel="1" collapsed="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0999999999999996" hidden="1"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hidden="1"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hidden="1"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hidden="1"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hidden="1"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45" hidden="1" customHeight="1" outlineLevel="2" collapsed="1"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hidden="1"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hidden="1"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collapsed="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0999999999999996" hidden="1"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hidden="1" outlineLevel="3" x14ac:dyDescent="0.2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hidden="1" outlineLevel="3" x14ac:dyDescent="0.2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hidden="1" outlineLevel="3" x14ac:dyDescent="0.2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hidden="1" outlineLevel="3" x14ac:dyDescent="0.2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hidden="1" outlineLevel="3" x14ac:dyDescent="0.2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hidden="1" outlineLevel="3" x14ac:dyDescent="0.2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hidden="1" outlineLevel="3" x14ac:dyDescent="0.2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hidden="1" outlineLevel="3" x14ac:dyDescent="0.2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hidden="1" outlineLevel="3" x14ac:dyDescent="0.2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0999999999999996" hidden="1"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collapsed="1" x14ac:dyDescent="0.2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0999999999999996" hidden="1"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5" hidden="1" outlineLevel="3" x14ac:dyDescent="0.25">
      <c r="A317" s="45"/>
      <c r="B317" s="54"/>
      <c r="C317" s="87">
        <f t="shared" ref="C317:C322" si="65">INT($C$293)+3</f>
        <v>4</v>
      </c>
      <c r="D317" s="73"/>
      <c r="E317" s="70"/>
      <c r="F317" s="70"/>
      <c r="G317" s="73"/>
      <c r="H317" s="187"/>
      <c r="I317" s="76"/>
      <c r="J317" s="270" t="s">
        <v>2140</v>
      </c>
      <c r="K317" s="270" t="s">
        <v>2136</v>
      </c>
      <c r="L317" s="270" t="s">
        <v>2137</v>
      </c>
      <c r="M317" s="270" t="s">
        <v>2955</v>
      </c>
      <c r="N317" s="270" t="s">
        <v>2954</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hidden="1" outlineLevel="3" x14ac:dyDescent="0.25">
      <c r="A318" s="45"/>
      <c r="B318" s="54"/>
      <c r="C318" s="87">
        <f t="shared" si="65"/>
        <v>4</v>
      </c>
      <c r="D318" s="73"/>
      <c r="E318" s="70"/>
      <c r="F318" s="70"/>
      <c r="G318" s="73"/>
      <c r="H318" s="76"/>
      <c r="I318" s="76"/>
      <c r="J318" s="96" t="s">
        <v>2141</v>
      </c>
      <c r="K318" s="96" t="s">
        <v>2138</v>
      </c>
      <c r="L318" s="96" t="s">
        <v>2139</v>
      </c>
      <c r="M318" s="96" t="s">
        <v>2952</v>
      </c>
      <c r="N318" s="96" t="s">
        <v>2953</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hidden="1" outlineLevel="3" x14ac:dyDescent="0.25">
      <c r="A319" s="45"/>
      <c r="B319" s="54"/>
      <c r="C319" s="87">
        <f t="shared" si="65"/>
        <v>4</v>
      </c>
      <c r="D319" s="73"/>
      <c r="E319" s="70"/>
      <c r="F319" s="70">
        <v>0</v>
      </c>
      <c r="G319" s="73"/>
      <c r="H319" s="188" t="s">
        <v>2142</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hidden="1" outlineLevel="3" x14ac:dyDescent="0.25">
      <c r="A320" s="45"/>
      <c r="B320" s="54"/>
      <c r="C320" s="87">
        <f t="shared" si="65"/>
        <v>4</v>
      </c>
      <c r="D320" s="73"/>
      <c r="E320" s="70"/>
      <c r="F320" s="70">
        <v>1</v>
      </c>
      <c r="G320" s="73"/>
      <c r="H320" s="188" t="s">
        <v>2134</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hidden="1" outlineLevel="3" x14ac:dyDescent="0.2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hidden="1" outlineLevel="3" x14ac:dyDescent="0.2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0999999999999996" hidden="1"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collapsed="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0999999999999996" hidden="1"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2.5" hidden="1" outlineLevel="2" x14ac:dyDescent="0.25">
      <c r="A326" s="45"/>
      <c r="B326" s="54"/>
      <c r="C326" s="87">
        <f>INT($C$293)+2</f>
        <v>3</v>
      </c>
      <c r="D326" s="73"/>
      <c r="E326" s="70"/>
      <c r="F326" s="70"/>
      <c r="G326" s="73"/>
      <c r="H326" s="109"/>
      <c r="I326" s="109"/>
      <c r="J326" s="109"/>
      <c r="K326" s="109"/>
      <c r="L326" s="109" t="s">
        <v>3016</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hidden="1"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2973</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hidden="1"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2974</v>
      </c>
      <c r="U328" s="191" t="s">
        <v>2972</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hidden="1" outlineLevel="3" x14ac:dyDescent="0.25">
      <c r="A329" s="45"/>
      <c r="B329" s="54"/>
      <c r="C329" s="87">
        <f>INT($C$293)+3</f>
        <v>4</v>
      </c>
      <c r="D329" s="73"/>
      <c r="E329" s="70"/>
      <c r="F329" s="70"/>
      <c r="G329" s="73"/>
      <c r="H329" s="76" t="s">
        <v>2971</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hidden="1" outlineLevel="3" x14ac:dyDescent="0.2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hidden="1" outlineLevel="3" x14ac:dyDescent="0.2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hidden="1" outlineLevel="3" x14ac:dyDescent="0.2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hidden="1" outlineLevel="3" x14ac:dyDescent="0.2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41"/>
      <c r="AT333" s="441"/>
    </row>
    <row r="334" spans="1:46" hidden="1" outlineLevel="3" x14ac:dyDescent="0.2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hidden="1" outlineLevel="3" x14ac:dyDescent="0.2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41"/>
      <c r="AT335" s="441"/>
    </row>
    <row r="336" spans="1:46" ht="33.75" hidden="1" outlineLevel="3" x14ac:dyDescent="0.2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2975</v>
      </c>
      <c r="U336" s="194" t="s">
        <v>2975</v>
      </c>
      <c r="V336" s="194"/>
      <c r="W336" s="194"/>
      <c r="X336" s="194" t="s">
        <v>2977</v>
      </c>
      <c r="Y336" s="194" t="s">
        <v>346</v>
      </c>
      <c r="Z336" s="194" t="s">
        <v>347</v>
      </c>
      <c r="AA336" s="194" t="s">
        <v>2977</v>
      </c>
      <c r="AB336" s="194" t="s">
        <v>2976</v>
      </c>
      <c r="AC336" s="194"/>
      <c r="AD336" s="194"/>
      <c r="AE336" s="194"/>
      <c r="AF336" s="194" t="s">
        <v>2978</v>
      </c>
      <c r="AG336" s="194"/>
      <c r="AH336" s="474"/>
      <c r="AI336" s="474"/>
      <c r="AJ336" s="474"/>
      <c r="AK336" s="474"/>
      <c r="AL336" s="474"/>
      <c r="AM336" s="474"/>
      <c r="AN336" s="73"/>
      <c r="AO336" s="57"/>
      <c r="AP336" s="45"/>
      <c r="AQ336" s="45"/>
      <c r="AR336" s="45"/>
      <c r="AS336" s="441"/>
      <c r="AT336" s="441"/>
    </row>
    <row r="337" spans="1:46" ht="5.0999999999999996" hidden="1" customHeight="1" outlineLevel="2" collapsed="1"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hidden="1"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collapsed="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0999999999999996" hidden="1"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hidden="1"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hidden="1"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41"/>
      <c r="AT342" s="441"/>
    </row>
    <row r="343" spans="1:46" hidden="1"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5"/>
      <c r="AI343" s="475"/>
      <c r="AJ343" s="475"/>
      <c r="AK343" s="475"/>
      <c r="AL343" s="475"/>
      <c r="AM343" s="475"/>
      <c r="AN343" s="73"/>
      <c r="AO343" s="57"/>
      <c r="AP343" s="45"/>
      <c r="AQ343" s="45"/>
      <c r="AR343" s="45"/>
      <c r="AS343" s="441"/>
      <c r="AT343" s="441"/>
    </row>
    <row r="344" spans="1:46" hidden="1" outlineLevel="3" x14ac:dyDescent="0.2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hidden="1" outlineLevel="3" x14ac:dyDescent="0.2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hidden="1" outlineLevel="3" x14ac:dyDescent="0.2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hidden="1" outlineLevel="3" x14ac:dyDescent="0.2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hidden="1" outlineLevel="3" x14ac:dyDescent="0.2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hidden="1" outlineLevel="3" x14ac:dyDescent="0.2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hidden="1" outlineLevel="3" x14ac:dyDescent="0.2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hidden="1" outlineLevel="3" x14ac:dyDescent="0.2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hidden="1" outlineLevel="3" x14ac:dyDescent="0.2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hidden="1" outlineLevel="3" x14ac:dyDescent="0.2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hidden="1" outlineLevel="3" x14ac:dyDescent="0.2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hidden="1" outlineLevel="3" x14ac:dyDescent="0.2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hidden="1" outlineLevel="3" x14ac:dyDescent="0.2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hidden="1" outlineLevel="3" x14ac:dyDescent="0.2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hidden="1" outlineLevel="3" x14ac:dyDescent="0.2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hidden="1" outlineLevel="3" x14ac:dyDescent="0.2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hidden="1" outlineLevel="3" x14ac:dyDescent="0.2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hidden="1" outlineLevel="3" x14ac:dyDescent="0.2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hidden="1" outlineLevel="3" x14ac:dyDescent="0.2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hidden="1" outlineLevel="3" x14ac:dyDescent="0.2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hidden="1" outlineLevel="3" x14ac:dyDescent="0.2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hidden="1" outlineLevel="3" x14ac:dyDescent="0.2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hidden="1" outlineLevel="3" x14ac:dyDescent="0.2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hidden="1" outlineLevel="3" x14ac:dyDescent="0.2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hidden="1" outlineLevel="3" x14ac:dyDescent="0.2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hidden="1" outlineLevel="3" x14ac:dyDescent="0.25">
      <c r="A369" s="45"/>
      <c r="B369" s="54"/>
      <c r="C369" s="87">
        <f t="shared" si="71"/>
        <v>4</v>
      </c>
      <c r="D369" s="73"/>
      <c r="E369" s="70"/>
      <c r="F369" s="70"/>
      <c r="G369" s="73"/>
      <c r="H369" s="76" t="s">
        <v>2330</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hidden="1" outlineLevel="3" x14ac:dyDescent="0.25">
      <c r="A370" s="45"/>
      <c r="B370" s="54"/>
      <c r="C370" s="87">
        <f t="shared" si="71"/>
        <v>4</v>
      </c>
      <c r="D370" s="73"/>
      <c r="E370" s="70"/>
      <c r="F370" s="70"/>
      <c r="G370" s="73"/>
      <c r="H370" s="76" t="s">
        <v>2331</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0999999999999996" hidden="1"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hidden="1"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hidden="1"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0999999999999996" hidden="1"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hidden="1"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hidden="1"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hidden="1"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0999999999999996" hidden="1"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0999999999999996" hidden="1"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0999999999999996" customHeight="1" collapsed="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hidden="1"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hidden="1"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0999999999999996" customHeight="1" outlineLevel="1" collapsed="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hidden="1"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00000000000001" customHeight="1" outlineLevel="1" collapsed="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0999999999999996" hidden="1"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hidden="1"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hidden="1" customHeight="1" outlineLevel="2" x14ac:dyDescent="0.2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hidden="1"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hidden="1" outlineLevel="2" x14ac:dyDescent="0.2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45" hidden="1" customHeight="1" outlineLevel="2" collapsed="1"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hidden="1"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hidden="1"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2676</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25">
      <c r="A400" s="45"/>
      <c r="B400" s="54"/>
      <c r="C400" s="87">
        <f>INT($C$387)+2</f>
        <v>3</v>
      </c>
      <c r="D400" s="73"/>
      <c r="E400" s="70"/>
      <c r="F400" s="70"/>
      <c r="G400" s="73"/>
      <c r="H400" s="76"/>
      <c r="I400" s="231" t="s">
        <v>128</v>
      </c>
      <c r="J400" s="96">
        <v>0</v>
      </c>
      <c r="K400" s="96">
        <v>1</v>
      </c>
      <c r="L400" s="96">
        <v>2</v>
      </c>
      <c r="M400" s="96" t="s">
        <v>2816</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2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25">
      <c r="A404" s="45"/>
      <c r="B404" s="54"/>
      <c r="C404" s="87">
        <f t="shared" si="73"/>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2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2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2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25">
      <c r="A408" s="45"/>
      <c r="B408" s="54"/>
      <c r="C408" s="87">
        <f t="shared" si="73"/>
        <v>4</v>
      </c>
      <c r="D408" s="73"/>
      <c r="E408" s="70"/>
      <c r="F408" s="70"/>
      <c r="G408" s="73"/>
      <c r="H408" s="284" t="s">
        <v>3253</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2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2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2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2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2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25">
      <c r="A414" s="45"/>
      <c r="B414" s="54"/>
      <c r="C414" s="87">
        <f t="shared" si="73"/>
        <v>4</v>
      </c>
      <c r="D414" s="73"/>
      <c r="E414" s="70"/>
      <c r="F414" s="70"/>
      <c r="G414" s="73"/>
      <c r="H414" s="284" t="s">
        <v>2880</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25">
      <c r="A415" s="45"/>
      <c r="B415" s="54"/>
      <c r="C415" s="87">
        <f t="shared" si="73"/>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25">
      <c r="A416" s="45"/>
      <c r="B416" s="54"/>
      <c r="C416" s="87">
        <f t="shared" si="73"/>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25">
      <c r="A417" s="45"/>
      <c r="B417" s="54"/>
      <c r="C417" s="87">
        <f t="shared" si="73"/>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2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2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2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2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0999999999999996" customHeight="1" collapsed="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hidden="1"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hidden="1"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2884</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2881</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2885</v>
      </c>
      <c r="J10" s="18"/>
      <c r="K10" s="18" t="s">
        <v>2886</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2887</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2882</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2883</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2992</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3" t="s">
        <v>2993</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2888</v>
      </c>
      <c r="J33" s="24"/>
      <c r="L33" s="632">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4" t="s">
        <v>2889</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4" t="s">
        <v>2890</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5" t="s">
        <v>2982</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5" t="s">
        <v>2981</v>
      </c>
      <c r="J37" s="24"/>
      <c r="L37" s="631">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2994</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4" t="s">
        <v>2995</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4" t="s">
        <v>2997</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4" t="s">
        <v>2996</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4" t="s">
        <v>3013</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4" t="s">
        <v>3014</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4" t="s">
        <v>3015</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2705</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4" t="s">
        <v>3488</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4" t="s">
        <v>3489</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4" t="s">
        <v>3490</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4" t="s">
        <v>3491</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4" t="s">
        <v>3018</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4" t="s">
        <v>3019</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4" t="s">
        <v>3020</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3003</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3008</v>
      </c>
      <c r="X68" s="21"/>
      <c r="Y68" s="18" t="s">
        <v>3008</v>
      </c>
      <c r="Z68" s="18"/>
      <c r="AA68" s="18"/>
      <c r="AB68" s="21"/>
      <c r="AC68" s="21"/>
      <c r="AD68" s="21"/>
      <c r="AE68" s="17"/>
      <c r="AF68" s="9"/>
      <c r="AG68" s="9"/>
      <c r="AH68" s="9"/>
    </row>
    <row r="69" spans="1:34" ht="12" customHeight="1" x14ac:dyDescent="0.25">
      <c r="A69" s="7"/>
      <c r="B69" s="8"/>
      <c r="C69" s="18"/>
      <c r="D69" s="18"/>
      <c r="E69" s="18"/>
      <c r="F69" s="18"/>
      <c r="G69" s="18" t="s">
        <v>3000</v>
      </c>
      <c r="H69" s="18"/>
      <c r="I69" s="18" t="s">
        <v>3002</v>
      </c>
      <c r="J69" s="18"/>
      <c r="K69" s="18"/>
      <c r="L69" s="18" t="s">
        <v>3001</v>
      </c>
      <c r="M69" s="18"/>
      <c r="N69" s="18" t="s">
        <v>2998</v>
      </c>
      <c r="O69" s="18"/>
      <c r="P69" s="18" t="s">
        <v>2999</v>
      </c>
      <c r="Q69" s="18"/>
      <c r="R69" s="18"/>
      <c r="S69" s="18"/>
      <c r="T69" s="18"/>
      <c r="U69" s="18" t="s">
        <v>3005</v>
      </c>
      <c r="V69" s="21"/>
      <c r="W69" s="18" t="s">
        <v>3006</v>
      </c>
      <c r="X69" s="21"/>
      <c r="Y69" s="18" t="s">
        <v>3007</v>
      </c>
      <c r="Z69" s="18"/>
      <c r="AA69" s="18" t="s">
        <v>3004</v>
      </c>
      <c r="AB69" s="21"/>
      <c r="AC69" s="21"/>
      <c r="AD69" s="21"/>
      <c r="AE69" s="17"/>
      <c r="AF69" s="9"/>
      <c r="AG69" s="9"/>
      <c r="AH69" s="9"/>
    </row>
    <row r="70" spans="1:34" ht="12" customHeight="1" x14ac:dyDescent="0.25">
      <c r="A70" s="7"/>
      <c r="B70" s="8"/>
      <c r="C70" s="18"/>
      <c r="D70" s="18"/>
      <c r="E70" s="18"/>
      <c r="F70" s="24"/>
      <c r="G70" s="384">
        <v>0.01</v>
      </c>
      <c r="H70" s="24"/>
      <c r="I70" s="384">
        <v>6.0000000000000001E-3</v>
      </c>
      <c r="J70" s="24"/>
      <c r="K70" s="24"/>
      <c r="L70" s="384">
        <v>0.4</v>
      </c>
      <c r="N70" s="384">
        <v>0.96</v>
      </c>
      <c r="O70" s="24"/>
      <c r="P70" s="514" t="str">
        <f>General!G65</f>
        <v>b</v>
      </c>
      <c r="Q70" s="384">
        <v>0.32</v>
      </c>
      <c r="R70" s="24"/>
      <c r="S70" s="24"/>
      <c r="T70" t="s">
        <v>3009</v>
      </c>
      <c r="U70" s="477">
        <v>0.4</v>
      </c>
      <c r="V70" s="24"/>
      <c r="W70" s="478">
        <v>1.4999999999999999E-2</v>
      </c>
      <c r="X70" s="488"/>
      <c r="Y70" s="478">
        <v>1.2E-2</v>
      </c>
      <c r="Z70" s="24"/>
      <c r="AA70" s="384">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4" t="str">
        <f>General!G66</f>
        <v>bd</v>
      </c>
      <c r="Q71" s="384">
        <v>0.32</v>
      </c>
      <c r="R71" s="24"/>
      <c r="S71" s="24"/>
      <c r="T71" t="s">
        <v>3010</v>
      </c>
      <c r="U71" s="477">
        <v>0.4</v>
      </c>
      <c r="V71" s="24"/>
      <c r="W71" s="478">
        <v>2.7E-2</v>
      </c>
      <c r="X71" s="488"/>
      <c r="Y71" s="478">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4" t="str">
        <f>General!G67</f>
        <v>f</v>
      </c>
      <c r="Q72" s="384">
        <v>0.51</v>
      </c>
      <c r="R72" s="24"/>
      <c r="S72" s="24"/>
      <c r="T72" t="s">
        <v>3011</v>
      </c>
      <c r="U72" s="477">
        <v>0.8</v>
      </c>
      <c r="V72" s="24"/>
      <c r="W72" s="478">
        <v>1.4999999999999999E-2</v>
      </c>
      <c r="X72" s="488"/>
      <c r="Y72" s="478">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4" t="str">
        <f>General!G68</f>
        <v>h</v>
      </c>
      <c r="Q73" s="384">
        <v>0.43</v>
      </c>
      <c r="R73" s="24"/>
      <c r="S73" s="24"/>
      <c r="T73" t="s">
        <v>3012</v>
      </c>
      <c r="U73" s="477">
        <v>0.4</v>
      </c>
      <c r="V73" s="24"/>
      <c r="W73" s="478">
        <v>1.4999999999999999E-2</v>
      </c>
      <c r="X73" s="488"/>
      <c r="Y73" s="478">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4" t="str">
        <f>General!G69</f>
        <v>i</v>
      </c>
      <c r="Q74" s="384">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4" t="str">
        <f>General!G70</f>
        <v>k</v>
      </c>
      <c r="Q75" s="384">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4" t="str">
        <f>General!G71</f>
        <v>l</v>
      </c>
      <c r="Q76" s="384">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4" t="str">
        <f>General!G72</f>
        <v>lf</v>
      </c>
      <c r="Q77" s="384">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4" t="str">
        <f>General!G73</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4" t="str">
        <f>General!G74</f>
        <v>o</v>
      </c>
      <c r="Q79" s="384">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4" t="str">
        <f>General!G75</f>
        <v>od</v>
      </c>
      <c r="Q80" s="384">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4" t="str">
        <f>General!G76</f>
        <v>of</v>
      </c>
      <c r="Q81" s="384">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4" t="str">
        <f>General!G77</f>
        <v>r</v>
      </c>
      <c r="Q82" s="384">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4" t="str">
        <f>General!G78</f>
        <v>rd</v>
      </c>
      <c r="Q83" s="384">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4" t="str">
        <f>General!G79</f>
        <v>v</v>
      </c>
      <c r="Q84" s="384">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4" t="str">
        <f>General!G80</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4" t="str">
        <f>General!G81</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4" t="str">
        <f>General!G82</f>
        <v>z</v>
      </c>
      <c r="Q87" s="384">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4"/>
      <c r="I88" s="484"/>
      <c r="J88" s="24"/>
      <c r="K88" s="484"/>
      <c r="N88" s="484"/>
      <c r="O88" s="24"/>
      <c r="P88" s="514" t="str">
        <f>General!G83</f>
        <v>zd</v>
      </c>
      <c r="Q88" s="384">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2983</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2990</v>
      </c>
      <c r="M101" s="18"/>
      <c r="N101" s="18" t="s">
        <v>2989</v>
      </c>
      <c r="O101" s="18"/>
      <c r="P101" s="18" t="s">
        <v>2991</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83" t="s">
        <v>2985</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4" t="s">
        <v>2986</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3" t="s">
        <v>2984</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4"/>
      <c r="I106" s="484" t="s">
        <v>2987</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4"/>
      <c r="I107" s="484" t="s">
        <v>2988</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4"/>
      <c r="I110" s="345" t="s">
        <v>3021</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4"/>
      <c r="I111" s="325" t="s">
        <v>3022</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4"/>
      <c r="I112" s="325" t="s">
        <v>3023</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4"/>
      <c r="I113" s="325" t="s">
        <v>3024</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02"/>
  <sheetViews>
    <sheetView topLeftCell="A3" zoomScale="85" zoomScaleNormal="85" workbookViewId="0">
      <pane xSplit="9" ySplit="36" topLeftCell="J935" activePane="bottomRight" state="frozen"/>
      <selection activeCell="A3" sqref="A3"/>
      <selection pane="topRight" activeCell="J3" sqref="J3"/>
      <selection pane="bottomLeft" activeCell="A39" sqref="A39"/>
      <selection pane="bottomRight" activeCell="A944" sqref="A944:XFD947"/>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45932.5419644676</v>
      </c>
      <c r="J11" s="635" t="s">
        <v>3617</v>
      </c>
      <c r="K11" s="636"/>
      <c r="L11" s="636"/>
      <c r="M11" s="636"/>
      <c r="N11" s="636"/>
      <c r="O11" s="636"/>
      <c r="P11" s="636"/>
      <c r="Q11" s="636"/>
      <c r="R11" s="636"/>
      <c r="S11" s="636"/>
      <c r="T11" s="636"/>
      <c r="U11" s="636"/>
      <c r="V11" s="636"/>
      <c r="W11" s="636"/>
      <c r="X11" s="636"/>
      <c r="Y11" s="636"/>
      <c r="Z11" s="636"/>
      <c r="AA11" s="636"/>
      <c r="AB11" s="373"/>
      <c r="AC11" s="373"/>
      <c r="AD11" s="37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45933.265686226798</v>
      </c>
      <c r="J12" s="646" t="s">
        <v>3774</v>
      </c>
      <c r="K12" s="647"/>
      <c r="L12" s="647"/>
      <c r="M12" s="647"/>
      <c r="N12" s="647"/>
      <c r="O12" s="647"/>
      <c r="P12" s="647"/>
      <c r="Q12" s="647"/>
      <c r="R12" s="647"/>
      <c r="S12" s="647"/>
      <c r="T12" s="647"/>
      <c r="U12" s="647"/>
      <c r="V12" s="647"/>
      <c r="W12" s="647"/>
      <c r="X12" s="647"/>
      <c r="Y12" s="647"/>
      <c r="Z12" s="647"/>
      <c r="AA12" s="647"/>
      <c r="AB12" s="375"/>
      <c r="AC12" s="375"/>
      <c r="AD12" s="376"/>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INT(MAX($C$39:$C$2091))+1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2949</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3310</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3292</v>
      </c>
      <c r="X35" s="617" t="s">
        <v>3293</v>
      </c>
      <c r="Y35" s="72" t="s">
        <v>3291</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INT(MAX($C$39:$C$2091))+1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INT(MAX($C$39:$C$2091))+1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3303</v>
      </c>
      <c r="G44" s="73"/>
      <c r="H44" s="129" t="s">
        <v>2969</v>
      </c>
      <c r="I44" s="96" t="s">
        <v>692</v>
      </c>
      <c r="J44" s="96"/>
      <c r="K44" s="76"/>
      <c r="L44" s="76"/>
      <c r="M44" s="76"/>
      <c r="N44" s="76"/>
      <c r="O44" s="76"/>
      <c r="P44" s="76"/>
      <c r="Q44" s="76"/>
      <c r="R44" s="76"/>
      <c r="S44" s="76"/>
      <c r="T44" s="76" t="s">
        <v>3300</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2951</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2968</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3302</v>
      </c>
      <c r="G50" s="73"/>
      <c r="H50" s="129" t="s">
        <v>464</v>
      </c>
      <c r="I50" s="96" t="s">
        <v>465</v>
      </c>
      <c r="J50" s="96"/>
      <c r="K50" s="76"/>
      <c r="L50" s="76"/>
      <c r="M50" s="76"/>
      <c r="N50" s="76"/>
      <c r="O50" s="76"/>
      <c r="P50" s="76"/>
      <c r="Q50" s="76"/>
      <c r="R50" s="76"/>
      <c r="S50" s="76"/>
      <c r="T50" s="76" t="s">
        <v>3300</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3301</v>
      </c>
      <c r="G51" s="73"/>
      <c r="H51" s="129" t="s">
        <v>466</v>
      </c>
      <c r="I51" s="96" t="s">
        <v>1403</v>
      </c>
      <c r="J51" s="96"/>
      <c r="K51" s="76"/>
      <c r="L51" s="76"/>
      <c r="M51" s="76"/>
      <c r="N51" s="76"/>
      <c r="O51" s="76"/>
      <c r="P51" s="76"/>
      <c r="Q51" s="76"/>
      <c r="R51" s="76"/>
      <c r="S51" s="76"/>
      <c r="T51" s="76" t="s">
        <v>3300</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2959</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2960</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2961</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2962</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2963</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2964</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2522</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2548</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2549</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2724</v>
      </c>
      <c r="I60" s="96" t="s">
        <v>2366</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2519</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2723</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2722</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2723</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2723</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2742</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2571</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2950</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2764</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2915</v>
      </c>
      <c r="G111" s="73"/>
      <c r="H111" s="76" t="s">
        <v>2916</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2917</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2918</v>
      </c>
      <c r="G112" s="73" t="s">
        <v>131</v>
      </c>
      <c r="H112" s="76" t="s">
        <v>2919</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2917</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2920</v>
      </c>
      <c r="G113" s="73" t="s">
        <v>131</v>
      </c>
      <c r="H113" s="76" t="s">
        <v>2921</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2922</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2923</v>
      </c>
      <c r="G114" s="73" t="s">
        <v>131</v>
      </c>
      <c r="H114" s="76" t="s">
        <v>2924</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2925</v>
      </c>
      <c r="G115" s="73" t="s">
        <v>131</v>
      </c>
      <c r="H115" s="76" t="s">
        <v>2926</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2927</v>
      </c>
      <c r="G116" s="73" t="s">
        <v>131</v>
      </c>
      <c r="H116" s="76" t="s">
        <v>2928</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2929</v>
      </c>
      <c r="G117" s="73" t="s">
        <v>131</v>
      </c>
      <c r="H117" s="76" t="s">
        <v>2930</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2931</v>
      </c>
      <c r="G118" s="73" t="s">
        <v>131</v>
      </c>
      <c r="H118" s="76" t="s">
        <v>2932</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2933</v>
      </c>
      <c r="G119" s="73" t="s">
        <v>131</v>
      </c>
      <c r="H119" s="76" t="s">
        <v>2934</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2935</v>
      </c>
      <c r="G120" s="73" t="s">
        <v>131</v>
      </c>
      <c r="H120" s="76" t="s">
        <v>2936</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2937</v>
      </c>
      <c r="G121" s="73" t="s">
        <v>131</v>
      </c>
      <c r="H121" s="76" t="s">
        <v>2938</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2939</v>
      </c>
      <c r="G122" s="73" t="s">
        <v>131</v>
      </c>
      <c r="H122" s="76" t="s">
        <v>2940</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2941</v>
      </c>
      <c r="G123" s="73" t="s">
        <v>131</v>
      </c>
      <c r="H123" s="76" t="s">
        <v>2942</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2943</v>
      </c>
      <c r="G124" s="73" t="s">
        <v>131</v>
      </c>
      <c r="H124" s="76" t="s">
        <v>2944</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2945</v>
      </c>
      <c r="G125" s="73" t="s">
        <v>131</v>
      </c>
      <c r="H125" s="76" t="s">
        <v>2946</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3300</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2835</v>
      </c>
      <c r="S175" s="76" t="s">
        <v>2835</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2835</v>
      </c>
      <c r="S176" s="76" t="s">
        <v>2835</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2834</v>
      </c>
      <c r="I177" s="96" t="s">
        <v>502</v>
      </c>
      <c r="J177" s="96"/>
      <c r="K177" s="97">
        <v>0.85</v>
      </c>
      <c r="L177" s="97">
        <v>0.85</v>
      </c>
      <c r="M177" s="97">
        <v>0.85</v>
      </c>
      <c r="N177" s="97">
        <v>0.85</v>
      </c>
      <c r="O177" s="97">
        <v>0.85</v>
      </c>
      <c r="P177" s="97">
        <v>0.85</v>
      </c>
      <c r="Q177" s="76"/>
      <c r="R177" s="76" t="s">
        <v>2835</v>
      </c>
      <c r="S177" s="76" t="s">
        <v>2835</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2837</v>
      </c>
      <c r="S178" s="76" t="s">
        <v>2837</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2835</v>
      </c>
      <c r="S179" s="76" t="s">
        <v>2835</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2835</v>
      </c>
      <c r="S180" s="76" t="s">
        <v>2835</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2838</v>
      </c>
      <c r="S181" s="76" t="s">
        <v>2838</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2835</v>
      </c>
      <c r="S182" s="76" t="s">
        <v>2835</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2835</v>
      </c>
      <c r="S183" s="76" t="s">
        <v>2835</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2835</v>
      </c>
      <c r="S184" s="76" t="s">
        <v>2835</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2835</v>
      </c>
      <c r="S185" s="76" t="s">
        <v>2835</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2836</v>
      </c>
      <c r="I186" s="96" t="s">
        <v>502</v>
      </c>
      <c r="J186" s="96"/>
      <c r="K186" s="97">
        <v>0.7</v>
      </c>
      <c r="L186" s="97">
        <v>0.7</v>
      </c>
      <c r="M186" s="97">
        <v>0.7</v>
      </c>
      <c r="N186" s="97">
        <v>0.7</v>
      </c>
      <c r="O186" s="97">
        <v>0.7</v>
      </c>
      <c r="P186" s="97">
        <v>0.7</v>
      </c>
      <c r="Q186" s="76"/>
      <c r="R186" s="76" t="s">
        <v>2835</v>
      </c>
      <c r="S186" s="76" t="s">
        <v>2835</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2835</v>
      </c>
      <c r="S187" s="76" t="s">
        <v>2835</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2835</v>
      </c>
      <c r="S188" s="76" t="s">
        <v>2835</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2835</v>
      </c>
      <c r="S189" s="76" t="s">
        <v>2835</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2835</v>
      </c>
      <c r="S190" s="76" t="s">
        <v>2835</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3254</v>
      </c>
      <c r="I191" s="96" t="s">
        <v>626</v>
      </c>
      <c r="J191" s="96"/>
      <c r="K191" s="97">
        <v>0.43</v>
      </c>
      <c r="L191" s="97">
        <v>0.43</v>
      </c>
      <c r="M191" s="76"/>
      <c r="N191" s="76"/>
      <c r="O191" s="76"/>
      <c r="P191" s="76"/>
      <c r="Q191" s="76"/>
      <c r="R191" s="76" t="s">
        <v>2835</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2821</v>
      </c>
      <c r="G192" s="73"/>
      <c r="H192" s="76" t="s">
        <v>3202</v>
      </c>
      <c r="I192" s="96" t="s">
        <v>2833</v>
      </c>
      <c r="J192" s="96"/>
      <c r="K192" s="97">
        <v>8.9999999999999993E-3</v>
      </c>
      <c r="L192" s="97">
        <v>8.9999999999999993E-3</v>
      </c>
      <c r="M192" s="97">
        <v>8.9999999999999993E-3</v>
      </c>
      <c r="N192" s="97">
        <v>8.9999999999999993E-3</v>
      </c>
      <c r="O192" s="97">
        <v>8.9999999999999993E-3</v>
      </c>
      <c r="P192" s="97">
        <v>8.9999999999999993E-3</v>
      </c>
      <c r="Q192" s="76"/>
      <c r="R192" s="76" t="s">
        <v>3199</v>
      </c>
      <c r="S192" s="76" t="s">
        <v>3199</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2822</v>
      </c>
      <c r="G193" s="73"/>
      <c r="H193" s="76" t="s">
        <v>3203</v>
      </c>
      <c r="I193" s="96" t="s">
        <v>2833</v>
      </c>
      <c r="J193" s="96"/>
      <c r="K193" s="97">
        <v>7.6536</v>
      </c>
      <c r="L193" s="97">
        <v>7.6536</v>
      </c>
      <c r="M193" s="97">
        <v>7.6536</v>
      </c>
      <c r="N193" s="97">
        <v>7.6536</v>
      </c>
      <c r="O193" s="97">
        <v>7.6536</v>
      </c>
      <c r="P193" s="97">
        <v>7.6536</v>
      </c>
      <c r="Q193" s="76"/>
      <c r="R193" s="76" t="s">
        <v>3199</v>
      </c>
      <c r="S193" s="76" t="s">
        <v>3199</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2826</v>
      </c>
      <c r="G194" s="73"/>
      <c r="H194" s="76" t="s">
        <v>2873</v>
      </c>
      <c r="I194" s="96" t="s">
        <v>2833</v>
      </c>
      <c r="J194" s="96"/>
      <c r="K194" s="97">
        <v>0.43</v>
      </c>
      <c r="L194" s="97">
        <v>0.43</v>
      </c>
      <c r="M194" s="97">
        <v>0.43</v>
      </c>
      <c r="N194" s="97">
        <v>0.43</v>
      </c>
      <c r="O194" s="97">
        <v>0.43</v>
      </c>
      <c r="P194" s="97">
        <v>0.43</v>
      </c>
      <c r="Q194" s="76"/>
      <c r="R194" s="76" t="s">
        <v>2832</v>
      </c>
      <c r="S194" s="76" t="s">
        <v>2832</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2827</v>
      </c>
      <c r="G195" s="73"/>
      <c r="H195" s="76" t="s">
        <v>2874</v>
      </c>
      <c r="I195" s="96" t="s">
        <v>2833</v>
      </c>
      <c r="J195" s="96"/>
      <c r="K195" s="97">
        <f>1/0.4-1</f>
        <v>1.5</v>
      </c>
      <c r="L195" s="97">
        <f t="shared" ref="L195:P196" si="31">K195</f>
        <v>1.5</v>
      </c>
      <c r="M195" s="97">
        <f t="shared" si="31"/>
        <v>1.5</v>
      </c>
      <c r="N195" s="97">
        <f t="shared" si="31"/>
        <v>1.5</v>
      </c>
      <c r="O195" s="97">
        <f t="shared" si="31"/>
        <v>1.5</v>
      </c>
      <c r="P195" s="97">
        <f t="shared" si="31"/>
        <v>1.5</v>
      </c>
      <c r="Q195" s="76"/>
      <c r="R195" s="76" t="s">
        <v>2832</v>
      </c>
      <c r="S195" s="76" t="s">
        <v>2832</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2823</v>
      </c>
      <c r="G196" s="73"/>
      <c r="H196" s="76" t="s">
        <v>2875</v>
      </c>
      <c r="I196" s="96" t="s">
        <v>2833</v>
      </c>
      <c r="J196" s="96"/>
      <c r="K196" s="97">
        <f>1/0.4-1</f>
        <v>1.5</v>
      </c>
      <c r="L196" s="97">
        <f t="shared" si="31"/>
        <v>1.5</v>
      </c>
      <c r="M196" s="97">
        <f t="shared" si="31"/>
        <v>1.5</v>
      </c>
      <c r="N196" s="97">
        <f t="shared" si="31"/>
        <v>1.5</v>
      </c>
      <c r="O196" s="97">
        <f t="shared" si="31"/>
        <v>1.5</v>
      </c>
      <c r="P196" s="97">
        <f t="shared" si="31"/>
        <v>1.5</v>
      </c>
      <c r="Q196" s="76"/>
      <c r="R196" s="76" t="s">
        <v>2832</v>
      </c>
      <c r="S196" s="76" t="s">
        <v>2832</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2824</v>
      </c>
      <c r="G197" s="73"/>
      <c r="H197" s="76" t="s">
        <v>2876</v>
      </c>
      <c r="I197" s="96" t="s">
        <v>2833</v>
      </c>
      <c r="J197" s="96"/>
      <c r="K197" s="97">
        <f>1/0.4-1</f>
        <v>1.5</v>
      </c>
      <c r="L197" s="334">
        <f>K197</f>
        <v>1.5</v>
      </c>
      <c r="M197" s="76"/>
      <c r="N197" s="76"/>
      <c r="O197" s="76"/>
      <c r="P197" s="76"/>
      <c r="Q197" s="76"/>
      <c r="R197" s="76" t="s">
        <v>2832</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2825</v>
      </c>
      <c r="G198" s="73"/>
      <c r="H198" s="76" t="s">
        <v>3200</v>
      </c>
      <c r="I198" s="96" t="s">
        <v>2833</v>
      </c>
      <c r="J198" s="96"/>
      <c r="K198" s="97">
        <f t="shared" ref="K198:P198" si="33">1/0.2-1</f>
        <v>4</v>
      </c>
      <c r="L198" s="97">
        <f t="shared" si="33"/>
        <v>4</v>
      </c>
      <c r="M198" s="97">
        <f t="shared" si="33"/>
        <v>4</v>
      </c>
      <c r="N198" s="97">
        <f t="shared" si="33"/>
        <v>4</v>
      </c>
      <c r="O198" s="97">
        <f t="shared" si="33"/>
        <v>4</v>
      </c>
      <c r="P198" s="97">
        <f t="shared" si="33"/>
        <v>4</v>
      </c>
      <c r="Q198" s="76"/>
      <c r="R198" s="76" t="s">
        <v>3199</v>
      </c>
      <c r="S198" s="76" t="s">
        <v>3199</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2828</v>
      </c>
      <c r="G199" s="73"/>
      <c r="H199" s="76" t="s">
        <v>3201</v>
      </c>
      <c r="I199" s="96" t="s">
        <v>2833</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3199</v>
      </c>
      <c r="S199" s="76" t="s">
        <v>3199</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2829</v>
      </c>
      <c r="G200" s="73"/>
      <c r="H200" s="76" t="s">
        <v>2877</v>
      </c>
      <c r="I200" s="96" t="s">
        <v>2833</v>
      </c>
      <c r="J200" s="96"/>
      <c r="K200" s="97">
        <v>0</v>
      </c>
      <c r="L200" s="97">
        <v>0</v>
      </c>
      <c r="M200" s="97">
        <v>0</v>
      </c>
      <c r="N200" s="97">
        <v>0</v>
      </c>
      <c r="O200" s="97">
        <v>0</v>
      </c>
      <c r="P200" s="97">
        <v>0</v>
      </c>
      <c r="Q200" s="76"/>
      <c r="R200" s="76" t="s">
        <v>2832</v>
      </c>
      <c r="S200" s="76" t="s">
        <v>2832</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2830</v>
      </c>
      <c r="G201" s="73"/>
      <c r="H201" s="76" t="s">
        <v>2878</v>
      </c>
      <c r="I201" s="96" t="s">
        <v>2833</v>
      </c>
      <c r="J201" s="96"/>
      <c r="K201" s="97">
        <v>0</v>
      </c>
      <c r="L201" s="97">
        <v>0</v>
      </c>
      <c r="M201" s="97">
        <v>0</v>
      </c>
      <c r="N201" s="97">
        <v>0</v>
      </c>
      <c r="O201" s="97">
        <v>0</v>
      </c>
      <c r="P201" s="97">
        <v>0</v>
      </c>
      <c r="Q201" s="76"/>
      <c r="R201" s="76" t="s">
        <v>2832</v>
      </c>
      <c r="S201" s="76" t="s">
        <v>2832</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2831</v>
      </c>
      <c r="G202" s="73"/>
      <c r="H202" s="76" t="s">
        <v>2879</v>
      </c>
      <c r="I202" s="96" t="s">
        <v>2833</v>
      </c>
      <c r="J202" s="96"/>
      <c r="K202" s="97">
        <v>0</v>
      </c>
      <c r="L202" s="97">
        <v>0</v>
      </c>
      <c r="M202" s="97">
        <v>0</v>
      </c>
      <c r="N202" s="97">
        <v>0</v>
      </c>
      <c r="O202" s="97">
        <v>0</v>
      </c>
      <c r="P202" s="97">
        <v>0</v>
      </c>
      <c r="Q202" s="76"/>
      <c r="R202" s="76" t="s">
        <v>2832</v>
      </c>
      <c r="S202" s="76" t="s">
        <v>2832</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3255</v>
      </c>
      <c r="G203" s="73"/>
      <c r="H203" s="76" t="s">
        <v>3263</v>
      </c>
      <c r="I203" s="96" t="s">
        <v>626</v>
      </c>
      <c r="J203" s="96"/>
      <c r="K203" s="281">
        <f>K$179 / 0.7</f>
        <v>0.57142857142857151</v>
      </c>
      <c r="L203" s="281">
        <f t="shared" ref="L203:L209" si="35">K203</f>
        <v>0.57142857142857151</v>
      </c>
      <c r="M203" s="76"/>
      <c r="N203" s="76"/>
      <c r="O203" s="76"/>
      <c r="P203" s="76"/>
      <c r="Q203" s="76"/>
      <c r="R203" s="76" t="s">
        <v>2835</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3256</v>
      </c>
      <c r="G204" s="73"/>
      <c r="H204" s="76" t="s">
        <v>3264</v>
      </c>
      <c r="I204" s="96" t="s">
        <v>626</v>
      </c>
      <c r="J204" s="96"/>
      <c r="K204" s="281">
        <f>K$180 / 0.7</f>
        <v>2.8571428571428574E-2</v>
      </c>
      <c r="L204" s="281">
        <f t="shared" si="35"/>
        <v>2.8571428571428574E-2</v>
      </c>
      <c r="M204" s="76"/>
      <c r="N204" s="76"/>
      <c r="O204" s="76"/>
      <c r="P204" s="76"/>
      <c r="Q204" s="76"/>
      <c r="R204" s="76" t="s">
        <v>2835</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3257</v>
      </c>
      <c r="G205" s="73"/>
      <c r="H205" s="76" t="s">
        <v>3265</v>
      </c>
      <c r="I205" s="96" t="s">
        <v>626</v>
      </c>
      <c r="J205" s="96"/>
      <c r="K205" s="281">
        <f>K$182 / 0.7</f>
        <v>0.19000000000000003</v>
      </c>
      <c r="L205" s="281">
        <f t="shared" si="35"/>
        <v>0.19000000000000003</v>
      </c>
      <c r="M205" s="76"/>
      <c r="N205" s="76"/>
      <c r="O205" s="76"/>
      <c r="P205" s="76"/>
      <c r="Q205" s="76"/>
      <c r="R205" s="76" t="s">
        <v>2835</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3258</v>
      </c>
      <c r="G206" s="73"/>
      <c r="H206" s="76" t="s">
        <v>3266</v>
      </c>
      <c r="I206" s="96" t="s">
        <v>626</v>
      </c>
      <c r="J206" s="96"/>
      <c r="K206" s="281">
        <f>1/(1+K$194)</f>
        <v>0.69930069930069938</v>
      </c>
      <c r="L206" s="281">
        <f t="shared" si="35"/>
        <v>0.69930069930069938</v>
      </c>
      <c r="M206" s="76"/>
      <c r="N206" s="76"/>
      <c r="O206" s="76"/>
      <c r="P206" s="76"/>
      <c r="Q206" s="76"/>
      <c r="R206" s="76" t="s">
        <v>3270</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3260</v>
      </c>
      <c r="G207" s="73"/>
      <c r="H207" s="76" t="s">
        <v>3267</v>
      </c>
      <c r="I207" s="96" t="s">
        <v>626</v>
      </c>
      <c r="J207" s="96"/>
      <c r="K207" s="258">
        <v>1</v>
      </c>
      <c r="L207" s="258">
        <f t="shared" si="35"/>
        <v>1</v>
      </c>
      <c r="M207" s="76"/>
      <c r="N207" s="76"/>
      <c r="O207" s="76"/>
      <c r="P207" s="76"/>
      <c r="Q207" s="76"/>
      <c r="R207" s="76" t="s">
        <v>3270</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3259</v>
      </c>
      <c r="G208" s="73"/>
      <c r="H208" s="76" t="s">
        <v>3268</v>
      </c>
      <c r="I208" s="96" t="s">
        <v>626</v>
      </c>
      <c r="J208" s="96"/>
      <c r="K208" s="281">
        <f>1/(1+K$195)</f>
        <v>0.4</v>
      </c>
      <c r="L208" s="281">
        <f t="shared" si="35"/>
        <v>0.4</v>
      </c>
      <c r="M208" s="76"/>
      <c r="N208" s="76"/>
      <c r="O208" s="76"/>
      <c r="P208" s="76"/>
      <c r="Q208" s="76"/>
      <c r="R208" s="76" t="s">
        <v>3270</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3261</v>
      </c>
      <c r="G209" s="73"/>
      <c r="H209" s="76" t="s">
        <v>3269</v>
      </c>
      <c r="I209" s="96" t="s">
        <v>626</v>
      </c>
      <c r="J209" s="96"/>
      <c r="K209" s="258">
        <v>1</v>
      </c>
      <c r="L209" s="258">
        <f t="shared" si="35"/>
        <v>1</v>
      </c>
      <c r="M209" s="76"/>
      <c r="N209" s="76"/>
      <c r="O209" s="76"/>
      <c r="P209" s="76"/>
      <c r="Q209" s="76"/>
      <c r="R209" s="76" t="s">
        <v>3270</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3262</v>
      </c>
      <c r="G210" s="73"/>
      <c r="H210" s="76" t="s">
        <v>3272</v>
      </c>
      <c r="I210" s="96" t="s">
        <v>502</v>
      </c>
      <c r="J210" s="96"/>
      <c r="K210" s="97">
        <v>0.7</v>
      </c>
      <c r="L210" s="97">
        <v>0.7</v>
      </c>
      <c r="M210" s="97">
        <v>0.7</v>
      </c>
      <c r="N210" s="97">
        <v>0.7</v>
      </c>
      <c r="O210" s="97">
        <v>0.7</v>
      </c>
      <c r="P210" s="97">
        <v>0.7</v>
      </c>
      <c r="Q210" s="76"/>
      <c r="R210" s="76" t="s">
        <v>2835</v>
      </c>
      <c r="S210" s="76" t="s">
        <v>2835</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3271</v>
      </c>
      <c r="G211" s="73"/>
      <c r="H211" s="76" t="s">
        <v>3288</v>
      </c>
      <c r="I211" s="96" t="s">
        <v>626</v>
      </c>
      <c r="J211" s="96"/>
      <c r="K211" s="281">
        <f>0.448*K$175</f>
        <v>0.224</v>
      </c>
      <c r="L211" s="281">
        <f>K211</f>
        <v>0.224</v>
      </c>
      <c r="M211" s="76"/>
      <c r="N211" s="76"/>
      <c r="O211" s="76"/>
      <c r="P211" s="76"/>
      <c r="Q211" s="76"/>
      <c r="R211" s="76" t="s">
        <v>3290</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3287</v>
      </c>
      <c r="G212" s="73"/>
      <c r="H212" s="76" t="s">
        <v>3289</v>
      </c>
      <c r="I212" s="96" t="s">
        <v>626</v>
      </c>
      <c r="J212" s="96"/>
      <c r="K212" s="281">
        <f>0.448*K$176</f>
        <v>8.9600000000000009E-3</v>
      </c>
      <c r="L212" s="281">
        <f>K212</f>
        <v>8.9600000000000009E-3</v>
      </c>
      <c r="M212" s="76"/>
      <c r="N212" s="76"/>
      <c r="O212" s="76"/>
      <c r="P212" s="76"/>
      <c r="Q212" s="76"/>
      <c r="R212" s="76" t="s">
        <v>3290</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2839</v>
      </c>
      <c r="G234" s="73"/>
      <c r="H234" s="76" t="s">
        <v>3204</v>
      </c>
      <c r="I234" s="96" t="s">
        <v>2842</v>
      </c>
      <c r="J234" s="96"/>
      <c r="K234" s="97">
        <v>0</v>
      </c>
      <c r="L234" s="97">
        <v>0</v>
      </c>
      <c r="M234" s="97">
        <v>0</v>
      </c>
      <c r="N234" s="97">
        <v>0</v>
      </c>
      <c r="O234" s="97">
        <v>0</v>
      </c>
      <c r="P234" s="97">
        <v>0</v>
      </c>
      <c r="Q234" s="76"/>
      <c r="R234" s="76" t="s">
        <v>3210</v>
      </c>
      <c r="S234" s="76" t="s">
        <v>3210</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2840</v>
      </c>
      <c r="G235" s="73"/>
      <c r="H235" s="76" t="s">
        <v>2843</v>
      </c>
      <c r="I235" s="96" t="s">
        <v>2842</v>
      </c>
      <c r="J235" s="96"/>
      <c r="K235" s="97">
        <v>1.9E-2</v>
      </c>
      <c r="L235" s="97">
        <v>1.9E-2</v>
      </c>
      <c r="M235" s="97">
        <v>1.9E-2</v>
      </c>
      <c r="N235" s="97">
        <v>1.9E-2</v>
      </c>
      <c r="O235" s="97">
        <v>1.9E-2</v>
      </c>
      <c r="P235" s="97">
        <v>1.9E-2</v>
      </c>
      <c r="Q235" s="76"/>
      <c r="R235" s="76" t="s">
        <v>3210</v>
      </c>
      <c r="S235" s="76" t="s">
        <v>3210</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2841</v>
      </c>
      <c r="G236" s="73"/>
      <c r="H236" s="76" t="s">
        <v>2844</v>
      </c>
      <c r="I236" s="96" t="s">
        <v>2842</v>
      </c>
      <c r="J236" s="96"/>
      <c r="K236" s="97">
        <v>0.185</v>
      </c>
      <c r="L236" s="97">
        <v>0.185</v>
      </c>
      <c r="M236" s="97">
        <v>0.185</v>
      </c>
      <c r="N236" s="97">
        <v>0.185</v>
      </c>
      <c r="O236" s="97">
        <v>0.185</v>
      </c>
      <c r="P236" s="97">
        <v>0.185</v>
      </c>
      <c r="Q236" s="76"/>
      <c r="R236" s="76" t="s">
        <v>3210</v>
      </c>
      <c r="S236" s="76" t="s">
        <v>3210</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3205</v>
      </c>
      <c r="G237" s="73"/>
      <c r="H237" s="76" t="s">
        <v>662</v>
      </c>
      <c r="I237" s="96" t="s">
        <v>502</v>
      </c>
      <c r="J237" s="96"/>
      <c r="K237" s="97">
        <v>0.106</v>
      </c>
      <c r="L237" s="97">
        <v>0.106</v>
      </c>
      <c r="M237" s="97">
        <v>0.106</v>
      </c>
      <c r="N237" s="97">
        <v>0.106</v>
      </c>
      <c r="O237" s="97">
        <v>0.106</v>
      </c>
      <c r="P237" s="97">
        <v>0.106</v>
      </c>
      <c r="Q237" s="76"/>
      <c r="R237" s="76" t="s">
        <v>3209</v>
      </c>
      <c r="S237" s="76" t="s">
        <v>3209</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3206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3209</v>
      </c>
      <c r="S238" s="76" t="s">
        <v>3209</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3208</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3209</v>
      </c>
      <c r="S239" s="76" t="s">
        <v>3209</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3207</v>
      </c>
      <c r="G240" s="73"/>
      <c r="H240" s="76" t="s">
        <v>671</v>
      </c>
      <c r="I240" s="96" t="s">
        <v>502</v>
      </c>
      <c r="J240" s="96"/>
      <c r="K240" s="97">
        <v>0.39</v>
      </c>
      <c r="L240" s="97">
        <v>0.39</v>
      </c>
      <c r="M240" s="97">
        <v>0.39</v>
      </c>
      <c r="N240" s="97">
        <v>0.39</v>
      </c>
      <c r="O240" s="97">
        <v>0.39</v>
      </c>
      <c r="P240" s="97">
        <v>0.39</v>
      </c>
      <c r="Q240" s="76"/>
      <c r="R240" s="76" t="s">
        <v>3209</v>
      </c>
      <c r="S240" s="76" t="s">
        <v>3209</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3283</v>
      </c>
      <c r="G277" s="73"/>
      <c r="H277" s="76" t="s">
        <v>3284</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3285</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2860</v>
      </c>
      <c r="G278" s="73"/>
      <c r="H278" s="76" t="s">
        <v>2863</v>
      </c>
      <c r="I278" s="96"/>
      <c r="J278" s="96"/>
      <c r="K278" s="97">
        <v>5.9630000000000001</v>
      </c>
      <c r="L278" s="97">
        <v>5.9630000000000001</v>
      </c>
      <c r="M278" s="97"/>
      <c r="N278" s="97"/>
      <c r="O278" s="97"/>
      <c r="P278" s="97"/>
      <c r="Q278" s="76"/>
      <c r="R278" s="76" t="s">
        <v>2866</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2861</v>
      </c>
      <c r="G279" s="73"/>
      <c r="H279" s="76" t="s">
        <v>2864</v>
      </c>
      <c r="I279" s="96"/>
      <c r="J279" s="96"/>
      <c r="K279" s="97">
        <v>11.2</v>
      </c>
      <c r="L279" s="97">
        <v>11.2</v>
      </c>
      <c r="M279" s="97"/>
      <c r="N279" s="97"/>
      <c r="O279" s="97"/>
      <c r="P279" s="97"/>
      <c r="Q279" s="76"/>
      <c r="R279" s="76" t="s">
        <v>2866</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2862</v>
      </c>
      <c r="G280" s="73"/>
      <c r="H280" s="76" t="s">
        <v>2865</v>
      </c>
      <c r="I280" s="96"/>
      <c r="J280" s="96"/>
      <c r="K280" s="97">
        <v>9.4500000000000001E-3</v>
      </c>
      <c r="L280" s="97">
        <v>9.4500000000000001E-3</v>
      </c>
      <c r="M280" s="97"/>
      <c r="N280" s="97"/>
      <c r="O280" s="97"/>
      <c r="P280" s="97"/>
      <c r="Q280" s="76"/>
      <c r="R280" s="76" t="s">
        <v>2866</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2867</v>
      </c>
      <c r="G281" s="73"/>
      <c r="H281" s="76" t="s">
        <v>2868</v>
      </c>
      <c r="I281" s="96"/>
      <c r="J281" s="96"/>
      <c r="K281" s="97">
        <v>0</v>
      </c>
      <c r="L281" s="97">
        <v>0</v>
      </c>
      <c r="M281" s="97"/>
      <c r="N281" s="97"/>
      <c r="O281" s="97"/>
      <c r="P281" s="97"/>
      <c r="Q281" s="76"/>
      <c r="R281" s="76" t="s">
        <v>2866</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2577</v>
      </c>
      <c r="G283" s="73"/>
      <c r="H283" s="76" t="s">
        <v>791</v>
      </c>
      <c r="I283" s="96" t="s">
        <v>665</v>
      </c>
      <c r="J283" s="96"/>
      <c r="K283" s="76"/>
      <c r="L283" s="76"/>
      <c r="M283" s="76"/>
      <c r="N283" s="76"/>
      <c r="O283" s="76"/>
      <c r="P283" s="76"/>
      <c r="Q283" s="76"/>
      <c r="R283" s="76"/>
      <c r="S283" s="76"/>
      <c r="T283" s="76" t="s">
        <v>3300</v>
      </c>
      <c r="U283" s="97">
        <v>1</v>
      </c>
      <c r="V283" s="97">
        <v>1</v>
      </c>
      <c r="W283" s="97">
        <v>0.92001599999999994</v>
      </c>
      <c r="X283" s="97">
        <v>1.06843</v>
      </c>
      <c r="Y283" s="97">
        <v>1</v>
      </c>
      <c r="Z283" s="97">
        <v>1.25</v>
      </c>
      <c r="AA283" s="97">
        <v>1.25</v>
      </c>
      <c r="AB283" s="97">
        <v>1.25</v>
      </c>
      <c r="AC283" s="97">
        <v>1.25</v>
      </c>
      <c r="AD283" s="97">
        <v>1.25</v>
      </c>
      <c r="AE283" s="76"/>
      <c r="AF283" s="97" t="s">
        <v>2576</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3241</v>
      </c>
      <c r="I310" s="96" t="s">
        <v>3243</v>
      </c>
      <c r="J310" s="96"/>
      <c r="K310" s="97">
        <v>31.7</v>
      </c>
      <c r="L310" s="97">
        <v>31.7</v>
      </c>
      <c r="M310" s="76"/>
      <c r="N310" s="76"/>
      <c r="O310" s="76"/>
      <c r="P310" s="76"/>
      <c r="Q310" s="76"/>
      <c r="R310" s="76" t="s">
        <v>3242</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2835</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3300</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2316</v>
      </c>
      <c r="I322" s="96" t="s">
        <v>2870</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3300</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2859</v>
      </c>
      <c r="G330" s="73"/>
      <c r="H330" s="76" t="s">
        <v>2967</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2869</v>
      </c>
      <c r="G331" s="73"/>
      <c r="H331" s="76" t="s">
        <v>2316</v>
      </c>
      <c r="I331" s="96" t="s">
        <v>2870</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2871</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3244</v>
      </c>
      <c r="G332" s="73"/>
      <c r="H332" s="76" t="s">
        <v>3245</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3246</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3304</v>
      </c>
      <c r="G333" s="73"/>
      <c r="H333" s="76" t="s">
        <v>3307</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3306</v>
      </c>
      <c r="G334" s="73"/>
      <c r="H334" s="76" t="s">
        <v>3309</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3308</v>
      </c>
      <c r="G335" s="73"/>
      <c r="H335" s="76" t="s">
        <v>3312</v>
      </c>
      <c r="I335" s="96"/>
      <c r="J335" s="96"/>
      <c r="K335" s="76"/>
      <c r="L335" s="76"/>
      <c r="M335" s="76"/>
      <c r="N335" s="76"/>
      <c r="O335" s="76"/>
      <c r="P335" s="76"/>
      <c r="Q335" s="76"/>
      <c r="R335" s="76"/>
      <c r="S335" s="76"/>
      <c r="T335" s="76" t="s">
        <v>3300</v>
      </c>
      <c r="U335" s="97">
        <v>0.85</v>
      </c>
      <c r="V335" s="97">
        <v>0.85</v>
      </c>
      <c r="W335" s="97">
        <v>0.85</v>
      </c>
      <c r="X335" s="97">
        <v>0.85</v>
      </c>
      <c r="Y335" s="97">
        <v>0.85</v>
      </c>
      <c r="Z335" s="97">
        <v>0.85</v>
      </c>
      <c r="AA335" s="97">
        <v>0.85</v>
      </c>
      <c r="AB335" s="97">
        <v>0.85</v>
      </c>
      <c r="AC335" s="97">
        <v>0.85</v>
      </c>
      <c r="AD335" s="97">
        <v>0.85</v>
      </c>
      <c r="AE335" s="76"/>
      <c r="AF335" s="97" t="s">
        <v>3305</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3311</v>
      </c>
      <c r="G336" s="73"/>
      <c r="H336" s="76" t="s">
        <v>3313</v>
      </c>
      <c r="I336" s="96"/>
      <c r="J336" s="96"/>
      <c r="K336" s="76"/>
      <c r="L336" s="76"/>
      <c r="M336" s="76"/>
      <c r="N336" s="76"/>
      <c r="O336" s="76"/>
      <c r="P336" s="76"/>
      <c r="Q336" s="76"/>
      <c r="R336" s="76"/>
      <c r="S336" s="76"/>
      <c r="T336" s="76" t="s">
        <v>3300</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2872</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3300</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2357</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3300</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2357</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2970</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2810</v>
      </c>
      <c r="I377" s="96" t="s">
        <v>2970</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2811</v>
      </c>
      <c r="I378" s="96" t="s">
        <v>2970</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2804</v>
      </c>
      <c r="G379" s="73"/>
      <c r="H379" s="76" t="s">
        <v>2812</v>
      </c>
      <c r="I379" s="96" t="s">
        <v>2970</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2805</v>
      </c>
      <c r="G380" s="73"/>
      <c r="H380" s="76" t="s">
        <v>2819</v>
      </c>
      <c r="I380" s="96" t="s">
        <v>2970</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2806</v>
      </c>
      <c r="G381" s="73"/>
      <c r="H381" s="76" t="s">
        <v>2820</v>
      </c>
      <c r="I381" s="96" t="s">
        <v>2970</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2807</v>
      </c>
      <c r="G382" s="73"/>
      <c r="H382" s="76" t="s">
        <v>971</v>
      </c>
      <c r="I382" s="96" t="s">
        <v>502</v>
      </c>
      <c r="J382" s="96"/>
      <c r="K382" s="97">
        <v>1</v>
      </c>
      <c r="L382" s="97">
        <v>1</v>
      </c>
      <c r="M382" s="97">
        <v>1</v>
      </c>
      <c r="N382" s="97">
        <v>1</v>
      </c>
      <c r="O382" s="97">
        <v>1</v>
      </c>
      <c r="P382" s="97">
        <v>1</v>
      </c>
      <c r="Q382" s="76"/>
      <c r="R382" s="76" t="s">
        <v>2965</v>
      </c>
      <c r="S382" s="76" t="s">
        <v>2966</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2808</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2809</v>
      </c>
      <c r="G384" s="73"/>
      <c r="H384" s="76" t="s">
        <v>2814</v>
      </c>
      <c r="I384" s="96" t="s">
        <v>502</v>
      </c>
      <c r="J384" s="96"/>
      <c r="K384" s="97">
        <v>0.157</v>
      </c>
      <c r="L384" s="97">
        <v>0.157</v>
      </c>
      <c r="M384" s="97">
        <v>0.157</v>
      </c>
      <c r="N384" s="97">
        <v>0.157</v>
      </c>
      <c r="O384" s="97">
        <v>0.157</v>
      </c>
      <c r="P384" s="97">
        <v>0.157</v>
      </c>
      <c r="Q384" s="76"/>
      <c r="R384" s="76" t="s">
        <v>2815</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2818</v>
      </c>
      <c r="G385" s="73"/>
      <c r="H385" s="76" t="s">
        <v>2813</v>
      </c>
      <c r="I385" s="96" t="s">
        <v>502</v>
      </c>
      <c r="J385" s="96"/>
      <c r="K385" s="97">
        <v>0.85</v>
      </c>
      <c r="L385" s="97">
        <v>0.85</v>
      </c>
      <c r="M385" s="97"/>
      <c r="N385" s="97"/>
      <c r="O385" s="97"/>
      <c r="P385" s="97"/>
      <c r="Q385" s="76"/>
      <c r="R385" s="76" t="s">
        <v>2817</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2845</v>
      </c>
      <c r="G386" s="73"/>
      <c r="H386" s="76" t="s">
        <v>2819</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2846</v>
      </c>
      <c r="G387" s="73"/>
      <c r="H387" s="76" t="s">
        <v>2820</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2847</v>
      </c>
      <c r="G388" s="73"/>
      <c r="H388" s="76" t="s">
        <v>2855</v>
      </c>
      <c r="I388" s="96" t="s">
        <v>502</v>
      </c>
      <c r="J388" s="96"/>
      <c r="K388" s="97">
        <v>0.22600000000000001</v>
      </c>
      <c r="L388" s="97">
        <v>0.22600000000000001</v>
      </c>
      <c r="M388" s="97">
        <v>0.22600000000000001</v>
      </c>
      <c r="N388" s="97">
        <v>0.22600000000000001</v>
      </c>
      <c r="O388" s="97">
        <v>0.22600000000000001</v>
      </c>
      <c r="P388" s="97">
        <v>0.22600000000000001</v>
      </c>
      <c r="Q388" s="76"/>
      <c r="R388" s="76" t="s">
        <v>2832</v>
      </c>
      <c r="S388" s="76" t="s">
        <v>2832</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2848</v>
      </c>
      <c r="G389" s="73"/>
      <c r="H389" s="76" t="s">
        <v>2853</v>
      </c>
      <c r="I389" s="96" t="s">
        <v>502</v>
      </c>
      <c r="J389" s="96"/>
      <c r="K389" s="97">
        <v>0.05</v>
      </c>
      <c r="L389" s="97">
        <v>0.05</v>
      </c>
      <c r="M389" s="97">
        <v>0.05</v>
      </c>
      <c r="N389" s="97">
        <v>0.05</v>
      </c>
      <c r="O389" s="97">
        <v>0.05</v>
      </c>
      <c r="P389" s="97">
        <v>0.05</v>
      </c>
      <c r="Q389" s="76"/>
      <c r="R389" s="76" t="s">
        <v>2832</v>
      </c>
      <c r="S389" s="76" t="s">
        <v>2832</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2849</v>
      </c>
      <c r="G390" s="73"/>
      <c r="H390" s="76" t="s">
        <v>2854</v>
      </c>
      <c r="I390" s="96" t="s">
        <v>502</v>
      </c>
      <c r="J390" s="96"/>
      <c r="K390" s="97">
        <v>0.24859999999999999</v>
      </c>
      <c r="L390" s="97">
        <v>0.24859999999999999</v>
      </c>
      <c r="M390" s="97">
        <v>0.24859999999999999</v>
      </c>
      <c r="N390" s="97">
        <v>0.24859999999999999</v>
      </c>
      <c r="O390" s="97">
        <v>0.24859999999999999</v>
      </c>
      <c r="P390" s="97">
        <v>0.24859999999999999</v>
      </c>
      <c r="Q390" s="76"/>
      <c r="R390" s="76" t="s">
        <v>2832</v>
      </c>
      <c r="S390" s="76" t="s">
        <v>2832</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2850</v>
      </c>
      <c r="G391" s="73"/>
      <c r="H391" s="76" t="s">
        <v>2856</v>
      </c>
      <c r="I391" s="96" t="s">
        <v>502</v>
      </c>
      <c r="J391" s="96"/>
      <c r="K391" s="97">
        <v>0.67600000000000005</v>
      </c>
      <c r="L391" s="97">
        <v>0.67600000000000005</v>
      </c>
      <c r="M391" s="97">
        <v>0.67600000000000005</v>
      </c>
      <c r="N391" s="97">
        <v>0.67600000000000005</v>
      </c>
      <c r="O391" s="97">
        <v>0.67600000000000005</v>
      </c>
      <c r="P391" s="97">
        <v>0.67600000000000005</v>
      </c>
      <c r="Q391" s="76"/>
      <c r="R391" s="76" t="s">
        <v>2832</v>
      </c>
      <c r="S391" s="76" t="s">
        <v>2832</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2851</v>
      </c>
      <c r="G392" s="73"/>
      <c r="H392" s="76" t="s">
        <v>2857</v>
      </c>
      <c r="I392" s="96" t="s">
        <v>502</v>
      </c>
      <c r="J392" s="96"/>
      <c r="K392" s="97">
        <v>2.0609999999999999</v>
      </c>
      <c r="L392" s="97">
        <v>2.0609999999999999</v>
      </c>
      <c r="M392" s="97">
        <v>2.0609999999999999</v>
      </c>
      <c r="N392" s="97">
        <v>2.0609999999999999</v>
      </c>
      <c r="O392" s="97">
        <v>2.0609999999999999</v>
      </c>
      <c r="P392" s="97">
        <v>2.0609999999999999</v>
      </c>
      <c r="Q392" s="76"/>
      <c r="R392" s="76" t="s">
        <v>2832</v>
      </c>
      <c r="S392" s="76" t="s">
        <v>2832</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2852</v>
      </c>
      <c r="G393" s="73"/>
      <c r="H393" s="76" t="s">
        <v>2858</v>
      </c>
      <c r="I393" s="96" t="s">
        <v>502</v>
      </c>
      <c r="J393" s="96"/>
      <c r="K393" s="97">
        <v>-0.53</v>
      </c>
      <c r="L393" s="97">
        <v>-0.53</v>
      </c>
      <c r="M393" s="97">
        <v>-0.53</v>
      </c>
      <c r="N393" s="97">
        <v>-0.53</v>
      </c>
      <c r="O393" s="97">
        <v>-0.53</v>
      </c>
      <c r="P393" s="97">
        <v>-0.53</v>
      </c>
      <c r="Q393" s="76"/>
      <c r="R393" s="76" t="s">
        <v>2832</v>
      </c>
      <c r="S393" s="76" t="s">
        <v>2832</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3251</v>
      </c>
      <c r="G394" s="73"/>
      <c r="H394" s="76" t="s">
        <v>3274</v>
      </c>
      <c r="I394" s="96" t="s">
        <v>502</v>
      </c>
      <c r="J394" s="96"/>
      <c r="K394" s="281">
        <v>0.1</v>
      </c>
      <c r="L394" s="281">
        <v>0.1</v>
      </c>
      <c r="M394" s="281">
        <v>0.1</v>
      </c>
      <c r="N394" s="281">
        <v>0.1</v>
      </c>
      <c r="O394" s="281">
        <v>0.1</v>
      </c>
      <c r="P394" s="281">
        <v>0.1</v>
      </c>
      <c r="Q394" s="76"/>
      <c r="R394" s="76" t="s">
        <v>3252</v>
      </c>
      <c r="S394" s="76" t="s">
        <v>3252</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3276</v>
      </c>
      <c r="G395" s="73"/>
      <c r="H395" s="76" t="s">
        <v>3273</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3275</v>
      </c>
      <c r="S395" s="76" t="s">
        <v>3252</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2358</v>
      </c>
      <c r="I398" s="96" t="s">
        <v>2980</v>
      </c>
      <c r="J398" s="96"/>
      <c r="K398" s="97">
        <v>1.84E-2</v>
      </c>
      <c r="L398" s="97">
        <v>1.84E-2</v>
      </c>
      <c r="M398" s="97">
        <v>1.84E-2</v>
      </c>
      <c r="N398" s="97">
        <v>1.84E-2</v>
      </c>
      <c r="O398" s="97">
        <v>1.84E-2</v>
      </c>
      <c r="P398" s="97">
        <v>1.84E-2</v>
      </c>
      <c r="Q398" s="76"/>
      <c r="R398" s="76" t="s">
        <v>2979</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2362</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2359</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2360</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2361</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2575</v>
      </c>
      <c r="G405" s="73"/>
      <c r="H405" s="76" t="s">
        <v>2365</v>
      </c>
      <c r="I405" s="96" t="s">
        <v>502</v>
      </c>
      <c r="J405" s="96"/>
      <c r="K405" s="97">
        <v>9.375E-2</v>
      </c>
      <c r="L405" s="97">
        <v>0.20499999999999999</v>
      </c>
      <c r="M405" s="97">
        <v>0</v>
      </c>
      <c r="N405" s="97">
        <v>0</v>
      </c>
      <c r="O405" s="97">
        <v>0</v>
      </c>
      <c r="P405" s="97">
        <v>0</v>
      </c>
      <c r="Q405" s="76"/>
      <c r="R405" s="97" t="s">
        <v>2569</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2740</v>
      </c>
      <c r="S412" s="76" t="s">
        <v>550</v>
      </c>
      <c r="T412" s="76" t="s">
        <v>3300</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8" t="s">
        <v>2741</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2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25">
      <c r="A440" s="45"/>
      <c r="B440" s="54"/>
      <c r="C440" s="47">
        <f t="shared" si="89"/>
        <v>3</v>
      </c>
      <c r="D440" s="73"/>
      <c r="E440" s="70"/>
      <c r="F440" s="70" t="s">
        <v>1047</v>
      </c>
      <c r="G440" s="73"/>
      <c r="H440" s="76" t="s">
        <v>2572</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2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2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2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2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2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2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25">
      <c r="A447" s="45"/>
      <c r="B447" s="54"/>
      <c r="C447" s="47">
        <f t="shared" si="89"/>
        <v>3</v>
      </c>
      <c r="D447" s="73"/>
      <c r="E447" s="70"/>
      <c r="F447" s="70" t="s">
        <v>1054</v>
      </c>
      <c r="G447" s="73"/>
      <c r="H447" s="76" t="s">
        <v>3499</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t="s">
        <v>2572</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1062</v>
      </c>
      <c r="G455" s="73"/>
      <c r="H455" s="76" t="s">
        <v>3503</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1063</v>
      </c>
      <c r="G456" s="73"/>
      <c r="H456" s="76" t="s">
        <v>2572</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2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3500</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t="s">
        <v>2572</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6">INT($C$29)+2</f>
        <v>3</v>
      </c>
      <c r="D471" s="73"/>
      <c r="E471" s="70"/>
      <c r="F471" s="70" t="s">
        <v>1078</v>
      </c>
      <c r="G471" s="73"/>
      <c r="H471" s="76" t="s">
        <v>3501</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6"/>
        <v>3</v>
      </c>
      <c r="D472" s="73"/>
      <c r="E472" s="70"/>
      <c r="F472" s="70" t="s">
        <v>1079</v>
      </c>
      <c r="G472" s="73"/>
      <c r="H472" s="76" t="s">
        <v>2572</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1086</v>
      </c>
      <c r="G479" s="73"/>
      <c r="H479" s="76" t="s">
        <v>3502</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1087</v>
      </c>
      <c r="G480" s="73"/>
      <c r="H480" s="76" t="s">
        <v>2572</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2568</v>
      </c>
      <c r="AG503" s="76"/>
      <c r="AH503" s="97">
        <v>1</v>
      </c>
      <c r="AI503" s="97">
        <v>1</v>
      </c>
      <c r="AJ503" s="73"/>
      <c r="AK503" s="57"/>
      <c r="AL503" s="45"/>
      <c r="AM503" s="45"/>
      <c r="AN503" s="45"/>
    </row>
    <row r="504" spans="1:40" hidden="1" outlineLevel="2" x14ac:dyDescent="0.25">
      <c r="A504" s="45"/>
      <c r="B504" s="54"/>
      <c r="C504" s="47">
        <f t="shared" si="97"/>
        <v>3</v>
      </c>
      <c r="D504" s="73"/>
      <c r="E504" s="70"/>
      <c r="F504" s="70" t="s">
        <v>1111</v>
      </c>
      <c r="G504" s="73"/>
      <c r="H504" s="76" t="s">
        <v>2578</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25">
      <c r="A505" s="45"/>
      <c r="B505" s="54"/>
      <c r="C505" s="47">
        <f t="shared" si="97"/>
        <v>3</v>
      </c>
      <c r="D505" s="73"/>
      <c r="E505" s="70"/>
      <c r="F505" s="70" t="s">
        <v>1112</v>
      </c>
      <c r="G505" s="73"/>
      <c r="H505" s="76" t="s">
        <v>2579</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7"/>
        <v>3</v>
      </c>
      <c r="D506" s="73"/>
      <c r="E506" s="70"/>
      <c r="F506" s="70" t="s">
        <v>1113</v>
      </c>
      <c r="G506" s="73"/>
      <c r="H506" s="76" t="s">
        <v>2580</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7"/>
        <v>3</v>
      </c>
      <c r="D507" s="73"/>
      <c r="E507" s="70"/>
      <c r="F507" s="70" t="s">
        <v>1114</v>
      </c>
      <c r="G507" s="73"/>
      <c r="H507" s="76" t="s">
        <v>2581</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1115</v>
      </c>
      <c r="G508" s="73"/>
      <c r="H508" s="76" t="s">
        <v>2582</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1116</v>
      </c>
      <c r="G509" s="73"/>
      <c r="H509" s="76" t="s">
        <v>2583</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7"/>
        <v>3</v>
      </c>
      <c r="D510" s="73"/>
      <c r="E510" s="70"/>
      <c r="F510" s="70" t="s">
        <v>1117</v>
      </c>
      <c r="G510" s="73"/>
      <c r="H510" s="76" t="s">
        <v>2584</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25">
      <c r="A536" s="45"/>
      <c r="B536" s="54"/>
      <c r="C536" s="47">
        <f t="shared" si="98"/>
        <v>3</v>
      </c>
      <c r="D536" s="73"/>
      <c r="E536" s="70"/>
      <c r="F536" s="70" t="s">
        <v>1147</v>
      </c>
      <c r="G536" s="73"/>
      <c r="H536" s="76" t="s">
        <v>2585</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2573</v>
      </c>
      <c r="AG536" s="76"/>
      <c r="AH536" s="97">
        <v>1</v>
      </c>
      <c r="AI536" s="97">
        <v>1</v>
      </c>
      <c r="AJ536" s="73"/>
      <c r="AK536" s="57"/>
      <c r="AL536" s="45"/>
      <c r="AM536" s="45"/>
      <c r="AN536" s="45"/>
    </row>
    <row r="537" spans="1:40" hidden="1" outlineLevel="2" x14ac:dyDescent="0.25">
      <c r="A537" s="45"/>
      <c r="B537" s="54"/>
      <c r="C537" s="47">
        <f t="shared" si="98"/>
        <v>3</v>
      </c>
      <c r="D537" s="73"/>
      <c r="E537" s="70"/>
      <c r="F537" s="70" t="s">
        <v>1148</v>
      </c>
      <c r="G537" s="73"/>
      <c r="H537" s="76" t="s">
        <v>2586</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25">
      <c r="A538" s="45"/>
      <c r="B538" s="54"/>
      <c r="C538" s="47">
        <f t="shared" si="98"/>
        <v>3</v>
      </c>
      <c r="D538" s="73"/>
      <c r="E538" s="70"/>
      <c r="F538" s="70" t="s">
        <v>1149</v>
      </c>
      <c r="G538" s="73"/>
      <c r="H538" s="76" t="s">
        <v>2587</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25">
      <c r="A539" s="45"/>
      <c r="B539" s="54"/>
      <c r="C539" s="47">
        <f t="shared" si="98"/>
        <v>3</v>
      </c>
      <c r="D539" s="73"/>
      <c r="E539" s="70"/>
      <c r="F539" s="70" t="s">
        <v>1150</v>
      </c>
      <c r="G539" s="73"/>
      <c r="H539" s="76" t="s">
        <v>2588</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25">
      <c r="A540" s="45"/>
      <c r="B540" s="54"/>
      <c r="C540" s="47">
        <f t="shared" si="98"/>
        <v>3</v>
      </c>
      <c r="D540" s="73"/>
      <c r="E540" s="70"/>
      <c r="F540" s="70" t="s">
        <v>1151</v>
      </c>
      <c r="G540" s="73"/>
      <c r="H540" s="76" t="s">
        <v>2589</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1152</v>
      </c>
      <c r="G541" s="73"/>
      <c r="H541" s="76" t="s">
        <v>2590</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1153</v>
      </c>
      <c r="G542" s="73"/>
      <c r="H542" s="76" t="s">
        <v>2591</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2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25">
      <c r="A544" s="45"/>
      <c r="B544" s="54"/>
      <c r="C544" s="47">
        <f t="shared" si="98"/>
        <v>3</v>
      </c>
      <c r="D544" s="73"/>
      <c r="E544" s="70"/>
      <c r="F544" s="70" t="s">
        <v>1156</v>
      </c>
      <c r="G544" s="73"/>
      <c r="H544" s="76" t="s">
        <v>2592</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1157</v>
      </c>
      <c r="G545" s="73"/>
      <c r="H545" s="76" t="s">
        <v>2593</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1158</v>
      </c>
      <c r="G546" s="73"/>
      <c r="H546" s="76" t="s">
        <v>2594</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25">
      <c r="A547" s="45"/>
      <c r="B547" s="54"/>
      <c r="C547" s="47">
        <f t="shared" si="98"/>
        <v>3</v>
      </c>
      <c r="D547" s="73"/>
      <c r="E547" s="70"/>
      <c r="F547" s="70" t="s">
        <v>1159</v>
      </c>
      <c r="G547" s="73"/>
      <c r="H547" s="76" t="s">
        <v>2595</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25">
      <c r="A548" s="45"/>
      <c r="B548" s="54"/>
      <c r="C548" s="47">
        <f t="shared" si="98"/>
        <v>3</v>
      </c>
      <c r="D548" s="73"/>
      <c r="E548" s="70"/>
      <c r="F548" s="70" t="s">
        <v>1160</v>
      </c>
      <c r="G548" s="73"/>
      <c r="H548" s="76" t="s">
        <v>2596</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1161</v>
      </c>
      <c r="G549" s="73"/>
      <c r="H549" s="76" t="s">
        <v>2597</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25">
      <c r="A550" s="45"/>
      <c r="B550" s="54"/>
      <c r="C550" s="47">
        <f t="shared" si="98"/>
        <v>3</v>
      </c>
      <c r="D550" s="73"/>
      <c r="E550" s="70"/>
      <c r="F550" s="70" t="s">
        <v>1162</v>
      </c>
      <c r="G550" s="73"/>
      <c r="H550" s="76" t="s">
        <v>2598</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2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25">
      <c r="A560" s="45"/>
      <c r="B560" s="54"/>
      <c r="C560" s="47">
        <f t="shared" si="98"/>
        <v>3</v>
      </c>
      <c r="D560" s="73"/>
      <c r="E560" s="70"/>
      <c r="F560" s="70" t="s">
        <v>1175</v>
      </c>
      <c r="G560" s="73"/>
      <c r="H560" s="76" t="s">
        <v>2599</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98"/>
        <v>3</v>
      </c>
      <c r="D561" s="73"/>
      <c r="E561" s="70"/>
      <c r="F561" s="70" t="s">
        <v>1176</v>
      </c>
      <c r="G561" s="73"/>
      <c r="H561" s="76" t="s">
        <v>2600</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8"/>
        <v>3</v>
      </c>
      <c r="D562" s="73"/>
      <c r="E562" s="70"/>
      <c r="F562" s="70" t="s">
        <v>1177</v>
      </c>
      <c r="G562" s="73"/>
      <c r="H562" s="76" t="s">
        <v>2601</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1178</v>
      </c>
      <c r="G563" s="73"/>
      <c r="H563" s="76" t="s">
        <v>2602</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1179</v>
      </c>
      <c r="G564" s="73"/>
      <c r="H564" s="76" t="s">
        <v>2603</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1180</v>
      </c>
      <c r="G565" s="73"/>
      <c r="H565" s="76" t="s">
        <v>2604</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1181</v>
      </c>
      <c r="G566" s="73"/>
      <c r="H566" s="76" t="s">
        <v>2605</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2677</v>
      </c>
      <c r="AG567" s="76"/>
      <c r="AH567" s="97">
        <v>1</v>
      </c>
      <c r="AI567" s="97">
        <v>1</v>
      </c>
      <c r="AJ567" s="73"/>
      <c r="AK567" s="57"/>
      <c r="AL567" s="45"/>
      <c r="AM567" s="45"/>
      <c r="AN567" s="45"/>
    </row>
    <row r="568" spans="1:40" hidden="1" outlineLevel="2" x14ac:dyDescent="0.25">
      <c r="A568" s="45"/>
      <c r="B568" s="54"/>
      <c r="C568" s="47">
        <f t="shared" si="103"/>
        <v>3</v>
      </c>
      <c r="D568" s="73"/>
      <c r="E568" s="70"/>
      <c r="F568" s="70" t="s">
        <v>1183</v>
      </c>
      <c r="G568" s="73"/>
      <c r="H568" s="76" t="s">
        <v>2606</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2704</v>
      </c>
      <c r="AG568" s="76"/>
      <c r="AH568" s="97">
        <v>1</v>
      </c>
      <c r="AI568" s="97">
        <v>1</v>
      </c>
      <c r="AJ568" s="73"/>
      <c r="AK568" s="57"/>
      <c r="AL568" s="45"/>
      <c r="AM568" s="45"/>
      <c r="AN568" s="45"/>
    </row>
    <row r="569" spans="1:40" hidden="1" outlineLevel="2" x14ac:dyDescent="0.25">
      <c r="A569" s="45"/>
      <c r="B569" s="54"/>
      <c r="C569" s="47">
        <f t="shared" si="103"/>
        <v>3</v>
      </c>
      <c r="D569" s="73"/>
      <c r="E569" s="70"/>
      <c r="F569" s="70" t="s">
        <v>1184</v>
      </c>
      <c r="G569" s="73"/>
      <c r="H569" s="76" t="s">
        <v>2607</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1185</v>
      </c>
      <c r="G570" s="73"/>
      <c r="H570" s="76" t="s">
        <v>2608</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1186</v>
      </c>
      <c r="G571" s="73"/>
      <c r="H571" s="76" t="s">
        <v>2609</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1187</v>
      </c>
      <c r="G572" s="73"/>
      <c r="H572" s="76" t="s">
        <v>2610</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1188</v>
      </c>
      <c r="G573" s="73"/>
      <c r="H573" s="76" t="s">
        <v>2611</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1189</v>
      </c>
      <c r="G574" s="73"/>
      <c r="H574" s="76" t="s">
        <v>2612</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1192</v>
      </c>
      <c r="G576" s="73"/>
      <c r="H576" s="76" t="s">
        <v>2613</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25">
      <c r="A577" s="45"/>
      <c r="B577" s="54"/>
      <c r="C577" s="47">
        <f t="shared" si="103"/>
        <v>3</v>
      </c>
      <c r="D577" s="73"/>
      <c r="E577" s="70"/>
      <c r="F577" s="70" t="s">
        <v>1193</v>
      </c>
      <c r="G577" s="73"/>
      <c r="H577" s="76" t="s">
        <v>2614</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25">
      <c r="A578" s="45"/>
      <c r="B578" s="54"/>
      <c r="C578" s="47">
        <f t="shared" si="103"/>
        <v>3</v>
      </c>
      <c r="D578" s="73"/>
      <c r="E578" s="70"/>
      <c r="F578" s="70" t="s">
        <v>1194</v>
      </c>
      <c r="G578" s="73"/>
      <c r="H578" s="76" t="s">
        <v>2615</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1195</v>
      </c>
      <c r="G579" s="73"/>
      <c r="H579" s="76" t="s">
        <v>2616</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1196</v>
      </c>
      <c r="G580" s="73"/>
      <c r="H580" s="76" t="s">
        <v>2617</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1197</v>
      </c>
      <c r="G581" s="73"/>
      <c r="H581" s="76" t="s">
        <v>2618</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1198</v>
      </c>
      <c r="G582" s="73"/>
      <c r="H582" s="76" t="s">
        <v>2619</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2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25">
      <c r="A584" s="45"/>
      <c r="B584" s="54"/>
      <c r="C584" s="47">
        <f t="shared" si="103"/>
        <v>3</v>
      </c>
      <c r="D584" s="73"/>
      <c r="E584" s="70"/>
      <c r="F584" s="70" t="s">
        <v>1201</v>
      </c>
      <c r="G584" s="73"/>
      <c r="H584" s="76" t="s">
        <v>2620</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25">
      <c r="A585" s="45"/>
      <c r="B585" s="54"/>
      <c r="C585" s="47">
        <f t="shared" si="103"/>
        <v>3</v>
      </c>
      <c r="D585" s="73"/>
      <c r="E585" s="70"/>
      <c r="F585" s="70" t="s">
        <v>1202</v>
      </c>
      <c r="G585" s="73"/>
      <c r="H585" s="76" t="s">
        <v>2621</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25">
      <c r="A586" s="45"/>
      <c r="B586" s="54"/>
      <c r="C586" s="47">
        <f t="shared" si="103"/>
        <v>3</v>
      </c>
      <c r="D586" s="73"/>
      <c r="E586" s="70"/>
      <c r="F586" s="70" t="s">
        <v>1203</v>
      </c>
      <c r="G586" s="73"/>
      <c r="H586" s="76" t="s">
        <v>2622</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1204</v>
      </c>
      <c r="G587" s="73"/>
      <c r="H587" s="76" t="s">
        <v>2623</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1205</v>
      </c>
      <c r="G588" s="73"/>
      <c r="H588" s="76" t="s">
        <v>2624</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1206</v>
      </c>
      <c r="G589" s="73"/>
      <c r="H589" s="76" t="s">
        <v>2625</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1207</v>
      </c>
      <c r="G590" s="73"/>
      <c r="H590" s="76" t="s">
        <v>2626</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2636</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103"/>
        <v>3</v>
      </c>
      <c r="D592" s="73"/>
      <c r="E592" s="70"/>
      <c r="F592" s="70" t="s">
        <v>2637</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2638</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2639</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2640</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2641</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2642</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2643</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107">INT($C$29)+2</f>
        <v>3</v>
      </c>
      <c r="D599" s="73"/>
      <c r="E599" s="70"/>
      <c r="F599" s="70" t="s">
        <v>2644</v>
      </c>
      <c r="G599" s="73"/>
      <c r="H599" s="76" t="s">
        <v>2668</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107"/>
        <v>3</v>
      </c>
      <c r="D600" s="73"/>
      <c r="E600" s="70"/>
      <c r="F600" s="70" t="s">
        <v>2645</v>
      </c>
      <c r="G600" s="73"/>
      <c r="H600" s="76" t="s">
        <v>2669</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7"/>
        <v>3</v>
      </c>
      <c r="D601" s="73"/>
      <c r="E601" s="70"/>
      <c r="F601" s="70" t="s">
        <v>2646</v>
      </c>
      <c r="G601" s="73"/>
      <c r="H601" s="76" t="s">
        <v>2670</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2647</v>
      </c>
      <c r="G602" s="73"/>
      <c r="H602" s="76" t="s">
        <v>2671</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2648</v>
      </c>
      <c r="G603" s="73"/>
      <c r="H603" s="76" t="s">
        <v>2672</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2649</v>
      </c>
      <c r="G604" s="73"/>
      <c r="H604" s="76" t="s">
        <v>2673</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2650</v>
      </c>
      <c r="G605" s="73"/>
      <c r="H605" s="76" t="s">
        <v>2674</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2651</v>
      </c>
      <c r="G606" s="73"/>
      <c r="H606" s="76" t="s">
        <v>2675</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2652</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7"/>
        <v>3</v>
      </c>
      <c r="D608" s="73"/>
      <c r="E608" s="70"/>
      <c r="F608" s="70" t="s">
        <v>2653</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2654</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2655</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2656</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2657</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2658</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2659</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107"/>
        <v>3</v>
      </c>
      <c r="D615" s="73"/>
      <c r="E615" s="70"/>
      <c r="F615" s="70" t="s">
        <v>2660</v>
      </c>
      <c r="G615" s="73"/>
      <c r="H615" s="76" t="s">
        <v>2753</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107"/>
        <v>3</v>
      </c>
      <c r="D616" s="73"/>
      <c r="E616" s="70"/>
      <c r="F616" s="70" t="s">
        <v>2661</v>
      </c>
      <c r="G616" s="73"/>
      <c r="H616" s="76" t="s">
        <v>2669</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7"/>
        <v>3</v>
      </c>
      <c r="D617" s="73"/>
      <c r="E617" s="70"/>
      <c r="F617" s="70" t="s">
        <v>2662</v>
      </c>
      <c r="G617" s="73"/>
      <c r="H617" s="76" t="s">
        <v>2670</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2663</v>
      </c>
      <c r="G618" s="73"/>
      <c r="H618" s="76" t="s">
        <v>2671</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2664</v>
      </c>
      <c r="G619" s="73"/>
      <c r="H619" s="76" t="s">
        <v>2672</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2665</v>
      </c>
      <c r="G620" s="73"/>
      <c r="H620" s="76" t="s">
        <v>2673</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2666</v>
      </c>
      <c r="G621" s="73"/>
      <c r="H621" s="76" t="s">
        <v>2674</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2667</v>
      </c>
      <c r="G622" s="73"/>
      <c r="H622" s="76" t="s">
        <v>2675</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107"/>
        <v>3</v>
      </c>
      <c r="D623" s="73"/>
      <c r="E623" s="70"/>
      <c r="F623" s="70" t="s">
        <v>2755</v>
      </c>
      <c r="G623" s="73"/>
      <c r="H623" s="76" t="s">
        <v>2754</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3510</v>
      </c>
      <c r="AG623" s="76"/>
      <c r="AH623" s="97">
        <v>1</v>
      </c>
      <c r="AI623" s="97">
        <v>1</v>
      </c>
      <c r="AJ623" s="73"/>
      <c r="AK623" s="57"/>
      <c r="AL623" s="45"/>
      <c r="AM623" s="45"/>
      <c r="AN623" s="45"/>
    </row>
    <row r="624" spans="1:40" hidden="1" outlineLevel="2" x14ac:dyDescent="0.25">
      <c r="A624" s="45"/>
      <c r="B624" s="54"/>
      <c r="C624" s="47">
        <f t="shared" si="107"/>
        <v>3</v>
      </c>
      <c r="D624" s="73"/>
      <c r="E624" s="70"/>
      <c r="F624" s="70" t="s">
        <v>2756</v>
      </c>
      <c r="G624" s="73"/>
      <c r="H624" s="76" t="s">
        <v>2669</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3509</v>
      </c>
      <c r="AG624" s="76"/>
      <c r="AH624" s="97">
        <v>1</v>
      </c>
      <c r="AI624" s="97">
        <v>1</v>
      </c>
      <c r="AJ624" s="73"/>
      <c r="AK624" s="57"/>
      <c r="AL624" s="45"/>
      <c r="AM624" s="45"/>
      <c r="AN624" s="45"/>
    </row>
    <row r="625" spans="1:40" hidden="1" outlineLevel="2" x14ac:dyDescent="0.25">
      <c r="A625" s="45"/>
      <c r="B625" s="54"/>
      <c r="C625" s="47">
        <f t="shared" si="107"/>
        <v>3</v>
      </c>
      <c r="D625" s="73"/>
      <c r="E625" s="70"/>
      <c r="F625" s="70" t="s">
        <v>2757</v>
      </c>
      <c r="G625" s="73"/>
      <c r="H625" s="76" t="s">
        <v>2670</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25">
      <c r="A626" s="45"/>
      <c r="B626" s="54"/>
      <c r="C626" s="47">
        <f t="shared" si="107"/>
        <v>3</v>
      </c>
      <c r="D626" s="73"/>
      <c r="E626" s="70"/>
      <c r="F626" s="70" t="s">
        <v>2758</v>
      </c>
      <c r="G626" s="73"/>
      <c r="H626" s="76" t="s">
        <v>2671</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2759</v>
      </c>
      <c r="G627" s="73"/>
      <c r="H627" s="76" t="s">
        <v>2672</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2760</v>
      </c>
      <c r="G628" s="73"/>
      <c r="H628" s="76" t="s">
        <v>2673</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2761</v>
      </c>
      <c r="G629" s="73"/>
      <c r="H629" s="76" t="s">
        <v>2674</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2762</v>
      </c>
      <c r="G630" s="73"/>
      <c r="H630" s="76" t="s">
        <v>2675</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2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5"/>
        <v>3</v>
      </c>
      <c r="D636" s="73"/>
      <c r="E636" s="70"/>
      <c r="F636" s="70" t="s">
        <v>1214</v>
      </c>
      <c r="G636" s="73"/>
      <c r="H636" s="76" t="s">
        <v>2627</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25">
      <c r="A637" s="45"/>
      <c r="B637" s="54"/>
      <c r="C637" s="47">
        <f t="shared" si="115"/>
        <v>3</v>
      </c>
      <c r="D637" s="73"/>
      <c r="E637" s="70"/>
      <c r="F637" s="70" t="s">
        <v>1215</v>
      </c>
      <c r="G637" s="73"/>
      <c r="H637" s="76" t="s">
        <v>2628</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7"/>
        <v>3</v>
      </c>
      <c r="D657" s="73"/>
      <c r="E657" s="70"/>
      <c r="F657" s="70" t="s">
        <v>1237</v>
      </c>
      <c r="G657" s="73"/>
      <c r="H657" s="76" t="s">
        <v>2627</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2565</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1238</v>
      </c>
      <c r="G658" s="73"/>
      <c r="H658" s="76" t="s">
        <v>2628</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25">
      <c r="A660" s="45"/>
      <c r="B660" s="54"/>
      <c r="C660" s="47">
        <f t="shared" si="117"/>
        <v>3</v>
      </c>
      <c r="D660" s="73"/>
      <c r="E660" s="70"/>
      <c r="F660" s="70" t="s">
        <v>1241</v>
      </c>
      <c r="G660" s="73"/>
      <c r="H660" s="76" t="s">
        <v>2629</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1242</v>
      </c>
      <c r="G661" s="73"/>
      <c r="H661" s="76" t="s">
        <v>2630</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1245</v>
      </c>
      <c r="G663" s="73"/>
      <c r="H663" s="76" t="s">
        <v>2631</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1246</v>
      </c>
      <c r="G664" s="73"/>
      <c r="H664" s="76" t="s">
        <v>2632</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1247</v>
      </c>
      <c r="G665" s="73"/>
      <c r="H665" s="76" t="s">
        <v>2956</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1248</v>
      </c>
      <c r="G666" s="73"/>
      <c r="H666" s="76" t="s">
        <v>2957</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1249</v>
      </c>
      <c r="G667" s="73"/>
      <c r="H667" s="76" t="s">
        <v>2958</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1252</v>
      </c>
      <c r="G669" s="73"/>
      <c r="H669" s="76" t="s">
        <v>2631</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1253</v>
      </c>
      <c r="G670" s="73"/>
      <c r="H670" s="76" t="s">
        <v>2632</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1256</v>
      </c>
      <c r="G672" s="73"/>
      <c r="H672" s="76" t="s">
        <v>2631</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25">
      <c r="A673" s="45"/>
      <c r="B673" s="54"/>
      <c r="C673" s="47">
        <f t="shared" si="117"/>
        <v>3</v>
      </c>
      <c r="D673" s="73"/>
      <c r="E673" s="70"/>
      <c r="F673" s="70" t="s">
        <v>1258</v>
      </c>
      <c r="G673" s="73"/>
      <c r="H673" s="76" t="s">
        <v>2632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2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2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1268</v>
      </c>
      <c r="G679" s="73"/>
      <c r="H679" s="76" t="s">
        <v>2329</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25">
      <c r="A681" s="45"/>
      <c r="B681" s="54"/>
      <c r="C681" s="47">
        <f t="shared" si="117"/>
        <v>3</v>
      </c>
      <c r="D681" s="73"/>
      <c r="E681" s="70"/>
      <c r="F681" s="70" t="s">
        <v>1271</v>
      </c>
      <c r="G681" s="73"/>
      <c r="H681" s="76" t="s">
        <v>2631</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1272</v>
      </c>
      <c r="G682" s="73"/>
      <c r="H682" s="76" t="s">
        <v>2632</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1275</v>
      </c>
      <c r="G684" s="73"/>
      <c r="H684" s="76" t="s">
        <v>2631</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1277</v>
      </c>
      <c r="G685" s="73"/>
      <c r="H685" s="76" t="s">
        <v>2632</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1280</v>
      </c>
      <c r="G687" s="73"/>
      <c r="H687" s="76" t="s">
        <v>2631</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25">
      <c r="A688" s="45"/>
      <c r="B688" s="54"/>
      <c r="C688" s="47">
        <f t="shared" si="117"/>
        <v>3</v>
      </c>
      <c r="D688" s="73"/>
      <c r="E688" s="70"/>
      <c r="F688" s="70" t="s">
        <v>1282</v>
      </c>
      <c r="G688" s="73"/>
      <c r="H688" s="76" t="s">
        <v>2632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2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25">
      <c r="A693" s="45"/>
      <c r="B693" s="54"/>
      <c r="C693" s="47">
        <f t="shared" si="117"/>
        <v>3</v>
      </c>
      <c r="D693" s="73"/>
      <c r="E693" s="70"/>
      <c r="F693" s="70" t="s">
        <v>1289</v>
      </c>
      <c r="G693" s="73"/>
      <c r="H693" s="76" t="s">
        <v>2629</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1291</v>
      </c>
      <c r="G694" s="73"/>
      <c r="H694" s="76" t="s">
        <v>2630</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1294</v>
      </c>
      <c r="G696" s="73"/>
      <c r="H696" s="76" t="s">
        <v>2629</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1295</v>
      </c>
      <c r="G697" s="73"/>
      <c r="H697" s="76" t="s">
        <v>2630</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1296</v>
      </c>
      <c r="G698" s="73"/>
      <c r="H698" s="76" t="s">
        <v>2947</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2948</v>
      </c>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1297</v>
      </c>
      <c r="G699" s="73"/>
      <c r="H699" s="76" t="s">
        <v>2629</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x14ac:dyDescent="0.25">
      <c r="A700" s="45"/>
      <c r="B700" s="54"/>
      <c r="C700" s="47">
        <f t="shared" si="117"/>
        <v>3</v>
      </c>
      <c r="D700" s="73"/>
      <c r="E700" s="70"/>
      <c r="F700" s="70" t="s">
        <v>1298</v>
      </c>
      <c r="G700" s="73"/>
      <c r="H700" s="76" t="s">
        <v>2630</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2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2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7"/>
        <v>4</v>
      </c>
      <c r="D771" s="73"/>
      <c r="E771" s="70"/>
      <c r="F771" s="70" t="s">
        <v>1379</v>
      </c>
      <c r="G771" s="73"/>
      <c r="H771" s="76" t="s">
        <v>2711</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2717</v>
      </c>
      <c r="AG771" s="76"/>
      <c r="AH771" s="97">
        <v>1</v>
      </c>
      <c r="AI771" s="97">
        <v>1</v>
      </c>
      <c r="AJ771" s="73"/>
      <c r="AK771" s="57"/>
      <c r="AL771" s="45"/>
      <c r="AM771" s="45"/>
      <c r="AN771" s="45"/>
    </row>
    <row r="772" spans="1:40" hidden="1" outlineLevel="2" x14ac:dyDescent="0.25">
      <c r="A772" s="45"/>
      <c r="B772" s="54"/>
      <c r="C772" s="47">
        <f t="shared" si="137"/>
        <v>4</v>
      </c>
      <c r="D772" s="73"/>
      <c r="E772" s="70"/>
      <c r="F772" s="70" t="s">
        <v>1380</v>
      </c>
      <c r="G772" s="73"/>
      <c r="H772" s="76" t="s">
        <v>2712</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25">
      <c r="A773" s="45"/>
      <c r="B773" s="54"/>
      <c r="C773" s="47">
        <f t="shared" si="137"/>
        <v>4</v>
      </c>
      <c r="D773" s="73"/>
      <c r="E773" s="70"/>
      <c r="F773" s="70" t="s">
        <v>1381</v>
      </c>
      <c r="G773" s="73"/>
      <c r="H773" s="76" t="s">
        <v>2713</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1382</v>
      </c>
      <c r="G774" s="73"/>
      <c r="H774" s="76" t="s">
        <v>2714</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25">
      <c r="A775" s="45">
        <v>4</v>
      </c>
      <c r="B775" s="54"/>
      <c r="C775" s="47">
        <f t="shared" si="137"/>
        <v>4</v>
      </c>
      <c r="D775" s="73"/>
      <c r="E775" s="70"/>
      <c r="F775" s="70" t="s">
        <v>1383</v>
      </c>
      <c r="G775" s="73"/>
      <c r="H775" s="76" t="s">
        <v>2715</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7"/>
        <v>4</v>
      </c>
      <c r="D776" s="73"/>
      <c r="E776" s="70"/>
      <c r="F776" s="70" t="s">
        <v>1384</v>
      </c>
      <c r="G776" s="73"/>
      <c r="H776" s="76" t="s">
        <v>2716</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2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2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2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2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2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2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2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2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2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2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2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2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2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2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39</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2" collapsed="1" x14ac:dyDescent="0.2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2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outlineLevel="2" x14ac:dyDescent="0.2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2570</v>
      </c>
      <c r="AG825" s="76"/>
      <c r="AH825" s="97">
        <v>1</v>
      </c>
      <c r="AI825" s="97">
        <v>1</v>
      </c>
      <c r="AJ825" s="73"/>
      <c r="AK825" s="57"/>
      <c r="AL825" s="45"/>
      <c r="AM825" s="45"/>
      <c r="AN825" s="45"/>
    </row>
    <row r="826" spans="1:40" outlineLevel="2" x14ac:dyDescent="0.2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outlineLevel="2" x14ac:dyDescent="0.2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2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outlineLevel="2" x14ac:dyDescent="0.2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outlineLevel="2" x14ac:dyDescent="0.2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outlineLevel="2" x14ac:dyDescent="0.2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outlineLevel="2" x14ac:dyDescent="0.2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outlineLevel="2" x14ac:dyDescent="0.2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outlineLevel="2" x14ac:dyDescent="0.2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outlineLevel="2" x14ac:dyDescent="0.2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outlineLevel="2" x14ac:dyDescent="0.2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outlineLevel="2" x14ac:dyDescent="0.2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outlineLevel="2" x14ac:dyDescent="0.2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outlineLevel="2" x14ac:dyDescent="0.2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outlineLevel="2" x14ac:dyDescent="0.2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outlineLevel="2" x14ac:dyDescent="0.2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outlineLevel="2" x14ac:dyDescent="0.2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outlineLevel="2" x14ac:dyDescent="0.2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outlineLevel="2" x14ac:dyDescent="0.2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outlineLevel="2" x14ac:dyDescent="0.2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outlineLevel="2" x14ac:dyDescent="0.2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outlineLevel="2" x14ac:dyDescent="0.2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outlineLevel="2" x14ac:dyDescent="0.2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outlineLevel="2" x14ac:dyDescent="0.2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outlineLevel="2" x14ac:dyDescent="0.2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outlineLevel="2" x14ac:dyDescent="0.2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outlineLevel="2" x14ac:dyDescent="0.2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2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2566</v>
      </c>
      <c r="AG853" s="76"/>
      <c r="AH853" s="97">
        <v>1</v>
      </c>
      <c r="AI853" s="97">
        <v>1</v>
      </c>
      <c r="AJ853" s="73"/>
      <c r="AK853" s="57"/>
      <c r="AL853" s="45"/>
      <c r="AM853" s="45"/>
      <c r="AN853" s="45"/>
    </row>
    <row r="854" spans="1:40" outlineLevel="2" x14ac:dyDescent="0.2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2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25">
      <c r="A856" s="45"/>
      <c r="B856" s="54"/>
      <c r="C856" s="47">
        <f t="shared" si="160"/>
        <v>3</v>
      </c>
      <c r="D856" s="73"/>
      <c r="E856" s="70"/>
      <c r="F856" s="70" t="s">
        <v>1546</v>
      </c>
      <c r="G856" s="73"/>
      <c r="H856" s="76" t="s">
        <v>2721</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2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2718</v>
      </c>
      <c r="AG857" s="76"/>
      <c r="AH857" s="76">
        <v>1</v>
      </c>
      <c r="AI857" s="76">
        <v>1</v>
      </c>
      <c r="AJ857" s="73"/>
      <c r="AK857" s="57"/>
      <c r="AL857" s="45"/>
      <c r="AM857" s="45"/>
      <c r="AN857" s="45"/>
    </row>
    <row r="858" spans="1:40" outlineLevel="2" x14ac:dyDescent="0.2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2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2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outlineLevel="2" x14ac:dyDescent="0.2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2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2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2703</v>
      </c>
      <c r="AG863" s="76"/>
      <c r="AH863" s="97">
        <v>1</v>
      </c>
      <c r="AI863" s="97">
        <v>1</v>
      </c>
      <c r="AJ863" s="73"/>
      <c r="AK863" s="57"/>
      <c r="AL863" s="45"/>
      <c r="AM863" s="45"/>
      <c r="AN863" s="45"/>
    </row>
    <row r="864" spans="1:40" hidden="1" outlineLevel="3" x14ac:dyDescent="0.2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2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2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2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2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2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2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2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2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2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2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outlineLevel="2" x14ac:dyDescent="0.2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2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2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2489</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2490</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2491</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2492</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2493</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2494</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2495</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2496</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25">
      <c r="A908" s="45"/>
      <c r="B908" s="54"/>
      <c r="C908" s="47">
        <f t="shared" si="171"/>
        <v>3</v>
      </c>
      <c r="D908" s="73"/>
      <c r="E908" s="70"/>
      <c r="F908" s="70" t="s">
        <v>2497</v>
      </c>
      <c r="G908" s="73"/>
      <c r="H908" s="76" t="s">
        <v>2699</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25">
      <c r="A909" s="45"/>
      <c r="B909" s="54"/>
      <c r="C909" s="47">
        <f t="shared" si="171"/>
        <v>3</v>
      </c>
      <c r="D909" s="73"/>
      <c r="E909" s="70"/>
      <c r="F909" s="70" t="s">
        <v>2498</v>
      </c>
      <c r="G909" s="73"/>
      <c r="H909" s="76" t="s">
        <v>2701</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25">
      <c r="A910" s="45"/>
      <c r="B910" s="54"/>
      <c r="C910" s="47">
        <f t="shared" si="171"/>
        <v>3</v>
      </c>
      <c r="D910" s="73"/>
      <c r="E910" s="70"/>
      <c r="F910" s="70" t="s">
        <v>2499</v>
      </c>
      <c r="G910" s="73"/>
      <c r="H910" s="76" t="s">
        <v>2700</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25">
      <c r="A911" s="45"/>
      <c r="B911" s="54"/>
      <c r="C911" s="47">
        <f t="shared" si="171"/>
        <v>3</v>
      </c>
      <c r="D911" s="73"/>
      <c r="E911" s="70"/>
      <c r="F911" s="70" t="s">
        <v>2500</v>
      </c>
      <c r="G911" s="73"/>
      <c r="H911" s="76" t="s">
        <v>2702</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25">
      <c r="A912" s="45"/>
      <c r="B912" s="54"/>
      <c r="C912" s="47">
        <f t="shared" si="171"/>
        <v>3</v>
      </c>
      <c r="D912" s="73"/>
      <c r="E912" s="70"/>
      <c r="F912" s="70" t="s">
        <v>2501</v>
      </c>
      <c r="G912" s="73"/>
      <c r="H912" s="76" t="s">
        <v>2752</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2763</v>
      </c>
      <c r="AG912" s="76"/>
      <c r="AH912" s="76">
        <v>1</v>
      </c>
      <c r="AI912" s="76">
        <v>1</v>
      </c>
      <c r="AJ912" s="73"/>
      <c r="AK912" s="57"/>
      <c r="AL912" s="45"/>
      <c r="AM912" s="45"/>
      <c r="AN912" s="45"/>
    </row>
    <row r="913" spans="1:40" outlineLevel="2" x14ac:dyDescent="0.25">
      <c r="A913" s="45"/>
      <c r="B913" s="54"/>
      <c r="C913" s="47">
        <f t="shared" si="171"/>
        <v>3</v>
      </c>
      <c r="D913" s="73"/>
      <c r="E913" s="70"/>
      <c r="F913" s="70" t="s">
        <v>2502</v>
      </c>
      <c r="G913" s="73"/>
      <c r="H913" s="76" t="s">
        <v>2701</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2803</v>
      </c>
      <c r="AG913" s="76"/>
      <c r="AH913" s="97">
        <v>1</v>
      </c>
      <c r="AI913" s="97">
        <v>1</v>
      </c>
      <c r="AJ913" s="73"/>
      <c r="AK913" s="57"/>
      <c r="AL913" s="45"/>
      <c r="AM913" s="45"/>
      <c r="AN913" s="45"/>
    </row>
    <row r="914" spans="1:40" outlineLevel="2" x14ac:dyDescent="0.25">
      <c r="A914" s="45"/>
      <c r="B914" s="54"/>
      <c r="C914" s="47">
        <f t="shared" si="171"/>
        <v>3</v>
      </c>
      <c r="D914" s="73"/>
      <c r="E914" s="70"/>
      <c r="F914" s="70" t="s">
        <v>2503</v>
      </c>
      <c r="G914" s="73"/>
      <c r="H914" s="76" t="s">
        <v>2700</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25">
      <c r="A915" s="45"/>
      <c r="B915" s="54"/>
      <c r="C915" s="47">
        <f t="shared" si="171"/>
        <v>3</v>
      </c>
      <c r="D915" s="73"/>
      <c r="E915" s="70"/>
      <c r="F915" s="70" t="s">
        <v>2504</v>
      </c>
      <c r="G915" s="73"/>
      <c r="H915" s="76" t="s">
        <v>2702</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25">
      <c r="A916" s="45"/>
      <c r="B916" s="54"/>
      <c r="C916" s="47">
        <f t="shared" si="171"/>
        <v>3</v>
      </c>
      <c r="D916" s="73"/>
      <c r="E916" s="70"/>
      <c r="F916" s="70" t="s">
        <v>2505</v>
      </c>
      <c r="G916" s="73"/>
      <c r="H916" s="76" t="s">
        <v>2513</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2521</v>
      </c>
      <c r="AG916" s="76"/>
      <c r="AH916" s="76">
        <v>1</v>
      </c>
      <c r="AI916" s="76">
        <v>1</v>
      </c>
      <c r="AJ916" s="73"/>
      <c r="AK916" s="57"/>
      <c r="AL916" s="45"/>
      <c r="AM916" s="45"/>
      <c r="AN916" s="45"/>
    </row>
    <row r="917" spans="1:40" outlineLevel="2" x14ac:dyDescent="0.25">
      <c r="A917" s="45"/>
      <c r="B917" s="54"/>
      <c r="C917" s="47">
        <f t="shared" si="171"/>
        <v>3</v>
      </c>
      <c r="D917" s="73"/>
      <c r="E917" s="70"/>
      <c r="F917" s="70" t="s">
        <v>2506</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2517</v>
      </c>
      <c r="AG917" s="76"/>
      <c r="AH917" s="97">
        <v>1</v>
      </c>
      <c r="AI917" s="97">
        <v>1</v>
      </c>
      <c r="AJ917" s="73"/>
      <c r="AK917" s="57"/>
      <c r="AL917" s="45"/>
      <c r="AM917" s="45"/>
      <c r="AN917" s="45"/>
    </row>
    <row r="918" spans="1:40" outlineLevel="2" x14ac:dyDescent="0.25">
      <c r="A918" s="45"/>
      <c r="B918" s="54"/>
      <c r="C918" s="47">
        <f t="shared" si="171"/>
        <v>3</v>
      </c>
      <c r="D918" s="73"/>
      <c r="E918" s="70"/>
      <c r="F918" s="70" t="s">
        <v>2507</v>
      </c>
      <c r="G918" s="73"/>
      <c r="H918" s="76" t="s">
        <v>1488</v>
      </c>
      <c r="I918" s="96" t="s">
        <v>502</v>
      </c>
      <c r="J918" s="96"/>
      <c r="K918" s="76"/>
      <c r="L918" s="76"/>
      <c r="M918" s="76"/>
      <c r="N918" s="76"/>
      <c r="O918" s="76"/>
      <c r="P918" s="76"/>
      <c r="Q918" s="76"/>
      <c r="R918" s="76"/>
      <c r="S918" s="76"/>
      <c r="T918" s="76"/>
      <c r="U918" s="97">
        <v>6</v>
      </c>
      <c r="V918" s="255">
        <f t="shared" si="179"/>
        <v>6</v>
      </c>
      <c r="W918" s="255">
        <f t="shared" si="180"/>
        <v>6</v>
      </c>
      <c r="X918" s="255">
        <f t="shared" si="180"/>
        <v>6</v>
      </c>
      <c r="Y918" s="255">
        <f>V918</f>
        <v>6</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25">
      <c r="A919" s="45"/>
      <c r="B919" s="54"/>
      <c r="C919" s="47">
        <f t="shared" si="171"/>
        <v>3</v>
      </c>
      <c r="D919" s="73"/>
      <c r="E919" s="70"/>
      <c r="F919" s="70" t="s">
        <v>2508</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2520</v>
      </c>
      <c r="AG919" s="76"/>
      <c r="AH919" s="76">
        <v>1</v>
      </c>
      <c r="AI919" s="76">
        <v>1</v>
      </c>
      <c r="AJ919" s="73"/>
      <c r="AK919" s="57"/>
      <c r="AL919" s="45"/>
      <c r="AM919" s="45"/>
      <c r="AN919" s="45"/>
    </row>
    <row r="920" spans="1:40" outlineLevel="2" x14ac:dyDescent="0.25">
      <c r="A920" s="45"/>
      <c r="B920" s="54"/>
      <c r="C920" s="47">
        <f t="shared" si="171"/>
        <v>3</v>
      </c>
      <c r="D920" s="73"/>
      <c r="E920" s="70"/>
      <c r="F920" s="70" t="s">
        <v>2509</v>
      </c>
      <c r="G920" s="73"/>
      <c r="H920" s="76" t="s">
        <v>3327</v>
      </c>
      <c r="I920" s="96" t="s">
        <v>502</v>
      </c>
      <c r="J920" s="96"/>
      <c r="K920" s="76"/>
      <c r="L920" s="76"/>
      <c r="M920" s="76"/>
      <c r="N920" s="76"/>
      <c r="O920" s="76"/>
      <c r="P920" s="76"/>
      <c r="Q920" s="76"/>
      <c r="R920" s="76"/>
      <c r="S920" s="76"/>
      <c r="T920" s="76" t="s">
        <v>3300</v>
      </c>
      <c r="U920" s="97">
        <v>1.302</v>
      </c>
      <c r="V920" s="255">
        <f>U920</f>
        <v>1.302</v>
      </c>
      <c r="W920" s="97">
        <v>1.80097</v>
      </c>
      <c r="X920" s="97">
        <v>1.9570099999999999</v>
      </c>
      <c r="Y920" s="97">
        <v>1.7747839999999999</v>
      </c>
      <c r="Z920" s="255">
        <f t="shared" ref="Z920:Z923" si="183">AA920</f>
        <v>0.64400000000000002</v>
      </c>
      <c r="AA920" s="97">
        <v>0.64400000000000002</v>
      </c>
      <c r="AB920" s="255">
        <f t="shared" ref="AB920:AB923" si="184">AA920</f>
        <v>0.64400000000000002</v>
      </c>
      <c r="AC920" s="255">
        <f t="shared" ref="AC920:AC923" si="185">AB920</f>
        <v>0.64400000000000002</v>
      </c>
      <c r="AD920" s="255">
        <f t="shared" ref="AD920:AD923" si="186">AC920</f>
        <v>0.64400000000000002</v>
      </c>
      <c r="AE920" s="76"/>
      <c r="AF920" s="97" t="s">
        <v>2734</v>
      </c>
      <c r="AG920" s="76"/>
      <c r="AH920" s="76">
        <v>1</v>
      </c>
      <c r="AI920" s="76">
        <v>1</v>
      </c>
      <c r="AJ920" s="73"/>
      <c r="AK920" s="57"/>
      <c r="AL920" s="45"/>
      <c r="AM920" s="45"/>
      <c r="AN920" s="45"/>
    </row>
    <row r="921" spans="1:40" outlineLevel="2" x14ac:dyDescent="0.25">
      <c r="A921" s="45"/>
      <c r="B921" s="54"/>
      <c r="C921" s="47">
        <f t="shared" si="171"/>
        <v>3</v>
      </c>
      <c r="D921" s="73"/>
      <c r="E921" s="70"/>
      <c r="F921" s="70" t="s">
        <v>2510</v>
      </c>
      <c r="G921" s="73"/>
      <c r="H921" s="76" t="s">
        <v>2514</v>
      </c>
      <c r="I921" s="96" t="s">
        <v>502</v>
      </c>
      <c r="J921" s="96"/>
      <c r="K921" s="76"/>
      <c r="L921" s="76"/>
      <c r="M921" s="76"/>
      <c r="N921" s="76"/>
      <c r="O921" s="76"/>
      <c r="P921" s="76"/>
      <c r="Q921" s="76"/>
      <c r="R921" s="76"/>
      <c r="S921" s="76"/>
      <c r="T921" s="76" t="s">
        <v>3300</v>
      </c>
      <c r="U921" s="97">
        <v>4.9800000000000004</v>
      </c>
      <c r="V921" s="255">
        <f>U921</f>
        <v>4.9800000000000004</v>
      </c>
      <c r="W921" s="97">
        <v>5.2321099999999996</v>
      </c>
      <c r="X921" s="97">
        <v>5.3830999999999998</v>
      </c>
      <c r="Y921" s="97">
        <v>5.2835130000000001</v>
      </c>
      <c r="Z921" s="255">
        <f t="shared" si="183"/>
        <v>3.1459999999999999</v>
      </c>
      <c r="AA921" s="97">
        <v>3.1459999999999999</v>
      </c>
      <c r="AB921" s="255">
        <f t="shared" si="184"/>
        <v>3.1459999999999999</v>
      </c>
      <c r="AC921" s="255">
        <f t="shared" si="185"/>
        <v>3.1459999999999999</v>
      </c>
      <c r="AD921" s="255">
        <f t="shared" si="186"/>
        <v>3.1459999999999999</v>
      </c>
      <c r="AE921" s="76"/>
      <c r="AF921" s="76"/>
      <c r="AG921" s="76"/>
      <c r="AH921" s="97">
        <v>1</v>
      </c>
      <c r="AI921" s="97">
        <v>1</v>
      </c>
      <c r="AJ921" s="73"/>
      <c r="AK921" s="57"/>
      <c r="AL921" s="45"/>
      <c r="AM921" s="45"/>
      <c r="AN921" s="45"/>
    </row>
    <row r="922" spans="1:40" outlineLevel="2" x14ac:dyDescent="0.25">
      <c r="A922" s="45"/>
      <c r="B922" s="54"/>
      <c r="C922" s="47">
        <f t="shared" si="171"/>
        <v>3</v>
      </c>
      <c r="D922" s="73"/>
      <c r="E922" s="70"/>
      <c r="F922" s="70" t="s">
        <v>2511</v>
      </c>
      <c r="G922" s="73"/>
      <c r="H922" s="76" t="s">
        <v>2515</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83"/>
        <v>6.0309999999999997</v>
      </c>
      <c r="AA922" s="97">
        <v>6.0309999999999997</v>
      </c>
      <c r="AB922" s="255">
        <f t="shared" si="184"/>
        <v>6.0309999999999997</v>
      </c>
      <c r="AC922" s="255">
        <f t="shared" si="185"/>
        <v>6.0309999999999997</v>
      </c>
      <c r="AD922" s="255">
        <f t="shared" si="186"/>
        <v>6.0309999999999997</v>
      </c>
      <c r="AE922" s="76"/>
      <c r="AF922" s="97" t="s">
        <v>2766</v>
      </c>
      <c r="AG922" s="76"/>
      <c r="AH922" s="97">
        <v>1</v>
      </c>
      <c r="AI922" s="97">
        <v>1</v>
      </c>
      <c r="AJ922" s="73"/>
      <c r="AK922" s="57"/>
      <c r="AL922" s="45"/>
      <c r="AM922" s="45"/>
      <c r="AN922" s="45"/>
    </row>
    <row r="923" spans="1:40" outlineLevel="2" x14ac:dyDescent="0.25">
      <c r="A923" s="45"/>
      <c r="B923" s="54"/>
      <c r="C923" s="47">
        <f t="shared" si="171"/>
        <v>3</v>
      </c>
      <c r="D923" s="73"/>
      <c r="E923" s="70"/>
      <c r="F923" s="70" t="s">
        <v>2512</v>
      </c>
      <c r="G923" s="73"/>
      <c r="H923" s="76" t="s">
        <v>2516</v>
      </c>
      <c r="I923" s="96" t="s">
        <v>502</v>
      </c>
      <c r="J923" s="96"/>
      <c r="K923" s="76"/>
      <c r="L923" s="76"/>
      <c r="M923" s="76"/>
      <c r="N923" s="76"/>
      <c r="O923" s="76"/>
      <c r="P923" s="76"/>
      <c r="Q923" s="76"/>
      <c r="R923" s="76"/>
      <c r="S923" s="76"/>
      <c r="T923" s="76"/>
      <c r="U923" s="76">
        <v>100</v>
      </c>
      <c r="V923" s="76">
        <f t="shared" si="179"/>
        <v>100</v>
      </c>
      <c r="W923" s="76">
        <f>U923</f>
        <v>100</v>
      </c>
      <c r="X923" s="76">
        <f>V923</f>
        <v>100</v>
      </c>
      <c r="Y923" s="76">
        <f>V923</f>
        <v>100</v>
      </c>
      <c r="Z923" s="76">
        <f t="shared" si="183"/>
        <v>100</v>
      </c>
      <c r="AA923" s="76">
        <v>100</v>
      </c>
      <c r="AB923" s="76">
        <f t="shared" si="184"/>
        <v>100</v>
      </c>
      <c r="AC923" s="76">
        <f t="shared" si="185"/>
        <v>100</v>
      </c>
      <c r="AD923" s="76">
        <f t="shared" si="186"/>
        <v>100</v>
      </c>
      <c r="AE923" s="76"/>
      <c r="AF923" s="264" t="s">
        <v>2520</v>
      </c>
      <c r="AG923" s="76"/>
      <c r="AH923" s="76">
        <v>1</v>
      </c>
      <c r="AI923" s="76">
        <v>1</v>
      </c>
      <c r="AJ923" s="73"/>
      <c r="AK923" s="57"/>
      <c r="AL923" s="45"/>
      <c r="AM923" s="45"/>
      <c r="AN923" s="45"/>
    </row>
    <row r="924" spans="1:40" outlineLevel="2" x14ac:dyDescent="0.25">
      <c r="A924" s="45"/>
      <c r="B924" s="54"/>
      <c r="C924" s="47">
        <f t="shared" si="171"/>
        <v>3</v>
      </c>
      <c r="D924" s="73"/>
      <c r="E924" s="70"/>
      <c r="F924" s="70" t="s">
        <v>3332</v>
      </c>
      <c r="G924" s="73"/>
      <c r="H924" s="76" t="s">
        <v>2574</v>
      </c>
      <c r="I924" s="96" t="s">
        <v>502</v>
      </c>
      <c r="J924" s="96"/>
      <c r="K924" s="76"/>
      <c r="L924" s="76"/>
      <c r="M924" s="76"/>
      <c r="N924" s="76"/>
      <c r="O924" s="76"/>
      <c r="P924" s="76"/>
      <c r="Q924" s="76"/>
      <c r="R924" s="76"/>
      <c r="S924" s="76"/>
      <c r="T924" s="76" t="s">
        <v>3300</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2734</v>
      </c>
      <c r="AG924" s="76"/>
      <c r="AH924" s="76">
        <v>1</v>
      </c>
      <c r="AI924" s="76">
        <v>1</v>
      </c>
      <c r="AJ924" s="73"/>
      <c r="AK924" s="57"/>
      <c r="AL924" s="45"/>
      <c r="AM924" s="45"/>
      <c r="AN924" s="45"/>
    </row>
    <row r="925" spans="1:40" outlineLevel="2" x14ac:dyDescent="0.25">
      <c r="A925" s="45"/>
      <c r="B925" s="54"/>
      <c r="C925" s="47">
        <f t="shared" si="171"/>
        <v>3</v>
      </c>
      <c r="D925" s="73"/>
      <c r="E925" s="70"/>
      <c r="F925" s="70" t="s">
        <v>3333</v>
      </c>
      <c r="G925" s="73"/>
      <c r="H925" s="76" t="s">
        <v>2514</v>
      </c>
      <c r="I925" s="96" t="s">
        <v>502</v>
      </c>
      <c r="J925" s="96"/>
      <c r="K925" s="76"/>
      <c r="L925" s="76"/>
      <c r="M925" s="76"/>
      <c r="N925" s="76"/>
      <c r="O925" s="76"/>
      <c r="P925" s="76"/>
      <c r="Q925" s="76"/>
      <c r="R925" s="76"/>
      <c r="S925" s="76"/>
      <c r="T925" s="76" t="s">
        <v>3300</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25">
      <c r="A926" s="45"/>
      <c r="B926" s="54"/>
      <c r="C926" s="47">
        <f t="shared" si="171"/>
        <v>3</v>
      </c>
      <c r="D926" s="73"/>
      <c r="E926" s="70"/>
      <c r="F926" s="70" t="s">
        <v>3334</v>
      </c>
      <c r="G926" s="73"/>
      <c r="H926" s="76" t="s">
        <v>2515</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2766</v>
      </c>
      <c r="AG926" s="76"/>
      <c r="AH926" s="97">
        <v>1</v>
      </c>
      <c r="AI926" s="97">
        <v>1</v>
      </c>
      <c r="AJ926" s="73"/>
      <c r="AK926" s="57"/>
      <c r="AL926" s="45"/>
      <c r="AM926" s="45"/>
      <c r="AN926" s="45"/>
    </row>
    <row r="927" spans="1:40" outlineLevel="2" x14ac:dyDescent="0.25">
      <c r="A927" s="45"/>
      <c r="B927" s="54"/>
      <c r="C927" s="47">
        <f t="shared" si="171"/>
        <v>3</v>
      </c>
      <c r="D927" s="73"/>
      <c r="E927" s="70"/>
      <c r="F927" s="70" t="s">
        <v>3335</v>
      </c>
      <c r="G927" s="73"/>
      <c r="H927" s="76" t="s">
        <v>2516</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2520</v>
      </c>
      <c r="AG927" s="76"/>
      <c r="AH927" s="76">
        <v>1</v>
      </c>
      <c r="AI927" s="76">
        <v>1</v>
      </c>
      <c r="AJ927" s="73"/>
      <c r="AK927" s="57"/>
      <c r="AL927" s="45"/>
      <c r="AM927" s="45"/>
      <c r="AN927" s="45"/>
    </row>
    <row r="928" spans="1:40" outlineLevel="2" x14ac:dyDescent="0.25">
      <c r="A928" s="45"/>
      <c r="B928" s="54"/>
      <c r="C928" s="47">
        <f t="shared" si="171"/>
        <v>3</v>
      </c>
      <c r="D928" s="73"/>
      <c r="E928" s="70"/>
      <c r="F928" s="70" t="s">
        <v>3384</v>
      </c>
      <c r="G928" s="73"/>
      <c r="H928" s="76" t="s">
        <v>3767</v>
      </c>
      <c r="I928" s="96" t="s">
        <v>502</v>
      </c>
      <c r="J928" s="96"/>
      <c r="K928" s="76"/>
      <c r="L928" s="76"/>
      <c r="M928" s="76"/>
      <c r="N928" s="76"/>
      <c r="O928" s="76"/>
      <c r="P928" s="76"/>
      <c r="Q928" s="76"/>
      <c r="R928" s="76"/>
      <c r="S928" s="76"/>
      <c r="T928" s="76"/>
      <c r="U928" s="97">
        <v>0</v>
      </c>
      <c r="V928" s="255">
        <f t="shared" ref="V928:V931" si="187">U928</f>
        <v>0</v>
      </c>
      <c r="W928" s="255">
        <f t="shared" ref="W928:W929" si="188">U928</f>
        <v>0</v>
      </c>
      <c r="X928" s="255">
        <f t="shared" ref="X928:X929" si="189">V928</f>
        <v>0</v>
      </c>
      <c r="Y928" s="255">
        <f t="shared" ref="Y928:Y929" si="190">V928</f>
        <v>0</v>
      </c>
      <c r="Z928" s="255">
        <f t="shared" ref="Z928:Z931" si="191">AA928</f>
        <v>0</v>
      </c>
      <c r="AA928" s="97">
        <f>U928</f>
        <v>0</v>
      </c>
      <c r="AB928" s="255">
        <f t="shared" ref="AB928:AB931" si="192">AA928</f>
        <v>0</v>
      </c>
      <c r="AC928" s="255">
        <f t="shared" ref="AC928:AC931" si="193">AB928</f>
        <v>0</v>
      </c>
      <c r="AD928" s="255">
        <f t="shared" ref="AD928:AD931" si="194">AC928</f>
        <v>0</v>
      </c>
      <c r="AE928" s="76"/>
      <c r="AF928" s="97" t="s">
        <v>3383</v>
      </c>
      <c r="AG928" s="76"/>
      <c r="AH928" s="76">
        <v>1</v>
      </c>
      <c r="AI928" s="76">
        <v>1</v>
      </c>
      <c r="AJ928" s="73"/>
      <c r="AK928" s="57"/>
      <c r="AL928" s="45"/>
      <c r="AM928" s="45"/>
      <c r="AN928" s="45"/>
    </row>
    <row r="929" spans="1:40" outlineLevel="2" x14ac:dyDescent="0.25">
      <c r="A929" s="45"/>
      <c r="B929" s="54"/>
      <c r="C929" s="47">
        <f t="shared" si="171"/>
        <v>3</v>
      </c>
      <c r="D929" s="73"/>
      <c r="E929" s="70"/>
      <c r="F929" s="70" t="s">
        <v>3385</v>
      </c>
      <c r="G929" s="73"/>
      <c r="H929" s="76" t="s">
        <v>2514</v>
      </c>
      <c r="I929" s="96" t="s">
        <v>502</v>
      </c>
      <c r="J929" s="96"/>
      <c r="K929" s="76"/>
      <c r="L929" s="76"/>
      <c r="M929" s="76"/>
      <c r="N929" s="76"/>
      <c r="O929" s="76"/>
      <c r="P929" s="76"/>
      <c r="Q929" s="76"/>
      <c r="R929" s="76"/>
      <c r="S929" s="76"/>
      <c r="T929" s="76"/>
      <c r="U929" s="97">
        <v>0</v>
      </c>
      <c r="V929" s="255">
        <f t="shared" si="187"/>
        <v>0</v>
      </c>
      <c r="W929" s="255">
        <f t="shared" si="188"/>
        <v>0</v>
      </c>
      <c r="X929" s="255">
        <f t="shared" si="189"/>
        <v>0</v>
      </c>
      <c r="Y929" s="255">
        <f t="shared" si="190"/>
        <v>0</v>
      </c>
      <c r="Z929" s="255">
        <f t="shared" si="191"/>
        <v>0</v>
      </c>
      <c r="AA929" s="97">
        <f t="shared" ref="AA929:AA930" si="195">U929</f>
        <v>0</v>
      </c>
      <c r="AB929" s="255">
        <f t="shared" si="192"/>
        <v>0</v>
      </c>
      <c r="AC929" s="255">
        <f t="shared" si="193"/>
        <v>0</v>
      </c>
      <c r="AD929" s="255">
        <f t="shared" si="194"/>
        <v>0</v>
      </c>
      <c r="AE929" s="76"/>
      <c r="AF929" s="97" t="s">
        <v>3772</v>
      </c>
      <c r="AG929" s="76"/>
      <c r="AH929" s="97">
        <v>1</v>
      </c>
      <c r="AI929" s="97">
        <v>1</v>
      </c>
      <c r="AJ929" s="73"/>
      <c r="AK929" s="57"/>
      <c r="AL929" s="45"/>
      <c r="AM929" s="45"/>
      <c r="AN929" s="45"/>
    </row>
    <row r="930" spans="1:40" outlineLevel="2" x14ac:dyDescent="0.25">
      <c r="A930" s="45"/>
      <c r="B930" s="54"/>
      <c r="C930" s="47">
        <f t="shared" si="171"/>
        <v>3</v>
      </c>
      <c r="D930" s="73"/>
      <c r="E930" s="70"/>
      <c r="F930" s="70" t="s">
        <v>3386</v>
      </c>
      <c r="G930" s="73"/>
      <c r="H930" s="76" t="s">
        <v>2515</v>
      </c>
      <c r="I930" s="96" t="s">
        <v>502</v>
      </c>
      <c r="J930" s="96"/>
      <c r="K930" s="76"/>
      <c r="L930" s="76"/>
      <c r="M930" s="76"/>
      <c r="N930" s="76"/>
      <c r="O930" s="76"/>
      <c r="P930" s="76"/>
      <c r="Q930" s="76"/>
      <c r="R930" s="76"/>
      <c r="S930" s="76"/>
      <c r="T930" s="76"/>
      <c r="U930" s="97">
        <v>-3.3000000000000002E-2</v>
      </c>
      <c r="V930" s="255">
        <f t="shared" si="187"/>
        <v>-3.3000000000000002E-2</v>
      </c>
      <c r="W930" s="255">
        <f>U930</f>
        <v>-3.3000000000000002E-2</v>
      </c>
      <c r="X930" s="255">
        <f>V930</f>
        <v>-3.3000000000000002E-2</v>
      </c>
      <c r="Y930" s="255">
        <f>V930</f>
        <v>-3.3000000000000002E-2</v>
      </c>
      <c r="Z930" s="255">
        <f t="shared" si="191"/>
        <v>-3.3000000000000002E-2</v>
      </c>
      <c r="AA930" s="97">
        <f t="shared" si="195"/>
        <v>-3.3000000000000002E-2</v>
      </c>
      <c r="AB930" s="255">
        <f t="shared" si="192"/>
        <v>-3.3000000000000002E-2</v>
      </c>
      <c r="AC930" s="255">
        <f t="shared" si="193"/>
        <v>-3.3000000000000002E-2</v>
      </c>
      <c r="AD930" s="255">
        <f t="shared" si="194"/>
        <v>-3.3000000000000002E-2</v>
      </c>
      <c r="AE930" s="76"/>
      <c r="AF930" s="97"/>
      <c r="AG930" s="76"/>
      <c r="AH930" s="97">
        <v>1</v>
      </c>
      <c r="AI930" s="97">
        <v>1</v>
      </c>
      <c r="AJ930" s="73"/>
      <c r="AK930" s="57"/>
      <c r="AL930" s="45"/>
      <c r="AM930" s="45"/>
      <c r="AN930" s="45"/>
    </row>
    <row r="931" spans="1:40" outlineLevel="2" x14ac:dyDescent="0.25">
      <c r="A931" s="45"/>
      <c r="B931" s="54"/>
      <c r="C931" s="47">
        <f t="shared" si="171"/>
        <v>3</v>
      </c>
      <c r="D931" s="73"/>
      <c r="E931" s="70"/>
      <c r="F931" s="70" t="s">
        <v>3387</v>
      </c>
      <c r="G931" s="73"/>
      <c r="H931" s="76" t="s">
        <v>2516</v>
      </c>
      <c r="I931" s="96" t="s">
        <v>502</v>
      </c>
      <c r="J931" s="96"/>
      <c r="K931" s="76"/>
      <c r="L931" s="76"/>
      <c r="M931" s="76"/>
      <c r="N931" s="76"/>
      <c r="O931" s="76"/>
      <c r="P931" s="76"/>
      <c r="Q931" s="76"/>
      <c r="R931" s="76"/>
      <c r="S931" s="76"/>
      <c r="T931" s="76"/>
      <c r="U931" s="253">
        <f>U930</f>
        <v>-3.3000000000000002E-2</v>
      </c>
      <c r="V931" s="76">
        <f t="shared" si="187"/>
        <v>-3.3000000000000002E-2</v>
      </c>
      <c r="W931" s="76">
        <f>U931</f>
        <v>-3.3000000000000002E-2</v>
      </c>
      <c r="X931" s="76">
        <f>V931</f>
        <v>-3.3000000000000002E-2</v>
      </c>
      <c r="Y931" s="76">
        <f>V931</f>
        <v>-3.3000000000000002E-2</v>
      </c>
      <c r="Z931" s="76">
        <f t="shared" si="191"/>
        <v>-3.3000000000000002E-2</v>
      </c>
      <c r="AA931" s="253">
        <f>AA930</f>
        <v>-3.3000000000000002E-2</v>
      </c>
      <c r="AB931" s="76">
        <f t="shared" si="192"/>
        <v>-3.3000000000000002E-2</v>
      </c>
      <c r="AC931" s="76">
        <f t="shared" si="193"/>
        <v>-3.3000000000000002E-2</v>
      </c>
      <c r="AD931" s="76">
        <f t="shared" si="194"/>
        <v>-3.3000000000000002E-2</v>
      </c>
      <c r="AE931" s="76"/>
      <c r="AF931" s="264" t="s">
        <v>3382</v>
      </c>
      <c r="AG931" s="76"/>
      <c r="AH931" s="76">
        <v>1</v>
      </c>
      <c r="AI931" s="76">
        <v>1</v>
      </c>
      <c r="AJ931" s="73"/>
      <c r="AK931" s="57"/>
      <c r="AL931" s="45"/>
      <c r="AM931" s="45"/>
      <c r="AN931" s="45"/>
    </row>
    <row r="932" spans="1:40" outlineLevel="2" x14ac:dyDescent="0.25">
      <c r="A932" s="45"/>
      <c r="B932" s="54"/>
      <c r="C932" s="47">
        <f t="shared" si="171"/>
        <v>3</v>
      </c>
      <c r="D932" s="73"/>
      <c r="E932" s="70"/>
      <c r="F932" s="70" t="s">
        <v>3388</v>
      </c>
      <c r="G932" s="73"/>
      <c r="H932" s="76" t="s">
        <v>3768</v>
      </c>
      <c r="I932" s="96" t="s">
        <v>502</v>
      </c>
      <c r="J932" s="96"/>
      <c r="K932" s="76"/>
      <c r="L932" s="76"/>
      <c r="M932" s="76"/>
      <c r="N932" s="76"/>
      <c r="O932" s="76"/>
      <c r="P932" s="76"/>
      <c r="Q932" s="76"/>
      <c r="R932" s="76"/>
      <c r="S932" s="76"/>
      <c r="T932" s="76"/>
      <c r="U932" s="97">
        <v>0</v>
      </c>
      <c r="V932" s="255">
        <f t="shared" ref="V932:V935" si="196">U932</f>
        <v>0</v>
      </c>
      <c r="W932" s="255">
        <f t="shared" ref="W932:W933" si="197">U932</f>
        <v>0</v>
      </c>
      <c r="X932" s="255">
        <f t="shared" ref="X932:X933" si="198">V932</f>
        <v>0</v>
      </c>
      <c r="Y932" s="255">
        <f t="shared" ref="Y932:Y933" si="199">V932</f>
        <v>0</v>
      </c>
      <c r="Z932" s="255">
        <f t="shared" ref="Z932:Z935" si="200">AA932</f>
        <v>0</v>
      </c>
      <c r="AA932" s="97">
        <f>U932</f>
        <v>0</v>
      </c>
      <c r="AB932" s="255">
        <f t="shared" ref="AB932:AB935" si="201">AA932</f>
        <v>0</v>
      </c>
      <c r="AC932" s="255">
        <f t="shared" ref="AC932:AC935" si="202">AB932</f>
        <v>0</v>
      </c>
      <c r="AD932" s="255">
        <f t="shared" ref="AD932:AD935" si="203">AC932</f>
        <v>0</v>
      </c>
      <c r="AE932" s="76"/>
      <c r="AF932" s="97" t="s">
        <v>3383</v>
      </c>
      <c r="AG932" s="76"/>
      <c r="AH932" s="76">
        <v>1</v>
      </c>
      <c r="AI932" s="76">
        <v>1</v>
      </c>
      <c r="AJ932" s="73"/>
      <c r="AK932" s="57"/>
      <c r="AL932" s="45"/>
      <c r="AM932" s="45"/>
      <c r="AN932" s="45"/>
    </row>
    <row r="933" spans="1:40" outlineLevel="2" x14ac:dyDescent="0.25">
      <c r="A933" s="45"/>
      <c r="B933" s="54"/>
      <c r="C933" s="47">
        <f t="shared" si="171"/>
        <v>3</v>
      </c>
      <c r="D933" s="73"/>
      <c r="E933" s="70"/>
      <c r="F933" s="70" t="s">
        <v>3389</v>
      </c>
      <c r="G933" s="73"/>
      <c r="H933" s="76" t="s">
        <v>2514</v>
      </c>
      <c r="I933" s="96" t="s">
        <v>502</v>
      </c>
      <c r="J933" s="96"/>
      <c r="K933" s="76"/>
      <c r="L933" s="76"/>
      <c r="M933" s="76"/>
      <c r="N933" s="76"/>
      <c r="O933" s="76"/>
      <c r="P933" s="76"/>
      <c r="Q933" s="76"/>
      <c r="R933" s="76"/>
      <c r="S933" s="76"/>
      <c r="T933" s="76"/>
      <c r="U933" s="97">
        <v>0</v>
      </c>
      <c r="V933" s="255">
        <f t="shared" si="196"/>
        <v>0</v>
      </c>
      <c r="W933" s="255">
        <f t="shared" si="197"/>
        <v>0</v>
      </c>
      <c r="X933" s="255">
        <f t="shared" si="198"/>
        <v>0</v>
      </c>
      <c r="Y933" s="255">
        <f t="shared" si="199"/>
        <v>0</v>
      </c>
      <c r="Z933" s="255">
        <f t="shared" si="200"/>
        <v>0</v>
      </c>
      <c r="AA933" s="97">
        <f t="shared" ref="AA933:AA934" si="204">U933</f>
        <v>0</v>
      </c>
      <c r="AB933" s="255">
        <f t="shared" si="201"/>
        <v>0</v>
      </c>
      <c r="AC933" s="255">
        <f t="shared" si="202"/>
        <v>0</v>
      </c>
      <c r="AD933" s="255">
        <f t="shared" si="203"/>
        <v>0</v>
      </c>
      <c r="AE933" s="76"/>
      <c r="AF933" s="97" t="s">
        <v>3772</v>
      </c>
      <c r="AG933" s="76"/>
      <c r="AH933" s="97">
        <v>1</v>
      </c>
      <c r="AI933" s="97">
        <v>1</v>
      </c>
      <c r="AJ933" s="73"/>
      <c r="AK933" s="57"/>
      <c r="AL933" s="45"/>
      <c r="AM933" s="45"/>
      <c r="AN933" s="45"/>
    </row>
    <row r="934" spans="1:40" outlineLevel="2" x14ac:dyDescent="0.25">
      <c r="A934" s="45"/>
      <c r="B934" s="54"/>
      <c r="C934" s="47">
        <f t="shared" si="171"/>
        <v>3</v>
      </c>
      <c r="D934" s="73"/>
      <c r="E934" s="70"/>
      <c r="F934" s="70" t="s">
        <v>3390</v>
      </c>
      <c r="G934" s="73"/>
      <c r="H934" s="76" t="s">
        <v>2515</v>
      </c>
      <c r="I934" s="96" t="s">
        <v>502</v>
      </c>
      <c r="J934" s="96"/>
      <c r="K934" s="76"/>
      <c r="L934" s="76"/>
      <c r="M934" s="76"/>
      <c r="N934" s="76"/>
      <c r="O934" s="76"/>
      <c r="P934" s="76"/>
      <c r="Q934" s="76"/>
      <c r="R934" s="76"/>
      <c r="S934" s="76"/>
      <c r="T934" s="76"/>
      <c r="U934" s="97">
        <v>1.0269999999999999E-3</v>
      </c>
      <c r="V934" s="255">
        <f t="shared" si="196"/>
        <v>1.0269999999999999E-3</v>
      </c>
      <c r="W934" s="255">
        <f>U934</f>
        <v>1.0269999999999999E-3</v>
      </c>
      <c r="X934" s="255">
        <f>V934</f>
        <v>1.0269999999999999E-3</v>
      </c>
      <c r="Y934" s="255">
        <f>V934</f>
        <v>1.0269999999999999E-3</v>
      </c>
      <c r="Z934" s="255">
        <f t="shared" si="200"/>
        <v>1.0269999999999999E-3</v>
      </c>
      <c r="AA934" s="97">
        <f t="shared" si="204"/>
        <v>1.0269999999999999E-3</v>
      </c>
      <c r="AB934" s="255">
        <f t="shared" si="201"/>
        <v>1.0269999999999999E-3</v>
      </c>
      <c r="AC934" s="255">
        <f t="shared" si="202"/>
        <v>1.0269999999999999E-3</v>
      </c>
      <c r="AD934" s="255">
        <f t="shared" si="203"/>
        <v>1.0269999999999999E-3</v>
      </c>
      <c r="AE934" s="76"/>
      <c r="AF934" s="97"/>
      <c r="AG934" s="76"/>
      <c r="AH934" s="97">
        <v>1</v>
      </c>
      <c r="AI934" s="97">
        <v>1</v>
      </c>
      <c r="AJ934" s="73"/>
      <c r="AK934" s="57"/>
      <c r="AL934" s="45"/>
      <c r="AM934" s="45"/>
      <c r="AN934" s="45"/>
    </row>
    <row r="935" spans="1:40" outlineLevel="2" x14ac:dyDescent="0.25">
      <c r="A935" s="45"/>
      <c r="B935" s="54"/>
      <c r="C935" s="47">
        <f t="shared" si="171"/>
        <v>3</v>
      </c>
      <c r="D935" s="73"/>
      <c r="E935" s="70"/>
      <c r="F935" s="70" t="s">
        <v>3391</v>
      </c>
      <c r="G935" s="73"/>
      <c r="H935" s="76" t="s">
        <v>2516</v>
      </c>
      <c r="I935" s="96" t="s">
        <v>502</v>
      </c>
      <c r="J935" s="96"/>
      <c r="K935" s="76"/>
      <c r="L935" s="76"/>
      <c r="M935" s="76"/>
      <c r="N935" s="76"/>
      <c r="O935" s="76"/>
      <c r="P935" s="76"/>
      <c r="Q935" s="76"/>
      <c r="R935" s="76"/>
      <c r="S935" s="76"/>
      <c r="T935" s="76"/>
      <c r="U935" s="253">
        <f>U934</f>
        <v>1.0269999999999999E-3</v>
      </c>
      <c r="V935" s="76">
        <f t="shared" si="196"/>
        <v>1.0269999999999999E-3</v>
      </c>
      <c r="W935" s="76">
        <f>U935</f>
        <v>1.0269999999999999E-3</v>
      </c>
      <c r="X935" s="76">
        <f>V935</f>
        <v>1.0269999999999999E-3</v>
      </c>
      <c r="Y935" s="76">
        <f>V935</f>
        <v>1.0269999999999999E-3</v>
      </c>
      <c r="Z935" s="76">
        <f t="shared" si="200"/>
        <v>1.0269999999999999E-3</v>
      </c>
      <c r="AA935" s="253">
        <f>AA934</f>
        <v>1.0269999999999999E-3</v>
      </c>
      <c r="AB935" s="76">
        <f t="shared" si="201"/>
        <v>1.0269999999999999E-3</v>
      </c>
      <c r="AC935" s="76">
        <f t="shared" si="202"/>
        <v>1.0269999999999999E-3</v>
      </c>
      <c r="AD935" s="76">
        <f t="shared" si="203"/>
        <v>1.0269999999999999E-3</v>
      </c>
      <c r="AE935" s="76"/>
      <c r="AF935" s="264" t="s">
        <v>3382</v>
      </c>
      <c r="AG935" s="76"/>
      <c r="AH935" s="76">
        <v>1</v>
      </c>
      <c r="AI935" s="76">
        <v>1</v>
      </c>
      <c r="AJ935" s="73"/>
      <c r="AK935" s="57"/>
      <c r="AL935" s="45"/>
      <c r="AM935" s="45"/>
      <c r="AN935" s="45"/>
    </row>
    <row r="936" spans="1:40" outlineLevel="2" x14ac:dyDescent="0.25">
      <c r="A936" s="45"/>
      <c r="B936" s="54"/>
      <c r="C936" s="47">
        <f t="shared" si="171"/>
        <v>3</v>
      </c>
      <c r="D936" s="73"/>
      <c r="E936" s="70"/>
      <c r="F936" s="70" t="s">
        <v>3392</v>
      </c>
      <c r="G936" s="73"/>
      <c r="H936" s="76" t="s">
        <v>3769</v>
      </c>
      <c r="I936" s="96" t="s">
        <v>502</v>
      </c>
      <c r="J936" s="96"/>
      <c r="K936" s="76"/>
      <c r="L936" s="76"/>
      <c r="M936" s="76"/>
      <c r="N936" s="76"/>
      <c r="O936" s="76"/>
      <c r="P936" s="76"/>
      <c r="Q936" s="76"/>
      <c r="R936" s="76"/>
      <c r="S936" s="76"/>
      <c r="T936" s="76"/>
      <c r="U936" s="97">
        <v>0</v>
      </c>
      <c r="V936" s="255">
        <f t="shared" ref="V936:V939" si="205">U936</f>
        <v>0</v>
      </c>
      <c r="W936" s="255">
        <f t="shared" ref="W936:W937" si="206">U936</f>
        <v>0</v>
      </c>
      <c r="X936" s="255">
        <f t="shared" ref="X936:X937" si="207">V936</f>
        <v>0</v>
      </c>
      <c r="Y936" s="255">
        <f t="shared" ref="Y936:Y937" si="208">V936</f>
        <v>0</v>
      </c>
      <c r="Z936" s="255">
        <f t="shared" ref="Z936:Z939" si="209">AA936</f>
        <v>0</v>
      </c>
      <c r="AA936" s="97">
        <f>U936</f>
        <v>0</v>
      </c>
      <c r="AB936" s="255">
        <f t="shared" ref="AB936:AB939" si="210">AA936</f>
        <v>0</v>
      </c>
      <c r="AC936" s="255">
        <f t="shared" ref="AC936:AC939" si="211">AB936</f>
        <v>0</v>
      </c>
      <c r="AD936" s="255">
        <f t="shared" ref="AD936:AD939" si="212">AC936</f>
        <v>0</v>
      </c>
      <c r="AE936" s="76"/>
      <c r="AF936" s="97" t="s">
        <v>3383</v>
      </c>
      <c r="AG936" s="76"/>
      <c r="AH936" s="76">
        <v>1</v>
      </c>
      <c r="AI936" s="76">
        <v>1</v>
      </c>
      <c r="AJ936" s="73"/>
      <c r="AK936" s="57"/>
      <c r="AL936" s="45"/>
      <c r="AM936" s="45"/>
      <c r="AN936" s="45"/>
    </row>
    <row r="937" spans="1:40" outlineLevel="2" x14ac:dyDescent="0.25">
      <c r="A937" s="45"/>
      <c r="B937" s="54"/>
      <c r="C937" s="47">
        <f t="shared" si="171"/>
        <v>3</v>
      </c>
      <c r="D937" s="73"/>
      <c r="E937" s="70"/>
      <c r="F937" s="70" t="s">
        <v>3393</v>
      </c>
      <c r="G937" s="73"/>
      <c r="H937" s="76" t="s">
        <v>2514</v>
      </c>
      <c r="I937" s="96" t="s">
        <v>502</v>
      </c>
      <c r="J937" s="96"/>
      <c r="K937" s="76"/>
      <c r="L937" s="76"/>
      <c r="M937" s="76"/>
      <c r="N937" s="76"/>
      <c r="O937" s="76"/>
      <c r="P937" s="76"/>
      <c r="Q937" s="76"/>
      <c r="R937" s="76"/>
      <c r="S937" s="76"/>
      <c r="T937" s="76"/>
      <c r="U937" s="97">
        <v>0</v>
      </c>
      <c r="V937" s="255">
        <f t="shared" si="205"/>
        <v>0</v>
      </c>
      <c r="W937" s="255">
        <f t="shared" si="206"/>
        <v>0</v>
      </c>
      <c r="X937" s="255">
        <f t="shared" si="207"/>
        <v>0</v>
      </c>
      <c r="Y937" s="255">
        <f t="shared" si="208"/>
        <v>0</v>
      </c>
      <c r="Z937" s="255">
        <f t="shared" si="209"/>
        <v>0</v>
      </c>
      <c r="AA937" s="97">
        <f t="shared" ref="AA937:AA938" si="213">U937</f>
        <v>0</v>
      </c>
      <c r="AB937" s="255">
        <f t="shared" si="210"/>
        <v>0</v>
      </c>
      <c r="AC937" s="255">
        <f t="shared" si="211"/>
        <v>0</v>
      </c>
      <c r="AD937" s="255">
        <f t="shared" si="212"/>
        <v>0</v>
      </c>
      <c r="AE937" s="76"/>
      <c r="AF937" s="97" t="s">
        <v>3772</v>
      </c>
      <c r="AG937" s="76"/>
      <c r="AH937" s="97">
        <v>1</v>
      </c>
      <c r="AI937" s="97">
        <v>1</v>
      </c>
      <c r="AJ937" s="73"/>
      <c r="AK937" s="57"/>
      <c r="AL937" s="45"/>
      <c r="AM937" s="45"/>
      <c r="AN937" s="45"/>
    </row>
    <row r="938" spans="1:40" outlineLevel="2" x14ac:dyDescent="0.25">
      <c r="A938" s="45"/>
      <c r="B938" s="54"/>
      <c r="C938" s="47">
        <f t="shared" si="171"/>
        <v>3</v>
      </c>
      <c r="D938" s="73"/>
      <c r="E938" s="70"/>
      <c r="F938" s="70" t="s">
        <v>3394</v>
      </c>
      <c r="G938" s="73"/>
      <c r="H938" s="76" t="s">
        <v>2515</v>
      </c>
      <c r="I938" s="96" t="s">
        <v>502</v>
      </c>
      <c r="J938" s="96"/>
      <c r="K938" s="76"/>
      <c r="L938" s="76"/>
      <c r="M938" s="76"/>
      <c r="N938" s="76"/>
      <c r="O938" s="76"/>
      <c r="P938" s="76"/>
      <c r="Q938" s="76"/>
      <c r="R938" s="76"/>
      <c r="S938" s="76"/>
      <c r="T938" s="76"/>
      <c r="U938" s="97">
        <v>7.0199999999999999E-2</v>
      </c>
      <c r="V938" s="255">
        <f t="shared" si="205"/>
        <v>7.0199999999999999E-2</v>
      </c>
      <c r="W938" s="255">
        <f>U938</f>
        <v>7.0199999999999999E-2</v>
      </c>
      <c r="X938" s="255">
        <f>V938</f>
        <v>7.0199999999999999E-2</v>
      </c>
      <c r="Y938" s="255">
        <f>V938</f>
        <v>7.0199999999999999E-2</v>
      </c>
      <c r="Z938" s="255">
        <f t="shared" si="209"/>
        <v>7.0199999999999999E-2</v>
      </c>
      <c r="AA938" s="97">
        <f t="shared" si="213"/>
        <v>7.0199999999999999E-2</v>
      </c>
      <c r="AB938" s="255">
        <f t="shared" si="210"/>
        <v>7.0199999999999999E-2</v>
      </c>
      <c r="AC938" s="255">
        <f t="shared" si="211"/>
        <v>7.0199999999999999E-2</v>
      </c>
      <c r="AD938" s="255">
        <f t="shared" si="212"/>
        <v>7.0199999999999999E-2</v>
      </c>
      <c r="AE938" s="76"/>
      <c r="AF938" s="97"/>
      <c r="AG938" s="76"/>
      <c r="AH938" s="97">
        <v>1</v>
      </c>
      <c r="AI938" s="97">
        <v>1</v>
      </c>
      <c r="AJ938" s="73"/>
      <c r="AK938" s="57"/>
      <c r="AL938" s="45"/>
      <c r="AM938" s="45"/>
      <c r="AN938" s="45"/>
    </row>
    <row r="939" spans="1:40" outlineLevel="2" x14ac:dyDescent="0.25">
      <c r="A939" s="45"/>
      <c r="B939" s="54"/>
      <c r="C939" s="47">
        <f t="shared" si="171"/>
        <v>3</v>
      </c>
      <c r="D939" s="73"/>
      <c r="E939" s="70"/>
      <c r="F939" s="70" t="s">
        <v>3395</v>
      </c>
      <c r="G939" s="73"/>
      <c r="H939" s="76" t="s">
        <v>2516</v>
      </c>
      <c r="I939" s="96" t="s">
        <v>502</v>
      </c>
      <c r="J939" s="96"/>
      <c r="K939" s="76"/>
      <c r="L939" s="76"/>
      <c r="M939" s="76"/>
      <c r="N939" s="76"/>
      <c r="O939" s="76"/>
      <c r="P939" s="76"/>
      <c r="Q939" s="76"/>
      <c r="R939" s="76"/>
      <c r="S939" s="76"/>
      <c r="T939" s="76"/>
      <c r="U939" s="253">
        <f>U938</f>
        <v>7.0199999999999999E-2</v>
      </c>
      <c r="V939" s="76">
        <f t="shared" si="205"/>
        <v>7.0199999999999999E-2</v>
      </c>
      <c r="W939" s="76">
        <f>U939</f>
        <v>7.0199999999999999E-2</v>
      </c>
      <c r="X939" s="76">
        <f>V939</f>
        <v>7.0199999999999999E-2</v>
      </c>
      <c r="Y939" s="76">
        <f>V939</f>
        <v>7.0199999999999999E-2</v>
      </c>
      <c r="Z939" s="76">
        <f t="shared" si="209"/>
        <v>7.0199999999999999E-2</v>
      </c>
      <c r="AA939" s="253">
        <f>AA938</f>
        <v>7.0199999999999999E-2</v>
      </c>
      <c r="AB939" s="76">
        <f t="shared" si="210"/>
        <v>7.0199999999999999E-2</v>
      </c>
      <c r="AC939" s="76">
        <f t="shared" si="211"/>
        <v>7.0199999999999999E-2</v>
      </c>
      <c r="AD939" s="76">
        <f t="shared" si="212"/>
        <v>7.0199999999999999E-2</v>
      </c>
      <c r="AE939" s="76"/>
      <c r="AF939" s="264" t="s">
        <v>3382</v>
      </c>
      <c r="AG939" s="76"/>
      <c r="AH939" s="76">
        <v>1</v>
      </c>
      <c r="AI939" s="76">
        <v>1</v>
      </c>
      <c r="AJ939" s="73"/>
      <c r="AK939" s="57"/>
      <c r="AL939" s="45"/>
      <c r="AM939" s="45"/>
      <c r="AN939" s="45"/>
    </row>
    <row r="940" spans="1:40" outlineLevel="2" x14ac:dyDescent="0.25">
      <c r="A940" s="45"/>
      <c r="B940" s="54"/>
      <c r="C940" s="47">
        <f t="shared" si="171"/>
        <v>3</v>
      </c>
      <c r="D940" s="73"/>
      <c r="E940" s="70"/>
      <c r="F940" s="70" t="s">
        <v>3396</v>
      </c>
      <c r="G940" s="73"/>
      <c r="H940" s="76" t="s">
        <v>3770</v>
      </c>
      <c r="I940" s="96" t="s">
        <v>502</v>
      </c>
      <c r="J940" s="96"/>
      <c r="K940" s="76"/>
      <c r="L940" s="76"/>
      <c r="M940" s="76"/>
      <c r="N940" s="76"/>
      <c r="O940" s="76"/>
      <c r="P940" s="76"/>
      <c r="Q940" s="76"/>
      <c r="R940" s="76"/>
      <c r="S940" s="76"/>
      <c r="T940" s="76"/>
      <c r="U940" s="97">
        <v>0</v>
      </c>
      <c r="V940" s="255">
        <f t="shared" ref="V940:V943" si="214">U940</f>
        <v>0</v>
      </c>
      <c r="W940" s="255">
        <f t="shared" ref="W940:W941" si="215">U940</f>
        <v>0</v>
      </c>
      <c r="X940" s="255">
        <f t="shared" ref="X940:X941" si="216">V940</f>
        <v>0</v>
      </c>
      <c r="Y940" s="255">
        <f t="shared" ref="Y940:Y941" si="217">V940</f>
        <v>0</v>
      </c>
      <c r="Z940" s="255">
        <f t="shared" ref="Z940:Z943" si="218">AA940</f>
        <v>0</v>
      </c>
      <c r="AA940" s="97">
        <f>U940</f>
        <v>0</v>
      </c>
      <c r="AB940" s="255">
        <f t="shared" ref="AB940:AB943" si="219">AA940</f>
        <v>0</v>
      </c>
      <c r="AC940" s="255">
        <f t="shared" ref="AC940:AC943" si="220">AB940</f>
        <v>0</v>
      </c>
      <c r="AD940" s="255">
        <f t="shared" ref="AD940:AD943" si="221">AC940</f>
        <v>0</v>
      </c>
      <c r="AE940" s="76"/>
      <c r="AF940" s="97" t="s">
        <v>3383</v>
      </c>
      <c r="AG940" s="76"/>
      <c r="AH940" s="76">
        <v>1</v>
      </c>
      <c r="AI940" s="76">
        <v>1</v>
      </c>
      <c r="AJ940" s="73"/>
      <c r="AK940" s="57"/>
      <c r="AL940" s="45"/>
      <c r="AM940" s="45"/>
      <c r="AN940" s="45"/>
    </row>
    <row r="941" spans="1:40" outlineLevel="2" x14ac:dyDescent="0.25">
      <c r="A941" s="45"/>
      <c r="B941" s="54"/>
      <c r="C941" s="47">
        <f t="shared" si="171"/>
        <v>3</v>
      </c>
      <c r="D941" s="73"/>
      <c r="E941" s="70"/>
      <c r="F941" s="70" t="s">
        <v>3397</v>
      </c>
      <c r="G941" s="73"/>
      <c r="H941" s="76" t="s">
        <v>2514</v>
      </c>
      <c r="I941" s="96" t="s">
        <v>502</v>
      </c>
      <c r="J941" s="96"/>
      <c r="K941" s="76"/>
      <c r="L941" s="76"/>
      <c r="M941" s="76"/>
      <c r="N941" s="76"/>
      <c r="O941" s="76"/>
      <c r="P941" s="76"/>
      <c r="Q941" s="76"/>
      <c r="R941" s="76"/>
      <c r="S941" s="76"/>
      <c r="T941" s="76"/>
      <c r="U941" s="97">
        <v>0</v>
      </c>
      <c r="V941" s="255">
        <f t="shared" si="214"/>
        <v>0</v>
      </c>
      <c r="W941" s="255">
        <f t="shared" si="215"/>
        <v>0</v>
      </c>
      <c r="X941" s="255">
        <f t="shared" si="216"/>
        <v>0</v>
      </c>
      <c r="Y941" s="255">
        <f t="shared" si="217"/>
        <v>0</v>
      </c>
      <c r="Z941" s="255">
        <f t="shared" si="218"/>
        <v>0</v>
      </c>
      <c r="AA941" s="97">
        <f t="shared" ref="AA941:AA942" si="222">U941</f>
        <v>0</v>
      </c>
      <c r="AB941" s="255">
        <f t="shared" si="219"/>
        <v>0</v>
      </c>
      <c r="AC941" s="255">
        <f t="shared" si="220"/>
        <v>0</v>
      </c>
      <c r="AD941" s="255">
        <f t="shared" si="221"/>
        <v>0</v>
      </c>
      <c r="AE941" s="76"/>
      <c r="AF941" s="97" t="s">
        <v>3772</v>
      </c>
      <c r="AG941" s="76"/>
      <c r="AH941" s="97">
        <v>1</v>
      </c>
      <c r="AI941" s="97">
        <v>1</v>
      </c>
      <c r="AJ941" s="73"/>
      <c r="AK941" s="57"/>
      <c r="AL941" s="45"/>
      <c r="AM941" s="45"/>
      <c r="AN941" s="45"/>
    </row>
    <row r="942" spans="1:40" outlineLevel="2" x14ac:dyDescent="0.25">
      <c r="A942" s="45"/>
      <c r="B942" s="54"/>
      <c r="C942" s="47">
        <f t="shared" si="171"/>
        <v>3</v>
      </c>
      <c r="D942" s="73"/>
      <c r="E942" s="70"/>
      <c r="F942" s="70" t="s">
        <v>3398</v>
      </c>
      <c r="G942" s="73"/>
      <c r="H942" s="76" t="s">
        <v>2515</v>
      </c>
      <c r="I942" s="96" t="s">
        <v>502</v>
      </c>
      <c r="J942" s="96"/>
      <c r="K942" s="76"/>
      <c r="L942" s="76"/>
      <c r="M942" s="76"/>
      <c r="N942" s="76"/>
      <c r="O942" s="76"/>
      <c r="P942" s="76"/>
      <c r="Q942" s="76"/>
      <c r="R942" s="76"/>
      <c r="S942" s="76"/>
      <c r="T942" s="76"/>
      <c r="U942" s="97">
        <v>4.4400000000000002E-2</v>
      </c>
      <c r="V942" s="255">
        <f t="shared" si="214"/>
        <v>4.4400000000000002E-2</v>
      </c>
      <c r="W942" s="255">
        <f>U942</f>
        <v>4.4400000000000002E-2</v>
      </c>
      <c r="X942" s="255">
        <f>V942</f>
        <v>4.4400000000000002E-2</v>
      </c>
      <c r="Y942" s="255">
        <f>V942</f>
        <v>4.4400000000000002E-2</v>
      </c>
      <c r="Z942" s="255">
        <f t="shared" si="218"/>
        <v>4.4400000000000002E-2</v>
      </c>
      <c r="AA942" s="97">
        <f t="shared" si="222"/>
        <v>4.4400000000000002E-2</v>
      </c>
      <c r="AB942" s="255">
        <f t="shared" si="219"/>
        <v>4.4400000000000002E-2</v>
      </c>
      <c r="AC942" s="255">
        <f t="shared" si="220"/>
        <v>4.4400000000000002E-2</v>
      </c>
      <c r="AD942" s="255">
        <f t="shared" si="221"/>
        <v>4.4400000000000002E-2</v>
      </c>
      <c r="AE942" s="76"/>
      <c r="AF942" s="97"/>
      <c r="AG942" s="76"/>
      <c r="AH942" s="97">
        <v>1</v>
      </c>
      <c r="AI942" s="97">
        <v>1</v>
      </c>
      <c r="AJ942" s="73"/>
      <c r="AK942" s="57"/>
      <c r="AL942" s="45"/>
      <c r="AM942" s="45"/>
      <c r="AN942" s="45"/>
    </row>
    <row r="943" spans="1:40" outlineLevel="2" x14ac:dyDescent="0.25">
      <c r="A943" s="45"/>
      <c r="B943" s="54"/>
      <c r="C943" s="47">
        <f t="shared" si="171"/>
        <v>3</v>
      </c>
      <c r="D943" s="73"/>
      <c r="E943" s="70"/>
      <c r="F943" s="70" t="s">
        <v>3399</v>
      </c>
      <c r="G943" s="73"/>
      <c r="H943" s="76" t="s">
        <v>2516</v>
      </c>
      <c r="I943" s="96" t="s">
        <v>502</v>
      </c>
      <c r="J943" s="96"/>
      <c r="K943" s="76"/>
      <c r="L943" s="76"/>
      <c r="M943" s="76"/>
      <c r="N943" s="76"/>
      <c r="O943" s="76"/>
      <c r="P943" s="76"/>
      <c r="Q943" s="76"/>
      <c r="R943" s="76"/>
      <c r="S943" s="76"/>
      <c r="T943" s="76"/>
      <c r="U943" s="253">
        <f>U942</f>
        <v>4.4400000000000002E-2</v>
      </c>
      <c r="V943" s="76">
        <f t="shared" si="214"/>
        <v>4.4400000000000002E-2</v>
      </c>
      <c r="W943" s="76">
        <f>U943</f>
        <v>4.4400000000000002E-2</v>
      </c>
      <c r="X943" s="76">
        <f>V943</f>
        <v>4.4400000000000002E-2</v>
      </c>
      <c r="Y943" s="76">
        <f>V943</f>
        <v>4.4400000000000002E-2</v>
      </c>
      <c r="Z943" s="76">
        <f t="shared" si="218"/>
        <v>4.4400000000000002E-2</v>
      </c>
      <c r="AA943" s="253">
        <f>AA942</f>
        <v>4.4400000000000002E-2</v>
      </c>
      <c r="AB943" s="76">
        <f t="shared" si="219"/>
        <v>4.4400000000000002E-2</v>
      </c>
      <c r="AC943" s="76">
        <f t="shared" si="220"/>
        <v>4.4400000000000002E-2</v>
      </c>
      <c r="AD943" s="76">
        <f t="shared" si="221"/>
        <v>4.4400000000000002E-2</v>
      </c>
      <c r="AE943" s="76"/>
      <c r="AF943" s="264" t="s">
        <v>3382</v>
      </c>
      <c r="AG943" s="76"/>
      <c r="AH943" s="76">
        <v>1</v>
      </c>
      <c r="AI943" s="76">
        <v>1</v>
      </c>
      <c r="AJ943" s="73"/>
      <c r="AK943" s="57"/>
      <c r="AL943" s="45"/>
      <c r="AM943" s="45"/>
      <c r="AN943" s="45"/>
    </row>
    <row r="944" spans="1:40" outlineLevel="2" x14ac:dyDescent="0.25">
      <c r="A944" s="45"/>
      <c r="B944" s="54"/>
      <c r="C944" s="47">
        <f t="shared" si="171"/>
        <v>3</v>
      </c>
      <c r="D944" s="73"/>
      <c r="E944" s="70"/>
      <c r="F944" s="70" t="s">
        <v>3401</v>
      </c>
      <c r="G944" s="73"/>
      <c r="H944" s="76" t="s">
        <v>3771</v>
      </c>
      <c r="I944" s="96" t="s">
        <v>502</v>
      </c>
      <c r="J944" s="96"/>
      <c r="K944" s="76"/>
      <c r="L944" s="76"/>
      <c r="M944" s="76"/>
      <c r="N944" s="76"/>
      <c r="O944" s="76"/>
      <c r="P944" s="76"/>
      <c r="Q944" s="76"/>
      <c r="R944" s="76"/>
      <c r="S944" s="76"/>
      <c r="T944" s="76"/>
      <c r="U944" s="97">
        <v>0</v>
      </c>
      <c r="V944" s="255">
        <f t="shared" ref="V944:V947" si="223">U944</f>
        <v>0</v>
      </c>
      <c r="W944" s="255">
        <f t="shared" ref="W944:W945" si="224">U944</f>
        <v>0</v>
      </c>
      <c r="X944" s="255">
        <f t="shared" ref="X944:X945" si="225">V944</f>
        <v>0</v>
      </c>
      <c r="Y944" s="255">
        <f t="shared" ref="Y944:Y945" si="226">V944</f>
        <v>0</v>
      </c>
      <c r="Z944" s="255">
        <f t="shared" ref="Z944:Z947" si="227">AA944</f>
        <v>0</v>
      </c>
      <c r="AA944" s="97">
        <f>U944</f>
        <v>0</v>
      </c>
      <c r="AB944" s="255">
        <f t="shared" ref="AB944:AB947" si="228">AA944</f>
        <v>0</v>
      </c>
      <c r="AC944" s="255">
        <f t="shared" ref="AC944:AC947" si="229">AB944</f>
        <v>0</v>
      </c>
      <c r="AD944" s="255">
        <f t="shared" ref="AD944:AD947" si="230">AC944</f>
        <v>0</v>
      </c>
      <c r="AE944" s="76"/>
      <c r="AF944" s="97" t="s">
        <v>3383</v>
      </c>
      <c r="AG944" s="76"/>
      <c r="AH944" s="76">
        <v>1</v>
      </c>
      <c r="AI944" s="76">
        <v>1</v>
      </c>
      <c r="AJ944" s="73"/>
      <c r="AK944" s="57"/>
      <c r="AL944" s="45"/>
      <c r="AM944" s="45"/>
      <c r="AN944" s="45"/>
    </row>
    <row r="945" spans="1:40" outlineLevel="2" x14ac:dyDescent="0.25">
      <c r="A945" s="45"/>
      <c r="B945" s="54"/>
      <c r="C945" s="47">
        <f t="shared" ref="C945:C975" si="231">INT($C$29)+2</f>
        <v>3</v>
      </c>
      <c r="D945" s="73"/>
      <c r="E945" s="70"/>
      <c r="F945" s="70" t="s">
        <v>3402</v>
      </c>
      <c r="G945" s="73"/>
      <c r="H945" s="76" t="s">
        <v>2514</v>
      </c>
      <c r="I945" s="96" t="s">
        <v>502</v>
      </c>
      <c r="J945" s="96"/>
      <c r="K945" s="76"/>
      <c r="L945" s="76"/>
      <c r="M945" s="76"/>
      <c r="N945" s="76"/>
      <c r="O945" s="76"/>
      <c r="P945" s="76"/>
      <c r="Q945" s="76"/>
      <c r="R945" s="76"/>
      <c r="S945" s="76"/>
      <c r="T945" s="76"/>
      <c r="U945" s="97">
        <v>0</v>
      </c>
      <c r="V945" s="255">
        <f t="shared" si="223"/>
        <v>0</v>
      </c>
      <c r="W945" s="255">
        <f t="shared" si="224"/>
        <v>0</v>
      </c>
      <c r="X945" s="255">
        <f t="shared" si="225"/>
        <v>0</v>
      </c>
      <c r="Y945" s="255">
        <f t="shared" si="226"/>
        <v>0</v>
      </c>
      <c r="Z945" s="255">
        <f t="shared" si="227"/>
        <v>0</v>
      </c>
      <c r="AA945" s="97">
        <f t="shared" ref="AA945:AA947" si="232">U945</f>
        <v>0</v>
      </c>
      <c r="AB945" s="255">
        <f t="shared" si="228"/>
        <v>0</v>
      </c>
      <c r="AC945" s="255">
        <f t="shared" si="229"/>
        <v>0</v>
      </c>
      <c r="AD945" s="255">
        <f t="shared" si="230"/>
        <v>0</v>
      </c>
      <c r="AE945" s="76"/>
      <c r="AF945" s="97" t="s">
        <v>3772</v>
      </c>
      <c r="AG945" s="76"/>
      <c r="AH945" s="97">
        <v>1</v>
      </c>
      <c r="AI945" s="97">
        <v>1</v>
      </c>
      <c r="AJ945" s="73"/>
      <c r="AK945" s="57"/>
      <c r="AL945" s="45"/>
      <c r="AM945" s="45"/>
      <c r="AN945" s="45"/>
    </row>
    <row r="946" spans="1:40" outlineLevel="2" x14ac:dyDescent="0.25">
      <c r="A946" s="45"/>
      <c r="B946" s="54"/>
      <c r="C946" s="47">
        <f t="shared" si="231"/>
        <v>3</v>
      </c>
      <c r="D946" s="73"/>
      <c r="E946" s="70"/>
      <c r="F946" s="70" t="s">
        <v>3403</v>
      </c>
      <c r="G946" s="73"/>
      <c r="H946" s="76" t="s">
        <v>2515</v>
      </c>
      <c r="I946" s="96" t="s">
        <v>502</v>
      </c>
      <c r="J946" s="96"/>
      <c r="K946" s="76"/>
      <c r="L946" s="76"/>
      <c r="M946" s="76"/>
      <c r="N946" s="76"/>
      <c r="O946" s="76"/>
      <c r="P946" s="76"/>
      <c r="Q946" s="76"/>
      <c r="R946" s="76"/>
      <c r="S946" s="76"/>
      <c r="T946" s="76"/>
      <c r="U946" s="97">
        <v>0.95</v>
      </c>
      <c r="V946" s="255">
        <f t="shared" si="223"/>
        <v>0.95</v>
      </c>
      <c r="W946" s="255">
        <f>U946</f>
        <v>0.95</v>
      </c>
      <c r="X946" s="255">
        <f>V946</f>
        <v>0.95</v>
      </c>
      <c r="Y946" s="255">
        <f>V946</f>
        <v>0.95</v>
      </c>
      <c r="Z946" s="255">
        <f t="shared" si="227"/>
        <v>0.95</v>
      </c>
      <c r="AA946" s="97">
        <f t="shared" si="232"/>
        <v>0.95</v>
      </c>
      <c r="AB946" s="255">
        <f t="shared" si="228"/>
        <v>0.95</v>
      </c>
      <c r="AC946" s="255">
        <f t="shared" si="229"/>
        <v>0.95</v>
      </c>
      <c r="AD946" s="255">
        <f t="shared" si="230"/>
        <v>0.95</v>
      </c>
      <c r="AE946" s="76"/>
      <c r="AF946" s="97"/>
      <c r="AG946" s="76"/>
      <c r="AH946" s="97">
        <v>1</v>
      </c>
      <c r="AI946" s="97">
        <v>1</v>
      </c>
      <c r="AJ946" s="73"/>
      <c r="AK946" s="57"/>
      <c r="AL946" s="45"/>
      <c r="AM946" s="45"/>
      <c r="AN946" s="45"/>
    </row>
    <row r="947" spans="1:40" outlineLevel="2" x14ac:dyDescent="0.25">
      <c r="A947" s="45"/>
      <c r="B947" s="54"/>
      <c r="C947" s="47">
        <f t="shared" si="231"/>
        <v>3</v>
      </c>
      <c r="D947" s="73"/>
      <c r="E947" s="70"/>
      <c r="F947" s="70" t="s">
        <v>3404</v>
      </c>
      <c r="G947" s="73"/>
      <c r="H947" s="76" t="s">
        <v>2516</v>
      </c>
      <c r="I947" s="96" t="s">
        <v>502</v>
      </c>
      <c r="J947" s="96"/>
      <c r="K947" s="76"/>
      <c r="L947" s="76"/>
      <c r="M947" s="76"/>
      <c r="N947" s="76"/>
      <c r="O947" s="76"/>
      <c r="P947" s="76"/>
      <c r="Q947" s="76"/>
      <c r="R947" s="76"/>
      <c r="S947" s="76"/>
      <c r="T947" s="76"/>
      <c r="U947" s="97">
        <v>1.6046</v>
      </c>
      <c r="V947" s="76">
        <f t="shared" si="223"/>
        <v>1.6046</v>
      </c>
      <c r="W947" s="76">
        <f>U947</f>
        <v>1.6046</v>
      </c>
      <c r="X947" s="76">
        <f>V947</f>
        <v>1.6046</v>
      </c>
      <c r="Y947" s="76">
        <f>V947</f>
        <v>1.6046</v>
      </c>
      <c r="Z947" s="76">
        <f t="shared" si="227"/>
        <v>1.6046</v>
      </c>
      <c r="AA947" s="97">
        <f t="shared" si="232"/>
        <v>1.6046</v>
      </c>
      <c r="AB947" s="76">
        <f t="shared" si="228"/>
        <v>1.6046</v>
      </c>
      <c r="AC947" s="76">
        <f t="shared" si="229"/>
        <v>1.6046</v>
      </c>
      <c r="AD947" s="76">
        <f t="shared" si="230"/>
        <v>1.6046</v>
      </c>
      <c r="AE947" s="76"/>
      <c r="AF947" s="264"/>
      <c r="AG947" s="76"/>
      <c r="AH947" s="76">
        <v>1</v>
      </c>
      <c r="AI947" s="76">
        <v>1</v>
      </c>
      <c r="AJ947" s="73"/>
      <c r="AK947" s="57"/>
      <c r="AL947" s="45"/>
      <c r="AM947" s="45"/>
      <c r="AN947" s="45"/>
    </row>
    <row r="948" spans="1:40" outlineLevel="2" x14ac:dyDescent="0.25">
      <c r="A948" s="45"/>
      <c r="B948" s="54"/>
      <c r="C948" s="47">
        <f t="shared" si="231"/>
        <v>3</v>
      </c>
      <c r="D948" s="73"/>
      <c r="E948" s="70"/>
      <c r="F948" s="70" t="s">
        <v>3405</v>
      </c>
      <c r="G948" s="73"/>
      <c r="H948" s="76" t="s">
        <v>3426</v>
      </c>
      <c r="I948" s="96" t="s">
        <v>502</v>
      </c>
      <c r="J948" s="96"/>
      <c r="K948" s="76"/>
      <c r="L948" s="76"/>
      <c r="M948" s="76"/>
      <c r="N948" s="76"/>
      <c r="O948" s="76"/>
      <c r="P948" s="76"/>
      <c r="Q948" s="76"/>
      <c r="R948" s="76"/>
      <c r="S948" s="76"/>
      <c r="T948" s="76"/>
      <c r="U948" s="97">
        <v>0</v>
      </c>
      <c r="V948" s="255">
        <f t="shared" ref="V948:V951" si="233">U948</f>
        <v>0</v>
      </c>
      <c r="W948" s="255">
        <f t="shared" ref="W948:W949" si="234">U948</f>
        <v>0</v>
      </c>
      <c r="X948" s="255">
        <f t="shared" ref="X948:X949" si="235">V948</f>
        <v>0</v>
      </c>
      <c r="Y948" s="255">
        <f t="shared" ref="Y948:Y949" si="236">V948</f>
        <v>0</v>
      </c>
      <c r="Z948" s="255">
        <f t="shared" ref="Z948:Z951" si="237">AA948</f>
        <v>0</v>
      </c>
      <c r="AA948" s="97">
        <f>U948</f>
        <v>0</v>
      </c>
      <c r="AB948" s="255">
        <f t="shared" ref="AB948:AB951" si="238">AA948</f>
        <v>0</v>
      </c>
      <c r="AC948" s="255">
        <f t="shared" ref="AC948:AC951" si="239">AB948</f>
        <v>0</v>
      </c>
      <c r="AD948" s="255">
        <f t="shared" ref="AD948:AD951" si="240">AC948</f>
        <v>0</v>
      </c>
      <c r="AE948" s="76"/>
      <c r="AF948" s="97" t="s">
        <v>3383</v>
      </c>
      <c r="AG948" s="76"/>
      <c r="AH948" s="76">
        <v>1</v>
      </c>
      <c r="AI948" s="76">
        <v>1</v>
      </c>
      <c r="AJ948" s="73"/>
      <c r="AK948" s="57"/>
      <c r="AL948" s="45"/>
      <c r="AM948" s="45"/>
      <c r="AN948" s="45"/>
    </row>
    <row r="949" spans="1:40" outlineLevel="2" x14ac:dyDescent="0.25">
      <c r="A949" s="45"/>
      <c r="B949" s="54"/>
      <c r="C949" s="47">
        <f t="shared" si="231"/>
        <v>3</v>
      </c>
      <c r="D949" s="73"/>
      <c r="E949" s="70"/>
      <c r="F949" s="70" t="s">
        <v>3406</v>
      </c>
      <c r="G949" s="73"/>
      <c r="H949" s="76" t="s">
        <v>2514</v>
      </c>
      <c r="I949" s="96" t="s">
        <v>502</v>
      </c>
      <c r="J949" s="96"/>
      <c r="K949" s="76"/>
      <c r="L949" s="76"/>
      <c r="M949" s="76"/>
      <c r="N949" s="76"/>
      <c r="O949" s="76"/>
      <c r="P949" s="76"/>
      <c r="Q949" s="76"/>
      <c r="R949" s="76"/>
      <c r="S949" s="76"/>
      <c r="T949" s="76"/>
      <c r="U949" s="97">
        <v>0</v>
      </c>
      <c r="V949" s="255">
        <f t="shared" si="233"/>
        <v>0</v>
      </c>
      <c r="W949" s="255">
        <f t="shared" si="234"/>
        <v>0</v>
      </c>
      <c r="X949" s="255">
        <f t="shared" si="235"/>
        <v>0</v>
      </c>
      <c r="Y949" s="255">
        <f t="shared" si="236"/>
        <v>0</v>
      </c>
      <c r="Z949" s="255">
        <f t="shared" si="237"/>
        <v>0</v>
      </c>
      <c r="AA949" s="97">
        <f t="shared" ref="AA949:AA950" si="241">U949</f>
        <v>0</v>
      </c>
      <c r="AB949" s="255">
        <f t="shared" si="238"/>
        <v>0</v>
      </c>
      <c r="AC949" s="255">
        <f t="shared" si="239"/>
        <v>0</v>
      </c>
      <c r="AD949" s="255">
        <f t="shared" si="240"/>
        <v>0</v>
      </c>
      <c r="AE949" s="76"/>
      <c r="AF949" s="97" t="s">
        <v>3400</v>
      </c>
      <c r="AG949" s="76"/>
      <c r="AH949" s="97">
        <v>1</v>
      </c>
      <c r="AI949" s="97">
        <v>1</v>
      </c>
      <c r="AJ949" s="73"/>
      <c r="AK949" s="57"/>
      <c r="AL949" s="45"/>
      <c r="AM949" s="45"/>
      <c r="AN949" s="45"/>
    </row>
    <row r="950" spans="1:40" outlineLevel="2" x14ac:dyDescent="0.25">
      <c r="A950" s="45"/>
      <c r="B950" s="54"/>
      <c r="C950" s="47">
        <f t="shared" si="231"/>
        <v>3</v>
      </c>
      <c r="D950" s="73"/>
      <c r="E950" s="70"/>
      <c r="F950" s="70" t="s">
        <v>3407</v>
      </c>
      <c r="G950" s="73"/>
      <c r="H950" s="76" t="s">
        <v>2515</v>
      </c>
      <c r="I950" s="96" t="s">
        <v>502</v>
      </c>
      <c r="J950" s="96"/>
      <c r="K950" s="76"/>
      <c r="L950" s="76"/>
      <c r="M950" s="76"/>
      <c r="N950" s="76"/>
      <c r="O950" s="76"/>
      <c r="P950" s="76"/>
      <c r="Q950" s="76"/>
      <c r="R950" s="76"/>
      <c r="S950" s="76"/>
      <c r="T950" s="76"/>
      <c r="U950" s="97">
        <v>0.1779</v>
      </c>
      <c r="V950" s="255">
        <f t="shared" si="233"/>
        <v>0.1779</v>
      </c>
      <c r="W950" s="255">
        <f>U950</f>
        <v>0.1779</v>
      </c>
      <c r="X950" s="255">
        <f>V950</f>
        <v>0.1779</v>
      </c>
      <c r="Y950" s="255">
        <f>V950</f>
        <v>0.1779</v>
      </c>
      <c r="Z950" s="255">
        <f t="shared" si="237"/>
        <v>0.1779</v>
      </c>
      <c r="AA950" s="97">
        <f t="shared" si="241"/>
        <v>0.1779</v>
      </c>
      <c r="AB950" s="255">
        <f t="shared" si="238"/>
        <v>0.1779</v>
      </c>
      <c r="AC950" s="255">
        <f t="shared" si="239"/>
        <v>0.1779</v>
      </c>
      <c r="AD950" s="255">
        <f t="shared" si="240"/>
        <v>0.1779</v>
      </c>
      <c r="AE950" s="76"/>
      <c r="AF950" s="97"/>
      <c r="AG950" s="76"/>
      <c r="AH950" s="97">
        <v>1</v>
      </c>
      <c r="AI950" s="97">
        <v>1</v>
      </c>
      <c r="AJ950" s="73"/>
      <c r="AK950" s="57"/>
      <c r="AL950" s="45"/>
      <c r="AM950" s="45"/>
      <c r="AN950" s="45"/>
    </row>
    <row r="951" spans="1:40" outlineLevel="2" x14ac:dyDescent="0.25">
      <c r="A951" s="45"/>
      <c r="B951" s="54"/>
      <c r="C951" s="47">
        <f t="shared" si="231"/>
        <v>3</v>
      </c>
      <c r="D951" s="73"/>
      <c r="E951" s="70"/>
      <c r="F951" s="70" t="s">
        <v>3408</v>
      </c>
      <c r="G951" s="73"/>
      <c r="H951" s="76" t="s">
        <v>2516</v>
      </c>
      <c r="I951" s="96" t="s">
        <v>502</v>
      </c>
      <c r="J951" s="96"/>
      <c r="K951" s="76"/>
      <c r="L951" s="76"/>
      <c r="M951" s="76"/>
      <c r="N951" s="76"/>
      <c r="O951" s="76"/>
      <c r="P951" s="76"/>
      <c r="Q951" s="76"/>
      <c r="R951" s="76"/>
      <c r="S951" s="76"/>
      <c r="T951" s="76"/>
      <c r="U951" s="253">
        <f>U950</f>
        <v>0.1779</v>
      </c>
      <c r="V951" s="76">
        <f t="shared" si="233"/>
        <v>0.1779</v>
      </c>
      <c r="W951" s="76">
        <f>U951</f>
        <v>0.1779</v>
      </c>
      <c r="X951" s="76">
        <f>V951</f>
        <v>0.1779</v>
      </c>
      <c r="Y951" s="76">
        <f>V951</f>
        <v>0.1779</v>
      </c>
      <c r="Z951" s="76">
        <f t="shared" si="237"/>
        <v>0.1779</v>
      </c>
      <c r="AA951" s="253">
        <f>AA950</f>
        <v>0.1779</v>
      </c>
      <c r="AB951" s="76">
        <f t="shared" si="238"/>
        <v>0.1779</v>
      </c>
      <c r="AC951" s="76">
        <f t="shared" si="239"/>
        <v>0.1779</v>
      </c>
      <c r="AD951" s="76">
        <f t="shared" si="240"/>
        <v>0.1779</v>
      </c>
      <c r="AE951" s="76"/>
      <c r="AF951" s="264" t="s">
        <v>3382</v>
      </c>
      <c r="AG951" s="76"/>
      <c r="AH951" s="76">
        <v>1</v>
      </c>
      <c r="AI951" s="76">
        <v>1</v>
      </c>
      <c r="AJ951" s="73"/>
      <c r="AK951" s="57"/>
      <c r="AL951" s="45"/>
      <c r="AM951" s="45"/>
      <c r="AN951" s="45"/>
    </row>
    <row r="952" spans="1:40" outlineLevel="2" x14ac:dyDescent="0.25">
      <c r="A952" s="45"/>
      <c r="B952" s="54"/>
      <c r="C952" s="47">
        <f t="shared" si="231"/>
        <v>3</v>
      </c>
      <c r="D952" s="73"/>
      <c r="E952" s="70"/>
      <c r="F952" s="70" t="s">
        <v>3409</v>
      </c>
      <c r="G952" s="73"/>
      <c r="H952" s="76" t="s">
        <v>3427</v>
      </c>
      <c r="I952" s="96" t="s">
        <v>502</v>
      </c>
      <c r="J952" s="96"/>
      <c r="K952" s="76"/>
      <c r="L952" s="76"/>
      <c r="M952" s="76"/>
      <c r="N952" s="76"/>
      <c r="O952" s="76"/>
      <c r="P952" s="76"/>
      <c r="Q952" s="76"/>
      <c r="R952" s="76"/>
      <c r="S952" s="76"/>
      <c r="T952" s="76"/>
      <c r="U952" s="97">
        <v>0</v>
      </c>
      <c r="V952" s="255">
        <f t="shared" ref="V952:V967" si="242">U952</f>
        <v>0</v>
      </c>
      <c r="W952" s="255">
        <f t="shared" ref="W952:W953" si="243">U952</f>
        <v>0</v>
      </c>
      <c r="X952" s="255">
        <f t="shared" ref="X952:X953" si="244">V952</f>
        <v>0</v>
      </c>
      <c r="Y952" s="255">
        <f t="shared" ref="Y952:Y953" si="245">V952</f>
        <v>0</v>
      </c>
      <c r="Z952" s="255">
        <f t="shared" ref="Z952:Z967" si="246">AA952</f>
        <v>0</v>
      </c>
      <c r="AA952" s="97">
        <f>U952</f>
        <v>0</v>
      </c>
      <c r="AB952" s="255">
        <f t="shared" ref="AB952:AB967" si="247">AA952</f>
        <v>0</v>
      </c>
      <c r="AC952" s="255">
        <f t="shared" ref="AC952:AC967" si="248">AB952</f>
        <v>0</v>
      </c>
      <c r="AD952" s="255">
        <f t="shared" ref="AD952:AD967" si="249">AC952</f>
        <v>0</v>
      </c>
      <c r="AE952" s="76"/>
      <c r="AF952" s="97" t="s">
        <v>3383</v>
      </c>
      <c r="AG952" s="76"/>
      <c r="AH952" s="76">
        <v>1</v>
      </c>
      <c r="AI952" s="76">
        <v>1</v>
      </c>
      <c r="AJ952" s="73"/>
      <c r="AK952" s="57"/>
      <c r="AL952" s="45"/>
      <c r="AM952" s="45"/>
      <c r="AN952" s="45"/>
    </row>
    <row r="953" spans="1:40" outlineLevel="2" x14ac:dyDescent="0.25">
      <c r="A953" s="45"/>
      <c r="B953" s="54"/>
      <c r="C953" s="47">
        <f t="shared" si="231"/>
        <v>3</v>
      </c>
      <c r="D953" s="73"/>
      <c r="E953" s="70"/>
      <c r="F953" s="70" t="s">
        <v>3410</v>
      </c>
      <c r="G953" s="73"/>
      <c r="H953" s="76" t="s">
        <v>2514</v>
      </c>
      <c r="I953" s="96" t="s">
        <v>502</v>
      </c>
      <c r="J953" s="96"/>
      <c r="K953" s="76"/>
      <c r="L953" s="76"/>
      <c r="M953" s="76"/>
      <c r="N953" s="76"/>
      <c r="O953" s="76"/>
      <c r="P953" s="76"/>
      <c r="Q953" s="76"/>
      <c r="R953" s="76"/>
      <c r="S953" s="76"/>
      <c r="T953" s="76"/>
      <c r="U953" s="97">
        <v>0</v>
      </c>
      <c r="V953" s="255">
        <f t="shared" si="242"/>
        <v>0</v>
      </c>
      <c r="W953" s="255">
        <f t="shared" si="243"/>
        <v>0</v>
      </c>
      <c r="X953" s="255">
        <f t="shared" si="244"/>
        <v>0</v>
      </c>
      <c r="Y953" s="255">
        <f t="shared" si="245"/>
        <v>0</v>
      </c>
      <c r="Z953" s="255">
        <f t="shared" si="246"/>
        <v>0</v>
      </c>
      <c r="AA953" s="97">
        <f t="shared" ref="AA953:AA954" si="250">U953</f>
        <v>0</v>
      </c>
      <c r="AB953" s="255">
        <f t="shared" si="247"/>
        <v>0</v>
      </c>
      <c r="AC953" s="255">
        <f t="shared" si="248"/>
        <v>0</v>
      </c>
      <c r="AD953" s="255">
        <f t="shared" si="249"/>
        <v>0</v>
      </c>
      <c r="AE953" s="76"/>
      <c r="AF953" s="97" t="s">
        <v>3400</v>
      </c>
      <c r="AG953" s="76"/>
      <c r="AH953" s="97">
        <v>1</v>
      </c>
      <c r="AI953" s="97">
        <v>1</v>
      </c>
      <c r="AJ953" s="73"/>
      <c r="AK953" s="57"/>
      <c r="AL953" s="45"/>
      <c r="AM953" s="45"/>
      <c r="AN953" s="45"/>
    </row>
    <row r="954" spans="1:40" outlineLevel="2" x14ac:dyDescent="0.25">
      <c r="A954" s="45"/>
      <c r="B954" s="54"/>
      <c r="C954" s="47">
        <f t="shared" si="231"/>
        <v>3</v>
      </c>
      <c r="D954" s="73"/>
      <c r="E954" s="70"/>
      <c r="F954" s="70" t="s">
        <v>3411</v>
      </c>
      <c r="G954" s="73"/>
      <c r="H954" s="76" t="s">
        <v>2515</v>
      </c>
      <c r="I954" s="96" t="s">
        <v>502</v>
      </c>
      <c r="J954" s="96"/>
      <c r="K954" s="76"/>
      <c r="L954" s="76"/>
      <c r="M954" s="76"/>
      <c r="N954" s="76"/>
      <c r="O954" s="76"/>
      <c r="P954" s="76"/>
      <c r="Q954" s="76"/>
      <c r="R954" s="76"/>
      <c r="S954" s="76"/>
      <c r="T954" s="76"/>
      <c r="U954" s="97">
        <v>-1.312E-3</v>
      </c>
      <c r="V954" s="255">
        <f t="shared" si="242"/>
        <v>-1.312E-3</v>
      </c>
      <c r="W954" s="255">
        <f>U954</f>
        <v>-1.312E-3</v>
      </c>
      <c r="X954" s="255">
        <f>V954</f>
        <v>-1.312E-3</v>
      </c>
      <c r="Y954" s="255">
        <f>V954</f>
        <v>-1.312E-3</v>
      </c>
      <c r="Z954" s="255">
        <f t="shared" si="246"/>
        <v>-1.312E-3</v>
      </c>
      <c r="AA954" s="97">
        <f t="shared" si="250"/>
        <v>-1.312E-3</v>
      </c>
      <c r="AB954" s="255">
        <f t="shared" si="247"/>
        <v>-1.312E-3</v>
      </c>
      <c r="AC954" s="255">
        <f t="shared" si="248"/>
        <v>-1.312E-3</v>
      </c>
      <c r="AD954" s="255">
        <f t="shared" si="249"/>
        <v>-1.312E-3</v>
      </c>
      <c r="AE954" s="76"/>
      <c r="AF954" s="97"/>
      <c r="AG954" s="76"/>
      <c r="AH954" s="97">
        <v>1</v>
      </c>
      <c r="AI954" s="97">
        <v>1</v>
      </c>
      <c r="AJ954" s="73"/>
      <c r="AK954" s="57"/>
      <c r="AL954" s="45"/>
      <c r="AM954" s="45"/>
      <c r="AN954" s="45"/>
    </row>
    <row r="955" spans="1:40" outlineLevel="2" x14ac:dyDescent="0.25">
      <c r="A955" s="45"/>
      <c r="B955" s="54"/>
      <c r="C955" s="47">
        <f t="shared" si="231"/>
        <v>3</v>
      </c>
      <c r="D955" s="73"/>
      <c r="E955" s="70"/>
      <c r="F955" s="70" t="s">
        <v>3412</v>
      </c>
      <c r="G955" s="73"/>
      <c r="H955" s="76" t="s">
        <v>2516</v>
      </c>
      <c r="I955" s="96" t="s">
        <v>502</v>
      </c>
      <c r="J955" s="96"/>
      <c r="K955" s="76"/>
      <c r="L955" s="76"/>
      <c r="M955" s="76"/>
      <c r="N955" s="76"/>
      <c r="O955" s="76"/>
      <c r="P955" s="76"/>
      <c r="Q955" s="76"/>
      <c r="R955" s="76"/>
      <c r="S955" s="76"/>
      <c r="T955" s="76"/>
      <c r="U955" s="253">
        <f>U954</f>
        <v>-1.312E-3</v>
      </c>
      <c r="V955" s="76">
        <f t="shared" si="242"/>
        <v>-1.312E-3</v>
      </c>
      <c r="W955" s="76">
        <f>U955</f>
        <v>-1.312E-3</v>
      </c>
      <c r="X955" s="76">
        <f>V955</f>
        <v>-1.312E-3</v>
      </c>
      <c r="Y955" s="76">
        <f>V955</f>
        <v>-1.312E-3</v>
      </c>
      <c r="Z955" s="76">
        <f t="shared" si="246"/>
        <v>-1.312E-3</v>
      </c>
      <c r="AA955" s="253">
        <f>AA954</f>
        <v>-1.312E-3</v>
      </c>
      <c r="AB955" s="76">
        <f t="shared" si="247"/>
        <v>-1.312E-3</v>
      </c>
      <c r="AC955" s="76">
        <f t="shared" si="248"/>
        <v>-1.312E-3</v>
      </c>
      <c r="AD955" s="76">
        <f t="shared" si="249"/>
        <v>-1.312E-3</v>
      </c>
      <c r="AE955" s="76"/>
      <c r="AF955" s="264" t="s">
        <v>3382</v>
      </c>
      <c r="AG955" s="76"/>
      <c r="AH955" s="76">
        <v>1</v>
      </c>
      <c r="AI955" s="76">
        <v>1</v>
      </c>
      <c r="AJ955" s="73"/>
      <c r="AK955" s="57"/>
      <c r="AL955" s="45"/>
      <c r="AM955" s="45"/>
      <c r="AN955" s="45"/>
    </row>
    <row r="956" spans="1:40" outlineLevel="2" x14ac:dyDescent="0.25">
      <c r="A956" s="45"/>
      <c r="B956" s="54"/>
      <c r="C956" s="47">
        <f t="shared" si="231"/>
        <v>3</v>
      </c>
      <c r="D956" s="73"/>
      <c r="E956" s="70"/>
      <c r="F956" s="70" t="s">
        <v>3413</v>
      </c>
      <c r="G956" s="73"/>
      <c r="H956" s="76" t="s">
        <v>3428</v>
      </c>
      <c r="I956" s="96" t="s">
        <v>502</v>
      </c>
      <c r="J956" s="96"/>
      <c r="K956" s="76"/>
      <c r="L956" s="76"/>
      <c r="M956" s="76"/>
      <c r="N956" s="76"/>
      <c r="O956" s="76"/>
      <c r="P956" s="76"/>
      <c r="Q956" s="76"/>
      <c r="R956" s="76"/>
      <c r="S956" s="76"/>
      <c r="T956" s="76"/>
      <c r="U956" s="97">
        <v>0</v>
      </c>
      <c r="V956" s="255">
        <f t="shared" si="242"/>
        <v>0</v>
      </c>
      <c r="W956" s="255">
        <f t="shared" ref="W956:W957" si="251">U956</f>
        <v>0</v>
      </c>
      <c r="X956" s="255">
        <f t="shared" ref="X956:X957" si="252">V956</f>
        <v>0</v>
      </c>
      <c r="Y956" s="255">
        <f t="shared" ref="Y956:Y957" si="253">V956</f>
        <v>0</v>
      </c>
      <c r="Z956" s="255">
        <f t="shared" si="246"/>
        <v>0</v>
      </c>
      <c r="AA956" s="97">
        <f>U956</f>
        <v>0</v>
      </c>
      <c r="AB956" s="255">
        <f t="shared" si="247"/>
        <v>0</v>
      </c>
      <c r="AC956" s="255">
        <f t="shared" si="248"/>
        <v>0</v>
      </c>
      <c r="AD956" s="255">
        <f t="shared" si="249"/>
        <v>0</v>
      </c>
      <c r="AE956" s="76"/>
      <c r="AF956" s="97" t="s">
        <v>3383</v>
      </c>
      <c r="AG956" s="76"/>
      <c r="AH956" s="76">
        <v>1</v>
      </c>
      <c r="AI956" s="76">
        <v>1</v>
      </c>
      <c r="AJ956" s="73"/>
      <c r="AK956" s="57"/>
      <c r="AL956" s="45"/>
      <c r="AM956" s="45"/>
      <c r="AN956" s="45"/>
    </row>
    <row r="957" spans="1:40" outlineLevel="2" x14ac:dyDescent="0.25">
      <c r="A957" s="45"/>
      <c r="B957" s="54"/>
      <c r="C957" s="47">
        <f t="shared" si="231"/>
        <v>3</v>
      </c>
      <c r="D957" s="73"/>
      <c r="E957" s="70"/>
      <c r="F957" s="70" t="s">
        <v>3414</v>
      </c>
      <c r="G957" s="73"/>
      <c r="H957" s="76" t="s">
        <v>2514</v>
      </c>
      <c r="I957" s="96" t="s">
        <v>502</v>
      </c>
      <c r="J957" s="96"/>
      <c r="K957" s="76"/>
      <c r="L957" s="76"/>
      <c r="M957" s="76"/>
      <c r="N957" s="76"/>
      <c r="O957" s="76"/>
      <c r="P957" s="76"/>
      <c r="Q957" s="76"/>
      <c r="R957" s="76"/>
      <c r="S957" s="76"/>
      <c r="T957" s="76"/>
      <c r="U957" s="97">
        <v>0</v>
      </c>
      <c r="V957" s="255">
        <f t="shared" si="242"/>
        <v>0</v>
      </c>
      <c r="W957" s="255">
        <f t="shared" si="251"/>
        <v>0</v>
      </c>
      <c r="X957" s="255">
        <f t="shared" si="252"/>
        <v>0</v>
      </c>
      <c r="Y957" s="255">
        <f t="shared" si="253"/>
        <v>0</v>
      </c>
      <c r="Z957" s="255">
        <f t="shared" si="246"/>
        <v>0</v>
      </c>
      <c r="AA957" s="97">
        <f t="shared" ref="AA957:AA958" si="254">U957</f>
        <v>0</v>
      </c>
      <c r="AB957" s="255">
        <f t="shared" si="247"/>
        <v>0</v>
      </c>
      <c r="AC957" s="255">
        <f t="shared" si="248"/>
        <v>0</v>
      </c>
      <c r="AD957" s="255">
        <f t="shared" si="249"/>
        <v>0</v>
      </c>
      <c r="AE957" s="76"/>
      <c r="AF957" s="97" t="s">
        <v>3400</v>
      </c>
      <c r="AG957" s="76"/>
      <c r="AH957" s="97">
        <v>1</v>
      </c>
      <c r="AI957" s="97">
        <v>1</v>
      </c>
      <c r="AJ957" s="73"/>
      <c r="AK957" s="57"/>
      <c r="AL957" s="45"/>
      <c r="AM957" s="45"/>
      <c r="AN957" s="45"/>
    </row>
    <row r="958" spans="1:40" outlineLevel="2" x14ac:dyDescent="0.25">
      <c r="A958" s="45"/>
      <c r="B958" s="54"/>
      <c r="C958" s="47">
        <f t="shared" si="231"/>
        <v>3</v>
      </c>
      <c r="D958" s="73"/>
      <c r="E958" s="70"/>
      <c r="F958" s="70" t="s">
        <v>3415</v>
      </c>
      <c r="G958" s="73"/>
      <c r="H958" s="76" t="s">
        <v>2515</v>
      </c>
      <c r="I958" s="96" t="s">
        <v>502</v>
      </c>
      <c r="J958" s="96"/>
      <c r="K958" s="76"/>
      <c r="L958" s="76"/>
      <c r="M958" s="76"/>
      <c r="N958" s="76"/>
      <c r="O958" s="76"/>
      <c r="P958" s="76"/>
      <c r="Q958" s="76"/>
      <c r="R958" s="76"/>
      <c r="S958" s="76"/>
      <c r="T958" s="76"/>
      <c r="U958" s="97">
        <v>-5.5010000000000003E-2</v>
      </c>
      <c r="V958" s="255">
        <f t="shared" si="242"/>
        <v>-5.5010000000000003E-2</v>
      </c>
      <c r="W958" s="255">
        <f>U958</f>
        <v>-5.5010000000000003E-2</v>
      </c>
      <c r="X958" s="255">
        <f>V958</f>
        <v>-5.5010000000000003E-2</v>
      </c>
      <c r="Y958" s="255">
        <f>V958</f>
        <v>-5.5010000000000003E-2</v>
      </c>
      <c r="Z958" s="255">
        <f t="shared" si="246"/>
        <v>-5.5010000000000003E-2</v>
      </c>
      <c r="AA958" s="97">
        <f t="shared" si="254"/>
        <v>-5.5010000000000003E-2</v>
      </c>
      <c r="AB958" s="255">
        <f t="shared" si="247"/>
        <v>-5.5010000000000003E-2</v>
      </c>
      <c r="AC958" s="255">
        <f t="shared" si="248"/>
        <v>-5.5010000000000003E-2</v>
      </c>
      <c r="AD958" s="255">
        <f t="shared" si="249"/>
        <v>-5.5010000000000003E-2</v>
      </c>
      <c r="AE958" s="76"/>
      <c r="AF958" s="97"/>
      <c r="AG958" s="76"/>
      <c r="AH958" s="97">
        <v>1</v>
      </c>
      <c r="AI958" s="97">
        <v>1</v>
      </c>
      <c r="AJ958" s="73"/>
      <c r="AK958" s="57"/>
      <c r="AL958" s="45"/>
      <c r="AM958" s="45"/>
      <c r="AN958" s="45"/>
    </row>
    <row r="959" spans="1:40" outlineLevel="2" x14ac:dyDescent="0.25">
      <c r="A959" s="45"/>
      <c r="B959" s="54"/>
      <c r="C959" s="47">
        <f t="shared" si="231"/>
        <v>3</v>
      </c>
      <c r="D959" s="73"/>
      <c r="E959" s="70"/>
      <c r="F959" s="70" t="s">
        <v>3416</v>
      </c>
      <c r="G959" s="73"/>
      <c r="H959" s="76" t="s">
        <v>2516</v>
      </c>
      <c r="I959" s="96" t="s">
        <v>502</v>
      </c>
      <c r="J959" s="96"/>
      <c r="K959" s="76"/>
      <c r="L959" s="76"/>
      <c r="M959" s="76"/>
      <c r="N959" s="76"/>
      <c r="O959" s="76"/>
      <c r="P959" s="76"/>
      <c r="Q959" s="76"/>
      <c r="R959" s="76"/>
      <c r="S959" s="76"/>
      <c r="T959" s="76"/>
      <c r="U959" s="253">
        <f>U958</f>
        <v>-5.5010000000000003E-2</v>
      </c>
      <c r="V959" s="76">
        <f t="shared" si="242"/>
        <v>-5.5010000000000003E-2</v>
      </c>
      <c r="W959" s="76">
        <f>U959</f>
        <v>-5.5010000000000003E-2</v>
      </c>
      <c r="X959" s="76">
        <f>V959</f>
        <v>-5.5010000000000003E-2</v>
      </c>
      <c r="Y959" s="76">
        <f>V959</f>
        <v>-5.5010000000000003E-2</v>
      </c>
      <c r="Z959" s="76">
        <f t="shared" si="246"/>
        <v>-5.5010000000000003E-2</v>
      </c>
      <c r="AA959" s="253">
        <f>AA958</f>
        <v>-5.5010000000000003E-2</v>
      </c>
      <c r="AB959" s="76">
        <f t="shared" si="247"/>
        <v>-5.5010000000000003E-2</v>
      </c>
      <c r="AC959" s="76">
        <f t="shared" si="248"/>
        <v>-5.5010000000000003E-2</v>
      </c>
      <c r="AD959" s="76">
        <f t="shared" si="249"/>
        <v>-5.5010000000000003E-2</v>
      </c>
      <c r="AE959" s="76"/>
      <c r="AF959" s="264" t="s">
        <v>3382</v>
      </c>
      <c r="AG959" s="76"/>
      <c r="AH959" s="76">
        <v>1</v>
      </c>
      <c r="AI959" s="76">
        <v>1</v>
      </c>
      <c r="AJ959" s="73"/>
      <c r="AK959" s="57"/>
      <c r="AL959" s="45"/>
      <c r="AM959" s="45"/>
      <c r="AN959" s="45"/>
    </row>
    <row r="960" spans="1:40" outlineLevel="2" x14ac:dyDescent="0.25">
      <c r="A960" s="45"/>
      <c r="B960" s="54"/>
      <c r="C960" s="47">
        <f t="shared" si="231"/>
        <v>3</v>
      </c>
      <c r="D960" s="73"/>
      <c r="E960" s="70"/>
      <c r="F960" s="70" t="s">
        <v>3417</v>
      </c>
      <c r="G960" s="73"/>
      <c r="H960" s="76" t="s">
        <v>3429</v>
      </c>
      <c r="I960" s="96" t="s">
        <v>502</v>
      </c>
      <c r="J960" s="96"/>
      <c r="K960" s="76"/>
      <c r="L960" s="76"/>
      <c r="M960" s="76"/>
      <c r="N960" s="76"/>
      <c r="O960" s="76"/>
      <c r="P960" s="76"/>
      <c r="Q960" s="76"/>
      <c r="R960" s="76"/>
      <c r="S960" s="76"/>
      <c r="T960" s="76"/>
      <c r="U960" s="97">
        <v>0</v>
      </c>
      <c r="V960" s="255">
        <f t="shared" ref="V960:V963" si="255">U960</f>
        <v>0</v>
      </c>
      <c r="W960" s="255">
        <f t="shared" ref="W960:W961" si="256">U960</f>
        <v>0</v>
      </c>
      <c r="X960" s="255">
        <f t="shared" ref="X960:X961" si="257">V960</f>
        <v>0</v>
      </c>
      <c r="Y960" s="255">
        <f t="shared" ref="Y960:Y961" si="258">V960</f>
        <v>0</v>
      </c>
      <c r="Z960" s="255">
        <f t="shared" ref="Z960:Z963" si="259">AA960</f>
        <v>0</v>
      </c>
      <c r="AA960" s="97">
        <f>U960</f>
        <v>0</v>
      </c>
      <c r="AB960" s="255">
        <f t="shared" ref="AB960:AB963" si="260">AA960</f>
        <v>0</v>
      </c>
      <c r="AC960" s="255">
        <f t="shared" ref="AC960:AC963" si="261">AB960</f>
        <v>0</v>
      </c>
      <c r="AD960" s="255">
        <f t="shared" ref="AD960:AD963" si="262">AC960</f>
        <v>0</v>
      </c>
      <c r="AE960" s="76"/>
      <c r="AF960" s="97" t="s">
        <v>3383</v>
      </c>
      <c r="AG960" s="76"/>
      <c r="AH960" s="76">
        <v>1</v>
      </c>
      <c r="AI960" s="76">
        <v>1</v>
      </c>
      <c r="AJ960" s="73"/>
      <c r="AK960" s="57"/>
      <c r="AL960" s="45"/>
      <c r="AM960" s="45"/>
      <c r="AN960" s="45"/>
    </row>
    <row r="961" spans="1:40" outlineLevel="2" x14ac:dyDescent="0.25">
      <c r="A961" s="45"/>
      <c r="B961" s="54"/>
      <c r="C961" s="47">
        <f t="shared" si="231"/>
        <v>3</v>
      </c>
      <c r="D961" s="73"/>
      <c r="E961" s="70"/>
      <c r="F961" s="70" t="s">
        <v>3418</v>
      </c>
      <c r="G961" s="73"/>
      <c r="H961" s="76" t="s">
        <v>2514</v>
      </c>
      <c r="I961" s="96" t="s">
        <v>502</v>
      </c>
      <c r="J961" s="96"/>
      <c r="K961" s="76"/>
      <c r="L961" s="76"/>
      <c r="M961" s="76"/>
      <c r="N961" s="76"/>
      <c r="O961" s="76"/>
      <c r="P961" s="76"/>
      <c r="Q961" s="76"/>
      <c r="R961" s="76"/>
      <c r="S961" s="76"/>
      <c r="T961" s="76"/>
      <c r="U961" s="97">
        <v>0</v>
      </c>
      <c r="V961" s="255">
        <f t="shared" si="255"/>
        <v>0</v>
      </c>
      <c r="W961" s="255">
        <f t="shared" si="256"/>
        <v>0</v>
      </c>
      <c r="X961" s="255">
        <f t="shared" si="257"/>
        <v>0</v>
      </c>
      <c r="Y961" s="255">
        <f t="shared" si="258"/>
        <v>0</v>
      </c>
      <c r="Z961" s="255">
        <f t="shared" si="259"/>
        <v>0</v>
      </c>
      <c r="AA961" s="97">
        <f t="shared" ref="AA961:AA962" si="263">U961</f>
        <v>0</v>
      </c>
      <c r="AB961" s="255">
        <f t="shared" si="260"/>
        <v>0</v>
      </c>
      <c r="AC961" s="255">
        <f t="shared" si="261"/>
        <v>0</v>
      </c>
      <c r="AD961" s="255">
        <f t="shared" si="262"/>
        <v>0</v>
      </c>
      <c r="AE961" s="76"/>
      <c r="AF961" s="97" t="s">
        <v>3400</v>
      </c>
      <c r="AG961" s="76"/>
      <c r="AH961" s="97">
        <v>1</v>
      </c>
      <c r="AI961" s="97">
        <v>1</v>
      </c>
      <c r="AJ961" s="73"/>
      <c r="AK961" s="57"/>
      <c r="AL961" s="45"/>
      <c r="AM961" s="45"/>
      <c r="AN961" s="45"/>
    </row>
    <row r="962" spans="1:40" outlineLevel="2" x14ac:dyDescent="0.25">
      <c r="A962" s="45"/>
      <c r="B962" s="54"/>
      <c r="C962" s="47">
        <f t="shared" si="231"/>
        <v>3</v>
      </c>
      <c r="D962" s="73"/>
      <c r="E962" s="70"/>
      <c r="F962" s="70" t="s">
        <v>3419</v>
      </c>
      <c r="G962" s="73"/>
      <c r="H962" s="76" t="s">
        <v>2515</v>
      </c>
      <c r="I962" s="96" t="s">
        <v>502</v>
      </c>
      <c r="J962" s="96"/>
      <c r="K962" s="76"/>
      <c r="L962" s="76"/>
      <c r="M962" s="76"/>
      <c r="N962" s="76"/>
      <c r="O962" s="76"/>
      <c r="P962" s="76"/>
      <c r="Q962" s="76"/>
      <c r="R962" s="76"/>
      <c r="S962" s="76"/>
      <c r="T962" s="76"/>
      <c r="U962" s="97">
        <v>0</v>
      </c>
      <c r="V962" s="255">
        <f t="shared" si="255"/>
        <v>0</v>
      </c>
      <c r="W962" s="255">
        <f>U962</f>
        <v>0</v>
      </c>
      <c r="X962" s="255">
        <f>V962</f>
        <v>0</v>
      </c>
      <c r="Y962" s="255">
        <f>V962</f>
        <v>0</v>
      </c>
      <c r="Z962" s="255">
        <f t="shared" si="259"/>
        <v>0</v>
      </c>
      <c r="AA962" s="97">
        <f t="shared" si="263"/>
        <v>0</v>
      </c>
      <c r="AB962" s="255">
        <f t="shared" si="260"/>
        <v>0</v>
      </c>
      <c r="AC962" s="255">
        <f t="shared" si="261"/>
        <v>0</v>
      </c>
      <c r="AD962" s="255">
        <f t="shared" si="262"/>
        <v>0</v>
      </c>
      <c r="AE962" s="76"/>
      <c r="AF962" s="97"/>
      <c r="AG962" s="76"/>
      <c r="AH962" s="97">
        <v>1</v>
      </c>
      <c r="AI962" s="97">
        <v>1</v>
      </c>
      <c r="AJ962" s="73"/>
      <c r="AK962" s="57"/>
      <c r="AL962" s="45"/>
      <c r="AM962" s="45"/>
      <c r="AN962" s="45"/>
    </row>
    <row r="963" spans="1:40" outlineLevel="2" x14ac:dyDescent="0.25">
      <c r="A963" s="45"/>
      <c r="B963" s="54"/>
      <c r="C963" s="47">
        <f t="shared" si="231"/>
        <v>3</v>
      </c>
      <c r="D963" s="73"/>
      <c r="E963" s="70"/>
      <c r="F963" s="70" t="s">
        <v>3420</v>
      </c>
      <c r="G963" s="73"/>
      <c r="H963" s="76" t="s">
        <v>2516</v>
      </c>
      <c r="I963" s="96" t="s">
        <v>502</v>
      </c>
      <c r="J963" s="96"/>
      <c r="K963" s="76"/>
      <c r="L963" s="76"/>
      <c r="M963" s="76"/>
      <c r="N963" s="76"/>
      <c r="O963" s="76"/>
      <c r="P963" s="76"/>
      <c r="Q963" s="76"/>
      <c r="R963" s="76"/>
      <c r="S963" s="76"/>
      <c r="T963" s="76"/>
      <c r="U963" s="253">
        <f>U962</f>
        <v>0</v>
      </c>
      <c r="V963" s="76">
        <f t="shared" si="255"/>
        <v>0</v>
      </c>
      <c r="W963" s="76">
        <f>U963</f>
        <v>0</v>
      </c>
      <c r="X963" s="76">
        <f>V963</f>
        <v>0</v>
      </c>
      <c r="Y963" s="76">
        <f>V963</f>
        <v>0</v>
      </c>
      <c r="Z963" s="76">
        <f t="shared" si="259"/>
        <v>0</v>
      </c>
      <c r="AA963" s="253">
        <f>AA962</f>
        <v>0</v>
      </c>
      <c r="AB963" s="76">
        <f t="shared" si="260"/>
        <v>0</v>
      </c>
      <c r="AC963" s="76">
        <f t="shared" si="261"/>
        <v>0</v>
      </c>
      <c r="AD963" s="76">
        <f t="shared" si="262"/>
        <v>0</v>
      </c>
      <c r="AE963" s="76"/>
      <c r="AF963" s="264" t="s">
        <v>3382</v>
      </c>
      <c r="AG963" s="76"/>
      <c r="AH963" s="76">
        <v>1</v>
      </c>
      <c r="AI963" s="76">
        <v>1</v>
      </c>
      <c r="AJ963" s="73"/>
      <c r="AK963" s="57"/>
      <c r="AL963" s="45"/>
      <c r="AM963" s="45"/>
      <c r="AN963" s="45"/>
    </row>
    <row r="964" spans="1:40" outlineLevel="2" x14ac:dyDescent="0.25">
      <c r="A964" s="45"/>
      <c r="B964" s="54"/>
      <c r="C964" s="47">
        <f t="shared" si="231"/>
        <v>3</v>
      </c>
      <c r="D964" s="73"/>
      <c r="E964" s="70"/>
      <c r="F964" s="70" t="s">
        <v>3421</v>
      </c>
      <c r="G964" s="73"/>
      <c r="H964" s="76" t="s">
        <v>3434</v>
      </c>
      <c r="I964" s="96" t="s">
        <v>502</v>
      </c>
      <c r="J964" s="96"/>
      <c r="K964" s="76"/>
      <c r="L964" s="76"/>
      <c r="M964" s="76"/>
      <c r="N964" s="76"/>
      <c r="O964" s="76"/>
      <c r="P964" s="76"/>
      <c r="Q964" s="76"/>
      <c r="R964" s="76"/>
      <c r="S964" s="76"/>
      <c r="T964" s="76"/>
      <c r="U964" s="97">
        <v>0</v>
      </c>
      <c r="V964" s="255">
        <f t="shared" si="242"/>
        <v>0</v>
      </c>
      <c r="W964" s="255">
        <f t="shared" ref="W964:W965" si="264">U964</f>
        <v>0</v>
      </c>
      <c r="X964" s="255">
        <f t="shared" ref="X964:X965" si="265">V964</f>
        <v>0</v>
      </c>
      <c r="Y964" s="255">
        <f t="shared" ref="Y964:Y965" si="266">V964</f>
        <v>0</v>
      </c>
      <c r="Z964" s="255">
        <f t="shared" si="246"/>
        <v>0</v>
      </c>
      <c r="AA964" s="97">
        <f>U964</f>
        <v>0</v>
      </c>
      <c r="AB964" s="255">
        <f t="shared" si="247"/>
        <v>0</v>
      </c>
      <c r="AC964" s="255">
        <f t="shared" si="248"/>
        <v>0</v>
      </c>
      <c r="AD964" s="255">
        <f t="shared" si="249"/>
        <v>0</v>
      </c>
      <c r="AE964" s="76"/>
      <c r="AF964" s="97" t="s">
        <v>3383</v>
      </c>
      <c r="AG964" s="76"/>
      <c r="AH964" s="76">
        <v>1</v>
      </c>
      <c r="AI964" s="76">
        <v>1</v>
      </c>
      <c r="AJ964" s="73"/>
      <c r="AK964" s="57"/>
      <c r="AL964" s="45"/>
      <c r="AM964" s="45"/>
      <c r="AN964" s="45"/>
    </row>
    <row r="965" spans="1:40" outlineLevel="2" x14ac:dyDescent="0.25">
      <c r="A965" s="45"/>
      <c r="B965" s="54"/>
      <c r="C965" s="47">
        <f t="shared" si="231"/>
        <v>3</v>
      </c>
      <c r="D965" s="73"/>
      <c r="E965" s="70"/>
      <c r="F965" s="70" t="s">
        <v>3422</v>
      </c>
      <c r="G965" s="73"/>
      <c r="H965" s="76" t="s">
        <v>2514</v>
      </c>
      <c r="I965" s="96" t="s">
        <v>502</v>
      </c>
      <c r="J965" s="96"/>
      <c r="K965" s="76"/>
      <c r="L965" s="76"/>
      <c r="M965" s="76"/>
      <c r="N965" s="76"/>
      <c r="O965" s="76"/>
      <c r="P965" s="76"/>
      <c r="Q965" s="76"/>
      <c r="R965" s="76"/>
      <c r="S965" s="76"/>
      <c r="T965" s="76"/>
      <c r="U965" s="97">
        <v>0</v>
      </c>
      <c r="V965" s="255">
        <f t="shared" si="242"/>
        <v>0</v>
      </c>
      <c r="W965" s="255">
        <f t="shared" si="264"/>
        <v>0</v>
      </c>
      <c r="X965" s="255">
        <f t="shared" si="265"/>
        <v>0</v>
      </c>
      <c r="Y965" s="255">
        <f t="shared" si="266"/>
        <v>0</v>
      </c>
      <c r="Z965" s="255">
        <f t="shared" si="246"/>
        <v>0</v>
      </c>
      <c r="AA965" s="97">
        <f t="shared" ref="AA965:AA966" si="267">U965</f>
        <v>0</v>
      </c>
      <c r="AB965" s="255">
        <f t="shared" si="247"/>
        <v>0</v>
      </c>
      <c r="AC965" s="255">
        <f t="shared" si="248"/>
        <v>0</v>
      </c>
      <c r="AD965" s="255">
        <f t="shared" si="249"/>
        <v>0</v>
      </c>
      <c r="AE965" s="76"/>
      <c r="AF965" s="97" t="s">
        <v>3400</v>
      </c>
      <c r="AG965" s="76"/>
      <c r="AH965" s="97">
        <v>1</v>
      </c>
      <c r="AI965" s="97">
        <v>1</v>
      </c>
      <c r="AJ965" s="73"/>
      <c r="AK965" s="57"/>
      <c r="AL965" s="45"/>
      <c r="AM965" s="45"/>
      <c r="AN965" s="45"/>
    </row>
    <row r="966" spans="1:40" outlineLevel="2" x14ac:dyDescent="0.25">
      <c r="A966" s="45"/>
      <c r="B966" s="54"/>
      <c r="C966" s="47">
        <f t="shared" si="231"/>
        <v>3</v>
      </c>
      <c r="D966" s="73"/>
      <c r="E966" s="70"/>
      <c r="F966" s="70" t="s">
        <v>3423</v>
      </c>
      <c r="G966" s="73"/>
      <c r="H966" s="76" t="s">
        <v>2515</v>
      </c>
      <c r="I966" s="96" t="s">
        <v>502</v>
      </c>
      <c r="J966" s="96"/>
      <c r="K966" s="76"/>
      <c r="L966" s="76"/>
      <c r="M966" s="76"/>
      <c r="N966" s="76"/>
      <c r="O966" s="76"/>
      <c r="P966" s="76"/>
      <c r="Q966" s="76"/>
      <c r="R966" s="76"/>
      <c r="S966" s="76"/>
      <c r="T966" s="76"/>
      <c r="U966" s="97">
        <v>9.2600000000000002E-2</v>
      </c>
      <c r="V966" s="255">
        <f t="shared" si="242"/>
        <v>9.2600000000000002E-2</v>
      </c>
      <c r="W966" s="255">
        <f>U966</f>
        <v>9.2600000000000002E-2</v>
      </c>
      <c r="X966" s="255">
        <f>V966</f>
        <v>9.2600000000000002E-2</v>
      </c>
      <c r="Y966" s="255">
        <f>V966</f>
        <v>9.2600000000000002E-2</v>
      </c>
      <c r="Z966" s="255">
        <f t="shared" si="246"/>
        <v>9.2600000000000002E-2</v>
      </c>
      <c r="AA966" s="97">
        <f t="shared" si="267"/>
        <v>9.2600000000000002E-2</v>
      </c>
      <c r="AB966" s="255">
        <f t="shared" si="247"/>
        <v>9.2600000000000002E-2</v>
      </c>
      <c r="AC966" s="255">
        <f t="shared" si="248"/>
        <v>9.2600000000000002E-2</v>
      </c>
      <c r="AD966" s="255">
        <f t="shared" si="249"/>
        <v>9.2600000000000002E-2</v>
      </c>
      <c r="AE966" s="76"/>
      <c r="AF966" s="97"/>
      <c r="AG966" s="76"/>
      <c r="AH966" s="97">
        <v>1</v>
      </c>
      <c r="AI966" s="97">
        <v>1</v>
      </c>
      <c r="AJ966" s="73"/>
      <c r="AK966" s="57"/>
      <c r="AL966" s="45"/>
      <c r="AM966" s="45"/>
      <c r="AN966" s="45"/>
    </row>
    <row r="967" spans="1:40" outlineLevel="2" x14ac:dyDescent="0.25">
      <c r="A967" s="45"/>
      <c r="B967" s="54"/>
      <c r="C967" s="47">
        <f t="shared" si="231"/>
        <v>3</v>
      </c>
      <c r="D967" s="73"/>
      <c r="E967" s="70"/>
      <c r="F967" s="70" t="s">
        <v>3424</v>
      </c>
      <c r="G967" s="73"/>
      <c r="H967" s="76" t="s">
        <v>2516</v>
      </c>
      <c r="I967" s="96" t="s">
        <v>502</v>
      </c>
      <c r="J967" s="96"/>
      <c r="K967" s="76"/>
      <c r="L967" s="76"/>
      <c r="M967" s="76"/>
      <c r="N967" s="76"/>
      <c r="O967" s="76"/>
      <c r="P967" s="76"/>
      <c r="Q967" s="76"/>
      <c r="R967" s="76"/>
      <c r="S967" s="76"/>
      <c r="T967" s="76"/>
      <c r="U967" s="253">
        <f>U966</f>
        <v>9.2600000000000002E-2</v>
      </c>
      <c r="V967" s="76">
        <f t="shared" si="242"/>
        <v>9.2600000000000002E-2</v>
      </c>
      <c r="W967" s="76">
        <f>U967</f>
        <v>9.2600000000000002E-2</v>
      </c>
      <c r="X967" s="76">
        <f>V967</f>
        <v>9.2600000000000002E-2</v>
      </c>
      <c r="Y967" s="76">
        <f>V967</f>
        <v>9.2600000000000002E-2</v>
      </c>
      <c r="Z967" s="76">
        <f t="shared" si="246"/>
        <v>9.2600000000000002E-2</v>
      </c>
      <c r="AA967" s="253">
        <f>AA966</f>
        <v>9.2600000000000002E-2</v>
      </c>
      <c r="AB967" s="76">
        <f t="shared" si="247"/>
        <v>9.2600000000000002E-2</v>
      </c>
      <c r="AC967" s="76">
        <f t="shared" si="248"/>
        <v>9.2600000000000002E-2</v>
      </c>
      <c r="AD967" s="76">
        <f t="shared" si="249"/>
        <v>9.2600000000000002E-2</v>
      </c>
      <c r="AE967" s="76"/>
      <c r="AF967" s="264" t="s">
        <v>3382</v>
      </c>
      <c r="AG967" s="76"/>
      <c r="AH967" s="76">
        <v>1</v>
      </c>
      <c r="AI967" s="76">
        <v>1</v>
      </c>
      <c r="AJ967" s="73"/>
      <c r="AK967" s="57"/>
      <c r="AL967" s="45"/>
      <c r="AM967" s="45"/>
      <c r="AN967" s="45"/>
    </row>
    <row r="968" spans="1:40" outlineLevel="2" x14ac:dyDescent="0.25">
      <c r="A968" s="45"/>
      <c r="B968" s="54"/>
      <c r="C968" s="47">
        <f t="shared" si="231"/>
        <v>3</v>
      </c>
      <c r="D968" s="73"/>
      <c r="E968" s="70"/>
      <c r="F968" s="70" t="s">
        <v>3430</v>
      </c>
      <c r="G968" s="73"/>
      <c r="H968" s="76" t="s">
        <v>3435</v>
      </c>
      <c r="I968" s="96" t="s">
        <v>502</v>
      </c>
      <c r="J968" s="96"/>
      <c r="K968" s="76"/>
      <c r="L968" s="76"/>
      <c r="M968" s="76"/>
      <c r="N968" s="76"/>
      <c r="O968" s="76"/>
      <c r="P968" s="76"/>
      <c r="Q968" s="76"/>
      <c r="R968" s="76"/>
      <c r="S968" s="76"/>
      <c r="T968" s="76"/>
      <c r="U968" s="97">
        <v>0</v>
      </c>
      <c r="V968" s="255">
        <f t="shared" ref="V968:V971" si="268">U968</f>
        <v>0</v>
      </c>
      <c r="W968" s="255">
        <f t="shared" ref="W968:W969" si="269">U968</f>
        <v>0</v>
      </c>
      <c r="X968" s="255">
        <f t="shared" ref="X968:X969" si="270">V968</f>
        <v>0</v>
      </c>
      <c r="Y968" s="255">
        <f t="shared" ref="Y968:Y969" si="271">V968</f>
        <v>0</v>
      </c>
      <c r="Z968" s="255">
        <f t="shared" ref="Z968:Z971" si="272">AA968</f>
        <v>0</v>
      </c>
      <c r="AA968" s="97">
        <f>U968</f>
        <v>0</v>
      </c>
      <c r="AB968" s="255">
        <f t="shared" ref="AB968:AB971" si="273">AA968</f>
        <v>0</v>
      </c>
      <c r="AC968" s="255">
        <f t="shared" ref="AC968:AC971" si="274">AB968</f>
        <v>0</v>
      </c>
      <c r="AD968" s="255">
        <f t="shared" ref="AD968:AD971" si="275">AC968</f>
        <v>0</v>
      </c>
      <c r="AE968" s="76"/>
      <c r="AF968" s="97" t="s">
        <v>3383</v>
      </c>
      <c r="AG968" s="76"/>
      <c r="AH968" s="76">
        <v>1</v>
      </c>
      <c r="AI968" s="76">
        <v>1</v>
      </c>
      <c r="AJ968" s="73"/>
      <c r="AK968" s="57"/>
      <c r="AL968" s="45"/>
      <c r="AM968" s="45"/>
      <c r="AN968" s="45"/>
    </row>
    <row r="969" spans="1:40" outlineLevel="2" x14ac:dyDescent="0.25">
      <c r="A969" s="45"/>
      <c r="B969" s="54"/>
      <c r="C969" s="47">
        <f t="shared" si="231"/>
        <v>3</v>
      </c>
      <c r="D969" s="73"/>
      <c r="E969" s="70"/>
      <c r="F969" s="70" t="s">
        <v>3431</v>
      </c>
      <c r="G969" s="73"/>
      <c r="H969" s="76" t="s">
        <v>2514</v>
      </c>
      <c r="I969" s="96" t="s">
        <v>502</v>
      </c>
      <c r="J969" s="96"/>
      <c r="K969" s="76"/>
      <c r="L969" s="76"/>
      <c r="M969" s="76"/>
      <c r="N969" s="76"/>
      <c r="O969" s="76"/>
      <c r="P969" s="76"/>
      <c r="Q969" s="76"/>
      <c r="R969" s="76"/>
      <c r="S969" s="76"/>
      <c r="T969" s="76"/>
      <c r="U969" s="97">
        <v>0</v>
      </c>
      <c r="V969" s="255">
        <f t="shared" si="268"/>
        <v>0</v>
      </c>
      <c r="W969" s="255">
        <f t="shared" si="269"/>
        <v>0</v>
      </c>
      <c r="X969" s="255">
        <f t="shared" si="270"/>
        <v>0</v>
      </c>
      <c r="Y969" s="255">
        <f t="shared" si="271"/>
        <v>0</v>
      </c>
      <c r="Z969" s="255">
        <f t="shared" si="272"/>
        <v>0</v>
      </c>
      <c r="AA969" s="97">
        <f t="shared" ref="AA969:AA970" si="276">U969</f>
        <v>0</v>
      </c>
      <c r="AB969" s="255">
        <f t="shared" si="273"/>
        <v>0</v>
      </c>
      <c r="AC969" s="255">
        <f t="shared" si="274"/>
        <v>0</v>
      </c>
      <c r="AD969" s="255">
        <f t="shared" si="275"/>
        <v>0</v>
      </c>
      <c r="AE969" s="76"/>
      <c r="AF969" s="97" t="s">
        <v>3400</v>
      </c>
      <c r="AG969" s="76"/>
      <c r="AH969" s="97">
        <v>1</v>
      </c>
      <c r="AI969" s="97">
        <v>1</v>
      </c>
      <c r="AJ969" s="73"/>
      <c r="AK969" s="57"/>
      <c r="AL969" s="45"/>
      <c r="AM969" s="45"/>
      <c r="AN969" s="45"/>
    </row>
    <row r="970" spans="1:40" outlineLevel="2" x14ac:dyDescent="0.25">
      <c r="A970" s="45"/>
      <c r="B970" s="54"/>
      <c r="C970" s="47">
        <f t="shared" si="231"/>
        <v>3</v>
      </c>
      <c r="D970" s="73"/>
      <c r="E970" s="70"/>
      <c r="F970" s="70" t="s">
        <v>3432</v>
      </c>
      <c r="G970" s="73"/>
      <c r="H970" s="76" t="s">
        <v>2515</v>
      </c>
      <c r="I970" s="96" t="s">
        <v>502</v>
      </c>
      <c r="J970" s="96"/>
      <c r="K970" s="76"/>
      <c r="L970" s="76"/>
      <c r="M970" s="76"/>
      <c r="N970" s="76"/>
      <c r="O970" s="76"/>
      <c r="P970" s="76"/>
      <c r="Q970" s="76"/>
      <c r="R970" s="76"/>
      <c r="S970" s="76"/>
      <c r="T970" s="76"/>
      <c r="U970" s="97">
        <v>-2.2100000000000001E-4</v>
      </c>
      <c r="V970" s="255">
        <f t="shared" si="268"/>
        <v>-2.2100000000000001E-4</v>
      </c>
      <c r="W970" s="255">
        <f>U970</f>
        <v>-2.2100000000000001E-4</v>
      </c>
      <c r="X970" s="255">
        <f>V970</f>
        <v>-2.2100000000000001E-4</v>
      </c>
      <c r="Y970" s="255">
        <f>V970</f>
        <v>-2.2100000000000001E-4</v>
      </c>
      <c r="Z970" s="255">
        <f t="shared" si="272"/>
        <v>-2.2100000000000001E-4</v>
      </c>
      <c r="AA970" s="97">
        <f t="shared" si="276"/>
        <v>-2.2100000000000001E-4</v>
      </c>
      <c r="AB970" s="255">
        <f t="shared" si="273"/>
        <v>-2.2100000000000001E-4</v>
      </c>
      <c r="AC970" s="255">
        <f t="shared" si="274"/>
        <v>-2.2100000000000001E-4</v>
      </c>
      <c r="AD970" s="255">
        <f t="shared" si="275"/>
        <v>-2.2100000000000001E-4</v>
      </c>
      <c r="AE970" s="76"/>
      <c r="AF970" s="97"/>
      <c r="AG970" s="76"/>
      <c r="AH970" s="97">
        <v>1</v>
      </c>
      <c r="AI970" s="97">
        <v>1</v>
      </c>
      <c r="AJ970" s="73"/>
      <c r="AK970" s="57"/>
      <c r="AL970" s="45"/>
      <c r="AM970" s="45"/>
      <c r="AN970" s="45"/>
    </row>
    <row r="971" spans="1:40" outlineLevel="2" x14ac:dyDescent="0.25">
      <c r="A971" s="45"/>
      <c r="B971" s="54"/>
      <c r="C971" s="47">
        <f t="shared" si="231"/>
        <v>3</v>
      </c>
      <c r="D971" s="73"/>
      <c r="E971" s="70"/>
      <c r="F971" s="70" t="s">
        <v>3433</v>
      </c>
      <c r="G971" s="73"/>
      <c r="H971" s="76" t="s">
        <v>2516</v>
      </c>
      <c r="I971" s="96" t="s">
        <v>502</v>
      </c>
      <c r="J971" s="96"/>
      <c r="K971" s="76"/>
      <c r="L971" s="76"/>
      <c r="M971" s="76"/>
      <c r="N971" s="76"/>
      <c r="O971" s="76"/>
      <c r="P971" s="76"/>
      <c r="Q971" s="76"/>
      <c r="R971" s="76"/>
      <c r="S971" s="76"/>
      <c r="T971" s="76"/>
      <c r="U971" s="253">
        <f>U970</f>
        <v>-2.2100000000000001E-4</v>
      </c>
      <c r="V971" s="76">
        <f t="shared" si="268"/>
        <v>-2.2100000000000001E-4</v>
      </c>
      <c r="W971" s="76">
        <f>U971</f>
        <v>-2.2100000000000001E-4</v>
      </c>
      <c r="X971" s="76">
        <f>V971</f>
        <v>-2.2100000000000001E-4</v>
      </c>
      <c r="Y971" s="76">
        <f>V971</f>
        <v>-2.2100000000000001E-4</v>
      </c>
      <c r="Z971" s="76">
        <f t="shared" si="272"/>
        <v>-2.2100000000000001E-4</v>
      </c>
      <c r="AA971" s="253">
        <f>AA970</f>
        <v>-2.2100000000000001E-4</v>
      </c>
      <c r="AB971" s="76">
        <f t="shared" si="273"/>
        <v>-2.2100000000000001E-4</v>
      </c>
      <c r="AC971" s="76">
        <f t="shared" si="274"/>
        <v>-2.2100000000000001E-4</v>
      </c>
      <c r="AD971" s="76">
        <f t="shared" si="275"/>
        <v>-2.2100000000000001E-4</v>
      </c>
      <c r="AE971" s="76"/>
      <c r="AF971" s="264" t="s">
        <v>3382</v>
      </c>
      <c r="AG971" s="76"/>
      <c r="AH971" s="76">
        <v>1</v>
      </c>
      <c r="AI971" s="76">
        <v>1</v>
      </c>
      <c r="AJ971" s="73"/>
      <c r="AK971" s="57"/>
      <c r="AL971" s="45"/>
      <c r="AM971" s="45"/>
      <c r="AN971" s="45"/>
    </row>
    <row r="972" spans="1:40" outlineLevel="2" x14ac:dyDescent="0.25">
      <c r="A972" s="45"/>
      <c r="B972" s="54"/>
      <c r="C972" s="47">
        <f t="shared" si="231"/>
        <v>3</v>
      </c>
      <c r="D972" s="73"/>
      <c r="E972" s="70"/>
      <c r="F972" s="70" t="s">
        <v>3758</v>
      </c>
      <c r="G972" s="73"/>
      <c r="H972" s="76" t="s">
        <v>3425</v>
      </c>
      <c r="I972" s="96" t="s">
        <v>502</v>
      </c>
      <c r="J972" s="96"/>
      <c r="K972" s="76"/>
      <c r="L972" s="76"/>
      <c r="M972" s="76"/>
      <c r="N972" s="76"/>
      <c r="O972" s="76"/>
      <c r="P972" s="76"/>
      <c r="Q972" s="76"/>
      <c r="R972" s="76"/>
      <c r="S972" s="76"/>
      <c r="T972" s="76"/>
      <c r="U972" s="97">
        <v>0</v>
      </c>
      <c r="V972" s="255">
        <f t="shared" ref="V972:V975" si="277">U972</f>
        <v>0</v>
      </c>
      <c r="W972" s="255">
        <f t="shared" ref="W972:W973" si="278">U972</f>
        <v>0</v>
      </c>
      <c r="X972" s="255">
        <f t="shared" ref="X972:X973" si="279">V972</f>
        <v>0</v>
      </c>
      <c r="Y972" s="255">
        <f t="shared" ref="Y972:Y973" si="280">V972</f>
        <v>0</v>
      </c>
      <c r="Z972" s="255">
        <f t="shared" ref="Z972:Z975" si="281">AA972</f>
        <v>0</v>
      </c>
      <c r="AA972" s="97">
        <f>U972</f>
        <v>0</v>
      </c>
      <c r="AB972" s="255">
        <f t="shared" ref="AB972:AB975" si="282">AA972</f>
        <v>0</v>
      </c>
      <c r="AC972" s="255">
        <f t="shared" ref="AC972:AC975" si="283">AB972</f>
        <v>0</v>
      </c>
      <c r="AD972" s="255">
        <f t="shared" ref="AD972:AD975" si="284">AC972</f>
        <v>0</v>
      </c>
      <c r="AE972" s="76"/>
      <c r="AF972" s="97" t="s">
        <v>3383</v>
      </c>
      <c r="AG972" s="76"/>
      <c r="AH972" s="76">
        <v>1</v>
      </c>
      <c r="AI972" s="76">
        <v>1</v>
      </c>
      <c r="AJ972" s="73"/>
      <c r="AK972" s="57"/>
      <c r="AL972" s="45"/>
      <c r="AM972" s="45"/>
      <c r="AN972" s="45"/>
    </row>
    <row r="973" spans="1:40" outlineLevel="2" x14ac:dyDescent="0.25">
      <c r="A973" s="45"/>
      <c r="B973" s="54"/>
      <c r="C973" s="47">
        <f t="shared" si="231"/>
        <v>3</v>
      </c>
      <c r="D973" s="73"/>
      <c r="E973" s="70"/>
      <c r="F973" s="70" t="s">
        <v>3759</v>
      </c>
      <c r="G973" s="73"/>
      <c r="H973" s="76" t="s">
        <v>2514</v>
      </c>
      <c r="I973" s="96" t="s">
        <v>502</v>
      </c>
      <c r="J973" s="96"/>
      <c r="K973" s="76"/>
      <c r="L973" s="76"/>
      <c r="M973" s="76"/>
      <c r="N973" s="76"/>
      <c r="O973" s="76"/>
      <c r="P973" s="76"/>
      <c r="Q973" s="76"/>
      <c r="R973" s="76"/>
      <c r="S973" s="76"/>
      <c r="T973" s="76"/>
      <c r="U973" s="97">
        <v>0</v>
      </c>
      <c r="V973" s="255">
        <f t="shared" si="277"/>
        <v>0</v>
      </c>
      <c r="W973" s="255">
        <f t="shared" si="278"/>
        <v>0</v>
      </c>
      <c r="X973" s="255">
        <f t="shared" si="279"/>
        <v>0</v>
      </c>
      <c r="Y973" s="255">
        <f t="shared" si="280"/>
        <v>0</v>
      </c>
      <c r="Z973" s="255">
        <f t="shared" si="281"/>
        <v>0</v>
      </c>
      <c r="AA973" s="97">
        <f t="shared" ref="AA973:AA974" si="285">U973</f>
        <v>0</v>
      </c>
      <c r="AB973" s="255">
        <f t="shared" si="282"/>
        <v>0</v>
      </c>
      <c r="AC973" s="255">
        <f t="shared" si="283"/>
        <v>0</v>
      </c>
      <c r="AD973" s="255">
        <f t="shared" si="284"/>
        <v>0</v>
      </c>
      <c r="AE973" s="76"/>
      <c r="AF973" s="97" t="s">
        <v>3400</v>
      </c>
      <c r="AG973" s="76"/>
      <c r="AH973" s="97">
        <v>1</v>
      </c>
      <c r="AI973" s="97">
        <v>1</v>
      </c>
      <c r="AJ973" s="73"/>
      <c r="AK973" s="57"/>
      <c r="AL973" s="45"/>
      <c r="AM973" s="45"/>
      <c r="AN973" s="45"/>
    </row>
    <row r="974" spans="1:40" outlineLevel="2" x14ac:dyDescent="0.25">
      <c r="A974" s="45"/>
      <c r="B974" s="54"/>
      <c r="C974" s="47">
        <f t="shared" si="231"/>
        <v>3</v>
      </c>
      <c r="D974" s="73"/>
      <c r="E974" s="70"/>
      <c r="F974" s="70" t="s">
        <v>3760</v>
      </c>
      <c r="G974" s="73"/>
      <c r="H974" s="76" t="s">
        <v>2515</v>
      </c>
      <c r="I974" s="96" t="s">
        <v>502</v>
      </c>
      <c r="J974" s="96"/>
      <c r="K974" s="76"/>
      <c r="L974" s="76"/>
      <c r="M974" s="76"/>
      <c r="N974" s="76"/>
      <c r="O974" s="76"/>
      <c r="P974" s="76"/>
      <c r="Q974" s="76"/>
      <c r="R974" s="76"/>
      <c r="S974" s="76"/>
      <c r="T974" s="76"/>
      <c r="U974" s="97">
        <v>-6.34</v>
      </c>
      <c r="V974" s="255">
        <f t="shared" si="277"/>
        <v>-6.34</v>
      </c>
      <c r="W974" s="255">
        <f>U974</f>
        <v>-6.34</v>
      </c>
      <c r="X974" s="255">
        <f>V974</f>
        <v>-6.34</v>
      </c>
      <c r="Y974" s="255">
        <f>V974</f>
        <v>-6.34</v>
      </c>
      <c r="Z974" s="255">
        <f t="shared" si="281"/>
        <v>-6.34</v>
      </c>
      <c r="AA974" s="97">
        <f t="shared" si="285"/>
        <v>-6.34</v>
      </c>
      <c r="AB974" s="255">
        <f t="shared" si="282"/>
        <v>-6.34</v>
      </c>
      <c r="AC974" s="255">
        <f t="shared" si="283"/>
        <v>-6.34</v>
      </c>
      <c r="AD974" s="255">
        <f t="shared" si="284"/>
        <v>-6.34</v>
      </c>
      <c r="AE974" s="76"/>
      <c r="AF974" s="97"/>
      <c r="AG974" s="76"/>
      <c r="AH974" s="97">
        <v>1</v>
      </c>
      <c r="AI974" s="97">
        <v>1</v>
      </c>
      <c r="AJ974" s="73"/>
      <c r="AK974" s="57"/>
      <c r="AL974" s="45"/>
      <c r="AM974" s="45"/>
      <c r="AN974" s="45"/>
    </row>
    <row r="975" spans="1:40" outlineLevel="2" x14ac:dyDescent="0.25">
      <c r="A975" s="45"/>
      <c r="B975" s="54"/>
      <c r="C975" s="47">
        <f t="shared" si="231"/>
        <v>3</v>
      </c>
      <c r="D975" s="73"/>
      <c r="E975" s="70"/>
      <c r="F975" s="70" t="s">
        <v>3761</v>
      </c>
      <c r="G975" s="73"/>
      <c r="H975" s="76" t="s">
        <v>2516</v>
      </c>
      <c r="I975" s="96" t="s">
        <v>502</v>
      </c>
      <c r="J975" s="96"/>
      <c r="K975" s="76"/>
      <c r="L975" s="76"/>
      <c r="M975" s="76"/>
      <c r="N975" s="76"/>
      <c r="O975" s="76"/>
      <c r="P975" s="76"/>
      <c r="Q975" s="76"/>
      <c r="R975" s="76"/>
      <c r="S975" s="76"/>
      <c r="T975" s="76"/>
      <c r="U975" s="253">
        <f>U974</f>
        <v>-6.34</v>
      </c>
      <c r="V975" s="76">
        <f t="shared" si="277"/>
        <v>-6.34</v>
      </c>
      <c r="W975" s="76">
        <f>U975</f>
        <v>-6.34</v>
      </c>
      <c r="X975" s="76">
        <f>V975</f>
        <v>-6.34</v>
      </c>
      <c r="Y975" s="76">
        <f>V975</f>
        <v>-6.34</v>
      </c>
      <c r="Z975" s="76">
        <f t="shared" si="281"/>
        <v>-6.34</v>
      </c>
      <c r="AA975" s="253">
        <f>AA974</f>
        <v>-6.34</v>
      </c>
      <c r="AB975" s="76">
        <f t="shared" si="282"/>
        <v>-6.34</v>
      </c>
      <c r="AC975" s="76">
        <f t="shared" si="283"/>
        <v>-6.34</v>
      </c>
      <c r="AD975" s="76">
        <f t="shared" si="284"/>
        <v>-6.34</v>
      </c>
      <c r="AE975" s="76"/>
      <c r="AF975" s="264" t="s">
        <v>3382</v>
      </c>
      <c r="AG975" s="76"/>
      <c r="AH975" s="76">
        <v>1</v>
      </c>
      <c r="AI975" s="76">
        <v>1</v>
      </c>
      <c r="AJ975" s="73"/>
      <c r="AK975" s="57"/>
      <c r="AL975" s="45"/>
      <c r="AM975" s="45"/>
      <c r="AN975" s="45"/>
    </row>
    <row r="976" spans="1:40" outlineLevel="1" collapsed="1" x14ac:dyDescent="0.25">
      <c r="A976" s="45"/>
      <c r="B976" s="54"/>
      <c r="C976" s="47">
        <f>INT($C$29)+1</f>
        <v>2</v>
      </c>
      <c r="D976" s="73"/>
      <c r="E976" s="70"/>
      <c r="F976" s="265" t="s">
        <v>1611</v>
      </c>
      <c r="G976" s="73"/>
      <c r="H976" s="246" t="s">
        <v>1612</v>
      </c>
      <c r="I976" s="129"/>
      <c r="J976" s="129" t="s">
        <v>1045</v>
      </c>
      <c r="K976" s="76"/>
      <c r="L976" s="76"/>
      <c r="M976" s="76"/>
      <c r="N976" s="76"/>
      <c r="O976" s="76"/>
      <c r="P976" s="76"/>
      <c r="Q976" s="76"/>
      <c r="R976" s="76"/>
      <c r="S976" s="76"/>
      <c r="T976" s="76"/>
      <c r="U976" s="79">
        <v>39</v>
      </c>
      <c r="V976" s="79">
        <v>4</v>
      </c>
      <c r="W976" s="79">
        <v>-12</v>
      </c>
      <c r="X976" s="76"/>
      <c r="Y976" s="76"/>
      <c r="Z976" s="76"/>
      <c r="AA976" s="76"/>
      <c r="AB976" s="76"/>
      <c r="AC976" s="76"/>
      <c r="AD976" s="76"/>
      <c r="AE976" s="76"/>
      <c r="AF976" s="76"/>
      <c r="AG976" s="76"/>
      <c r="AH976" s="76"/>
      <c r="AI976" s="76"/>
      <c r="AJ976" s="73"/>
      <c r="AK976" s="57"/>
      <c r="AL976" s="45"/>
      <c r="AM976" s="45"/>
      <c r="AN976" s="45"/>
    </row>
    <row r="977" spans="1:40" hidden="1" outlineLevel="2" x14ac:dyDescent="0.25">
      <c r="A977" s="45"/>
      <c r="B977" s="54"/>
      <c r="C977" s="47">
        <f>INT($C$29)+2</f>
        <v>3</v>
      </c>
      <c r="D977" s="73"/>
      <c r="E977" s="70" t="s">
        <v>790</v>
      </c>
      <c r="F977" s="70" t="s">
        <v>1613</v>
      </c>
      <c r="G977" s="73"/>
      <c r="H977" s="76" t="s">
        <v>1614</v>
      </c>
      <c r="I977" s="96" t="s">
        <v>665</v>
      </c>
      <c r="J977" s="96"/>
      <c r="K977" s="76"/>
      <c r="L977" s="76"/>
      <c r="M977" s="76"/>
      <c r="N977" s="76"/>
      <c r="O977" s="76"/>
      <c r="P977" s="76"/>
      <c r="Q977" s="76"/>
      <c r="R977" s="76" t="s">
        <v>672</v>
      </c>
      <c r="S977" s="76" t="s">
        <v>794</v>
      </c>
      <c r="T977" s="76"/>
      <c r="U977" s="76">
        <v>0</v>
      </c>
      <c r="V977" s="76">
        <v>0</v>
      </c>
      <c r="W977" s="76">
        <v>0</v>
      </c>
      <c r="X977" s="76">
        <v>0</v>
      </c>
      <c r="Y977" s="76">
        <v>0</v>
      </c>
      <c r="Z977" s="76">
        <v>0</v>
      </c>
      <c r="AA977" s="76">
        <v>0</v>
      </c>
      <c r="AB977" s="76">
        <v>0</v>
      </c>
      <c r="AC977" s="76">
        <v>0</v>
      </c>
      <c r="AD977" s="76">
        <v>0</v>
      </c>
      <c r="AE977" s="76"/>
      <c r="AF977" s="264" t="s">
        <v>1615</v>
      </c>
      <c r="AG977" s="76"/>
      <c r="AH977" s="76">
        <v>1</v>
      </c>
      <c r="AI977" s="76">
        <v>1</v>
      </c>
      <c r="AJ977" s="73"/>
      <c r="AK977" s="57"/>
      <c r="AL977" s="45"/>
      <c r="AM977" s="45"/>
      <c r="AN977" s="45"/>
    </row>
    <row r="978" spans="1:40" hidden="1" outlineLevel="2" x14ac:dyDescent="0.25">
      <c r="A978" s="45"/>
      <c r="B978" s="54"/>
      <c r="C978" s="47">
        <f>INT($C$29)+2</f>
        <v>3</v>
      </c>
      <c r="D978" s="73"/>
      <c r="E978" s="70"/>
      <c r="F978" s="70" t="s">
        <v>1616</v>
      </c>
      <c r="G978" s="73"/>
      <c r="H978" s="76" t="s">
        <v>1617</v>
      </c>
      <c r="I978" s="96" t="s">
        <v>665</v>
      </c>
      <c r="J978" s="96"/>
      <c r="K978" s="97">
        <v>0.38900000000000001</v>
      </c>
      <c r="L978" s="97">
        <v>0.48599999999999999</v>
      </c>
      <c r="M978" s="97">
        <v>0.375</v>
      </c>
      <c r="N978" s="97">
        <v>0.375</v>
      </c>
      <c r="O978" s="97">
        <v>0.375</v>
      </c>
      <c r="P978" s="97">
        <v>0.5</v>
      </c>
      <c r="Q978" s="76"/>
      <c r="R978" s="76" t="s">
        <v>672</v>
      </c>
      <c r="S978" s="76" t="s">
        <v>794</v>
      </c>
      <c r="T978" s="76"/>
      <c r="U978" s="253">
        <f t="shared" ref="U978:AD980" si="286">INDEX($K978:$Q978,1,U$43)</f>
        <v>0.38900000000000001</v>
      </c>
      <c r="V978" s="253">
        <f t="shared" si="286"/>
        <v>0.38900000000000001</v>
      </c>
      <c r="W978" s="253">
        <f t="shared" si="286"/>
        <v>0.38900000000000001</v>
      </c>
      <c r="X978" s="253">
        <f t="shared" si="286"/>
        <v>0.38900000000000001</v>
      </c>
      <c r="Y978" s="253">
        <f t="shared" si="286"/>
        <v>0.38900000000000001</v>
      </c>
      <c r="Z978" s="253">
        <f t="shared" si="286"/>
        <v>0.48599999999999999</v>
      </c>
      <c r="AA978" s="253">
        <f t="shared" si="286"/>
        <v>0.48599999999999999</v>
      </c>
      <c r="AB978" s="253">
        <f t="shared" si="286"/>
        <v>0.48599999999999999</v>
      </c>
      <c r="AC978" s="253">
        <f t="shared" si="286"/>
        <v>0.48599999999999999</v>
      </c>
      <c r="AD978" s="253">
        <f t="shared" si="286"/>
        <v>0.48599999999999999</v>
      </c>
      <c r="AE978" s="76"/>
      <c r="AF978" s="76"/>
      <c r="AG978" s="76"/>
      <c r="AH978" s="97">
        <v>1</v>
      </c>
      <c r="AI978" s="97">
        <v>1</v>
      </c>
      <c r="AJ978" s="73"/>
      <c r="AK978" s="57"/>
      <c r="AL978" s="45"/>
      <c r="AM978" s="45"/>
      <c r="AN978" s="45"/>
    </row>
    <row r="979" spans="1:40" hidden="1" outlineLevel="2" x14ac:dyDescent="0.25">
      <c r="A979" s="45"/>
      <c r="B979" s="54"/>
      <c r="C979" s="47">
        <f>INT($C$29)+2</f>
        <v>3</v>
      </c>
      <c r="D979" s="73"/>
      <c r="E979" s="70"/>
      <c r="F979" s="70" t="s">
        <v>1613</v>
      </c>
      <c r="G979" s="73"/>
      <c r="H979" s="76" t="s">
        <v>1618</v>
      </c>
      <c r="I979" s="96" t="s">
        <v>665</v>
      </c>
      <c r="J979" s="96"/>
      <c r="K979" s="97">
        <v>0.622</v>
      </c>
      <c r="L979" s="97">
        <v>0.77800000000000002</v>
      </c>
      <c r="M979" s="76"/>
      <c r="N979" s="76"/>
      <c r="O979" s="76"/>
      <c r="P979" s="76"/>
      <c r="Q979" s="76"/>
      <c r="R979" s="76" t="s">
        <v>672</v>
      </c>
      <c r="S979" s="76" t="s">
        <v>794</v>
      </c>
      <c r="T979" s="76"/>
      <c r="U979" s="253">
        <f t="shared" si="286"/>
        <v>0.622</v>
      </c>
      <c r="V979" s="253">
        <f t="shared" si="286"/>
        <v>0.622</v>
      </c>
      <c r="W979" s="253">
        <f t="shared" si="286"/>
        <v>0.622</v>
      </c>
      <c r="X979" s="253">
        <f t="shared" si="286"/>
        <v>0.622</v>
      </c>
      <c r="Y979" s="253">
        <f t="shared" si="286"/>
        <v>0.622</v>
      </c>
      <c r="Z979" s="253">
        <f t="shared" si="286"/>
        <v>0.77800000000000002</v>
      </c>
      <c r="AA979" s="253">
        <f t="shared" si="286"/>
        <v>0.77800000000000002</v>
      </c>
      <c r="AB979" s="253">
        <f t="shared" si="286"/>
        <v>0.77800000000000002</v>
      </c>
      <c r="AC979" s="253">
        <f t="shared" si="286"/>
        <v>0.77800000000000002</v>
      </c>
      <c r="AD979" s="253">
        <f t="shared" si="286"/>
        <v>0.77800000000000002</v>
      </c>
      <c r="AE979" s="76"/>
      <c r="AF979" s="76"/>
      <c r="AG979" s="76"/>
      <c r="AH979" s="97">
        <v>1</v>
      </c>
      <c r="AI979" s="97">
        <v>1</v>
      </c>
      <c r="AJ979" s="73"/>
      <c r="AK979" s="57"/>
      <c r="AL979" s="45"/>
      <c r="AM979" s="45"/>
      <c r="AN979" s="45"/>
    </row>
    <row r="980" spans="1:40" hidden="1" outlineLevel="2" collapsed="1" x14ac:dyDescent="0.25">
      <c r="A980" s="45"/>
      <c r="B980" s="54"/>
      <c r="C980" s="47">
        <f>INT($C$29)+2</f>
        <v>3</v>
      </c>
      <c r="D980" s="73"/>
      <c r="E980" s="70"/>
      <c r="F980" s="70" t="s">
        <v>1619</v>
      </c>
      <c r="G980" s="73"/>
      <c r="H980" s="76" t="s">
        <v>1620</v>
      </c>
      <c r="I980" s="96" t="s">
        <v>665</v>
      </c>
      <c r="J980" s="96"/>
      <c r="K980" s="97">
        <v>0.746</v>
      </c>
      <c r="L980" s="97">
        <v>0.93400000000000005</v>
      </c>
      <c r="M980" s="76"/>
      <c r="N980" s="76"/>
      <c r="O980" s="76"/>
      <c r="P980" s="76"/>
      <c r="Q980" s="76"/>
      <c r="R980" s="76" t="s">
        <v>672</v>
      </c>
      <c r="S980" s="76" t="s">
        <v>794</v>
      </c>
      <c r="T980" s="76"/>
      <c r="U980" s="253">
        <f t="shared" si="286"/>
        <v>0.746</v>
      </c>
      <c r="V980" s="253">
        <f t="shared" si="286"/>
        <v>0.746</v>
      </c>
      <c r="W980" s="253">
        <f t="shared" si="286"/>
        <v>0.746</v>
      </c>
      <c r="X980" s="253">
        <f t="shared" si="286"/>
        <v>0.746</v>
      </c>
      <c r="Y980" s="253">
        <f t="shared" si="286"/>
        <v>0.746</v>
      </c>
      <c r="Z980" s="253">
        <f t="shared" si="286"/>
        <v>0.93400000000000005</v>
      </c>
      <c r="AA980" s="253">
        <f t="shared" si="286"/>
        <v>0.93400000000000005</v>
      </c>
      <c r="AB980" s="253">
        <f t="shared" si="286"/>
        <v>0.93400000000000005</v>
      </c>
      <c r="AC980" s="253">
        <f t="shared" si="286"/>
        <v>0.93400000000000005</v>
      </c>
      <c r="AD980" s="253">
        <f t="shared" si="286"/>
        <v>0.93400000000000005</v>
      </c>
      <c r="AE980" s="76"/>
      <c r="AF980" s="76"/>
      <c r="AG980" s="76"/>
      <c r="AH980" s="97">
        <v>1</v>
      </c>
      <c r="AI980" s="97">
        <v>1</v>
      </c>
      <c r="AJ980" s="73"/>
      <c r="AK980" s="57"/>
      <c r="AL980" s="45"/>
      <c r="AM980" s="45"/>
      <c r="AN980" s="45"/>
    </row>
    <row r="981" spans="1:40" hidden="1" outlineLevel="3" x14ac:dyDescent="0.25">
      <c r="A981" s="45"/>
      <c r="B981" s="54"/>
      <c r="C981" s="47">
        <f t="shared" ref="C981:C1012" si="287">INT($C$29)+3</f>
        <v>4</v>
      </c>
      <c r="D981" s="73"/>
      <c r="E981" s="70"/>
      <c r="F981" s="70" t="s">
        <v>1621</v>
      </c>
      <c r="G981" s="73"/>
      <c r="H981" s="76" t="s">
        <v>1473</v>
      </c>
      <c r="I981" s="96" t="s">
        <v>502</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25">
      <c r="A982" s="45"/>
      <c r="B982" s="54"/>
      <c r="C982" s="47">
        <f t="shared" si="287"/>
        <v>4</v>
      </c>
      <c r="D982" s="73"/>
      <c r="E982" s="70"/>
      <c r="F982" s="70" t="s">
        <v>1622</v>
      </c>
      <c r="G982" s="73"/>
      <c r="H982" s="76" t="s">
        <v>1475</v>
      </c>
      <c r="I982" s="96" t="s">
        <v>502</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25">
      <c r="A983" s="45"/>
      <c r="B983" s="54"/>
      <c r="C983" s="47">
        <f t="shared" si="287"/>
        <v>4</v>
      </c>
      <c r="D983" s="73"/>
      <c r="E983" s="70"/>
      <c r="F983" s="70" t="s">
        <v>1623</v>
      </c>
      <c r="G983" s="73"/>
      <c r="H983" s="76" t="s">
        <v>1477</v>
      </c>
      <c r="I983" s="96" t="s">
        <v>502</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25">
      <c r="A984" s="45"/>
      <c r="B984" s="54"/>
      <c r="C984" s="47">
        <f t="shared" si="287"/>
        <v>4</v>
      </c>
      <c r="D984" s="73"/>
      <c r="E984" s="70"/>
      <c r="F984" s="70" t="s">
        <v>1624</v>
      </c>
      <c r="G984" s="73"/>
      <c r="H984" s="76" t="s">
        <v>1479</v>
      </c>
      <c r="I984" s="96" t="s">
        <v>502</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25">
      <c r="A985" s="45"/>
      <c r="B985" s="54"/>
      <c r="C985" s="47">
        <f t="shared" si="287"/>
        <v>4</v>
      </c>
      <c r="D985" s="73"/>
      <c r="E985" s="70"/>
      <c r="F985" s="70" t="s">
        <v>1625</v>
      </c>
      <c r="G985" s="73"/>
      <c r="H985" s="76" t="s">
        <v>1473</v>
      </c>
      <c r="I985" s="96" t="s">
        <v>502</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25">
      <c r="A986" s="45"/>
      <c r="B986" s="54"/>
      <c r="C986" s="47">
        <f t="shared" si="287"/>
        <v>4</v>
      </c>
      <c r="D986" s="73"/>
      <c r="E986" s="70"/>
      <c r="F986" s="70" t="s">
        <v>1626</v>
      </c>
      <c r="G986" s="73"/>
      <c r="H986" s="76" t="s">
        <v>1475</v>
      </c>
      <c r="I986" s="96" t="s">
        <v>502</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25">
      <c r="A987" s="45"/>
      <c r="B987" s="54"/>
      <c r="C987" s="47">
        <f t="shared" si="287"/>
        <v>4</v>
      </c>
      <c r="D987" s="73"/>
      <c r="E987" s="70"/>
      <c r="F987" s="70" t="s">
        <v>1627</v>
      </c>
      <c r="G987" s="73"/>
      <c r="H987" s="76" t="s">
        <v>1477</v>
      </c>
      <c r="I987" s="96" t="s">
        <v>502</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25">
      <c r="A988" s="45"/>
      <c r="B988" s="54"/>
      <c r="C988" s="47">
        <f t="shared" si="287"/>
        <v>4</v>
      </c>
      <c r="D988" s="73"/>
      <c r="E988" s="70"/>
      <c r="F988" s="70" t="s">
        <v>1628</v>
      </c>
      <c r="G988" s="73"/>
      <c r="H988" s="76" t="s">
        <v>1479</v>
      </c>
      <c r="I988" s="96" t="s">
        <v>502</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25">
      <c r="A989" s="45"/>
      <c r="B989" s="54"/>
      <c r="C989" s="47">
        <f t="shared" si="287"/>
        <v>4</v>
      </c>
      <c r="D989" s="73"/>
      <c r="E989" s="70"/>
      <c r="F989" s="70" t="s">
        <v>1629</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287"/>
        <v>4</v>
      </c>
      <c r="D990" s="73"/>
      <c r="E990" s="70"/>
      <c r="F990" s="70" t="s">
        <v>1630</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287"/>
        <v>4</v>
      </c>
      <c r="D991" s="73"/>
      <c r="E991" s="70"/>
      <c r="F991" s="70" t="s">
        <v>1631</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287"/>
        <v>4</v>
      </c>
      <c r="D992" s="73"/>
      <c r="E992" s="70"/>
      <c r="F992" s="70" t="s">
        <v>1632</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287"/>
        <v>4</v>
      </c>
      <c r="D993" s="73"/>
      <c r="E993" s="70"/>
      <c r="F993" s="70" t="s">
        <v>1633</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287"/>
        <v>4</v>
      </c>
      <c r="D994" s="73"/>
      <c r="E994" s="70"/>
      <c r="F994" s="70" t="s">
        <v>1634</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287"/>
        <v>4</v>
      </c>
      <c r="D995" s="73"/>
      <c r="E995" s="70"/>
      <c r="F995" s="70" t="s">
        <v>1635</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287"/>
        <v>4</v>
      </c>
      <c r="D996" s="73"/>
      <c r="E996" s="70"/>
      <c r="F996" s="70" t="s">
        <v>1636</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287"/>
        <v>4</v>
      </c>
      <c r="D997" s="73"/>
      <c r="E997" s="70"/>
      <c r="F997" s="70" t="s">
        <v>1637</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287"/>
        <v>4</v>
      </c>
      <c r="D998" s="73"/>
      <c r="E998" s="70"/>
      <c r="F998" s="70" t="s">
        <v>1638</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287"/>
        <v>4</v>
      </c>
      <c r="D999" s="73"/>
      <c r="E999" s="70"/>
      <c r="F999" s="70" t="s">
        <v>1639</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287"/>
        <v>4</v>
      </c>
      <c r="D1000" s="73"/>
      <c r="E1000" s="70"/>
      <c r="F1000" s="70" t="s">
        <v>1640</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287"/>
        <v>4</v>
      </c>
      <c r="D1001" s="73"/>
      <c r="E1001" s="70"/>
      <c r="F1001" s="70" t="s">
        <v>1641</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287"/>
        <v>4</v>
      </c>
      <c r="D1002" s="73"/>
      <c r="E1002" s="70"/>
      <c r="F1002" s="70" t="s">
        <v>1642</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287"/>
        <v>4</v>
      </c>
      <c r="D1003" s="73"/>
      <c r="E1003" s="70"/>
      <c r="F1003" s="70" t="s">
        <v>1643</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287"/>
        <v>4</v>
      </c>
      <c r="D1004" s="73"/>
      <c r="E1004" s="70"/>
      <c r="F1004" s="70" t="s">
        <v>1644</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287"/>
        <v>4</v>
      </c>
      <c r="D1005" s="73"/>
      <c r="E1005" s="70"/>
      <c r="F1005" s="70" t="s">
        <v>1645</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287"/>
        <v>4</v>
      </c>
      <c r="D1006" s="73"/>
      <c r="E1006" s="70"/>
      <c r="F1006" s="70" t="s">
        <v>1646</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287"/>
        <v>4</v>
      </c>
      <c r="D1007" s="73"/>
      <c r="E1007" s="70"/>
      <c r="F1007" s="70" t="s">
        <v>1647</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287"/>
        <v>4</v>
      </c>
      <c r="D1008" s="73"/>
      <c r="E1008" s="70"/>
      <c r="F1008" s="70" t="s">
        <v>1648</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287"/>
        <v>4</v>
      </c>
      <c r="D1009" s="73"/>
      <c r="E1009" s="70"/>
      <c r="F1009" s="70" t="s">
        <v>1649</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287"/>
        <v>4</v>
      </c>
      <c r="D1010" s="73"/>
      <c r="E1010" s="70"/>
      <c r="F1010" s="70" t="s">
        <v>1650</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287"/>
        <v>4</v>
      </c>
      <c r="D1011" s="73"/>
      <c r="E1011" s="70"/>
      <c r="F1011" s="70" t="s">
        <v>1651</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287"/>
        <v>4</v>
      </c>
      <c r="D1012" s="73"/>
      <c r="E1012" s="70"/>
      <c r="F1012" s="70" t="s">
        <v>1652</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ref="C1013:C1044" si="288">INT($C$29)+3</f>
        <v>4</v>
      </c>
      <c r="D1013" s="73"/>
      <c r="E1013" s="70"/>
      <c r="F1013" s="70" t="s">
        <v>1653</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288"/>
        <v>4</v>
      </c>
      <c r="D1014" s="73"/>
      <c r="E1014" s="70"/>
      <c r="F1014" s="70" t="s">
        <v>1654</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288"/>
        <v>4</v>
      </c>
      <c r="D1015" s="73"/>
      <c r="E1015" s="70"/>
      <c r="F1015" s="70" t="s">
        <v>1655</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288"/>
        <v>4</v>
      </c>
      <c r="D1016" s="73"/>
      <c r="E1016" s="70"/>
      <c r="F1016" s="70" t="s">
        <v>1656</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288"/>
        <v>4</v>
      </c>
      <c r="D1017" s="73"/>
      <c r="E1017" s="70"/>
      <c r="F1017" s="70" t="s">
        <v>1657</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288"/>
        <v>4</v>
      </c>
      <c r="D1018" s="73"/>
      <c r="E1018" s="70"/>
      <c r="F1018" s="70" t="s">
        <v>1658</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288"/>
        <v>4</v>
      </c>
      <c r="D1019" s="73"/>
      <c r="E1019" s="70"/>
      <c r="F1019" s="70" t="s">
        <v>1659</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288"/>
        <v>4</v>
      </c>
      <c r="D1020" s="73"/>
      <c r="E1020" s="70"/>
      <c r="F1020" s="70" t="s">
        <v>1660</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288"/>
        <v>4</v>
      </c>
      <c r="D1021" s="73"/>
      <c r="E1021" s="70"/>
      <c r="F1021" s="70" t="s">
        <v>1661</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288"/>
        <v>4</v>
      </c>
      <c r="D1022" s="73"/>
      <c r="E1022" s="70"/>
      <c r="F1022" s="70" t="s">
        <v>1662</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288"/>
        <v>4</v>
      </c>
      <c r="D1023" s="73"/>
      <c r="E1023" s="70"/>
      <c r="F1023" s="70" t="s">
        <v>1663</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288"/>
        <v>4</v>
      </c>
      <c r="D1024" s="73"/>
      <c r="E1024" s="70"/>
      <c r="F1024" s="70" t="s">
        <v>1664</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288"/>
        <v>4</v>
      </c>
      <c r="D1025" s="73"/>
      <c r="E1025" s="70"/>
      <c r="F1025" s="70" t="s">
        <v>1665</v>
      </c>
      <c r="G1025" s="73"/>
      <c r="H1025" s="76" t="s">
        <v>1561</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288"/>
        <v>4</v>
      </c>
      <c r="D1026" s="73"/>
      <c r="E1026" s="70"/>
      <c r="F1026" s="70" t="s">
        <v>1666</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288"/>
        <v>4</v>
      </c>
      <c r="D1027" s="73"/>
      <c r="E1027" s="70"/>
      <c r="F1027" s="70" t="s">
        <v>1667</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288"/>
        <v>4</v>
      </c>
      <c r="D1028" s="73"/>
      <c r="E1028" s="70"/>
      <c r="F1028" s="70" t="s">
        <v>1668</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288"/>
        <v>4</v>
      </c>
      <c r="D1029" s="73"/>
      <c r="E1029" s="70"/>
      <c r="F1029" s="70" t="s">
        <v>1669</v>
      </c>
      <c r="G1029" s="73"/>
      <c r="H1029" s="76" t="s">
        <v>1566</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288"/>
        <v>4</v>
      </c>
      <c r="D1030" s="73"/>
      <c r="E1030" s="70"/>
      <c r="F1030" s="70" t="s">
        <v>1670</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288"/>
        <v>4</v>
      </c>
      <c r="D1031" s="73"/>
      <c r="E1031" s="70"/>
      <c r="F1031" s="70" t="s">
        <v>1671</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288"/>
        <v>4</v>
      </c>
      <c r="D1032" s="73"/>
      <c r="E1032" s="70"/>
      <c r="F1032" s="70" t="s">
        <v>1672</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288"/>
        <v>4</v>
      </c>
      <c r="D1033" s="73"/>
      <c r="E1033" s="70"/>
      <c r="F1033" s="70" t="s">
        <v>1673</v>
      </c>
      <c r="G1033" s="73"/>
      <c r="H1033" s="76" t="s">
        <v>1473</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288"/>
        <v>4</v>
      </c>
      <c r="D1034" s="73"/>
      <c r="E1034" s="70"/>
      <c r="F1034" s="70" t="s">
        <v>1674</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288"/>
        <v>4</v>
      </c>
      <c r="D1035" s="73"/>
      <c r="E1035" s="70"/>
      <c r="F1035" s="70" t="s">
        <v>1675</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288"/>
        <v>4</v>
      </c>
      <c r="D1036" s="73"/>
      <c r="E1036" s="70"/>
      <c r="F1036" s="70" t="s">
        <v>1676</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288"/>
        <v>4</v>
      </c>
      <c r="D1037" s="73"/>
      <c r="E1037" s="70"/>
      <c r="F1037" s="70" t="s">
        <v>1677</v>
      </c>
      <c r="G1037" s="73"/>
      <c r="H1037" s="76" t="s">
        <v>1473</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288"/>
        <v>4</v>
      </c>
      <c r="D1038" s="73"/>
      <c r="E1038" s="70"/>
      <c r="F1038" s="70" t="s">
        <v>1678</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288"/>
        <v>4</v>
      </c>
      <c r="D1039" s="73"/>
      <c r="E1039" s="70"/>
      <c r="F1039" s="70" t="s">
        <v>1679</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288"/>
        <v>4</v>
      </c>
      <c r="D1040" s="73"/>
      <c r="E1040" s="70"/>
      <c r="F1040" s="70" t="s">
        <v>1680</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si="288"/>
        <v>4</v>
      </c>
      <c r="D1041" s="73"/>
      <c r="E1041" s="70"/>
      <c r="F1041" s="70" t="s">
        <v>1681</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288"/>
        <v>4</v>
      </c>
      <c r="D1042" s="73"/>
      <c r="E1042" s="70"/>
      <c r="F1042" s="70" t="s">
        <v>1682</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288"/>
        <v>4</v>
      </c>
      <c r="D1043" s="73"/>
      <c r="E1043" s="70"/>
      <c r="F1043" s="70" t="s">
        <v>1683</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288"/>
        <v>4</v>
      </c>
      <c r="D1044" s="73"/>
      <c r="E1044" s="70"/>
      <c r="F1044" s="70" t="s">
        <v>1684</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ref="C1045:C1052" si="289">INT($C$29)+3</f>
        <v>4</v>
      </c>
      <c r="D1045" s="73"/>
      <c r="E1045" s="70"/>
      <c r="F1045" s="70" t="s">
        <v>1685</v>
      </c>
      <c r="G1045" s="73"/>
      <c r="H1045" s="76" t="s">
        <v>1595</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289"/>
        <v>4</v>
      </c>
      <c r="D1046" s="73"/>
      <c r="E1046" s="70"/>
      <c r="F1046" s="70" t="s">
        <v>1686</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289"/>
        <v>4</v>
      </c>
      <c r="D1047" s="73"/>
      <c r="E1047" s="70"/>
      <c r="F1047" s="70" t="s">
        <v>1687</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289"/>
        <v>4</v>
      </c>
      <c r="D1048" s="73"/>
      <c r="E1048" s="70"/>
      <c r="F1048" s="70" t="s">
        <v>1688</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289"/>
        <v>4</v>
      </c>
      <c r="D1049" s="73"/>
      <c r="E1049" s="70"/>
      <c r="F1049" s="70" t="s">
        <v>1689</v>
      </c>
      <c r="G1049" s="73"/>
      <c r="H1049" s="76" t="s">
        <v>1600</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289"/>
        <v>4</v>
      </c>
      <c r="D1050" s="73"/>
      <c r="E1050" s="70"/>
      <c r="F1050" s="70" t="s">
        <v>1690</v>
      </c>
      <c r="G1050" s="73"/>
      <c r="H1050" s="76" t="s">
        <v>1602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289"/>
        <v>4</v>
      </c>
      <c r="D1051" s="73"/>
      <c r="E1051" s="70"/>
      <c r="F1051" s="70" t="s">
        <v>1691</v>
      </c>
      <c r="G1051" s="73"/>
      <c r="H1051" s="76" t="s">
        <v>1604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289"/>
        <v>4</v>
      </c>
      <c r="D1052" s="73"/>
      <c r="E1052" s="70"/>
      <c r="F1052" s="70" t="s">
        <v>1692</v>
      </c>
      <c r="G1052" s="73"/>
      <c r="H1052" s="76" t="s">
        <v>1606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2" x14ac:dyDescent="0.25">
      <c r="A1053" s="45"/>
      <c r="B1053" s="54"/>
      <c r="C1053" s="47">
        <f>INT($C$29)+2</f>
        <v>3</v>
      </c>
      <c r="D1053" s="73"/>
      <c r="E1053" s="70" t="s">
        <v>1693</v>
      </c>
      <c r="F1053" s="70" t="s">
        <v>1694</v>
      </c>
      <c r="G1053" s="73"/>
      <c r="H1053" s="76" t="s">
        <v>1695</v>
      </c>
      <c r="I1053" s="96" t="s">
        <v>502</v>
      </c>
      <c r="J1053" s="96"/>
      <c r="K1053" s="76"/>
      <c r="L1053" s="76"/>
      <c r="M1053" s="76"/>
      <c r="N1053" s="76"/>
      <c r="O1053" s="76"/>
      <c r="P1053" s="76"/>
      <c r="Q1053" s="76"/>
      <c r="R1053" s="76"/>
      <c r="S1053" s="76"/>
      <c r="T1053" s="76"/>
      <c r="U1053" s="76">
        <v>0</v>
      </c>
      <c r="V1053" s="76">
        <v>0</v>
      </c>
      <c r="W1053" s="76">
        <v>0</v>
      </c>
      <c r="X1053" s="76">
        <v>0</v>
      </c>
      <c r="Y1053" s="76">
        <v>0</v>
      </c>
      <c r="Z1053" s="76">
        <v>0</v>
      </c>
      <c r="AA1053" s="76">
        <v>0</v>
      </c>
      <c r="AB1053" s="76">
        <v>0</v>
      </c>
      <c r="AC1053" s="76">
        <v>0</v>
      </c>
      <c r="AD1053" s="76">
        <v>0</v>
      </c>
      <c r="AE1053" s="76"/>
      <c r="AF1053" s="264" t="s">
        <v>1696</v>
      </c>
      <c r="AG1053" s="76"/>
      <c r="AH1053" s="76">
        <v>1</v>
      </c>
      <c r="AI1053" s="76">
        <v>1</v>
      </c>
      <c r="AJ1053" s="73"/>
      <c r="AK1053" s="57"/>
      <c r="AL1053" s="45"/>
      <c r="AM1053" s="45"/>
      <c r="AN1053" s="45"/>
    </row>
    <row r="1054" spans="1:40" hidden="1" outlineLevel="2" x14ac:dyDescent="0.25">
      <c r="A1054" s="45"/>
      <c r="B1054" s="54"/>
      <c r="C1054" s="47">
        <f>INT($C$29)+2</f>
        <v>3</v>
      </c>
      <c r="D1054" s="73"/>
      <c r="E1054" s="70"/>
      <c r="F1054" s="70" t="s">
        <v>1697</v>
      </c>
      <c r="G1054" s="73"/>
      <c r="H1054" s="76" t="s">
        <v>1698</v>
      </c>
      <c r="I1054" s="96" t="s">
        <v>502</v>
      </c>
      <c r="J1054" s="96"/>
      <c r="K1054" s="97">
        <v>0.52400000000000002</v>
      </c>
      <c r="L1054" s="97">
        <v>0.65500000000000003</v>
      </c>
      <c r="M1054" s="97">
        <v>0.41599999999999998</v>
      </c>
      <c r="N1054" s="97">
        <v>0.41599999999999998</v>
      </c>
      <c r="O1054" s="97">
        <v>0.41599999999999998</v>
      </c>
      <c r="P1054" s="97">
        <v>0.57699999999999996</v>
      </c>
      <c r="Q1054" s="76"/>
      <c r="R1054" s="76" t="s">
        <v>550</v>
      </c>
      <c r="S1054" s="76" t="s">
        <v>550</v>
      </c>
      <c r="T1054" s="76"/>
      <c r="U1054" s="253">
        <f t="shared" ref="U1054:AD1056" si="290">INDEX($K1054:$Q1054,1,U$43)</f>
        <v>0.52400000000000002</v>
      </c>
      <c r="V1054" s="253">
        <f t="shared" si="290"/>
        <v>0.52400000000000002</v>
      </c>
      <c r="W1054" s="253">
        <f t="shared" si="290"/>
        <v>0.52400000000000002</v>
      </c>
      <c r="X1054" s="253">
        <f t="shared" si="290"/>
        <v>0.52400000000000002</v>
      </c>
      <c r="Y1054" s="253">
        <f t="shared" si="290"/>
        <v>0.52400000000000002</v>
      </c>
      <c r="Z1054" s="253">
        <f t="shared" si="290"/>
        <v>0.65500000000000003</v>
      </c>
      <c r="AA1054" s="253">
        <f t="shared" si="290"/>
        <v>0.65500000000000003</v>
      </c>
      <c r="AB1054" s="253">
        <f t="shared" si="290"/>
        <v>0.65500000000000003</v>
      </c>
      <c r="AC1054" s="253">
        <f t="shared" si="290"/>
        <v>0.65500000000000003</v>
      </c>
      <c r="AD1054" s="253">
        <f t="shared" si="290"/>
        <v>0.65500000000000003</v>
      </c>
      <c r="AE1054" s="76"/>
      <c r="AF1054" s="76"/>
      <c r="AG1054" s="76"/>
      <c r="AH1054" s="97">
        <v>1</v>
      </c>
      <c r="AI1054" s="97">
        <v>1</v>
      </c>
      <c r="AJ1054" s="73"/>
      <c r="AK1054" s="57"/>
      <c r="AL1054" s="45"/>
      <c r="AM1054" s="45"/>
      <c r="AN1054" s="45"/>
    </row>
    <row r="1055" spans="1:40" hidden="1" outlineLevel="2" x14ac:dyDescent="0.25">
      <c r="A1055" s="45"/>
      <c r="B1055" s="54"/>
      <c r="C1055" s="47">
        <f>INT($C$29)+2</f>
        <v>3</v>
      </c>
      <c r="D1055" s="73"/>
      <c r="E1055" s="70"/>
      <c r="F1055" s="70" t="s">
        <v>1699</v>
      </c>
      <c r="G1055" s="73"/>
      <c r="H1055" s="76" t="s">
        <v>1700</v>
      </c>
      <c r="I1055" s="96" t="s">
        <v>502</v>
      </c>
      <c r="J1055" s="96"/>
      <c r="K1055" s="97">
        <v>0.70699999999999996</v>
      </c>
      <c r="L1055" s="97">
        <v>0.88400000000000001</v>
      </c>
      <c r="M1055" s="76"/>
      <c r="N1055" s="76"/>
      <c r="O1055" s="76"/>
      <c r="P1055" s="76"/>
      <c r="Q1055" s="76"/>
      <c r="R1055" s="76" t="s">
        <v>550</v>
      </c>
      <c r="S1055" s="76"/>
      <c r="T1055" s="76"/>
      <c r="U1055" s="253">
        <f t="shared" si="290"/>
        <v>0.70699999999999996</v>
      </c>
      <c r="V1055" s="253">
        <f t="shared" si="290"/>
        <v>0.70699999999999996</v>
      </c>
      <c r="W1055" s="253">
        <f t="shared" si="290"/>
        <v>0.70699999999999996</v>
      </c>
      <c r="X1055" s="253">
        <f t="shared" si="290"/>
        <v>0.70699999999999996</v>
      </c>
      <c r="Y1055" s="253">
        <f t="shared" si="290"/>
        <v>0.70699999999999996</v>
      </c>
      <c r="Z1055" s="253">
        <f t="shared" si="290"/>
        <v>0.88400000000000001</v>
      </c>
      <c r="AA1055" s="253">
        <f t="shared" si="290"/>
        <v>0.88400000000000001</v>
      </c>
      <c r="AB1055" s="253">
        <f t="shared" si="290"/>
        <v>0.88400000000000001</v>
      </c>
      <c r="AC1055" s="253">
        <f t="shared" si="290"/>
        <v>0.88400000000000001</v>
      </c>
      <c r="AD1055" s="253">
        <f t="shared" si="290"/>
        <v>0.88400000000000001</v>
      </c>
      <c r="AE1055" s="76"/>
      <c r="AF1055" s="76"/>
      <c r="AG1055" s="76"/>
      <c r="AH1055" s="97">
        <v>1</v>
      </c>
      <c r="AI1055" s="97">
        <v>1</v>
      </c>
      <c r="AJ1055" s="73"/>
      <c r="AK1055" s="57"/>
      <c r="AL1055" s="45"/>
      <c r="AM1055" s="45"/>
      <c r="AN1055" s="45"/>
    </row>
    <row r="1056" spans="1:40" hidden="1" outlineLevel="2" collapsed="1" x14ac:dyDescent="0.25">
      <c r="A1056" s="45"/>
      <c r="B1056" s="54"/>
      <c r="C1056" s="47">
        <f>INT($C$29)+2</f>
        <v>3</v>
      </c>
      <c r="D1056" s="73"/>
      <c r="E1056" s="70"/>
      <c r="F1056" s="70" t="s">
        <v>1701</v>
      </c>
      <c r="G1056" s="73"/>
      <c r="H1056" s="76" t="s">
        <v>1702</v>
      </c>
      <c r="I1056" s="96" t="s">
        <v>502</v>
      </c>
      <c r="J1056" s="96"/>
      <c r="K1056" s="97">
        <v>0.89100000000000001</v>
      </c>
      <c r="L1056" s="97">
        <v>1.1140000000000001</v>
      </c>
      <c r="M1056" s="76"/>
      <c r="N1056" s="76"/>
      <c r="O1056" s="76"/>
      <c r="P1056" s="76"/>
      <c r="Q1056" s="76"/>
      <c r="R1056" s="76" t="s">
        <v>550</v>
      </c>
      <c r="S1056" s="76"/>
      <c r="T1056" s="76"/>
      <c r="U1056" s="253">
        <f t="shared" si="290"/>
        <v>0.89100000000000001</v>
      </c>
      <c r="V1056" s="253">
        <f t="shared" si="290"/>
        <v>0.89100000000000001</v>
      </c>
      <c r="W1056" s="253">
        <f t="shared" si="290"/>
        <v>0.89100000000000001</v>
      </c>
      <c r="X1056" s="253">
        <f t="shared" si="290"/>
        <v>0.89100000000000001</v>
      </c>
      <c r="Y1056" s="253">
        <f t="shared" si="290"/>
        <v>0.89100000000000001</v>
      </c>
      <c r="Z1056" s="253">
        <f t="shared" si="290"/>
        <v>1.1140000000000001</v>
      </c>
      <c r="AA1056" s="253">
        <f t="shared" si="290"/>
        <v>1.1140000000000001</v>
      </c>
      <c r="AB1056" s="253">
        <f t="shared" si="290"/>
        <v>1.1140000000000001</v>
      </c>
      <c r="AC1056" s="253">
        <f t="shared" si="290"/>
        <v>1.1140000000000001</v>
      </c>
      <c r="AD1056" s="253">
        <f t="shared" si="290"/>
        <v>1.1140000000000001</v>
      </c>
      <c r="AE1056" s="76"/>
      <c r="AF1056" s="76"/>
      <c r="AG1056" s="76"/>
      <c r="AH1056" s="97">
        <v>1</v>
      </c>
      <c r="AI1056" s="97">
        <v>1</v>
      </c>
      <c r="AJ1056" s="73"/>
      <c r="AK1056" s="57"/>
      <c r="AL1056" s="45"/>
      <c r="AM1056" s="45"/>
      <c r="AN1056" s="45"/>
    </row>
    <row r="1057" spans="1:40" hidden="1" outlineLevel="3" x14ac:dyDescent="0.25">
      <c r="A1057" s="45"/>
      <c r="B1057" s="54"/>
      <c r="C1057" s="47">
        <f t="shared" ref="C1057:C1120" si="291">INT($C$29)+3</f>
        <v>4</v>
      </c>
      <c r="D1057" s="73"/>
      <c r="E1057" s="70"/>
      <c r="F1057" s="70" t="s">
        <v>2523</v>
      </c>
      <c r="G1057" s="73"/>
      <c r="H1057" s="76" t="s">
        <v>1473</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291"/>
        <v>4</v>
      </c>
      <c r="D1058" s="73"/>
      <c r="E1058" s="70"/>
      <c r="F1058" s="70" t="s">
        <v>2524</v>
      </c>
      <c r="G1058" s="73"/>
      <c r="H1058" s="76" t="s">
        <v>1475</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291"/>
        <v>4</v>
      </c>
      <c r="D1059" s="73"/>
      <c r="E1059" s="70"/>
      <c r="F1059" s="70" t="s">
        <v>2525</v>
      </c>
      <c r="G1059" s="73"/>
      <c r="H1059" s="76" t="s">
        <v>1477</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291"/>
        <v>4</v>
      </c>
      <c r="D1060" s="73"/>
      <c r="E1060" s="70"/>
      <c r="F1060" s="70" t="s">
        <v>2526</v>
      </c>
      <c r="G1060" s="73"/>
      <c r="H1060" s="76" t="s">
        <v>1479</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25">
      <c r="A1061" s="45"/>
      <c r="B1061" s="54"/>
      <c r="C1061" s="47">
        <f t="shared" si="291"/>
        <v>4</v>
      </c>
      <c r="D1061" s="73"/>
      <c r="E1061" s="70"/>
      <c r="F1061" s="70" t="s">
        <v>2527</v>
      </c>
      <c r="G1061" s="73"/>
      <c r="H1061" s="76" t="s">
        <v>1473</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3" x14ac:dyDescent="0.25">
      <c r="A1062" s="45"/>
      <c r="B1062" s="54"/>
      <c r="C1062" s="47">
        <f t="shared" si="291"/>
        <v>4</v>
      </c>
      <c r="D1062" s="73"/>
      <c r="E1062" s="70"/>
      <c r="F1062" s="70" t="s">
        <v>2528</v>
      </c>
      <c r="G1062" s="73"/>
      <c r="H1062" s="76" t="s">
        <v>1475</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3" x14ac:dyDescent="0.25">
      <c r="A1063" s="45"/>
      <c r="B1063" s="54"/>
      <c r="C1063" s="47">
        <f t="shared" si="291"/>
        <v>4</v>
      </c>
      <c r="D1063" s="73"/>
      <c r="E1063" s="70"/>
      <c r="F1063" s="70" t="s">
        <v>2529</v>
      </c>
      <c r="G1063" s="73"/>
      <c r="H1063" s="76" t="s">
        <v>1477</v>
      </c>
      <c r="I1063" s="96" t="s">
        <v>502</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hidden="1" outlineLevel="3" x14ac:dyDescent="0.25">
      <c r="A1064" s="45"/>
      <c r="B1064" s="54"/>
      <c r="C1064" s="47">
        <f t="shared" si="291"/>
        <v>4</v>
      </c>
      <c r="D1064" s="73"/>
      <c r="E1064" s="70"/>
      <c r="F1064" s="70" t="s">
        <v>2530</v>
      </c>
      <c r="G1064" s="73"/>
      <c r="H1064" s="76" t="s">
        <v>1479</v>
      </c>
      <c r="I1064" s="96" t="s">
        <v>502</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hidden="1" outlineLevel="3" x14ac:dyDescent="0.25">
      <c r="A1065" s="45"/>
      <c r="B1065" s="54"/>
      <c r="C1065" s="47">
        <f t="shared" si="291"/>
        <v>4</v>
      </c>
      <c r="D1065" s="73"/>
      <c r="E1065" s="70"/>
      <c r="F1065" s="70" t="s">
        <v>2531</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291"/>
        <v>4</v>
      </c>
      <c r="D1066" s="73"/>
      <c r="E1066" s="70"/>
      <c r="F1066" s="70" t="s">
        <v>2532</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291"/>
        <v>4</v>
      </c>
      <c r="D1067" s="73"/>
      <c r="E1067" s="70"/>
      <c r="F1067" s="70" t="s">
        <v>2533</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291"/>
        <v>4</v>
      </c>
      <c r="D1068" s="73"/>
      <c r="E1068" s="70"/>
      <c r="F1068" s="70" t="s">
        <v>2534</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291"/>
        <v>4</v>
      </c>
      <c r="D1069" s="73"/>
      <c r="E1069" s="70"/>
      <c r="F1069" s="70" t="s">
        <v>2535</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291"/>
        <v>4</v>
      </c>
      <c r="D1070" s="73"/>
      <c r="E1070" s="70"/>
      <c r="F1070" s="70" t="s">
        <v>2536</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291"/>
        <v>4</v>
      </c>
      <c r="D1071" s="73"/>
      <c r="E1071" s="70"/>
      <c r="F1071" s="70" t="s">
        <v>2537</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291"/>
        <v>4</v>
      </c>
      <c r="D1072" s="73"/>
      <c r="E1072" s="70"/>
      <c r="F1072" s="70" t="s">
        <v>2538</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291"/>
        <v>4</v>
      </c>
      <c r="D1073" s="73"/>
      <c r="E1073" s="70"/>
      <c r="F1073" s="70" t="s">
        <v>2539</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291"/>
        <v>4</v>
      </c>
      <c r="D1074" s="73"/>
      <c r="E1074" s="70"/>
      <c r="F1074" s="70" t="s">
        <v>2540</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291"/>
        <v>4</v>
      </c>
      <c r="D1075" s="73"/>
      <c r="E1075" s="70"/>
      <c r="F1075" s="70" t="s">
        <v>2541</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291"/>
        <v>4</v>
      </c>
      <c r="D1076" s="73"/>
      <c r="E1076" s="70"/>
      <c r="F1076" s="70" t="s">
        <v>2542</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291"/>
        <v>4</v>
      </c>
      <c r="D1077" s="73"/>
      <c r="E1077" s="70"/>
      <c r="F1077" s="70" t="s">
        <v>2543</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291"/>
        <v>4</v>
      </c>
      <c r="D1078" s="73"/>
      <c r="E1078" s="70"/>
      <c r="F1078" s="70" t="s">
        <v>2544</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291"/>
        <v>4</v>
      </c>
      <c r="D1079" s="73"/>
      <c r="E1079" s="70"/>
      <c r="F1079" s="70" t="s">
        <v>2545</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291"/>
        <v>4</v>
      </c>
      <c r="D1080" s="73"/>
      <c r="E1080" s="70"/>
      <c r="F1080" s="70" t="s">
        <v>2546</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291"/>
        <v>4</v>
      </c>
      <c r="D1081" s="73"/>
      <c r="E1081" s="70"/>
      <c r="F1081" s="70" t="s">
        <v>3328</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291"/>
        <v>4</v>
      </c>
      <c r="D1082" s="73"/>
      <c r="E1082" s="70"/>
      <c r="F1082" s="70" t="s">
        <v>3329</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291"/>
        <v>4</v>
      </c>
      <c r="D1083" s="73"/>
      <c r="E1083" s="70"/>
      <c r="F1083" s="70" t="s">
        <v>3330</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291"/>
        <v>4</v>
      </c>
      <c r="D1084" s="73"/>
      <c r="E1084" s="70"/>
      <c r="F1084" s="70" t="s">
        <v>3331</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291"/>
        <v>4</v>
      </c>
      <c r="D1085" s="73"/>
      <c r="E1085" s="70"/>
      <c r="F1085" s="70" t="s">
        <v>3436</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291"/>
        <v>4</v>
      </c>
      <c r="D1086" s="73"/>
      <c r="E1086" s="70"/>
      <c r="F1086" s="70" t="s">
        <v>3437</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291"/>
        <v>4</v>
      </c>
      <c r="D1087" s="73"/>
      <c r="E1087" s="70"/>
      <c r="F1087" s="70" t="s">
        <v>3438</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291"/>
        <v>4</v>
      </c>
      <c r="D1088" s="73"/>
      <c r="E1088" s="70"/>
      <c r="F1088" s="70" t="s">
        <v>3439</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291"/>
        <v>4</v>
      </c>
      <c r="D1089" s="73"/>
      <c r="E1089" s="70"/>
      <c r="F1089" s="70" t="s">
        <v>3440</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291"/>
        <v>4</v>
      </c>
      <c r="D1090" s="73"/>
      <c r="E1090" s="70"/>
      <c r="F1090" s="70" t="s">
        <v>3441</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291"/>
        <v>4</v>
      </c>
      <c r="D1091" s="73"/>
      <c r="E1091" s="70"/>
      <c r="F1091" s="70" t="s">
        <v>3442</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291"/>
        <v>4</v>
      </c>
      <c r="D1092" s="73"/>
      <c r="E1092" s="70"/>
      <c r="F1092" s="70" t="s">
        <v>3443</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291"/>
        <v>4</v>
      </c>
      <c r="D1093" s="73"/>
      <c r="E1093" s="70"/>
      <c r="F1093" s="70" t="s">
        <v>3444</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291"/>
        <v>4</v>
      </c>
      <c r="D1094" s="73"/>
      <c r="E1094" s="70"/>
      <c r="F1094" s="70" t="s">
        <v>3445</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291"/>
        <v>4</v>
      </c>
      <c r="D1095" s="73"/>
      <c r="E1095" s="70"/>
      <c r="F1095" s="70" t="s">
        <v>3446</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291"/>
        <v>4</v>
      </c>
      <c r="D1096" s="73"/>
      <c r="E1096" s="70"/>
      <c r="F1096" s="70" t="s">
        <v>3447</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291"/>
        <v>4</v>
      </c>
      <c r="D1097" s="73"/>
      <c r="E1097" s="70"/>
      <c r="F1097" s="70" t="s">
        <v>3448</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291"/>
        <v>4</v>
      </c>
      <c r="D1098" s="73"/>
      <c r="E1098" s="70"/>
      <c r="F1098" s="70" t="s">
        <v>3449</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291"/>
        <v>4</v>
      </c>
      <c r="D1099" s="73"/>
      <c r="E1099" s="70"/>
      <c r="F1099" s="70" t="s">
        <v>3450</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291"/>
        <v>4</v>
      </c>
      <c r="D1100" s="73"/>
      <c r="E1100" s="70"/>
      <c r="F1100" s="70" t="s">
        <v>3451</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291"/>
        <v>4</v>
      </c>
      <c r="D1101" s="73"/>
      <c r="E1101" s="70"/>
      <c r="F1101" s="70" t="s">
        <v>3452</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291"/>
        <v>4</v>
      </c>
      <c r="D1102" s="73"/>
      <c r="E1102" s="70"/>
      <c r="F1102" s="70" t="s">
        <v>3453</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291"/>
        <v>4</v>
      </c>
      <c r="D1103" s="73"/>
      <c r="E1103" s="70"/>
      <c r="F1103" s="70" t="s">
        <v>3454</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291"/>
        <v>4</v>
      </c>
      <c r="D1104" s="73"/>
      <c r="E1104" s="70"/>
      <c r="F1104" s="70" t="s">
        <v>3455</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291"/>
        <v>4</v>
      </c>
      <c r="D1105" s="73"/>
      <c r="E1105" s="70"/>
      <c r="F1105" s="70" t="s">
        <v>3456</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291"/>
        <v>4</v>
      </c>
      <c r="D1106" s="73"/>
      <c r="E1106" s="70"/>
      <c r="F1106" s="70" t="s">
        <v>3457</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291"/>
        <v>4</v>
      </c>
      <c r="D1107" s="73"/>
      <c r="E1107" s="70"/>
      <c r="F1107" s="70" t="s">
        <v>3458</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291"/>
        <v>4</v>
      </c>
      <c r="D1108" s="73"/>
      <c r="E1108" s="70"/>
      <c r="F1108" s="70" t="s">
        <v>3459</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291"/>
        <v>4</v>
      </c>
      <c r="D1109" s="73"/>
      <c r="E1109" s="70"/>
      <c r="F1109" s="70" t="s">
        <v>3460</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291"/>
        <v>4</v>
      </c>
      <c r="D1110" s="73"/>
      <c r="E1110" s="70"/>
      <c r="F1110" s="70" t="s">
        <v>3461</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291"/>
        <v>4</v>
      </c>
      <c r="D1111" s="73"/>
      <c r="E1111" s="70"/>
      <c r="F1111" s="70" t="s">
        <v>3462</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291"/>
        <v>4</v>
      </c>
      <c r="D1112" s="73"/>
      <c r="E1112" s="70"/>
      <c r="F1112" s="70" t="s">
        <v>3463</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291"/>
        <v>4</v>
      </c>
      <c r="D1113" s="73"/>
      <c r="E1113" s="70"/>
      <c r="F1113" s="70" t="s">
        <v>3464</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291"/>
        <v>4</v>
      </c>
      <c r="D1114" s="73"/>
      <c r="E1114" s="70"/>
      <c r="F1114" s="70" t="s">
        <v>3465</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291"/>
        <v>4</v>
      </c>
      <c r="D1115" s="73"/>
      <c r="E1115" s="70"/>
      <c r="F1115" s="70" t="s">
        <v>3466</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291"/>
        <v>4</v>
      </c>
      <c r="D1116" s="73"/>
      <c r="E1116" s="70"/>
      <c r="F1116" s="70" t="s">
        <v>3467</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291"/>
        <v>4</v>
      </c>
      <c r="D1117" s="73"/>
      <c r="E1117" s="70"/>
      <c r="F1117" s="70" t="s">
        <v>3468</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291"/>
        <v>4</v>
      </c>
      <c r="D1118" s="73"/>
      <c r="E1118" s="70"/>
      <c r="F1118" s="70" t="s">
        <v>3469</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291"/>
        <v>4</v>
      </c>
      <c r="D1119" s="73"/>
      <c r="E1119" s="70"/>
      <c r="F1119" s="70" t="s">
        <v>3470</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291"/>
        <v>4</v>
      </c>
      <c r="D1120" s="73"/>
      <c r="E1120" s="70"/>
      <c r="F1120" s="70" t="s">
        <v>3471</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ref="C1121:C1132" si="292">INT($C$29)+3</f>
        <v>4</v>
      </c>
      <c r="D1121" s="73"/>
      <c r="E1121" s="70"/>
      <c r="F1121" s="70" t="s">
        <v>3472</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292"/>
        <v>4</v>
      </c>
      <c r="D1122" s="73"/>
      <c r="E1122" s="70"/>
      <c r="F1122" s="70" t="s">
        <v>3473</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292"/>
        <v>4</v>
      </c>
      <c r="D1123" s="73"/>
      <c r="E1123" s="70"/>
      <c r="F1123" s="70" t="s">
        <v>3474</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292"/>
        <v>4</v>
      </c>
      <c r="D1124" s="73"/>
      <c r="E1124" s="70"/>
      <c r="F1124" s="70" t="s">
        <v>3475</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292"/>
        <v>4</v>
      </c>
      <c r="D1125" s="73"/>
      <c r="E1125" s="70"/>
      <c r="F1125" s="70" t="s">
        <v>3476</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292"/>
        <v>4</v>
      </c>
      <c r="D1126" s="73"/>
      <c r="E1126" s="70"/>
      <c r="F1126" s="70" t="s">
        <v>3477</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292"/>
        <v>4</v>
      </c>
      <c r="D1127" s="73"/>
      <c r="E1127" s="70"/>
      <c r="F1127" s="70" t="s">
        <v>3478</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292"/>
        <v>4</v>
      </c>
      <c r="D1128" s="73"/>
      <c r="E1128" s="70"/>
      <c r="F1128" s="70" t="s">
        <v>3479</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292"/>
        <v>4</v>
      </c>
      <c r="D1129" s="73"/>
      <c r="E1129" s="70"/>
      <c r="F1129" s="70" t="s">
        <v>3762</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292"/>
        <v>4</v>
      </c>
      <c r="D1130" s="73"/>
      <c r="E1130" s="70"/>
      <c r="F1130" s="70" t="s">
        <v>3763</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292"/>
        <v>4</v>
      </c>
      <c r="D1131" s="73"/>
      <c r="E1131" s="70"/>
      <c r="F1131" s="70" t="s">
        <v>3764</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292"/>
        <v>4</v>
      </c>
      <c r="D1132" s="73"/>
      <c r="E1132" s="70"/>
      <c r="F1132" s="70" t="s">
        <v>3765</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outlineLevel="1" collapsed="1" x14ac:dyDescent="0.25">
      <c r="A1133" s="45"/>
      <c r="B1133" s="54"/>
      <c r="C1133" s="47">
        <f>INT($C$29)+1</f>
        <v>2</v>
      </c>
      <c r="D1133" s="73"/>
      <c r="E1133" s="70"/>
      <c r="F1133" s="265" t="s">
        <v>1703</v>
      </c>
      <c r="G1133" s="73"/>
      <c r="H1133" s="246" t="s">
        <v>1704</v>
      </c>
      <c r="I1133" s="96"/>
      <c r="J1133" s="96" t="s">
        <v>519</v>
      </c>
      <c r="K1133" s="76"/>
      <c r="L1133" s="76"/>
      <c r="M1133" s="76"/>
      <c r="N1133" s="76"/>
      <c r="O1133" s="76"/>
      <c r="P1133" s="76"/>
      <c r="Q1133" s="76"/>
      <c r="R1133" s="76"/>
      <c r="S1133" s="76"/>
      <c r="T1133" s="76"/>
      <c r="U1133" s="79">
        <v>5</v>
      </c>
      <c r="V1133" s="76"/>
      <c r="W1133" s="79">
        <v>0</v>
      </c>
      <c r="X1133" s="76"/>
      <c r="Y1133" s="76"/>
      <c r="Z1133" s="76"/>
      <c r="AA1133" s="76"/>
      <c r="AB1133" s="76"/>
      <c r="AC1133" s="76"/>
      <c r="AD1133" s="76"/>
      <c r="AE1133" s="76"/>
      <c r="AF1133" s="76"/>
      <c r="AG1133" s="76"/>
      <c r="AH1133" s="76"/>
      <c r="AI1133" s="76"/>
      <c r="AJ1133" s="73"/>
      <c r="AK1133" s="57"/>
      <c r="AL1133" s="45"/>
      <c r="AM1133" s="45"/>
      <c r="AN1133" s="45"/>
    </row>
    <row r="1134" spans="1:40" hidden="1" outlineLevel="2" x14ac:dyDescent="0.25">
      <c r="A1134" s="45"/>
      <c r="B1134" s="54"/>
      <c r="C1134" s="47">
        <f>INT($C$29)+2</f>
        <v>3</v>
      </c>
      <c r="D1134" s="73"/>
      <c r="E1134" s="70" t="s">
        <v>1705</v>
      </c>
      <c r="F1134" s="70" t="s">
        <v>1706</v>
      </c>
      <c r="G1134" s="73"/>
      <c r="H1134" s="76" t="s">
        <v>1707</v>
      </c>
      <c r="I1134" s="76"/>
      <c r="J1134" s="76"/>
      <c r="K1134" s="97">
        <v>0.99704199999999998</v>
      </c>
      <c r="L1134" s="97">
        <v>0.99704199999999998</v>
      </c>
      <c r="M1134" s="76"/>
      <c r="N1134" s="76"/>
      <c r="O1134" s="76"/>
      <c r="P1134" s="76"/>
      <c r="Q1134" s="76"/>
      <c r="R1134" s="76"/>
      <c r="S1134" s="76"/>
      <c r="T1134" s="76"/>
      <c r="U1134" s="253">
        <f t="shared" ref="U1134:AD1134" si="293">INDEX($K1134:$Q1134,1,U$43)</f>
        <v>0.99704199999999998</v>
      </c>
      <c r="V1134" s="253">
        <f t="shared" si="293"/>
        <v>0.99704199999999998</v>
      </c>
      <c r="W1134" s="253">
        <f t="shared" si="293"/>
        <v>0.99704199999999998</v>
      </c>
      <c r="X1134" s="253">
        <f t="shared" si="293"/>
        <v>0.99704199999999998</v>
      </c>
      <c r="Y1134" s="253">
        <f t="shared" si="293"/>
        <v>0.99704199999999998</v>
      </c>
      <c r="Z1134" s="253">
        <f t="shared" si="293"/>
        <v>0.99704199999999998</v>
      </c>
      <c r="AA1134" s="253">
        <f t="shared" si="293"/>
        <v>0.99704199999999998</v>
      </c>
      <c r="AB1134" s="253">
        <f t="shared" si="293"/>
        <v>0.99704199999999998</v>
      </c>
      <c r="AC1134" s="253">
        <f t="shared" si="293"/>
        <v>0.99704199999999998</v>
      </c>
      <c r="AD1134" s="253">
        <f t="shared" si="293"/>
        <v>0.99704199999999998</v>
      </c>
      <c r="AE1134" s="76"/>
      <c r="AF1134" s="76"/>
      <c r="AG1134" s="76"/>
      <c r="AH1134" s="97">
        <v>1</v>
      </c>
      <c r="AI1134" s="97">
        <v>1</v>
      </c>
      <c r="AJ1134" s="73"/>
      <c r="AK1134" s="57"/>
      <c r="AL1134" s="45"/>
      <c r="AM1134" s="45"/>
      <c r="AN1134" s="45"/>
    </row>
    <row r="1135" spans="1:40" hidden="1" outlineLevel="2" x14ac:dyDescent="0.25">
      <c r="A1135" s="45"/>
      <c r="B1135" s="54"/>
      <c r="C1135" s="47">
        <f>INT($C$29)+2</f>
        <v>3</v>
      </c>
      <c r="D1135" s="73"/>
      <c r="E1135" s="70"/>
      <c r="F1135" s="70" t="s">
        <v>1708</v>
      </c>
      <c r="G1135" s="73"/>
      <c r="H1135" s="129" t="s">
        <v>2765</v>
      </c>
      <c r="I1135" s="96"/>
      <c r="J1135" s="96"/>
      <c r="K1135" s="76"/>
      <c r="L1135" s="76"/>
      <c r="M1135" s="76"/>
      <c r="N1135" s="76"/>
      <c r="O1135" s="76"/>
      <c r="P1135" s="76"/>
      <c r="Q1135" s="76"/>
      <c r="R1135" s="76"/>
      <c r="S1135" s="76"/>
      <c r="T1135" s="76"/>
      <c r="U1135" s="266">
        <v>0.19</v>
      </c>
      <c r="V1135" s="266">
        <v>0.19</v>
      </c>
      <c r="W1135" s="266">
        <v>0.19</v>
      </c>
      <c r="X1135" s="266">
        <v>0.19</v>
      </c>
      <c r="Y1135" s="266">
        <v>0.19</v>
      </c>
      <c r="Z1135" s="266">
        <v>0.25</v>
      </c>
      <c r="AA1135" s="266">
        <v>0.25</v>
      </c>
      <c r="AB1135" s="266">
        <v>0.25</v>
      </c>
      <c r="AC1135" s="266">
        <v>0.25</v>
      </c>
      <c r="AD1135" s="266">
        <v>0.25</v>
      </c>
      <c r="AE1135" s="76"/>
      <c r="AF1135" s="97" t="s">
        <v>1710</v>
      </c>
      <c r="AG1135" s="76"/>
      <c r="AH1135" s="97">
        <v>1</v>
      </c>
      <c r="AI1135" s="97">
        <v>1</v>
      </c>
      <c r="AJ1135" s="73"/>
      <c r="AK1135" s="57"/>
      <c r="AL1135" s="45"/>
      <c r="AM1135" s="45"/>
      <c r="AN1135" s="45"/>
    </row>
    <row r="1136" spans="1:40" hidden="1" outlineLevel="2" x14ac:dyDescent="0.25">
      <c r="A1136" s="45"/>
      <c r="B1136" s="54"/>
      <c r="C1136" s="47">
        <f>INT($C$29)+2</f>
        <v>3</v>
      </c>
      <c r="D1136" s="73"/>
      <c r="E1136" s="70"/>
      <c r="F1136" s="70" t="s">
        <v>1711</v>
      </c>
      <c r="G1136" s="73"/>
      <c r="H1136" s="76" t="s">
        <v>1712</v>
      </c>
      <c r="I1136" s="76"/>
      <c r="J1136" s="76"/>
      <c r="K1136" s="76"/>
      <c r="L1136" s="76"/>
      <c r="M1136" s="76"/>
      <c r="N1136" s="76"/>
      <c r="O1136" s="76"/>
      <c r="P1136" s="76"/>
      <c r="Q1136" s="76"/>
      <c r="R1136" s="76"/>
      <c r="S1136" s="76"/>
      <c r="T1136" s="76"/>
      <c r="U1136" s="97">
        <v>0.13739999999999999</v>
      </c>
      <c r="V1136" s="97">
        <v>0.13739999999999999</v>
      </c>
      <c r="W1136" s="97">
        <v>0.13739999999999999</v>
      </c>
      <c r="X1136" s="97">
        <v>0.13739999999999999</v>
      </c>
      <c r="Y1136" s="97">
        <v>0.13739999999999999</v>
      </c>
      <c r="Z1136" s="255">
        <f t="shared" ref="Z1136:AD1138" si="294">Y1136</f>
        <v>0.13739999999999999</v>
      </c>
      <c r="AA1136" s="255">
        <f t="shared" si="294"/>
        <v>0.13739999999999999</v>
      </c>
      <c r="AB1136" s="255">
        <f t="shared" si="294"/>
        <v>0.13739999999999999</v>
      </c>
      <c r="AC1136" s="255">
        <f t="shared" si="294"/>
        <v>0.13739999999999999</v>
      </c>
      <c r="AD1136" s="255">
        <f t="shared" si="294"/>
        <v>0.13739999999999999</v>
      </c>
      <c r="AE1136" s="76"/>
      <c r="AF1136" s="76"/>
      <c r="AG1136" s="76"/>
      <c r="AH1136" s="97">
        <v>1</v>
      </c>
      <c r="AI1136" s="97">
        <v>1</v>
      </c>
      <c r="AJ1136" s="73"/>
      <c r="AK1136" s="57"/>
      <c r="AL1136" s="45"/>
      <c r="AM1136" s="45"/>
      <c r="AN1136" s="45"/>
    </row>
    <row r="1137" spans="1:40" hidden="1" outlineLevel="2" x14ac:dyDescent="0.25">
      <c r="A1137" s="45"/>
      <c r="B1137" s="54"/>
      <c r="C1137" s="47">
        <f>INT($C$29)+2</f>
        <v>3</v>
      </c>
      <c r="D1137" s="73"/>
      <c r="E1137" s="70"/>
      <c r="F1137" s="70" t="s">
        <v>1713</v>
      </c>
      <c r="G1137" s="73"/>
      <c r="H1137" s="76" t="s">
        <v>1714</v>
      </c>
      <c r="I1137" s="76"/>
      <c r="J1137" s="76"/>
      <c r="K1137" s="76"/>
      <c r="L1137" s="76"/>
      <c r="M1137" s="76"/>
      <c r="N1137" s="76"/>
      <c r="O1137" s="76"/>
      <c r="P1137" s="76"/>
      <c r="Q1137" s="76"/>
      <c r="R1137" s="76"/>
      <c r="S1137" s="76"/>
      <c r="T1137" s="76"/>
      <c r="U1137" s="97">
        <v>0.16700000000000001</v>
      </c>
      <c r="V1137" s="97">
        <v>0.16700000000000001</v>
      </c>
      <c r="W1137" s="97">
        <v>0.16700000000000001</v>
      </c>
      <c r="X1137" s="97">
        <v>0.16700000000000001</v>
      </c>
      <c r="Y1137" s="97">
        <v>0.16700000000000001</v>
      </c>
      <c r="Z1137" s="255">
        <f t="shared" si="294"/>
        <v>0.16700000000000001</v>
      </c>
      <c r="AA1137" s="255">
        <f t="shared" si="294"/>
        <v>0.16700000000000001</v>
      </c>
      <c r="AB1137" s="255">
        <f t="shared" si="294"/>
        <v>0.16700000000000001</v>
      </c>
      <c r="AC1137" s="255">
        <f t="shared" si="294"/>
        <v>0.16700000000000001</v>
      </c>
      <c r="AD1137" s="255">
        <f t="shared" si="294"/>
        <v>0.16700000000000001</v>
      </c>
      <c r="AE1137" s="76"/>
      <c r="AF1137" s="76"/>
      <c r="AG1137" s="76"/>
      <c r="AH1137" s="97">
        <v>1</v>
      </c>
      <c r="AI1137" s="97">
        <v>1</v>
      </c>
      <c r="AJ1137" s="73"/>
      <c r="AK1137" s="57"/>
      <c r="AL1137" s="45"/>
      <c r="AM1137" s="45"/>
      <c r="AN1137" s="45"/>
    </row>
    <row r="1138" spans="1:40" hidden="1" outlineLevel="2" x14ac:dyDescent="0.25">
      <c r="A1138" s="45"/>
      <c r="B1138" s="54"/>
      <c r="C1138" s="47">
        <f>INT($C$29)+2</f>
        <v>3</v>
      </c>
      <c r="D1138" s="73"/>
      <c r="E1138" s="70"/>
      <c r="F1138" s="70" t="s">
        <v>1715</v>
      </c>
      <c r="G1138" s="73"/>
      <c r="H1138" s="76" t="s">
        <v>1716</v>
      </c>
      <c r="I1138" s="76"/>
      <c r="J1138" s="76"/>
      <c r="K1138" s="76"/>
      <c r="L1138" s="76"/>
      <c r="M1138" s="76"/>
      <c r="N1138" s="76"/>
      <c r="O1138" s="76"/>
      <c r="P1138" s="76"/>
      <c r="Q1138" s="76"/>
      <c r="R1138" s="76"/>
      <c r="S1138" s="76"/>
      <c r="T1138" s="76"/>
      <c r="U1138" s="97">
        <v>0.08</v>
      </c>
      <c r="V1138" s="97">
        <v>0.08</v>
      </c>
      <c r="W1138" s="97">
        <v>0.08</v>
      </c>
      <c r="X1138" s="97">
        <v>0.08</v>
      </c>
      <c r="Y1138" s="97">
        <v>0.08</v>
      </c>
      <c r="Z1138" s="255">
        <f t="shared" si="294"/>
        <v>0.08</v>
      </c>
      <c r="AA1138" s="255">
        <f t="shared" si="294"/>
        <v>0.08</v>
      </c>
      <c r="AB1138" s="255">
        <f t="shared" si="294"/>
        <v>0.08</v>
      </c>
      <c r="AC1138" s="255">
        <f t="shared" si="294"/>
        <v>0.08</v>
      </c>
      <c r="AD1138" s="255">
        <f t="shared" si="294"/>
        <v>0.08</v>
      </c>
      <c r="AE1138" s="76"/>
      <c r="AF1138" s="76"/>
      <c r="AG1138" s="76"/>
      <c r="AH1138" s="97">
        <v>1</v>
      </c>
      <c r="AI1138" s="97">
        <v>1</v>
      </c>
      <c r="AJ1138" s="73"/>
      <c r="AK1138" s="57"/>
      <c r="AL1138" s="45"/>
      <c r="AM1138" s="45"/>
      <c r="AN1138" s="45"/>
    </row>
    <row r="1139" spans="1:40" outlineLevel="1" collapsed="1" x14ac:dyDescent="0.25">
      <c r="A1139" s="45"/>
      <c r="B1139" s="54"/>
      <c r="C1139" s="47">
        <f>INT($C$29)+1</f>
        <v>2</v>
      </c>
      <c r="D1139" s="73"/>
      <c r="E1139" s="70"/>
      <c r="F1139" s="265" t="s">
        <v>1703</v>
      </c>
      <c r="G1139" s="73"/>
      <c r="H1139" s="267" t="s">
        <v>1717</v>
      </c>
      <c r="I1139" s="129"/>
      <c r="J1139" s="129" t="s">
        <v>1045</v>
      </c>
      <c r="K1139" s="76"/>
      <c r="L1139" s="76"/>
      <c r="M1139" s="76"/>
      <c r="N1139" s="76"/>
      <c r="O1139" s="76"/>
      <c r="P1139" s="76"/>
      <c r="Q1139" s="76"/>
      <c r="R1139" s="76"/>
      <c r="S1139" s="76"/>
      <c r="T1139" s="76"/>
      <c r="U1139" s="79">
        <v>20</v>
      </c>
      <c r="V1139" s="79">
        <v>8</v>
      </c>
      <c r="W1139" s="79">
        <v>0</v>
      </c>
      <c r="X1139" s="76"/>
      <c r="Y1139" s="76"/>
      <c r="Z1139" s="76"/>
      <c r="AA1139" s="76"/>
      <c r="AB1139" s="76"/>
      <c r="AC1139" s="76"/>
      <c r="AD1139" s="76"/>
      <c r="AE1139" s="76"/>
      <c r="AF1139" s="76"/>
      <c r="AG1139" s="76"/>
      <c r="AH1139" s="76"/>
      <c r="AI1139" s="76"/>
      <c r="AJ1139" s="73"/>
      <c r="AK1139" s="57"/>
      <c r="AL1139" s="45"/>
      <c r="AM1139" s="45"/>
      <c r="AN1139" s="45"/>
    </row>
    <row r="1140" spans="1:40" hidden="1" outlineLevel="2" collapsed="1" x14ac:dyDescent="0.25">
      <c r="A1140" s="45"/>
      <c r="B1140" s="54"/>
      <c r="C1140" s="47">
        <f t="shared" ref="C1140:C1147" si="295">INT($C$29)+2</f>
        <v>3</v>
      </c>
      <c r="D1140" s="73"/>
      <c r="E1140" s="70"/>
      <c r="F1140" s="70" t="s">
        <v>1718</v>
      </c>
      <c r="G1140" s="73"/>
      <c r="H1140" s="76" t="s">
        <v>3505</v>
      </c>
      <c r="I1140" s="76"/>
      <c r="J1140" s="7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295"/>
        <v>3</v>
      </c>
      <c r="D1141" s="73"/>
      <c r="E1141" s="70"/>
      <c r="F1141" s="70" t="s">
        <v>3517</v>
      </c>
      <c r="G1141" s="73"/>
      <c r="H1141" s="76" t="s">
        <v>3513</v>
      </c>
      <c r="I1141" s="76"/>
      <c r="J1141" s="7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295"/>
        <v>3</v>
      </c>
      <c r="D1142" s="73"/>
      <c r="E1142" s="70"/>
      <c r="F1142" s="70" t="s">
        <v>1719</v>
      </c>
      <c r="G1142" s="73"/>
      <c r="H1142" s="76" t="s">
        <v>3514</v>
      </c>
      <c r="I1142" s="76"/>
      <c r="J1142" s="7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295"/>
        <v>3</v>
      </c>
      <c r="D1143" s="73"/>
      <c r="E1143" s="70"/>
      <c r="F1143" s="70" t="s">
        <v>3518</v>
      </c>
      <c r="G1143" s="73"/>
      <c r="H1143" s="76" t="s">
        <v>3515</v>
      </c>
      <c r="I1143" s="76"/>
      <c r="J1143" s="7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295"/>
        <v>3</v>
      </c>
      <c r="D1144" s="73"/>
      <c r="E1144" s="70"/>
      <c r="F1144" s="70" t="s">
        <v>1722</v>
      </c>
      <c r="G1144" s="73"/>
      <c r="H1144" s="76" t="s">
        <v>3516</v>
      </c>
      <c r="I1144" s="76"/>
      <c r="J1144" s="7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295"/>
        <v>3</v>
      </c>
      <c r="D1145" s="73"/>
      <c r="E1145" s="70"/>
      <c r="F1145" s="70" t="s">
        <v>3519</v>
      </c>
      <c r="G1145" s="73"/>
      <c r="H1145" s="76" t="s">
        <v>1724</v>
      </c>
      <c r="I1145" s="76"/>
      <c r="J1145" s="7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295"/>
        <v>3</v>
      </c>
      <c r="D1146" s="73"/>
      <c r="E1146" s="70"/>
      <c r="F1146" s="70" t="s">
        <v>1725</v>
      </c>
      <c r="G1146" s="73"/>
      <c r="H1146" s="76" t="s">
        <v>1726</v>
      </c>
      <c r="I1146" s="76"/>
      <c r="J1146" s="7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295"/>
        <v>3</v>
      </c>
      <c r="D1147" s="73"/>
      <c r="E1147" s="70"/>
      <c r="F1147" s="70" t="s">
        <v>1727</v>
      </c>
      <c r="G1147" s="73"/>
      <c r="H1147" s="76" t="s">
        <v>1728</v>
      </c>
      <c r="I1147" s="76"/>
      <c r="J1147" s="7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ref="C1148:C1179" si="296">INT($C$29)+3</f>
        <v>4</v>
      </c>
      <c r="D1148" s="73"/>
      <c r="E1148" s="70"/>
      <c r="F1148" s="70" t="s">
        <v>1729</v>
      </c>
      <c r="G1148" s="73"/>
      <c r="H1148" s="76" t="s">
        <v>604</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296"/>
        <v>4</v>
      </c>
      <c r="D1149" s="73"/>
      <c r="E1149" s="70"/>
      <c r="F1149" s="70" t="s">
        <v>1730</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296"/>
        <v>4</v>
      </c>
      <c r="D1150" s="73"/>
      <c r="E1150" s="70"/>
      <c r="F1150" s="70" t="s">
        <v>1731</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25">
      <c r="A1151" s="45"/>
      <c r="B1151" s="54"/>
      <c r="C1151" s="47">
        <f t="shared" si="296"/>
        <v>4</v>
      </c>
      <c r="D1151" s="73"/>
      <c r="E1151" s="70"/>
      <c r="F1151" s="70" t="s">
        <v>1732</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hidden="1" outlineLevel="3" x14ac:dyDescent="0.25">
      <c r="A1152" s="45"/>
      <c r="B1152" s="54"/>
      <c r="C1152" s="47">
        <f t="shared" si="296"/>
        <v>4</v>
      </c>
      <c r="D1152" s="73"/>
      <c r="E1152" s="70"/>
      <c r="F1152" s="70" t="s">
        <v>1733</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hidden="1" outlineLevel="3" x14ac:dyDescent="0.25">
      <c r="A1153" s="45"/>
      <c r="B1153" s="54"/>
      <c r="C1153" s="47">
        <f t="shared" si="296"/>
        <v>4</v>
      </c>
      <c r="D1153" s="73"/>
      <c r="E1153" s="70"/>
      <c r="F1153" s="70" t="s">
        <v>1734</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hidden="1" outlineLevel="3" x14ac:dyDescent="0.25">
      <c r="A1154" s="45"/>
      <c r="B1154" s="54"/>
      <c r="C1154" s="47">
        <f t="shared" si="296"/>
        <v>4</v>
      </c>
      <c r="D1154" s="73"/>
      <c r="E1154" s="70"/>
      <c r="F1154" s="70" t="s">
        <v>1735</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hidden="1" outlineLevel="3" x14ac:dyDescent="0.25">
      <c r="A1155" s="45"/>
      <c r="B1155" s="54"/>
      <c r="C1155" s="47">
        <f t="shared" si="296"/>
        <v>4</v>
      </c>
      <c r="D1155" s="73"/>
      <c r="E1155" s="70"/>
      <c r="F1155" s="70" t="s">
        <v>1736</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hidden="1" outlineLevel="3" x14ac:dyDescent="0.25">
      <c r="A1156" s="45"/>
      <c r="B1156" s="54"/>
      <c r="C1156" s="47">
        <f t="shared" si="296"/>
        <v>4</v>
      </c>
      <c r="D1156" s="73"/>
      <c r="E1156" s="70"/>
      <c r="F1156" s="70" t="s">
        <v>1737</v>
      </c>
      <c r="G1156" s="73"/>
      <c r="H1156" s="76" t="s">
        <v>604</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296"/>
        <v>4</v>
      </c>
      <c r="D1157" s="73"/>
      <c r="E1157" s="70"/>
      <c r="F1157" s="70" t="s">
        <v>1738</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296"/>
        <v>4</v>
      </c>
      <c r="D1158" s="73"/>
      <c r="E1158" s="70"/>
      <c r="F1158" s="70" t="s">
        <v>1739</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296"/>
        <v>4</v>
      </c>
      <c r="D1159" s="73"/>
      <c r="E1159" s="70"/>
      <c r="F1159" s="70" t="s">
        <v>1740</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296"/>
        <v>4</v>
      </c>
      <c r="D1160" s="73"/>
      <c r="E1160" s="70"/>
      <c r="F1160" s="70" t="s">
        <v>1741</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296"/>
        <v>4</v>
      </c>
      <c r="D1161" s="73"/>
      <c r="E1161" s="70"/>
      <c r="F1161" s="70" t="s">
        <v>1742</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296"/>
        <v>4</v>
      </c>
      <c r="D1162" s="73"/>
      <c r="E1162" s="70"/>
      <c r="F1162" s="70" t="s">
        <v>1743</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296"/>
        <v>4</v>
      </c>
      <c r="D1163" s="73"/>
      <c r="E1163" s="70"/>
      <c r="F1163" s="70" t="s">
        <v>1744</v>
      </c>
      <c r="G1163" s="73"/>
      <c r="H1163" s="76"/>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296"/>
        <v>4</v>
      </c>
      <c r="D1164" s="73"/>
      <c r="E1164" s="70"/>
      <c r="F1164" s="70" t="s">
        <v>1745</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296"/>
        <v>4</v>
      </c>
      <c r="D1165" s="73"/>
      <c r="E1165" s="70"/>
      <c r="F1165" s="70" t="s">
        <v>1746</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296"/>
        <v>4</v>
      </c>
      <c r="D1166" s="73"/>
      <c r="E1166" s="70"/>
      <c r="F1166" s="70" t="s">
        <v>1747</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296"/>
        <v>4</v>
      </c>
      <c r="D1167" s="73"/>
      <c r="E1167" s="70"/>
      <c r="F1167" s="70" t="s">
        <v>1748</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296"/>
        <v>4</v>
      </c>
      <c r="D1168" s="73"/>
      <c r="E1168" s="70"/>
      <c r="F1168" s="70" t="s">
        <v>1749</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296"/>
        <v>4</v>
      </c>
      <c r="D1169" s="73"/>
      <c r="E1169" s="70"/>
      <c r="F1169" s="70" t="s">
        <v>1750</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296"/>
        <v>4</v>
      </c>
      <c r="D1170" s="73"/>
      <c r="E1170" s="70"/>
      <c r="F1170" s="70" t="s">
        <v>1751</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296"/>
        <v>4</v>
      </c>
      <c r="D1171" s="73"/>
      <c r="E1171" s="70"/>
      <c r="F1171" s="70" t="s">
        <v>1752</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296"/>
        <v>4</v>
      </c>
      <c r="D1172" s="73"/>
      <c r="E1172" s="70"/>
      <c r="F1172" s="70" t="s">
        <v>1753</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296"/>
        <v>4</v>
      </c>
      <c r="D1173" s="73"/>
      <c r="E1173" s="70"/>
      <c r="F1173" s="70" t="s">
        <v>1754</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296"/>
        <v>4</v>
      </c>
      <c r="D1174" s="73"/>
      <c r="E1174" s="70"/>
      <c r="F1174" s="70" t="s">
        <v>1755</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296"/>
        <v>4</v>
      </c>
      <c r="D1175" s="73"/>
      <c r="E1175" s="70"/>
      <c r="F1175" s="70" t="s">
        <v>1756</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296"/>
        <v>4</v>
      </c>
      <c r="D1176" s="73"/>
      <c r="E1176" s="70"/>
      <c r="F1176" s="70" t="s">
        <v>1757</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296"/>
        <v>4</v>
      </c>
      <c r="D1177" s="73"/>
      <c r="E1177" s="70"/>
      <c r="F1177" s="70" t="s">
        <v>1758</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296"/>
        <v>4</v>
      </c>
      <c r="D1178" s="73"/>
      <c r="E1178" s="70"/>
      <c r="F1178" s="70" t="s">
        <v>1759</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296"/>
        <v>4</v>
      </c>
      <c r="D1179" s="73"/>
      <c r="E1179" s="70"/>
      <c r="F1179" s="70" t="s">
        <v>1760</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ref="C1180:C1211" si="297">INT($C$29)+3</f>
        <v>4</v>
      </c>
      <c r="D1180" s="73"/>
      <c r="E1180" s="70"/>
      <c r="F1180" s="70" t="s">
        <v>1761</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297"/>
        <v>4</v>
      </c>
      <c r="D1181" s="73"/>
      <c r="E1181" s="70"/>
      <c r="F1181" s="70" t="s">
        <v>1762</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297"/>
        <v>4</v>
      </c>
      <c r="D1182" s="73"/>
      <c r="E1182" s="70"/>
      <c r="F1182" s="70" t="s">
        <v>1763</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297"/>
        <v>4</v>
      </c>
      <c r="D1183" s="73"/>
      <c r="E1183" s="70"/>
      <c r="F1183" s="70" t="s">
        <v>1764</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297"/>
        <v>4</v>
      </c>
      <c r="D1184" s="73"/>
      <c r="E1184" s="70"/>
      <c r="F1184" s="70" t="s">
        <v>1765</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297"/>
        <v>4</v>
      </c>
      <c r="D1185" s="73"/>
      <c r="E1185" s="70"/>
      <c r="F1185" s="70" t="s">
        <v>1766</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297"/>
        <v>4</v>
      </c>
      <c r="D1186" s="73"/>
      <c r="E1186" s="70"/>
      <c r="F1186" s="70" t="s">
        <v>1767</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297"/>
        <v>4</v>
      </c>
      <c r="D1187" s="73"/>
      <c r="E1187" s="70"/>
      <c r="F1187" s="70" t="s">
        <v>1768</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297"/>
        <v>4</v>
      </c>
      <c r="D1188" s="73"/>
      <c r="E1188" s="70"/>
      <c r="F1188" s="70" t="s">
        <v>1769</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297"/>
        <v>4</v>
      </c>
      <c r="D1189" s="73"/>
      <c r="E1189" s="70"/>
      <c r="F1189" s="70" t="s">
        <v>1770</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297"/>
        <v>4</v>
      </c>
      <c r="D1190" s="73"/>
      <c r="E1190" s="70"/>
      <c r="F1190" s="70" t="s">
        <v>1771</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297"/>
        <v>4</v>
      </c>
      <c r="D1191" s="73"/>
      <c r="E1191" s="70"/>
      <c r="F1191" s="70" t="s">
        <v>1772</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297"/>
        <v>4</v>
      </c>
      <c r="D1192" s="73"/>
      <c r="E1192" s="70"/>
      <c r="F1192" s="70" t="s">
        <v>1773</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297"/>
        <v>4</v>
      </c>
      <c r="D1193" s="73"/>
      <c r="E1193" s="70"/>
      <c r="F1193" s="70" t="s">
        <v>1774</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297"/>
        <v>4</v>
      </c>
      <c r="D1194" s="73"/>
      <c r="E1194" s="70"/>
      <c r="F1194" s="70" t="s">
        <v>1775</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297"/>
        <v>4</v>
      </c>
      <c r="D1195" s="73"/>
      <c r="E1195" s="70"/>
      <c r="F1195" s="70" t="s">
        <v>1776</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297"/>
        <v>4</v>
      </c>
      <c r="D1196" s="73"/>
      <c r="E1196" s="70"/>
      <c r="F1196" s="70" t="s">
        <v>1777</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297"/>
        <v>4</v>
      </c>
      <c r="D1197" s="73"/>
      <c r="E1197" s="70"/>
      <c r="F1197" s="70" t="s">
        <v>1778</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297"/>
        <v>4</v>
      </c>
      <c r="D1198" s="73"/>
      <c r="E1198" s="70"/>
      <c r="F1198" s="70" t="s">
        <v>1779</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297"/>
        <v>4</v>
      </c>
      <c r="D1199" s="73"/>
      <c r="E1199" s="70"/>
      <c r="F1199" s="70" t="s">
        <v>1780</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297"/>
        <v>4</v>
      </c>
      <c r="D1200" s="73"/>
      <c r="E1200" s="70"/>
      <c r="F1200" s="70" t="s">
        <v>1781</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297"/>
        <v>4</v>
      </c>
      <c r="D1201" s="73"/>
      <c r="E1201" s="70"/>
      <c r="F1201" s="70" t="s">
        <v>1782</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297"/>
        <v>4</v>
      </c>
      <c r="D1202" s="73"/>
      <c r="E1202" s="70"/>
      <c r="F1202" s="70" t="s">
        <v>1783</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297"/>
        <v>4</v>
      </c>
      <c r="D1203" s="73"/>
      <c r="E1203" s="70"/>
      <c r="F1203" s="70" t="s">
        <v>1784</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297"/>
        <v>4</v>
      </c>
      <c r="D1204" s="73"/>
      <c r="E1204" s="70"/>
      <c r="F1204" s="70" t="s">
        <v>1785</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297"/>
        <v>4</v>
      </c>
      <c r="D1205" s="73"/>
      <c r="E1205" s="70"/>
      <c r="F1205" s="70" t="s">
        <v>1786</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297"/>
        <v>4</v>
      </c>
      <c r="D1206" s="73"/>
      <c r="E1206" s="70"/>
      <c r="F1206" s="70" t="s">
        <v>1787</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297"/>
        <v>4</v>
      </c>
      <c r="D1207" s="73"/>
      <c r="E1207" s="70"/>
      <c r="F1207" s="70" t="s">
        <v>1788</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297"/>
        <v>4</v>
      </c>
      <c r="D1208" s="73"/>
      <c r="E1208" s="70"/>
      <c r="F1208" s="70" t="s">
        <v>1789</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297"/>
        <v>4</v>
      </c>
      <c r="D1209" s="73"/>
      <c r="E1209" s="70"/>
      <c r="F1209" s="70" t="s">
        <v>1790</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297"/>
        <v>4</v>
      </c>
      <c r="D1210" s="73"/>
      <c r="E1210" s="70"/>
      <c r="F1210" s="70" t="s">
        <v>1791</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297"/>
        <v>4</v>
      </c>
      <c r="D1211" s="73"/>
      <c r="E1211" s="70"/>
      <c r="F1211" s="70" t="s">
        <v>1792</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ref="C1212:C1235" si="298">INT($C$29)+3</f>
        <v>4</v>
      </c>
      <c r="D1212" s="73"/>
      <c r="E1212" s="70"/>
      <c r="F1212" s="70" t="s">
        <v>1793</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298"/>
        <v>4</v>
      </c>
      <c r="D1213" s="73"/>
      <c r="E1213" s="70"/>
      <c r="F1213" s="70" t="s">
        <v>1794</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298"/>
        <v>4</v>
      </c>
      <c r="D1214" s="73"/>
      <c r="E1214" s="70"/>
      <c r="F1214" s="70" t="s">
        <v>1795</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298"/>
        <v>4</v>
      </c>
      <c r="D1215" s="73"/>
      <c r="E1215" s="70"/>
      <c r="F1215" s="70" t="s">
        <v>1796</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298"/>
        <v>4</v>
      </c>
      <c r="D1216" s="73"/>
      <c r="E1216" s="70"/>
      <c r="F1216" s="70" t="s">
        <v>1797</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298"/>
        <v>4</v>
      </c>
      <c r="D1217" s="73"/>
      <c r="E1217" s="70"/>
      <c r="F1217" s="70" t="s">
        <v>1798</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298"/>
        <v>4</v>
      </c>
      <c r="D1218" s="73"/>
      <c r="E1218" s="70"/>
      <c r="F1218" s="70" t="s">
        <v>1799</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298"/>
        <v>4</v>
      </c>
      <c r="D1219" s="73"/>
      <c r="E1219" s="70"/>
      <c r="F1219" s="70" t="s">
        <v>1800</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298"/>
        <v>4</v>
      </c>
      <c r="D1220" s="73"/>
      <c r="E1220" s="70"/>
      <c r="F1220" s="70" t="s">
        <v>1801</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298"/>
        <v>4</v>
      </c>
      <c r="D1221" s="73"/>
      <c r="E1221" s="70"/>
      <c r="F1221" s="70" t="s">
        <v>1802</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298"/>
        <v>4</v>
      </c>
      <c r="D1222" s="73"/>
      <c r="E1222" s="70"/>
      <c r="F1222" s="70" t="s">
        <v>1803</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298"/>
        <v>4</v>
      </c>
      <c r="D1223" s="73"/>
      <c r="E1223" s="70"/>
      <c r="F1223" s="70" t="s">
        <v>1804</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298"/>
        <v>4</v>
      </c>
      <c r="D1224" s="73"/>
      <c r="E1224" s="70"/>
      <c r="F1224" s="70" t="s">
        <v>1805</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298"/>
        <v>4</v>
      </c>
      <c r="D1225" s="73"/>
      <c r="E1225" s="70"/>
      <c r="F1225" s="70" t="s">
        <v>1806</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298"/>
        <v>4</v>
      </c>
      <c r="D1226" s="73"/>
      <c r="E1226" s="70"/>
      <c r="F1226" s="70" t="s">
        <v>1807</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298"/>
        <v>4</v>
      </c>
      <c r="D1227" s="73"/>
      <c r="E1227" s="70"/>
      <c r="F1227" s="70" t="s">
        <v>1808</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298"/>
        <v>4</v>
      </c>
      <c r="D1228" s="73"/>
      <c r="E1228" s="70"/>
      <c r="F1228" s="70" t="s">
        <v>1809</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298"/>
        <v>4</v>
      </c>
      <c r="D1229" s="73"/>
      <c r="E1229" s="70"/>
      <c r="F1229" s="70" t="s">
        <v>1810</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298"/>
        <v>4</v>
      </c>
      <c r="D1230" s="73"/>
      <c r="E1230" s="70"/>
      <c r="F1230" s="70" t="s">
        <v>1811</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298"/>
        <v>4</v>
      </c>
      <c r="D1231" s="73"/>
      <c r="E1231" s="70"/>
      <c r="F1231" s="70" t="s">
        <v>1812</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298"/>
        <v>4</v>
      </c>
      <c r="D1232" s="73"/>
      <c r="E1232" s="70"/>
      <c r="F1232" s="70" t="s">
        <v>1813</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298"/>
        <v>4</v>
      </c>
      <c r="D1233" s="73"/>
      <c r="E1233" s="70"/>
      <c r="F1233" s="70" t="s">
        <v>1814</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298"/>
        <v>4</v>
      </c>
      <c r="D1234" s="73"/>
      <c r="E1234" s="70"/>
      <c r="F1234" s="70" t="s">
        <v>1815</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298"/>
        <v>4</v>
      </c>
      <c r="D1235" s="73"/>
      <c r="E1235" s="70"/>
      <c r="F1235" s="70" t="s">
        <v>1816</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2" x14ac:dyDescent="0.25">
      <c r="A1236" s="45"/>
      <c r="B1236" s="54"/>
      <c r="C1236" s="47">
        <f>INT($C$29)+2</f>
        <v>3</v>
      </c>
      <c r="D1236" s="73"/>
      <c r="E1236" s="70"/>
      <c r="F1236" s="70" t="s">
        <v>1817</v>
      </c>
      <c r="G1236" s="73"/>
      <c r="H1236" s="76" t="s">
        <v>1818</v>
      </c>
      <c r="I1236" s="96" t="s">
        <v>2150</v>
      </c>
      <c r="J1236" s="96"/>
      <c r="K1236" s="76"/>
      <c r="L1236" s="76"/>
      <c r="M1236" s="76"/>
      <c r="N1236" s="76"/>
      <c r="O1236" s="76"/>
      <c r="P1236" s="76"/>
      <c r="Q1236" s="76"/>
      <c r="R1236" s="76"/>
      <c r="S1236" s="76"/>
      <c r="T1236" s="76"/>
      <c r="U1236" s="97">
        <v>1.2E-2</v>
      </c>
      <c r="V1236" s="97">
        <v>1.2E-2</v>
      </c>
      <c r="W1236" s="97">
        <v>1.2E-2</v>
      </c>
      <c r="X1236" s="97">
        <v>1.2E-2</v>
      </c>
      <c r="Y1236" s="97">
        <v>1.2E-2</v>
      </c>
      <c r="Z1236" s="255">
        <f>Y1236</f>
        <v>1.2E-2</v>
      </c>
      <c r="AA1236" s="255">
        <f>Z1236</f>
        <v>1.2E-2</v>
      </c>
      <c r="AB1236" s="255">
        <f>AA1236</f>
        <v>1.2E-2</v>
      </c>
      <c r="AC1236" s="255">
        <f>AB1236</f>
        <v>1.2E-2</v>
      </c>
      <c r="AD1236" s="255">
        <f>AC1236</f>
        <v>1.2E-2</v>
      </c>
      <c r="AE1236" s="76"/>
      <c r="AF1236" s="97" t="s">
        <v>1819</v>
      </c>
      <c r="AG1236" s="76"/>
      <c r="AH1236" s="97">
        <v>1</v>
      </c>
      <c r="AI1236" s="97">
        <v>1</v>
      </c>
      <c r="AJ1236" s="73"/>
      <c r="AK1236" s="57"/>
      <c r="AL1236" s="45"/>
      <c r="AM1236" s="45"/>
      <c r="AN1236" s="45"/>
    </row>
    <row r="1237" spans="1:40" hidden="1" outlineLevel="2" x14ac:dyDescent="0.25">
      <c r="A1237" s="45"/>
      <c r="B1237" s="54"/>
      <c r="C1237" s="47">
        <f>INT($C$29)+2</f>
        <v>3</v>
      </c>
      <c r="D1237" s="73"/>
      <c r="E1237" s="70"/>
      <c r="F1237" s="70" t="s">
        <v>1820</v>
      </c>
      <c r="G1237" s="73"/>
      <c r="H1237" s="76" t="s">
        <v>1821</v>
      </c>
      <c r="I1237" s="96"/>
      <c r="J1237" s="96"/>
      <c r="K1237" s="76"/>
      <c r="L1237" s="76"/>
      <c r="M1237" s="76"/>
      <c r="N1237" s="76"/>
      <c r="O1237" s="76"/>
      <c r="P1237" s="76"/>
      <c r="Q1237" s="76"/>
      <c r="R1237" s="76"/>
      <c r="S1237" s="76"/>
      <c r="T1237" s="76"/>
      <c r="U1237" s="280">
        <f t="shared" ref="U1237:AD1237" si="299">U1238</f>
        <v>9.9999999999999985E-3</v>
      </c>
      <c r="V1237" s="253">
        <f t="shared" si="299"/>
        <v>9.9999999999999985E-3</v>
      </c>
      <c r="W1237" s="253">
        <f t="shared" si="299"/>
        <v>9.9999999999999985E-3</v>
      </c>
      <c r="X1237" s="253">
        <f t="shared" si="299"/>
        <v>9.9999999999999985E-3</v>
      </c>
      <c r="Y1237" s="253">
        <f t="shared" si="299"/>
        <v>9.9999999999999985E-3</v>
      </c>
      <c r="Z1237" s="253">
        <f t="shared" si="299"/>
        <v>9.9999999999999985E-3</v>
      </c>
      <c r="AA1237" s="253">
        <f t="shared" si="299"/>
        <v>9.9999999999999985E-3</v>
      </c>
      <c r="AB1237" s="253">
        <f t="shared" si="299"/>
        <v>9.9999999999999985E-3</v>
      </c>
      <c r="AC1237" s="253">
        <f t="shared" si="299"/>
        <v>9.9999999999999985E-3</v>
      </c>
      <c r="AD1237" s="253">
        <f t="shared" si="299"/>
        <v>9.9999999999999985E-3</v>
      </c>
      <c r="AE1237" s="76"/>
      <c r="AF1237" s="76"/>
      <c r="AG1237" s="76"/>
      <c r="AH1237" s="253">
        <f>AH1238</f>
        <v>1</v>
      </c>
      <c r="AI1237" s="253">
        <f>AI1238</f>
        <v>1</v>
      </c>
      <c r="AJ1237" s="73"/>
      <c r="AK1237" s="57"/>
      <c r="AL1237" s="45"/>
      <c r="AM1237" s="45"/>
      <c r="AN1237" s="45"/>
    </row>
    <row r="1238" spans="1:40" hidden="1" outlineLevel="2" x14ac:dyDescent="0.25">
      <c r="A1238" s="45"/>
      <c r="B1238" s="54"/>
      <c r="C1238" s="47">
        <f>INT($C$29)+2</f>
        <v>3</v>
      </c>
      <c r="D1238" s="73"/>
      <c r="E1238" s="70"/>
      <c r="F1238" s="70" t="s">
        <v>1822</v>
      </c>
      <c r="G1238" s="73"/>
      <c r="H1238" s="76" t="s">
        <v>1823</v>
      </c>
      <c r="I1238" s="96" t="s">
        <v>2149</v>
      </c>
      <c r="J1238" s="96"/>
      <c r="K1238" s="76"/>
      <c r="L1238" s="76"/>
      <c r="M1238" s="76"/>
      <c r="N1238" s="76"/>
      <c r="O1238" s="76"/>
      <c r="P1238" s="76"/>
      <c r="Q1238" s="76"/>
      <c r="R1238" s="76"/>
      <c r="S1238" s="76"/>
      <c r="T1238" s="76"/>
      <c r="U1238" s="281">
        <f>0.022-U$1236</f>
        <v>9.9999999999999985E-3</v>
      </c>
      <c r="V1238" s="97">
        <f>0.022-V$1236</f>
        <v>9.9999999999999985E-3</v>
      </c>
      <c r="W1238" s="97">
        <f>0.022-W$1236</f>
        <v>9.9999999999999985E-3</v>
      </c>
      <c r="X1238" s="97">
        <f>0.022-X$1236</f>
        <v>9.9999999999999985E-3</v>
      </c>
      <c r="Y1238" s="97">
        <f>0.022-Y$1236</f>
        <v>9.9999999999999985E-3</v>
      </c>
      <c r="Z1238" s="255">
        <f t="shared" ref="Z1238:AD1239" si="300">Y1238</f>
        <v>9.9999999999999985E-3</v>
      </c>
      <c r="AA1238" s="255">
        <f t="shared" si="300"/>
        <v>9.9999999999999985E-3</v>
      </c>
      <c r="AB1238" s="255">
        <f t="shared" si="300"/>
        <v>9.9999999999999985E-3</v>
      </c>
      <c r="AC1238" s="255">
        <f t="shared" si="300"/>
        <v>9.9999999999999985E-3</v>
      </c>
      <c r="AD1238" s="255">
        <f t="shared" si="300"/>
        <v>9.9999999999999985E-3</v>
      </c>
      <c r="AE1238" s="76"/>
      <c r="AF1238" s="76"/>
      <c r="AG1238" s="76"/>
      <c r="AH1238" s="97">
        <v>1</v>
      </c>
      <c r="AI1238" s="97">
        <v>1</v>
      </c>
      <c r="AJ1238" s="73"/>
      <c r="AK1238" s="57"/>
      <c r="AL1238" s="45"/>
      <c r="AM1238" s="45"/>
      <c r="AN1238" s="45"/>
    </row>
    <row r="1239" spans="1:40" hidden="1" outlineLevel="2" collapsed="1" x14ac:dyDescent="0.25">
      <c r="A1239" s="45"/>
      <c r="B1239" s="54"/>
      <c r="C1239" s="47">
        <f>INT($C$29)+2</f>
        <v>3</v>
      </c>
      <c r="D1239" s="73"/>
      <c r="E1239" s="70"/>
      <c r="F1239" s="70" t="s">
        <v>1824</v>
      </c>
      <c r="G1239" s="73"/>
      <c r="H1239" s="76" t="s">
        <v>1825</v>
      </c>
      <c r="I1239" s="96" t="s">
        <v>2149</v>
      </c>
      <c r="J1239" s="96"/>
      <c r="K1239" s="76"/>
      <c r="L1239" s="76"/>
      <c r="M1239" s="76"/>
      <c r="N1239" s="76"/>
      <c r="O1239" s="76"/>
      <c r="P1239" s="76"/>
      <c r="Q1239" s="76"/>
      <c r="R1239" s="76"/>
      <c r="S1239" s="76"/>
      <c r="T1239" s="76"/>
      <c r="U1239" s="281">
        <f>0.021-U$1236</f>
        <v>9.0000000000000011E-3</v>
      </c>
      <c r="V1239" s="97">
        <f>0.021-V$1236</f>
        <v>9.0000000000000011E-3</v>
      </c>
      <c r="W1239" s="97">
        <f>0.021-W$1236</f>
        <v>9.0000000000000011E-3</v>
      </c>
      <c r="X1239" s="97">
        <f>0.021-X$1236</f>
        <v>9.0000000000000011E-3</v>
      </c>
      <c r="Y1239" s="97">
        <f>0.021-Y$1236</f>
        <v>9.0000000000000011E-3</v>
      </c>
      <c r="Z1239" s="255">
        <f t="shared" si="300"/>
        <v>9.0000000000000011E-3</v>
      </c>
      <c r="AA1239" s="255">
        <f t="shared" si="300"/>
        <v>9.0000000000000011E-3</v>
      </c>
      <c r="AB1239" s="255">
        <f t="shared" si="300"/>
        <v>9.0000000000000011E-3</v>
      </c>
      <c r="AC1239" s="255">
        <f t="shared" si="300"/>
        <v>9.0000000000000011E-3</v>
      </c>
      <c r="AD1239" s="255">
        <f t="shared" si="300"/>
        <v>9.0000000000000011E-3</v>
      </c>
      <c r="AE1239" s="76"/>
      <c r="AF1239" s="76"/>
      <c r="AG1239" s="76"/>
      <c r="AH1239" s="97">
        <v>1</v>
      </c>
      <c r="AI1239" s="97">
        <v>1</v>
      </c>
      <c r="AJ1239" s="73"/>
      <c r="AK1239" s="57"/>
      <c r="AL1239" s="45"/>
      <c r="AM1239" s="45"/>
      <c r="AN1239" s="45"/>
    </row>
    <row r="1240" spans="1:40" hidden="1" outlineLevel="3" x14ac:dyDescent="0.25">
      <c r="A1240" s="45"/>
      <c r="B1240" s="54"/>
      <c r="C1240" s="47">
        <f>INT($C$29)+3</f>
        <v>4</v>
      </c>
      <c r="D1240" s="73"/>
      <c r="E1240" s="70"/>
      <c r="F1240" s="70" t="s">
        <v>1826</v>
      </c>
      <c r="G1240" s="73"/>
      <c r="H1240" s="76" t="s">
        <v>1827</v>
      </c>
      <c r="I1240" s="76"/>
      <c r="J1240" s="76"/>
      <c r="K1240" s="76"/>
      <c r="L1240" s="76"/>
      <c r="M1240" s="76"/>
      <c r="N1240" s="76"/>
      <c r="O1240" s="76"/>
      <c r="P1240" s="76"/>
      <c r="Q1240" s="76"/>
      <c r="R1240" s="76"/>
      <c r="S1240" s="76"/>
      <c r="T1240" s="76"/>
      <c r="U1240" s="76">
        <v>0</v>
      </c>
      <c r="V1240" s="76">
        <v>0</v>
      </c>
      <c r="W1240" s="76">
        <v>0</v>
      </c>
      <c r="X1240" s="76">
        <v>0</v>
      </c>
      <c r="Y1240" s="76">
        <v>0</v>
      </c>
      <c r="Z1240" s="76">
        <v>0</v>
      </c>
      <c r="AA1240" s="76">
        <v>0</v>
      </c>
      <c r="AB1240" s="76">
        <v>0</v>
      </c>
      <c r="AC1240" s="76">
        <v>0</v>
      </c>
      <c r="AD1240" s="76">
        <v>0</v>
      </c>
      <c r="AE1240" s="76"/>
      <c r="AF1240" s="76"/>
      <c r="AG1240" s="76"/>
      <c r="AH1240" s="76">
        <v>1</v>
      </c>
      <c r="AI1240" s="76">
        <v>1</v>
      </c>
      <c r="AJ1240" s="73"/>
      <c r="AK1240" s="57"/>
      <c r="AL1240" s="45"/>
      <c r="AM1240" s="45"/>
      <c r="AN1240" s="45"/>
    </row>
    <row r="1241" spans="1:40" hidden="1" outlineLevel="3" x14ac:dyDescent="0.25">
      <c r="A1241" s="45"/>
      <c r="B1241" s="54"/>
      <c r="C1241" s="47">
        <f>INT($C$29)+3</f>
        <v>4</v>
      </c>
      <c r="D1241" s="73"/>
      <c r="E1241" s="70"/>
      <c r="F1241" s="70" t="s">
        <v>1828</v>
      </c>
      <c r="G1241" s="73"/>
      <c r="H1241" s="76" t="s">
        <v>1829</v>
      </c>
      <c r="I1241" s="76"/>
      <c r="J1241" s="76"/>
      <c r="K1241" s="76"/>
      <c r="L1241" s="76"/>
      <c r="M1241" s="76"/>
      <c r="N1241" s="76"/>
      <c r="O1241" s="76"/>
      <c r="P1241" s="76"/>
      <c r="Q1241" s="76"/>
      <c r="R1241" s="76"/>
      <c r="S1241" s="76"/>
      <c r="T1241" s="76"/>
      <c r="U1241" s="76">
        <v>0</v>
      </c>
      <c r="V1241" s="76">
        <v>0</v>
      </c>
      <c r="W1241" s="76">
        <v>0</v>
      </c>
      <c r="X1241" s="76">
        <v>0</v>
      </c>
      <c r="Y1241" s="76">
        <v>0</v>
      </c>
      <c r="Z1241" s="76">
        <v>0</v>
      </c>
      <c r="AA1241" s="76">
        <v>0</v>
      </c>
      <c r="AB1241" s="76">
        <v>0</v>
      </c>
      <c r="AC1241" s="76">
        <v>0</v>
      </c>
      <c r="AD1241" s="76">
        <v>0</v>
      </c>
      <c r="AE1241" s="76"/>
      <c r="AF1241" s="76"/>
      <c r="AG1241" s="76"/>
      <c r="AH1241" s="76">
        <v>1</v>
      </c>
      <c r="AI1241" s="76">
        <v>1</v>
      </c>
      <c r="AJ1241" s="73"/>
      <c r="AK1241" s="57"/>
      <c r="AL1241" s="45"/>
      <c r="AM1241" s="45"/>
      <c r="AN1241" s="45"/>
    </row>
    <row r="1242" spans="1:40" hidden="1" outlineLevel="3" x14ac:dyDescent="0.25">
      <c r="A1242" s="45"/>
      <c r="B1242" s="54"/>
      <c r="C1242" s="47">
        <f>INT($C$29)+3</f>
        <v>4</v>
      </c>
      <c r="D1242" s="73"/>
      <c r="E1242" s="70"/>
      <c r="F1242" s="70" t="s">
        <v>1830</v>
      </c>
      <c r="G1242" s="73"/>
      <c r="H1242" s="76" t="s">
        <v>1831</v>
      </c>
      <c r="I1242" s="76"/>
      <c r="J1242" s="76"/>
      <c r="K1242" s="76"/>
      <c r="L1242" s="76"/>
      <c r="M1242" s="76"/>
      <c r="N1242" s="76"/>
      <c r="O1242" s="76"/>
      <c r="P1242" s="76"/>
      <c r="Q1242" s="76"/>
      <c r="R1242" s="76"/>
      <c r="S1242" s="76"/>
      <c r="T1242" s="76"/>
      <c r="U1242" s="76">
        <v>0</v>
      </c>
      <c r="V1242" s="76">
        <v>0</v>
      </c>
      <c r="W1242" s="76">
        <v>0</v>
      </c>
      <c r="X1242" s="76">
        <v>0</v>
      </c>
      <c r="Y1242" s="76">
        <v>0</v>
      </c>
      <c r="Z1242" s="76">
        <v>0</v>
      </c>
      <c r="AA1242" s="76">
        <v>0</v>
      </c>
      <c r="AB1242" s="76">
        <v>0</v>
      </c>
      <c r="AC1242" s="76">
        <v>0</v>
      </c>
      <c r="AD1242" s="76">
        <v>0</v>
      </c>
      <c r="AE1242" s="76"/>
      <c r="AF1242" s="76"/>
      <c r="AG1242" s="76"/>
      <c r="AH1242" s="76">
        <v>1</v>
      </c>
      <c r="AI1242" s="76">
        <v>1</v>
      </c>
      <c r="AJ1242" s="73"/>
      <c r="AK1242" s="57"/>
      <c r="AL1242" s="45"/>
      <c r="AM1242" s="45"/>
      <c r="AN1242" s="45"/>
    </row>
    <row r="1243" spans="1:40" hidden="1" outlineLevel="2" x14ac:dyDescent="0.25">
      <c r="A1243" s="45"/>
      <c r="B1243" s="54"/>
      <c r="C1243" s="47">
        <f>INT($C$29)+2</f>
        <v>3</v>
      </c>
      <c r="D1243" s="73"/>
      <c r="E1243" s="70"/>
      <c r="F1243" s="70" t="s">
        <v>1832</v>
      </c>
      <c r="G1243" s="73"/>
      <c r="H1243" s="76" t="s">
        <v>1833</v>
      </c>
      <c r="I1243" s="76"/>
      <c r="J1243" s="76"/>
      <c r="K1243" s="76"/>
      <c r="L1243" s="76"/>
      <c r="M1243" s="76"/>
      <c r="N1243" s="76"/>
      <c r="O1243" s="76"/>
      <c r="P1243" s="76"/>
      <c r="Q1243" s="76"/>
      <c r="R1243" s="76"/>
      <c r="S1243" s="76"/>
      <c r="T1243" s="76"/>
      <c r="U1243" s="97">
        <v>0</v>
      </c>
      <c r="V1243" s="97">
        <v>0</v>
      </c>
      <c r="W1243" s="97">
        <v>0</v>
      </c>
      <c r="X1243" s="97">
        <v>0</v>
      </c>
      <c r="Y1243" s="97">
        <v>0</v>
      </c>
      <c r="Z1243" s="255">
        <f t="shared" ref="Z1243:AD1244" si="301">Y1243</f>
        <v>0</v>
      </c>
      <c r="AA1243" s="255">
        <f t="shared" si="301"/>
        <v>0</v>
      </c>
      <c r="AB1243" s="255">
        <f t="shared" si="301"/>
        <v>0</v>
      </c>
      <c r="AC1243" s="255">
        <f t="shared" si="301"/>
        <v>0</v>
      </c>
      <c r="AD1243" s="255">
        <f t="shared" si="301"/>
        <v>0</v>
      </c>
      <c r="AE1243" s="76"/>
      <c r="AF1243" s="97" t="s">
        <v>2147</v>
      </c>
      <c r="AG1243" s="76"/>
      <c r="AH1243" s="97">
        <v>1</v>
      </c>
      <c r="AI1243" s="97">
        <v>1</v>
      </c>
      <c r="AJ1243" s="73"/>
      <c r="AK1243" s="57"/>
      <c r="AL1243" s="45"/>
      <c r="AM1243" s="45"/>
      <c r="AN1243" s="45"/>
    </row>
    <row r="1244" spans="1:40" hidden="1" outlineLevel="2" x14ac:dyDescent="0.25">
      <c r="A1244" s="45"/>
      <c r="B1244" s="54"/>
      <c r="C1244" s="47">
        <f>INT($C$29)+2</f>
        <v>3</v>
      </c>
      <c r="D1244" s="73"/>
      <c r="E1244" s="70"/>
      <c r="F1244" s="70" t="s">
        <v>1834</v>
      </c>
      <c r="G1244" s="73"/>
      <c r="H1244" s="76" t="s">
        <v>1835</v>
      </c>
      <c r="I1244" s="96" t="s">
        <v>2152</v>
      </c>
      <c r="J1244" s="96"/>
      <c r="K1244" s="76"/>
      <c r="L1244" s="76"/>
      <c r="M1244" s="76"/>
      <c r="N1244" s="76"/>
      <c r="O1244" s="76"/>
      <c r="P1244" s="76"/>
      <c r="Q1244" s="76"/>
      <c r="R1244" s="76"/>
      <c r="S1244" s="76"/>
      <c r="T1244" s="76"/>
      <c r="U1244" s="97">
        <v>0</v>
      </c>
      <c r="V1244" s="97">
        <v>0</v>
      </c>
      <c r="W1244" s="97">
        <v>0</v>
      </c>
      <c r="X1244" s="97">
        <v>0</v>
      </c>
      <c r="Y1244" s="97">
        <v>0</v>
      </c>
      <c r="Z1244" s="255">
        <f t="shared" si="301"/>
        <v>0</v>
      </c>
      <c r="AA1244" s="255">
        <f t="shared" si="301"/>
        <v>0</v>
      </c>
      <c r="AB1244" s="255">
        <f t="shared" si="301"/>
        <v>0</v>
      </c>
      <c r="AC1244" s="255">
        <f t="shared" si="301"/>
        <v>0</v>
      </c>
      <c r="AD1244" s="255">
        <f t="shared" si="301"/>
        <v>0</v>
      </c>
      <c r="AE1244" s="76"/>
      <c r="AF1244" s="97" t="s">
        <v>1836</v>
      </c>
      <c r="AG1244" s="76"/>
      <c r="AH1244" s="97">
        <v>1</v>
      </c>
      <c r="AI1244" s="97">
        <v>1</v>
      </c>
      <c r="AJ1244" s="73"/>
      <c r="AK1244" s="57"/>
      <c r="AL1244" s="45"/>
      <c r="AM1244" s="45"/>
      <c r="AN1244" s="45"/>
    </row>
    <row r="1245" spans="1:40" hidden="1" outlineLevel="2" x14ac:dyDescent="0.25">
      <c r="A1245" s="45"/>
      <c r="B1245" s="54"/>
      <c r="C1245" s="47">
        <f>INT($C$29)+2</f>
        <v>3</v>
      </c>
      <c r="D1245" s="73"/>
      <c r="E1245" s="70"/>
      <c r="F1245" s="70" t="s">
        <v>1837</v>
      </c>
      <c r="G1245" s="73"/>
      <c r="H1245" s="76" t="s">
        <v>1838</v>
      </c>
      <c r="I1245" s="96"/>
      <c r="J1245" s="96"/>
      <c r="K1245" s="76"/>
      <c r="L1245" s="76"/>
      <c r="M1245" s="76"/>
      <c r="N1245" s="76"/>
      <c r="O1245" s="76"/>
      <c r="P1245" s="76"/>
      <c r="Q1245" s="76"/>
      <c r="R1245" s="76"/>
      <c r="S1245" s="76"/>
      <c r="T1245" s="76"/>
      <c r="U1245" s="253">
        <f t="shared" ref="U1245:AD1245" si="302">U1246</f>
        <v>-1.9E-2</v>
      </c>
      <c r="V1245" s="253">
        <f t="shared" si="302"/>
        <v>-1.9E-2</v>
      </c>
      <c r="W1245" s="253">
        <f t="shared" si="302"/>
        <v>-1.9E-2</v>
      </c>
      <c r="X1245" s="253">
        <f t="shared" si="302"/>
        <v>-1.9E-2</v>
      </c>
      <c r="Y1245" s="253">
        <f t="shared" si="302"/>
        <v>-1.9E-2</v>
      </c>
      <c r="Z1245" s="253">
        <f t="shared" si="302"/>
        <v>-1.9E-2</v>
      </c>
      <c r="AA1245" s="253">
        <f t="shared" si="302"/>
        <v>-1.9E-2</v>
      </c>
      <c r="AB1245" s="253">
        <f t="shared" si="302"/>
        <v>-1.9E-2</v>
      </c>
      <c r="AC1245" s="253">
        <f t="shared" si="302"/>
        <v>-1.9E-2</v>
      </c>
      <c r="AD1245" s="253">
        <f t="shared" si="302"/>
        <v>-1.9E-2</v>
      </c>
      <c r="AE1245" s="76"/>
      <c r="AF1245" s="76"/>
      <c r="AG1245" s="76"/>
      <c r="AH1245" s="253">
        <f>AH1246</f>
        <v>1</v>
      </c>
      <c r="AI1245" s="253">
        <f>AI1246</f>
        <v>1</v>
      </c>
      <c r="AJ1245" s="73"/>
      <c r="AK1245" s="57"/>
      <c r="AL1245" s="45"/>
      <c r="AM1245" s="45"/>
      <c r="AN1245" s="45"/>
    </row>
    <row r="1246" spans="1:40" hidden="1" outlineLevel="2" x14ac:dyDescent="0.25">
      <c r="A1246" s="45"/>
      <c r="B1246" s="54"/>
      <c r="C1246" s="47">
        <f>INT($C$29)+2</f>
        <v>3</v>
      </c>
      <c r="D1246" s="73"/>
      <c r="E1246" s="70"/>
      <c r="F1246" s="70" t="s">
        <v>1839</v>
      </c>
      <c r="G1246" s="73"/>
      <c r="H1246" s="76" t="s">
        <v>1840</v>
      </c>
      <c r="I1246" s="96" t="s">
        <v>2151</v>
      </c>
      <c r="J1246" s="96"/>
      <c r="K1246" s="76"/>
      <c r="L1246" s="76"/>
      <c r="M1246" s="76"/>
      <c r="N1246" s="76"/>
      <c r="O1246" s="76"/>
      <c r="P1246" s="76"/>
      <c r="Q1246" s="76"/>
      <c r="R1246" s="76"/>
      <c r="S1246" s="76"/>
      <c r="T1246" s="76"/>
      <c r="U1246" s="97">
        <f>-0.019-U$1244</f>
        <v>-1.9E-2</v>
      </c>
      <c r="V1246" s="97">
        <f>-0.019-V$1244</f>
        <v>-1.9E-2</v>
      </c>
      <c r="W1246" s="97">
        <f>-0.019-W$1244</f>
        <v>-1.9E-2</v>
      </c>
      <c r="X1246" s="97">
        <f>-0.019-X$1244</f>
        <v>-1.9E-2</v>
      </c>
      <c r="Y1246" s="97">
        <f>-0.019-Y$1244</f>
        <v>-1.9E-2</v>
      </c>
      <c r="Z1246" s="255">
        <f t="shared" ref="Z1246:AD1247" si="303">Y1246</f>
        <v>-1.9E-2</v>
      </c>
      <c r="AA1246" s="255">
        <f t="shared" si="303"/>
        <v>-1.9E-2</v>
      </c>
      <c r="AB1246" s="255">
        <f t="shared" si="303"/>
        <v>-1.9E-2</v>
      </c>
      <c r="AC1246" s="255">
        <f t="shared" si="303"/>
        <v>-1.9E-2</v>
      </c>
      <c r="AD1246" s="255">
        <f t="shared" si="303"/>
        <v>-1.9E-2</v>
      </c>
      <c r="AE1246" s="76"/>
      <c r="AF1246" s="76"/>
      <c r="AG1246" s="76"/>
      <c r="AH1246" s="97">
        <v>1</v>
      </c>
      <c r="AI1246" s="97">
        <v>1</v>
      </c>
      <c r="AJ1246" s="73"/>
      <c r="AK1246" s="57"/>
      <c r="AL1246" s="45"/>
      <c r="AM1246" s="45"/>
      <c r="AN1246" s="45"/>
    </row>
    <row r="1247" spans="1:40" hidden="1" outlineLevel="2" collapsed="1" x14ac:dyDescent="0.25">
      <c r="A1247" s="45"/>
      <c r="B1247" s="54"/>
      <c r="C1247" s="47">
        <f>INT($C$29)+2</f>
        <v>3</v>
      </c>
      <c r="D1247" s="73"/>
      <c r="E1247" s="70"/>
      <c r="F1247" s="70" t="s">
        <v>1841</v>
      </c>
      <c r="G1247" s="73"/>
      <c r="H1247" s="76" t="s">
        <v>1842</v>
      </c>
      <c r="I1247" s="96" t="s">
        <v>2151</v>
      </c>
      <c r="J1247" s="96"/>
      <c r="K1247" s="76"/>
      <c r="L1247" s="76"/>
      <c r="M1247" s="76"/>
      <c r="N1247" s="76"/>
      <c r="O1247" s="76"/>
      <c r="P1247" s="76"/>
      <c r="Q1247" s="76"/>
      <c r="R1247" s="76"/>
      <c r="S1247" s="76"/>
      <c r="T1247" s="76"/>
      <c r="U1247" s="97">
        <f>-0.031-U$1244</f>
        <v>-3.1E-2</v>
      </c>
      <c r="V1247" s="97">
        <f>-0.031-V$1244</f>
        <v>-3.1E-2</v>
      </c>
      <c r="W1247" s="97">
        <f>-0.031-W$1244</f>
        <v>-3.1E-2</v>
      </c>
      <c r="X1247" s="97">
        <f>-0.031-X$1244</f>
        <v>-3.1E-2</v>
      </c>
      <c r="Y1247" s="97">
        <f>-0.031-Y$1244</f>
        <v>-3.1E-2</v>
      </c>
      <c r="Z1247" s="255">
        <f t="shared" si="303"/>
        <v>-3.1E-2</v>
      </c>
      <c r="AA1247" s="255">
        <f t="shared" si="303"/>
        <v>-3.1E-2</v>
      </c>
      <c r="AB1247" s="255">
        <f t="shared" si="303"/>
        <v>-3.1E-2</v>
      </c>
      <c r="AC1247" s="255">
        <f t="shared" si="303"/>
        <v>-3.1E-2</v>
      </c>
      <c r="AD1247" s="255">
        <f t="shared" si="303"/>
        <v>-3.1E-2</v>
      </c>
      <c r="AE1247" s="76"/>
      <c r="AF1247" s="76"/>
      <c r="AG1247" s="76"/>
      <c r="AH1247" s="97">
        <v>1</v>
      </c>
      <c r="AI1247" s="97">
        <v>1</v>
      </c>
      <c r="AJ1247" s="73"/>
      <c r="AK1247" s="57"/>
      <c r="AL1247" s="45"/>
      <c r="AM1247" s="45"/>
      <c r="AN1247" s="45"/>
    </row>
    <row r="1248" spans="1:40" hidden="1" outlineLevel="3" x14ac:dyDescent="0.25">
      <c r="A1248" s="45"/>
      <c r="B1248" s="54"/>
      <c r="C1248" s="47">
        <f>INT($C$29)+3</f>
        <v>4</v>
      </c>
      <c r="D1248" s="73"/>
      <c r="E1248" s="70"/>
      <c r="F1248" s="70" t="s">
        <v>1843</v>
      </c>
      <c r="G1248" s="73"/>
      <c r="H1248" s="76" t="s">
        <v>1844</v>
      </c>
      <c r="I1248" s="76"/>
      <c r="J1248" s="76"/>
      <c r="K1248" s="76"/>
      <c r="L1248" s="76"/>
      <c r="M1248" s="76"/>
      <c r="N1248" s="76"/>
      <c r="O1248" s="76"/>
      <c r="P1248" s="76"/>
      <c r="Q1248" s="76"/>
      <c r="R1248" s="76"/>
      <c r="S1248" s="76"/>
      <c r="T1248" s="76"/>
      <c r="U1248" s="76">
        <v>0</v>
      </c>
      <c r="V1248" s="76">
        <v>0</v>
      </c>
      <c r="W1248" s="76">
        <v>0</v>
      </c>
      <c r="X1248" s="76">
        <v>0</v>
      </c>
      <c r="Y1248" s="76">
        <v>0</v>
      </c>
      <c r="Z1248" s="76">
        <v>0</v>
      </c>
      <c r="AA1248" s="76">
        <v>0</v>
      </c>
      <c r="AB1248" s="76">
        <v>0</v>
      </c>
      <c r="AC1248" s="76">
        <v>0</v>
      </c>
      <c r="AD1248" s="76">
        <v>0</v>
      </c>
      <c r="AE1248" s="76"/>
      <c r="AF1248" s="76"/>
      <c r="AG1248" s="76"/>
      <c r="AH1248" s="76">
        <v>1</v>
      </c>
      <c r="AI1248" s="76">
        <v>1</v>
      </c>
      <c r="AJ1248" s="73"/>
      <c r="AK1248" s="57"/>
      <c r="AL1248" s="45"/>
      <c r="AM1248" s="45"/>
      <c r="AN1248" s="45"/>
    </row>
    <row r="1249" spans="1:40" hidden="1" outlineLevel="3" x14ac:dyDescent="0.25">
      <c r="A1249" s="45"/>
      <c r="B1249" s="54"/>
      <c r="C1249" s="47">
        <f>INT($C$29)+3</f>
        <v>4</v>
      </c>
      <c r="D1249" s="73"/>
      <c r="E1249" s="70"/>
      <c r="F1249" s="70" t="s">
        <v>1845</v>
      </c>
      <c r="G1249" s="73"/>
      <c r="H1249" s="76" t="s">
        <v>1846</v>
      </c>
      <c r="I1249" s="76"/>
      <c r="J1249" s="76"/>
      <c r="K1249" s="76"/>
      <c r="L1249" s="76"/>
      <c r="M1249" s="76"/>
      <c r="N1249" s="76"/>
      <c r="O1249" s="76"/>
      <c r="P1249" s="76"/>
      <c r="Q1249" s="76"/>
      <c r="R1249" s="76"/>
      <c r="S1249" s="76"/>
      <c r="T1249" s="76"/>
      <c r="U1249" s="76">
        <v>0</v>
      </c>
      <c r="V1249" s="76">
        <v>0</v>
      </c>
      <c r="W1249" s="76">
        <v>0</v>
      </c>
      <c r="X1249" s="76">
        <v>0</v>
      </c>
      <c r="Y1249" s="76">
        <v>0</v>
      </c>
      <c r="Z1249" s="76">
        <v>0</v>
      </c>
      <c r="AA1249" s="76">
        <v>0</v>
      </c>
      <c r="AB1249" s="76">
        <v>0</v>
      </c>
      <c r="AC1249" s="76">
        <v>0</v>
      </c>
      <c r="AD1249" s="76">
        <v>0</v>
      </c>
      <c r="AE1249" s="76"/>
      <c r="AF1249" s="76"/>
      <c r="AG1249" s="76"/>
      <c r="AH1249" s="76">
        <v>1</v>
      </c>
      <c r="AI1249" s="76">
        <v>1</v>
      </c>
      <c r="AJ1249" s="73"/>
      <c r="AK1249" s="57"/>
      <c r="AL1249" s="45"/>
      <c r="AM1249" s="45"/>
      <c r="AN1249" s="45"/>
    </row>
    <row r="1250" spans="1:40" hidden="1" outlineLevel="3" x14ac:dyDescent="0.25">
      <c r="A1250" s="45"/>
      <c r="B1250" s="54"/>
      <c r="C1250" s="47">
        <f>INT($C$29)+3</f>
        <v>4</v>
      </c>
      <c r="D1250" s="73"/>
      <c r="E1250" s="70"/>
      <c r="F1250" s="70" t="s">
        <v>1847</v>
      </c>
      <c r="G1250" s="73"/>
      <c r="H1250" s="76" t="s">
        <v>1848</v>
      </c>
      <c r="I1250" s="76"/>
      <c r="J1250" s="76"/>
      <c r="K1250" s="76"/>
      <c r="L1250" s="76"/>
      <c r="M1250" s="76"/>
      <c r="N1250" s="76"/>
      <c r="O1250" s="76"/>
      <c r="P1250" s="76"/>
      <c r="Q1250" s="76"/>
      <c r="R1250" s="76"/>
      <c r="S1250" s="76"/>
      <c r="T1250" s="76"/>
      <c r="U1250" s="76">
        <v>0</v>
      </c>
      <c r="V1250" s="76">
        <v>0</v>
      </c>
      <c r="W1250" s="76">
        <v>0</v>
      </c>
      <c r="X1250" s="76">
        <v>0</v>
      </c>
      <c r="Y1250" s="76">
        <v>0</v>
      </c>
      <c r="Z1250" s="76">
        <v>0</v>
      </c>
      <c r="AA1250" s="76">
        <v>0</v>
      </c>
      <c r="AB1250" s="76">
        <v>0</v>
      </c>
      <c r="AC1250" s="76">
        <v>0</v>
      </c>
      <c r="AD1250" s="76">
        <v>0</v>
      </c>
      <c r="AE1250" s="76"/>
      <c r="AF1250" s="76"/>
      <c r="AG1250" s="76"/>
      <c r="AH1250" s="76">
        <v>1</v>
      </c>
      <c r="AI1250" s="76">
        <v>1</v>
      </c>
      <c r="AJ1250" s="73"/>
      <c r="AK1250" s="57"/>
      <c r="AL1250" s="45"/>
      <c r="AM1250" s="45"/>
      <c r="AN1250" s="45"/>
    </row>
    <row r="1251" spans="1:40" hidden="1" outlineLevel="2" collapsed="1" x14ac:dyDescent="0.25">
      <c r="A1251" s="45"/>
      <c r="B1251" s="54"/>
      <c r="C1251" s="47">
        <f>INT($C$29)+2</f>
        <v>3</v>
      </c>
      <c r="D1251" s="73"/>
      <c r="E1251" s="70"/>
      <c r="F1251" s="70" t="s">
        <v>1849</v>
      </c>
      <c r="G1251" s="73"/>
      <c r="H1251" s="76" t="s">
        <v>1728</v>
      </c>
      <c r="I1251" s="76"/>
      <c r="J1251" s="76"/>
      <c r="K1251" s="76"/>
      <c r="L1251" s="76"/>
      <c r="M1251" s="76"/>
      <c r="N1251" s="76"/>
      <c r="O1251" s="76"/>
      <c r="P1251" s="76"/>
      <c r="Q1251" s="76"/>
      <c r="R1251" s="76"/>
      <c r="S1251" s="76"/>
      <c r="T1251" s="76"/>
      <c r="U1251" s="97">
        <v>0</v>
      </c>
      <c r="V1251" s="97">
        <v>0</v>
      </c>
      <c r="W1251" s="97">
        <v>0</v>
      </c>
      <c r="X1251" s="97">
        <v>0</v>
      </c>
      <c r="Y1251" s="97">
        <v>0</v>
      </c>
      <c r="Z1251" s="255">
        <f>Y1251</f>
        <v>0</v>
      </c>
      <c r="AA1251" s="255">
        <f>Z1251</f>
        <v>0</v>
      </c>
      <c r="AB1251" s="255">
        <f>AA1251</f>
        <v>0</v>
      </c>
      <c r="AC1251" s="255">
        <f>AB1251</f>
        <v>0</v>
      </c>
      <c r="AD1251" s="255">
        <f>AC1251</f>
        <v>0</v>
      </c>
      <c r="AE1251" s="76"/>
      <c r="AF1251" s="97" t="s">
        <v>2147</v>
      </c>
      <c r="AG1251" s="76"/>
      <c r="AH1251" s="97">
        <v>1</v>
      </c>
      <c r="AI1251" s="97">
        <v>1</v>
      </c>
      <c r="AJ1251" s="73"/>
      <c r="AK1251" s="57"/>
      <c r="AL1251" s="45"/>
      <c r="AM1251" s="45"/>
      <c r="AN1251" s="45"/>
    </row>
    <row r="1252" spans="1:40" hidden="1" outlineLevel="3" x14ac:dyDescent="0.25">
      <c r="A1252" s="45"/>
      <c r="B1252" s="54"/>
      <c r="C1252" s="47">
        <f t="shared" ref="C1252:C1267" si="304">INT($C$29)+3</f>
        <v>4</v>
      </c>
      <c r="D1252" s="73"/>
      <c r="E1252" s="70"/>
      <c r="F1252" s="70" t="s">
        <v>1850</v>
      </c>
      <c r="G1252" s="73"/>
      <c r="H1252" s="76" t="s">
        <v>604</v>
      </c>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304"/>
        <v>4</v>
      </c>
      <c r="D1253" s="73"/>
      <c r="E1253" s="70"/>
      <c r="F1253" s="70" t="s">
        <v>1851</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25">
      <c r="A1254" s="45"/>
      <c r="B1254" s="54"/>
      <c r="C1254" s="47">
        <f t="shared" si="304"/>
        <v>4</v>
      </c>
      <c r="D1254" s="73"/>
      <c r="E1254" s="70"/>
      <c r="F1254" s="70" t="s">
        <v>1852</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3" x14ac:dyDescent="0.25">
      <c r="A1255" s="45"/>
      <c r="B1255" s="54"/>
      <c r="C1255" s="47">
        <f t="shared" si="304"/>
        <v>4</v>
      </c>
      <c r="D1255" s="73"/>
      <c r="E1255" s="70"/>
      <c r="F1255" s="70" t="s">
        <v>1853</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hidden="1" outlineLevel="3" x14ac:dyDescent="0.25">
      <c r="A1256" s="45"/>
      <c r="B1256" s="54"/>
      <c r="C1256" s="47">
        <f t="shared" si="304"/>
        <v>4</v>
      </c>
      <c r="D1256" s="73"/>
      <c r="E1256" s="70"/>
      <c r="F1256" s="70" t="s">
        <v>1854</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hidden="1" outlineLevel="3" x14ac:dyDescent="0.25">
      <c r="A1257" s="45"/>
      <c r="B1257" s="54"/>
      <c r="C1257" s="47">
        <f t="shared" si="304"/>
        <v>4</v>
      </c>
      <c r="D1257" s="73"/>
      <c r="E1257" s="70"/>
      <c r="F1257" s="70" t="s">
        <v>1855</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hidden="1" outlineLevel="3" x14ac:dyDescent="0.25">
      <c r="A1258" s="45"/>
      <c r="B1258" s="54"/>
      <c r="C1258" s="47">
        <f t="shared" si="304"/>
        <v>4</v>
      </c>
      <c r="D1258" s="73"/>
      <c r="E1258" s="70"/>
      <c r="F1258" s="70" t="s">
        <v>1856</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hidden="1" outlineLevel="3" x14ac:dyDescent="0.25">
      <c r="A1259" s="45"/>
      <c r="B1259" s="54"/>
      <c r="C1259" s="47">
        <f t="shared" si="304"/>
        <v>4</v>
      </c>
      <c r="D1259" s="73"/>
      <c r="E1259" s="70"/>
      <c r="F1259" s="70" t="s">
        <v>1857</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v>1</v>
      </c>
      <c r="AI1259" s="76">
        <v>1</v>
      </c>
      <c r="AJ1259" s="73"/>
      <c r="AK1259" s="57"/>
      <c r="AL1259" s="45"/>
      <c r="AM1259" s="45"/>
      <c r="AN1259" s="45"/>
    </row>
    <row r="1260" spans="1:40" hidden="1" outlineLevel="3" x14ac:dyDescent="0.25">
      <c r="A1260" s="45"/>
      <c r="B1260" s="54"/>
      <c r="C1260" s="47">
        <f t="shared" si="304"/>
        <v>4</v>
      </c>
      <c r="D1260" s="73"/>
      <c r="E1260" s="70"/>
      <c r="F1260" s="70" t="s">
        <v>1858</v>
      </c>
      <c r="G1260" s="73"/>
      <c r="H1260" s="76" t="s">
        <v>604</v>
      </c>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v>1</v>
      </c>
      <c r="AI1260" s="76">
        <v>1</v>
      </c>
      <c r="AJ1260" s="73"/>
      <c r="AK1260" s="57"/>
      <c r="AL1260" s="45"/>
      <c r="AM1260" s="45"/>
      <c r="AN1260" s="45"/>
    </row>
    <row r="1261" spans="1:40" hidden="1" outlineLevel="3" x14ac:dyDescent="0.25">
      <c r="A1261" s="45"/>
      <c r="B1261" s="54"/>
      <c r="C1261" s="47">
        <f t="shared" si="304"/>
        <v>4</v>
      </c>
      <c r="D1261" s="73"/>
      <c r="E1261" s="70"/>
      <c r="F1261" s="70" t="s">
        <v>1859</v>
      </c>
      <c r="G1261" s="73"/>
      <c r="H1261" s="76"/>
      <c r="I1261" s="76"/>
      <c r="J1261" s="76"/>
      <c r="K1261" s="76"/>
      <c r="L1261" s="76"/>
      <c r="M1261" s="76"/>
      <c r="N1261" s="76"/>
      <c r="O1261" s="76"/>
      <c r="P1261" s="76"/>
      <c r="Q1261" s="76"/>
      <c r="R1261" s="76"/>
      <c r="S1261" s="76"/>
      <c r="T1261" s="76"/>
      <c r="U1261" s="76"/>
      <c r="V1261" s="76"/>
      <c r="W1261" s="76"/>
      <c r="X1261" s="76"/>
      <c r="Y1261" s="76"/>
      <c r="Z1261" s="76"/>
      <c r="AA1261" s="76"/>
      <c r="AB1261" s="76"/>
      <c r="AC1261" s="76"/>
      <c r="AD1261" s="76"/>
      <c r="AE1261" s="76"/>
      <c r="AF1261" s="76"/>
      <c r="AG1261" s="76"/>
      <c r="AH1261" s="76">
        <v>1</v>
      </c>
      <c r="AI1261" s="76">
        <v>1</v>
      </c>
      <c r="AJ1261" s="73"/>
      <c r="AK1261" s="57"/>
      <c r="AL1261" s="45"/>
      <c r="AM1261" s="45"/>
      <c r="AN1261" s="45"/>
    </row>
    <row r="1262" spans="1:40" hidden="1" outlineLevel="3" x14ac:dyDescent="0.25">
      <c r="A1262" s="45"/>
      <c r="B1262" s="54"/>
      <c r="C1262" s="47">
        <f t="shared" si="304"/>
        <v>4</v>
      </c>
      <c r="D1262" s="73"/>
      <c r="E1262" s="70"/>
      <c r="F1262" s="70" t="s">
        <v>1860</v>
      </c>
      <c r="G1262" s="73"/>
      <c r="H1262" s="76"/>
      <c r="I1262" s="76"/>
      <c r="J1262" s="76"/>
      <c r="K1262" s="76"/>
      <c r="L1262" s="76"/>
      <c r="M1262" s="76"/>
      <c r="N1262" s="76"/>
      <c r="O1262" s="76"/>
      <c r="P1262" s="76"/>
      <c r="Q1262" s="76"/>
      <c r="R1262" s="76"/>
      <c r="S1262" s="76"/>
      <c r="T1262" s="76"/>
      <c r="U1262" s="76"/>
      <c r="V1262" s="76"/>
      <c r="W1262" s="76"/>
      <c r="X1262" s="76"/>
      <c r="Y1262" s="76"/>
      <c r="Z1262" s="76"/>
      <c r="AA1262" s="76"/>
      <c r="AB1262" s="76"/>
      <c r="AC1262" s="76"/>
      <c r="AD1262" s="76"/>
      <c r="AE1262" s="76"/>
      <c r="AF1262" s="76"/>
      <c r="AG1262" s="76"/>
      <c r="AH1262" s="76">
        <v>1</v>
      </c>
      <c r="AI1262" s="76">
        <v>1</v>
      </c>
      <c r="AJ1262" s="73"/>
      <c r="AK1262" s="57"/>
      <c r="AL1262" s="45"/>
      <c r="AM1262" s="45"/>
      <c r="AN1262" s="45"/>
    </row>
    <row r="1263" spans="1:40" hidden="1" outlineLevel="3" x14ac:dyDescent="0.25">
      <c r="A1263" s="45"/>
      <c r="B1263" s="54"/>
      <c r="C1263" s="47">
        <f t="shared" si="304"/>
        <v>4</v>
      </c>
      <c r="D1263" s="73"/>
      <c r="E1263" s="70"/>
      <c r="F1263" s="70" t="s">
        <v>1861</v>
      </c>
      <c r="G1263" s="73"/>
      <c r="H1263" s="76"/>
      <c r="I1263" s="76"/>
      <c r="J1263" s="76"/>
      <c r="K1263" s="76"/>
      <c r="L1263" s="76"/>
      <c r="M1263" s="76"/>
      <c r="N1263" s="76"/>
      <c r="O1263" s="76"/>
      <c r="P1263" s="76"/>
      <c r="Q1263" s="76"/>
      <c r="R1263" s="76"/>
      <c r="S1263" s="76"/>
      <c r="T1263" s="76"/>
      <c r="U1263" s="76"/>
      <c r="V1263" s="76"/>
      <c r="W1263" s="76"/>
      <c r="X1263" s="76"/>
      <c r="Y1263" s="76"/>
      <c r="Z1263" s="76"/>
      <c r="AA1263" s="76"/>
      <c r="AB1263" s="76"/>
      <c r="AC1263" s="76"/>
      <c r="AD1263" s="76"/>
      <c r="AE1263" s="76"/>
      <c r="AF1263" s="76"/>
      <c r="AG1263" s="76"/>
      <c r="AH1263" s="76">
        <v>1</v>
      </c>
      <c r="AI1263" s="76">
        <v>1</v>
      </c>
      <c r="AJ1263" s="73"/>
      <c r="AK1263" s="57"/>
      <c r="AL1263" s="45"/>
      <c r="AM1263" s="45"/>
      <c r="AN1263" s="45"/>
    </row>
    <row r="1264" spans="1:40" hidden="1" outlineLevel="3" x14ac:dyDescent="0.25">
      <c r="A1264" s="45"/>
      <c r="B1264" s="54"/>
      <c r="C1264" s="47">
        <f t="shared" si="304"/>
        <v>4</v>
      </c>
      <c r="D1264" s="73"/>
      <c r="E1264" s="70"/>
      <c r="F1264" s="70" t="s">
        <v>1862</v>
      </c>
      <c r="G1264" s="73"/>
      <c r="H1264" s="76"/>
      <c r="I1264" s="76"/>
      <c r="J1264" s="76"/>
      <c r="K1264" s="76"/>
      <c r="L1264" s="76"/>
      <c r="M1264" s="76"/>
      <c r="N1264" s="76"/>
      <c r="O1264" s="76"/>
      <c r="P1264" s="76"/>
      <c r="Q1264" s="76"/>
      <c r="R1264" s="76"/>
      <c r="S1264" s="76"/>
      <c r="T1264" s="76"/>
      <c r="U1264" s="76"/>
      <c r="V1264" s="76"/>
      <c r="W1264" s="76"/>
      <c r="X1264" s="76"/>
      <c r="Y1264" s="76"/>
      <c r="Z1264" s="76"/>
      <c r="AA1264" s="76"/>
      <c r="AB1264" s="76"/>
      <c r="AC1264" s="76"/>
      <c r="AD1264" s="76"/>
      <c r="AE1264" s="76"/>
      <c r="AF1264" s="76"/>
      <c r="AG1264" s="76"/>
      <c r="AH1264" s="76">
        <v>1</v>
      </c>
      <c r="AI1264" s="76">
        <v>1</v>
      </c>
      <c r="AJ1264" s="73"/>
      <c r="AK1264" s="57"/>
      <c r="AL1264" s="45"/>
      <c r="AM1264" s="45"/>
      <c r="AN1264" s="45"/>
    </row>
    <row r="1265" spans="1:40" hidden="1" outlineLevel="3" x14ac:dyDescent="0.25">
      <c r="A1265" s="45"/>
      <c r="B1265" s="54"/>
      <c r="C1265" s="47">
        <f t="shared" si="304"/>
        <v>4</v>
      </c>
      <c r="D1265" s="73"/>
      <c r="E1265" s="70"/>
      <c r="F1265" s="70" t="s">
        <v>1863</v>
      </c>
      <c r="G1265" s="73"/>
      <c r="H1265" s="76"/>
      <c r="I1265" s="76"/>
      <c r="J1265" s="76"/>
      <c r="K1265" s="76"/>
      <c r="L1265" s="76"/>
      <c r="M1265" s="76"/>
      <c r="N1265" s="76"/>
      <c r="O1265" s="76"/>
      <c r="P1265" s="76"/>
      <c r="Q1265" s="76"/>
      <c r="R1265" s="76"/>
      <c r="S1265" s="76"/>
      <c r="T1265" s="76"/>
      <c r="U1265" s="76"/>
      <c r="V1265" s="76"/>
      <c r="W1265" s="76"/>
      <c r="X1265" s="76"/>
      <c r="Y1265" s="76"/>
      <c r="Z1265" s="76"/>
      <c r="AA1265" s="76"/>
      <c r="AB1265" s="76"/>
      <c r="AC1265" s="76"/>
      <c r="AD1265" s="76"/>
      <c r="AE1265" s="76"/>
      <c r="AF1265" s="76"/>
      <c r="AG1265" s="76"/>
      <c r="AH1265" s="76">
        <v>1</v>
      </c>
      <c r="AI1265" s="76">
        <v>1</v>
      </c>
      <c r="AJ1265" s="73"/>
      <c r="AK1265" s="57"/>
      <c r="AL1265" s="45"/>
      <c r="AM1265" s="45"/>
      <c r="AN1265" s="45"/>
    </row>
    <row r="1266" spans="1:40" hidden="1" outlineLevel="3" x14ac:dyDescent="0.25">
      <c r="A1266" s="45"/>
      <c r="B1266" s="54"/>
      <c r="C1266" s="47">
        <f t="shared" si="304"/>
        <v>4</v>
      </c>
      <c r="D1266" s="73"/>
      <c r="E1266" s="70"/>
      <c r="F1266" s="70" t="s">
        <v>1864</v>
      </c>
      <c r="G1266" s="73"/>
      <c r="H1266" s="76"/>
      <c r="I1266" s="76"/>
      <c r="J1266" s="76"/>
      <c r="K1266" s="76"/>
      <c r="L1266" s="76"/>
      <c r="M1266" s="76"/>
      <c r="N1266" s="76"/>
      <c r="O1266" s="76"/>
      <c r="P1266" s="76"/>
      <c r="Q1266" s="76"/>
      <c r="R1266" s="76"/>
      <c r="S1266" s="76"/>
      <c r="T1266" s="76"/>
      <c r="U1266" s="76"/>
      <c r="V1266" s="76"/>
      <c r="W1266" s="76"/>
      <c r="X1266" s="76"/>
      <c r="Y1266" s="76"/>
      <c r="Z1266" s="76"/>
      <c r="AA1266" s="76"/>
      <c r="AB1266" s="76"/>
      <c r="AC1266" s="76"/>
      <c r="AD1266" s="76"/>
      <c r="AE1266" s="76"/>
      <c r="AF1266" s="76"/>
      <c r="AG1266" s="76"/>
      <c r="AH1266" s="76">
        <v>1</v>
      </c>
      <c r="AI1266" s="76">
        <v>1</v>
      </c>
      <c r="AJ1266" s="73"/>
      <c r="AK1266" s="57"/>
      <c r="AL1266" s="45"/>
      <c r="AM1266" s="45"/>
      <c r="AN1266" s="45"/>
    </row>
    <row r="1267" spans="1:40" hidden="1" outlineLevel="3" x14ac:dyDescent="0.25">
      <c r="A1267" s="45"/>
      <c r="B1267" s="54"/>
      <c r="C1267" s="47">
        <f t="shared" si="304"/>
        <v>4</v>
      </c>
      <c r="D1267" s="73"/>
      <c r="E1267" s="402"/>
      <c r="F1267" s="402" t="s">
        <v>1865</v>
      </c>
      <c r="G1267" s="73"/>
      <c r="H1267" s="109"/>
      <c r="I1267" s="109"/>
      <c r="J1267" s="109"/>
      <c r="K1267" s="109"/>
      <c r="L1267" s="109"/>
      <c r="M1267" s="109"/>
      <c r="N1267" s="109"/>
      <c r="O1267" s="109"/>
      <c r="P1267" s="109"/>
      <c r="Q1267" s="109"/>
      <c r="R1267" s="109"/>
      <c r="S1267" s="109"/>
      <c r="T1267" s="109"/>
      <c r="U1267" s="109"/>
      <c r="V1267" s="109"/>
      <c r="W1267" s="109"/>
      <c r="X1267" s="109"/>
      <c r="Y1267" s="109"/>
      <c r="Z1267" s="109"/>
      <c r="AA1267" s="109"/>
      <c r="AB1267" s="109"/>
      <c r="AC1267" s="109"/>
      <c r="AD1267" s="109"/>
      <c r="AE1267" s="109"/>
      <c r="AF1267" s="109"/>
      <c r="AG1267" s="109"/>
      <c r="AH1267" s="109">
        <v>1</v>
      </c>
      <c r="AI1267" s="109">
        <v>1</v>
      </c>
      <c r="AJ1267" s="73"/>
      <c r="AK1267" s="57"/>
      <c r="AL1267" s="45"/>
      <c r="AM1267" s="45"/>
      <c r="AN1267" s="45"/>
    </row>
    <row r="1268" spans="1:40" hidden="1" outlineLevel="2" x14ac:dyDescent="0.25">
      <c r="A1268" s="45"/>
      <c r="B1268" s="54"/>
      <c r="C1268" s="47">
        <f>INT($C$29)+2</f>
        <v>3</v>
      </c>
      <c r="D1268" s="73"/>
      <c r="E1268" s="406"/>
      <c r="F1268" s="406" t="s">
        <v>1866</v>
      </c>
      <c r="G1268" s="407"/>
      <c r="H1268" s="181" t="s">
        <v>1867</v>
      </c>
      <c r="I1268" s="151"/>
      <c r="J1268" s="151"/>
      <c r="K1268" s="181"/>
      <c r="L1268" s="181"/>
      <c r="M1268" s="181"/>
      <c r="N1268" s="181"/>
      <c r="O1268" s="181"/>
      <c r="P1268" s="181"/>
      <c r="Q1268" s="181"/>
      <c r="R1268" s="181"/>
      <c r="S1268" s="181"/>
      <c r="T1268" s="181"/>
      <c r="U1268" s="408">
        <v>3.024E-2</v>
      </c>
      <c r="V1268" s="409">
        <f>U1268</f>
        <v>3.024E-2</v>
      </c>
      <c r="W1268" s="409">
        <f>U1268</f>
        <v>3.024E-2</v>
      </c>
      <c r="X1268" s="409">
        <f>V1268</f>
        <v>3.024E-2</v>
      </c>
      <c r="Y1268" s="409">
        <f>V1268</f>
        <v>3.024E-2</v>
      </c>
      <c r="Z1268" s="409">
        <f>AA1268</f>
        <v>2.248E-2</v>
      </c>
      <c r="AA1268" s="408">
        <v>2.248E-2</v>
      </c>
      <c r="AB1268" s="409">
        <f>AA1268</f>
        <v>2.248E-2</v>
      </c>
      <c r="AC1268" s="409">
        <f>AB1268</f>
        <v>2.248E-2</v>
      </c>
      <c r="AD1268" s="409">
        <f>AC1268</f>
        <v>2.248E-2</v>
      </c>
      <c r="AE1268" s="181"/>
      <c r="AF1268" s="408" t="s">
        <v>1868</v>
      </c>
      <c r="AG1268" s="181"/>
      <c r="AH1268" s="408">
        <v>1</v>
      </c>
      <c r="AI1268" s="408">
        <v>1</v>
      </c>
      <c r="AJ1268" s="73"/>
      <c r="AK1268" s="57"/>
      <c r="AL1268" s="45"/>
      <c r="AM1268" s="45"/>
      <c r="AN1268" s="45"/>
    </row>
    <row r="1269" spans="1:40" hidden="1" outlineLevel="2" x14ac:dyDescent="0.25">
      <c r="A1269" s="45"/>
      <c r="B1269" s="54"/>
      <c r="C1269" s="47">
        <f>INT($C$29)+2</f>
        <v>3</v>
      </c>
      <c r="D1269" s="73"/>
      <c r="E1269" s="70"/>
      <c r="F1269" s="70" t="s">
        <v>1869</v>
      </c>
      <c r="G1269" s="234"/>
      <c r="H1269" s="76" t="s">
        <v>1870</v>
      </c>
      <c r="I1269" s="96"/>
      <c r="J1269" s="96"/>
      <c r="K1269" s="76"/>
      <c r="L1269" s="76"/>
      <c r="M1269" s="76"/>
      <c r="N1269" s="76"/>
      <c r="O1269" s="76"/>
      <c r="P1269" s="76"/>
      <c r="Q1269" s="76"/>
      <c r="R1269" s="76"/>
      <c r="S1269" s="76"/>
      <c r="T1269" s="76"/>
      <c r="U1269" s="253">
        <f t="shared" ref="U1269:AD1269" si="305">U1270</f>
        <v>8.5699999999999995E-3</v>
      </c>
      <c r="V1269" s="253">
        <f t="shared" si="305"/>
        <v>8.5699999999999995E-3</v>
      </c>
      <c r="W1269" s="253">
        <f t="shared" si="305"/>
        <v>8.5699999999999995E-3</v>
      </c>
      <c r="X1269" s="253">
        <f t="shared" si="305"/>
        <v>8.5699999999999995E-3</v>
      </c>
      <c r="Y1269" s="253">
        <f t="shared" si="305"/>
        <v>8.5699999999999995E-3</v>
      </c>
      <c r="Z1269" s="253">
        <f t="shared" si="305"/>
        <v>2.7799999999999999E-3</v>
      </c>
      <c r="AA1269" s="253">
        <f t="shared" si="305"/>
        <v>2.7799999999999999E-3</v>
      </c>
      <c r="AB1269" s="253">
        <f t="shared" si="305"/>
        <v>2.7799999999999999E-3</v>
      </c>
      <c r="AC1269" s="253">
        <f t="shared" si="305"/>
        <v>2.7799999999999999E-3</v>
      </c>
      <c r="AD1269" s="253">
        <f t="shared" si="305"/>
        <v>2.7799999999999999E-3</v>
      </c>
      <c r="AE1269" s="76"/>
      <c r="AF1269" s="97" t="s">
        <v>2160</v>
      </c>
      <c r="AG1269" s="76"/>
      <c r="AH1269" s="253">
        <f>AH1270</f>
        <v>1</v>
      </c>
      <c r="AI1269" s="253">
        <f>AI1270</f>
        <v>1</v>
      </c>
      <c r="AJ1269" s="73"/>
      <c r="AK1269" s="57"/>
      <c r="AL1269" s="45"/>
      <c r="AM1269" s="45"/>
      <c r="AN1269" s="45"/>
    </row>
    <row r="1270" spans="1:40" hidden="1" outlineLevel="2" x14ac:dyDescent="0.25">
      <c r="A1270" s="45"/>
      <c r="B1270" s="54"/>
      <c r="C1270" s="47">
        <f>INT($C$29)+2</f>
        <v>3</v>
      </c>
      <c r="D1270" s="73"/>
      <c r="E1270" s="70"/>
      <c r="F1270" s="70" t="s">
        <v>1871</v>
      </c>
      <c r="G1270" s="234"/>
      <c r="H1270" s="76" t="s">
        <v>1872</v>
      </c>
      <c r="I1270" s="96"/>
      <c r="J1270" s="96"/>
      <c r="K1270" s="76"/>
      <c r="L1270" s="76"/>
      <c r="M1270" s="76"/>
      <c r="N1270" s="76"/>
      <c r="O1270" s="76"/>
      <c r="P1270" s="76"/>
      <c r="Q1270" s="76"/>
      <c r="R1270" s="76"/>
      <c r="S1270" s="76"/>
      <c r="T1270" s="76"/>
      <c r="U1270" s="97">
        <v>8.5699999999999995E-3</v>
      </c>
      <c r="V1270" s="404">
        <f>U1270</f>
        <v>8.5699999999999995E-3</v>
      </c>
      <c r="W1270" s="404">
        <f>U1270</f>
        <v>8.5699999999999995E-3</v>
      </c>
      <c r="X1270" s="404">
        <f>V1270</f>
        <v>8.5699999999999995E-3</v>
      </c>
      <c r="Y1270" s="404">
        <f>V1270</f>
        <v>8.5699999999999995E-3</v>
      </c>
      <c r="Z1270" s="404">
        <f>AA1270</f>
        <v>2.7799999999999999E-3</v>
      </c>
      <c r="AA1270" s="97">
        <v>2.7799999999999999E-3</v>
      </c>
      <c r="AB1270" s="404">
        <f t="shared" ref="AB1270:AD1271" si="306">AA1270</f>
        <v>2.7799999999999999E-3</v>
      </c>
      <c r="AC1270" s="404">
        <f t="shared" si="306"/>
        <v>2.7799999999999999E-3</v>
      </c>
      <c r="AD1270" s="404">
        <f t="shared" si="306"/>
        <v>2.7799999999999999E-3</v>
      </c>
      <c r="AE1270" s="76"/>
      <c r="AF1270" s="76"/>
      <c r="AG1270" s="76"/>
      <c r="AH1270" s="97">
        <v>1</v>
      </c>
      <c r="AI1270" s="97">
        <v>1</v>
      </c>
      <c r="AJ1270" s="73"/>
      <c r="AK1270" s="57"/>
      <c r="AL1270" s="45"/>
      <c r="AM1270" s="45"/>
      <c r="AN1270" s="45"/>
    </row>
    <row r="1271" spans="1:40" hidden="1" outlineLevel="2" collapsed="1" x14ac:dyDescent="0.25">
      <c r="A1271" s="45"/>
      <c r="B1271" s="54"/>
      <c r="C1271" s="47">
        <f>INT($C$29)+2</f>
        <v>3</v>
      </c>
      <c r="D1271" s="73"/>
      <c r="E1271" s="70"/>
      <c r="F1271" s="70" t="s">
        <v>1873</v>
      </c>
      <c r="G1271" s="234"/>
      <c r="H1271" s="76" t="s">
        <v>1874</v>
      </c>
      <c r="I1271" s="96"/>
      <c r="J1271" s="96"/>
      <c r="K1271" s="76"/>
      <c r="L1271" s="76"/>
      <c r="M1271" s="76"/>
      <c r="N1271" s="76"/>
      <c r="O1271" s="76"/>
      <c r="P1271" s="76"/>
      <c r="Q1271" s="76"/>
      <c r="R1271" s="76"/>
      <c r="S1271" s="76"/>
      <c r="T1271" s="76"/>
      <c r="U1271" s="97">
        <v>1.626E-2</v>
      </c>
      <c r="V1271" s="404">
        <f>U1271</f>
        <v>1.626E-2</v>
      </c>
      <c r="W1271" s="404">
        <f>U1271</f>
        <v>1.626E-2</v>
      </c>
      <c r="X1271" s="404">
        <f>V1271</f>
        <v>1.626E-2</v>
      </c>
      <c r="Y1271" s="404">
        <f>V1271</f>
        <v>1.626E-2</v>
      </c>
      <c r="Z1271" s="404">
        <f>AA1271</f>
        <v>1.6129999999999999E-2</v>
      </c>
      <c r="AA1271" s="97">
        <v>1.6129999999999999E-2</v>
      </c>
      <c r="AB1271" s="404">
        <f t="shared" si="306"/>
        <v>1.6129999999999999E-2</v>
      </c>
      <c r="AC1271" s="404">
        <f t="shared" si="306"/>
        <v>1.6129999999999999E-2</v>
      </c>
      <c r="AD1271" s="404">
        <f t="shared" si="306"/>
        <v>1.6129999999999999E-2</v>
      </c>
      <c r="AE1271" s="76"/>
      <c r="AF1271" s="76"/>
      <c r="AG1271" s="76"/>
      <c r="AH1271" s="97">
        <v>1</v>
      </c>
      <c r="AI1271" s="97">
        <v>1</v>
      </c>
      <c r="AJ1271" s="73"/>
      <c r="AK1271" s="57"/>
      <c r="AL1271" s="45"/>
      <c r="AM1271" s="45"/>
      <c r="AN1271" s="45"/>
    </row>
    <row r="1272" spans="1:40" hidden="1" outlineLevel="3" x14ac:dyDescent="0.25">
      <c r="A1272" s="45"/>
      <c r="B1272" s="54"/>
      <c r="C1272" s="47">
        <f>INT($C$29)+3</f>
        <v>4</v>
      </c>
      <c r="D1272" s="73"/>
      <c r="E1272" s="70"/>
      <c r="F1272" s="70" t="s">
        <v>1875</v>
      </c>
      <c r="G1272" s="234"/>
      <c r="H1272" s="76" t="s">
        <v>1876</v>
      </c>
      <c r="I1272" s="76"/>
      <c r="J1272" s="76"/>
      <c r="K1272" s="76"/>
      <c r="L1272" s="76"/>
      <c r="M1272" s="76"/>
      <c r="N1272" s="76"/>
      <c r="O1272" s="76"/>
      <c r="P1272" s="76"/>
      <c r="Q1272" s="76"/>
      <c r="R1272" s="76"/>
      <c r="S1272" s="76"/>
      <c r="T1272" s="76"/>
      <c r="U1272" s="76">
        <v>0</v>
      </c>
      <c r="V1272" s="76">
        <v>0</v>
      </c>
      <c r="W1272" s="76">
        <v>0</v>
      </c>
      <c r="X1272" s="76">
        <v>0</v>
      </c>
      <c r="Y1272" s="76">
        <v>0</v>
      </c>
      <c r="Z1272" s="76">
        <v>0</v>
      </c>
      <c r="AA1272" s="76">
        <v>0</v>
      </c>
      <c r="AB1272" s="76">
        <v>0</v>
      </c>
      <c r="AC1272" s="76">
        <v>0</v>
      </c>
      <c r="AD1272" s="76">
        <v>0</v>
      </c>
      <c r="AE1272" s="76"/>
      <c r="AF1272" s="76"/>
      <c r="AG1272" s="76"/>
      <c r="AH1272" s="76">
        <v>1</v>
      </c>
      <c r="AI1272" s="76">
        <v>1</v>
      </c>
      <c r="AJ1272" s="73"/>
      <c r="AK1272" s="57"/>
      <c r="AL1272" s="45"/>
      <c r="AM1272" s="45"/>
      <c r="AN1272" s="45"/>
    </row>
    <row r="1273" spans="1:40" hidden="1" outlineLevel="3" x14ac:dyDescent="0.25">
      <c r="A1273" s="45"/>
      <c r="B1273" s="54"/>
      <c r="C1273" s="47">
        <f>INT($C$29)+3</f>
        <v>4</v>
      </c>
      <c r="D1273" s="73"/>
      <c r="E1273" s="70"/>
      <c r="F1273" s="70" t="s">
        <v>1877</v>
      </c>
      <c r="G1273" s="234"/>
      <c r="H1273" s="76" t="s">
        <v>1878</v>
      </c>
      <c r="I1273" s="76"/>
      <c r="J1273" s="76"/>
      <c r="K1273" s="76"/>
      <c r="L1273" s="76"/>
      <c r="M1273" s="76"/>
      <c r="N1273" s="76"/>
      <c r="O1273" s="76"/>
      <c r="P1273" s="76"/>
      <c r="Q1273" s="76"/>
      <c r="R1273" s="76"/>
      <c r="S1273" s="76"/>
      <c r="T1273" s="76"/>
      <c r="U1273" s="76">
        <v>0</v>
      </c>
      <c r="V1273" s="76">
        <v>0</v>
      </c>
      <c r="W1273" s="76">
        <v>0</v>
      </c>
      <c r="X1273" s="76">
        <v>0</v>
      </c>
      <c r="Y1273" s="76">
        <v>0</v>
      </c>
      <c r="Z1273" s="76">
        <v>0</v>
      </c>
      <c r="AA1273" s="76">
        <v>0</v>
      </c>
      <c r="AB1273" s="76">
        <v>0</v>
      </c>
      <c r="AC1273" s="76">
        <v>0</v>
      </c>
      <c r="AD1273" s="76">
        <v>0</v>
      </c>
      <c r="AE1273" s="76"/>
      <c r="AF1273" s="76"/>
      <c r="AG1273" s="76"/>
      <c r="AH1273" s="76">
        <v>1</v>
      </c>
      <c r="AI1273" s="76">
        <v>1</v>
      </c>
      <c r="AJ1273" s="73"/>
      <c r="AK1273" s="57"/>
      <c r="AL1273" s="45"/>
      <c r="AM1273" s="45"/>
      <c r="AN1273" s="45"/>
    </row>
    <row r="1274" spans="1:40" hidden="1" outlineLevel="3" x14ac:dyDescent="0.25">
      <c r="A1274" s="45"/>
      <c r="B1274" s="54"/>
      <c r="C1274" s="47">
        <f>INT($C$29)+3</f>
        <v>4</v>
      </c>
      <c r="D1274" s="73"/>
      <c r="E1274" s="70"/>
      <c r="F1274" s="70" t="s">
        <v>1879</v>
      </c>
      <c r="G1274" s="234"/>
      <c r="H1274" s="76" t="s">
        <v>1880</v>
      </c>
      <c r="I1274" s="76"/>
      <c r="J1274" s="76"/>
      <c r="K1274" s="76"/>
      <c r="L1274" s="76"/>
      <c r="M1274" s="76"/>
      <c r="N1274" s="76"/>
      <c r="O1274" s="76"/>
      <c r="P1274" s="76"/>
      <c r="Q1274" s="76"/>
      <c r="R1274" s="76"/>
      <c r="S1274" s="76"/>
      <c r="T1274" s="76"/>
      <c r="U1274" s="76">
        <v>0</v>
      </c>
      <c r="V1274" s="76">
        <v>0</v>
      </c>
      <c r="W1274" s="76">
        <v>0</v>
      </c>
      <c r="X1274" s="76">
        <v>0</v>
      </c>
      <c r="Y1274" s="76">
        <v>0</v>
      </c>
      <c r="Z1274" s="76">
        <v>0</v>
      </c>
      <c r="AA1274" s="76">
        <v>0</v>
      </c>
      <c r="AB1274" s="76">
        <v>0</v>
      </c>
      <c r="AC1274" s="76">
        <v>0</v>
      </c>
      <c r="AD1274" s="76">
        <v>0</v>
      </c>
      <c r="AE1274" s="76"/>
      <c r="AF1274" s="76"/>
      <c r="AG1274" s="76"/>
      <c r="AH1274" s="76">
        <v>1</v>
      </c>
      <c r="AI1274" s="76">
        <v>1</v>
      </c>
      <c r="AJ1274" s="73"/>
      <c r="AK1274" s="57"/>
      <c r="AL1274" s="45"/>
      <c r="AM1274" s="45"/>
      <c r="AN1274" s="45"/>
    </row>
    <row r="1275" spans="1:40" hidden="1" outlineLevel="2" x14ac:dyDescent="0.25">
      <c r="A1275" s="45"/>
      <c r="B1275" s="54"/>
      <c r="C1275" s="47">
        <f t="shared" ref="C1275:C1291" si="307">INT($C$29)+2</f>
        <v>3</v>
      </c>
      <c r="D1275" s="73"/>
      <c r="E1275" s="410"/>
      <c r="F1275" s="410" t="s">
        <v>1881</v>
      </c>
      <c r="G1275" s="411"/>
      <c r="H1275" s="184" t="s">
        <v>1882</v>
      </c>
      <c r="I1275" s="184"/>
      <c r="J1275" s="184"/>
      <c r="K1275" s="184"/>
      <c r="L1275" s="184"/>
      <c r="M1275" s="184"/>
      <c r="N1275" s="184"/>
      <c r="O1275" s="184"/>
      <c r="P1275" s="184"/>
      <c r="Q1275" s="184"/>
      <c r="R1275" s="184"/>
      <c r="S1275" s="184"/>
      <c r="T1275" s="184"/>
      <c r="U1275" s="412">
        <v>3.496</v>
      </c>
      <c r="V1275" s="412">
        <v>3.496</v>
      </c>
      <c r="W1275" s="412">
        <v>3.496</v>
      </c>
      <c r="X1275" s="412">
        <v>3.496</v>
      </c>
      <c r="Y1275" s="412">
        <v>3.496</v>
      </c>
      <c r="Z1275" s="415">
        <f>AA1275</f>
        <v>4.2411000000000003</v>
      </c>
      <c r="AA1275" s="416">
        <v>4.2411000000000003</v>
      </c>
      <c r="AB1275" s="415">
        <f t="shared" ref="AB1275:AD1276" si="308">AA1275</f>
        <v>4.2411000000000003</v>
      </c>
      <c r="AC1275" s="415">
        <f t="shared" si="308"/>
        <v>4.2411000000000003</v>
      </c>
      <c r="AD1275" s="415">
        <f t="shared" si="308"/>
        <v>4.2411000000000003</v>
      </c>
      <c r="AE1275" s="184"/>
      <c r="AF1275" s="184"/>
      <c r="AG1275" s="184"/>
      <c r="AH1275" s="413">
        <v>1</v>
      </c>
      <c r="AI1275" s="413">
        <v>1</v>
      </c>
      <c r="AJ1275" s="73"/>
      <c r="AK1275" s="57"/>
      <c r="AL1275" s="45"/>
      <c r="AM1275" s="45"/>
      <c r="AN1275" s="45"/>
    </row>
    <row r="1276" spans="1:40" hidden="1" outlineLevel="2" x14ac:dyDescent="0.25">
      <c r="A1276" s="45"/>
      <c r="B1276" s="54"/>
      <c r="C1276" s="47">
        <f t="shared" si="307"/>
        <v>3</v>
      </c>
      <c r="D1276" s="73"/>
      <c r="E1276" s="403"/>
      <c r="F1276" s="403" t="s">
        <v>1883</v>
      </c>
      <c r="G1276" s="73"/>
      <c r="H1276" s="105" t="s">
        <v>1884</v>
      </c>
      <c r="I1276" s="177"/>
      <c r="J1276" s="177"/>
      <c r="K1276" s="105"/>
      <c r="L1276" s="105"/>
      <c r="M1276" s="105"/>
      <c r="N1276" s="105"/>
      <c r="O1276" s="105"/>
      <c r="P1276" s="105"/>
      <c r="Q1276" s="105"/>
      <c r="R1276" s="105"/>
      <c r="S1276" s="105"/>
      <c r="T1276" s="105"/>
      <c r="U1276" s="119">
        <v>0.18</v>
      </c>
      <c r="V1276" s="119">
        <v>0.18</v>
      </c>
      <c r="W1276" s="119">
        <v>0.18</v>
      </c>
      <c r="X1276" s="119">
        <v>0.18</v>
      </c>
      <c r="Y1276" s="119">
        <v>0.18</v>
      </c>
      <c r="Z1276" s="405">
        <f>AA1276</f>
        <v>0.13919999999999999</v>
      </c>
      <c r="AA1276" s="119">
        <v>0.13919999999999999</v>
      </c>
      <c r="AB1276" s="405">
        <f t="shared" si="308"/>
        <v>0.13919999999999999</v>
      </c>
      <c r="AC1276" s="405">
        <f t="shared" si="308"/>
        <v>0.13919999999999999</v>
      </c>
      <c r="AD1276" s="405">
        <f t="shared" si="308"/>
        <v>0.13919999999999999</v>
      </c>
      <c r="AE1276" s="105"/>
      <c r="AF1276" s="119" t="s">
        <v>1276</v>
      </c>
      <c r="AG1276" s="105"/>
      <c r="AH1276" s="119">
        <v>1</v>
      </c>
      <c r="AI1276" s="119">
        <v>1</v>
      </c>
      <c r="AJ1276" s="73"/>
      <c r="AK1276" s="57"/>
      <c r="AL1276" s="45"/>
      <c r="AM1276" s="45"/>
      <c r="AN1276" s="45"/>
    </row>
    <row r="1277" spans="1:40" hidden="1" outlineLevel="2" x14ac:dyDescent="0.25">
      <c r="A1277" s="45"/>
      <c r="B1277" s="54"/>
      <c r="C1277" s="47">
        <f t="shared" si="307"/>
        <v>3</v>
      </c>
      <c r="D1277" s="73"/>
      <c r="E1277" s="70"/>
      <c r="F1277" s="70" t="s">
        <v>1885</v>
      </c>
      <c r="G1277" s="73"/>
      <c r="H1277" s="76" t="s">
        <v>1886</v>
      </c>
      <c r="I1277" s="96"/>
      <c r="J1277" s="96"/>
      <c r="K1277" s="76"/>
      <c r="L1277" s="76"/>
      <c r="M1277" s="76"/>
      <c r="N1277" s="76"/>
      <c r="O1277" s="76"/>
      <c r="P1277" s="76"/>
      <c r="Q1277" s="76"/>
      <c r="R1277" s="76"/>
      <c r="S1277" s="76"/>
      <c r="T1277" s="76"/>
      <c r="U1277" s="253">
        <f t="shared" ref="U1277:AD1277" si="309">U1278</f>
        <v>0.03</v>
      </c>
      <c r="V1277" s="253">
        <f t="shared" si="309"/>
        <v>0.03</v>
      </c>
      <c r="W1277" s="253">
        <f t="shared" si="309"/>
        <v>0.03</v>
      </c>
      <c r="X1277" s="253">
        <f t="shared" si="309"/>
        <v>0.03</v>
      </c>
      <c r="Y1277" s="253">
        <f t="shared" si="309"/>
        <v>0.03</v>
      </c>
      <c r="Z1277" s="253">
        <f t="shared" si="309"/>
        <v>7.0000000000000062E-3</v>
      </c>
      <c r="AA1277" s="253">
        <f t="shared" si="309"/>
        <v>7.0000000000000062E-3</v>
      </c>
      <c r="AB1277" s="253">
        <f t="shared" si="309"/>
        <v>7.0000000000000062E-3</v>
      </c>
      <c r="AC1277" s="253">
        <f t="shared" si="309"/>
        <v>7.0000000000000062E-3</v>
      </c>
      <c r="AD1277" s="253">
        <f t="shared" si="309"/>
        <v>7.0000000000000062E-3</v>
      </c>
      <c r="AE1277" s="76"/>
      <c r="AF1277" s="97" t="s">
        <v>2160</v>
      </c>
      <c r="AG1277" s="76"/>
      <c r="AH1277" s="253">
        <f>AH1278</f>
        <v>1</v>
      </c>
      <c r="AI1277" s="253">
        <f>AI1278</f>
        <v>1</v>
      </c>
      <c r="AJ1277" s="73"/>
      <c r="AK1277" s="57"/>
      <c r="AL1277" s="45"/>
      <c r="AM1277" s="45"/>
      <c r="AN1277" s="45"/>
    </row>
    <row r="1278" spans="1:40" hidden="1" outlineLevel="2" x14ac:dyDescent="0.25">
      <c r="A1278" s="45"/>
      <c r="B1278" s="54"/>
      <c r="C1278" s="47">
        <f t="shared" si="307"/>
        <v>3</v>
      </c>
      <c r="D1278" s="73"/>
      <c r="E1278" s="70"/>
      <c r="F1278" s="70" t="s">
        <v>1887</v>
      </c>
      <c r="G1278" s="73"/>
      <c r="H1278" s="76" t="s">
        <v>1720</v>
      </c>
      <c r="I1278" s="96"/>
      <c r="J1278" s="96"/>
      <c r="K1278" s="76"/>
      <c r="L1278" s="76"/>
      <c r="M1278" s="76"/>
      <c r="N1278" s="76"/>
      <c r="O1278" s="76"/>
      <c r="P1278" s="76"/>
      <c r="Q1278" s="76"/>
      <c r="R1278" s="76"/>
      <c r="S1278" s="76"/>
      <c r="T1278" s="76"/>
      <c r="U1278" s="97">
        <f>0.21-U$1276</f>
        <v>0.03</v>
      </c>
      <c r="V1278" s="97">
        <f>0.21-V$1276</f>
        <v>0.03</v>
      </c>
      <c r="W1278" s="97">
        <f>0.21-W$1276</f>
        <v>0.03</v>
      </c>
      <c r="X1278" s="97">
        <f>0.21-X$1276</f>
        <v>0.03</v>
      </c>
      <c r="Y1278" s="97">
        <f>0.21-Y$1276</f>
        <v>0.03</v>
      </c>
      <c r="Z1278" s="255">
        <f t="shared" ref="Z1278:Z1284" si="310">AA1278</f>
        <v>7.0000000000000062E-3</v>
      </c>
      <c r="AA1278" s="97">
        <f>0.1462-AA$1276</f>
        <v>7.0000000000000062E-3</v>
      </c>
      <c r="AB1278" s="255">
        <f t="shared" ref="AB1278:AD1284" si="311">AA1278</f>
        <v>7.0000000000000062E-3</v>
      </c>
      <c r="AC1278" s="255">
        <f t="shared" si="311"/>
        <v>7.0000000000000062E-3</v>
      </c>
      <c r="AD1278" s="255">
        <f t="shared" si="311"/>
        <v>7.0000000000000062E-3</v>
      </c>
      <c r="AE1278" s="76"/>
      <c r="AF1278" s="76"/>
      <c r="AG1278" s="76"/>
      <c r="AH1278" s="97">
        <v>1</v>
      </c>
      <c r="AI1278" s="97">
        <v>1</v>
      </c>
      <c r="AJ1278" s="73"/>
      <c r="AK1278" s="57"/>
      <c r="AL1278" s="45"/>
      <c r="AM1278" s="45"/>
      <c r="AN1278" s="45"/>
    </row>
    <row r="1279" spans="1:40" hidden="1" outlineLevel="2" x14ac:dyDescent="0.25">
      <c r="A1279" s="45"/>
      <c r="B1279" s="54"/>
      <c r="C1279" s="47">
        <f t="shared" si="307"/>
        <v>3</v>
      </c>
      <c r="D1279" s="73"/>
      <c r="E1279" s="70"/>
      <c r="F1279" s="70" t="s">
        <v>1888</v>
      </c>
      <c r="G1279" s="73"/>
      <c r="H1279" s="76" t="s">
        <v>1721</v>
      </c>
      <c r="I1279" s="96"/>
      <c r="J1279" s="96"/>
      <c r="K1279" s="76"/>
      <c r="L1279" s="76"/>
      <c r="M1279" s="76"/>
      <c r="N1279" s="76"/>
      <c r="O1279" s="76"/>
      <c r="P1279" s="76"/>
      <c r="Q1279" s="76"/>
      <c r="R1279" s="76"/>
      <c r="S1279" s="76"/>
      <c r="T1279" s="76"/>
      <c r="U1279" s="97">
        <f>0.14-U$1276</f>
        <v>-3.999999999999998E-2</v>
      </c>
      <c r="V1279" s="97">
        <f>0.14-V$1276</f>
        <v>-3.999999999999998E-2</v>
      </c>
      <c r="W1279" s="97">
        <f>0.14-W$1276</f>
        <v>-3.999999999999998E-2</v>
      </c>
      <c r="X1279" s="97">
        <f>0.14-X$1276</f>
        <v>-3.999999999999998E-2</v>
      </c>
      <c r="Y1279" s="97">
        <f>0.14-Y$1276</f>
        <v>-3.999999999999998E-2</v>
      </c>
      <c r="Z1279" s="255">
        <f t="shared" si="310"/>
        <v>-3.0299999999999994E-2</v>
      </c>
      <c r="AA1279" s="97">
        <f>0.1089-AA$1276</f>
        <v>-3.0299999999999994E-2</v>
      </c>
      <c r="AB1279" s="255">
        <f t="shared" si="311"/>
        <v>-3.0299999999999994E-2</v>
      </c>
      <c r="AC1279" s="255">
        <f t="shared" si="311"/>
        <v>-3.0299999999999994E-2</v>
      </c>
      <c r="AD1279" s="255">
        <f t="shared" si="311"/>
        <v>-3.0299999999999994E-2</v>
      </c>
      <c r="AE1279" s="76"/>
      <c r="AF1279" s="76"/>
      <c r="AG1279" s="76"/>
      <c r="AH1279" s="97">
        <v>1</v>
      </c>
      <c r="AI1279" s="97">
        <v>1</v>
      </c>
      <c r="AJ1279" s="73"/>
      <c r="AK1279" s="57"/>
      <c r="AL1279" s="45"/>
      <c r="AM1279" s="45"/>
      <c r="AN1279" s="45"/>
    </row>
    <row r="1280" spans="1:40" hidden="1" outlineLevel="2" x14ac:dyDescent="0.25">
      <c r="A1280" s="45"/>
      <c r="B1280" s="54"/>
      <c r="C1280" s="47">
        <f t="shared" si="307"/>
        <v>3</v>
      </c>
      <c r="D1280" s="73"/>
      <c r="E1280" s="70"/>
      <c r="F1280" s="70" t="s">
        <v>1889</v>
      </c>
      <c r="G1280" s="73"/>
      <c r="H1280" s="76" t="s">
        <v>1723</v>
      </c>
      <c r="I1280" s="76"/>
      <c r="J1280" s="76"/>
      <c r="K1280" s="76"/>
      <c r="L1280" s="76"/>
      <c r="M1280" s="76"/>
      <c r="N1280" s="76"/>
      <c r="O1280" s="76"/>
      <c r="P1280" s="76"/>
      <c r="Q1280" s="76"/>
      <c r="R1280" s="76"/>
      <c r="S1280" s="76"/>
      <c r="T1280" s="76"/>
      <c r="U1280" s="97">
        <f>0-U$1276</f>
        <v>-0.18</v>
      </c>
      <c r="V1280" s="97">
        <f>0-V$1276</f>
        <v>-0.18</v>
      </c>
      <c r="W1280" s="97">
        <f>0-W$1276</f>
        <v>-0.18</v>
      </c>
      <c r="X1280" s="97">
        <f>0-X$1276</f>
        <v>-0.18</v>
      </c>
      <c r="Y1280" s="97">
        <f>0-Y$1276</f>
        <v>-0.18</v>
      </c>
      <c r="Z1280" s="255">
        <f t="shared" si="310"/>
        <v>-0.13919999999999999</v>
      </c>
      <c r="AA1280" s="97">
        <f>0-AA$1276</f>
        <v>-0.13919999999999999</v>
      </c>
      <c r="AB1280" s="255">
        <f t="shared" si="311"/>
        <v>-0.13919999999999999</v>
      </c>
      <c r="AC1280" s="255">
        <f t="shared" si="311"/>
        <v>-0.13919999999999999</v>
      </c>
      <c r="AD1280" s="255">
        <f t="shared" si="311"/>
        <v>-0.13919999999999999</v>
      </c>
      <c r="AE1280" s="76"/>
      <c r="AF1280" s="76"/>
      <c r="AG1280" s="76"/>
      <c r="AH1280" s="97">
        <v>1</v>
      </c>
      <c r="AI1280" s="97">
        <v>1</v>
      </c>
      <c r="AJ1280" s="73"/>
      <c r="AK1280" s="57"/>
      <c r="AL1280" s="45"/>
      <c r="AM1280" s="45"/>
      <c r="AN1280" s="45"/>
    </row>
    <row r="1281" spans="1:40" hidden="1" outlineLevel="2" x14ac:dyDescent="0.25">
      <c r="A1281" s="45"/>
      <c r="B1281" s="54"/>
      <c r="C1281" s="47">
        <f t="shared" si="307"/>
        <v>3</v>
      </c>
      <c r="D1281" s="73"/>
      <c r="E1281" s="70"/>
      <c r="F1281" s="70" t="s">
        <v>1890</v>
      </c>
      <c r="G1281" s="73"/>
      <c r="H1281" s="76" t="s">
        <v>1878</v>
      </c>
      <c r="I1281" s="76"/>
      <c r="J1281" s="76"/>
      <c r="K1281" s="76"/>
      <c r="L1281" s="76"/>
      <c r="M1281" s="76"/>
      <c r="N1281" s="76"/>
      <c r="O1281" s="76"/>
      <c r="P1281" s="76"/>
      <c r="Q1281" s="76"/>
      <c r="R1281" s="76"/>
      <c r="S1281" s="76"/>
      <c r="T1281" s="76"/>
      <c r="U1281" s="97">
        <v>7.9000000000000008E-3</v>
      </c>
      <c r="V1281" s="97">
        <v>7.9000000000000008E-3</v>
      </c>
      <c r="W1281" s="97">
        <v>7.9000000000000008E-3</v>
      </c>
      <c r="X1281" s="97">
        <v>7.9000000000000008E-3</v>
      </c>
      <c r="Y1281" s="97">
        <v>7.9000000000000008E-3</v>
      </c>
      <c r="Z1281" s="255">
        <f t="shared" si="310"/>
        <v>0</v>
      </c>
      <c r="AA1281" s="76">
        <v>0</v>
      </c>
      <c r="AB1281" s="255">
        <f t="shared" si="311"/>
        <v>0</v>
      </c>
      <c r="AC1281" s="255">
        <f t="shared" si="311"/>
        <v>0</v>
      </c>
      <c r="AD1281" s="255">
        <f t="shared" si="311"/>
        <v>0</v>
      </c>
      <c r="AE1281" s="76"/>
      <c r="AF1281" s="76"/>
      <c r="AG1281" s="76"/>
      <c r="AH1281" s="97">
        <v>1</v>
      </c>
      <c r="AI1281" s="97">
        <v>1</v>
      </c>
      <c r="AJ1281" s="73"/>
      <c r="AK1281" s="57"/>
      <c r="AL1281" s="45"/>
      <c r="AM1281" s="45"/>
      <c r="AN1281" s="45"/>
    </row>
    <row r="1282" spans="1:40" hidden="1" outlineLevel="2" x14ac:dyDescent="0.25">
      <c r="A1282" s="45"/>
      <c r="B1282" s="54"/>
      <c r="C1282" s="47">
        <f t="shared" si="307"/>
        <v>3</v>
      </c>
      <c r="D1282" s="73"/>
      <c r="E1282" s="70"/>
      <c r="F1282" s="70" t="s">
        <v>1891</v>
      </c>
      <c r="G1282" s="73"/>
      <c r="H1282" s="76" t="s">
        <v>1880</v>
      </c>
      <c r="I1282" s="76"/>
      <c r="J1282" s="76"/>
      <c r="K1282" s="76"/>
      <c r="L1282" s="76"/>
      <c r="M1282" s="76"/>
      <c r="N1282" s="76"/>
      <c r="O1282" s="76"/>
      <c r="P1282" s="76"/>
      <c r="Q1282" s="76"/>
      <c r="R1282" s="76"/>
      <c r="S1282" s="76"/>
      <c r="T1282" s="76"/>
      <c r="U1282" s="97">
        <v>-1.5E-6</v>
      </c>
      <c r="V1282" s="97">
        <v>-1.5E-6</v>
      </c>
      <c r="W1282" s="97">
        <v>-1.5E-6</v>
      </c>
      <c r="X1282" s="97">
        <v>-1.5E-6</v>
      </c>
      <c r="Y1282" s="97">
        <v>-1.5E-6</v>
      </c>
      <c r="Z1282" s="255">
        <f t="shared" si="310"/>
        <v>0</v>
      </c>
      <c r="AA1282" s="76">
        <v>0</v>
      </c>
      <c r="AB1282" s="255">
        <f t="shared" si="311"/>
        <v>0</v>
      </c>
      <c r="AC1282" s="255">
        <f t="shared" si="311"/>
        <v>0</v>
      </c>
      <c r="AD1282" s="255">
        <f t="shared" si="311"/>
        <v>0</v>
      </c>
      <c r="AE1282" s="76"/>
      <c r="AF1282" s="76"/>
      <c r="AG1282" s="76"/>
      <c r="AH1282" s="97">
        <v>1</v>
      </c>
      <c r="AI1282" s="97">
        <v>1</v>
      </c>
      <c r="AJ1282" s="73"/>
      <c r="AK1282" s="57"/>
      <c r="AL1282" s="45"/>
      <c r="AM1282" s="45"/>
      <c r="AN1282" s="45"/>
    </row>
    <row r="1283" spans="1:40" hidden="1" outlineLevel="2" x14ac:dyDescent="0.25">
      <c r="A1283" s="45"/>
      <c r="B1283" s="54"/>
      <c r="C1283" s="47">
        <f t="shared" si="307"/>
        <v>3</v>
      </c>
      <c r="D1283" s="73"/>
      <c r="E1283" s="70"/>
      <c r="F1283" s="70" t="s">
        <v>1892</v>
      </c>
      <c r="G1283" s="73"/>
      <c r="H1283" s="76" t="s">
        <v>1893</v>
      </c>
      <c r="I1283" s="76"/>
      <c r="J1283" s="76"/>
      <c r="K1283" s="76"/>
      <c r="L1283" s="76"/>
      <c r="M1283" s="76"/>
      <c r="N1283" s="76"/>
      <c r="O1283" s="76"/>
      <c r="P1283" s="76"/>
      <c r="Q1283" s="76"/>
      <c r="R1283" s="76"/>
      <c r="S1283" s="76"/>
      <c r="T1283" s="76"/>
      <c r="U1283" s="97">
        <v>4.5599999999999996</v>
      </c>
      <c r="V1283" s="97">
        <v>4.5599999999999996</v>
      </c>
      <c r="W1283" s="97">
        <v>4.5599999999999996</v>
      </c>
      <c r="X1283" s="97">
        <v>4.5599999999999996</v>
      </c>
      <c r="Y1283" s="97">
        <v>4.5599999999999996</v>
      </c>
      <c r="Z1283" s="255">
        <f t="shared" si="310"/>
        <v>24.748000000000001</v>
      </c>
      <c r="AA1283" s="97">
        <f>27.01-0.2262*10</f>
        <v>24.748000000000001</v>
      </c>
      <c r="AB1283" s="255">
        <f t="shared" si="311"/>
        <v>24.748000000000001</v>
      </c>
      <c r="AC1283" s="255">
        <f t="shared" si="311"/>
        <v>24.748000000000001</v>
      </c>
      <c r="AD1283" s="255">
        <f t="shared" si="311"/>
        <v>24.748000000000001</v>
      </c>
      <c r="AE1283" s="76"/>
      <c r="AF1283" s="76"/>
      <c r="AG1283" s="76"/>
      <c r="AH1283" s="97">
        <v>1</v>
      </c>
      <c r="AI1283" s="97">
        <v>1</v>
      </c>
      <c r="AJ1283" s="73"/>
      <c r="AK1283" s="57"/>
      <c r="AL1283" s="45"/>
      <c r="AM1283" s="45"/>
      <c r="AN1283" s="45"/>
    </row>
    <row r="1284" spans="1:40" hidden="1" outlineLevel="2" x14ac:dyDescent="0.25">
      <c r="A1284" s="45"/>
      <c r="B1284" s="54"/>
      <c r="C1284" s="47">
        <f t="shared" si="307"/>
        <v>3</v>
      </c>
      <c r="D1284" s="73"/>
      <c r="E1284" s="70"/>
      <c r="F1284" s="70" t="s">
        <v>1894</v>
      </c>
      <c r="G1284" s="73"/>
      <c r="H1284" s="76" t="s">
        <v>1895</v>
      </c>
      <c r="I1284" s="96"/>
      <c r="J1284" s="96"/>
      <c r="K1284" s="76"/>
      <c r="L1284" s="76"/>
      <c r="M1284" s="76"/>
      <c r="N1284" s="76"/>
      <c r="O1284" s="76"/>
      <c r="P1284" s="76"/>
      <c r="Q1284" s="76"/>
      <c r="R1284" s="76"/>
      <c r="S1284" s="76"/>
      <c r="T1284" s="76"/>
      <c r="U1284" s="97">
        <f>2.05/1000</f>
        <v>2.0499999999999997E-3</v>
      </c>
      <c r="V1284" s="97">
        <f>2.05/1000</f>
        <v>2.0499999999999997E-3</v>
      </c>
      <c r="W1284" s="97">
        <f>2.05/1000</f>
        <v>2.0499999999999997E-3</v>
      </c>
      <c r="X1284" s="97">
        <f>2.05/1000</f>
        <v>2.0499999999999997E-3</v>
      </c>
      <c r="Y1284" s="97">
        <f>2.05/1000</f>
        <v>2.0499999999999997E-3</v>
      </c>
      <c r="Z1284" s="255">
        <f t="shared" si="310"/>
        <v>2.0499999999999997E-3</v>
      </c>
      <c r="AA1284" s="97">
        <f>2.05/1000</f>
        <v>2.0499999999999997E-3</v>
      </c>
      <c r="AB1284" s="255">
        <f t="shared" si="311"/>
        <v>2.0499999999999997E-3</v>
      </c>
      <c r="AC1284" s="255">
        <f t="shared" si="311"/>
        <v>2.0499999999999997E-3</v>
      </c>
      <c r="AD1284" s="255">
        <f t="shared" si="311"/>
        <v>2.0499999999999997E-3</v>
      </c>
      <c r="AE1284" s="76"/>
      <c r="AF1284" s="97" t="s">
        <v>1281</v>
      </c>
      <c r="AG1284" s="76"/>
      <c r="AH1284" s="97">
        <v>1</v>
      </c>
      <c r="AI1284" s="97">
        <v>1</v>
      </c>
      <c r="AJ1284" s="73"/>
      <c r="AK1284" s="57"/>
      <c r="AL1284" s="45"/>
      <c r="AM1284" s="45"/>
      <c r="AN1284" s="45"/>
    </row>
    <row r="1285" spans="1:40" hidden="1" outlineLevel="2" x14ac:dyDescent="0.25">
      <c r="A1285" s="45"/>
      <c r="B1285" s="54"/>
      <c r="C1285" s="47">
        <f t="shared" si="307"/>
        <v>3</v>
      </c>
      <c r="D1285" s="73"/>
      <c r="E1285" s="70"/>
      <c r="F1285" s="70" t="s">
        <v>1896</v>
      </c>
      <c r="G1285" s="73"/>
      <c r="H1285" s="76" t="s">
        <v>1897</v>
      </c>
      <c r="I1285" s="96"/>
      <c r="J1285" s="96"/>
      <c r="K1285" s="76"/>
      <c r="L1285" s="76"/>
      <c r="M1285" s="76"/>
      <c r="N1285" s="76"/>
      <c r="O1285" s="76"/>
      <c r="P1285" s="76"/>
      <c r="Q1285" s="76"/>
      <c r="R1285" s="76"/>
      <c r="S1285" s="76"/>
      <c r="T1285" s="76"/>
      <c r="U1285" s="253">
        <f t="shared" ref="U1285:AD1285" si="312">U1286</f>
        <v>-5.9999999999999724E-5</v>
      </c>
      <c r="V1285" s="253">
        <f t="shared" si="312"/>
        <v>-5.9999999999999724E-5</v>
      </c>
      <c r="W1285" s="253">
        <f t="shared" si="312"/>
        <v>-5.9999999999999724E-5</v>
      </c>
      <c r="X1285" s="253">
        <f t="shared" si="312"/>
        <v>-5.9999999999999724E-5</v>
      </c>
      <c r="Y1285" s="253">
        <f t="shared" si="312"/>
        <v>-5.9999999999999724E-5</v>
      </c>
      <c r="Z1285" s="253">
        <f t="shared" si="312"/>
        <v>-5.9999999999999724E-5</v>
      </c>
      <c r="AA1285" s="253">
        <f t="shared" si="312"/>
        <v>-5.9999999999999724E-5</v>
      </c>
      <c r="AB1285" s="253">
        <f t="shared" si="312"/>
        <v>-5.9999999999999724E-5</v>
      </c>
      <c r="AC1285" s="253">
        <f t="shared" si="312"/>
        <v>-5.9999999999999724E-5</v>
      </c>
      <c r="AD1285" s="253">
        <f t="shared" si="312"/>
        <v>-5.9999999999999724E-5</v>
      </c>
      <c r="AE1285" s="76"/>
      <c r="AF1285" s="76"/>
      <c r="AG1285" s="76"/>
      <c r="AH1285" s="253">
        <f>AH1286</f>
        <v>1</v>
      </c>
      <c r="AI1285" s="253">
        <f>AI1286</f>
        <v>1</v>
      </c>
      <c r="AJ1285" s="73"/>
      <c r="AK1285" s="57"/>
      <c r="AL1285" s="45"/>
      <c r="AM1285" s="45"/>
      <c r="AN1285" s="45"/>
    </row>
    <row r="1286" spans="1:40" hidden="1" outlineLevel="2" x14ac:dyDescent="0.25">
      <c r="A1286" s="45"/>
      <c r="B1286" s="54"/>
      <c r="C1286" s="47">
        <f t="shared" si="307"/>
        <v>3</v>
      </c>
      <c r="D1286" s="73"/>
      <c r="E1286" s="70"/>
      <c r="F1286" s="70" t="s">
        <v>1898</v>
      </c>
      <c r="G1286" s="73"/>
      <c r="H1286" s="76" t="s">
        <v>1899</v>
      </c>
      <c r="I1286" s="96"/>
      <c r="J1286" s="96"/>
      <c r="K1286" s="76"/>
      <c r="L1286" s="76"/>
      <c r="M1286" s="76"/>
      <c r="N1286" s="76"/>
      <c r="O1286" s="76"/>
      <c r="P1286" s="76"/>
      <c r="Q1286" s="76"/>
      <c r="R1286" s="76"/>
      <c r="S1286" s="76"/>
      <c r="T1286" s="76"/>
      <c r="U1286" s="97">
        <f>1.99/1000-U$1284</f>
        <v>-5.9999999999999724E-5</v>
      </c>
      <c r="V1286" s="97">
        <f>1.99/1000-V$1284</f>
        <v>-5.9999999999999724E-5</v>
      </c>
      <c r="W1286" s="97">
        <f>1.99/1000-W$1284</f>
        <v>-5.9999999999999724E-5</v>
      </c>
      <c r="X1286" s="97">
        <f>1.99/1000-X$1284</f>
        <v>-5.9999999999999724E-5</v>
      </c>
      <c r="Y1286" s="97">
        <f>1.99/1000-Y$1284</f>
        <v>-5.9999999999999724E-5</v>
      </c>
      <c r="Z1286" s="255">
        <f t="shared" ref="Z1286:Z1291" si="313">AA1286</f>
        <v>-5.9999999999999724E-5</v>
      </c>
      <c r="AA1286" s="97">
        <f>1.99/1000-AA$1284</f>
        <v>-5.9999999999999724E-5</v>
      </c>
      <c r="AB1286" s="255">
        <f t="shared" ref="AB1286:AD1291" si="314">AA1286</f>
        <v>-5.9999999999999724E-5</v>
      </c>
      <c r="AC1286" s="255">
        <f t="shared" si="314"/>
        <v>-5.9999999999999724E-5</v>
      </c>
      <c r="AD1286" s="255">
        <f t="shared" si="314"/>
        <v>-5.9999999999999724E-5</v>
      </c>
      <c r="AE1286" s="76"/>
      <c r="AF1286" s="76"/>
      <c r="AG1286" s="76"/>
      <c r="AH1286" s="97">
        <v>1</v>
      </c>
      <c r="AI1286" s="97">
        <v>1</v>
      </c>
      <c r="AJ1286" s="73"/>
      <c r="AK1286" s="57"/>
      <c r="AL1286" s="45"/>
      <c r="AM1286" s="45"/>
      <c r="AN1286" s="45"/>
    </row>
    <row r="1287" spans="1:40" hidden="1" outlineLevel="2" x14ac:dyDescent="0.25">
      <c r="A1287" s="45"/>
      <c r="B1287" s="54"/>
      <c r="C1287" s="47">
        <f t="shared" si="307"/>
        <v>3</v>
      </c>
      <c r="D1287" s="73"/>
      <c r="E1287" s="70"/>
      <c r="F1287" s="70" t="s">
        <v>1900</v>
      </c>
      <c r="G1287" s="73"/>
      <c r="H1287" s="76" t="s">
        <v>1901</v>
      </c>
      <c r="I1287" s="96"/>
      <c r="J1287" s="96"/>
      <c r="K1287" s="76"/>
      <c r="L1287" s="76"/>
      <c r="M1287" s="76"/>
      <c r="N1287" s="76"/>
      <c r="O1287" s="76"/>
      <c r="P1287" s="76"/>
      <c r="Q1287" s="76"/>
      <c r="R1287" s="76"/>
      <c r="S1287" s="76"/>
      <c r="T1287" s="76"/>
      <c r="U1287" s="97">
        <f>1.4/1000-U$1284</f>
        <v>-6.4999999999999975E-4</v>
      </c>
      <c r="V1287" s="97">
        <f>1.4/1000-V$1284</f>
        <v>-6.4999999999999975E-4</v>
      </c>
      <c r="W1287" s="97">
        <f>1.4/1000-W$1284</f>
        <v>-6.4999999999999975E-4</v>
      </c>
      <c r="X1287" s="97">
        <f>1.4/1000-X$1284</f>
        <v>-6.4999999999999975E-4</v>
      </c>
      <c r="Y1287" s="97">
        <f>1.4/1000-Y$1284</f>
        <v>-6.4999999999999975E-4</v>
      </c>
      <c r="Z1287" s="255">
        <f t="shared" si="313"/>
        <v>-6.4999999999999975E-4</v>
      </c>
      <c r="AA1287" s="97">
        <f>1.4/1000-AA$1284</f>
        <v>-6.4999999999999975E-4</v>
      </c>
      <c r="AB1287" s="255">
        <f t="shared" si="314"/>
        <v>-6.4999999999999975E-4</v>
      </c>
      <c r="AC1287" s="255">
        <f t="shared" si="314"/>
        <v>-6.4999999999999975E-4</v>
      </c>
      <c r="AD1287" s="255">
        <f t="shared" si="314"/>
        <v>-6.4999999999999975E-4</v>
      </c>
      <c r="AE1287" s="76"/>
      <c r="AF1287" s="76"/>
      <c r="AG1287" s="76"/>
      <c r="AH1287" s="97">
        <v>1</v>
      </c>
      <c r="AI1287" s="97">
        <v>1</v>
      </c>
      <c r="AJ1287" s="73"/>
      <c r="AK1287" s="57"/>
      <c r="AL1287" s="45"/>
      <c r="AM1287" s="45"/>
      <c r="AN1287" s="45"/>
    </row>
    <row r="1288" spans="1:40" hidden="1" outlineLevel="2" x14ac:dyDescent="0.25">
      <c r="A1288" s="45"/>
      <c r="B1288" s="54"/>
      <c r="C1288" s="47">
        <f t="shared" si="307"/>
        <v>3</v>
      </c>
      <c r="D1288" s="73"/>
      <c r="E1288" s="70"/>
      <c r="F1288" s="70" t="s">
        <v>1902</v>
      </c>
      <c r="G1288" s="73"/>
      <c r="H1288" s="76" t="s">
        <v>1903</v>
      </c>
      <c r="I1288" s="76"/>
      <c r="J1288" s="76"/>
      <c r="K1288" s="76"/>
      <c r="L1288" s="76"/>
      <c r="M1288" s="76"/>
      <c r="N1288" s="76"/>
      <c r="O1288" s="76"/>
      <c r="P1288" s="76"/>
      <c r="Q1288" s="76"/>
      <c r="R1288" s="76"/>
      <c r="S1288" s="76"/>
      <c r="T1288" s="76"/>
      <c r="U1288" s="97">
        <f>0-U$1284</f>
        <v>-2.0499999999999997E-3</v>
      </c>
      <c r="V1288" s="97">
        <f>0-V$1284</f>
        <v>-2.0499999999999997E-3</v>
      </c>
      <c r="W1288" s="97">
        <f>0-W$1284</f>
        <v>-2.0499999999999997E-3</v>
      </c>
      <c r="X1288" s="97">
        <f>0-X$1284</f>
        <v>-2.0499999999999997E-3</v>
      </c>
      <c r="Y1288" s="97">
        <f>0-Y$1284</f>
        <v>-2.0499999999999997E-3</v>
      </c>
      <c r="Z1288" s="255">
        <f t="shared" si="313"/>
        <v>-2.0499999999999997E-3</v>
      </c>
      <c r="AA1288" s="97">
        <f>0-AA$1284</f>
        <v>-2.0499999999999997E-3</v>
      </c>
      <c r="AB1288" s="255">
        <f t="shared" si="314"/>
        <v>-2.0499999999999997E-3</v>
      </c>
      <c r="AC1288" s="255">
        <f t="shared" si="314"/>
        <v>-2.0499999999999997E-3</v>
      </c>
      <c r="AD1288" s="255">
        <f t="shared" si="314"/>
        <v>-2.0499999999999997E-3</v>
      </c>
      <c r="AE1288" s="76"/>
      <c r="AF1288" s="76"/>
      <c r="AG1288" s="76"/>
      <c r="AH1288" s="97">
        <v>1</v>
      </c>
      <c r="AI1288" s="97">
        <v>1</v>
      </c>
      <c r="AJ1288" s="73"/>
      <c r="AK1288" s="57"/>
      <c r="AL1288" s="45"/>
      <c r="AM1288" s="45"/>
      <c r="AN1288" s="45"/>
    </row>
    <row r="1289" spans="1:40" hidden="1" outlineLevel="2" x14ac:dyDescent="0.25">
      <c r="A1289" s="45"/>
      <c r="B1289" s="54"/>
      <c r="C1289" s="47">
        <f t="shared" si="307"/>
        <v>3</v>
      </c>
      <c r="D1289" s="73"/>
      <c r="E1289" s="70"/>
      <c r="F1289" s="70" t="s">
        <v>1904</v>
      </c>
      <c r="G1289" s="73"/>
      <c r="H1289" s="76" t="s">
        <v>1905</v>
      </c>
      <c r="I1289" s="76"/>
      <c r="J1289" s="76"/>
      <c r="K1289" s="76"/>
      <c r="L1289" s="76"/>
      <c r="M1289" s="76"/>
      <c r="N1289" s="76"/>
      <c r="O1289" s="76"/>
      <c r="P1289" s="76"/>
      <c r="Q1289" s="76"/>
      <c r="R1289" s="76"/>
      <c r="S1289" s="76"/>
      <c r="T1289" s="76"/>
      <c r="U1289" s="97">
        <f>0.102/1000</f>
        <v>1.02E-4</v>
      </c>
      <c r="V1289" s="97">
        <f>0.102/1000</f>
        <v>1.02E-4</v>
      </c>
      <c r="W1289" s="97">
        <f>0.102/1000</f>
        <v>1.02E-4</v>
      </c>
      <c r="X1289" s="97">
        <f>0.102/1000</f>
        <v>1.02E-4</v>
      </c>
      <c r="Y1289" s="97">
        <f>0.102/1000</f>
        <v>1.02E-4</v>
      </c>
      <c r="Z1289" s="255">
        <f t="shared" si="313"/>
        <v>1.02E-4</v>
      </c>
      <c r="AA1289" s="97">
        <f>0.102/1000</f>
        <v>1.02E-4</v>
      </c>
      <c r="AB1289" s="255">
        <f t="shared" si="314"/>
        <v>1.02E-4</v>
      </c>
      <c r="AC1289" s="255">
        <f t="shared" si="314"/>
        <v>1.02E-4</v>
      </c>
      <c r="AD1289" s="255">
        <f t="shared" si="314"/>
        <v>1.02E-4</v>
      </c>
      <c r="AE1289" s="76"/>
      <c r="AF1289" s="76"/>
      <c r="AG1289" s="76"/>
      <c r="AH1289" s="97">
        <v>1</v>
      </c>
      <c r="AI1289" s="97">
        <v>1</v>
      </c>
      <c r="AJ1289" s="73"/>
      <c r="AK1289" s="57"/>
      <c r="AL1289" s="45"/>
      <c r="AM1289" s="45"/>
      <c r="AN1289" s="45"/>
    </row>
    <row r="1290" spans="1:40" hidden="1" outlineLevel="2" x14ac:dyDescent="0.25">
      <c r="A1290" s="45"/>
      <c r="B1290" s="54"/>
      <c r="C1290" s="47">
        <f t="shared" si="307"/>
        <v>3</v>
      </c>
      <c r="D1290" s="73"/>
      <c r="E1290" s="70"/>
      <c r="F1290" s="70" t="s">
        <v>1906</v>
      </c>
      <c r="G1290" s="73"/>
      <c r="H1290" s="76" t="s">
        <v>1907</v>
      </c>
      <c r="I1290" s="76"/>
      <c r="J1290" s="76"/>
      <c r="K1290" s="76"/>
      <c r="L1290" s="76"/>
      <c r="M1290" s="76"/>
      <c r="N1290" s="76"/>
      <c r="O1290" s="76"/>
      <c r="P1290" s="76"/>
      <c r="Q1290" s="76"/>
      <c r="R1290" s="76"/>
      <c r="S1290" s="76"/>
      <c r="T1290" s="76"/>
      <c r="U1290" s="97">
        <f>-0.000019/1000</f>
        <v>-1.9000000000000001E-8</v>
      </c>
      <c r="V1290" s="97">
        <f>-0.000019/1000</f>
        <v>-1.9000000000000001E-8</v>
      </c>
      <c r="W1290" s="97">
        <f>-0.000019/1000</f>
        <v>-1.9000000000000001E-8</v>
      </c>
      <c r="X1290" s="97">
        <f>-0.000019/1000</f>
        <v>-1.9000000000000001E-8</v>
      </c>
      <c r="Y1290" s="97">
        <f>-0.000019/1000</f>
        <v>-1.9000000000000001E-8</v>
      </c>
      <c r="Z1290" s="255">
        <f t="shared" si="313"/>
        <v>-1.9000000000000001E-8</v>
      </c>
      <c r="AA1290" s="97">
        <f>-0.000019/1000</f>
        <v>-1.9000000000000001E-8</v>
      </c>
      <c r="AB1290" s="255">
        <f t="shared" si="314"/>
        <v>-1.9000000000000001E-8</v>
      </c>
      <c r="AC1290" s="255">
        <f t="shared" si="314"/>
        <v>-1.9000000000000001E-8</v>
      </c>
      <c r="AD1290" s="255">
        <f t="shared" si="314"/>
        <v>-1.9000000000000001E-8</v>
      </c>
      <c r="AE1290" s="76"/>
      <c r="AF1290" s="76"/>
      <c r="AG1290" s="76"/>
      <c r="AH1290" s="97">
        <v>1</v>
      </c>
      <c r="AI1290" s="97">
        <v>1</v>
      </c>
      <c r="AJ1290" s="73"/>
      <c r="AK1290" s="57"/>
      <c r="AL1290" s="45"/>
      <c r="AM1290" s="45"/>
      <c r="AN1290" s="45"/>
    </row>
    <row r="1291" spans="1:40" hidden="1" outlineLevel="2" x14ac:dyDescent="0.25">
      <c r="A1291" s="45"/>
      <c r="B1291" s="54"/>
      <c r="C1291" s="47">
        <f t="shared" si="307"/>
        <v>3</v>
      </c>
      <c r="D1291" s="73"/>
      <c r="E1291" s="70"/>
      <c r="F1291" s="70" t="s">
        <v>1908</v>
      </c>
      <c r="G1291" s="73"/>
      <c r="H1291" s="76" t="s">
        <v>1909</v>
      </c>
      <c r="I1291" s="76"/>
      <c r="J1291" s="76"/>
      <c r="K1291" s="76"/>
      <c r="L1291" s="76"/>
      <c r="M1291" s="76"/>
      <c r="N1291" s="76"/>
      <c r="O1291" s="76"/>
      <c r="P1291" s="76"/>
      <c r="Q1291" s="76"/>
      <c r="R1291" s="76"/>
      <c r="S1291" s="76"/>
      <c r="T1291" s="76"/>
      <c r="U1291" s="97">
        <f>14.9/1000</f>
        <v>1.49E-2</v>
      </c>
      <c r="V1291" s="97">
        <f>14.9/1000</f>
        <v>1.49E-2</v>
      </c>
      <c r="W1291" s="97">
        <f>14.9/1000</f>
        <v>1.49E-2</v>
      </c>
      <c r="X1291" s="97">
        <f>14.9/1000</f>
        <v>1.49E-2</v>
      </c>
      <c r="Y1291" s="97">
        <f>14.9/1000</f>
        <v>1.49E-2</v>
      </c>
      <c r="Z1291" s="255">
        <f t="shared" si="313"/>
        <v>1.49E-2</v>
      </c>
      <c r="AA1291" s="97">
        <f>14.9/1000</f>
        <v>1.49E-2</v>
      </c>
      <c r="AB1291" s="255">
        <f t="shared" si="314"/>
        <v>1.49E-2</v>
      </c>
      <c r="AC1291" s="255">
        <f t="shared" si="314"/>
        <v>1.49E-2</v>
      </c>
      <c r="AD1291" s="255">
        <f t="shared" si="314"/>
        <v>1.49E-2</v>
      </c>
      <c r="AE1291" s="76"/>
      <c r="AF1291" s="76"/>
      <c r="AG1291" s="76"/>
      <c r="AH1291" s="97">
        <v>1</v>
      </c>
      <c r="AI1291" s="97">
        <v>1</v>
      </c>
      <c r="AJ1291" s="73"/>
      <c r="AK1291" s="57"/>
      <c r="AL1291" s="45"/>
      <c r="AM1291" s="45"/>
      <c r="AN1291" s="45"/>
    </row>
    <row r="1292" spans="1:40" hidden="1" outlineLevel="2" x14ac:dyDescent="0.25">
      <c r="A1292" s="45"/>
      <c r="B1292" s="54"/>
      <c r="C1292" s="47">
        <f>INT($C$29)+2</f>
        <v>3</v>
      </c>
      <c r="D1292" s="73"/>
      <c r="E1292" s="406"/>
      <c r="F1292" s="406" t="s">
        <v>3352</v>
      </c>
      <c r="G1292" s="407"/>
      <c r="H1292" s="76" t="s">
        <v>604</v>
      </c>
      <c r="I1292" s="76"/>
      <c r="J1292" s="76"/>
      <c r="K1292" s="76"/>
      <c r="L1292" s="76"/>
      <c r="M1292" s="76"/>
      <c r="N1292" s="76"/>
      <c r="O1292" s="76"/>
      <c r="P1292" s="76"/>
      <c r="Q1292" s="76"/>
      <c r="R1292" s="76"/>
      <c r="S1292" s="76"/>
      <c r="T1292" s="76"/>
      <c r="U1292" s="76"/>
      <c r="V1292" s="76"/>
      <c r="W1292" s="76"/>
      <c r="X1292" s="76"/>
      <c r="Y1292" s="76"/>
      <c r="Z1292" s="76"/>
      <c r="AA1292" s="76"/>
      <c r="AB1292" s="76"/>
      <c r="AC1292" s="76"/>
      <c r="AD1292" s="76"/>
      <c r="AE1292" s="76"/>
      <c r="AF1292" s="76"/>
      <c r="AG1292" s="76"/>
      <c r="AH1292" s="76">
        <v>1</v>
      </c>
      <c r="AI1292" s="76">
        <v>1</v>
      </c>
      <c r="AJ1292" s="73"/>
      <c r="AK1292" s="57"/>
      <c r="AL1292" s="45"/>
      <c r="AM1292" s="45"/>
      <c r="AN1292" s="45"/>
    </row>
    <row r="1293" spans="1:40" hidden="1" outlineLevel="2" x14ac:dyDescent="0.25">
      <c r="A1293" s="45"/>
      <c r="B1293" s="54"/>
      <c r="C1293" s="47">
        <f>INT($C$29)+2</f>
        <v>3</v>
      </c>
      <c r="D1293" s="73"/>
      <c r="E1293" s="70"/>
      <c r="F1293" s="70" t="s">
        <v>3353</v>
      </c>
      <c r="G1293" s="234"/>
      <c r="H1293" s="76"/>
      <c r="I1293" s="76"/>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v>1</v>
      </c>
      <c r="AI1293" s="76">
        <v>1</v>
      </c>
      <c r="AJ1293" s="73"/>
      <c r="AK1293" s="57"/>
      <c r="AL1293" s="45"/>
      <c r="AM1293" s="45"/>
      <c r="AN1293" s="45"/>
    </row>
    <row r="1294" spans="1:40" hidden="1" outlineLevel="2" x14ac:dyDescent="0.25">
      <c r="A1294" s="45"/>
      <c r="B1294" s="54"/>
      <c r="C1294" s="47">
        <f>INT($C$29)+2</f>
        <v>3</v>
      </c>
      <c r="D1294" s="73"/>
      <c r="E1294" s="70"/>
      <c r="F1294" s="70" t="s">
        <v>3354</v>
      </c>
      <c r="G1294" s="234"/>
      <c r="H1294" s="76"/>
      <c r="I1294" s="76"/>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v>1</v>
      </c>
      <c r="AI1294" s="76">
        <v>1</v>
      </c>
      <c r="AJ1294" s="73"/>
      <c r="AK1294" s="57"/>
      <c r="AL1294" s="45"/>
      <c r="AM1294" s="45"/>
      <c r="AN1294" s="45"/>
    </row>
    <row r="1295" spans="1:40" hidden="1" outlineLevel="2" x14ac:dyDescent="0.25">
      <c r="A1295" s="45"/>
      <c r="B1295" s="54"/>
      <c r="C1295" s="47">
        <f>INT($C$29)+2</f>
        <v>3</v>
      </c>
      <c r="D1295" s="73"/>
      <c r="E1295" s="70"/>
      <c r="F1295" s="70" t="s">
        <v>3355</v>
      </c>
      <c r="G1295" s="234"/>
      <c r="H1295" s="76"/>
      <c r="I1295" s="76"/>
      <c r="J1295" s="76"/>
      <c r="K1295" s="76"/>
      <c r="L1295" s="76"/>
      <c r="M1295" s="76"/>
      <c r="N1295" s="76"/>
      <c r="O1295" s="76"/>
      <c r="P1295" s="76"/>
      <c r="Q1295" s="76"/>
      <c r="R1295" s="76"/>
      <c r="S1295" s="76"/>
      <c r="T1295" s="76"/>
      <c r="U1295" s="76"/>
      <c r="V1295" s="76"/>
      <c r="W1295" s="76"/>
      <c r="X1295" s="76"/>
      <c r="Y1295" s="76"/>
      <c r="Z1295" s="76"/>
      <c r="AA1295" s="76"/>
      <c r="AB1295" s="76"/>
      <c r="AC1295" s="76"/>
      <c r="AD1295" s="76"/>
      <c r="AE1295" s="76"/>
      <c r="AF1295" s="76"/>
      <c r="AG1295" s="76"/>
      <c r="AH1295" s="76">
        <v>1</v>
      </c>
      <c r="AI1295" s="76">
        <v>1</v>
      </c>
      <c r="AJ1295" s="73"/>
      <c r="AK1295" s="57"/>
      <c r="AL1295" s="45"/>
      <c r="AM1295" s="45"/>
      <c r="AN1295" s="45"/>
    </row>
    <row r="1296" spans="1:40" hidden="1" outlineLevel="2" x14ac:dyDescent="0.25">
      <c r="A1296" s="45"/>
      <c r="B1296" s="54"/>
      <c r="C1296" s="47">
        <f>INT($C$29)+3</f>
        <v>4</v>
      </c>
      <c r="D1296" s="73"/>
      <c r="E1296" s="70"/>
      <c r="F1296" s="70" t="s">
        <v>3356</v>
      </c>
      <c r="G1296" s="234"/>
      <c r="H1296" s="76"/>
      <c r="I1296" s="76"/>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hidden="1" outlineLevel="2" collapsed="1" x14ac:dyDescent="0.25">
      <c r="A1297" s="45"/>
      <c r="B1297" s="54"/>
      <c r="C1297" s="47">
        <f>INT($C$29)+3</f>
        <v>4</v>
      </c>
      <c r="D1297" s="73"/>
      <c r="E1297" s="70"/>
      <c r="F1297" s="70" t="s">
        <v>3357</v>
      </c>
      <c r="G1297" s="234"/>
      <c r="H1297" s="76"/>
      <c r="I1297" s="76"/>
      <c r="J1297" s="76"/>
      <c r="K1297" s="76"/>
      <c r="L1297" s="76"/>
      <c r="M1297" s="76"/>
      <c r="N1297" s="76"/>
      <c r="O1297" s="76"/>
      <c r="P1297" s="76"/>
      <c r="Q1297" s="76"/>
      <c r="R1297" s="76"/>
      <c r="S1297" s="76"/>
      <c r="T1297" s="76"/>
      <c r="U1297" s="76"/>
      <c r="V1297" s="76"/>
      <c r="W1297" s="76"/>
      <c r="X1297" s="76"/>
      <c r="Y1297" s="76"/>
      <c r="Z1297" s="76"/>
      <c r="AA1297" s="76"/>
      <c r="AB1297" s="76"/>
      <c r="AC1297" s="76"/>
      <c r="AD1297" s="76"/>
      <c r="AE1297" s="76"/>
      <c r="AF1297" s="76"/>
      <c r="AG1297" s="76"/>
      <c r="AH1297" s="76">
        <v>1</v>
      </c>
      <c r="AI1297" s="76">
        <v>1</v>
      </c>
      <c r="AJ1297" s="73"/>
      <c r="AK1297" s="57"/>
      <c r="AL1297" s="45"/>
      <c r="AM1297" s="45"/>
      <c r="AN1297" s="45"/>
    </row>
    <row r="1298" spans="1:40" hidden="1" outlineLevel="3" x14ac:dyDescent="0.25">
      <c r="A1298" s="45"/>
      <c r="B1298" s="54"/>
      <c r="C1298" s="47">
        <f>INT($C$29)+3</f>
        <v>4</v>
      </c>
      <c r="D1298" s="73"/>
      <c r="E1298" s="70"/>
      <c r="F1298" s="70" t="s">
        <v>3358</v>
      </c>
      <c r="G1298" s="234"/>
      <c r="H1298" s="76"/>
      <c r="I1298" s="76"/>
      <c r="J1298" s="76"/>
      <c r="K1298" s="76"/>
      <c r="L1298" s="76"/>
      <c r="M1298" s="76"/>
      <c r="N1298" s="76"/>
      <c r="O1298" s="76"/>
      <c r="P1298" s="76"/>
      <c r="Q1298" s="76"/>
      <c r="R1298" s="76"/>
      <c r="S1298" s="76"/>
      <c r="T1298" s="76"/>
      <c r="U1298" s="76"/>
      <c r="V1298" s="76"/>
      <c r="W1298" s="76"/>
      <c r="X1298" s="76"/>
      <c r="Y1298" s="76"/>
      <c r="Z1298" s="76"/>
      <c r="AA1298" s="76"/>
      <c r="AB1298" s="76"/>
      <c r="AC1298" s="76"/>
      <c r="AD1298" s="76"/>
      <c r="AE1298" s="76"/>
      <c r="AF1298" s="76"/>
      <c r="AG1298" s="76"/>
      <c r="AH1298" s="76">
        <v>1</v>
      </c>
      <c r="AI1298" s="76">
        <v>1</v>
      </c>
      <c r="AJ1298" s="73"/>
      <c r="AK1298" s="57"/>
      <c r="AL1298" s="45"/>
      <c r="AM1298" s="45"/>
      <c r="AN1298" s="45"/>
    </row>
    <row r="1299" spans="1:40" hidden="1" outlineLevel="2" x14ac:dyDescent="0.25">
      <c r="A1299" s="45"/>
      <c r="B1299" s="54"/>
      <c r="C1299" s="47">
        <f t="shared" ref="C1299" si="315">INT($C$29)+2</f>
        <v>3</v>
      </c>
      <c r="D1299" s="73"/>
      <c r="E1299" s="410"/>
      <c r="F1299" s="410" t="s">
        <v>3359</v>
      </c>
      <c r="G1299" s="411"/>
      <c r="H1299" s="109"/>
      <c r="I1299" s="109"/>
      <c r="J1299" s="109"/>
      <c r="K1299" s="109"/>
      <c r="L1299" s="109"/>
      <c r="M1299" s="109"/>
      <c r="N1299" s="109"/>
      <c r="O1299" s="109"/>
      <c r="P1299" s="109"/>
      <c r="Q1299" s="109"/>
      <c r="R1299" s="109"/>
      <c r="S1299" s="109"/>
      <c r="T1299" s="109"/>
      <c r="U1299" s="109"/>
      <c r="V1299" s="109"/>
      <c r="W1299" s="109"/>
      <c r="X1299" s="109"/>
      <c r="Y1299" s="109"/>
      <c r="Z1299" s="109"/>
      <c r="AA1299" s="109"/>
      <c r="AB1299" s="109"/>
      <c r="AC1299" s="109"/>
      <c r="AD1299" s="109"/>
      <c r="AE1299" s="109"/>
      <c r="AF1299" s="109"/>
      <c r="AG1299" s="109"/>
      <c r="AH1299" s="109">
        <v>1</v>
      </c>
      <c r="AI1299" s="109">
        <v>1</v>
      </c>
      <c r="AJ1299" s="73"/>
      <c r="AK1299" s="57"/>
      <c r="AL1299" s="45"/>
      <c r="AM1299" s="45"/>
      <c r="AN1299" s="45"/>
    </row>
    <row r="1300" spans="1:40" outlineLevel="1" collapsed="1" x14ac:dyDescent="0.25">
      <c r="A1300" s="45"/>
      <c r="B1300" s="54"/>
      <c r="C1300" s="47">
        <f>INT($C$29)+1</f>
        <v>2</v>
      </c>
      <c r="D1300" s="73"/>
      <c r="E1300" s="70"/>
      <c r="F1300" s="265" t="s">
        <v>1703</v>
      </c>
      <c r="G1300" s="73"/>
      <c r="H1300" s="267" t="s">
        <v>2633</v>
      </c>
      <c r="I1300" s="129"/>
      <c r="J1300" s="129" t="s">
        <v>1045</v>
      </c>
      <c r="K1300" s="76"/>
      <c r="L1300" s="76"/>
      <c r="M1300" s="76"/>
      <c r="N1300" s="76"/>
      <c r="O1300" s="76"/>
      <c r="P1300" s="76"/>
      <c r="Q1300" s="76"/>
      <c r="R1300" s="76"/>
      <c r="S1300" s="76"/>
      <c r="T1300" s="76"/>
      <c r="U1300" s="79">
        <v>28</v>
      </c>
      <c r="V1300" s="79">
        <v>15</v>
      </c>
      <c r="W1300" s="79">
        <v>-15</v>
      </c>
      <c r="X1300" s="76"/>
      <c r="Y1300" s="76"/>
      <c r="Z1300" s="76"/>
      <c r="AA1300" s="76"/>
      <c r="AB1300" s="76"/>
      <c r="AC1300" s="76"/>
      <c r="AD1300" s="76"/>
      <c r="AE1300" s="76"/>
      <c r="AF1300" s="76"/>
      <c r="AG1300" s="76"/>
      <c r="AH1300" s="76"/>
      <c r="AI1300" s="76"/>
      <c r="AJ1300" s="73"/>
      <c r="AK1300" s="57"/>
      <c r="AL1300" s="45"/>
      <c r="AM1300" s="45"/>
      <c r="AN1300" s="45"/>
    </row>
    <row r="1301" spans="1:40" hidden="1" outlineLevel="2" collapsed="1" x14ac:dyDescent="0.25">
      <c r="A1301" s="45"/>
      <c r="B1301" s="54"/>
      <c r="C1301" s="47">
        <f t="shared" ref="C1301:C1320" si="316">INT($C$29)+3</f>
        <v>4</v>
      </c>
      <c r="D1301" s="73"/>
      <c r="E1301" s="70"/>
      <c r="F1301" s="70" t="s">
        <v>1910</v>
      </c>
      <c r="G1301" s="73"/>
      <c r="H1301" s="76" t="s">
        <v>3506</v>
      </c>
      <c r="I1301" s="96" t="s">
        <v>2332</v>
      </c>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hidden="1" outlineLevel="3" x14ac:dyDescent="0.25">
      <c r="A1302" s="45"/>
      <c r="B1302" s="54"/>
      <c r="C1302" s="47">
        <f t="shared" si="316"/>
        <v>4</v>
      </c>
      <c r="D1302" s="73"/>
      <c r="E1302" s="70"/>
      <c r="F1302" s="70" t="s">
        <v>1911</v>
      </c>
      <c r="G1302" s="73"/>
      <c r="H1302" s="76" t="s">
        <v>1912</v>
      </c>
      <c r="I1302" s="96" t="s">
        <v>2333</v>
      </c>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hidden="1" outlineLevel="3" x14ac:dyDescent="0.25">
      <c r="A1303" s="45"/>
      <c r="B1303" s="54"/>
      <c r="C1303" s="47">
        <f t="shared" si="316"/>
        <v>4</v>
      </c>
      <c r="D1303" s="73"/>
      <c r="E1303" s="70"/>
      <c r="F1303" s="70" t="s">
        <v>1913</v>
      </c>
      <c r="G1303" s="73"/>
      <c r="H1303" s="76" t="s">
        <v>1914</v>
      </c>
      <c r="I1303" s="96" t="s">
        <v>2334</v>
      </c>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hidden="1" outlineLevel="3" x14ac:dyDescent="0.25">
      <c r="A1304" s="45"/>
      <c r="B1304" s="54"/>
      <c r="C1304" s="47">
        <f t="shared" si="316"/>
        <v>4</v>
      </c>
      <c r="D1304" s="73"/>
      <c r="E1304" s="70"/>
      <c r="F1304" s="70" t="s">
        <v>1915</v>
      </c>
      <c r="G1304" s="73"/>
      <c r="H1304" s="76" t="s">
        <v>2367</v>
      </c>
      <c r="I1304" s="96" t="s">
        <v>2368</v>
      </c>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hidden="1" outlineLevel="3" x14ac:dyDescent="0.25">
      <c r="A1305" s="45"/>
      <c r="B1305" s="54"/>
      <c r="C1305" s="47">
        <f t="shared" si="316"/>
        <v>4</v>
      </c>
      <c r="D1305" s="73"/>
      <c r="E1305" s="70"/>
      <c r="F1305" s="70" t="s">
        <v>1917</v>
      </c>
      <c r="G1305" s="73"/>
      <c r="H1305" s="76" t="s">
        <v>1916</v>
      </c>
      <c r="I1305" s="96" t="s">
        <v>2335</v>
      </c>
      <c r="J1305" s="76"/>
      <c r="K1305" s="76"/>
      <c r="L1305" s="76"/>
      <c r="M1305" s="76"/>
      <c r="N1305" s="76"/>
      <c r="O1305" s="76"/>
      <c r="P1305" s="76"/>
      <c r="Q1305" s="76"/>
      <c r="R1305" s="76"/>
      <c r="S1305" s="76"/>
      <c r="T1305" s="76"/>
      <c r="U1305" s="76"/>
      <c r="V1305" s="76"/>
      <c r="W1305" s="76"/>
      <c r="X1305" s="76"/>
      <c r="Y1305" s="76"/>
      <c r="Z1305" s="76"/>
      <c r="AA1305" s="76"/>
      <c r="AB1305" s="76"/>
      <c r="AC1305" s="76"/>
      <c r="AD1305" s="76"/>
      <c r="AE1305" s="76"/>
      <c r="AF1305" s="76"/>
      <c r="AG1305" s="76"/>
      <c r="AH1305" s="76">
        <v>1</v>
      </c>
      <c r="AI1305" s="76">
        <v>1</v>
      </c>
      <c r="AJ1305" s="73"/>
      <c r="AK1305" s="57"/>
      <c r="AL1305" s="45"/>
      <c r="AM1305" s="45"/>
      <c r="AN1305" s="45"/>
    </row>
    <row r="1306" spans="1:40" hidden="1" outlineLevel="3" x14ac:dyDescent="0.25">
      <c r="A1306" s="45"/>
      <c r="B1306" s="54"/>
      <c r="C1306" s="47">
        <f t="shared" si="316"/>
        <v>4</v>
      </c>
      <c r="D1306" s="73"/>
      <c r="E1306" s="70"/>
      <c r="F1306" s="70" t="s">
        <v>2373</v>
      </c>
      <c r="G1306" s="73"/>
      <c r="H1306" s="76" t="s">
        <v>1918</v>
      </c>
      <c r="I1306" s="96" t="s">
        <v>2336</v>
      </c>
      <c r="J1306" s="76"/>
      <c r="K1306" s="76"/>
      <c r="L1306" s="76"/>
      <c r="M1306" s="76"/>
      <c r="N1306" s="76"/>
      <c r="O1306" s="76"/>
      <c r="P1306" s="76"/>
      <c r="Q1306" s="76"/>
      <c r="R1306" s="76"/>
      <c r="S1306" s="76"/>
      <c r="T1306" s="76"/>
      <c r="U1306" s="76"/>
      <c r="V1306" s="76"/>
      <c r="W1306" s="76"/>
      <c r="X1306" s="76"/>
      <c r="Y1306" s="76"/>
      <c r="Z1306" s="76"/>
      <c r="AA1306" s="76"/>
      <c r="AB1306" s="76"/>
      <c r="AC1306" s="76"/>
      <c r="AD1306" s="76"/>
      <c r="AE1306" s="76"/>
      <c r="AF1306" s="76"/>
      <c r="AG1306" s="76"/>
      <c r="AH1306" s="76">
        <v>1</v>
      </c>
      <c r="AI1306" s="76">
        <v>1</v>
      </c>
      <c r="AJ1306" s="73"/>
      <c r="AK1306" s="57"/>
      <c r="AL1306" s="45"/>
      <c r="AM1306" s="45"/>
      <c r="AN1306" s="45"/>
    </row>
    <row r="1307" spans="1:40" hidden="1" outlineLevel="3" x14ac:dyDescent="0.25">
      <c r="A1307" s="45"/>
      <c r="B1307" s="54"/>
      <c r="C1307" s="47">
        <f t="shared" si="316"/>
        <v>4</v>
      </c>
      <c r="D1307" s="73"/>
      <c r="E1307" s="70"/>
      <c r="F1307" s="70" t="s">
        <v>2374</v>
      </c>
      <c r="G1307" s="73"/>
      <c r="H1307" s="76" t="s">
        <v>2369</v>
      </c>
      <c r="I1307" s="96" t="s">
        <v>2370</v>
      </c>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hidden="1" outlineLevel="3" x14ac:dyDescent="0.25">
      <c r="A1308" s="45"/>
      <c r="B1308" s="54"/>
      <c r="C1308" s="47">
        <f t="shared" si="316"/>
        <v>4</v>
      </c>
      <c r="D1308" s="73"/>
      <c r="E1308" s="70"/>
      <c r="F1308" s="70" t="s">
        <v>2375</v>
      </c>
      <c r="G1308" s="73"/>
      <c r="H1308" s="76" t="s">
        <v>2371</v>
      </c>
      <c r="I1308" s="96" t="s">
        <v>2372</v>
      </c>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3" x14ac:dyDescent="0.25">
      <c r="A1309" s="45"/>
      <c r="B1309" s="54"/>
      <c r="C1309" s="47">
        <f t="shared" si="316"/>
        <v>4</v>
      </c>
      <c r="D1309" s="73"/>
      <c r="E1309" s="70"/>
      <c r="F1309" s="70" t="str">
        <f>SUBSTITUTE(F1305,",4)",",8)")</f>
        <v>C(U2,0,8)</v>
      </c>
      <c r="G1309" s="73"/>
      <c r="H1309" s="76" t="s">
        <v>2725</v>
      </c>
      <c r="I1309" s="96" t="s">
        <v>2729</v>
      </c>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3" x14ac:dyDescent="0.25">
      <c r="A1310" s="45"/>
      <c r="B1310" s="54"/>
      <c r="C1310" s="47">
        <f t="shared" si="316"/>
        <v>4</v>
      </c>
      <c r="D1310" s="73"/>
      <c r="E1310" s="70"/>
      <c r="F1310" s="70" t="str">
        <f>SUBSTITUTE(F1306,",5)",",9)")</f>
        <v>C(U2,0,9)</v>
      </c>
      <c r="G1310" s="73"/>
      <c r="H1310" s="76" t="s">
        <v>2726</v>
      </c>
      <c r="I1310" s="96" t="s">
        <v>2730</v>
      </c>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3" x14ac:dyDescent="0.25">
      <c r="A1311" s="45"/>
      <c r="B1311" s="54"/>
      <c r="C1311" s="47">
        <f t="shared" si="316"/>
        <v>4</v>
      </c>
      <c r="D1311" s="73"/>
      <c r="E1311" s="70"/>
      <c r="F1311" s="70" t="str">
        <f>SUBSTITUTE(F1307,",6)",",10)")</f>
        <v>C(U2,0,10)</v>
      </c>
      <c r="G1311" s="73"/>
      <c r="H1311" s="76" t="s">
        <v>2727</v>
      </c>
      <c r="I1311" s="96" t="s">
        <v>2731</v>
      </c>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3" x14ac:dyDescent="0.25">
      <c r="A1312" s="45"/>
      <c r="B1312" s="54"/>
      <c r="C1312" s="47">
        <f t="shared" si="316"/>
        <v>4</v>
      </c>
      <c r="D1312" s="73"/>
      <c r="E1312" s="70"/>
      <c r="F1312" s="70" t="str">
        <f>SUBSTITUTE(F1308,",7)",",11)")</f>
        <v>C(U2,0,11)</v>
      </c>
      <c r="G1312" s="73"/>
      <c r="H1312" s="76" t="s">
        <v>2728</v>
      </c>
      <c r="I1312" s="96" t="s">
        <v>2732</v>
      </c>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3" x14ac:dyDescent="0.25">
      <c r="A1313" s="45"/>
      <c r="B1313" s="54"/>
      <c r="C1313" s="47">
        <f t="shared" si="316"/>
        <v>4</v>
      </c>
      <c r="D1313" s="73"/>
      <c r="E1313" s="70"/>
      <c r="F1313" s="70" t="str">
        <f>SUBSTITUTE(F1308,",7)",",12)")</f>
        <v>C(U2,0,12)</v>
      </c>
      <c r="G1313" s="73"/>
      <c r="H1313" s="76" t="s">
        <v>3345</v>
      </c>
      <c r="I1313" s="96" t="s">
        <v>2731</v>
      </c>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f t="shared" si="316"/>
        <v>4</v>
      </c>
      <c r="D1314" s="73"/>
      <c r="E1314" s="70"/>
      <c r="F1314" s="70" t="str">
        <f>SUBSTITUTE(F1308,",7)",",13)")</f>
        <v>C(U2,0,13)</v>
      </c>
      <c r="G1314" s="73"/>
      <c r="H1314" s="76" t="s">
        <v>3346</v>
      </c>
      <c r="I1314" s="96" t="s">
        <v>2732</v>
      </c>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 t="shared" si="316"/>
        <v>4</v>
      </c>
      <c r="D1315" s="73"/>
      <c r="E1315" s="70"/>
      <c r="F1315" s="70" t="s">
        <v>1919</v>
      </c>
      <c r="G1315" s="73"/>
      <c r="H1315" s="76" t="s">
        <v>1920</v>
      </c>
      <c r="I1315" s="96" t="s">
        <v>2337</v>
      </c>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3" x14ac:dyDescent="0.25">
      <c r="A1316" s="45"/>
      <c r="B1316" s="54"/>
      <c r="C1316" s="47">
        <f t="shared" si="316"/>
        <v>4</v>
      </c>
      <c r="D1316" s="73"/>
      <c r="E1316" s="70"/>
      <c r="F1316" s="70" t="s">
        <v>1921</v>
      </c>
      <c r="G1316" s="73"/>
      <c r="H1316" s="76" t="s">
        <v>604</v>
      </c>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3" x14ac:dyDescent="0.25">
      <c r="A1317" s="45"/>
      <c r="B1317" s="54"/>
      <c r="C1317" s="47">
        <f t="shared" si="316"/>
        <v>4</v>
      </c>
      <c r="D1317" s="73"/>
      <c r="E1317" s="70"/>
      <c r="F1317" s="70" t="s">
        <v>1922</v>
      </c>
      <c r="G1317" s="73"/>
      <c r="H1317" s="76"/>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316"/>
        <v>4</v>
      </c>
      <c r="D1318" s="73"/>
      <c r="E1318" s="70"/>
      <c r="F1318" s="70" t="s">
        <v>1923</v>
      </c>
      <c r="G1318" s="73"/>
      <c r="H1318" s="76"/>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16"/>
        <v>4</v>
      </c>
      <c r="D1319" s="73"/>
      <c r="E1319" s="70"/>
      <c r="F1319" s="70" t="s">
        <v>1924</v>
      </c>
      <c r="G1319" s="73"/>
      <c r="H1319" s="76"/>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16"/>
        <v>4</v>
      </c>
      <c r="D1320" s="73"/>
      <c r="E1320" s="70"/>
      <c r="F1320" s="70" t="s">
        <v>1925</v>
      </c>
      <c r="G1320" s="73"/>
      <c r="H1320" s="76"/>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c r="D1321" s="73"/>
      <c r="E1321" s="70"/>
      <c r="F1321" s="70" t="s">
        <v>2376</v>
      </c>
      <c r="G1321" s="73"/>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c r="D1322" s="73"/>
      <c r="E1322" s="70"/>
      <c r="F1322" s="70" t="s">
        <v>2377</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c r="D1323" s="73"/>
      <c r="E1323" s="70"/>
      <c r="F1323" s="70" t="s">
        <v>2378</v>
      </c>
      <c r="G1323" s="73"/>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ref="C1324:C1335" si="317">INT($C$29)+3</f>
        <v>4</v>
      </c>
      <c r="D1324" s="73"/>
      <c r="E1324" s="70"/>
      <c r="F1324" s="70" t="str">
        <f>SUBSTITUTE(F1320,",4)",",8)")</f>
        <v>C(U2,1,8)</v>
      </c>
      <c r="G1324" s="73"/>
      <c r="H1324" s="76"/>
      <c r="I1324" s="9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17"/>
        <v>4</v>
      </c>
      <c r="D1325" s="73"/>
      <c r="E1325" s="70"/>
      <c r="F1325" s="70" t="str">
        <f>SUBSTITUTE(F1321,",5)",",9)")</f>
        <v>C(U2,1,9)</v>
      </c>
      <c r="G1325" s="73"/>
      <c r="H1325" s="76"/>
      <c r="I1325" s="9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17"/>
        <v>4</v>
      </c>
      <c r="D1326" s="73"/>
      <c r="E1326" s="70"/>
      <c r="F1326" s="70" t="str">
        <f>SUBSTITUTE(F1322,",6)",",10)")</f>
        <v>C(U2,1,10)</v>
      </c>
      <c r="G1326" s="73"/>
      <c r="H1326" s="76"/>
      <c r="I1326" s="9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17"/>
        <v>4</v>
      </c>
      <c r="D1327" s="73"/>
      <c r="E1327" s="70"/>
      <c r="F1327" s="70" t="str">
        <f>SUBSTITUTE(F1323,",7)",",11)")</f>
        <v>C(U2,1,11)</v>
      </c>
      <c r="G1327" s="73"/>
      <c r="H1327" s="76"/>
      <c r="I1327" s="9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17"/>
        <v>4</v>
      </c>
      <c r="D1328" s="73"/>
      <c r="E1328" s="70"/>
      <c r="F1328" s="70" t="str">
        <f>SUBSTITUTE(F1322,",6)",",12)")</f>
        <v>C(U2,1,12)</v>
      </c>
      <c r="G1328" s="73"/>
      <c r="H1328" s="76"/>
      <c r="I1328" s="9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17"/>
        <v>4</v>
      </c>
      <c r="D1329" s="73"/>
      <c r="E1329" s="70"/>
      <c r="F1329" s="70" t="str">
        <f>SUBSTITUTE(F1323,",7)",",13)")</f>
        <v>C(U2,1,13)</v>
      </c>
      <c r="G1329" s="73"/>
      <c r="H1329" s="76"/>
      <c r="I1329" s="9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17"/>
        <v>4</v>
      </c>
      <c r="D1330" s="73"/>
      <c r="E1330" s="70"/>
      <c r="F1330" s="70" t="s">
        <v>1926</v>
      </c>
      <c r="G1330" s="73"/>
      <c r="H1330" s="76"/>
      <c r="I1330" s="7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17"/>
        <v>4</v>
      </c>
      <c r="D1331" s="73"/>
      <c r="E1331" s="70"/>
      <c r="F1331" s="70" t="s">
        <v>1927</v>
      </c>
      <c r="G1331" s="73"/>
      <c r="H1331" s="76" t="s">
        <v>604</v>
      </c>
      <c r="I1331" s="7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17"/>
        <v>4</v>
      </c>
      <c r="D1332" s="73"/>
      <c r="E1332" s="70"/>
      <c r="F1332" s="70" t="s">
        <v>1928</v>
      </c>
      <c r="G1332" s="73"/>
      <c r="H1332" s="76"/>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17"/>
        <v>4</v>
      </c>
      <c r="D1333" s="73"/>
      <c r="E1333" s="70"/>
      <c r="F1333" s="70" t="s">
        <v>1929</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17"/>
        <v>4</v>
      </c>
      <c r="D1334" s="73"/>
      <c r="E1334" s="70"/>
      <c r="F1334" s="70" t="s">
        <v>1930</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17"/>
        <v>4</v>
      </c>
      <c r="D1335" s="73"/>
      <c r="E1335" s="70"/>
      <c r="F1335" s="70" t="s">
        <v>1931</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c r="D1336" s="73"/>
      <c r="E1336" s="70"/>
      <c r="F1336" s="70" t="s">
        <v>2379</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c r="D1337" s="73"/>
      <c r="E1337" s="70"/>
      <c r="F1337" s="70" t="s">
        <v>2380</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2381</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f t="shared" ref="C1339:C1350" si="318">INT($C$29)+3</f>
        <v>4</v>
      </c>
      <c r="D1339" s="73"/>
      <c r="E1339" s="70"/>
      <c r="F1339" s="70" t="str">
        <f>SUBSTITUTE(F1335,",4)",",8)")</f>
        <v>C(U2,2,8)</v>
      </c>
      <c r="G1339" s="73"/>
      <c r="H1339" s="76"/>
      <c r="I1339" s="9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si="318"/>
        <v>4</v>
      </c>
      <c r="D1340" s="73"/>
      <c r="E1340" s="70"/>
      <c r="F1340" s="70" t="str">
        <f>SUBSTITUTE(F1336,",5)",",9)")</f>
        <v>C(U2,2,9)</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318"/>
        <v>4</v>
      </c>
      <c r="D1341" s="73"/>
      <c r="E1341" s="70"/>
      <c r="F1341" s="70" t="str">
        <f>SUBSTITUTE(F1337,",6)",",10)")</f>
        <v>C(U2,2,10)</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18"/>
        <v>4</v>
      </c>
      <c r="D1342" s="73"/>
      <c r="E1342" s="70"/>
      <c r="F1342" s="70" t="str">
        <f>SUBSTITUTE(F1338,",7)",",11)")</f>
        <v>C(U2,2,11)</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18"/>
        <v>4</v>
      </c>
      <c r="D1343" s="73"/>
      <c r="E1343" s="70"/>
      <c r="F1343" s="70" t="str">
        <f>SUBSTITUTE(F1337,",6)",",12)")</f>
        <v>C(U2,2,12)</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18"/>
        <v>4</v>
      </c>
      <c r="D1344" s="73"/>
      <c r="E1344" s="70"/>
      <c r="F1344" s="70" t="str">
        <f>SUBSTITUTE(F1338,",7)",",13)")</f>
        <v>C(U2,2,13)</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18"/>
        <v>4</v>
      </c>
      <c r="D1345" s="73"/>
      <c r="E1345" s="70"/>
      <c r="F1345" s="70" t="s">
        <v>1932</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18"/>
        <v>4</v>
      </c>
      <c r="D1346" s="73"/>
      <c r="E1346" s="70"/>
      <c r="F1346" s="70" t="s">
        <v>1933</v>
      </c>
      <c r="G1346" s="73"/>
      <c r="H1346" s="76" t="s">
        <v>604</v>
      </c>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18"/>
        <v>4</v>
      </c>
      <c r="D1347" s="73"/>
      <c r="E1347" s="70"/>
      <c r="F1347" s="70" t="s">
        <v>1934</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18"/>
        <v>4</v>
      </c>
      <c r="D1348" s="73"/>
      <c r="E1348" s="70"/>
      <c r="F1348" s="70" t="s">
        <v>1935</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18"/>
        <v>4</v>
      </c>
      <c r="D1349" s="73"/>
      <c r="E1349" s="70"/>
      <c r="F1349" s="70" t="s">
        <v>1936</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18"/>
        <v>4</v>
      </c>
      <c r="D1350" s="73"/>
      <c r="E1350" s="70"/>
      <c r="F1350" s="70" t="s">
        <v>1937</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c r="D1351" s="73"/>
      <c r="E1351" s="70"/>
      <c r="F1351" s="70" t="s">
        <v>2382</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c r="D1352" s="73"/>
      <c r="E1352" s="70"/>
      <c r="F1352" s="70" t="s">
        <v>2383</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2384</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f t="shared" ref="C1354:C1365" si="319">INT($C$29)+3</f>
        <v>4</v>
      </c>
      <c r="D1354" s="73"/>
      <c r="E1354" s="70"/>
      <c r="F1354" s="70" t="str">
        <f>SUBSTITUTE(F1350,",4)",",8)")</f>
        <v>C(U2,3,8)</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si="319"/>
        <v>4</v>
      </c>
      <c r="D1355" s="73"/>
      <c r="E1355" s="70"/>
      <c r="F1355" s="70" t="str">
        <f>SUBSTITUTE(F1351,",5)",",9)")</f>
        <v>C(U2,3,9)</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319"/>
        <v>4</v>
      </c>
      <c r="D1356" s="73"/>
      <c r="E1356" s="70"/>
      <c r="F1356" s="70" t="str">
        <f>SUBSTITUTE(F1352,",6)",",10)")</f>
        <v>C(U2,3,10)</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19"/>
        <v>4</v>
      </c>
      <c r="D1357" s="73"/>
      <c r="E1357" s="70"/>
      <c r="F1357" s="70" t="str">
        <f>SUBSTITUTE(F1353,",7)",",11)")</f>
        <v>C(U2,3,11)</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19"/>
        <v>4</v>
      </c>
      <c r="D1358" s="73"/>
      <c r="E1358" s="70"/>
      <c r="F1358" s="70" t="str">
        <f>SUBSTITUTE(F1352,",6)",",12)")</f>
        <v>C(U2,3,12)</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19"/>
        <v>4</v>
      </c>
      <c r="D1359" s="73"/>
      <c r="E1359" s="70"/>
      <c r="F1359" s="70" t="str">
        <f>SUBSTITUTE(F1353,",7)",",13)")</f>
        <v>C(U2,3,13)</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19"/>
        <v>4</v>
      </c>
      <c r="D1360" s="73"/>
      <c r="E1360" s="70"/>
      <c r="F1360" s="70" t="s">
        <v>1938</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19"/>
        <v>4</v>
      </c>
      <c r="D1361" s="73"/>
      <c r="E1361" s="70"/>
      <c r="F1361" s="70" t="s">
        <v>1939</v>
      </c>
      <c r="G1361" s="73"/>
      <c r="H1361" s="76" t="s">
        <v>604</v>
      </c>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19"/>
        <v>4</v>
      </c>
      <c r="D1362" s="73"/>
      <c r="E1362" s="70"/>
      <c r="F1362" s="70" t="s">
        <v>1940</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19"/>
        <v>4</v>
      </c>
      <c r="D1363" s="73"/>
      <c r="E1363" s="70"/>
      <c r="F1363" s="70" t="s">
        <v>1941</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19"/>
        <v>4</v>
      </c>
      <c r="D1364" s="73"/>
      <c r="E1364" s="70"/>
      <c r="F1364" s="70" t="s">
        <v>1942</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19"/>
        <v>4</v>
      </c>
      <c r="D1365" s="73"/>
      <c r="E1365" s="70"/>
      <c r="F1365" s="70" t="s">
        <v>1943</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c r="D1366" s="73"/>
      <c r="E1366" s="70"/>
      <c r="F1366" s="70" t="s">
        <v>2406</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c r="D1367" s="73"/>
      <c r="E1367" s="70"/>
      <c r="F1367" s="70" t="s">
        <v>2407</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2408</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f t="shared" ref="C1369:C1380" si="320">INT($C$29)+3</f>
        <v>4</v>
      </c>
      <c r="D1369" s="73"/>
      <c r="E1369" s="70"/>
      <c r="F1369" s="70" t="str">
        <f>SUBSTITUTE(F1365,",4)",",8)")</f>
        <v>C(U2,4,8)</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si="320"/>
        <v>4</v>
      </c>
      <c r="D1370" s="73"/>
      <c r="E1370" s="70"/>
      <c r="F1370" s="70" t="str">
        <f>SUBSTITUTE(F1366,",5)",",9)")</f>
        <v>C(U2,4,9)</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320"/>
        <v>4</v>
      </c>
      <c r="D1371" s="73"/>
      <c r="E1371" s="70"/>
      <c r="F1371" s="70" t="str">
        <f>SUBSTITUTE(F1367,",6)",",10)")</f>
        <v>C(U2,4,10)</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20"/>
        <v>4</v>
      </c>
      <c r="D1372" s="73"/>
      <c r="E1372" s="70"/>
      <c r="F1372" s="70" t="str">
        <f>SUBSTITUTE(F1368,",7)",",11)")</f>
        <v>C(U2,4,11)</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20"/>
        <v>4</v>
      </c>
      <c r="D1373" s="73"/>
      <c r="E1373" s="70"/>
      <c r="F1373" s="70" t="str">
        <f>SUBSTITUTE(F1367,",6)",",12)")</f>
        <v>C(U2,4,12)</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20"/>
        <v>4</v>
      </c>
      <c r="D1374" s="73"/>
      <c r="E1374" s="70"/>
      <c r="F1374" s="70" t="str">
        <f>SUBSTITUTE(F1368,",7)",",13)")</f>
        <v>C(U2,4,13)</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20"/>
        <v>4</v>
      </c>
      <c r="D1375" s="73"/>
      <c r="E1375" s="70"/>
      <c r="F1375" s="70" t="s">
        <v>1944</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20"/>
        <v>4</v>
      </c>
      <c r="D1376" s="73"/>
      <c r="E1376" s="70"/>
      <c r="F1376" s="70" t="s">
        <v>1945</v>
      </c>
      <c r="G1376" s="73"/>
      <c r="H1376" s="76" t="s">
        <v>604</v>
      </c>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20"/>
        <v>4</v>
      </c>
      <c r="D1377" s="73"/>
      <c r="E1377" s="70"/>
      <c r="F1377" s="70" t="s">
        <v>1946</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20"/>
        <v>4</v>
      </c>
      <c r="D1378" s="73"/>
      <c r="E1378" s="70"/>
      <c r="F1378" s="70" t="s">
        <v>1947</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20"/>
        <v>4</v>
      </c>
      <c r="D1379" s="73"/>
      <c r="E1379" s="70"/>
      <c r="F1379" s="70" t="s">
        <v>1948</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20"/>
        <v>4</v>
      </c>
      <c r="D1380" s="73"/>
      <c r="E1380" s="70"/>
      <c r="F1380" s="70" t="s">
        <v>1949</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c r="D1381" s="73"/>
      <c r="E1381" s="70"/>
      <c r="F1381" s="70" t="s">
        <v>2409</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c r="D1382" s="73"/>
      <c r="E1382" s="70"/>
      <c r="F1382" s="70" t="s">
        <v>2410</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2411</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f t="shared" ref="C1384:C1395" si="321">INT($C$29)+3</f>
        <v>4</v>
      </c>
      <c r="D1384" s="73"/>
      <c r="E1384" s="70"/>
      <c r="F1384" s="70" t="str">
        <f>SUBSTITUTE(F1380,",4)",",8)")</f>
        <v>C(U2,5,8)</v>
      </c>
      <c r="G1384" s="73"/>
      <c r="H1384" s="76"/>
      <c r="I1384" s="9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si="321"/>
        <v>4</v>
      </c>
      <c r="D1385" s="73"/>
      <c r="E1385" s="70"/>
      <c r="F1385" s="70" t="str">
        <f>SUBSTITUTE(F1381,",5)",",9)")</f>
        <v>C(U2,5,9)</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321"/>
        <v>4</v>
      </c>
      <c r="D1386" s="73"/>
      <c r="E1386" s="70"/>
      <c r="F1386" s="70" t="str">
        <f>SUBSTITUTE(F1382,",6)",",10)")</f>
        <v>C(U2,5,10)</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21"/>
        <v>4</v>
      </c>
      <c r="D1387" s="73"/>
      <c r="E1387" s="70"/>
      <c r="F1387" s="70" t="str">
        <f>SUBSTITUTE(F1383,",7)",",11)")</f>
        <v>C(U2,5,11)</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21"/>
        <v>4</v>
      </c>
      <c r="D1388" s="73"/>
      <c r="E1388" s="70"/>
      <c r="F1388" s="70" t="str">
        <f>SUBSTITUTE(F1382,",6)",",12)")</f>
        <v>C(U2,5,12)</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21"/>
        <v>4</v>
      </c>
      <c r="D1389" s="73"/>
      <c r="E1389" s="70"/>
      <c r="F1389" s="70" t="str">
        <f>SUBSTITUTE(F1383,",7)",",13)")</f>
        <v>C(U2,5,13)</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21"/>
        <v>4</v>
      </c>
      <c r="D1390" s="73"/>
      <c r="E1390" s="70"/>
      <c r="F1390" s="70" t="s">
        <v>1950</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21"/>
        <v>4</v>
      </c>
      <c r="D1391" s="73"/>
      <c r="E1391" s="70"/>
      <c r="F1391" s="70" t="s">
        <v>1951</v>
      </c>
      <c r="G1391" s="73"/>
      <c r="H1391" s="76" t="s">
        <v>604</v>
      </c>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21"/>
        <v>4</v>
      </c>
      <c r="D1392" s="73"/>
      <c r="E1392" s="70"/>
      <c r="F1392" s="70" t="s">
        <v>1952</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21"/>
        <v>4</v>
      </c>
      <c r="D1393" s="73"/>
      <c r="E1393" s="70"/>
      <c r="F1393" s="70" t="s">
        <v>1953</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21"/>
        <v>4</v>
      </c>
      <c r="D1394" s="73"/>
      <c r="E1394" s="70"/>
      <c r="F1394" s="70" t="s">
        <v>1954</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21"/>
        <v>4</v>
      </c>
      <c r="D1395" s="73"/>
      <c r="E1395" s="70"/>
      <c r="F1395" s="70" t="s">
        <v>1955</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c r="D1396" s="73"/>
      <c r="E1396" s="70"/>
      <c r="F1396" s="70" t="s">
        <v>2412</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c r="D1397" s="73"/>
      <c r="E1397" s="70"/>
      <c r="F1397" s="70" t="s">
        <v>2413</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2414</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f t="shared" ref="C1399:C1410" si="322">INT($C$29)+3</f>
        <v>4</v>
      </c>
      <c r="D1399" s="73"/>
      <c r="E1399" s="70"/>
      <c r="F1399" s="70" t="str">
        <f>SUBSTITUTE(F1395,",4)",",8)")</f>
        <v>C(U2,6,8)</v>
      </c>
      <c r="G1399" s="73"/>
      <c r="H1399" s="76"/>
      <c r="I1399" s="9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si="322"/>
        <v>4</v>
      </c>
      <c r="D1400" s="73"/>
      <c r="E1400" s="70"/>
      <c r="F1400" s="70" t="str">
        <f>SUBSTITUTE(F1396,",5)",",9)")</f>
        <v>C(U2,6,9)</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322"/>
        <v>4</v>
      </c>
      <c r="D1401" s="73"/>
      <c r="E1401" s="70"/>
      <c r="F1401" s="70" t="str">
        <f>SUBSTITUTE(F1397,",6)",",10)")</f>
        <v>C(U2,6,10)</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22"/>
        <v>4</v>
      </c>
      <c r="D1402" s="73"/>
      <c r="E1402" s="70"/>
      <c r="F1402" s="70" t="str">
        <f>SUBSTITUTE(F1398,",7)",",11)")</f>
        <v>C(U2,6,11)</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22"/>
        <v>4</v>
      </c>
      <c r="D1403" s="73"/>
      <c r="E1403" s="70"/>
      <c r="F1403" s="70" t="str">
        <f>SUBSTITUTE(F1397,",6)",",12)")</f>
        <v>C(U2,6,12)</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22"/>
        <v>4</v>
      </c>
      <c r="D1404" s="73"/>
      <c r="E1404" s="70"/>
      <c r="F1404" s="70" t="str">
        <f>SUBSTITUTE(F1398,",7)",",13)")</f>
        <v>C(U2,6,13)</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22"/>
        <v>4</v>
      </c>
      <c r="D1405" s="73"/>
      <c r="E1405" s="70"/>
      <c r="F1405" s="70" t="s">
        <v>1956</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22"/>
        <v>4</v>
      </c>
      <c r="D1406" s="73"/>
      <c r="E1406" s="70"/>
      <c r="F1406" s="70" t="s">
        <v>1957</v>
      </c>
      <c r="G1406" s="73"/>
      <c r="H1406" s="76" t="s">
        <v>604</v>
      </c>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22"/>
        <v>4</v>
      </c>
      <c r="D1407" s="73"/>
      <c r="E1407" s="70"/>
      <c r="F1407" s="70" t="s">
        <v>1958</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22"/>
        <v>4</v>
      </c>
      <c r="D1408" s="73"/>
      <c r="E1408" s="70"/>
      <c r="F1408" s="70" t="s">
        <v>1959</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22"/>
        <v>4</v>
      </c>
      <c r="D1409" s="73"/>
      <c r="E1409" s="70"/>
      <c r="F1409" s="70" t="s">
        <v>1960</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22"/>
        <v>4</v>
      </c>
      <c r="D1410" s="73"/>
      <c r="E1410" s="70"/>
      <c r="F1410" s="70" t="s">
        <v>1961</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c r="D1411" s="73"/>
      <c r="E1411" s="70"/>
      <c r="F1411" s="70" t="s">
        <v>2415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c r="D1412" s="73"/>
      <c r="E1412" s="70"/>
      <c r="F1412" s="70" t="s">
        <v>2416</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2417</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f>INT($C$29)+3</f>
        <v>4</v>
      </c>
      <c r="D1414" s="73"/>
      <c r="E1414" s="70"/>
      <c r="F1414" s="70" t="str">
        <f>SUBSTITUTE(F1410,",4)",",8)")</f>
        <v>C(U2,7,8)</v>
      </c>
      <c r="G1414" s="73"/>
      <c r="H1414" s="76"/>
      <c r="I1414" s="9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f>INT($C$29)+3</f>
        <v>4</v>
      </c>
      <c r="D1415" s="73"/>
      <c r="E1415" s="70"/>
      <c r="F1415" s="70" t="str">
        <f>SUBSTITUTE(F1411,",5)",",9)")</f>
        <v>C(U2,7,9)</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INT($C$29)+3</f>
        <v>4</v>
      </c>
      <c r="D1416" s="73"/>
      <c r="E1416" s="70"/>
      <c r="F1416" s="70" t="str">
        <f>SUBSTITUTE(F1412,",6)",",10)")</f>
        <v>C(U2,7,10)</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INT($C$29)+3</f>
        <v>4</v>
      </c>
      <c r="D1417" s="73"/>
      <c r="E1417" s="70"/>
      <c r="F1417" s="70" t="str">
        <f>SUBSTITUTE(F1413,",7)",",11)")</f>
        <v>C(U2,7,11)</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ref="C1418:C1419" si="323">INT($C$29)+3</f>
        <v>4</v>
      </c>
      <c r="D1418" s="73"/>
      <c r="E1418" s="70"/>
      <c r="F1418" s="70" t="str">
        <f>SUBSTITUTE(F1412,",6)",",12)")</f>
        <v>C(U2,7,12)</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23"/>
        <v>4</v>
      </c>
      <c r="D1419" s="73"/>
      <c r="E1419" s="70"/>
      <c r="F1419" s="70" t="str">
        <f>SUBSTITUTE(F1413,",7)",",13)")</f>
        <v>C(U2,7,13)</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INT($C$29)+3</f>
        <v>4</v>
      </c>
      <c r="D1420" s="73"/>
      <c r="E1420" s="402"/>
      <c r="F1420" s="402" t="s">
        <v>1962</v>
      </c>
      <c r="G1420" s="73"/>
      <c r="H1420" s="109"/>
      <c r="I1420" s="109"/>
      <c r="J1420" s="109"/>
      <c r="K1420" s="109"/>
      <c r="L1420" s="109"/>
      <c r="M1420" s="109"/>
      <c r="N1420" s="109"/>
      <c r="O1420" s="109"/>
      <c r="P1420" s="109"/>
      <c r="Q1420" s="109"/>
      <c r="R1420" s="109"/>
      <c r="S1420" s="109"/>
      <c r="T1420" s="109"/>
      <c r="U1420" s="109"/>
      <c r="V1420" s="109"/>
      <c r="W1420" s="109"/>
      <c r="X1420" s="109"/>
      <c r="Y1420" s="109"/>
      <c r="Z1420" s="109"/>
      <c r="AA1420" s="109"/>
      <c r="AB1420" s="109"/>
      <c r="AC1420" s="109"/>
      <c r="AD1420" s="109"/>
      <c r="AE1420" s="109"/>
      <c r="AF1420" s="109"/>
      <c r="AG1420" s="109"/>
      <c r="AH1420" s="109">
        <v>1</v>
      </c>
      <c r="AI1420" s="109">
        <v>1</v>
      </c>
      <c r="AJ1420" s="73"/>
      <c r="AK1420" s="57"/>
      <c r="AL1420" s="45"/>
      <c r="AM1420" s="45"/>
      <c r="AN1420" s="45"/>
    </row>
    <row r="1421" spans="1:40" hidden="1" outlineLevel="2" x14ac:dyDescent="0.25">
      <c r="A1421" s="45"/>
      <c r="B1421" s="54"/>
      <c r="C1421" s="47">
        <f>INT($C$29)+2</f>
        <v>3</v>
      </c>
      <c r="D1421" s="73"/>
      <c r="E1421" s="406"/>
      <c r="F1421" s="406" t="s">
        <v>1963</v>
      </c>
      <c r="G1421" s="407"/>
      <c r="H1421" s="181" t="s">
        <v>1964</v>
      </c>
      <c r="I1421" s="181"/>
      <c r="J1421" s="181"/>
      <c r="K1421" s="181"/>
      <c r="L1421" s="181"/>
      <c r="M1421" s="181"/>
      <c r="N1421" s="181"/>
      <c r="O1421" s="181"/>
      <c r="P1421" s="181"/>
      <c r="Q1421" s="181"/>
      <c r="R1421" s="181"/>
      <c r="S1421" s="181"/>
      <c r="T1421" s="181"/>
      <c r="U1421" s="408">
        <v>3.157</v>
      </c>
      <c r="V1421" s="409">
        <f>U1421</f>
        <v>3.157</v>
      </c>
      <c r="W1421" s="409">
        <f t="shared" ref="W1421:X1423" si="324">U1421</f>
        <v>3.157</v>
      </c>
      <c r="X1421" s="409">
        <f t="shared" si="324"/>
        <v>3.157</v>
      </c>
      <c r="Y1421" s="409">
        <f>V1421</f>
        <v>3.157</v>
      </c>
      <c r="Z1421" s="409">
        <f>AA1421</f>
        <v>2.9750000000000001</v>
      </c>
      <c r="AA1421" s="408">
        <v>2.9750000000000001</v>
      </c>
      <c r="AB1421" s="409">
        <f t="shared" ref="AB1421:AD1423" si="325">AA1421</f>
        <v>2.9750000000000001</v>
      </c>
      <c r="AC1421" s="409">
        <f t="shared" si="325"/>
        <v>2.9750000000000001</v>
      </c>
      <c r="AD1421" s="409">
        <f t="shared" si="325"/>
        <v>2.9750000000000001</v>
      </c>
      <c r="AE1421" s="181"/>
      <c r="AF1421" s="408" t="s">
        <v>2567</v>
      </c>
      <c r="AG1421" s="181"/>
      <c r="AH1421" s="408">
        <v>1</v>
      </c>
      <c r="AI1421" s="408">
        <v>1</v>
      </c>
      <c r="AJ1421" s="73"/>
      <c r="AK1421" s="57"/>
      <c r="AL1421" s="45"/>
      <c r="AM1421" s="45"/>
      <c r="AN1421" s="45"/>
    </row>
    <row r="1422" spans="1:40" hidden="1" outlineLevel="2" x14ac:dyDescent="0.25">
      <c r="A1422" s="45"/>
      <c r="B1422" s="54"/>
      <c r="C1422" s="47">
        <f>INT($C$29)+2</f>
        <v>3</v>
      </c>
      <c r="D1422" s="73"/>
      <c r="E1422" s="70"/>
      <c r="F1422" s="70" t="s">
        <v>1965</v>
      </c>
      <c r="G1422" s="234"/>
      <c r="H1422" s="76" t="s">
        <v>1966</v>
      </c>
      <c r="I1422" s="76"/>
      <c r="J1422" s="76"/>
      <c r="K1422" s="76"/>
      <c r="L1422" s="76"/>
      <c r="M1422" s="76"/>
      <c r="N1422" s="76"/>
      <c r="O1422" s="76"/>
      <c r="P1422" s="76"/>
      <c r="Q1422" s="76"/>
      <c r="R1422" s="76"/>
      <c r="S1422" s="76"/>
      <c r="T1422" s="76"/>
      <c r="U1422" s="97">
        <v>-0.28570000000000001</v>
      </c>
      <c r="V1422" s="255">
        <f>U1422</f>
        <v>-0.28570000000000001</v>
      </c>
      <c r="W1422" s="255">
        <f t="shared" si="324"/>
        <v>-0.28570000000000001</v>
      </c>
      <c r="X1422" s="255">
        <f t="shared" si="324"/>
        <v>-0.28570000000000001</v>
      </c>
      <c r="Y1422" s="255">
        <f>V1422</f>
        <v>-0.28570000000000001</v>
      </c>
      <c r="Z1422" s="404">
        <f>AA1422</f>
        <v>-0.23649999999999999</v>
      </c>
      <c r="AA1422" s="97">
        <v>-0.23649999999999999</v>
      </c>
      <c r="AB1422" s="404">
        <f t="shared" si="325"/>
        <v>-0.23649999999999999</v>
      </c>
      <c r="AC1422" s="404">
        <f t="shared" si="325"/>
        <v>-0.23649999999999999</v>
      </c>
      <c r="AD1422" s="404">
        <f t="shared" si="325"/>
        <v>-0.23649999999999999</v>
      </c>
      <c r="AE1422" s="76"/>
      <c r="AF1422" s="76"/>
      <c r="AG1422" s="76"/>
      <c r="AH1422" s="97">
        <v>1</v>
      </c>
      <c r="AI1422" s="97">
        <v>1</v>
      </c>
      <c r="AJ1422" s="73"/>
      <c r="AK1422" s="57"/>
      <c r="AL1422" s="45"/>
      <c r="AM1422" s="45"/>
      <c r="AN1422" s="45"/>
    </row>
    <row r="1423" spans="1:40" hidden="1" outlineLevel="2" collapsed="1" x14ac:dyDescent="0.25">
      <c r="A1423" s="45"/>
      <c r="B1423" s="54"/>
      <c r="C1423" s="47">
        <f>INT($C$29)+2</f>
        <v>3</v>
      </c>
      <c r="D1423" s="73"/>
      <c r="E1423" s="70"/>
      <c r="F1423" s="70" t="s">
        <v>1967</v>
      </c>
      <c r="G1423" s="234"/>
      <c r="H1423" s="76" t="s">
        <v>1968</v>
      </c>
      <c r="I1423" s="76"/>
      <c r="J1423" s="76"/>
      <c r="K1423" s="76"/>
      <c r="L1423" s="76"/>
      <c r="M1423" s="76"/>
      <c r="N1423" s="76"/>
      <c r="O1423" s="76"/>
      <c r="P1423" s="76"/>
      <c r="Q1423" s="76"/>
      <c r="R1423" s="76"/>
      <c r="S1423" s="76"/>
      <c r="T1423" s="76"/>
      <c r="U1423" s="97">
        <v>-7.9950000000000004E-3</v>
      </c>
      <c r="V1423" s="255">
        <f>U1423</f>
        <v>-7.9950000000000004E-3</v>
      </c>
      <c r="W1423" s="255">
        <f t="shared" si="324"/>
        <v>-7.9950000000000004E-3</v>
      </c>
      <c r="X1423" s="255">
        <f t="shared" si="324"/>
        <v>-7.9950000000000004E-3</v>
      </c>
      <c r="Y1423" s="255">
        <f>V1423</f>
        <v>-7.9950000000000004E-3</v>
      </c>
      <c r="Z1423" s="404">
        <f>AA1423</f>
        <v>-1.761E-3</v>
      </c>
      <c r="AA1423" s="97">
        <v>-1.761E-3</v>
      </c>
      <c r="AB1423" s="404">
        <f t="shared" si="325"/>
        <v>-1.761E-3</v>
      </c>
      <c r="AC1423" s="404">
        <f t="shared" si="325"/>
        <v>-1.761E-3</v>
      </c>
      <c r="AD1423" s="404">
        <f t="shared" si="325"/>
        <v>-1.761E-3</v>
      </c>
      <c r="AE1423" s="76"/>
      <c r="AF1423" s="76"/>
      <c r="AG1423" s="76"/>
      <c r="AH1423" s="97">
        <v>1</v>
      </c>
      <c r="AI1423" s="97">
        <v>1</v>
      </c>
      <c r="AJ1423" s="73"/>
      <c r="AK1423" s="57"/>
      <c r="AL1423" s="45"/>
      <c r="AM1423" s="45"/>
      <c r="AN1423" s="45"/>
    </row>
    <row r="1424" spans="1:40" hidden="1" outlineLevel="3" x14ac:dyDescent="0.25">
      <c r="A1424" s="45"/>
      <c r="B1424" s="54"/>
      <c r="C1424" s="47">
        <f>INT($C$29)+3</f>
        <v>4</v>
      </c>
      <c r="D1424" s="73"/>
      <c r="E1424" s="70"/>
      <c r="F1424" s="70" t="s">
        <v>1969</v>
      </c>
      <c r="G1424" s="234"/>
      <c r="H1424" s="76" t="s">
        <v>2470</v>
      </c>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2" x14ac:dyDescent="0.25">
      <c r="A1425" s="45"/>
      <c r="B1425" s="54"/>
      <c r="C1425" s="47">
        <f>INT($C$29)+2</f>
        <v>3</v>
      </c>
      <c r="D1425" s="73"/>
      <c r="E1425" s="70"/>
      <c r="F1425" s="70" t="s">
        <v>1971</v>
      </c>
      <c r="G1425" s="234"/>
      <c r="H1425" s="76" t="s">
        <v>1970</v>
      </c>
      <c r="I1425" s="76"/>
      <c r="J1425" s="76"/>
      <c r="K1425" s="76"/>
      <c r="L1425" s="76"/>
      <c r="M1425" s="76"/>
      <c r="N1425" s="76"/>
      <c r="O1425" s="76"/>
      <c r="P1425" s="76"/>
      <c r="Q1425" s="76"/>
      <c r="R1425" s="76"/>
      <c r="S1425" s="76"/>
      <c r="T1425" s="76"/>
      <c r="U1425" s="97">
        <f>0.001337*0</f>
        <v>0</v>
      </c>
      <c r="V1425" s="255">
        <f>U1425</f>
        <v>0</v>
      </c>
      <c r="W1425" s="255">
        <f>U1425</f>
        <v>0</v>
      </c>
      <c r="X1425" s="255">
        <f>V1425</f>
        <v>0</v>
      </c>
      <c r="Y1425" s="255">
        <f>V1425</f>
        <v>0</v>
      </c>
      <c r="Z1425" s="404">
        <f>AA1425</f>
        <v>0</v>
      </c>
      <c r="AA1425" s="97">
        <v>0</v>
      </c>
      <c r="AB1425" s="404">
        <f t="shared" ref="AB1425:AD1426" si="326">AA1425</f>
        <v>0</v>
      </c>
      <c r="AC1425" s="404">
        <f t="shared" si="326"/>
        <v>0</v>
      </c>
      <c r="AD1425" s="404">
        <f t="shared" si="326"/>
        <v>0</v>
      </c>
      <c r="AE1425" s="76"/>
      <c r="AF1425" s="76"/>
      <c r="AG1425" s="76"/>
      <c r="AH1425" s="97">
        <v>1</v>
      </c>
      <c r="AI1425" s="97">
        <v>1</v>
      </c>
      <c r="AJ1425" s="73"/>
      <c r="AK1425" s="57"/>
      <c r="AL1425" s="45"/>
      <c r="AM1425" s="45"/>
      <c r="AN1425" s="45"/>
    </row>
    <row r="1426" spans="1:40" hidden="1" outlineLevel="2" collapsed="1" x14ac:dyDescent="0.25">
      <c r="A1426" s="45"/>
      <c r="B1426" s="54"/>
      <c r="C1426" s="47">
        <f>INT($C$29)+2</f>
        <v>3</v>
      </c>
      <c r="D1426" s="73"/>
      <c r="E1426" s="70"/>
      <c r="F1426" s="70" t="s">
        <v>2473</v>
      </c>
      <c r="G1426" s="234"/>
      <c r="H1426" s="76" t="s">
        <v>1972</v>
      </c>
      <c r="I1426" s="76"/>
      <c r="J1426" s="76"/>
      <c r="K1426" s="76"/>
      <c r="L1426" s="76"/>
      <c r="M1426" s="76"/>
      <c r="N1426" s="76"/>
      <c r="O1426" s="76"/>
      <c r="P1426" s="76"/>
      <c r="Q1426" s="76"/>
      <c r="R1426" s="76"/>
      <c r="S1426" s="76"/>
      <c r="T1426" s="76"/>
      <c r="U1426" s="97">
        <f>-0.000000272*0</f>
        <v>0</v>
      </c>
      <c r="V1426" s="255">
        <f>U1426</f>
        <v>0</v>
      </c>
      <c r="W1426" s="255">
        <f>U1426</f>
        <v>0</v>
      </c>
      <c r="X1426" s="255">
        <f>V1426</f>
        <v>0</v>
      </c>
      <c r="Y1426" s="255">
        <f>V1426</f>
        <v>0</v>
      </c>
      <c r="Z1426" s="404">
        <f>AA1426</f>
        <v>0</v>
      </c>
      <c r="AA1426" s="97">
        <v>0</v>
      </c>
      <c r="AB1426" s="404">
        <f t="shared" si="326"/>
        <v>0</v>
      </c>
      <c r="AC1426" s="404">
        <f t="shared" si="326"/>
        <v>0</v>
      </c>
      <c r="AD1426" s="404">
        <f t="shared" si="326"/>
        <v>0</v>
      </c>
      <c r="AE1426" s="76"/>
      <c r="AF1426" s="76"/>
      <c r="AG1426" s="76"/>
      <c r="AH1426" s="97">
        <v>1</v>
      </c>
      <c r="AI1426" s="97">
        <v>1</v>
      </c>
      <c r="AJ1426" s="73"/>
      <c r="AK1426" s="57"/>
      <c r="AL1426" s="45"/>
      <c r="AM1426" s="45"/>
      <c r="AN1426" s="45"/>
    </row>
    <row r="1427" spans="1:40" hidden="1" outlineLevel="3" x14ac:dyDescent="0.25">
      <c r="A1427" s="45"/>
      <c r="B1427" s="54"/>
      <c r="C1427" s="47">
        <f t="shared" ref="C1427:C1434" si="327">INT($C$29)+3</f>
        <v>4</v>
      </c>
      <c r="D1427" s="73"/>
      <c r="E1427" s="70"/>
      <c r="F1427" s="70" t="s">
        <v>2474</v>
      </c>
      <c r="G1427" s="234"/>
      <c r="H1427" s="76" t="s">
        <v>2471</v>
      </c>
      <c r="I1427" s="9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f t="shared" si="327"/>
        <v>4</v>
      </c>
      <c r="D1428" s="73"/>
      <c r="E1428" s="70"/>
      <c r="F1428" s="70" t="s">
        <v>2475</v>
      </c>
      <c r="G1428" s="234"/>
      <c r="H1428" s="76" t="s">
        <v>2472</v>
      </c>
      <c r="I1428" s="9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f t="shared" si="327"/>
        <v>4</v>
      </c>
      <c r="D1429" s="73"/>
      <c r="E1429" s="70"/>
      <c r="F1429" s="70" t="str">
        <f>SUBSTITUTE(F1425,",4)",",8)")</f>
        <v>C(U2,8,8)</v>
      </c>
      <c r="G1429" s="73"/>
      <c r="H1429" s="76" t="s">
        <v>2725</v>
      </c>
      <c r="I1429" s="9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 t="shared" si="327"/>
        <v>4</v>
      </c>
      <c r="D1430" s="73"/>
      <c r="E1430" s="70"/>
      <c r="F1430" s="70" t="str">
        <f>SUBSTITUTE(F1426,",5)",",9)")</f>
        <v>C(U2,8,9)</v>
      </c>
      <c r="G1430" s="73"/>
      <c r="H1430" s="76" t="s">
        <v>2726</v>
      </c>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 t="shared" si="327"/>
        <v>4</v>
      </c>
      <c r="D1431" s="73"/>
      <c r="E1431" s="70"/>
      <c r="F1431" s="70" t="str">
        <f>SUBSTITUTE(F1427,",6)",",10)")</f>
        <v>C(U2,8,10)</v>
      </c>
      <c r="G1431" s="73"/>
      <c r="H1431" s="76" t="s">
        <v>2727</v>
      </c>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 t="shared" si="327"/>
        <v>4</v>
      </c>
      <c r="D1432" s="73"/>
      <c r="E1432" s="70"/>
      <c r="F1432" s="70" t="str">
        <f>SUBSTITUTE(F1428,",7)",",11)")</f>
        <v>C(U2,8,11)</v>
      </c>
      <c r="G1432" s="73"/>
      <c r="H1432" s="76" t="s">
        <v>2728</v>
      </c>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 t="shared" si="327"/>
        <v>4</v>
      </c>
      <c r="D1433" s="73"/>
      <c r="E1433" s="70"/>
      <c r="F1433" s="70" t="str">
        <f>SUBSTITUTE(F1427,",6)",",12)")</f>
        <v>C(U2,8,12)</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 t="shared" si="327"/>
        <v>4</v>
      </c>
      <c r="D1434" s="73"/>
      <c r="E1434" s="70"/>
      <c r="F1434" s="70" t="str">
        <f>SUBSTITUTE(F1428,",7)",",13)")</f>
        <v>C(U2,8,13)</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2" collapsed="1" x14ac:dyDescent="0.25">
      <c r="A1435" s="45"/>
      <c r="B1435" s="54"/>
      <c r="C1435" s="47">
        <f>INT($C$29)+2</f>
        <v>3</v>
      </c>
      <c r="D1435" s="73"/>
      <c r="E1435" s="410"/>
      <c r="F1435" s="410" t="s">
        <v>1973</v>
      </c>
      <c r="G1435" s="411"/>
      <c r="H1435" s="184" t="s">
        <v>2634</v>
      </c>
      <c r="I1435" s="184"/>
      <c r="J1435" s="184"/>
      <c r="K1435" s="184"/>
      <c r="L1435" s="184"/>
      <c r="M1435" s="184"/>
      <c r="N1435" s="184"/>
      <c r="O1435" s="184"/>
      <c r="P1435" s="184"/>
      <c r="Q1435" s="184"/>
      <c r="R1435" s="184"/>
      <c r="S1435" s="184"/>
      <c r="T1435" s="184" t="s">
        <v>3300</v>
      </c>
      <c r="U1435" s="413">
        <v>1.7397800000000001</v>
      </c>
      <c r="V1435" s="414">
        <f>U1435</f>
        <v>1.7397800000000001</v>
      </c>
      <c r="W1435" s="413">
        <v>1.88365</v>
      </c>
      <c r="X1435" s="413">
        <v>1.74003</v>
      </c>
      <c r="Y1435" s="413">
        <v>1.966477</v>
      </c>
      <c r="Z1435" s="414">
        <f>AA1435</f>
        <v>-4.3544999999999998</v>
      </c>
      <c r="AA1435" s="413">
        <v>-4.3544999999999998</v>
      </c>
      <c r="AB1435" s="414">
        <f>AA1435</f>
        <v>-4.3544999999999998</v>
      </c>
      <c r="AC1435" s="414">
        <f>AB1435</f>
        <v>-4.3544999999999998</v>
      </c>
      <c r="AD1435" s="414">
        <f>AC1435</f>
        <v>-4.3544999999999998</v>
      </c>
      <c r="AE1435" s="184"/>
      <c r="AF1435" s="184"/>
      <c r="AG1435" s="184"/>
      <c r="AH1435" s="413">
        <v>1</v>
      </c>
      <c r="AI1435" s="413">
        <v>1</v>
      </c>
      <c r="AJ1435" s="73"/>
      <c r="AK1435" s="57"/>
      <c r="AL1435" s="45"/>
      <c r="AM1435" s="45"/>
      <c r="AN1435" s="45"/>
    </row>
    <row r="1436" spans="1:40" hidden="1" outlineLevel="3" x14ac:dyDescent="0.25">
      <c r="A1436" s="45"/>
      <c r="B1436" s="54"/>
      <c r="C1436" s="47">
        <f>INT($C$29)+3</f>
        <v>4</v>
      </c>
      <c r="D1436" s="73"/>
      <c r="E1436" s="403"/>
      <c r="F1436" s="403" t="s">
        <v>1974</v>
      </c>
      <c r="G1436" s="73"/>
      <c r="H1436" s="105" t="s">
        <v>604</v>
      </c>
      <c r="I1436" s="105"/>
      <c r="J1436" s="105"/>
      <c r="K1436" s="105"/>
      <c r="L1436" s="105"/>
      <c r="M1436" s="105"/>
      <c r="N1436" s="105"/>
      <c r="O1436" s="105"/>
      <c r="P1436" s="105"/>
      <c r="Q1436" s="105"/>
      <c r="R1436" s="105"/>
      <c r="S1436" s="105"/>
      <c r="T1436" s="105"/>
      <c r="U1436" s="105"/>
      <c r="V1436" s="105"/>
      <c r="W1436" s="105"/>
      <c r="X1436" s="105"/>
      <c r="Y1436" s="105"/>
      <c r="Z1436" s="105"/>
      <c r="AA1436" s="105"/>
      <c r="AB1436" s="105"/>
      <c r="AC1436" s="105"/>
      <c r="AD1436" s="105"/>
      <c r="AE1436" s="105"/>
      <c r="AF1436" s="105"/>
      <c r="AG1436" s="105"/>
      <c r="AH1436" s="105">
        <v>1</v>
      </c>
      <c r="AI1436" s="105">
        <v>1</v>
      </c>
      <c r="AJ1436" s="73"/>
      <c r="AK1436" s="57"/>
      <c r="AL1436" s="45"/>
      <c r="AM1436" s="45"/>
      <c r="AN1436" s="45"/>
    </row>
    <row r="1437" spans="1:40" hidden="1" outlineLevel="3" x14ac:dyDescent="0.25">
      <c r="A1437" s="45"/>
      <c r="B1437" s="54"/>
      <c r="C1437" s="47">
        <f>INT($C$29)+3</f>
        <v>4</v>
      </c>
      <c r="D1437" s="73"/>
      <c r="E1437" s="70"/>
      <c r="F1437" s="70" t="s">
        <v>1975</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INT($C$29)+3</f>
        <v>4</v>
      </c>
      <c r="D1438" s="73"/>
      <c r="E1438" s="70"/>
      <c r="F1438" s="70" t="s">
        <v>1976</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25">
      <c r="A1439" s="45"/>
      <c r="B1439" s="54"/>
      <c r="C1439" s="47">
        <f>INT($C$29)+3</f>
        <v>4</v>
      </c>
      <c r="D1439" s="73"/>
      <c r="E1439" s="70"/>
      <c r="F1439" s="70" t="s">
        <v>1977</v>
      </c>
      <c r="G1439" s="73"/>
      <c r="H1439" s="76"/>
      <c r="I1439" s="7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25">
      <c r="A1440" s="45"/>
      <c r="B1440" s="54"/>
      <c r="C1440" s="47">
        <f>INT($C$29)+3</f>
        <v>4</v>
      </c>
      <c r="D1440" s="73"/>
      <c r="E1440" s="70"/>
      <c r="F1440" s="70" t="s">
        <v>1978</v>
      </c>
      <c r="G1440" s="73"/>
      <c r="H1440" s="76"/>
      <c r="I1440" s="7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25">
      <c r="A1441" s="45"/>
      <c r="B1441" s="54"/>
      <c r="C1441" s="47"/>
      <c r="D1441" s="73"/>
      <c r="E1441" s="70"/>
      <c r="F1441" s="70" t="s">
        <v>2418</v>
      </c>
      <c r="G1441" s="73"/>
      <c r="H1441" s="76"/>
      <c r="I1441" s="7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25">
      <c r="A1442" s="45"/>
      <c r="B1442" s="54"/>
      <c r="C1442" s="47"/>
      <c r="D1442" s="73"/>
      <c r="E1442" s="70"/>
      <c r="F1442" s="70" t="s">
        <v>2419</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25">
      <c r="A1443" s="45"/>
      <c r="B1443" s="54"/>
      <c r="C1443" s="47"/>
      <c r="D1443" s="73"/>
      <c r="E1443" s="70"/>
      <c r="F1443" s="70" t="s">
        <v>2420</v>
      </c>
      <c r="G1443" s="73"/>
      <c r="H1443" s="76"/>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ref="C1444:C1455" si="328">INT($C$29)+3</f>
        <v>4</v>
      </c>
      <c r="D1444" s="73"/>
      <c r="E1444" s="70"/>
      <c r="F1444" s="70" t="str">
        <f>SUBSTITUTE(F1440,",4)",",8)")</f>
        <v>C(U2,9,8)</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28"/>
        <v>4</v>
      </c>
      <c r="D1445" s="73"/>
      <c r="E1445" s="70"/>
      <c r="F1445" s="70" t="str">
        <f>SUBSTITUTE(F1441,",5)",",9)")</f>
        <v>C(U2,9,9)</v>
      </c>
      <c r="G1445" s="73"/>
      <c r="H1445" s="76"/>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28"/>
        <v>4</v>
      </c>
      <c r="D1446" s="73"/>
      <c r="E1446" s="70"/>
      <c r="F1446" s="70" t="str">
        <f>SUBSTITUTE(F1442,",6)",",10)")</f>
        <v>C(U2,9,10)</v>
      </c>
      <c r="G1446" s="73"/>
      <c r="H1446" s="76"/>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28"/>
        <v>4</v>
      </c>
      <c r="D1447" s="73"/>
      <c r="E1447" s="70"/>
      <c r="F1447" s="70" t="str">
        <f>SUBSTITUTE(F1443,",7)",",11)")</f>
        <v>C(U2,9,11)</v>
      </c>
      <c r="G1447" s="73"/>
      <c r="H1447" s="76"/>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28"/>
        <v>4</v>
      </c>
      <c r="D1448" s="73"/>
      <c r="E1448" s="70"/>
      <c r="F1448" s="70" t="str">
        <f>SUBSTITUTE(F1442,",6)",",12)")</f>
        <v>C(U2,9,12)</v>
      </c>
      <c r="G1448" s="73"/>
      <c r="H1448" s="76"/>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28"/>
        <v>4</v>
      </c>
      <c r="D1449" s="73"/>
      <c r="E1449" s="70"/>
      <c r="F1449" s="70" t="str">
        <f>SUBSTITUTE(F1443,",7)",",13)")</f>
        <v>C(U2,9,13)</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28"/>
        <v>4</v>
      </c>
      <c r="D1450" s="73"/>
      <c r="E1450" s="70"/>
      <c r="F1450" s="70" t="s">
        <v>1979</v>
      </c>
      <c r="G1450" s="73"/>
      <c r="H1450" s="76"/>
      <c r="I1450" s="7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28"/>
        <v>4</v>
      </c>
      <c r="D1451" s="73"/>
      <c r="E1451" s="70"/>
      <c r="F1451" s="70" t="s">
        <v>1980</v>
      </c>
      <c r="G1451" s="73"/>
      <c r="H1451" s="76" t="s">
        <v>604</v>
      </c>
      <c r="I1451" s="7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28"/>
        <v>4</v>
      </c>
      <c r="D1452" s="73"/>
      <c r="E1452" s="70"/>
      <c r="F1452" s="70" t="s">
        <v>1981</v>
      </c>
      <c r="G1452" s="73"/>
      <c r="H1452" s="76"/>
      <c r="I1452" s="7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25">
      <c r="A1453" s="45"/>
      <c r="B1453" s="54"/>
      <c r="C1453" s="47">
        <f t="shared" si="328"/>
        <v>4</v>
      </c>
      <c r="D1453" s="73"/>
      <c r="E1453" s="70"/>
      <c r="F1453" s="70" t="s">
        <v>1982</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 t="shared" si="328"/>
        <v>4</v>
      </c>
      <c r="D1454" s="73"/>
      <c r="E1454" s="70"/>
      <c r="F1454" s="70" t="s">
        <v>1983</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 t="shared" si="328"/>
        <v>4</v>
      </c>
      <c r="D1455" s="73"/>
      <c r="E1455" s="70"/>
      <c r="F1455" s="70" t="s">
        <v>1984</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c r="D1456" s="73"/>
      <c r="E1456" s="70"/>
      <c r="F1456" s="70" t="s">
        <v>2421</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c r="D1457" s="73"/>
      <c r="E1457" s="70"/>
      <c r="F1457" s="70" t="s">
        <v>2422</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2423</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f t="shared" ref="C1459:C1470" si="329">INT($C$29)+3</f>
        <v>4</v>
      </c>
      <c r="D1459" s="73"/>
      <c r="E1459" s="70"/>
      <c r="F1459" s="70" t="str">
        <f>SUBSTITUTE(F1455,",4)",",8)")</f>
        <v>C(U2,10,8)</v>
      </c>
      <c r="G1459" s="73"/>
      <c r="H1459" s="76"/>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si="329"/>
        <v>4</v>
      </c>
      <c r="D1460" s="73"/>
      <c r="E1460" s="70"/>
      <c r="F1460" s="70" t="str">
        <f>SUBSTITUTE(F1456,",5)",",9)")</f>
        <v>C(U2,10,9)</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29"/>
        <v>4</v>
      </c>
      <c r="D1461" s="73"/>
      <c r="E1461" s="70"/>
      <c r="F1461" s="70" t="str">
        <f>SUBSTITUTE(F1457,",6)",",10)")</f>
        <v>C(U2,10,10)</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29"/>
        <v>4</v>
      </c>
      <c r="D1462" s="73"/>
      <c r="E1462" s="70"/>
      <c r="F1462" s="70" t="str">
        <f>SUBSTITUTE(F1458,",7)",",11)")</f>
        <v>C(U2,10,11)</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29"/>
        <v>4</v>
      </c>
      <c r="D1463" s="73"/>
      <c r="E1463" s="70"/>
      <c r="F1463" s="70" t="str">
        <f>SUBSTITUTE(F1457,",6)",",12)")</f>
        <v>C(U2,10,12)</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29"/>
        <v>4</v>
      </c>
      <c r="D1464" s="73"/>
      <c r="E1464" s="70"/>
      <c r="F1464" s="70" t="str">
        <f>SUBSTITUTE(F1458,",7)",",13)")</f>
        <v>C(U2,10,13)</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29"/>
        <v>4</v>
      </c>
      <c r="D1465" s="73"/>
      <c r="E1465" s="70"/>
      <c r="F1465" s="70" t="s">
        <v>1985</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29"/>
        <v>4</v>
      </c>
      <c r="D1466" s="73"/>
      <c r="E1466" s="70"/>
      <c r="F1466" s="70" t="s">
        <v>1986</v>
      </c>
      <c r="G1466" s="73"/>
      <c r="H1466" s="76" t="s">
        <v>604</v>
      </c>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29"/>
        <v>4</v>
      </c>
      <c r="D1467" s="73"/>
      <c r="E1467" s="70"/>
      <c r="F1467" s="70" t="s">
        <v>1987</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29"/>
        <v>4</v>
      </c>
      <c r="D1468" s="73"/>
      <c r="E1468" s="70"/>
      <c r="F1468" s="70" t="s">
        <v>1988</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29"/>
        <v>4</v>
      </c>
      <c r="D1469" s="73"/>
      <c r="E1469" s="70"/>
      <c r="F1469" s="70" t="s">
        <v>1989</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29"/>
        <v>4</v>
      </c>
      <c r="D1470" s="73"/>
      <c r="E1470" s="70"/>
      <c r="F1470" s="70" t="s">
        <v>1990</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c r="D1471" s="73"/>
      <c r="E1471" s="70"/>
      <c r="F1471" s="70" t="s">
        <v>2424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c r="D1472" s="73"/>
      <c r="E1472" s="70"/>
      <c r="F1472" s="70" t="s">
        <v>2425</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2426</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f t="shared" ref="C1474:C1485" si="330">INT($C$29)+3</f>
        <v>4</v>
      </c>
      <c r="D1474" s="73"/>
      <c r="E1474" s="70"/>
      <c r="F1474" s="70" t="str">
        <f>SUBSTITUTE(F1470,",4)",",8)")</f>
        <v>C(U2,11,8)</v>
      </c>
      <c r="G1474" s="73"/>
      <c r="H1474" s="76"/>
      <c r="I1474" s="9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si="330"/>
        <v>4</v>
      </c>
      <c r="D1475" s="73"/>
      <c r="E1475" s="70"/>
      <c r="F1475" s="70" t="str">
        <f>SUBSTITUTE(F1471,",5)",",9)")</f>
        <v>C(U2,11,9)</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30"/>
        <v>4</v>
      </c>
      <c r="D1476" s="73"/>
      <c r="E1476" s="70"/>
      <c r="F1476" s="70" t="str">
        <f>SUBSTITUTE(F1472,",6)",",10)")</f>
        <v>C(U2,11,10)</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30"/>
        <v>4</v>
      </c>
      <c r="D1477" s="73"/>
      <c r="E1477" s="70"/>
      <c r="F1477" s="70" t="str">
        <f>SUBSTITUTE(F1473,",7)",",11)")</f>
        <v>C(U2,11,11)</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30"/>
        <v>4</v>
      </c>
      <c r="D1478" s="73"/>
      <c r="E1478" s="70"/>
      <c r="F1478" s="70" t="str">
        <f>SUBSTITUTE(F1472,",6)",",12)")</f>
        <v>C(U2,11,12)</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30"/>
        <v>4</v>
      </c>
      <c r="D1479" s="73"/>
      <c r="E1479" s="70"/>
      <c r="F1479" s="70" t="str">
        <f>SUBSTITUTE(F1473,",7)",",13)")</f>
        <v>C(U2,11,13)</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30"/>
        <v>4</v>
      </c>
      <c r="D1480" s="73"/>
      <c r="E1480" s="70"/>
      <c r="F1480" s="70" t="s">
        <v>1991</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30"/>
        <v>4</v>
      </c>
      <c r="D1481" s="73"/>
      <c r="E1481" s="70"/>
      <c r="F1481" s="70" t="s">
        <v>1992</v>
      </c>
      <c r="G1481" s="73"/>
      <c r="H1481" s="76" t="s">
        <v>604</v>
      </c>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30"/>
        <v>4</v>
      </c>
      <c r="D1482" s="73"/>
      <c r="E1482" s="70"/>
      <c r="F1482" s="70" t="s">
        <v>1993</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30"/>
        <v>4</v>
      </c>
      <c r="D1483" s="73"/>
      <c r="E1483" s="70"/>
      <c r="F1483" s="70" t="s">
        <v>1994</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30"/>
        <v>4</v>
      </c>
      <c r="D1484" s="73"/>
      <c r="E1484" s="70"/>
      <c r="F1484" s="70" t="s">
        <v>1995</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30"/>
        <v>4</v>
      </c>
      <c r="D1485" s="73"/>
      <c r="E1485" s="70"/>
      <c r="F1485" s="70" t="s">
        <v>1996</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c r="D1486" s="73"/>
      <c r="E1486" s="70"/>
      <c r="F1486" s="70" t="s">
        <v>2427</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c r="D1487" s="73"/>
      <c r="E1487" s="70"/>
      <c r="F1487" s="70" t="s">
        <v>2428</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2429</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f t="shared" ref="C1489:C1500" si="331">INT($C$29)+3</f>
        <v>4</v>
      </c>
      <c r="D1489" s="73"/>
      <c r="E1489" s="70"/>
      <c r="F1489" s="70" t="str">
        <f>SUBSTITUTE(F1485,",4)",",8)")</f>
        <v>C(U2,12,8)</v>
      </c>
      <c r="G1489" s="73"/>
      <c r="H1489" s="76"/>
      <c r="I1489" s="9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si="331"/>
        <v>4</v>
      </c>
      <c r="D1490" s="73"/>
      <c r="E1490" s="70"/>
      <c r="F1490" s="70" t="str">
        <f>SUBSTITUTE(F1486,",5)",",9)")</f>
        <v>C(U2,12,9)</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31"/>
        <v>4</v>
      </c>
      <c r="D1491" s="73"/>
      <c r="E1491" s="70"/>
      <c r="F1491" s="70" t="str">
        <f>SUBSTITUTE(F1487,",6)",",10)")</f>
        <v>C(U2,12,10)</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31"/>
        <v>4</v>
      </c>
      <c r="D1492" s="73"/>
      <c r="E1492" s="70"/>
      <c r="F1492" s="70" t="str">
        <f>SUBSTITUTE(F1488,",7)",",11)")</f>
        <v>C(U2,12,11)</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31"/>
        <v>4</v>
      </c>
      <c r="D1493" s="73"/>
      <c r="E1493" s="70"/>
      <c r="F1493" s="70" t="str">
        <f>SUBSTITUTE(F1487,",6)",",12)")</f>
        <v>C(U2,12,12)</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31"/>
        <v>4</v>
      </c>
      <c r="D1494" s="73"/>
      <c r="E1494" s="70"/>
      <c r="F1494" s="70" t="str">
        <f>SUBSTITUTE(F1488,",7)",",13)")</f>
        <v>C(U2,12,13)</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31"/>
        <v>4</v>
      </c>
      <c r="D1495" s="73"/>
      <c r="E1495" s="70"/>
      <c r="F1495" s="70" t="s">
        <v>1997</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31"/>
        <v>4</v>
      </c>
      <c r="D1496" s="73"/>
      <c r="E1496" s="70"/>
      <c r="F1496" s="70" t="s">
        <v>1998</v>
      </c>
      <c r="G1496" s="73"/>
      <c r="H1496" s="76" t="s">
        <v>604</v>
      </c>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31"/>
        <v>4</v>
      </c>
      <c r="D1497" s="73"/>
      <c r="E1497" s="70"/>
      <c r="F1497" s="70" t="s">
        <v>1999</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31"/>
        <v>4</v>
      </c>
      <c r="D1498" s="73"/>
      <c r="E1498" s="70"/>
      <c r="F1498" s="70" t="s">
        <v>2000</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31"/>
        <v>4</v>
      </c>
      <c r="D1499" s="73"/>
      <c r="E1499" s="70"/>
      <c r="F1499" s="70" t="s">
        <v>2001</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31"/>
        <v>4</v>
      </c>
      <c r="D1500" s="73"/>
      <c r="E1500" s="70"/>
      <c r="F1500" s="70" t="s">
        <v>2002</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c r="D1501" s="73"/>
      <c r="E1501" s="70"/>
      <c r="F1501" s="70" t="s">
        <v>2430</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c r="D1502" s="73"/>
      <c r="E1502" s="70"/>
      <c r="F1502" s="70" t="s">
        <v>2431</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2432</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f t="shared" ref="C1504:C1515" si="332">INT($C$29)+3</f>
        <v>4</v>
      </c>
      <c r="D1504" s="73"/>
      <c r="E1504" s="70"/>
      <c r="F1504" s="70" t="str">
        <f>SUBSTITUTE(F1500,",4)",",8)")</f>
        <v>C(U2,13,8)</v>
      </c>
      <c r="G1504" s="73"/>
      <c r="H1504" s="76"/>
      <c r="I1504" s="9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si="332"/>
        <v>4</v>
      </c>
      <c r="D1505" s="73"/>
      <c r="E1505" s="70"/>
      <c r="F1505" s="70" t="str">
        <f>SUBSTITUTE(F1501,",5)",",9)")</f>
        <v>C(U2,13,9)</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32"/>
        <v>4</v>
      </c>
      <c r="D1506" s="73"/>
      <c r="E1506" s="70"/>
      <c r="F1506" s="70" t="str">
        <f>SUBSTITUTE(F1502,",6)",",10)")</f>
        <v>C(U2,13,10)</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32"/>
        <v>4</v>
      </c>
      <c r="D1507" s="73"/>
      <c r="E1507" s="70"/>
      <c r="F1507" s="70" t="str">
        <f>SUBSTITUTE(F1503,",7)",",11)")</f>
        <v>C(U2,13,11)</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32"/>
        <v>4</v>
      </c>
      <c r="D1508" s="73"/>
      <c r="E1508" s="70"/>
      <c r="F1508" s="70" t="str">
        <f>SUBSTITUTE(F1502,",6)",",12)")</f>
        <v>C(U2,13,12)</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32"/>
        <v>4</v>
      </c>
      <c r="D1509" s="73"/>
      <c r="E1509" s="70"/>
      <c r="F1509" s="70" t="str">
        <f>SUBSTITUTE(F1503,",7)",",13)")</f>
        <v>C(U2,13,13)</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32"/>
        <v>4</v>
      </c>
      <c r="D1510" s="73"/>
      <c r="E1510" s="70"/>
      <c r="F1510" s="70" t="s">
        <v>2003</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32"/>
        <v>4</v>
      </c>
      <c r="D1511" s="73"/>
      <c r="E1511" s="70"/>
      <c r="F1511" s="70" t="s">
        <v>2004</v>
      </c>
      <c r="G1511" s="73"/>
      <c r="H1511" s="76" t="s">
        <v>604</v>
      </c>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32"/>
        <v>4</v>
      </c>
      <c r="D1512" s="73"/>
      <c r="E1512" s="70"/>
      <c r="F1512" s="70" t="s">
        <v>2005</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32"/>
        <v>4</v>
      </c>
      <c r="D1513" s="73"/>
      <c r="E1513" s="70"/>
      <c r="F1513" s="70" t="s">
        <v>2006</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32"/>
        <v>4</v>
      </c>
      <c r="D1514" s="73"/>
      <c r="E1514" s="70"/>
      <c r="F1514" s="70" t="s">
        <v>2007</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32"/>
        <v>4</v>
      </c>
      <c r="D1515" s="73"/>
      <c r="E1515" s="70"/>
      <c r="F1515" s="70" t="s">
        <v>2008</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c r="D1516" s="73"/>
      <c r="E1516" s="70"/>
      <c r="F1516" s="70" t="s">
        <v>2433</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c r="D1517" s="73"/>
      <c r="E1517" s="70"/>
      <c r="F1517" s="70" t="s">
        <v>2434</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2435</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f t="shared" ref="C1519:C1530" si="333">INT($C$29)+3</f>
        <v>4</v>
      </c>
      <c r="D1519" s="73"/>
      <c r="E1519" s="70"/>
      <c r="F1519" s="70" t="str">
        <f>SUBSTITUTE(F1515,",4)",",8)")</f>
        <v>C(U2,14,8)</v>
      </c>
      <c r="G1519" s="73"/>
      <c r="H1519" s="76"/>
      <c r="I1519" s="9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si="333"/>
        <v>4</v>
      </c>
      <c r="D1520" s="73"/>
      <c r="E1520" s="70"/>
      <c r="F1520" s="70" t="str">
        <f>SUBSTITUTE(F1516,",5)",",9)")</f>
        <v>C(U2,14,9)</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33"/>
        <v>4</v>
      </c>
      <c r="D1521" s="73"/>
      <c r="E1521" s="70"/>
      <c r="F1521" s="70" t="str">
        <f>SUBSTITUTE(F1517,",6)",",10)")</f>
        <v>C(U2,14,10)</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33"/>
        <v>4</v>
      </c>
      <c r="D1522" s="73"/>
      <c r="E1522" s="70"/>
      <c r="F1522" s="70" t="str">
        <f>SUBSTITUTE(F1518,",7)",",11)")</f>
        <v>C(U2,14,11)</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33"/>
        <v>4</v>
      </c>
      <c r="D1523" s="73"/>
      <c r="E1523" s="70"/>
      <c r="F1523" s="70" t="str">
        <f>SUBSTITUTE(F1517,",6)",",12)")</f>
        <v>C(U2,14,12)</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33"/>
        <v>4</v>
      </c>
      <c r="D1524" s="73"/>
      <c r="E1524" s="70"/>
      <c r="F1524" s="70" t="str">
        <f>SUBSTITUTE(F1518,",7)",",13)")</f>
        <v>C(U2,14,13)</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33"/>
        <v>4</v>
      </c>
      <c r="D1525" s="73"/>
      <c r="E1525" s="70"/>
      <c r="F1525" s="70" t="s">
        <v>2009</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33"/>
        <v>4</v>
      </c>
      <c r="D1526" s="73"/>
      <c r="E1526" s="70"/>
      <c r="F1526" s="70" t="s">
        <v>2010</v>
      </c>
      <c r="G1526" s="73"/>
      <c r="H1526" s="76" t="s">
        <v>604</v>
      </c>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33"/>
        <v>4</v>
      </c>
      <c r="D1527" s="73"/>
      <c r="E1527" s="70"/>
      <c r="F1527" s="70" t="s">
        <v>2011</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33"/>
        <v>4</v>
      </c>
      <c r="D1528" s="73"/>
      <c r="E1528" s="70"/>
      <c r="F1528" s="70" t="s">
        <v>2012</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33"/>
        <v>4</v>
      </c>
      <c r="D1529" s="73"/>
      <c r="E1529" s="70"/>
      <c r="F1529" s="70" t="s">
        <v>2013</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33"/>
        <v>4</v>
      </c>
      <c r="D1530" s="73"/>
      <c r="E1530" s="70"/>
      <c r="F1530" s="70" t="s">
        <v>2014</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c r="D1531" s="73"/>
      <c r="E1531" s="70"/>
      <c r="F1531" s="70" t="s">
        <v>2436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c r="D1532" s="73"/>
      <c r="E1532" s="70"/>
      <c r="F1532" s="70" t="s">
        <v>2437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2438</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f t="shared" ref="C1534:C1545" si="334">INT($C$29)+3</f>
        <v>4</v>
      </c>
      <c r="D1534" s="73"/>
      <c r="E1534" s="70"/>
      <c r="F1534" s="70" t="str">
        <f>SUBSTITUTE(F1530,",4)",",8)")</f>
        <v>C(U2,15,8)</v>
      </c>
      <c r="G1534" s="73"/>
      <c r="H1534" s="76"/>
      <c r="I1534" s="9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si="334"/>
        <v>4</v>
      </c>
      <c r="D1535" s="73"/>
      <c r="E1535" s="70"/>
      <c r="F1535" s="70" t="str">
        <f>SUBSTITUTE(F1531,",5)",",9)")</f>
        <v>C(U2,15,9)</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34"/>
        <v>4</v>
      </c>
      <c r="D1536" s="73"/>
      <c r="E1536" s="70"/>
      <c r="F1536" s="70" t="str">
        <f>SUBSTITUTE(F1532,",6)",",10)")</f>
        <v>C(U2,15,10)</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34"/>
        <v>4</v>
      </c>
      <c r="D1537" s="73"/>
      <c r="E1537" s="70"/>
      <c r="F1537" s="70" t="str">
        <f>SUBSTITUTE(F1533,",7)",",11)")</f>
        <v>C(U2,15,11)</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34"/>
        <v>4</v>
      </c>
      <c r="D1538" s="73"/>
      <c r="E1538" s="70"/>
      <c r="F1538" s="70" t="str">
        <f>SUBSTITUTE(F1532,",6)",",12)")</f>
        <v>C(U2,15,12)</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34"/>
        <v>4</v>
      </c>
      <c r="D1539" s="73"/>
      <c r="E1539" s="70"/>
      <c r="F1539" s="70" t="str">
        <f>SUBSTITUTE(F1533,",7)",",13)")</f>
        <v>C(U2,15,13)</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34"/>
        <v>4</v>
      </c>
      <c r="D1540" s="73"/>
      <c r="E1540" s="70"/>
      <c r="F1540" s="70" t="s">
        <v>2015</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34"/>
        <v>4</v>
      </c>
      <c r="D1541" s="73"/>
      <c r="E1541" s="70"/>
      <c r="F1541" s="70" t="s">
        <v>2016</v>
      </c>
      <c r="G1541" s="73"/>
      <c r="H1541" s="76" t="s">
        <v>604</v>
      </c>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34"/>
        <v>4</v>
      </c>
      <c r="D1542" s="73"/>
      <c r="E1542" s="70"/>
      <c r="F1542" s="70" t="s">
        <v>2017</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34"/>
        <v>4</v>
      </c>
      <c r="D1543" s="73"/>
      <c r="E1543" s="70"/>
      <c r="F1543" s="70" t="s">
        <v>2018</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34"/>
        <v>4</v>
      </c>
      <c r="D1544" s="73"/>
      <c r="E1544" s="70"/>
      <c r="F1544" s="70" t="s">
        <v>2019</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34"/>
        <v>4</v>
      </c>
      <c r="D1545" s="73"/>
      <c r="E1545" s="70"/>
      <c r="F1545" s="70" t="s">
        <v>2020</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c r="D1546" s="73"/>
      <c r="E1546" s="70"/>
      <c r="F1546" s="70" t="s">
        <v>2439</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c r="D1547" s="73"/>
      <c r="E1547" s="70"/>
      <c r="F1547" s="70" t="s">
        <v>2440</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2441</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f t="shared" ref="C1549:C1560" si="335">INT($C$29)+3</f>
        <v>4</v>
      </c>
      <c r="D1549" s="73"/>
      <c r="E1549" s="70"/>
      <c r="F1549" s="70" t="str">
        <f>SUBSTITUTE(F1545,",4)",",8)")</f>
        <v>C(U2,16,8)</v>
      </c>
      <c r="G1549" s="73"/>
      <c r="H1549" s="76"/>
      <c r="I1549" s="9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si="335"/>
        <v>4</v>
      </c>
      <c r="D1550" s="73"/>
      <c r="E1550" s="70"/>
      <c r="F1550" s="70" t="str">
        <f>SUBSTITUTE(F1546,",5)",",9)")</f>
        <v>C(U2,16,9)</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35"/>
        <v>4</v>
      </c>
      <c r="D1551" s="73"/>
      <c r="E1551" s="70"/>
      <c r="F1551" s="70" t="str">
        <f>SUBSTITUTE(F1547,",6)",",10)")</f>
        <v>C(U2,16,10)</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35"/>
        <v>4</v>
      </c>
      <c r="D1552" s="73"/>
      <c r="E1552" s="70"/>
      <c r="F1552" s="70" t="str">
        <f>SUBSTITUTE(F1548,",7)",",11)")</f>
        <v>C(U2,16,11)</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35"/>
        <v>4</v>
      </c>
      <c r="D1553" s="73"/>
      <c r="E1553" s="70"/>
      <c r="F1553" s="70" t="str">
        <f>SUBSTITUTE(F1547,",6)",",12)")</f>
        <v>C(U2,16,12)</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35"/>
        <v>4</v>
      </c>
      <c r="D1554" s="73"/>
      <c r="E1554" s="70"/>
      <c r="F1554" s="70" t="str">
        <f>SUBSTITUTE(F1548,",7)",",13)")</f>
        <v>C(U2,16,13)</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35"/>
        <v>4</v>
      </c>
      <c r="D1555" s="73"/>
      <c r="E1555" s="70"/>
      <c r="F1555" s="70" t="s">
        <v>2021</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35"/>
        <v>4</v>
      </c>
      <c r="D1556" s="73"/>
      <c r="E1556" s="70"/>
      <c r="F1556" s="70" t="s">
        <v>2022</v>
      </c>
      <c r="G1556" s="73"/>
      <c r="H1556" s="76" t="s">
        <v>604</v>
      </c>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35"/>
        <v>4</v>
      </c>
      <c r="D1557" s="73"/>
      <c r="E1557" s="70"/>
      <c r="F1557" s="70" t="s">
        <v>2023</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35"/>
        <v>4</v>
      </c>
      <c r="D1558" s="73"/>
      <c r="E1558" s="70"/>
      <c r="F1558" s="70" t="s">
        <v>2024</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35"/>
        <v>4</v>
      </c>
      <c r="D1559" s="73"/>
      <c r="E1559" s="70"/>
      <c r="F1559" s="70" t="s">
        <v>2025</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35"/>
        <v>4</v>
      </c>
      <c r="D1560" s="73"/>
      <c r="E1560" s="70"/>
      <c r="F1560" s="70" t="s">
        <v>2026</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c r="D1561" s="73"/>
      <c r="E1561" s="70"/>
      <c r="F1561" s="70" t="s">
        <v>2442</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c r="D1562" s="73"/>
      <c r="E1562" s="70"/>
      <c r="F1562" s="70" t="s">
        <v>2443</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2444</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f t="shared" ref="C1564:C1575" si="336">INT($C$29)+3</f>
        <v>4</v>
      </c>
      <c r="D1564" s="73"/>
      <c r="E1564" s="70"/>
      <c r="F1564" s="70" t="str">
        <f>SUBSTITUTE(F1560,",4)",",8)")</f>
        <v>C(U2,17,8)</v>
      </c>
      <c r="G1564" s="73"/>
      <c r="H1564" s="76"/>
      <c r="I1564" s="9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si="336"/>
        <v>4</v>
      </c>
      <c r="D1565" s="73"/>
      <c r="E1565" s="70"/>
      <c r="F1565" s="70" t="str">
        <f>SUBSTITUTE(F1561,",5)",",9)")</f>
        <v>C(U2,17,9)</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36"/>
        <v>4</v>
      </c>
      <c r="D1566" s="73"/>
      <c r="E1566" s="70"/>
      <c r="F1566" s="70" t="str">
        <f>SUBSTITUTE(F1562,",6)",",10)")</f>
        <v>C(U2,17,10)</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36"/>
        <v>4</v>
      </c>
      <c r="D1567" s="73"/>
      <c r="E1567" s="70"/>
      <c r="F1567" s="70" t="str">
        <f>SUBSTITUTE(F1563,",7)",",11)")</f>
        <v>C(U2,17,11)</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36"/>
        <v>4</v>
      </c>
      <c r="D1568" s="73"/>
      <c r="E1568" s="70"/>
      <c r="F1568" s="70" t="str">
        <f>SUBSTITUTE(F1562,",6)",",12)")</f>
        <v>C(U2,17,12)</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36"/>
        <v>4</v>
      </c>
      <c r="D1569" s="73"/>
      <c r="E1569" s="70"/>
      <c r="F1569" s="70" t="str">
        <f>SUBSTITUTE(F1563,",7)",",13)")</f>
        <v>C(U2,17,13)</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36"/>
        <v>4</v>
      </c>
      <c r="D1570" s="73"/>
      <c r="E1570" s="70"/>
      <c r="F1570" s="70" t="s">
        <v>2027</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36"/>
        <v>4</v>
      </c>
      <c r="D1571" s="73"/>
      <c r="E1571" s="70"/>
      <c r="F1571" s="70" t="s">
        <v>2028</v>
      </c>
      <c r="G1571" s="73"/>
      <c r="H1571" s="76" t="s">
        <v>604</v>
      </c>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36"/>
        <v>4</v>
      </c>
      <c r="D1572" s="73"/>
      <c r="E1572" s="70"/>
      <c r="F1572" s="70" t="s">
        <v>2029</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36"/>
        <v>4</v>
      </c>
      <c r="D1573" s="73"/>
      <c r="E1573" s="70"/>
      <c r="F1573" s="70" t="s">
        <v>2030</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36"/>
        <v>4</v>
      </c>
      <c r="D1574" s="73"/>
      <c r="E1574" s="70"/>
      <c r="F1574" s="70" t="s">
        <v>2031</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36"/>
        <v>4</v>
      </c>
      <c r="D1575" s="73"/>
      <c r="E1575" s="70"/>
      <c r="F1575" s="70" t="s">
        <v>2032</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c r="D1576" s="73"/>
      <c r="E1576" s="70"/>
      <c r="F1576" s="70" t="s">
        <v>2445</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c r="D1577" s="73"/>
      <c r="E1577" s="70"/>
      <c r="F1577" s="70" t="s">
        <v>2446</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2447</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f t="shared" ref="C1579:C1590" si="337">INT($C$29)+3</f>
        <v>4</v>
      </c>
      <c r="D1579" s="73"/>
      <c r="E1579" s="70"/>
      <c r="F1579" s="70" t="str">
        <f>SUBSTITUTE(F1575,",4)",",8)")</f>
        <v>C(U2,18,8)</v>
      </c>
      <c r="G1579" s="73"/>
      <c r="H1579" s="76"/>
      <c r="I1579" s="9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si="337"/>
        <v>4</v>
      </c>
      <c r="D1580" s="73"/>
      <c r="E1580" s="70"/>
      <c r="F1580" s="70" t="str">
        <f>SUBSTITUTE(F1576,",5)",",9)")</f>
        <v>C(U2,18,9)</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37"/>
        <v>4</v>
      </c>
      <c r="D1581" s="73"/>
      <c r="E1581" s="70"/>
      <c r="F1581" s="70" t="str">
        <f>SUBSTITUTE(F1577,",6)",",10)")</f>
        <v>C(U2,18,10)</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37"/>
        <v>4</v>
      </c>
      <c r="D1582" s="73"/>
      <c r="E1582" s="70"/>
      <c r="F1582" s="70" t="str">
        <f>SUBSTITUTE(F1578,",7)",",11)")</f>
        <v>C(U2,18,11)</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37"/>
        <v>4</v>
      </c>
      <c r="D1583" s="73"/>
      <c r="E1583" s="70"/>
      <c r="F1583" s="70" t="str">
        <f>SUBSTITUTE(F1577,",6)",",12)")</f>
        <v>C(U2,18,12)</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37"/>
        <v>4</v>
      </c>
      <c r="D1584" s="73"/>
      <c r="E1584" s="70"/>
      <c r="F1584" s="70" t="str">
        <f>SUBSTITUTE(F1578,",7)",",13)")</f>
        <v>C(U2,18,13)</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37"/>
        <v>4</v>
      </c>
      <c r="D1585" s="73"/>
      <c r="E1585" s="70"/>
      <c r="F1585" s="70" t="s">
        <v>2033</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37"/>
        <v>4</v>
      </c>
      <c r="D1586" s="73"/>
      <c r="E1586" s="70"/>
      <c r="F1586" s="70" t="s">
        <v>2034</v>
      </c>
      <c r="G1586" s="73"/>
      <c r="H1586" s="76" t="s">
        <v>604</v>
      </c>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37"/>
        <v>4</v>
      </c>
      <c r="D1587" s="73"/>
      <c r="E1587" s="70"/>
      <c r="F1587" s="70" t="s">
        <v>2035</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37"/>
        <v>4</v>
      </c>
      <c r="D1588" s="73"/>
      <c r="E1588" s="70"/>
      <c r="F1588" s="70" t="s">
        <v>2036</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37"/>
        <v>4</v>
      </c>
      <c r="D1589" s="73"/>
      <c r="E1589" s="70"/>
      <c r="F1589" s="70" t="s">
        <v>2037</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37"/>
        <v>4</v>
      </c>
      <c r="D1590" s="73"/>
      <c r="E1590" s="70"/>
      <c r="F1590" s="70" t="s">
        <v>2038</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c r="D1591" s="73"/>
      <c r="E1591" s="70"/>
      <c r="F1591" s="70" t="s">
        <v>2448</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c r="D1592" s="73"/>
      <c r="E1592" s="70"/>
      <c r="F1592" s="70" t="s">
        <v>2449</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2450</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f>INT($C$29)+3</f>
        <v>4</v>
      </c>
      <c r="D1594" s="73"/>
      <c r="E1594" s="70"/>
      <c r="F1594" s="70" t="str">
        <f>SUBSTITUTE(F1590,",4)",",8)")</f>
        <v>C(U2,19,8)</v>
      </c>
      <c r="G1594" s="73"/>
      <c r="H1594" s="76"/>
      <c r="I1594" s="9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f>INT($C$29)+3</f>
        <v>4</v>
      </c>
      <c r="D1595" s="73"/>
      <c r="E1595" s="70"/>
      <c r="F1595" s="70" t="str">
        <f>SUBSTITUTE(F1591,",5)",",9)")</f>
        <v>C(U2,19,9)</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INT($C$29)+3</f>
        <v>4</v>
      </c>
      <c r="D1596" s="73"/>
      <c r="E1596" s="70"/>
      <c r="F1596" s="70" t="str">
        <f>SUBSTITUTE(F1592,",6)",",10)")</f>
        <v>C(U2,19,10)</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INT($C$29)+3</f>
        <v>4</v>
      </c>
      <c r="D1597" s="73"/>
      <c r="E1597" s="70"/>
      <c r="F1597" s="70" t="str">
        <f>SUBSTITUTE(F1593,",7)",",11)")</f>
        <v>C(U2,19,11)</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ref="C1598:C1599" si="338">INT($C$29)+3</f>
        <v>4</v>
      </c>
      <c r="D1598" s="73"/>
      <c r="E1598" s="70"/>
      <c r="F1598" s="70" t="str">
        <f>SUBSTITUTE(F1592,",6)",",12)")</f>
        <v>C(U2,19,12)</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38"/>
        <v>4</v>
      </c>
      <c r="D1599" s="73"/>
      <c r="E1599" s="70"/>
      <c r="F1599" s="70" t="str">
        <f>SUBSTITUTE(F1593,",7)",",13)")</f>
        <v>C(U2,19,13)</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INT($C$29)+3</f>
        <v>4</v>
      </c>
      <c r="D1600" s="73"/>
      <c r="E1600" s="70"/>
      <c r="F1600" s="70" t="s">
        <v>2039</v>
      </c>
      <c r="G1600" s="73"/>
      <c r="H1600" s="76"/>
      <c r="I1600" s="7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2" x14ac:dyDescent="0.25">
      <c r="A1601" s="45"/>
      <c r="B1601" s="54"/>
      <c r="C1601" s="47">
        <f>INT($C$29)+2</f>
        <v>3</v>
      </c>
      <c r="D1601" s="73"/>
      <c r="E1601" s="70"/>
      <c r="F1601" s="70" t="s">
        <v>2040</v>
      </c>
      <c r="G1601" s="73"/>
      <c r="H1601" s="76" t="s">
        <v>2041</v>
      </c>
      <c r="I1601" s="76"/>
      <c r="J1601" s="76"/>
      <c r="K1601" s="76"/>
      <c r="L1601" s="76"/>
      <c r="M1601" s="76"/>
      <c r="N1601" s="76"/>
      <c r="O1601" s="76"/>
      <c r="P1601" s="76"/>
      <c r="Q1601" s="76"/>
      <c r="R1601" s="76"/>
      <c r="S1601" s="76"/>
      <c r="T1601" s="76"/>
      <c r="U1601" s="97">
        <v>0.57699999999999996</v>
      </c>
      <c r="V1601" s="97">
        <v>0.57699999999999996</v>
      </c>
      <c r="W1601" s="97">
        <v>0.57699999999999996</v>
      </c>
      <c r="X1601" s="97">
        <v>0.57699999999999996</v>
      </c>
      <c r="Y1601" s="97">
        <v>0.57699999999999996</v>
      </c>
      <c r="Z1601" s="255">
        <f t="shared" ref="Z1601:AD1602" si="339">Y1601</f>
        <v>0.57699999999999996</v>
      </c>
      <c r="AA1601" s="255">
        <f t="shared" si="339"/>
        <v>0.57699999999999996</v>
      </c>
      <c r="AB1601" s="255">
        <f t="shared" si="339"/>
        <v>0.57699999999999996</v>
      </c>
      <c r="AC1601" s="255">
        <f t="shared" si="339"/>
        <v>0.57699999999999996</v>
      </c>
      <c r="AD1601" s="255">
        <f t="shared" si="339"/>
        <v>0.57699999999999996</v>
      </c>
      <c r="AE1601" s="76"/>
      <c r="AF1601" s="97" t="s">
        <v>2042</v>
      </c>
      <c r="AG1601" s="76"/>
      <c r="AH1601" s="97">
        <v>1</v>
      </c>
      <c r="AI1601" s="97">
        <v>1</v>
      </c>
      <c r="AJ1601" s="73"/>
      <c r="AK1601" s="57"/>
      <c r="AL1601" s="45"/>
      <c r="AM1601" s="45"/>
      <c r="AN1601" s="45"/>
    </row>
    <row r="1602" spans="1:40" hidden="1" outlineLevel="2" collapsed="1" x14ac:dyDescent="0.25">
      <c r="A1602" s="45"/>
      <c r="B1602" s="54"/>
      <c r="C1602" s="47">
        <f>INT($C$29)+2</f>
        <v>3</v>
      </c>
      <c r="D1602" s="73"/>
      <c r="E1602" s="70"/>
      <c r="F1602" s="70" t="s">
        <v>2043</v>
      </c>
      <c r="G1602" s="73"/>
      <c r="H1602" s="76" t="s">
        <v>2044</v>
      </c>
      <c r="I1602" s="76"/>
      <c r="J1602" s="76"/>
      <c r="K1602" s="76"/>
      <c r="L1602" s="76"/>
      <c r="M1602" s="76"/>
      <c r="N1602" s="76"/>
      <c r="O1602" s="76"/>
      <c r="P1602" s="76"/>
      <c r="Q1602" s="76"/>
      <c r="R1602" s="76"/>
      <c r="S1602" s="76"/>
      <c r="T1602" s="76"/>
      <c r="U1602" s="97">
        <v>-1.2E-2</v>
      </c>
      <c r="V1602" s="97">
        <v>-1.2E-2</v>
      </c>
      <c r="W1602" s="97">
        <v>-1.2E-2</v>
      </c>
      <c r="X1602" s="97">
        <v>-1.2E-2</v>
      </c>
      <c r="Y1602" s="97">
        <v>-1.2E-2</v>
      </c>
      <c r="Z1602" s="255">
        <f t="shared" si="339"/>
        <v>-1.2E-2</v>
      </c>
      <c r="AA1602" s="255">
        <f t="shared" si="339"/>
        <v>-1.2E-2</v>
      </c>
      <c r="AB1602" s="255">
        <f t="shared" si="339"/>
        <v>-1.2E-2</v>
      </c>
      <c r="AC1602" s="255">
        <f t="shared" si="339"/>
        <v>-1.2E-2</v>
      </c>
      <c r="AD1602" s="255">
        <f t="shared" si="339"/>
        <v>-1.2E-2</v>
      </c>
      <c r="AE1602" s="76"/>
      <c r="AF1602" s="76"/>
      <c r="AG1602" s="76"/>
      <c r="AH1602" s="97">
        <v>1</v>
      </c>
      <c r="AI1602" s="97">
        <v>1</v>
      </c>
      <c r="AJ1602" s="73"/>
      <c r="AK1602" s="57"/>
      <c r="AL1602" s="45"/>
      <c r="AM1602" s="45"/>
      <c r="AN1602" s="45"/>
    </row>
    <row r="1603" spans="1:40" hidden="1" outlineLevel="3" x14ac:dyDescent="0.25">
      <c r="A1603" s="45"/>
      <c r="B1603" s="54"/>
      <c r="C1603" s="47">
        <f>INT($C$29)+2</f>
        <v>3</v>
      </c>
      <c r="D1603" s="73"/>
      <c r="E1603" s="70"/>
      <c r="F1603" s="70" t="s">
        <v>2045</v>
      </c>
      <c r="G1603" s="73"/>
      <c r="H1603" s="76" t="s">
        <v>2046</v>
      </c>
      <c r="I1603" s="76"/>
      <c r="J1603" s="76"/>
      <c r="K1603" s="76"/>
      <c r="L1603" s="76"/>
      <c r="M1603" s="76"/>
      <c r="N1603" s="76"/>
      <c r="O1603" s="76"/>
      <c r="P1603" s="76"/>
      <c r="Q1603" s="76"/>
      <c r="R1603" s="76"/>
      <c r="S1603" s="76"/>
      <c r="T1603" s="76"/>
      <c r="U1603" s="76">
        <v>0</v>
      </c>
      <c r="V1603" s="76">
        <v>0</v>
      </c>
      <c r="W1603" s="76">
        <v>0</v>
      </c>
      <c r="X1603" s="76">
        <v>0</v>
      </c>
      <c r="Y1603" s="76">
        <v>0</v>
      </c>
      <c r="Z1603" s="76">
        <v>0</v>
      </c>
      <c r="AA1603" s="76">
        <v>0</v>
      </c>
      <c r="AB1603" s="76">
        <v>0</v>
      </c>
      <c r="AC1603" s="76">
        <v>0</v>
      </c>
      <c r="AD1603" s="76">
        <v>0</v>
      </c>
      <c r="AE1603" s="76"/>
      <c r="AF1603" s="76"/>
      <c r="AG1603" s="76"/>
      <c r="AH1603" s="76">
        <v>1</v>
      </c>
      <c r="AI1603" s="76">
        <v>1</v>
      </c>
      <c r="AJ1603" s="73"/>
      <c r="AK1603" s="57"/>
      <c r="AL1603" s="45"/>
      <c r="AM1603" s="45"/>
      <c r="AN1603" s="45"/>
    </row>
    <row r="1604" spans="1:40" hidden="1" outlineLevel="3" x14ac:dyDescent="0.25">
      <c r="A1604" s="45"/>
      <c r="B1604" s="54"/>
      <c r="C1604" s="47">
        <f>INT($C$29)+3</f>
        <v>4</v>
      </c>
      <c r="D1604" s="73"/>
      <c r="E1604" s="70"/>
      <c r="F1604" s="70" t="s">
        <v>2047</v>
      </c>
      <c r="G1604" s="73"/>
      <c r="H1604" s="377" t="s">
        <v>2464</v>
      </c>
      <c r="I1604" s="76"/>
      <c r="J1604" s="76"/>
      <c r="K1604" s="76"/>
      <c r="L1604" s="76"/>
      <c r="M1604" s="76"/>
      <c r="N1604" s="76"/>
      <c r="O1604" s="76"/>
      <c r="P1604" s="76"/>
      <c r="Q1604" s="76"/>
      <c r="R1604" s="76"/>
      <c r="S1604" s="76"/>
      <c r="T1604" s="76"/>
      <c r="U1604" s="76">
        <v>0</v>
      </c>
      <c r="V1604" s="76">
        <v>0</v>
      </c>
      <c r="W1604" s="76">
        <v>0</v>
      </c>
      <c r="X1604" s="76">
        <v>0</v>
      </c>
      <c r="Y1604" s="76">
        <v>0</v>
      </c>
      <c r="Z1604" s="76">
        <v>0</v>
      </c>
      <c r="AA1604" s="76">
        <v>0</v>
      </c>
      <c r="AB1604" s="76">
        <v>0</v>
      </c>
      <c r="AC1604" s="76">
        <v>0</v>
      </c>
      <c r="AD1604" s="76">
        <v>0</v>
      </c>
      <c r="AE1604" s="76"/>
      <c r="AF1604" s="76"/>
      <c r="AG1604" s="76"/>
      <c r="AH1604" s="76">
        <v>1</v>
      </c>
      <c r="AI1604" s="76">
        <v>1</v>
      </c>
      <c r="AJ1604" s="73"/>
      <c r="AK1604" s="57"/>
      <c r="AL1604" s="45"/>
      <c r="AM1604" s="45"/>
      <c r="AN1604" s="45"/>
    </row>
    <row r="1605" spans="1:40" hidden="1" outlineLevel="3" x14ac:dyDescent="0.25">
      <c r="A1605" s="45"/>
      <c r="B1605" s="54"/>
      <c r="C1605" s="47">
        <f>INT($C$29)+2</f>
        <v>3</v>
      </c>
      <c r="D1605" s="73"/>
      <c r="E1605" s="70"/>
      <c r="F1605" s="70" t="s">
        <v>2049</v>
      </c>
      <c r="G1605" s="73"/>
      <c r="H1605" s="76" t="s">
        <v>2048</v>
      </c>
      <c r="I1605" s="76"/>
      <c r="J1605" s="76"/>
      <c r="K1605" s="76"/>
      <c r="L1605" s="76"/>
      <c r="M1605" s="76"/>
      <c r="N1605" s="76"/>
      <c r="O1605" s="76"/>
      <c r="P1605" s="76"/>
      <c r="Q1605" s="76"/>
      <c r="R1605" s="76"/>
      <c r="S1605" s="76"/>
      <c r="T1605" s="76"/>
      <c r="U1605" s="76">
        <v>0</v>
      </c>
      <c r="V1605" s="76">
        <v>0</v>
      </c>
      <c r="W1605" s="76">
        <v>0</v>
      </c>
      <c r="X1605" s="76">
        <v>0</v>
      </c>
      <c r="Y1605" s="76">
        <v>0</v>
      </c>
      <c r="Z1605" s="76">
        <v>0</v>
      </c>
      <c r="AA1605" s="76">
        <v>0</v>
      </c>
      <c r="AB1605" s="76">
        <v>0</v>
      </c>
      <c r="AC1605" s="76">
        <v>0</v>
      </c>
      <c r="AD1605" s="76">
        <v>0</v>
      </c>
      <c r="AE1605" s="76"/>
      <c r="AF1605" s="76"/>
      <c r="AG1605" s="76"/>
      <c r="AH1605" s="76">
        <v>1</v>
      </c>
      <c r="AI1605" s="76">
        <v>1</v>
      </c>
      <c r="AJ1605" s="73"/>
      <c r="AK1605" s="57"/>
      <c r="AL1605" s="45"/>
      <c r="AM1605" s="45"/>
      <c r="AN1605" s="45"/>
    </row>
    <row r="1606" spans="1:40" hidden="1" outlineLevel="3" x14ac:dyDescent="0.25">
      <c r="A1606" s="45"/>
      <c r="B1606" s="54"/>
      <c r="C1606" s="47">
        <f>INT($C$29)+2</f>
        <v>3</v>
      </c>
      <c r="D1606" s="73"/>
      <c r="E1606" s="70"/>
      <c r="F1606" s="70" t="s">
        <v>2469</v>
      </c>
      <c r="G1606" s="73"/>
      <c r="H1606" s="76" t="s">
        <v>2050</v>
      </c>
      <c r="I1606" s="76"/>
      <c r="J1606" s="76"/>
      <c r="K1606" s="76"/>
      <c r="L1606" s="76"/>
      <c r="M1606" s="76"/>
      <c r="N1606" s="76"/>
      <c r="O1606" s="76"/>
      <c r="P1606" s="76"/>
      <c r="Q1606" s="76"/>
      <c r="R1606" s="76"/>
      <c r="S1606" s="76"/>
      <c r="T1606" s="76"/>
      <c r="U1606" s="76">
        <v>0</v>
      </c>
      <c r="V1606" s="76">
        <v>0</v>
      </c>
      <c r="W1606" s="76">
        <v>0</v>
      </c>
      <c r="X1606" s="76">
        <v>0</v>
      </c>
      <c r="Y1606" s="76">
        <v>0</v>
      </c>
      <c r="Z1606" s="76">
        <v>0</v>
      </c>
      <c r="AA1606" s="76">
        <v>0</v>
      </c>
      <c r="AB1606" s="76">
        <v>0</v>
      </c>
      <c r="AC1606" s="76">
        <v>0</v>
      </c>
      <c r="AD1606" s="76">
        <v>0</v>
      </c>
      <c r="AE1606" s="76"/>
      <c r="AF1606" s="76"/>
      <c r="AG1606" s="76"/>
      <c r="AH1606" s="76">
        <v>1</v>
      </c>
      <c r="AI1606" s="76">
        <v>1</v>
      </c>
      <c r="AJ1606" s="73"/>
      <c r="AK1606" s="57"/>
      <c r="AL1606" s="45"/>
      <c r="AM1606" s="45"/>
      <c r="AN1606" s="45"/>
    </row>
    <row r="1607" spans="1:40" hidden="1" outlineLevel="3" x14ac:dyDescent="0.25">
      <c r="A1607" s="45"/>
      <c r="B1607" s="54"/>
      <c r="C1607" s="47">
        <f t="shared" ref="C1607:C1614" si="340">INT($C$29)+3</f>
        <v>4</v>
      </c>
      <c r="D1607" s="73"/>
      <c r="E1607" s="70"/>
      <c r="F1607" s="70" t="s">
        <v>2467</v>
      </c>
      <c r="G1607" s="73"/>
      <c r="H1607" s="377" t="s">
        <v>2465</v>
      </c>
      <c r="I1607" s="76"/>
      <c r="J1607" s="76"/>
      <c r="K1607" s="76"/>
      <c r="L1607" s="76"/>
      <c r="M1607" s="76"/>
      <c r="N1607" s="76"/>
      <c r="O1607" s="76"/>
      <c r="P1607" s="76"/>
      <c r="Q1607" s="76"/>
      <c r="R1607" s="76"/>
      <c r="S1607" s="76"/>
      <c r="T1607" s="76"/>
      <c r="U1607" s="76">
        <v>0</v>
      </c>
      <c r="V1607" s="76">
        <v>0</v>
      </c>
      <c r="W1607" s="76">
        <v>0</v>
      </c>
      <c r="X1607" s="76">
        <v>0</v>
      </c>
      <c r="Y1607" s="76">
        <v>0</v>
      </c>
      <c r="Z1607" s="76">
        <v>0</v>
      </c>
      <c r="AA1607" s="76">
        <v>0</v>
      </c>
      <c r="AB1607" s="76">
        <v>0</v>
      </c>
      <c r="AC1607" s="76">
        <v>0</v>
      </c>
      <c r="AD1607" s="76">
        <v>0</v>
      </c>
      <c r="AE1607" s="76"/>
      <c r="AF1607" s="76"/>
      <c r="AG1607" s="76"/>
      <c r="AH1607" s="76">
        <v>1</v>
      </c>
      <c r="AI1607" s="76">
        <v>1</v>
      </c>
      <c r="AJ1607" s="73"/>
      <c r="AK1607" s="57"/>
      <c r="AL1607" s="45"/>
      <c r="AM1607" s="45"/>
      <c r="AN1607" s="45"/>
    </row>
    <row r="1608" spans="1:40" hidden="1" outlineLevel="3" x14ac:dyDescent="0.25">
      <c r="A1608" s="45"/>
      <c r="B1608" s="54"/>
      <c r="C1608" s="47">
        <f t="shared" si="340"/>
        <v>4</v>
      </c>
      <c r="D1608" s="73"/>
      <c r="E1608" s="70"/>
      <c r="F1608" s="70" t="s">
        <v>2468</v>
      </c>
      <c r="G1608" s="73"/>
      <c r="H1608" s="377" t="s">
        <v>2466</v>
      </c>
      <c r="I1608" s="76"/>
      <c r="J1608" s="76"/>
      <c r="K1608" s="76"/>
      <c r="L1608" s="76"/>
      <c r="M1608" s="76"/>
      <c r="N1608" s="76"/>
      <c r="O1608" s="76"/>
      <c r="P1608" s="76"/>
      <c r="Q1608" s="76"/>
      <c r="R1608" s="76"/>
      <c r="S1608" s="76"/>
      <c r="T1608" s="76"/>
      <c r="U1608" s="76">
        <v>0</v>
      </c>
      <c r="V1608" s="76">
        <v>0</v>
      </c>
      <c r="W1608" s="76">
        <v>0</v>
      </c>
      <c r="X1608" s="76">
        <v>0</v>
      </c>
      <c r="Y1608" s="76">
        <v>0</v>
      </c>
      <c r="Z1608" s="76">
        <v>0</v>
      </c>
      <c r="AA1608" s="76">
        <v>0</v>
      </c>
      <c r="AB1608" s="76">
        <v>0</v>
      </c>
      <c r="AC1608" s="76">
        <v>0</v>
      </c>
      <c r="AD1608" s="76">
        <v>0</v>
      </c>
      <c r="AE1608" s="76"/>
      <c r="AF1608" s="76"/>
      <c r="AG1608" s="76"/>
      <c r="AH1608" s="76">
        <v>1</v>
      </c>
      <c r="AI1608" s="76">
        <v>1</v>
      </c>
      <c r="AJ1608" s="73"/>
      <c r="AK1608" s="57"/>
      <c r="AL1608" s="45"/>
      <c r="AM1608" s="45"/>
      <c r="AN1608" s="45"/>
    </row>
    <row r="1609" spans="1:40" hidden="1" outlineLevel="3" x14ac:dyDescent="0.25">
      <c r="A1609" s="45"/>
      <c r="B1609" s="54"/>
      <c r="C1609" s="47">
        <f t="shared" si="340"/>
        <v>4</v>
      </c>
      <c r="D1609" s="73"/>
      <c r="E1609" s="70"/>
      <c r="F1609" s="70" t="str">
        <f>SUBSTITUTE(F1605,",4)",",8)")</f>
        <v>C(U2,20,8)</v>
      </c>
      <c r="G1609" s="73"/>
      <c r="H1609" s="76" t="s">
        <v>2725</v>
      </c>
      <c r="I1609" s="9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 t="shared" si="340"/>
        <v>4</v>
      </c>
      <c r="D1610" s="73"/>
      <c r="E1610" s="70"/>
      <c r="F1610" s="70" t="str">
        <f>SUBSTITUTE(F1606,",5)",",9)")</f>
        <v>C(U2,20,9)</v>
      </c>
      <c r="G1610" s="73"/>
      <c r="H1610" s="76" t="s">
        <v>2726</v>
      </c>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 t="shared" si="340"/>
        <v>4</v>
      </c>
      <c r="D1611" s="73"/>
      <c r="E1611" s="70"/>
      <c r="F1611" s="70" t="str">
        <f>SUBSTITUTE(F1607,",6)",",10)")</f>
        <v>C(U2,20,10)</v>
      </c>
      <c r="G1611" s="73"/>
      <c r="H1611" s="76" t="s">
        <v>2727</v>
      </c>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 t="shared" si="340"/>
        <v>4</v>
      </c>
      <c r="D1612" s="73"/>
      <c r="E1612" s="70"/>
      <c r="F1612" s="70" t="str">
        <f>SUBSTITUTE(F1608,",7)",",11)")</f>
        <v>C(U2,20,11)</v>
      </c>
      <c r="G1612" s="73"/>
      <c r="H1612" s="76" t="s">
        <v>2728</v>
      </c>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 t="shared" si="340"/>
        <v>4</v>
      </c>
      <c r="D1613" s="73"/>
      <c r="E1613" s="70"/>
      <c r="F1613" s="70" t="str">
        <f>SUBSTITUTE(F1607,",6)",",12)")</f>
        <v>C(U2,20,12)</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 t="shared" si="340"/>
        <v>4</v>
      </c>
      <c r="D1614" s="73"/>
      <c r="E1614" s="70"/>
      <c r="F1614" s="70" t="str">
        <f>SUBSTITUTE(F1608,",7)",",13)")</f>
        <v>C(U2,20,13)</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2" collapsed="1" x14ac:dyDescent="0.25">
      <c r="A1615" s="45"/>
      <c r="B1615" s="54"/>
      <c r="C1615" s="47">
        <f>INT($C$29)+2</f>
        <v>3</v>
      </c>
      <c r="D1615" s="73"/>
      <c r="E1615" s="70"/>
      <c r="F1615" s="70" t="s">
        <v>2051</v>
      </c>
      <c r="G1615" s="73"/>
      <c r="H1615" s="76" t="s">
        <v>2052</v>
      </c>
      <c r="I1615" s="76"/>
      <c r="J1615" s="76"/>
      <c r="K1615" s="76"/>
      <c r="L1615" s="76"/>
      <c r="M1615" s="76"/>
      <c r="N1615" s="76"/>
      <c r="O1615" s="76"/>
      <c r="P1615" s="76"/>
      <c r="Q1615" s="76"/>
      <c r="R1615" s="76"/>
      <c r="S1615" s="76"/>
      <c r="T1615" s="76"/>
      <c r="U1615" s="97">
        <v>-4.07</v>
      </c>
      <c r="V1615" s="97">
        <v>-4.07</v>
      </c>
      <c r="W1615" s="97">
        <v>-4.07</v>
      </c>
      <c r="X1615" s="97">
        <v>-4.07</v>
      </c>
      <c r="Y1615" s="97">
        <v>-4.07</v>
      </c>
      <c r="Z1615" s="255">
        <f>Y1615</f>
        <v>-4.07</v>
      </c>
      <c r="AA1615" s="255">
        <f>Z1615</f>
        <v>-4.07</v>
      </c>
      <c r="AB1615" s="255">
        <f>AA1615</f>
        <v>-4.07</v>
      </c>
      <c r="AC1615" s="255">
        <f>AB1615</f>
        <v>-4.07</v>
      </c>
      <c r="AD1615" s="255">
        <f>AC1615</f>
        <v>-4.07</v>
      </c>
      <c r="AE1615" s="76"/>
      <c r="AF1615" s="76"/>
      <c r="AG1615" s="76"/>
      <c r="AH1615" s="97">
        <v>1</v>
      </c>
      <c r="AI1615" s="97">
        <v>1</v>
      </c>
      <c r="AJ1615" s="73"/>
      <c r="AK1615" s="57"/>
      <c r="AL1615" s="45"/>
      <c r="AM1615" s="45"/>
      <c r="AN1615" s="45"/>
    </row>
    <row r="1616" spans="1:40" hidden="1" outlineLevel="3" x14ac:dyDescent="0.25">
      <c r="A1616" s="45"/>
      <c r="B1616" s="54"/>
      <c r="C1616" s="47">
        <f>INT($C$29)+3</f>
        <v>4</v>
      </c>
      <c r="D1616" s="73"/>
      <c r="E1616" s="70"/>
      <c r="F1616" s="70" t="s">
        <v>2053</v>
      </c>
      <c r="G1616" s="73"/>
      <c r="H1616" s="76" t="s">
        <v>604</v>
      </c>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
        <v>2054</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INT($C$29)+3</f>
        <v>4</v>
      </c>
      <c r="D1618" s="73"/>
      <c r="E1618" s="70"/>
      <c r="F1618" s="70" t="s">
        <v>2055</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25">
      <c r="A1619" s="45"/>
      <c r="B1619" s="54"/>
      <c r="C1619" s="47">
        <f>INT($C$29)+3</f>
        <v>4</v>
      </c>
      <c r="D1619" s="73"/>
      <c r="E1619" s="70"/>
      <c r="F1619" s="70" t="s">
        <v>2056</v>
      </c>
      <c r="G1619" s="73"/>
      <c r="H1619" s="76"/>
      <c r="I1619" s="7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3" x14ac:dyDescent="0.25">
      <c r="A1620" s="45"/>
      <c r="B1620" s="54"/>
      <c r="C1620" s="47">
        <f>INT($C$29)+3</f>
        <v>4</v>
      </c>
      <c r="D1620" s="73"/>
      <c r="E1620" s="70"/>
      <c r="F1620" s="70" t="s">
        <v>2057</v>
      </c>
      <c r="G1620" s="73"/>
      <c r="H1620" s="76"/>
      <c r="I1620" s="7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v>1</v>
      </c>
      <c r="AI1620" s="76">
        <v>1</v>
      </c>
      <c r="AJ1620" s="73"/>
      <c r="AK1620" s="57"/>
      <c r="AL1620" s="45"/>
      <c r="AM1620" s="45"/>
      <c r="AN1620" s="45"/>
    </row>
    <row r="1621" spans="1:40" hidden="1" outlineLevel="3" x14ac:dyDescent="0.25">
      <c r="A1621" s="45"/>
      <c r="B1621" s="54"/>
      <c r="C1621" s="47"/>
      <c r="D1621" s="73"/>
      <c r="E1621" s="70"/>
      <c r="F1621" s="70" t="s">
        <v>2451</v>
      </c>
      <c r="G1621" s="73"/>
      <c r="H1621" s="76"/>
      <c r="I1621" s="7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v>1</v>
      </c>
      <c r="AI1621" s="76">
        <v>1</v>
      </c>
      <c r="AJ1621" s="73"/>
      <c r="AK1621" s="57"/>
      <c r="AL1621" s="45"/>
      <c r="AM1621" s="45"/>
      <c r="AN1621" s="45"/>
    </row>
    <row r="1622" spans="1:40" hidden="1" outlineLevel="3" x14ac:dyDescent="0.25">
      <c r="A1622" s="45"/>
      <c r="B1622" s="54"/>
      <c r="C1622" s="47"/>
      <c r="D1622" s="73"/>
      <c r="E1622" s="70"/>
      <c r="F1622" s="70" t="s">
        <v>2452</v>
      </c>
      <c r="G1622" s="73"/>
      <c r="H1622" s="76"/>
      <c r="I1622" s="7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v>1</v>
      </c>
      <c r="AI1622" s="76">
        <v>1</v>
      </c>
      <c r="AJ1622" s="73"/>
      <c r="AK1622" s="57"/>
      <c r="AL1622" s="45"/>
      <c r="AM1622" s="45"/>
      <c r="AN1622" s="45"/>
    </row>
    <row r="1623" spans="1:40" hidden="1" outlineLevel="3" x14ac:dyDescent="0.25">
      <c r="A1623" s="45"/>
      <c r="B1623" s="54"/>
      <c r="C1623" s="47"/>
      <c r="D1623" s="73"/>
      <c r="E1623" s="70"/>
      <c r="F1623" s="70" t="s">
        <v>2453</v>
      </c>
      <c r="G1623" s="73"/>
      <c r="H1623" s="76"/>
      <c r="I1623" s="76"/>
      <c r="J1623" s="76"/>
      <c r="K1623" s="76"/>
      <c r="L1623" s="76"/>
      <c r="M1623" s="76"/>
      <c r="N1623" s="76"/>
      <c r="O1623" s="76"/>
      <c r="P1623" s="76"/>
      <c r="Q1623" s="76"/>
      <c r="R1623" s="76"/>
      <c r="S1623" s="76"/>
      <c r="T1623" s="76"/>
      <c r="U1623" s="76"/>
      <c r="V1623" s="76"/>
      <c r="W1623" s="76"/>
      <c r="X1623" s="76"/>
      <c r="Y1623" s="76"/>
      <c r="Z1623" s="76"/>
      <c r="AA1623" s="76"/>
      <c r="AB1623" s="76"/>
      <c r="AC1623" s="76"/>
      <c r="AD1623" s="76"/>
      <c r="AE1623" s="76"/>
      <c r="AF1623" s="76"/>
      <c r="AG1623" s="76"/>
      <c r="AH1623" s="76">
        <v>1</v>
      </c>
      <c r="AI1623" s="76">
        <v>1</v>
      </c>
      <c r="AJ1623" s="73"/>
      <c r="AK1623" s="57"/>
      <c r="AL1623" s="45"/>
      <c r="AM1623" s="45"/>
      <c r="AN1623" s="45"/>
    </row>
    <row r="1624" spans="1:40" hidden="1" outlineLevel="3" x14ac:dyDescent="0.25">
      <c r="A1624" s="45"/>
      <c r="B1624" s="54"/>
      <c r="C1624" s="47">
        <f>INT($C$29)+3</f>
        <v>4</v>
      </c>
      <c r="D1624" s="73"/>
      <c r="E1624" s="70"/>
      <c r="F1624" s="70" t="str">
        <f>SUBSTITUTE(F1620,",4)",",8)")</f>
        <v>C(U2,21,8)</v>
      </c>
      <c r="G1624" s="73"/>
      <c r="H1624" s="76"/>
      <c r="I1624" s="96"/>
      <c r="J1624" s="76"/>
      <c r="K1624" s="76"/>
      <c r="L1624" s="76"/>
      <c r="M1624" s="76"/>
      <c r="N1624" s="76"/>
      <c r="O1624" s="76"/>
      <c r="P1624" s="76"/>
      <c r="Q1624" s="76"/>
      <c r="R1624" s="76"/>
      <c r="S1624" s="76"/>
      <c r="T1624" s="76"/>
      <c r="U1624" s="76"/>
      <c r="V1624" s="76"/>
      <c r="W1624" s="76"/>
      <c r="X1624" s="76"/>
      <c r="Y1624" s="76"/>
      <c r="Z1624" s="76"/>
      <c r="AA1624" s="76"/>
      <c r="AB1624" s="76"/>
      <c r="AC1624" s="76"/>
      <c r="AD1624" s="76"/>
      <c r="AE1624" s="76"/>
      <c r="AF1624" s="76"/>
      <c r="AG1624" s="76"/>
      <c r="AH1624" s="76">
        <v>1</v>
      </c>
      <c r="AI1624" s="76">
        <v>1</v>
      </c>
      <c r="AJ1624" s="73"/>
      <c r="AK1624" s="57"/>
      <c r="AL1624" s="45"/>
      <c r="AM1624" s="45"/>
      <c r="AN1624" s="45"/>
    </row>
    <row r="1625" spans="1:40" hidden="1" outlineLevel="3" x14ac:dyDescent="0.25">
      <c r="A1625" s="45"/>
      <c r="B1625" s="54"/>
      <c r="C1625" s="47">
        <f>INT($C$29)+3</f>
        <v>4</v>
      </c>
      <c r="D1625" s="73"/>
      <c r="E1625" s="70"/>
      <c r="F1625" s="70" t="str">
        <f>SUBSTITUTE(F1621,",5)",",9)")</f>
        <v>C(U2,21,9)</v>
      </c>
      <c r="G1625" s="73"/>
      <c r="H1625" s="76"/>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25">
      <c r="A1626" s="45"/>
      <c r="B1626" s="54"/>
      <c r="C1626" s="47">
        <f>INT($C$29)+3</f>
        <v>4</v>
      </c>
      <c r="D1626" s="73"/>
      <c r="E1626" s="70"/>
      <c r="F1626" s="70" t="str">
        <f>SUBSTITUTE(F1622,",6)",",10)")</f>
        <v>C(U2,21,10)</v>
      </c>
      <c r="G1626" s="73"/>
      <c r="H1626" s="76"/>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INT($C$29)+3</f>
        <v>4</v>
      </c>
      <c r="D1627" s="73"/>
      <c r="E1627" s="70"/>
      <c r="F1627" s="70" t="str">
        <f>SUBSTITUTE(F1623,",7)",",11)")</f>
        <v>C(U2,21,11)</v>
      </c>
      <c r="G1627" s="73"/>
      <c r="H1627" s="76"/>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ref="C1628:C1629" si="341">INT($C$29)+3</f>
        <v>4</v>
      </c>
      <c r="D1628" s="73"/>
      <c r="E1628" s="70"/>
      <c r="F1628" s="70" t="str">
        <f>SUBSTITUTE(F1622,",6)",",12)")</f>
        <v>C(U2,21,12)</v>
      </c>
      <c r="G1628" s="73"/>
      <c r="H1628" s="76"/>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41"/>
        <v>4</v>
      </c>
      <c r="D1629" s="73"/>
      <c r="E1629" s="70"/>
      <c r="F1629" s="70" t="str">
        <f>SUBSTITUTE(F1623,",7)",",13)")</f>
        <v>C(U2,21,13)</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INT($C$29)+3</f>
        <v>4</v>
      </c>
      <c r="D1630" s="73"/>
      <c r="E1630" s="70"/>
      <c r="F1630" s="70" t="s">
        <v>2058</v>
      </c>
      <c r="G1630" s="73"/>
      <c r="H1630" s="76"/>
      <c r="I1630" s="7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2" x14ac:dyDescent="0.25">
      <c r="A1631" s="45"/>
      <c r="B1631" s="54"/>
      <c r="C1631" s="47">
        <f>INT($C$29)+2</f>
        <v>3</v>
      </c>
      <c r="D1631" s="73"/>
      <c r="E1631" s="70"/>
      <c r="F1631" s="70" t="s">
        <v>2059</v>
      </c>
      <c r="G1631" s="73"/>
      <c r="H1631" s="76" t="s">
        <v>2743</v>
      </c>
      <c r="I1631" s="76"/>
      <c r="J1631" s="76"/>
      <c r="K1631" s="76"/>
      <c r="L1631" s="76"/>
      <c r="M1631" s="76"/>
      <c r="N1631" s="76"/>
      <c r="O1631" s="76"/>
      <c r="P1631" s="76"/>
      <c r="Q1631" s="76"/>
      <c r="R1631" s="76"/>
      <c r="S1631" s="76"/>
      <c r="T1631" s="76"/>
      <c r="U1631" s="97">
        <v>-8.4959000000000007</v>
      </c>
      <c r="V1631" s="261">
        <f>U1631</f>
        <v>-8.4959000000000007</v>
      </c>
      <c r="W1631" s="261">
        <f>U1631</f>
        <v>-8.4959000000000007</v>
      </c>
      <c r="X1631" s="261">
        <f>V1631</f>
        <v>-8.4959000000000007</v>
      </c>
      <c r="Y1631" s="261">
        <f>V1631</f>
        <v>-8.4959000000000007</v>
      </c>
      <c r="Z1631" s="261">
        <f t="shared" ref="Z1631:AD1632" si="342">Y1631</f>
        <v>-8.4959000000000007</v>
      </c>
      <c r="AA1631" s="261">
        <f t="shared" si="342"/>
        <v>-8.4959000000000007</v>
      </c>
      <c r="AB1631" s="261">
        <f t="shared" si="342"/>
        <v>-8.4959000000000007</v>
      </c>
      <c r="AC1631" s="261">
        <f t="shared" si="342"/>
        <v>-8.4959000000000007</v>
      </c>
      <c r="AD1631" s="261">
        <f t="shared" si="342"/>
        <v>-8.4959000000000007</v>
      </c>
      <c r="AE1631" s="76"/>
      <c r="AF1631" s="97" t="s">
        <v>2744</v>
      </c>
      <c r="AG1631" s="76"/>
      <c r="AH1631" s="97">
        <v>1</v>
      </c>
      <c r="AI1631" s="97">
        <v>1</v>
      </c>
      <c r="AJ1631" s="73"/>
      <c r="AK1631" s="57"/>
      <c r="AL1631" s="45"/>
      <c r="AM1631" s="45"/>
      <c r="AN1631" s="45"/>
    </row>
    <row r="1632" spans="1:40" hidden="1" outlineLevel="2" collapsed="1" x14ac:dyDescent="0.25">
      <c r="A1632" s="45"/>
      <c r="B1632" s="54"/>
      <c r="C1632" s="47">
        <f>INT($C$29)+2</f>
        <v>3</v>
      </c>
      <c r="D1632" s="73"/>
      <c r="E1632" s="70"/>
      <c r="F1632" s="70" t="s">
        <v>2060</v>
      </c>
      <c r="G1632" s="73"/>
      <c r="H1632" s="76" t="s">
        <v>2476</v>
      </c>
      <c r="I1632" s="76"/>
      <c r="J1632" s="76"/>
      <c r="K1632" s="76"/>
      <c r="L1632" s="76"/>
      <c r="M1632" s="76"/>
      <c r="N1632" s="76"/>
      <c r="O1632" s="76"/>
      <c r="P1632" s="76"/>
      <c r="Q1632" s="76"/>
      <c r="R1632" s="76"/>
      <c r="S1632" s="76"/>
      <c r="T1632" s="76"/>
      <c r="U1632" s="97">
        <v>1.38185</v>
      </c>
      <c r="V1632" s="261">
        <f>U1632</f>
        <v>1.38185</v>
      </c>
      <c r="W1632" s="261">
        <f>U1632</f>
        <v>1.38185</v>
      </c>
      <c r="X1632" s="261">
        <f>V1632</f>
        <v>1.38185</v>
      </c>
      <c r="Y1632" s="261">
        <f>V1632</f>
        <v>1.38185</v>
      </c>
      <c r="Z1632" s="261">
        <f t="shared" si="342"/>
        <v>1.38185</v>
      </c>
      <c r="AA1632" s="261">
        <f t="shared" si="342"/>
        <v>1.38185</v>
      </c>
      <c r="AB1632" s="261">
        <f t="shared" si="342"/>
        <v>1.38185</v>
      </c>
      <c r="AC1632" s="261">
        <f t="shared" si="342"/>
        <v>1.38185</v>
      </c>
      <c r="AD1632" s="261">
        <f t="shared" si="342"/>
        <v>1.38185</v>
      </c>
      <c r="AE1632" s="76"/>
      <c r="AF1632" s="76"/>
      <c r="AG1632" s="76"/>
      <c r="AH1632" s="97">
        <v>1</v>
      </c>
      <c r="AI1632" s="97">
        <v>1</v>
      </c>
      <c r="AJ1632" s="73"/>
      <c r="AK1632" s="57"/>
      <c r="AL1632" s="45"/>
      <c r="AM1632" s="45"/>
      <c r="AN1632" s="45"/>
    </row>
    <row r="1633" spans="1:40" hidden="1" outlineLevel="3" x14ac:dyDescent="0.25">
      <c r="A1633" s="45"/>
      <c r="B1633" s="54"/>
      <c r="C1633" s="47">
        <f t="shared" ref="C1633:C1644" si="343">INT($C$29)+3</f>
        <v>4</v>
      </c>
      <c r="D1633" s="73"/>
      <c r="E1633" s="70"/>
      <c r="F1633" s="70" t="s">
        <v>2061</v>
      </c>
      <c r="G1633" s="73"/>
      <c r="H1633" s="377" t="s">
        <v>2483</v>
      </c>
      <c r="I1633" s="76"/>
      <c r="J1633" s="76"/>
      <c r="K1633" s="76"/>
      <c r="L1633" s="76"/>
      <c r="M1633" s="76"/>
      <c r="N1633" s="76"/>
      <c r="O1633" s="76"/>
      <c r="P1633" s="76"/>
      <c r="Q1633" s="76"/>
      <c r="R1633" s="76"/>
      <c r="S1633" s="76"/>
      <c r="T1633" s="76"/>
      <c r="U1633" s="76">
        <v>0</v>
      </c>
      <c r="V1633" s="76">
        <v>0</v>
      </c>
      <c r="W1633" s="76">
        <v>0</v>
      </c>
      <c r="X1633" s="76">
        <v>0</v>
      </c>
      <c r="Y1633" s="76">
        <v>0</v>
      </c>
      <c r="Z1633" s="76">
        <v>0</v>
      </c>
      <c r="AA1633" s="76">
        <v>0</v>
      </c>
      <c r="AB1633" s="76">
        <v>0</v>
      </c>
      <c r="AC1633" s="76">
        <v>0</v>
      </c>
      <c r="AD1633" s="76">
        <v>0</v>
      </c>
      <c r="AE1633" s="76"/>
      <c r="AF1633" s="76"/>
      <c r="AG1633" s="76"/>
      <c r="AH1633" s="76">
        <v>1</v>
      </c>
      <c r="AI1633" s="76">
        <v>1</v>
      </c>
      <c r="AJ1633" s="73"/>
      <c r="AK1633" s="57"/>
      <c r="AL1633" s="45"/>
      <c r="AM1633" s="45"/>
      <c r="AN1633" s="45"/>
    </row>
    <row r="1634" spans="1:40" hidden="1" outlineLevel="3" x14ac:dyDescent="0.25">
      <c r="A1634" s="45"/>
      <c r="B1634" s="54"/>
      <c r="C1634" s="47">
        <f t="shared" si="343"/>
        <v>4</v>
      </c>
      <c r="D1634" s="73"/>
      <c r="E1634" s="70"/>
      <c r="F1634" s="70" t="s">
        <v>2062</v>
      </c>
      <c r="G1634" s="73"/>
      <c r="H1634" s="377" t="s">
        <v>2484</v>
      </c>
      <c r="I1634" s="76"/>
      <c r="J1634" s="76"/>
      <c r="K1634" s="76"/>
      <c r="L1634" s="76"/>
      <c r="M1634" s="76"/>
      <c r="N1634" s="76"/>
      <c r="O1634" s="76"/>
      <c r="P1634" s="76"/>
      <c r="Q1634" s="76"/>
      <c r="R1634" s="76"/>
      <c r="S1634" s="76"/>
      <c r="T1634" s="76"/>
      <c r="U1634" s="76">
        <v>0</v>
      </c>
      <c r="V1634" s="76">
        <v>0</v>
      </c>
      <c r="W1634" s="76">
        <v>0</v>
      </c>
      <c r="X1634" s="76">
        <v>0</v>
      </c>
      <c r="Y1634" s="76">
        <v>0</v>
      </c>
      <c r="Z1634" s="76">
        <v>0</v>
      </c>
      <c r="AA1634" s="76">
        <v>0</v>
      </c>
      <c r="AB1634" s="76">
        <v>0</v>
      </c>
      <c r="AC1634" s="76">
        <v>0</v>
      </c>
      <c r="AD1634" s="76">
        <v>0</v>
      </c>
      <c r="AE1634" s="76"/>
      <c r="AF1634" s="76"/>
      <c r="AG1634" s="76"/>
      <c r="AH1634" s="76">
        <v>1</v>
      </c>
      <c r="AI1634" s="76">
        <v>1</v>
      </c>
      <c r="AJ1634" s="73"/>
      <c r="AK1634" s="57"/>
      <c r="AL1634" s="45"/>
      <c r="AM1634" s="45"/>
      <c r="AN1634" s="45"/>
    </row>
    <row r="1635" spans="1:40" hidden="1" outlineLevel="3" x14ac:dyDescent="0.25">
      <c r="A1635" s="45"/>
      <c r="B1635" s="54"/>
      <c r="C1635" s="47">
        <f t="shared" si="343"/>
        <v>4</v>
      </c>
      <c r="D1635" s="73"/>
      <c r="E1635" s="70"/>
      <c r="F1635" s="70" t="s">
        <v>2063</v>
      </c>
      <c r="G1635" s="73"/>
      <c r="H1635" s="377" t="s">
        <v>2485</v>
      </c>
      <c r="I1635" s="76"/>
      <c r="J1635" s="76"/>
      <c r="K1635" s="76"/>
      <c r="L1635" s="76"/>
      <c r="M1635" s="76"/>
      <c r="N1635" s="76"/>
      <c r="O1635" s="76"/>
      <c r="P1635" s="76"/>
      <c r="Q1635" s="76"/>
      <c r="R1635" s="76"/>
      <c r="S1635" s="76"/>
      <c r="T1635" s="76"/>
      <c r="U1635" s="76">
        <v>0</v>
      </c>
      <c r="V1635" s="76">
        <v>0</v>
      </c>
      <c r="W1635" s="76">
        <v>0</v>
      </c>
      <c r="X1635" s="76">
        <v>0</v>
      </c>
      <c r="Y1635" s="76">
        <v>0</v>
      </c>
      <c r="Z1635" s="76">
        <v>0</v>
      </c>
      <c r="AA1635" s="76">
        <v>0</v>
      </c>
      <c r="AB1635" s="76">
        <v>0</v>
      </c>
      <c r="AC1635" s="76">
        <v>0</v>
      </c>
      <c r="AD1635" s="76">
        <v>0</v>
      </c>
      <c r="AE1635" s="76"/>
      <c r="AF1635" s="76"/>
      <c r="AG1635" s="76"/>
      <c r="AH1635" s="76">
        <v>1</v>
      </c>
      <c r="AI1635" s="76">
        <v>1</v>
      </c>
      <c r="AJ1635" s="73"/>
      <c r="AK1635" s="57"/>
      <c r="AL1635" s="45"/>
      <c r="AM1635" s="45"/>
      <c r="AN1635" s="45"/>
    </row>
    <row r="1636" spans="1:40" hidden="1" outlineLevel="3" x14ac:dyDescent="0.25">
      <c r="A1636" s="45"/>
      <c r="B1636" s="54"/>
      <c r="C1636" s="47">
        <f t="shared" si="343"/>
        <v>4</v>
      </c>
      <c r="D1636" s="73"/>
      <c r="E1636" s="70"/>
      <c r="F1636" s="70" t="s">
        <v>2385</v>
      </c>
      <c r="G1636" s="73"/>
      <c r="H1636" s="377" t="s">
        <v>2486</v>
      </c>
      <c r="I1636" s="76"/>
      <c r="J1636" s="76"/>
      <c r="K1636" s="76"/>
      <c r="L1636" s="76"/>
      <c r="M1636" s="76"/>
      <c r="N1636" s="76"/>
      <c r="O1636" s="76"/>
      <c r="P1636" s="76"/>
      <c r="Q1636" s="76"/>
      <c r="R1636" s="76"/>
      <c r="S1636" s="76"/>
      <c r="T1636" s="76"/>
      <c r="U1636" s="76">
        <v>0</v>
      </c>
      <c r="V1636" s="76">
        <v>0</v>
      </c>
      <c r="W1636" s="76">
        <v>0</v>
      </c>
      <c r="X1636" s="76">
        <v>0</v>
      </c>
      <c r="Y1636" s="76">
        <v>0</v>
      </c>
      <c r="Z1636" s="76">
        <v>0</v>
      </c>
      <c r="AA1636" s="76">
        <v>0</v>
      </c>
      <c r="AB1636" s="76">
        <v>0</v>
      </c>
      <c r="AC1636" s="76">
        <v>0</v>
      </c>
      <c r="AD1636" s="76">
        <v>0</v>
      </c>
      <c r="AE1636" s="76"/>
      <c r="AF1636" s="76"/>
      <c r="AG1636" s="76"/>
      <c r="AH1636" s="76">
        <v>1</v>
      </c>
      <c r="AI1636" s="76">
        <v>1</v>
      </c>
      <c r="AJ1636" s="73"/>
      <c r="AK1636" s="57"/>
      <c r="AL1636" s="45"/>
      <c r="AM1636" s="45"/>
      <c r="AN1636" s="45"/>
    </row>
    <row r="1637" spans="1:40" hidden="1" outlineLevel="3" x14ac:dyDescent="0.25">
      <c r="A1637" s="45"/>
      <c r="B1637" s="54"/>
      <c r="C1637" s="47">
        <f t="shared" si="343"/>
        <v>4</v>
      </c>
      <c r="D1637" s="73"/>
      <c r="E1637" s="70"/>
      <c r="F1637" s="70" t="s">
        <v>2386</v>
      </c>
      <c r="G1637" s="73"/>
      <c r="H1637" s="377" t="s">
        <v>2487</v>
      </c>
      <c r="I1637" s="76"/>
      <c r="J1637" s="76"/>
      <c r="K1637" s="76"/>
      <c r="L1637" s="76"/>
      <c r="M1637" s="76"/>
      <c r="N1637" s="76"/>
      <c r="O1637" s="76"/>
      <c r="P1637" s="76"/>
      <c r="Q1637" s="76"/>
      <c r="R1637" s="76"/>
      <c r="S1637" s="76"/>
      <c r="T1637" s="76"/>
      <c r="U1637" s="76">
        <v>0</v>
      </c>
      <c r="V1637" s="76">
        <v>0</v>
      </c>
      <c r="W1637" s="76">
        <v>0</v>
      </c>
      <c r="X1637" s="76">
        <v>0</v>
      </c>
      <c r="Y1637" s="76">
        <v>0</v>
      </c>
      <c r="Z1637" s="76">
        <v>0</v>
      </c>
      <c r="AA1637" s="76">
        <v>0</v>
      </c>
      <c r="AB1637" s="76">
        <v>0</v>
      </c>
      <c r="AC1637" s="76">
        <v>0</v>
      </c>
      <c r="AD1637" s="76">
        <v>0</v>
      </c>
      <c r="AE1637" s="76"/>
      <c r="AF1637" s="76"/>
      <c r="AG1637" s="76"/>
      <c r="AH1637" s="76">
        <v>1</v>
      </c>
      <c r="AI1637" s="76">
        <v>1</v>
      </c>
      <c r="AJ1637" s="73"/>
      <c r="AK1637" s="57"/>
      <c r="AL1637" s="45"/>
      <c r="AM1637" s="45"/>
      <c r="AN1637" s="45"/>
    </row>
    <row r="1638" spans="1:40" hidden="1" outlineLevel="3" x14ac:dyDescent="0.25">
      <c r="A1638" s="45"/>
      <c r="B1638" s="54"/>
      <c r="C1638" s="47">
        <f t="shared" si="343"/>
        <v>4</v>
      </c>
      <c r="D1638" s="73"/>
      <c r="E1638" s="70"/>
      <c r="F1638" s="70" t="s">
        <v>2387</v>
      </c>
      <c r="G1638" s="73"/>
      <c r="H1638" s="377" t="s">
        <v>2488</v>
      </c>
      <c r="I1638" s="76"/>
      <c r="J1638" s="76"/>
      <c r="K1638" s="76"/>
      <c r="L1638" s="76"/>
      <c r="M1638" s="76"/>
      <c r="N1638" s="76"/>
      <c r="O1638" s="76"/>
      <c r="P1638" s="76"/>
      <c r="Q1638" s="76"/>
      <c r="R1638" s="76"/>
      <c r="S1638" s="76"/>
      <c r="T1638" s="76"/>
      <c r="U1638" s="76">
        <v>0</v>
      </c>
      <c r="V1638" s="76">
        <v>0</v>
      </c>
      <c r="W1638" s="76">
        <v>0</v>
      </c>
      <c r="X1638" s="76">
        <v>0</v>
      </c>
      <c r="Y1638" s="76">
        <v>0</v>
      </c>
      <c r="Z1638" s="76">
        <v>0</v>
      </c>
      <c r="AA1638" s="76">
        <v>0</v>
      </c>
      <c r="AB1638" s="76">
        <v>0</v>
      </c>
      <c r="AC1638" s="76">
        <v>0</v>
      </c>
      <c r="AD1638" s="76">
        <v>0</v>
      </c>
      <c r="AE1638" s="76"/>
      <c r="AF1638" s="76"/>
      <c r="AG1638" s="76"/>
      <c r="AH1638" s="76">
        <v>1</v>
      </c>
      <c r="AI1638" s="76">
        <v>1</v>
      </c>
      <c r="AJ1638" s="73"/>
      <c r="AK1638" s="57"/>
      <c r="AL1638" s="45"/>
      <c r="AM1638" s="45"/>
      <c r="AN1638" s="45"/>
    </row>
    <row r="1639" spans="1:40" hidden="1" outlineLevel="3" x14ac:dyDescent="0.25">
      <c r="A1639" s="45"/>
      <c r="B1639" s="54"/>
      <c r="C1639" s="47">
        <f t="shared" si="343"/>
        <v>4</v>
      </c>
      <c r="D1639" s="73"/>
      <c r="E1639" s="70"/>
      <c r="F1639" s="70" t="str">
        <f>SUBSTITUTE(F1635,",4)",",8)")</f>
        <v>C(U2,22,8)</v>
      </c>
      <c r="G1639" s="73"/>
      <c r="H1639" s="377" t="s">
        <v>2749</v>
      </c>
      <c r="I1639" s="9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f t="shared" si="343"/>
        <v>4</v>
      </c>
      <c r="D1640" s="73"/>
      <c r="E1640" s="70"/>
      <c r="F1640" s="70" t="str">
        <f>SUBSTITUTE(F1636,",5)",",9)")</f>
        <v>C(U2,22,9)</v>
      </c>
      <c r="G1640" s="73"/>
      <c r="H1640" s="377" t="s">
        <v>2750</v>
      </c>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 t="shared" si="343"/>
        <v>4</v>
      </c>
      <c r="D1641" s="73"/>
      <c r="E1641" s="70"/>
      <c r="F1641" s="70" t="str">
        <f>SUBSTITUTE(F1637,",6)",",10)")</f>
        <v>C(U2,22,10)</v>
      </c>
      <c r="G1641" s="73"/>
      <c r="H1641" s="377" t="s">
        <v>2751</v>
      </c>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 t="shared" si="343"/>
        <v>4</v>
      </c>
      <c r="D1642" s="73"/>
      <c r="E1642" s="70"/>
      <c r="F1642" s="70" t="str">
        <f>SUBSTITUTE(F1638,",7)",",11)")</f>
        <v>C(U2,22,11)</v>
      </c>
      <c r="G1642" s="73"/>
      <c r="H1642" s="377" t="s">
        <v>3349</v>
      </c>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 t="shared" si="343"/>
        <v>4</v>
      </c>
      <c r="D1643" s="73"/>
      <c r="E1643" s="70"/>
      <c r="F1643" s="70" t="str">
        <f>SUBSTITUTE(F1637,",6)",",12)")</f>
        <v>C(U2,22,12)</v>
      </c>
      <c r="G1643" s="73"/>
      <c r="H1643" s="377" t="s">
        <v>3350</v>
      </c>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 t="shared" si="343"/>
        <v>4</v>
      </c>
      <c r="D1644" s="73"/>
      <c r="E1644" s="70"/>
      <c r="F1644" s="70" t="str">
        <f>SUBSTITUTE(F1638,",7)",",13)")</f>
        <v>C(U2,22,13)</v>
      </c>
      <c r="G1644" s="73"/>
      <c r="H1644" s="377" t="s">
        <v>3351</v>
      </c>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2" x14ac:dyDescent="0.25">
      <c r="A1645" s="45"/>
      <c r="B1645" s="54"/>
      <c r="C1645" s="47">
        <f>INT($C$29)+2</f>
        <v>3</v>
      </c>
      <c r="D1645" s="73"/>
      <c r="E1645" s="70"/>
      <c r="F1645" s="70" t="s">
        <v>2064</v>
      </c>
      <c r="G1645" s="73"/>
      <c r="H1645" s="76" t="s">
        <v>2635</v>
      </c>
      <c r="I1645" s="76"/>
      <c r="J1645" s="76"/>
      <c r="K1645" s="76"/>
      <c r="L1645" s="76"/>
      <c r="M1645" s="76"/>
      <c r="N1645" s="76"/>
      <c r="O1645" s="76"/>
      <c r="P1645" s="76"/>
      <c r="Q1645" s="76"/>
      <c r="R1645" s="76"/>
      <c r="S1645" s="76"/>
      <c r="T1645" s="76"/>
      <c r="U1645" s="97">
        <v>7.50061</v>
      </c>
      <c r="V1645" s="261">
        <f>U1645</f>
        <v>7.50061</v>
      </c>
      <c r="W1645" s="261">
        <f t="shared" ref="W1645:X1648" si="344">U1645</f>
        <v>7.50061</v>
      </c>
      <c r="X1645" s="261">
        <f t="shared" si="344"/>
        <v>7.50061</v>
      </c>
      <c r="Y1645" s="261">
        <f>V1645</f>
        <v>7.50061</v>
      </c>
      <c r="Z1645" s="261">
        <f>Y1645</f>
        <v>7.50061</v>
      </c>
      <c r="AA1645" s="261">
        <f>Z1645</f>
        <v>7.50061</v>
      </c>
      <c r="AB1645" s="261">
        <f>AA1645</f>
        <v>7.50061</v>
      </c>
      <c r="AC1645" s="261">
        <f>AB1645</f>
        <v>7.50061</v>
      </c>
      <c r="AD1645" s="261">
        <f>AC1645</f>
        <v>7.50061</v>
      </c>
      <c r="AE1645" s="76"/>
      <c r="AF1645" s="97"/>
      <c r="AG1645" s="76"/>
      <c r="AH1645" s="97">
        <v>1</v>
      </c>
      <c r="AI1645" s="97">
        <v>1</v>
      </c>
      <c r="AJ1645" s="73"/>
      <c r="AK1645" s="57"/>
      <c r="AL1645" s="45"/>
      <c r="AM1645" s="45"/>
      <c r="AN1645" s="45"/>
    </row>
    <row r="1646" spans="1:40" hidden="1" outlineLevel="2" x14ac:dyDescent="0.25">
      <c r="A1646" s="45"/>
      <c r="B1646" s="54"/>
      <c r="C1646" s="47">
        <f>INT($C$29)+2</f>
        <v>3</v>
      </c>
      <c r="D1646" s="73"/>
      <c r="E1646" s="70"/>
      <c r="F1646" s="70" t="s">
        <v>2388</v>
      </c>
      <c r="G1646" s="73"/>
      <c r="H1646" s="76" t="s">
        <v>2745</v>
      </c>
      <c r="I1646" s="76"/>
      <c r="J1646" s="76"/>
      <c r="K1646" s="76"/>
      <c r="L1646" s="76"/>
      <c r="M1646" s="76"/>
      <c r="N1646" s="76"/>
      <c r="O1646" s="76"/>
      <c r="P1646" s="76"/>
      <c r="Q1646" s="76"/>
      <c r="R1646" s="76"/>
      <c r="S1646" s="76"/>
      <c r="T1646" s="76"/>
      <c r="U1646" s="97">
        <f>AA1646</f>
        <v>-4.5568499999999998</v>
      </c>
      <c r="V1646" s="255">
        <f>U1646</f>
        <v>-4.5568499999999998</v>
      </c>
      <c r="W1646" s="255">
        <f t="shared" si="344"/>
        <v>-4.5568499999999998</v>
      </c>
      <c r="X1646" s="255">
        <f t="shared" si="344"/>
        <v>-4.5568499999999998</v>
      </c>
      <c r="Y1646" s="255">
        <f>V1646</f>
        <v>-4.5568499999999998</v>
      </c>
      <c r="Z1646" s="255">
        <f>AA1646</f>
        <v>-4.5568499999999998</v>
      </c>
      <c r="AA1646" s="97">
        <f>-(4.55685)</f>
        <v>-4.5568499999999998</v>
      </c>
      <c r="AB1646" s="255">
        <f t="shared" ref="AB1646:AD1648" si="345">AA1646</f>
        <v>-4.5568499999999998</v>
      </c>
      <c r="AC1646" s="255">
        <f t="shared" si="345"/>
        <v>-4.5568499999999998</v>
      </c>
      <c r="AD1646" s="255">
        <f t="shared" si="345"/>
        <v>-4.5568499999999998</v>
      </c>
      <c r="AE1646" s="76"/>
      <c r="AF1646" s="97" t="s">
        <v>3347</v>
      </c>
      <c r="AG1646" s="76"/>
      <c r="AH1646" s="76">
        <v>1</v>
      </c>
      <c r="AI1646" s="76">
        <v>1</v>
      </c>
      <c r="AJ1646" s="73"/>
      <c r="AK1646" s="57"/>
      <c r="AL1646" s="45"/>
      <c r="AM1646" s="45"/>
      <c r="AN1646" s="45"/>
    </row>
    <row r="1647" spans="1:40" hidden="1" outlineLevel="2" x14ac:dyDescent="0.25">
      <c r="A1647" s="45"/>
      <c r="B1647" s="54"/>
      <c r="C1647" s="47">
        <f>INT($C$29)+2</f>
        <v>3</v>
      </c>
      <c r="D1647" s="73"/>
      <c r="E1647" s="70"/>
      <c r="F1647" s="70" t="s">
        <v>2389</v>
      </c>
      <c r="G1647" s="73"/>
      <c r="H1647" s="76" t="s">
        <v>2476</v>
      </c>
      <c r="I1647" s="76"/>
      <c r="J1647" s="76"/>
      <c r="K1647" s="76"/>
      <c r="L1647" s="76"/>
      <c r="M1647" s="76"/>
      <c r="N1647" s="76"/>
      <c r="O1647" s="76"/>
      <c r="P1647" s="76"/>
      <c r="Q1647" s="76"/>
      <c r="R1647" s="76"/>
      <c r="S1647" s="76"/>
      <c r="T1647" s="76"/>
      <c r="U1647" s="97">
        <f>AA1647</f>
        <v>0.69092500000000001</v>
      </c>
      <c r="V1647" s="255">
        <f>U1647</f>
        <v>0.69092500000000001</v>
      </c>
      <c r="W1647" s="255">
        <f t="shared" si="344"/>
        <v>0.69092500000000001</v>
      </c>
      <c r="X1647" s="255">
        <f t="shared" si="344"/>
        <v>0.69092500000000001</v>
      </c>
      <c r="Y1647" s="255">
        <f>V1647</f>
        <v>0.69092500000000001</v>
      </c>
      <c r="Z1647" s="255">
        <f>AA1647</f>
        <v>0.69092500000000001</v>
      </c>
      <c r="AA1647" s="97">
        <f>-(-0.690925)</f>
        <v>0.69092500000000001</v>
      </c>
      <c r="AB1647" s="255">
        <f t="shared" si="345"/>
        <v>0.69092500000000001</v>
      </c>
      <c r="AC1647" s="255">
        <f t="shared" si="345"/>
        <v>0.69092500000000001</v>
      </c>
      <c r="AD1647" s="255">
        <f t="shared" si="345"/>
        <v>0.69092500000000001</v>
      </c>
      <c r="AE1647" s="76"/>
      <c r="AF1647" s="76"/>
      <c r="AG1647" s="76"/>
      <c r="AH1647" s="76">
        <v>1</v>
      </c>
      <c r="AI1647" s="76">
        <v>1</v>
      </c>
      <c r="AJ1647" s="73"/>
      <c r="AK1647" s="57"/>
      <c r="AL1647" s="45"/>
      <c r="AM1647" s="45"/>
      <c r="AN1647" s="45"/>
    </row>
    <row r="1648" spans="1:40" hidden="1" outlineLevel="2" collapsed="1" x14ac:dyDescent="0.25">
      <c r="A1648" s="45"/>
      <c r="B1648" s="54"/>
      <c r="C1648" s="47">
        <f t="shared" ref="C1648:C1659" si="346">INT($C$29)+3</f>
        <v>4</v>
      </c>
      <c r="D1648" s="73"/>
      <c r="E1648" s="70"/>
      <c r="F1648" s="70" t="s">
        <v>2390</v>
      </c>
      <c r="G1648" s="73"/>
      <c r="H1648" s="378" t="s">
        <v>2746</v>
      </c>
      <c r="I1648" s="76"/>
      <c r="J1648" s="76"/>
      <c r="K1648" s="76"/>
      <c r="L1648" s="76"/>
      <c r="M1648" s="76"/>
      <c r="N1648" s="76"/>
      <c r="O1648" s="76"/>
      <c r="P1648" s="76"/>
      <c r="Q1648" s="76"/>
      <c r="R1648" s="76"/>
      <c r="S1648" s="76"/>
      <c r="T1648" s="76"/>
      <c r="U1648" s="97">
        <f>AA1648</f>
        <v>-0.15570000000000001</v>
      </c>
      <c r="V1648" s="255">
        <f>U1648</f>
        <v>-0.15570000000000001</v>
      </c>
      <c r="W1648" s="255">
        <f t="shared" si="344"/>
        <v>-0.15570000000000001</v>
      </c>
      <c r="X1648" s="255">
        <f t="shared" si="344"/>
        <v>-0.15570000000000001</v>
      </c>
      <c r="Y1648" s="255">
        <f>V1648</f>
        <v>-0.15570000000000001</v>
      </c>
      <c r="Z1648" s="255">
        <f>AA1648</f>
        <v>-0.15570000000000001</v>
      </c>
      <c r="AA1648" s="97">
        <f>-(0.1557)</f>
        <v>-0.15570000000000001</v>
      </c>
      <c r="AB1648" s="255">
        <f t="shared" si="345"/>
        <v>-0.15570000000000001</v>
      </c>
      <c r="AC1648" s="255">
        <f t="shared" si="345"/>
        <v>-0.15570000000000001</v>
      </c>
      <c r="AD1648" s="255">
        <f t="shared" si="345"/>
        <v>-0.15570000000000001</v>
      </c>
      <c r="AE1648" s="76"/>
      <c r="AF1648" s="97"/>
      <c r="AG1648" s="76"/>
      <c r="AH1648" s="97">
        <v>1</v>
      </c>
      <c r="AI1648" s="97">
        <v>1</v>
      </c>
      <c r="AJ1648" s="73"/>
      <c r="AK1648" s="57"/>
      <c r="AL1648" s="45"/>
      <c r="AM1648" s="45"/>
      <c r="AN1648" s="45"/>
    </row>
    <row r="1649" spans="1:40" hidden="1" outlineLevel="3" collapsed="1" x14ac:dyDescent="0.25">
      <c r="A1649" s="45"/>
      <c r="B1649" s="54"/>
      <c r="C1649" s="47">
        <f t="shared" si="346"/>
        <v>4</v>
      </c>
      <c r="D1649" s="73"/>
      <c r="E1649" s="70"/>
      <c r="F1649" s="70" t="s">
        <v>2391</v>
      </c>
      <c r="G1649" s="73"/>
      <c r="H1649" s="378" t="s">
        <v>2747</v>
      </c>
      <c r="I1649" s="7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v>1</v>
      </c>
      <c r="AI1649" s="76">
        <v>1</v>
      </c>
      <c r="AJ1649" s="73"/>
      <c r="AK1649" s="57"/>
      <c r="AL1649" s="45"/>
      <c r="AM1649" s="45"/>
      <c r="AN1649" s="45"/>
    </row>
    <row r="1650" spans="1:40" hidden="1" outlineLevel="3" x14ac:dyDescent="0.25">
      <c r="A1650" s="45"/>
      <c r="B1650" s="54"/>
      <c r="C1650" s="47">
        <f t="shared" si="346"/>
        <v>4</v>
      </c>
      <c r="D1650" s="73"/>
      <c r="E1650" s="70"/>
      <c r="F1650" s="70" t="s">
        <v>2392</v>
      </c>
      <c r="G1650" s="73"/>
      <c r="H1650" s="377" t="s">
        <v>2485</v>
      </c>
      <c r="I1650" s="7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v>1</v>
      </c>
      <c r="AI1650" s="76">
        <v>1</v>
      </c>
      <c r="AJ1650" s="73"/>
      <c r="AK1650" s="57"/>
      <c r="AL1650" s="45"/>
      <c r="AM1650" s="45"/>
      <c r="AN1650" s="45"/>
    </row>
    <row r="1651" spans="1:40" hidden="1" outlineLevel="3" x14ac:dyDescent="0.25">
      <c r="A1651" s="45"/>
      <c r="B1651" s="54"/>
      <c r="C1651" s="47">
        <f t="shared" si="346"/>
        <v>4</v>
      </c>
      <c r="D1651" s="73"/>
      <c r="E1651" s="70"/>
      <c r="F1651" s="70" t="s">
        <v>2393</v>
      </c>
      <c r="G1651" s="73"/>
      <c r="H1651" s="377" t="s">
        <v>2486</v>
      </c>
      <c r="I1651" s="7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v>1</v>
      </c>
      <c r="AI1651" s="76">
        <v>1</v>
      </c>
      <c r="AJ1651" s="73"/>
      <c r="AK1651" s="57"/>
      <c r="AL1651" s="45"/>
      <c r="AM1651" s="45"/>
      <c r="AN1651" s="45"/>
    </row>
    <row r="1652" spans="1:40" hidden="1" outlineLevel="3" x14ac:dyDescent="0.25">
      <c r="A1652" s="45"/>
      <c r="B1652" s="54"/>
      <c r="C1652" s="47">
        <f t="shared" si="346"/>
        <v>4</v>
      </c>
      <c r="D1652" s="73"/>
      <c r="E1652" s="70"/>
      <c r="F1652" s="70" t="s">
        <v>2394</v>
      </c>
      <c r="G1652" s="73"/>
      <c r="H1652" s="377" t="s">
        <v>2487</v>
      </c>
      <c r="I1652" s="76"/>
      <c r="J1652" s="76"/>
      <c r="K1652" s="76"/>
      <c r="L1652" s="76"/>
      <c r="M1652" s="76"/>
      <c r="N1652" s="76"/>
      <c r="O1652" s="76"/>
      <c r="P1652" s="76"/>
      <c r="Q1652" s="76"/>
      <c r="R1652" s="76"/>
      <c r="S1652" s="76"/>
      <c r="T1652" s="76"/>
      <c r="U1652" s="76"/>
      <c r="V1652" s="76"/>
      <c r="W1652" s="76"/>
      <c r="X1652" s="76"/>
      <c r="Y1652" s="76"/>
      <c r="Z1652" s="76"/>
      <c r="AA1652" s="76"/>
      <c r="AB1652" s="76"/>
      <c r="AC1652" s="76"/>
      <c r="AD1652" s="76"/>
      <c r="AE1652" s="76"/>
      <c r="AF1652" s="76"/>
      <c r="AG1652" s="76"/>
      <c r="AH1652" s="76">
        <v>1</v>
      </c>
      <c r="AI1652" s="76">
        <v>1</v>
      </c>
      <c r="AJ1652" s="73"/>
      <c r="AK1652" s="57"/>
      <c r="AL1652" s="45"/>
      <c r="AM1652" s="45"/>
      <c r="AN1652" s="45"/>
    </row>
    <row r="1653" spans="1:40" hidden="1" outlineLevel="3" x14ac:dyDescent="0.25">
      <c r="A1653" s="45"/>
      <c r="B1653" s="54"/>
      <c r="C1653" s="47">
        <f t="shared" si="346"/>
        <v>4</v>
      </c>
      <c r="D1653" s="73"/>
      <c r="E1653" s="70"/>
      <c r="F1653" s="70" t="s">
        <v>2395</v>
      </c>
      <c r="G1653" s="73"/>
      <c r="H1653" s="377" t="s">
        <v>2488</v>
      </c>
      <c r="I1653" s="76"/>
      <c r="J1653" s="76"/>
      <c r="K1653" s="76"/>
      <c r="L1653" s="76"/>
      <c r="M1653" s="76"/>
      <c r="N1653" s="76"/>
      <c r="O1653" s="76"/>
      <c r="P1653" s="76"/>
      <c r="Q1653" s="76"/>
      <c r="R1653" s="76"/>
      <c r="S1653" s="76"/>
      <c r="T1653" s="76"/>
      <c r="U1653" s="76"/>
      <c r="V1653" s="76"/>
      <c r="W1653" s="76"/>
      <c r="X1653" s="76"/>
      <c r="Y1653" s="76"/>
      <c r="Z1653" s="76"/>
      <c r="AA1653" s="76"/>
      <c r="AB1653" s="76"/>
      <c r="AC1653" s="76"/>
      <c r="AD1653" s="76"/>
      <c r="AE1653" s="76"/>
      <c r="AF1653" s="76"/>
      <c r="AG1653" s="76"/>
      <c r="AH1653" s="76">
        <v>1</v>
      </c>
      <c r="AI1653" s="76">
        <v>1</v>
      </c>
      <c r="AJ1653" s="73"/>
      <c r="AK1653" s="57"/>
      <c r="AL1653" s="45"/>
      <c r="AM1653" s="45"/>
      <c r="AN1653" s="45"/>
    </row>
    <row r="1654" spans="1:40" hidden="1" outlineLevel="3" x14ac:dyDescent="0.25">
      <c r="A1654" s="45"/>
      <c r="B1654" s="54"/>
      <c r="C1654" s="47">
        <f t="shared" si="346"/>
        <v>4</v>
      </c>
      <c r="D1654" s="73"/>
      <c r="E1654" s="70"/>
      <c r="F1654" s="70" t="str">
        <f>SUBSTITUTE(F1650,",4)",",8)")</f>
        <v>C(U2,23,8)</v>
      </c>
      <c r="G1654" s="73"/>
      <c r="H1654" s="377" t="s">
        <v>2749</v>
      </c>
      <c r="I1654" s="96"/>
      <c r="J1654" s="76"/>
      <c r="K1654" s="76"/>
      <c r="L1654" s="76"/>
      <c r="M1654" s="76"/>
      <c r="N1654" s="76"/>
      <c r="O1654" s="76"/>
      <c r="P1654" s="76"/>
      <c r="Q1654" s="76"/>
      <c r="R1654" s="76"/>
      <c r="S1654" s="76"/>
      <c r="T1654" s="76"/>
      <c r="U1654" s="76"/>
      <c r="V1654" s="76"/>
      <c r="W1654" s="76"/>
      <c r="X1654" s="76"/>
      <c r="Y1654" s="76"/>
      <c r="Z1654" s="76"/>
      <c r="AA1654" s="76"/>
      <c r="AB1654" s="76"/>
      <c r="AC1654" s="76"/>
      <c r="AD1654" s="76"/>
      <c r="AE1654" s="76"/>
      <c r="AF1654" s="76"/>
      <c r="AG1654" s="76"/>
      <c r="AH1654" s="76">
        <v>1</v>
      </c>
      <c r="AI1654" s="76">
        <v>1</v>
      </c>
      <c r="AJ1654" s="73"/>
      <c r="AK1654" s="57"/>
      <c r="AL1654" s="45"/>
      <c r="AM1654" s="45"/>
      <c r="AN1654" s="45"/>
    </row>
    <row r="1655" spans="1:40" hidden="1" outlineLevel="3" x14ac:dyDescent="0.25">
      <c r="A1655" s="45"/>
      <c r="B1655" s="54"/>
      <c r="C1655" s="47">
        <f t="shared" si="346"/>
        <v>4</v>
      </c>
      <c r="D1655" s="73"/>
      <c r="E1655" s="70"/>
      <c r="F1655" s="70" t="str">
        <f>SUBSTITUTE(F1651,",5)",",9)")</f>
        <v>C(U2,23,9)</v>
      </c>
      <c r="G1655" s="73"/>
      <c r="H1655" s="377" t="s">
        <v>2750</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25">
      <c r="A1656" s="45"/>
      <c r="B1656" s="54"/>
      <c r="C1656" s="47">
        <f t="shared" si="346"/>
        <v>4</v>
      </c>
      <c r="D1656" s="73"/>
      <c r="E1656" s="70"/>
      <c r="F1656" s="70" t="str">
        <f>SUBSTITUTE(F1652,",6)",",10)")</f>
        <v>C(U2,23,10)</v>
      </c>
      <c r="G1656" s="73"/>
      <c r="H1656" s="377" t="s">
        <v>2751</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2" collapsed="1" x14ac:dyDescent="0.25">
      <c r="A1657" s="45"/>
      <c r="B1657" s="54"/>
      <c r="C1657" s="47">
        <f t="shared" si="346"/>
        <v>4</v>
      </c>
      <c r="D1657" s="73"/>
      <c r="E1657" s="70"/>
      <c r="F1657" s="70" t="str">
        <f>SUBSTITUTE(F1653,",7)",",11)")</f>
        <v>C(U2,23,11)</v>
      </c>
      <c r="G1657" s="73"/>
      <c r="H1657" s="377" t="s">
        <v>3349</v>
      </c>
      <c r="I1657" s="7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46"/>
        <v>4</v>
      </c>
      <c r="D1658" s="73"/>
      <c r="E1658" s="70"/>
      <c r="F1658" s="70" t="str">
        <f>SUBSTITUTE(F1652,",6)",",12)")</f>
        <v>C(U2,23,12)</v>
      </c>
      <c r="G1658" s="73"/>
      <c r="H1658" s="377" t="s">
        <v>3507</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46"/>
        <v>4</v>
      </c>
      <c r="D1659" s="73"/>
      <c r="E1659" s="70"/>
      <c r="F1659" s="70" t="s">
        <v>3508</v>
      </c>
      <c r="G1659" s="73"/>
      <c r="H1659" s="378" t="s">
        <v>2802</v>
      </c>
      <c r="I1659" s="96"/>
      <c r="J1659" s="76"/>
      <c r="K1659" s="76"/>
      <c r="L1659" s="76"/>
      <c r="M1659" s="76"/>
      <c r="N1659" s="76"/>
      <c r="O1659" s="76"/>
      <c r="P1659" s="76"/>
      <c r="Q1659" s="76"/>
      <c r="R1659" s="76"/>
      <c r="S1659" s="76"/>
      <c r="T1659" s="76"/>
      <c r="U1659" s="337">
        <f t="shared" ref="U1659:AD1659" si="347">-U$1646/(2*U$1647)</f>
        <v>3.2976444621340955</v>
      </c>
      <c r="V1659" s="337">
        <f t="shared" si="347"/>
        <v>3.2976444621340955</v>
      </c>
      <c r="W1659" s="337">
        <f t="shared" si="347"/>
        <v>3.2976444621340955</v>
      </c>
      <c r="X1659" s="337">
        <f t="shared" si="347"/>
        <v>3.2976444621340955</v>
      </c>
      <c r="Y1659" s="337">
        <f t="shared" si="347"/>
        <v>3.2976444621340955</v>
      </c>
      <c r="Z1659" s="337">
        <f t="shared" si="347"/>
        <v>3.2976444621340955</v>
      </c>
      <c r="AA1659" s="337">
        <f t="shared" si="347"/>
        <v>3.2976444621340955</v>
      </c>
      <c r="AB1659" s="337">
        <f t="shared" si="347"/>
        <v>3.2976444621340955</v>
      </c>
      <c r="AC1659" s="337">
        <f t="shared" si="347"/>
        <v>3.2976444621340955</v>
      </c>
      <c r="AD1659" s="337">
        <f t="shared" si="347"/>
        <v>3.2976444621340955</v>
      </c>
      <c r="AE1659" s="76"/>
      <c r="AF1659" s="76"/>
      <c r="AG1659" s="76"/>
      <c r="AH1659" s="76">
        <v>1</v>
      </c>
      <c r="AI1659" s="76">
        <v>1</v>
      </c>
      <c r="AJ1659" s="73"/>
      <c r="AK1659" s="57"/>
      <c r="AL1659" s="45"/>
      <c r="AM1659" s="45"/>
      <c r="AN1659" s="45"/>
    </row>
    <row r="1660" spans="1:40" hidden="1" outlineLevel="2" x14ac:dyDescent="0.25">
      <c r="A1660" s="45"/>
      <c r="B1660" s="54"/>
      <c r="C1660" s="47">
        <f>INT($C$29)+2</f>
        <v>3</v>
      </c>
      <c r="D1660" s="73"/>
      <c r="E1660" s="70"/>
      <c r="F1660" s="70" t="s">
        <v>2396</v>
      </c>
      <c r="G1660" s="73"/>
      <c r="H1660" s="76" t="s">
        <v>2748</v>
      </c>
      <c r="I1660" s="76"/>
      <c r="J1660" s="76"/>
      <c r="K1660" s="76"/>
      <c r="L1660" s="76"/>
      <c r="M1660" s="76"/>
      <c r="N1660" s="76"/>
      <c r="O1660" s="76"/>
      <c r="P1660" s="76"/>
      <c r="Q1660" s="76"/>
      <c r="R1660" s="76"/>
      <c r="S1660" s="76"/>
      <c r="T1660" s="76"/>
      <c r="U1660" s="97">
        <f>AA1660-(1.61859)</f>
        <v>2.0276899999999998</v>
      </c>
      <c r="V1660" s="255">
        <f t="shared" ref="V1660:V1665" si="348">U1660</f>
        <v>2.0276899999999998</v>
      </c>
      <c r="W1660" s="255">
        <f t="shared" ref="W1660:X1665" si="349">U1660</f>
        <v>2.0276899999999998</v>
      </c>
      <c r="X1660" s="255">
        <f t="shared" si="349"/>
        <v>2.0276899999999998</v>
      </c>
      <c r="Y1660" s="255">
        <f t="shared" ref="Y1660:Y1665" si="350">V1660</f>
        <v>2.0276899999999998</v>
      </c>
      <c r="Z1660" s="255">
        <f t="shared" ref="Z1660:Z1665" si="351">AA1660</f>
        <v>3.64628</v>
      </c>
      <c r="AA1660" s="97">
        <f>-(-3.64628)</f>
        <v>3.64628</v>
      </c>
      <c r="AB1660" s="255">
        <f t="shared" ref="AB1660:AD1665" si="352">AA1660</f>
        <v>3.64628</v>
      </c>
      <c r="AC1660" s="255">
        <f t="shared" si="352"/>
        <v>3.64628</v>
      </c>
      <c r="AD1660" s="255">
        <f t="shared" si="352"/>
        <v>3.64628</v>
      </c>
      <c r="AE1660" s="76"/>
      <c r="AF1660" s="97"/>
      <c r="AG1660" s="76"/>
      <c r="AH1660" s="97">
        <v>1</v>
      </c>
      <c r="AI1660" s="97">
        <v>1</v>
      </c>
      <c r="AJ1660" s="73"/>
      <c r="AK1660" s="57"/>
      <c r="AL1660" s="45"/>
      <c r="AM1660" s="45"/>
      <c r="AN1660" s="45"/>
    </row>
    <row r="1661" spans="1:40" hidden="1" outlineLevel="2" x14ac:dyDescent="0.25">
      <c r="A1661" s="45"/>
      <c r="B1661" s="54"/>
      <c r="C1661" s="47">
        <f>INT($C$29)+2</f>
        <v>3</v>
      </c>
      <c r="D1661" s="73"/>
      <c r="E1661" s="70"/>
      <c r="F1661" s="70" t="s">
        <v>2397</v>
      </c>
      <c r="G1661" s="73"/>
      <c r="H1661" s="76" t="s">
        <v>2463</v>
      </c>
      <c r="I1661" s="76"/>
      <c r="J1661" s="76"/>
      <c r="K1661" s="76"/>
      <c r="L1661" s="76"/>
      <c r="M1661" s="76"/>
      <c r="N1661" s="76"/>
      <c r="O1661" s="76"/>
      <c r="P1661" s="76"/>
      <c r="Q1661" s="76"/>
      <c r="R1661" s="76"/>
      <c r="S1661" s="76"/>
      <c r="T1661" s="76"/>
      <c r="U1661" s="97">
        <v>-0.43659999999999999</v>
      </c>
      <c r="V1661" s="255">
        <f t="shared" si="348"/>
        <v>-0.43659999999999999</v>
      </c>
      <c r="W1661" s="255">
        <f t="shared" si="349"/>
        <v>-0.43659999999999999</v>
      </c>
      <c r="X1661" s="255">
        <f t="shared" si="349"/>
        <v>-0.43659999999999999</v>
      </c>
      <c r="Y1661" s="255">
        <f t="shared" si="350"/>
        <v>-0.43659999999999999</v>
      </c>
      <c r="Z1661" s="255">
        <f t="shared" si="351"/>
        <v>-0.54688000000000003</v>
      </c>
      <c r="AA1661" s="97">
        <v>-0.54688000000000003</v>
      </c>
      <c r="AB1661" s="255">
        <f t="shared" si="352"/>
        <v>-0.54688000000000003</v>
      </c>
      <c r="AC1661" s="255">
        <f t="shared" si="352"/>
        <v>-0.54688000000000003</v>
      </c>
      <c r="AD1661" s="255">
        <f t="shared" si="352"/>
        <v>-0.54688000000000003</v>
      </c>
      <c r="AE1661" s="76"/>
      <c r="AF1661" s="97" t="s">
        <v>2562</v>
      </c>
      <c r="AG1661" s="76"/>
      <c r="AH1661" s="97">
        <v>1</v>
      </c>
      <c r="AI1661" s="97">
        <v>1</v>
      </c>
      <c r="AJ1661" s="73"/>
      <c r="AK1661" s="57"/>
      <c r="AL1661" s="45"/>
      <c r="AM1661" s="45"/>
      <c r="AN1661" s="45"/>
    </row>
    <row r="1662" spans="1:40" hidden="1" outlineLevel="2" x14ac:dyDescent="0.25">
      <c r="A1662" s="45"/>
      <c r="B1662" s="54"/>
      <c r="C1662" s="47">
        <f>INT($C$29)+2</f>
        <v>3</v>
      </c>
      <c r="D1662" s="73"/>
      <c r="E1662" s="70"/>
      <c r="F1662" s="70" t="s">
        <v>2398</v>
      </c>
      <c r="G1662" s="73"/>
      <c r="H1662" s="76" t="s">
        <v>2477</v>
      </c>
      <c r="I1662" s="76"/>
      <c r="J1662" s="76"/>
      <c r="K1662" s="76"/>
      <c r="L1662" s="76"/>
      <c r="M1662" s="76"/>
      <c r="N1662" s="76"/>
      <c r="O1662" s="76"/>
      <c r="P1662" s="76"/>
      <c r="Q1662" s="76"/>
      <c r="R1662" s="76"/>
      <c r="S1662" s="76"/>
      <c r="T1662" s="76"/>
      <c r="U1662" s="97">
        <v>3.7200000000000002E-3</v>
      </c>
      <c r="V1662" s="255">
        <f t="shared" si="348"/>
        <v>3.7200000000000002E-3</v>
      </c>
      <c r="W1662" s="255">
        <f t="shared" si="349"/>
        <v>3.7200000000000002E-3</v>
      </c>
      <c r="X1662" s="255">
        <f t="shared" si="349"/>
        <v>3.7200000000000002E-3</v>
      </c>
      <c r="Y1662" s="255">
        <f t="shared" si="350"/>
        <v>3.7200000000000002E-3</v>
      </c>
      <c r="Z1662" s="255">
        <f t="shared" si="351"/>
        <v>5.4739999999999997E-3</v>
      </c>
      <c r="AA1662" s="97">
        <v>5.4739999999999997E-3</v>
      </c>
      <c r="AB1662" s="255">
        <f t="shared" si="352"/>
        <v>5.4739999999999997E-3</v>
      </c>
      <c r="AC1662" s="255">
        <f t="shared" si="352"/>
        <v>5.4739999999999997E-3</v>
      </c>
      <c r="AD1662" s="255">
        <f t="shared" si="352"/>
        <v>5.4739999999999997E-3</v>
      </c>
      <c r="AE1662" s="76"/>
      <c r="AF1662" s="97" t="s">
        <v>3348</v>
      </c>
      <c r="AG1662" s="76"/>
      <c r="AH1662" s="97">
        <v>1</v>
      </c>
      <c r="AI1662" s="97">
        <v>1</v>
      </c>
      <c r="AJ1662" s="73"/>
      <c r="AK1662" s="57"/>
      <c r="AL1662" s="45"/>
      <c r="AM1662" s="45"/>
      <c r="AN1662" s="45"/>
    </row>
    <row r="1663" spans="1:40" hidden="1" outlineLevel="2" x14ac:dyDescent="0.25">
      <c r="A1663" s="45"/>
      <c r="B1663" s="54"/>
      <c r="C1663" s="47">
        <f t="shared" ref="C1663:C1674" si="353">INT($C$29)+3</f>
        <v>4</v>
      </c>
      <c r="D1663" s="73"/>
      <c r="E1663" s="70"/>
      <c r="F1663" s="70" t="s">
        <v>2399</v>
      </c>
      <c r="G1663" s="73"/>
      <c r="H1663" s="378" t="s">
        <v>2794</v>
      </c>
      <c r="I1663" s="76"/>
      <c r="J1663" s="76"/>
      <c r="K1663" s="76"/>
      <c r="L1663" s="76"/>
      <c r="M1663" s="76"/>
      <c r="N1663" s="76"/>
      <c r="O1663" s="76"/>
      <c r="P1663" s="76"/>
      <c r="Q1663" s="76"/>
      <c r="R1663" s="76"/>
      <c r="S1663" s="76"/>
      <c r="T1663" s="76"/>
      <c r="U1663" s="97">
        <v>-5.1499999999999997E-2</v>
      </c>
      <c r="V1663" s="255">
        <f t="shared" si="348"/>
        <v>-5.1499999999999997E-2</v>
      </c>
      <c r="W1663" s="255">
        <f t="shared" si="349"/>
        <v>-5.1499999999999997E-2</v>
      </c>
      <c r="X1663" s="255">
        <f t="shared" si="349"/>
        <v>-5.1499999999999997E-2</v>
      </c>
      <c r="Y1663" s="255">
        <f t="shared" si="350"/>
        <v>-5.1499999999999997E-2</v>
      </c>
      <c r="Z1663" s="255">
        <f t="shared" si="351"/>
        <v>-2.75E-2</v>
      </c>
      <c r="AA1663" s="97">
        <v>-2.75E-2</v>
      </c>
      <c r="AB1663" s="255">
        <f t="shared" si="352"/>
        <v>-2.75E-2</v>
      </c>
      <c r="AC1663" s="255">
        <f t="shared" si="352"/>
        <v>-2.75E-2</v>
      </c>
      <c r="AD1663" s="255">
        <f t="shared" si="352"/>
        <v>-2.75E-2</v>
      </c>
      <c r="AE1663" s="76"/>
      <c r="AF1663" s="76"/>
      <c r="AG1663" s="76"/>
      <c r="AH1663" s="97">
        <v>1</v>
      </c>
      <c r="AI1663" s="97">
        <v>1</v>
      </c>
      <c r="AJ1663" s="73"/>
      <c r="AK1663" s="57"/>
      <c r="AL1663" s="45"/>
      <c r="AM1663" s="45"/>
      <c r="AN1663" s="45"/>
    </row>
    <row r="1664" spans="1:40" hidden="1" outlineLevel="2" x14ac:dyDescent="0.25">
      <c r="A1664" s="45"/>
      <c r="B1664" s="54"/>
      <c r="C1664" s="47">
        <f t="shared" si="353"/>
        <v>4</v>
      </c>
      <c r="D1664" s="73"/>
      <c r="E1664" s="70"/>
      <c r="F1664" s="70" t="s">
        <v>2400</v>
      </c>
      <c r="G1664" s="73"/>
      <c r="H1664" s="378" t="s">
        <v>2795</v>
      </c>
      <c r="I1664" s="76"/>
      <c r="J1664" s="76"/>
      <c r="K1664" s="76"/>
      <c r="L1664" s="76"/>
      <c r="M1664" s="76"/>
      <c r="N1664" s="76"/>
      <c r="O1664" s="76"/>
      <c r="P1664" s="76"/>
      <c r="Q1664" s="76"/>
      <c r="R1664" s="76"/>
      <c r="S1664" s="76"/>
      <c r="T1664" s="76"/>
      <c r="U1664" s="97">
        <f>-U1663/(2*9.5*30.4)</f>
        <v>8.916204986149583E-5</v>
      </c>
      <c r="V1664" s="255">
        <f t="shared" si="348"/>
        <v>8.916204986149583E-5</v>
      </c>
      <c r="W1664" s="255">
        <f t="shared" si="349"/>
        <v>8.916204986149583E-5</v>
      </c>
      <c r="X1664" s="255">
        <f t="shared" si="349"/>
        <v>8.916204986149583E-5</v>
      </c>
      <c r="Y1664" s="255">
        <f t="shared" si="350"/>
        <v>8.916204986149583E-5</v>
      </c>
      <c r="Z1664" s="255">
        <f t="shared" si="351"/>
        <v>4.7610803324099718E-5</v>
      </c>
      <c r="AA1664" s="97">
        <f>-AA1663/(2*9.5*30.4)</f>
        <v>4.7610803324099718E-5</v>
      </c>
      <c r="AB1664" s="255">
        <f t="shared" si="352"/>
        <v>4.7610803324099718E-5</v>
      </c>
      <c r="AC1664" s="255">
        <f t="shared" si="352"/>
        <v>4.7610803324099718E-5</v>
      </c>
      <c r="AD1664" s="255">
        <f t="shared" si="352"/>
        <v>4.7610803324099718E-5</v>
      </c>
      <c r="AE1664" s="76"/>
      <c r="AF1664" s="76"/>
      <c r="AG1664" s="76"/>
      <c r="AH1664" s="76">
        <v>1</v>
      </c>
      <c r="AI1664" s="76">
        <v>1</v>
      </c>
      <c r="AJ1664" s="73"/>
      <c r="AK1664" s="57"/>
      <c r="AL1664" s="45"/>
      <c r="AM1664" s="45"/>
      <c r="AN1664" s="45"/>
    </row>
    <row r="1665" spans="1:40" hidden="1" outlineLevel="2" collapsed="1" x14ac:dyDescent="0.25">
      <c r="A1665" s="45"/>
      <c r="B1665" s="54"/>
      <c r="C1665" s="47">
        <f t="shared" si="353"/>
        <v>4</v>
      </c>
      <c r="D1665" s="73"/>
      <c r="E1665" s="70"/>
      <c r="F1665" s="70" t="s">
        <v>2401</v>
      </c>
      <c r="G1665" s="73"/>
      <c r="H1665" s="378" t="s">
        <v>2796</v>
      </c>
      <c r="I1665" s="76"/>
      <c r="J1665" s="76"/>
      <c r="K1665" s="76"/>
      <c r="L1665" s="76"/>
      <c r="M1665" s="76"/>
      <c r="N1665" s="76"/>
      <c r="O1665" s="76"/>
      <c r="P1665" s="76"/>
      <c r="Q1665" s="76"/>
      <c r="R1665" s="76"/>
      <c r="S1665" s="76"/>
      <c r="T1665" s="76"/>
      <c r="U1665" s="97">
        <v>-4.0000000000000001E-3</v>
      </c>
      <c r="V1665" s="255">
        <f t="shared" si="348"/>
        <v>-4.0000000000000001E-3</v>
      </c>
      <c r="W1665" s="255">
        <f t="shared" si="349"/>
        <v>-4.0000000000000001E-3</v>
      </c>
      <c r="X1665" s="255">
        <f t="shared" si="349"/>
        <v>-4.0000000000000001E-3</v>
      </c>
      <c r="Y1665" s="255">
        <f t="shared" si="350"/>
        <v>-4.0000000000000001E-3</v>
      </c>
      <c r="Z1665" s="255">
        <f t="shared" si="351"/>
        <v>-4.0000000000000001E-3</v>
      </c>
      <c r="AA1665" s="97">
        <v>-4.0000000000000001E-3</v>
      </c>
      <c r="AB1665" s="255">
        <f t="shared" si="352"/>
        <v>-4.0000000000000001E-3</v>
      </c>
      <c r="AC1665" s="255">
        <f t="shared" si="352"/>
        <v>-4.0000000000000001E-3</v>
      </c>
      <c r="AD1665" s="255">
        <f t="shared" si="352"/>
        <v>-4.0000000000000001E-3</v>
      </c>
      <c r="AE1665" s="76"/>
      <c r="AF1665" s="76"/>
      <c r="AG1665" s="76"/>
      <c r="AH1665" s="97">
        <v>1</v>
      </c>
      <c r="AI1665" s="97">
        <v>1</v>
      </c>
      <c r="AJ1665" s="73"/>
      <c r="AK1665" s="57"/>
      <c r="AL1665" s="45"/>
      <c r="AM1665" s="45"/>
      <c r="AN1665" s="45"/>
    </row>
    <row r="1666" spans="1:40" hidden="1" outlineLevel="3" x14ac:dyDescent="0.25">
      <c r="A1666" s="45"/>
      <c r="B1666" s="54"/>
      <c r="C1666" s="47">
        <f t="shared" si="353"/>
        <v>4</v>
      </c>
      <c r="D1666" s="73"/>
      <c r="E1666" s="70"/>
      <c r="F1666" s="70" t="s">
        <v>2402</v>
      </c>
      <c r="G1666" s="73"/>
      <c r="H1666" s="377" t="s">
        <v>2797</v>
      </c>
      <c r="I1666" s="76"/>
      <c r="J1666" s="76"/>
      <c r="K1666" s="76"/>
      <c r="L1666" s="76"/>
      <c r="M1666" s="76"/>
      <c r="N1666" s="76"/>
      <c r="O1666" s="76"/>
      <c r="P1666" s="76"/>
      <c r="Q1666" s="76"/>
      <c r="R1666" s="76"/>
      <c r="S1666" s="76"/>
      <c r="T1666" s="76"/>
      <c r="U1666" s="76">
        <v>0</v>
      </c>
      <c r="V1666" s="76">
        <v>0</v>
      </c>
      <c r="W1666" s="76">
        <v>0</v>
      </c>
      <c r="X1666" s="76">
        <v>0</v>
      </c>
      <c r="Y1666" s="76">
        <v>0</v>
      </c>
      <c r="Z1666" s="76">
        <v>0</v>
      </c>
      <c r="AA1666" s="76">
        <v>0</v>
      </c>
      <c r="AB1666" s="76">
        <v>0</v>
      </c>
      <c r="AC1666" s="76">
        <v>0</v>
      </c>
      <c r="AD1666" s="76">
        <v>0</v>
      </c>
      <c r="AE1666" s="76"/>
      <c r="AF1666" s="76"/>
      <c r="AG1666" s="76"/>
      <c r="AH1666" s="76">
        <v>1</v>
      </c>
      <c r="AI1666" s="76">
        <v>1</v>
      </c>
      <c r="AJ1666" s="73"/>
      <c r="AK1666" s="57"/>
      <c r="AL1666" s="45"/>
      <c r="AM1666" s="45"/>
      <c r="AN1666" s="45"/>
    </row>
    <row r="1667" spans="1:40" hidden="1" outlineLevel="2" collapsed="1" x14ac:dyDescent="0.25">
      <c r="A1667" s="45"/>
      <c r="B1667" s="54"/>
      <c r="C1667" s="47">
        <f t="shared" si="353"/>
        <v>4</v>
      </c>
      <c r="D1667" s="73"/>
      <c r="E1667" s="70"/>
      <c r="F1667" s="70" t="s">
        <v>2403</v>
      </c>
      <c r="G1667" s="73"/>
      <c r="H1667" s="378" t="s">
        <v>2798</v>
      </c>
      <c r="I1667" s="76"/>
      <c r="J1667" s="76"/>
      <c r="K1667" s="76"/>
      <c r="L1667" s="76"/>
      <c r="M1667" s="76"/>
      <c r="N1667" s="76"/>
      <c r="O1667" s="76"/>
      <c r="P1667" s="76"/>
      <c r="Q1667" s="76"/>
      <c r="R1667" s="76"/>
      <c r="S1667" s="76"/>
      <c r="T1667" s="76"/>
      <c r="U1667" s="97">
        <v>-2.75E-2</v>
      </c>
      <c r="V1667" s="255">
        <f>U1667</f>
        <v>-2.75E-2</v>
      </c>
      <c r="W1667" s="255">
        <f>U1667</f>
        <v>-2.75E-2</v>
      </c>
      <c r="X1667" s="255">
        <f>V1667</f>
        <v>-2.75E-2</v>
      </c>
      <c r="Y1667" s="255">
        <f>V1667</f>
        <v>-2.75E-2</v>
      </c>
      <c r="Z1667" s="255">
        <f>AA1667</f>
        <v>-2.5499999999999998E-2</v>
      </c>
      <c r="AA1667" s="97">
        <v>-2.5499999999999998E-2</v>
      </c>
      <c r="AB1667" s="255">
        <f>AA1667</f>
        <v>-2.5499999999999998E-2</v>
      </c>
      <c r="AC1667" s="255">
        <f>AB1667</f>
        <v>-2.5499999999999998E-2</v>
      </c>
      <c r="AD1667" s="255">
        <f>AC1667</f>
        <v>-2.5499999999999998E-2</v>
      </c>
      <c r="AE1667" s="76"/>
      <c r="AF1667" s="76"/>
      <c r="AG1667" s="76"/>
      <c r="AH1667" s="97">
        <v>1</v>
      </c>
      <c r="AI1667" s="97">
        <v>1</v>
      </c>
      <c r="AJ1667" s="73"/>
      <c r="AK1667" s="57"/>
      <c r="AL1667" s="45"/>
      <c r="AM1667" s="45"/>
      <c r="AN1667" s="45"/>
    </row>
    <row r="1668" spans="1:40" hidden="1" outlineLevel="3" x14ac:dyDescent="0.25">
      <c r="A1668" s="45"/>
      <c r="B1668" s="54"/>
      <c r="C1668" s="47">
        <f t="shared" si="353"/>
        <v>4</v>
      </c>
      <c r="D1668" s="73"/>
      <c r="E1668" s="70"/>
      <c r="F1668" s="70" t="s">
        <v>2404</v>
      </c>
      <c r="G1668" s="73"/>
      <c r="H1668" s="377" t="s">
        <v>2799</v>
      </c>
      <c r="I1668" s="76"/>
      <c r="J1668" s="76"/>
      <c r="K1668" s="76"/>
      <c r="L1668" s="76"/>
      <c r="M1668" s="76"/>
      <c r="N1668" s="76"/>
      <c r="O1668" s="76"/>
      <c r="P1668" s="76"/>
      <c r="Q1668" s="76"/>
      <c r="R1668" s="76"/>
      <c r="S1668" s="76"/>
      <c r="T1668" s="76"/>
      <c r="U1668" s="76">
        <v>0</v>
      </c>
      <c r="V1668" s="76">
        <v>0</v>
      </c>
      <c r="W1668" s="76">
        <v>0</v>
      </c>
      <c r="X1668" s="76">
        <v>0</v>
      </c>
      <c r="Y1668" s="76">
        <v>0</v>
      </c>
      <c r="Z1668" s="76">
        <v>0</v>
      </c>
      <c r="AA1668" s="76">
        <v>0</v>
      </c>
      <c r="AB1668" s="76">
        <v>0</v>
      </c>
      <c r="AC1668" s="76">
        <v>0</v>
      </c>
      <c r="AD1668" s="76">
        <v>0</v>
      </c>
      <c r="AE1668" s="76"/>
      <c r="AF1668" s="76"/>
      <c r="AG1668" s="76"/>
      <c r="AH1668" s="76">
        <v>1</v>
      </c>
      <c r="AI1668" s="76">
        <v>1</v>
      </c>
      <c r="AJ1668" s="73"/>
      <c r="AK1668" s="57"/>
      <c r="AL1668" s="45"/>
      <c r="AM1668" s="45"/>
      <c r="AN1668" s="45"/>
    </row>
    <row r="1669" spans="1:40" hidden="1" outlineLevel="3" x14ac:dyDescent="0.25">
      <c r="A1669" s="45"/>
      <c r="B1669" s="54"/>
      <c r="C1669" s="47">
        <f t="shared" si="353"/>
        <v>4</v>
      </c>
      <c r="D1669" s="73"/>
      <c r="E1669" s="70"/>
      <c r="F1669" s="70" t="str">
        <f>SUBSTITUTE(F1665,",4)",",8)")</f>
        <v>C(U2,24,8)</v>
      </c>
      <c r="G1669" s="73"/>
      <c r="H1669" s="378" t="s">
        <v>2793</v>
      </c>
      <c r="I1669" s="9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2" x14ac:dyDescent="0.25">
      <c r="A1670" s="45"/>
      <c r="B1670" s="54"/>
      <c r="C1670" s="47">
        <f t="shared" si="353"/>
        <v>4</v>
      </c>
      <c r="D1670" s="73"/>
      <c r="E1670" s="70"/>
      <c r="F1670" s="70" t="str">
        <f>SUBSTITUTE(F1666,",5)",",9)")</f>
        <v>C(U2,24,9)</v>
      </c>
      <c r="G1670" s="73"/>
      <c r="H1670" s="378" t="s">
        <v>2790</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2" x14ac:dyDescent="0.25">
      <c r="A1671" s="45"/>
      <c r="B1671" s="54"/>
      <c r="C1671" s="47">
        <f t="shared" si="353"/>
        <v>4</v>
      </c>
      <c r="D1671" s="73"/>
      <c r="E1671" s="70"/>
      <c r="F1671" s="70" t="str">
        <f>SUBSTITUTE(F1667,",6)",",10)")</f>
        <v>C(U2,24,10)</v>
      </c>
      <c r="G1671" s="73"/>
      <c r="H1671" s="378" t="s">
        <v>2791</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2" x14ac:dyDescent="0.25">
      <c r="A1672" s="45"/>
      <c r="B1672" s="54"/>
      <c r="C1672" s="47">
        <f t="shared" si="353"/>
        <v>4</v>
      </c>
      <c r="D1672" s="73"/>
      <c r="E1672" s="70"/>
      <c r="F1672" s="70" t="str">
        <f>SUBSTITUTE(F1668,",7)",",11)")</f>
        <v>C(U2,24,11)</v>
      </c>
      <c r="G1672" s="73"/>
      <c r="H1672" s="378" t="s">
        <v>2792</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2" x14ac:dyDescent="0.25">
      <c r="A1673" s="45"/>
      <c r="B1673" s="54"/>
      <c r="C1673" s="47">
        <f t="shared" si="353"/>
        <v>4</v>
      </c>
      <c r="D1673" s="73"/>
      <c r="E1673" s="70"/>
      <c r="F1673" s="70" t="s">
        <v>3341</v>
      </c>
      <c r="G1673" s="73"/>
      <c r="H1673" s="378" t="s">
        <v>3340</v>
      </c>
      <c r="I1673" s="96"/>
      <c r="J1673" s="76"/>
      <c r="K1673" s="76"/>
      <c r="L1673" s="76"/>
      <c r="M1673" s="76"/>
      <c r="N1673" s="76"/>
      <c r="O1673" s="76"/>
      <c r="P1673" s="76"/>
      <c r="Q1673" s="76"/>
      <c r="R1673" s="76"/>
      <c r="S1673" s="76"/>
      <c r="T1673" s="76"/>
      <c r="U1673" s="97">
        <v>0</v>
      </c>
      <c r="V1673" s="97">
        <v>0</v>
      </c>
      <c r="W1673" s="97">
        <v>0</v>
      </c>
      <c r="X1673" s="97">
        <v>0</v>
      </c>
      <c r="Y1673" s="97">
        <v>0</v>
      </c>
      <c r="Z1673" s="97">
        <v>0</v>
      </c>
      <c r="AA1673" s="97">
        <v>0</v>
      </c>
      <c r="AB1673" s="97">
        <v>0</v>
      </c>
      <c r="AC1673" s="97">
        <v>0</v>
      </c>
      <c r="AD1673" s="97">
        <v>0</v>
      </c>
      <c r="AE1673" s="76"/>
      <c r="AF1673" s="76"/>
      <c r="AG1673" s="76"/>
      <c r="AH1673" s="76">
        <v>1</v>
      </c>
      <c r="AI1673" s="76">
        <v>1</v>
      </c>
      <c r="AJ1673" s="73"/>
      <c r="AK1673" s="57"/>
      <c r="AL1673" s="45"/>
      <c r="AM1673" s="45"/>
      <c r="AN1673" s="45"/>
    </row>
    <row r="1674" spans="1:40" hidden="1" outlineLevel="2" x14ac:dyDescent="0.25">
      <c r="A1674" s="45"/>
      <c r="B1674" s="54"/>
      <c r="C1674" s="47">
        <f t="shared" si="353"/>
        <v>4</v>
      </c>
      <c r="D1674" s="73"/>
      <c r="E1674" s="70"/>
      <c r="F1674" s="70" t="s">
        <v>3342</v>
      </c>
      <c r="G1674" s="73"/>
      <c r="H1674" s="378" t="s">
        <v>3339</v>
      </c>
      <c r="I1674" s="96"/>
      <c r="J1674" s="76"/>
      <c r="K1674" s="76"/>
      <c r="L1674" s="76"/>
      <c r="M1674" s="76"/>
      <c r="N1674" s="76"/>
      <c r="O1674" s="76"/>
      <c r="P1674" s="76"/>
      <c r="Q1674" s="76"/>
      <c r="R1674" s="76"/>
      <c r="S1674" s="76"/>
      <c r="T1674" s="76"/>
      <c r="U1674" s="97">
        <v>0</v>
      </c>
      <c r="V1674" s="97">
        <v>0</v>
      </c>
      <c r="W1674" s="97">
        <v>0</v>
      </c>
      <c r="X1674" s="97">
        <v>0</v>
      </c>
      <c r="Y1674" s="97">
        <v>0</v>
      </c>
      <c r="Z1674" s="97">
        <v>0</v>
      </c>
      <c r="AA1674" s="97">
        <v>0</v>
      </c>
      <c r="AB1674" s="97">
        <v>0</v>
      </c>
      <c r="AC1674" s="97">
        <v>0</v>
      </c>
      <c r="AD1674" s="97">
        <v>0</v>
      </c>
      <c r="AE1674" s="76"/>
      <c r="AF1674" s="76"/>
      <c r="AG1674" s="76"/>
      <c r="AH1674" s="76">
        <v>1</v>
      </c>
      <c r="AI1674" s="76">
        <v>1</v>
      </c>
      <c r="AJ1674" s="73"/>
      <c r="AK1674" s="57"/>
      <c r="AL1674" s="45"/>
      <c r="AM1674" s="45"/>
      <c r="AN1674" s="45"/>
    </row>
    <row r="1675" spans="1:40" hidden="1" outlineLevel="2" x14ac:dyDescent="0.25">
      <c r="A1675" s="45"/>
      <c r="B1675" s="54"/>
      <c r="C1675" s="47">
        <f>INT($C$29)+2</f>
        <v>3</v>
      </c>
      <c r="D1675" s="73"/>
      <c r="E1675" s="70"/>
      <c r="F1675" s="70" t="s">
        <v>2405</v>
      </c>
      <c r="G1675" s="73"/>
      <c r="H1675" s="76" t="s">
        <v>2800</v>
      </c>
      <c r="I1675" s="76"/>
      <c r="J1675" s="76"/>
      <c r="K1675" s="76"/>
      <c r="L1675" s="76"/>
      <c r="M1675" s="76"/>
      <c r="N1675" s="76"/>
      <c r="O1675" s="76"/>
      <c r="P1675" s="76"/>
      <c r="Q1675" s="76"/>
      <c r="R1675" s="76"/>
      <c r="S1675" s="76"/>
      <c r="T1675" s="76"/>
      <c r="U1675" s="97">
        <f>19.4829</f>
        <v>19.482900000000001</v>
      </c>
      <c r="V1675" s="255">
        <f>U1675</f>
        <v>19.482900000000001</v>
      </c>
      <c r="W1675" s="255">
        <f t="shared" ref="W1675:X1693" si="354">U1675</f>
        <v>19.482900000000001</v>
      </c>
      <c r="X1675" s="255">
        <f t="shared" si="354"/>
        <v>19.482900000000001</v>
      </c>
      <c r="Y1675" s="255">
        <f>V1675</f>
        <v>19.482900000000001</v>
      </c>
      <c r="Z1675" s="255">
        <f>AA1675</f>
        <v>16.702999999999999</v>
      </c>
      <c r="AA1675" s="97">
        <v>16.702999999999999</v>
      </c>
      <c r="AB1675" s="255">
        <f t="shared" ref="AB1675:AD1693" si="355">AA1675</f>
        <v>16.702999999999999</v>
      </c>
      <c r="AC1675" s="255">
        <f t="shared" si="355"/>
        <v>16.702999999999999</v>
      </c>
      <c r="AD1675" s="255">
        <f t="shared" si="355"/>
        <v>16.702999999999999</v>
      </c>
      <c r="AE1675" s="76"/>
      <c r="AF1675" s="76"/>
      <c r="AG1675" s="76"/>
      <c r="AH1675" s="97">
        <v>1</v>
      </c>
      <c r="AI1675" s="97">
        <v>1</v>
      </c>
      <c r="AJ1675" s="73"/>
      <c r="AK1675" s="57"/>
      <c r="AL1675" s="45"/>
      <c r="AM1675" s="45"/>
      <c r="AN1675" s="45"/>
    </row>
    <row r="1676" spans="1:40" hidden="1" outlineLevel="2" x14ac:dyDescent="0.25">
      <c r="A1676" s="45"/>
      <c r="B1676" s="54"/>
      <c r="C1676" s="47">
        <f>INT($C$29)+2</f>
        <v>3</v>
      </c>
      <c r="D1676" s="73"/>
      <c r="E1676" s="70"/>
      <c r="F1676" s="70" t="s">
        <v>2454</v>
      </c>
      <c r="G1676" s="73"/>
      <c r="H1676" s="76" t="s">
        <v>3336</v>
      </c>
      <c r="I1676" s="76"/>
      <c r="J1676" s="76"/>
      <c r="K1676" s="76"/>
      <c r="L1676" s="76"/>
      <c r="M1676" s="76"/>
      <c r="N1676" s="76"/>
      <c r="O1676" s="76"/>
      <c r="P1676" s="76"/>
      <c r="Q1676" s="76"/>
      <c r="R1676" s="76"/>
      <c r="S1676" s="76"/>
      <c r="T1676" s="76"/>
      <c r="U1676" s="97">
        <v>-9.8000000000000004E-2</v>
      </c>
      <c r="V1676" s="255">
        <f t="shared" ref="V1676:V1690" si="356">U1676</f>
        <v>-9.8000000000000004E-2</v>
      </c>
      <c r="W1676" s="255">
        <f t="shared" si="354"/>
        <v>-9.8000000000000004E-2</v>
      </c>
      <c r="X1676" s="255">
        <f t="shared" si="354"/>
        <v>-9.8000000000000004E-2</v>
      </c>
      <c r="Y1676" s="255">
        <f>V1676</f>
        <v>-9.8000000000000004E-2</v>
      </c>
      <c r="Z1676" s="255">
        <f>AA1676</f>
        <v>-3.9480000000000001E-2</v>
      </c>
      <c r="AA1676" s="97">
        <v>-3.9480000000000001E-2</v>
      </c>
      <c r="AB1676" s="255">
        <f t="shared" si="355"/>
        <v>-3.9480000000000001E-2</v>
      </c>
      <c r="AC1676" s="255">
        <f t="shared" si="355"/>
        <v>-3.9480000000000001E-2</v>
      </c>
      <c r="AD1676" s="255">
        <f t="shared" si="355"/>
        <v>-3.9480000000000001E-2</v>
      </c>
      <c r="AE1676" s="76"/>
      <c r="AF1676" s="97" t="s">
        <v>2801</v>
      </c>
      <c r="AG1676" s="76"/>
      <c r="AH1676" s="97">
        <v>1</v>
      </c>
      <c r="AI1676" s="97">
        <v>1</v>
      </c>
      <c r="AJ1676" s="73"/>
      <c r="AK1676" s="57"/>
      <c r="AL1676" s="45"/>
      <c r="AM1676" s="45"/>
      <c r="AN1676" s="45"/>
    </row>
    <row r="1677" spans="1:40" hidden="1" outlineLevel="2" collapsed="1" x14ac:dyDescent="0.25">
      <c r="A1677" s="45"/>
      <c r="B1677" s="54"/>
      <c r="C1677" s="47">
        <f>INT($C$29)+2</f>
        <v>3</v>
      </c>
      <c r="D1677" s="73"/>
      <c r="E1677" s="70"/>
      <c r="F1677" s="70" t="s">
        <v>2455</v>
      </c>
      <c r="G1677" s="73"/>
      <c r="H1677" s="76" t="s">
        <v>2478</v>
      </c>
      <c r="I1677" s="76"/>
      <c r="J1677" s="76"/>
      <c r="K1677" s="76"/>
      <c r="L1677" s="76"/>
      <c r="M1677" s="76"/>
      <c r="N1677" s="76"/>
      <c r="O1677" s="76"/>
      <c r="P1677" s="76"/>
      <c r="Q1677" s="76"/>
      <c r="R1677" s="76"/>
      <c r="S1677" s="76"/>
      <c r="T1677" s="76"/>
      <c r="U1677" s="97">
        <v>0</v>
      </c>
      <c r="V1677" s="255">
        <f t="shared" si="356"/>
        <v>0</v>
      </c>
      <c r="W1677" s="255">
        <f t="shared" si="354"/>
        <v>0</v>
      </c>
      <c r="X1677" s="255">
        <f t="shared" si="354"/>
        <v>0</v>
      </c>
      <c r="Y1677" s="255">
        <f>V1677</f>
        <v>0</v>
      </c>
      <c r="Z1677" s="255">
        <f>AA1677</f>
        <v>0</v>
      </c>
      <c r="AA1677" s="97">
        <v>0</v>
      </c>
      <c r="AB1677" s="255">
        <f t="shared" si="355"/>
        <v>0</v>
      </c>
      <c r="AC1677" s="255">
        <f t="shared" si="355"/>
        <v>0</v>
      </c>
      <c r="AD1677" s="255">
        <f t="shared" si="355"/>
        <v>0</v>
      </c>
      <c r="AE1677" s="76"/>
      <c r="AF1677" s="76"/>
      <c r="AG1677" s="76"/>
      <c r="AH1677" s="97">
        <v>1</v>
      </c>
      <c r="AI1677" s="97">
        <v>1</v>
      </c>
      <c r="AJ1677" s="73"/>
      <c r="AK1677" s="57"/>
      <c r="AL1677" s="45"/>
      <c r="AM1677" s="45"/>
      <c r="AN1677" s="45"/>
    </row>
    <row r="1678" spans="1:40" hidden="1" outlineLevel="3" collapsed="1" x14ac:dyDescent="0.25">
      <c r="A1678" s="45"/>
      <c r="B1678" s="54"/>
      <c r="C1678" s="47">
        <f t="shared" ref="C1678:C1689" si="357">INT($C$29)+3</f>
        <v>4</v>
      </c>
      <c r="D1678" s="73"/>
      <c r="E1678" s="70"/>
      <c r="F1678" s="70" t="s">
        <v>2456</v>
      </c>
      <c r="G1678" s="73"/>
      <c r="H1678" s="378" t="s">
        <v>2479</v>
      </c>
      <c r="I1678" s="76"/>
      <c r="J1678" s="76"/>
      <c r="K1678" s="76"/>
      <c r="L1678" s="76"/>
      <c r="M1678" s="76"/>
      <c r="N1678" s="76"/>
      <c r="O1678" s="76"/>
      <c r="P1678" s="76"/>
      <c r="Q1678" s="76"/>
      <c r="R1678" s="76"/>
      <c r="S1678" s="76"/>
      <c r="T1678" s="76"/>
      <c r="U1678" s="97">
        <v>0</v>
      </c>
      <c r="V1678" s="255">
        <f t="shared" si="356"/>
        <v>0</v>
      </c>
      <c r="W1678" s="255">
        <f t="shared" si="354"/>
        <v>0</v>
      </c>
      <c r="X1678" s="255">
        <f t="shared" si="354"/>
        <v>0</v>
      </c>
      <c r="Y1678" s="255">
        <f>V1678</f>
        <v>0</v>
      </c>
      <c r="Z1678" s="255">
        <f>AA1678</f>
        <v>0</v>
      </c>
      <c r="AA1678" s="97">
        <v>0</v>
      </c>
      <c r="AB1678" s="255">
        <f t="shared" si="355"/>
        <v>0</v>
      </c>
      <c r="AC1678" s="255">
        <f t="shared" si="355"/>
        <v>0</v>
      </c>
      <c r="AD1678" s="255">
        <f t="shared" si="355"/>
        <v>0</v>
      </c>
      <c r="AE1678" s="76"/>
      <c r="AF1678" s="76"/>
      <c r="AG1678" s="76"/>
      <c r="AH1678" s="97">
        <v>1</v>
      </c>
      <c r="AI1678" s="97">
        <v>1</v>
      </c>
      <c r="AJ1678" s="73"/>
      <c r="AK1678" s="57"/>
      <c r="AL1678" s="45"/>
      <c r="AM1678" s="45"/>
      <c r="AN1678" s="45"/>
    </row>
    <row r="1679" spans="1:40" hidden="1" outlineLevel="3" x14ac:dyDescent="0.25">
      <c r="A1679" s="45"/>
      <c r="B1679" s="54"/>
      <c r="C1679" s="47">
        <f t="shared" si="357"/>
        <v>4</v>
      </c>
      <c r="D1679" s="73"/>
      <c r="E1679" s="70"/>
      <c r="F1679" s="70" t="s">
        <v>2457</v>
      </c>
      <c r="G1679" s="73"/>
      <c r="H1679" s="378" t="s">
        <v>2737</v>
      </c>
      <c r="I1679" s="76"/>
      <c r="J1679" s="76"/>
      <c r="K1679" s="76"/>
      <c r="L1679" s="76"/>
      <c r="M1679" s="76"/>
      <c r="N1679" s="76"/>
      <c r="O1679" s="76"/>
      <c r="P1679" s="76"/>
      <c r="Q1679" s="76"/>
      <c r="R1679" s="76"/>
      <c r="S1679" s="76"/>
      <c r="T1679" s="76"/>
      <c r="U1679" s="76">
        <v>0</v>
      </c>
      <c r="V1679" s="255">
        <f t="shared" si="356"/>
        <v>0</v>
      </c>
      <c r="W1679" s="76">
        <v>0</v>
      </c>
      <c r="X1679" s="76">
        <v>0</v>
      </c>
      <c r="Y1679" s="76">
        <v>0</v>
      </c>
      <c r="Z1679" s="76">
        <v>0</v>
      </c>
      <c r="AA1679" s="76">
        <v>0</v>
      </c>
      <c r="AB1679" s="76">
        <v>0</v>
      </c>
      <c r="AC1679" s="76">
        <v>0</v>
      </c>
      <c r="AD1679" s="76">
        <v>0</v>
      </c>
      <c r="AE1679" s="76"/>
      <c r="AF1679" s="76"/>
      <c r="AG1679" s="76"/>
      <c r="AH1679" s="76">
        <v>1</v>
      </c>
      <c r="AI1679" s="76">
        <v>1</v>
      </c>
      <c r="AJ1679" s="73"/>
      <c r="AK1679" s="57"/>
      <c r="AL1679" s="45"/>
      <c r="AM1679" s="45"/>
      <c r="AN1679" s="45"/>
    </row>
    <row r="1680" spans="1:40" hidden="1" outlineLevel="2" collapsed="1" x14ac:dyDescent="0.25">
      <c r="A1680" s="45"/>
      <c r="B1680" s="54"/>
      <c r="C1680" s="47">
        <f t="shared" si="357"/>
        <v>4</v>
      </c>
      <c r="D1680" s="73"/>
      <c r="E1680" s="70"/>
      <c r="F1680" s="70" t="s">
        <v>2458</v>
      </c>
      <c r="G1680" s="73"/>
      <c r="H1680" s="378" t="s">
        <v>2480</v>
      </c>
      <c r="I1680" s="76"/>
      <c r="J1680" s="76"/>
      <c r="K1680" s="76"/>
      <c r="L1680" s="76"/>
      <c r="M1680" s="76"/>
      <c r="N1680" s="76"/>
      <c r="O1680" s="76"/>
      <c r="P1680" s="76"/>
      <c r="Q1680" s="76"/>
      <c r="R1680" s="76"/>
      <c r="S1680" s="76"/>
      <c r="T1680" s="76"/>
      <c r="U1680" s="97">
        <v>0</v>
      </c>
      <c r="V1680" s="255">
        <f t="shared" si="356"/>
        <v>0</v>
      </c>
      <c r="W1680" s="255">
        <f>U1680</f>
        <v>0</v>
      </c>
      <c r="X1680" s="255">
        <f>V1680</f>
        <v>0</v>
      </c>
      <c r="Y1680" s="255">
        <f>V1680</f>
        <v>0</v>
      </c>
      <c r="Z1680" s="255">
        <f>AA1680</f>
        <v>0</v>
      </c>
      <c r="AA1680" s="97">
        <v>0</v>
      </c>
      <c r="AB1680" s="255">
        <f>AA1680</f>
        <v>0</v>
      </c>
      <c r="AC1680" s="255">
        <f>AB1680</f>
        <v>0</v>
      </c>
      <c r="AD1680" s="255">
        <f>AC1680</f>
        <v>0</v>
      </c>
      <c r="AE1680" s="76"/>
      <c r="AF1680" s="76"/>
      <c r="AG1680" s="76"/>
      <c r="AH1680" s="97">
        <v>1</v>
      </c>
      <c r="AI1680" s="97">
        <v>1</v>
      </c>
      <c r="AJ1680" s="73"/>
      <c r="AK1680" s="57"/>
      <c r="AL1680" s="45"/>
      <c r="AM1680" s="45"/>
      <c r="AN1680" s="45"/>
    </row>
    <row r="1681" spans="1:40" hidden="1" outlineLevel="3" x14ac:dyDescent="0.25">
      <c r="A1681" s="45"/>
      <c r="B1681" s="54"/>
      <c r="C1681" s="47">
        <f t="shared" si="357"/>
        <v>4</v>
      </c>
      <c r="D1681" s="73"/>
      <c r="E1681" s="70"/>
      <c r="F1681" s="70" t="s">
        <v>2459</v>
      </c>
      <c r="G1681" s="73"/>
      <c r="H1681" s="377" t="s">
        <v>2736</v>
      </c>
      <c r="I1681" s="76"/>
      <c r="J1681" s="76"/>
      <c r="K1681" s="76"/>
      <c r="L1681" s="76"/>
      <c r="M1681" s="76"/>
      <c r="N1681" s="76"/>
      <c r="O1681" s="76"/>
      <c r="P1681" s="76"/>
      <c r="Q1681" s="76"/>
      <c r="R1681" s="76"/>
      <c r="S1681" s="76"/>
      <c r="T1681" s="76"/>
      <c r="U1681" s="76">
        <v>0</v>
      </c>
      <c r="V1681" s="255">
        <f t="shared" si="35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collapsed="1" x14ac:dyDescent="0.25">
      <c r="A1682" s="45"/>
      <c r="B1682" s="54"/>
      <c r="C1682" s="47">
        <f t="shared" si="357"/>
        <v>4</v>
      </c>
      <c r="D1682" s="73"/>
      <c r="E1682" s="70"/>
      <c r="F1682" s="70" t="s">
        <v>2460</v>
      </c>
      <c r="G1682" s="73"/>
      <c r="H1682" s="378" t="s">
        <v>2481</v>
      </c>
      <c r="I1682" s="76"/>
      <c r="J1682" s="76"/>
      <c r="K1682" s="76"/>
      <c r="L1682" s="76"/>
      <c r="M1682" s="76"/>
      <c r="N1682" s="76"/>
      <c r="O1682" s="76"/>
      <c r="P1682" s="76"/>
      <c r="Q1682" s="76"/>
      <c r="R1682" s="76"/>
      <c r="S1682" s="76"/>
      <c r="T1682" s="76"/>
      <c r="U1682" s="97">
        <v>-3.7749999999999999E-2</v>
      </c>
      <c r="V1682" s="255">
        <f t="shared" si="356"/>
        <v>-3.7749999999999999E-2</v>
      </c>
      <c r="W1682" s="255">
        <f>U1682</f>
        <v>-3.7749999999999999E-2</v>
      </c>
      <c r="X1682" s="255">
        <f>V1682</f>
        <v>-3.7749999999999999E-2</v>
      </c>
      <c r="Y1682" s="255">
        <f>V1682</f>
        <v>-3.7749999999999999E-2</v>
      </c>
      <c r="Z1682" s="255">
        <f>AA1682</f>
        <v>-2.775E-2</v>
      </c>
      <c r="AA1682" s="97">
        <v>-2.775E-2</v>
      </c>
      <c r="AB1682" s="255">
        <f>AA1682</f>
        <v>-2.775E-2</v>
      </c>
      <c r="AC1682" s="255">
        <f>AB1682</f>
        <v>-2.775E-2</v>
      </c>
      <c r="AD1682" s="255">
        <f>AC1682</f>
        <v>-2.775E-2</v>
      </c>
      <c r="AE1682" s="76"/>
      <c r="AF1682" s="76"/>
      <c r="AG1682" s="76"/>
      <c r="AH1682" s="97">
        <v>1</v>
      </c>
      <c r="AI1682" s="97">
        <v>1</v>
      </c>
      <c r="AJ1682" s="73"/>
      <c r="AK1682" s="57"/>
      <c r="AL1682" s="45"/>
      <c r="AM1682" s="45"/>
      <c r="AN1682" s="45"/>
    </row>
    <row r="1683" spans="1:40" hidden="1" outlineLevel="3" x14ac:dyDescent="0.25">
      <c r="A1683" s="45"/>
      <c r="B1683" s="54"/>
      <c r="C1683" s="47">
        <f t="shared" si="357"/>
        <v>4</v>
      </c>
      <c r="D1683" s="73"/>
      <c r="E1683" s="70"/>
      <c r="F1683" s="70" t="s">
        <v>2461</v>
      </c>
      <c r="G1683" s="73"/>
      <c r="H1683" s="377" t="s">
        <v>2738</v>
      </c>
      <c r="I1683" s="76"/>
      <c r="J1683" s="76"/>
      <c r="K1683" s="76"/>
      <c r="L1683" s="76"/>
      <c r="M1683" s="76"/>
      <c r="N1683" s="76"/>
      <c r="O1683" s="76"/>
      <c r="P1683" s="76"/>
      <c r="Q1683" s="76"/>
      <c r="R1683" s="76"/>
      <c r="S1683" s="76"/>
      <c r="T1683" s="76"/>
      <c r="U1683" s="76">
        <v>0</v>
      </c>
      <c r="V1683" s="255">
        <f t="shared" si="356"/>
        <v>0</v>
      </c>
      <c r="W1683" s="76">
        <v>0</v>
      </c>
      <c r="X1683" s="76">
        <v>0</v>
      </c>
      <c r="Y1683" s="76">
        <v>0</v>
      </c>
      <c r="Z1683" s="76">
        <v>0</v>
      </c>
      <c r="AA1683" s="76">
        <v>0</v>
      </c>
      <c r="AB1683" s="76">
        <v>0</v>
      </c>
      <c r="AC1683" s="76">
        <v>0</v>
      </c>
      <c r="AD1683" s="76">
        <v>0</v>
      </c>
      <c r="AE1683" s="76"/>
      <c r="AF1683" s="76"/>
      <c r="AG1683" s="76"/>
      <c r="AH1683" s="76">
        <v>1</v>
      </c>
      <c r="AI1683" s="76">
        <v>1</v>
      </c>
      <c r="AJ1683" s="73"/>
      <c r="AK1683" s="57"/>
      <c r="AL1683" s="45"/>
      <c r="AM1683" s="45"/>
      <c r="AN1683" s="45"/>
    </row>
    <row r="1684" spans="1:40" hidden="1" outlineLevel="2" x14ac:dyDescent="0.25">
      <c r="A1684" s="45"/>
      <c r="B1684" s="54"/>
      <c r="C1684" s="47">
        <f t="shared" si="357"/>
        <v>4</v>
      </c>
      <c r="D1684" s="73"/>
      <c r="E1684" s="70"/>
      <c r="F1684" s="70" t="str">
        <f>SUBSTITUTE(F1680,",4)",",8)")</f>
        <v>C(U2,25,8)</v>
      </c>
      <c r="G1684" s="73"/>
      <c r="H1684" s="378" t="s">
        <v>2733</v>
      </c>
      <c r="I1684" s="96"/>
      <c r="J1684" s="76"/>
      <c r="K1684" s="76"/>
      <c r="L1684" s="76"/>
      <c r="M1684" s="76"/>
      <c r="N1684" s="76"/>
      <c r="O1684" s="76"/>
      <c r="P1684" s="76"/>
      <c r="Q1684" s="76"/>
      <c r="R1684" s="76"/>
      <c r="S1684" s="76"/>
      <c r="T1684" s="76"/>
      <c r="U1684" s="97">
        <v>0.05</v>
      </c>
      <c r="V1684" s="255">
        <f t="shared" si="356"/>
        <v>0.05</v>
      </c>
      <c r="W1684" s="255">
        <f t="shared" ref="W1684:W1690" si="358">U1684</f>
        <v>0.05</v>
      </c>
      <c r="X1684" s="255">
        <f t="shared" ref="X1684:X1690" si="359">V1684</f>
        <v>0.05</v>
      </c>
      <c r="Y1684" s="255">
        <f>V1684</f>
        <v>0.05</v>
      </c>
      <c r="Z1684" s="255">
        <f>AA1684</f>
        <v>0</v>
      </c>
      <c r="AA1684" s="97">
        <v>0</v>
      </c>
      <c r="AB1684" s="255">
        <f t="shared" ref="AB1684:AB1690" si="360">AA1684</f>
        <v>0</v>
      </c>
      <c r="AC1684" s="255">
        <f t="shared" ref="AC1684:AC1690" si="361">AB1684</f>
        <v>0</v>
      </c>
      <c r="AD1684" s="255">
        <f t="shared" ref="AD1684:AD1690" si="362">AC1684</f>
        <v>0</v>
      </c>
      <c r="AE1684" s="76"/>
      <c r="AF1684" s="76"/>
      <c r="AG1684" s="76"/>
      <c r="AH1684" s="76">
        <v>1</v>
      </c>
      <c r="AI1684" s="76">
        <v>1</v>
      </c>
      <c r="AJ1684" s="73"/>
      <c r="AK1684" s="57"/>
      <c r="AL1684" s="45"/>
      <c r="AM1684" s="45"/>
      <c r="AN1684" s="45"/>
    </row>
    <row r="1685" spans="1:40" hidden="1" outlineLevel="2" x14ac:dyDescent="0.25">
      <c r="A1685" s="45"/>
      <c r="B1685" s="54"/>
      <c r="C1685" s="47">
        <f t="shared" si="357"/>
        <v>4</v>
      </c>
      <c r="D1685" s="73"/>
      <c r="E1685" s="70"/>
      <c r="F1685" s="70" t="str">
        <f>SUBSTITUTE(F1681,",5)",",9)")</f>
        <v>C(U2,25,9)</v>
      </c>
      <c r="G1685" s="73"/>
      <c r="H1685" s="378" t="s">
        <v>2789</v>
      </c>
      <c r="I1685" s="96"/>
      <c r="J1685" s="76"/>
      <c r="K1685" s="76"/>
      <c r="L1685" s="76"/>
      <c r="M1685" s="76"/>
      <c r="N1685" s="76"/>
      <c r="O1685" s="76"/>
      <c r="P1685" s="76"/>
      <c r="Q1685" s="76"/>
      <c r="R1685" s="76"/>
      <c r="S1685" s="76"/>
      <c r="T1685" s="76"/>
      <c r="U1685" s="97">
        <v>-9.3500000000000007E-3</v>
      </c>
      <c r="V1685" s="255">
        <f t="shared" si="356"/>
        <v>-9.3500000000000007E-3</v>
      </c>
      <c r="W1685" s="255">
        <f t="shared" si="358"/>
        <v>-9.3500000000000007E-3</v>
      </c>
      <c r="X1685" s="255">
        <f t="shared" si="359"/>
        <v>-9.3500000000000007E-3</v>
      </c>
      <c r="Y1685" s="255">
        <f>V1685</f>
        <v>-9.3500000000000007E-3</v>
      </c>
      <c r="Z1685" s="255">
        <f>AA1685</f>
        <v>-9.3500000000000007E-3</v>
      </c>
      <c r="AA1685" s="97">
        <v>-9.3500000000000007E-3</v>
      </c>
      <c r="AB1685" s="255">
        <f t="shared" si="360"/>
        <v>-9.3500000000000007E-3</v>
      </c>
      <c r="AC1685" s="255">
        <f t="shared" si="361"/>
        <v>-9.3500000000000007E-3</v>
      </c>
      <c r="AD1685" s="255">
        <f t="shared" si="362"/>
        <v>-9.3500000000000007E-3</v>
      </c>
      <c r="AE1685" s="76"/>
      <c r="AF1685" s="76"/>
      <c r="AG1685" s="76"/>
      <c r="AH1685" s="76">
        <v>1</v>
      </c>
      <c r="AI1685" s="76">
        <v>1</v>
      </c>
      <c r="AJ1685" s="73"/>
      <c r="AK1685" s="57"/>
      <c r="AL1685" s="45"/>
      <c r="AM1685" s="45"/>
      <c r="AN1685" s="45"/>
    </row>
    <row r="1686" spans="1:40" hidden="1" outlineLevel="2" x14ac:dyDescent="0.25">
      <c r="A1686" s="45"/>
      <c r="B1686" s="54"/>
      <c r="C1686" s="47">
        <f t="shared" si="357"/>
        <v>4</v>
      </c>
      <c r="D1686" s="73"/>
      <c r="E1686" s="70"/>
      <c r="F1686" s="70" t="str">
        <f>SUBSTITUTE(F1682,",6)",",10)")</f>
        <v>C(U2,25,10)</v>
      </c>
      <c r="G1686" s="73"/>
      <c r="H1686" s="378" t="s">
        <v>2788</v>
      </c>
      <c r="I1686" s="96"/>
      <c r="J1686" s="76"/>
      <c r="K1686" s="76"/>
      <c r="L1686" s="76"/>
      <c r="M1686" s="76"/>
      <c r="N1686" s="76"/>
      <c r="O1686" s="76"/>
      <c r="P1686" s="76"/>
      <c r="Q1686" s="76"/>
      <c r="R1686" s="76"/>
      <c r="S1686" s="76"/>
      <c r="T1686" s="76"/>
      <c r="U1686" s="97">
        <v>-7.0369200000000003E-3</v>
      </c>
      <c r="V1686" s="255">
        <f t="shared" si="356"/>
        <v>-7.0369200000000003E-3</v>
      </c>
      <c r="W1686" s="255">
        <f t="shared" si="358"/>
        <v>-7.0369200000000003E-3</v>
      </c>
      <c r="X1686" s="255">
        <f t="shared" si="359"/>
        <v>-7.0369200000000003E-3</v>
      </c>
      <c r="Y1686" s="255">
        <f>V1686</f>
        <v>-7.0369200000000003E-3</v>
      </c>
      <c r="Z1686" s="255">
        <f>AA1686</f>
        <v>-7.0369200000000003E-3</v>
      </c>
      <c r="AA1686" s="97">
        <v>-7.0369200000000003E-3</v>
      </c>
      <c r="AB1686" s="255">
        <f t="shared" si="360"/>
        <v>-7.0369200000000003E-3</v>
      </c>
      <c r="AC1686" s="255">
        <f t="shared" si="361"/>
        <v>-7.0369200000000003E-3</v>
      </c>
      <c r="AD1686" s="255">
        <f t="shared" si="362"/>
        <v>-7.0369200000000003E-3</v>
      </c>
      <c r="AE1686" s="76"/>
      <c r="AF1686" s="76"/>
      <c r="AG1686" s="76"/>
      <c r="AH1686" s="76">
        <v>1</v>
      </c>
      <c r="AI1686" s="76">
        <v>1</v>
      </c>
      <c r="AJ1686" s="73"/>
      <c r="AK1686" s="57"/>
      <c r="AL1686" s="45"/>
      <c r="AM1686" s="45"/>
      <c r="AN1686" s="45"/>
    </row>
    <row r="1687" spans="1:40" hidden="1" outlineLevel="2" x14ac:dyDescent="0.25">
      <c r="A1687" s="45"/>
      <c r="B1687" s="54"/>
      <c r="C1687" s="47">
        <f t="shared" si="357"/>
        <v>4</v>
      </c>
      <c r="D1687" s="73"/>
      <c r="E1687" s="70"/>
      <c r="F1687" s="70" t="str">
        <f>SUBSTITUTE(F1683,",7)",",11)")</f>
        <v>C(U2,25,11)</v>
      </c>
      <c r="G1687" s="73"/>
      <c r="H1687" s="378" t="s">
        <v>2739</v>
      </c>
      <c r="I1687" s="96"/>
      <c r="J1687" s="76"/>
      <c r="K1687" s="76"/>
      <c r="L1687" s="76"/>
      <c r="M1687" s="76"/>
      <c r="N1687" s="76"/>
      <c r="O1687" s="76"/>
      <c r="P1687" s="76"/>
      <c r="Q1687" s="76"/>
      <c r="R1687" s="76"/>
      <c r="S1687" s="76"/>
      <c r="T1687" s="76"/>
      <c r="U1687" s="97">
        <v>7.4569999999999999E-5</v>
      </c>
      <c r="V1687" s="255">
        <f t="shared" si="356"/>
        <v>7.4569999999999999E-5</v>
      </c>
      <c r="W1687" s="255">
        <f t="shared" si="358"/>
        <v>7.4569999999999999E-5</v>
      </c>
      <c r="X1687" s="255">
        <f t="shared" si="359"/>
        <v>7.4569999999999999E-5</v>
      </c>
      <c r="Y1687" s="255">
        <f>V1687</f>
        <v>7.4569999999999999E-5</v>
      </c>
      <c r="Z1687" s="255">
        <f>AA1687</f>
        <v>7.4569999999999999E-5</v>
      </c>
      <c r="AA1687" s="97">
        <v>7.4569999999999999E-5</v>
      </c>
      <c r="AB1687" s="255">
        <f t="shared" si="360"/>
        <v>7.4569999999999999E-5</v>
      </c>
      <c r="AC1687" s="255">
        <f t="shared" si="361"/>
        <v>7.4569999999999999E-5</v>
      </c>
      <c r="AD1687" s="255">
        <f t="shared" si="362"/>
        <v>7.4569999999999999E-5</v>
      </c>
      <c r="AE1687" s="76"/>
      <c r="AF1687" s="76"/>
      <c r="AG1687" s="76"/>
      <c r="AH1687" s="76">
        <v>1</v>
      </c>
      <c r="AI1687" s="76">
        <v>1</v>
      </c>
      <c r="AJ1687" s="73"/>
      <c r="AK1687" s="57"/>
      <c r="AL1687" s="45"/>
      <c r="AM1687" s="45"/>
      <c r="AN1687" s="45"/>
    </row>
    <row r="1688" spans="1:40" hidden="1" outlineLevel="2" x14ac:dyDescent="0.25">
      <c r="A1688" s="45"/>
      <c r="B1688" s="54"/>
      <c r="C1688" s="47">
        <f t="shared" si="357"/>
        <v>4</v>
      </c>
      <c r="D1688" s="73"/>
      <c r="E1688" s="70"/>
      <c r="F1688" s="70" t="s">
        <v>3343</v>
      </c>
      <c r="G1688" s="73"/>
      <c r="H1688" s="378" t="s">
        <v>3340</v>
      </c>
      <c r="I1688" s="96"/>
      <c r="J1688" s="76"/>
      <c r="K1688" s="76"/>
      <c r="L1688" s="76"/>
      <c r="M1688" s="76"/>
      <c r="N1688" s="76"/>
      <c r="O1688" s="76"/>
      <c r="P1688" s="76"/>
      <c r="Q1688" s="76"/>
      <c r="R1688" s="76"/>
      <c r="S1688" s="76"/>
      <c r="T1688" s="76"/>
      <c r="U1688" s="97">
        <v>0</v>
      </c>
      <c r="V1688" s="255">
        <f t="shared" si="356"/>
        <v>0</v>
      </c>
      <c r="W1688" s="97">
        <v>0</v>
      </c>
      <c r="X1688" s="97">
        <v>0</v>
      </c>
      <c r="Y1688" s="97">
        <v>0</v>
      </c>
      <c r="Z1688" s="97">
        <v>0</v>
      </c>
      <c r="AA1688" s="97">
        <v>0</v>
      </c>
      <c r="AB1688" s="97">
        <v>0</v>
      </c>
      <c r="AC1688" s="97">
        <v>0</v>
      </c>
      <c r="AD1688" s="97">
        <v>0</v>
      </c>
      <c r="AE1688" s="76"/>
      <c r="AF1688" s="76"/>
      <c r="AG1688" s="76"/>
      <c r="AH1688" s="76">
        <v>1</v>
      </c>
      <c r="AI1688" s="76">
        <v>1</v>
      </c>
      <c r="AJ1688" s="73"/>
      <c r="AK1688" s="57"/>
      <c r="AL1688" s="45"/>
      <c r="AM1688" s="45"/>
      <c r="AN1688" s="45"/>
    </row>
    <row r="1689" spans="1:40" hidden="1" outlineLevel="2" x14ac:dyDescent="0.25">
      <c r="A1689" s="45"/>
      <c r="B1689" s="54"/>
      <c r="C1689" s="47">
        <f t="shared" si="357"/>
        <v>4</v>
      </c>
      <c r="D1689" s="73"/>
      <c r="E1689" s="70"/>
      <c r="F1689" s="70" t="s">
        <v>3344</v>
      </c>
      <c r="G1689" s="73"/>
      <c r="H1689" s="378" t="s">
        <v>3339</v>
      </c>
      <c r="I1689" s="96"/>
      <c r="J1689" s="76"/>
      <c r="K1689" s="76"/>
      <c r="L1689" s="76"/>
      <c r="M1689" s="76"/>
      <c r="N1689" s="76"/>
      <c r="O1689" s="76"/>
      <c r="P1689" s="76"/>
      <c r="Q1689" s="76"/>
      <c r="R1689" s="76"/>
      <c r="S1689" s="76"/>
      <c r="T1689" s="76"/>
      <c r="U1689" s="97">
        <v>0</v>
      </c>
      <c r="V1689" s="255">
        <f t="shared" si="356"/>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hidden="1" outlineLevel="2" x14ac:dyDescent="0.25">
      <c r="A1690" s="45"/>
      <c r="B1690" s="54"/>
      <c r="C1690" s="47">
        <f>INT($C$29)+2</f>
        <v>3</v>
      </c>
      <c r="D1690" s="73"/>
      <c r="E1690" s="70"/>
      <c r="F1690" s="70" t="s">
        <v>2462</v>
      </c>
      <c r="G1690" s="73"/>
      <c r="H1690" s="76" t="s">
        <v>2482</v>
      </c>
      <c r="I1690" s="76"/>
      <c r="J1690" s="76"/>
      <c r="K1690" s="76"/>
      <c r="L1690" s="76"/>
      <c r="M1690" s="76"/>
      <c r="N1690" s="76"/>
      <c r="O1690" s="76"/>
      <c r="P1690" s="76"/>
      <c r="Q1690" s="76"/>
      <c r="R1690" s="76"/>
      <c r="S1690" s="76"/>
      <c r="T1690" s="76"/>
      <c r="U1690" s="97">
        <v>-1.8110552</v>
      </c>
      <c r="V1690" s="255">
        <f t="shared" si="356"/>
        <v>-1.8110552</v>
      </c>
      <c r="W1690" s="255">
        <f t="shared" si="358"/>
        <v>-1.8110552</v>
      </c>
      <c r="X1690" s="255">
        <f t="shared" si="359"/>
        <v>-1.8110552</v>
      </c>
      <c r="Y1690" s="255">
        <f>V1690</f>
        <v>-1.8110552</v>
      </c>
      <c r="Z1690" s="255">
        <f>AA1690</f>
        <v>-0.49941732500000002</v>
      </c>
      <c r="AA1690" s="97">
        <v>-0.49941732500000002</v>
      </c>
      <c r="AB1690" s="255">
        <f t="shared" si="360"/>
        <v>-0.49941732500000002</v>
      </c>
      <c r="AC1690" s="255">
        <f t="shared" si="361"/>
        <v>-0.49941732500000002</v>
      </c>
      <c r="AD1690" s="255">
        <f t="shared" si="362"/>
        <v>-0.49941732500000002</v>
      </c>
      <c r="AE1690" s="76"/>
      <c r="AF1690" s="97" t="s">
        <v>2735</v>
      </c>
      <c r="AG1690" s="76"/>
      <c r="AH1690" s="97">
        <v>1</v>
      </c>
      <c r="AI1690" s="97">
        <v>1</v>
      </c>
      <c r="AJ1690" s="73"/>
      <c r="AK1690" s="57"/>
      <c r="AL1690" s="45"/>
      <c r="AM1690" s="45"/>
      <c r="AN1690" s="45"/>
    </row>
    <row r="1691" spans="1:40" hidden="1" outlineLevel="2" x14ac:dyDescent="0.25">
      <c r="A1691" s="45"/>
      <c r="B1691" s="54"/>
      <c r="C1691" s="47">
        <f>INT($C$29)+2</f>
        <v>3</v>
      </c>
      <c r="D1691" s="73"/>
      <c r="E1691" s="70"/>
      <c r="F1691" s="70" t="s">
        <v>3314</v>
      </c>
      <c r="G1691" s="73"/>
      <c r="H1691" s="76" t="s">
        <v>2518</v>
      </c>
      <c r="I1691" s="76"/>
      <c r="J1691" s="76"/>
      <c r="K1691" s="76"/>
      <c r="L1691" s="76"/>
      <c r="M1691" s="76"/>
      <c r="N1691" s="76"/>
      <c r="O1691" s="76"/>
      <c r="P1691" s="76"/>
      <c r="Q1691" s="76"/>
      <c r="R1691" s="76"/>
      <c r="S1691" s="76"/>
      <c r="T1691" s="76"/>
      <c r="U1691" s="97">
        <v>-9.8000000000000004E-2</v>
      </c>
      <c r="V1691" s="255">
        <f>U1691</f>
        <v>-9.8000000000000004E-2</v>
      </c>
      <c r="W1691" s="255">
        <f t="shared" si="354"/>
        <v>-9.8000000000000004E-2</v>
      </c>
      <c r="X1691" s="255">
        <f t="shared" si="354"/>
        <v>-9.8000000000000004E-2</v>
      </c>
      <c r="Y1691" s="255">
        <f>V1691</f>
        <v>-9.8000000000000004E-2</v>
      </c>
      <c r="Z1691" s="255">
        <f>AA1691</f>
        <v>-3.9480000000000001E-2</v>
      </c>
      <c r="AA1691" s="97">
        <v>-3.9480000000000001E-2</v>
      </c>
      <c r="AB1691" s="255">
        <f t="shared" si="355"/>
        <v>-3.9480000000000001E-2</v>
      </c>
      <c r="AC1691" s="255">
        <f t="shared" si="355"/>
        <v>-3.9480000000000001E-2</v>
      </c>
      <c r="AD1691" s="255">
        <f t="shared" si="355"/>
        <v>-3.9480000000000001E-2</v>
      </c>
      <c r="AE1691" s="76"/>
      <c r="AF1691" s="97" t="s">
        <v>2801</v>
      </c>
      <c r="AG1691" s="76"/>
      <c r="AH1691" s="97">
        <v>1</v>
      </c>
      <c r="AI1691" s="97">
        <v>1</v>
      </c>
      <c r="AJ1691" s="73"/>
      <c r="AK1691" s="57"/>
      <c r="AL1691" s="45"/>
      <c r="AM1691" s="45"/>
      <c r="AN1691" s="45"/>
    </row>
    <row r="1692" spans="1:40" hidden="1" outlineLevel="2" x14ac:dyDescent="0.25">
      <c r="A1692" s="45"/>
      <c r="B1692" s="54"/>
      <c r="C1692" s="47">
        <f>INT($C$29)+2</f>
        <v>3</v>
      </c>
      <c r="D1692" s="73"/>
      <c r="E1692" s="70"/>
      <c r="F1692" s="70" t="s">
        <v>3316</v>
      </c>
      <c r="G1692" s="73"/>
      <c r="H1692" s="76" t="s">
        <v>2478</v>
      </c>
      <c r="I1692" s="76"/>
      <c r="J1692" s="76"/>
      <c r="K1692" s="76"/>
      <c r="L1692" s="76"/>
      <c r="M1692" s="76"/>
      <c r="N1692" s="76"/>
      <c r="O1692" s="76"/>
      <c r="P1692" s="76"/>
      <c r="Q1692" s="76"/>
      <c r="R1692" s="76"/>
      <c r="S1692" s="76"/>
      <c r="T1692" s="76"/>
      <c r="U1692" s="97">
        <v>0</v>
      </c>
      <c r="V1692" s="255">
        <f>U1692</f>
        <v>0</v>
      </c>
      <c r="W1692" s="255">
        <f t="shared" si="354"/>
        <v>0</v>
      </c>
      <c r="X1692" s="255">
        <f t="shared" si="354"/>
        <v>0</v>
      </c>
      <c r="Y1692" s="255">
        <f>V1692</f>
        <v>0</v>
      </c>
      <c r="Z1692" s="255">
        <f>AA1692</f>
        <v>0</v>
      </c>
      <c r="AA1692" s="97">
        <v>0</v>
      </c>
      <c r="AB1692" s="255">
        <f t="shared" si="355"/>
        <v>0</v>
      </c>
      <c r="AC1692" s="255">
        <f t="shared" si="355"/>
        <v>0</v>
      </c>
      <c r="AD1692" s="255">
        <f t="shared" si="355"/>
        <v>0</v>
      </c>
      <c r="AE1692" s="76"/>
      <c r="AF1692" s="76"/>
      <c r="AG1692" s="76"/>
      <c r="AH1692" s="97">
        <v>1</v>
      </c>
      <c r="AI1692" s="97">
        <v>1</v>
      </c>
      <c r="AJ1692" s="73"/>
      <c r="AK1692" s="57"/>
      <c r="AL1692" s="45"/>
      <c r="AM1692" s="45"/>
      <c r="AN1692" s="45"/>
    </row>
    <row r="1693" spans="1:40" hidden="1" outlineLevel="3" collapsed="1" x14ac:dyDescent="0.25">
      <c r="A1693" s="45"/>
      <c r="B1693" s="54"/>
      <c r="C1693" s="47">
        <f t="shared" ref="C1693:C1704" si="363">INT($C$29)+3</f>
        <v>4</v>
      </c>
      <c r="D1693" s="73"/>
      <c r="E1693" s="70"/>
      <c r="F1693" s="70" t="s">
        <v>3315</v>
      </c>
      <c r="G1693" s="73"/>
      <c r="H1693" s="378" t="s">
        <v>2479</v>
      </c>
      <c r="I1693" s="76"/>
      <c r="J1693" s="76"/>
      <c r="K1693" s="76"/>
      <c r="L1693" s="76"/>
      <c r="M1693" s="76"/>
      <c r="N1693" s="76"/>
      <c r="O1693" s="76"/>
      <c r="P1693" s="76"/>
      <c r="Q1693" s="76"/>
      <c r="R1693" s="76"/>
      <c r="S1693" s="76"/>
      <c r="T1693" s="76"/>
      <c r="U1693" s="97">
        <v>0</v>
      </c>
      <c r="V1693" s="255">
        <f>U1693</f>
        <v>0</v>
      </c>
      <c r="W1693" s="255">
        <f t="shared" si="354"/>
        <v>0</v>
      </c>
      <c r="X1693" s="255">
        <f t="shared" si="354"/>
        <v>0</v>
      </c>
      <c r="Y1693" s="255">
        <f>V1693</f>
        <v>0</v>
      </c>
      <c r="Z1693" s="255">
        <f>AA1693</f>
        <v>0</v>
      </c>
      <c r="AA1693" s="97">
        <v>0</v>
      </c>
      <c r="AB1693" s="255">
        <f t="shared" si="355"/>
        <v>0</v>
      </c>
      <c r="AC1693" s="255">
        <f t="shared" si="355"/>
        <v>0</v>
      </c>
      <c r="AD1693" s="255">
        <f t="shared" si="355"/>
        <v>0</v>
      </c>
      <c r="AE1693" s="76"/>
      <c r="AF1693" s="76"/>
      <c r="AG1693" s="76"/>
      <c r="AH1693" s="97">
        <v>1</v>
      </c>
      <c r="AI1693" s="97">
        <v>1</v>
      </c>
      <c r="AJ1693" s="73"/>
      <c r="AK1693" s="57"/>
      <c r="AL1693" s="45"/>
      <c r="AM1693" s="45"/>
      <c r="AN1693" s="45"/>
    </row>
    <row r="1694" spans="1:40" hidden="1" outlineLevel="3" x14ac:dyDescent="0.25">
      <c r="A1694" s="45"/>
      <c r="B1694" s="54"/>
      <c r="C1694" s="47">
        <f t="shared" si="363"/>
        <v>4</v>
      </c>
      <c r="D1694" s="73"/>
      <c r="E1694" s="70"/>
      <c r="F1694" s="70" t="s">
        <v>3317</v>
      </c>
      <c r="G1694" s="73"/>
      <c r="H1694" s="378" t="s">
        <v>2737</v>
      </c>
      <c r="I1694" s="76"/>
      <c r="J1694" s="76"/>
      <c r="K1694" s="76"/>
      <c r="L1694" s="76"/>
      <c r="M1694" s="76"/>
      <c r="N1694" s="76"/>
      <c r="O1694" s="76"/>
      <c r="P1694" s="76"/>
      <c r="Q1694" s="76"/>
      <c r="R1694" s="76"/>
      <c r="S1694" s="76"/>
      <c r="T1694" s="76"/>
      <c r="U1694" s="76">
        <v>0</v>
      </c>
      <c r="V1694" s="76">
        <v>0</v>
      </c>
      <c r="W1694" s="76">
        <v>0</v>
      </c>
      <c r="X1694" s="76">
        <v>0</v>
      </c>
      <c r="Y1694" s="76">
        <v>0</v>
      </c>
      <c r="Z1694" s="76">
        <v>0</v>
      </c>
      <c r="AA1694" s="76">
        <v>0</v>
      </c>
      <c r="AB1694" s="76">
        <v>0</v>
      </c>
      <c r="AC1694" s="76">
        <v>0</v>
      </c>
      <c r="AD1694" s="76">
        <v>0</v>
      </c>
      <c r="AE1694" s="76"/>
      <c r="AF1694" s="76"/>
      <c r="AG1694" s="76"/>
      <c r="AH1694" s="76">
        <v>1</v>
      </c>
      <c r="AI1694" s="76">
        <v>1</v>
      </c>
      <c r="AJ1694" s="73"/>
      <c r="AK1694" s="57"/>
      <c r="AL1694" s="45"/>
      <c r="AM1694" s="45"/>
      <c r="AN1694" s="45"/>
    </row>
    <row r="1695" spans="1:40" hidden="1" outlineLevel="2" x14ac:dyDescent="0.25">
      <c r="A1695" s="45"/>
      <c r="B1695" s="54"/>
      <c r="C1695" s="47">
        <f t="shared" si="363"/>
        <v>4</v>
      </c>
      <c r="D1695" s="73"/>
      <c r="E1695" s="70"/>
      <c r="F1695" s="70" t="s">
        <v>3318</v>
      </c>
      <c r="G1695" s="73"/>
      <c r="H1695" s="378" t="s">
        <v>2480</v>
      </c>
      <c r="I1695" s="76"/>
      <c r="J1695" s="76"/>
      <c r="K1695" s="76"/>
      <c r="L1695" s="76"/>
      <c r="M1695" s="76"/>
      <c r="N1695" s="76"/>
      <c r="O1695" s="76"/>
      <c r="P1695" s="76"/>
      <c r="Q1695" s="76"/>
      <c r="R1695" s="76"/>
      <c r="S1695" s="76"/>
      <c r="T1695" s="76"/>
      <c r="U1695" s="97">
        <v>0</v>
      </c>
      <c r="V1695" s="255">
        <f>U1695</f>
        <v>0</v>
      </c>
      <c r="W1695" s="255">
        <f>U1695</f>
        <v>0</v>
      </c>
      <c r="X1695" s="255">
        <f>V1695</f>
        <v>0</v>
      </c>
      <c r="Y1695" s="255">
        <f>V1695</f>
        <v>0</v>
      </c>
      <c r="Z1695" s="255">
        <f>AA1695</f>
        <v>0</v>
      </c>
      <c r="AA1695" s="97">
        <v>0</v>
      </c>
      <c r="AB1695" s="255">
        <f>AA1695</f>
        <v>0</v>
      </c>
      <c r="AC1695" s="255">
        <f>AB1695</f>
        <v>0</v>
      </c>
      <c r="AD1695" s="255">
        <f>AC1695</f>
        <v>0</v>
      </c>
      <c r="AE1695" s="76"/>
      <c r="AF1695" s="76"/>
      <c r="AG1695" s="76"/>
      <c r="AH1695" s="97">
        <v>1</v>
      </c>
      <c r="AI1695" s="97">
        <v>1</v>
      </c>
      <c r="AJ1695" s="73"/>
      <c r="AK1695" s="57"/>
      <c r="AL1695" s="45"/>
      <c r="AM1695" s="45"/>
      <c r="AN1695" s="45"/>
    </row>
    <row r="1696" spans="1:40" hidden="1" outlineLevel="3" x14ac:dyDescent="0.25">
      <c r="A1696" s="45"/>
      <c r="B1696" s="54"/>
      <c r="C1696" s="47">
        <f t="shared" si="363"/>
        <v>4</v>
      </c>
      <c r="D1696" s="73"/>
      <c r="E1696" s="70"/>
      <c r="F1696" s="70" t="s">
        <v>3319</v>
      </c>
      <c r="G1696" s="73"/>
      <c r="H1696" s="377" t="s">
        <v>2736</v>
      </c>
      <c r="I1696" s="76"/>
      <c r="J1696" s="76"/>
      <c r="K1696" s="76"/>
      <c r="L1696" s="76"/>
      <c r="M1696" s="76"/>
      <c r="N1696" s="76"/>
      <c r="O1696" s="76"/>
      <c r="P1696" s="76"/>
      <c r="Q1696" s="76"/>
      <c r="R1696" s="76"/>
      <c r="S1696" s="76"/>
      <c r="T1696" s="76"/>
      <c r="U1696" s="76">
        <v>0</v>
      </c>
      <c r="V1696" s="76">
        <v>0</v>
      </c>
      <c r="W1696" s="76">
        <v>0</v>
      </c>
      <c r="X1696" s="76">
        <v>0</v>
      </c>
      <c r="Y1696" s="76">
        <v>0</v>
      </c>
      <c r="Z1696" s="76">
        <v>0</v>
      </c>
      <c r="AA1696" s="76">
        <v>0</v>
      </c>
      <c r="AB1696" s="76">
        <v>0</v>
      </c>
      <c r="AC1696" s="76">
        <v>0</v>
      </c>
      <c r="AD1696" s="76">
        <v>0</v>
      </c>
      <c r="AE1696" s="76"/>
      <c r="AF1696" s="76"/>
      <c r="AG1696" s="76"/>
      <c r="AH1696" s="76">
        <v>1</v>
      </c>
      <c r="AI1696" s="76">
        <v>1</v>
      </c>
      <c r="AJ1696" s="73"/>
      <c r="AK1696" s="57"/>
      <c r="AL1696" s="45"/>
      <c r="AM1696" s="45"/>
      <c r="AN1696" s="45"/>
    </row>
    <row r="1697" spans="1:40" hidden="1" outlineLevel="2" x14ac:dyDescent="0.25">
      <c r="A1697" s="45"/>
      <c r="B1697" s="54"/>
      <c r="C1697" s="47">
        <f t="shared" si="363"/>
        <v>4</v>
      </c>
      <c r="D1697" s="73"/>
      <c r="E1697" s="70"/>
      <c r="F1697" s="70" t="s">
        <v>3320</v>
      </c>
      <c r="G1697" s="73"/>
      <c r="H1697" s="378" t="s">
        <v>2481</v>
      </c>
      <c r="I1697" s="76"/>
      <c r="J1697" s="76"/>
      <c r="K1697" s="76"/>
      <c r="L1697" s="76"/>
      <c r="M1697" s="76"/>
      <c r="N1697" s="76"/>
      <c r="O1697" s="76"/>
      <c r="P1697" s="76"/>
      <c r="Q1697" s="76"/>
      <c r="R1697" s="76"/>
      <c r="S1697" s="76"/>
      <c r="T1697" s="76"/>
      <c r="U1697" s="97">
        <v>-3.7749999999999999E-2</v>
      </c>
      <c r="V1697" s="255">
        <f>U1697</f>
        <v>-3.7749999999999999E-2</v>
      </c>
      <c r="W1697" s="255">
        <f>U1697</f>
        <v>-3.7749999999999999E-2</v>
      </c>
      <c r="X1697" s="255">
        <f>V1697</f>
        <v>-3.7749999999999999E-2</v>
      </c>
      <c r="Y1697" s="255">
        <f>V1697</f>
        <v>-3.7749999999999999E-2</v>
      </c>
      <c r="Z1697" s="255">
        <f>AA1697</f>
        <v>-2.775E-2</v>
      </c>
      <c r="AA1697" s="97">
        <v>-2.775E-2</v>
      </c>
      <c r="AB1697" s="255">
        <f>AA1697</f>
        <v>-2.775E-2</v>
      </c>
      <c r="AC1697" s="255">
        <f>AB1697</f>
        <v>-2.775E-2</v>
      </c>
      <c r="AD1697" s="255">
        <f>AC1697</f>
        <v>-2.775E-2</v>
      </c>
      <c r="AE1697" s="76"/>
      <c r="AF1697" s="76"/>
      <c r="AG1697" s="76"/>
      <c r="AH1697" s="97">
        <v>1</v>
      </c>
      <c r="AI1697" s="97">
        <v>1</v>
      </c>
      <c r="AJ1697" s="73"/>
      <c r="AK1697" s="57"/>
      <c r="AL1697" s="45"/>
      <c r="AM1697" s="45"/>
      <c r="AN1697" s="45"/>
    </row>
    <row r="1698" spans="1:40" hidden="1" outlineLevel="3" x14ac:dyDescent="0.25">
      <c r="A1698" s="45"/>
      <c r="B1698" s="54"/>
      <c r="C1698" s="47">
        <f t="shared" si="363"/>
        <v>4</v>
      </c>
      <c r="D1698" s="73"/>
      <c r="E1698" s="70"/>
      <c r="F1698" s="70" t="s">
        <v>3321</v>
      </c>
      <c r="G1698" s="73"/>
      <c r="H1698" s="377" t="s">
        <v>2738</v>
      </c>
      <c r="I1698" s="76"/>
      <c r="J1698" s="76"/>
      <c r="K1698" s="76"/>
      <c r="L1698" s="76"/>
      <c r="M1698" s="76"/>
      <c r="N1698" s="76"/>
      <c r="O1698" s="76"/>
      <c r="P1698" s="76"/>
      <c r="Q1698" s="76"/>
      <c r="R1698" s="76"/>
      <c r="S1698" s="76"/>
      <c r="T1698" s="76"/>
      <c r="U1698" s="76">
        <v>0</v>
      </c>
      <c r="V1698" s="76">
        <v>0</v>
      </c>
      <c r="W1698" s="76">
        <v>0</v>
      </c>
      <c r="X1698" s="76">
        <v>0</v>
      </c>
      <c r="Y1698" s="76">
        <v>0</v>
      </c>
      <c r="Z1698" s="76">
        <v>0</v>
      </c>
      <c r="AA1698" s="76">
        <v>0</v>
      </c>
      <c r="AB1698" s="76">
        <v>0</v>
      </c>
      <c r="AC1698" s="76">
        <v>0</v>
      </c>
      <c r="AD1698" s="76">
        <v>0</v>
      </c>
      <c r="AE1698" s="76"/>
      <c r="AF1698" s="76"/>
      <c r="AG1698" s="76"/>
      <c r="AH1698" s="76">
        <v>1</v>
      </c>
      <c r="AI1698" s="76">
        <v>1</v>
      </c>
      <c r="AJ1698" s="73"/>
      <c r="AK1698" s="57"/>
      <c r="AL1698" s="45"/>
      <c r="AM1698" s="45"/>
      <c r="AN1698" s="45"/>
    </row>
    <row r="1699" spans="1:40" hidden="1" outlineLevel="2" x14ac:dyDescent="0.25">
      <c r="A1699" s="45"/>
      <c r="B1699" s="54"/>
      <c r="C1699" s="47">
        <f t="shared" si="363"/>
        <v>4</v>
      </c>
      <c r="D1699" s="73"/>
      <c r="E1699" s="70"/>
      <c r="F1699" s="70" t="s">
        <v>3322</v>
      </c>
      <c r="G1699" s="73"/>
      <c r="H1699" s="378" t="s">
        <v>2733</v>
      </c>
      <c r="I1699" s="96"/>
      <c r="J1699" s="76"/>
      <c r="K1699" s="76"/>
      <c r="L1699" s="76"/>
      <c r="M1699" s="76"/>
      <c r="N1699" s="76"/>
      <c r="O1699" s="76"/>
      <c r="P1699" s="76"/>
      <c r="Q1699" s="76"/>
      <c r="R1699" s="76"/>
      <c r="S1699" s="76"/>
      <c r="T1699" s="76"/>
      <c r="U1699" s="97">
        <v>0.05</v>
      </c>
      <c r="V1699" s="255">
        <f>U1699</f>
        <v>0.05</v>
      </c>
      <c r="W1699" s="255">
        <f t="shared" ref="W1699:X1708" si="364">U1699</f>
        <v>0.05</v>
      </c>
      <c r="X1699" s="255">
        <f t="shared" si="364"/>
        <v>0.05</v>
      </c>
      <c r="Y1699" s="255">
        <f>V1699</f>
        <v>0.05</v>
      </c>
      <c r="Z1699" s="255">
        <f>AA1699</f>
        <v>0</v>
      </c>
      <c r="AA1699" s="97">
        <v>0</v>
      </c>
      <c r="AB1699" s="255">
        <f t="shared" ref="AB1699:AD1708" si="365">AA1699</f>
        <v>0</v>
      </c>
      <c r="AC1699" s="255">
        <f t="shared" si="365"/>
        <v>0</v>
      </c>
      <c r="AD1699" s="255">
        <f t="shared" si="365"/>
        <v>0</v>
      </c>
      <c r="AE1699" s="76"/>
      <c r="AF1699" s="76"/>
      <c r="AG1699" s="76"/>
      <c r="AH1699" s="76">
        <v>1</v>
      </c>
      <c r="AI1699" s="76">
        <v>1</v>
      </c>
      <c r="AJ1699" s="73"/>
      <c r="AK1699" s="57"/>
      <c r="AL1699" s="45"/>
      <c r="AM1699" s="45"/>
      <c r="AN1699" s="45"/>
    </row>
    <row r="1700" spans="1:40" hidden="1" outlineLevel="2" x14ac:dyDescent="0.25">
      <c r="A1700" s="45"/>
      <c r="B1700" s="54"/>
      <c r="C1700" s="47">
        <f t="shared" si="363"/>
        <v>4</v>
      </c>
      <c r="D1700" s="73"/>
      <c r="E1700" s="70"/>
      <c r="F1700" s="70" t="s">
        <v>3323</v>
      </c>
      <c r="G1700" s="73"/>
      <c r="H1700" s="378" t="s">
        <v>2789</v>
      </c>
      <c r="I1700" s="96"/>
      <c r="J1700" s="76"/>
      <c r="K1700" s="76"/>
      <c r="L1700" s="76"/>
      <c r="M1700" s="76"/>
      <c r="N1700" s="76"/>
      <c r="O1700" s="76"/>
      <c r="P1700" s="76"/>
      <c r="Q1700" s="76"/>
      <c r="R1700" s="76"/>
      <c r="S1700" s="76"/>
      <c r="T1700" s="76"/>
      <c r="U1700" s="97">
        <v>-9.3500000000000007E-3</v>
      </c>
      <c r="V1700" s="255">
        <f>U1700</f>
        <v>-9.3500000000000007E-3</v>
      </c>
      <c r="W1700" s="255">
        <f t="shared" si="364"/>
        <v>-9.3500000000000007E-3</v>
      </c>
      <c r="X1700" s="255">
        <f t="shared" si="364"/>
        <v>-9.3500000000000007E-3</v>
      </c>
      <c r="Y1700" s="255">
        <f>V1700</f>
        <v>-9.3500000000000007E-3</v>
      </c>
      <c r="Z1700" s="255">
        <f>AA1700</f>
        <v>-9.3500000000000007E-3</v>
      </c>
      <c r="AA1700" s="97">
        <v>-9.3500000000000007E-3</v>
      </c>
      <c r="AB1700" s="255">
        <f t="shared" si="365"/>
        <v>-9.3500000000000007E-3</v>
      </c>
      <c r="AC1700" s="255">
        <f t="shared" si="365"/>
        <v>-9.3500000000000007E-3</v>
      </c>
      <c r="AD1700" s="255">
        <f t="shared" si="365"/>
        <v>-9.3500000000000007E-3</v>
      </c>
      <c r="AE1700" s="76"/>
      <c r="AF1700" s="76"/>
      <c r="AG1700" s="76"/>
      <c r="AH1700" s="76">
        <v>1</v>
      </c>
      <c r="AI1700" s="76">
        <v>1</v>
      </c>
      <c r="AJ1700" s="73"/>
      <c r="AK1700" s="57"/>
      <c r="AL1700" s="45"/>
      <c r="AM1700" s="45"/>
      <c r="AN1700" s="45"/>
    </row>
    <row r="1701" spans="1:40" hidden="1" outlineLevel="2" x14ac:dyDescent="0.25">
      <c r="A1701" s="45"/>
      <c r="B1701" s="54"/>
      <c r="C1701" s="47">
        <f t="shared" si="363"/>
        <v>4</v>
      </c>
      <c r="D1701" s="73"/>
      <c r="E1701" s="70"/>
      <c r="F1701" s="70" t="s">
        <v>3324</v>
      </c>
      <c r="G1701" s="73"/>
      <c r="H1701" s="378" t="s">
        <v>2788</v>
      </c>
      <c r="I1701" s="96"/>
      <c r="J1701" s="76"/>
      <c r="K1701" s="76"/>
      <c r="L1701" s="76"/>
      <c r="M1701" s="76"/>
      <c r="N1701" s="76"/>
      <c r="O1701" s="76"/>
      <c r="P1701" s="76"/>
      <c r="Q1701" s="76"/>
      <c r="R1701" s="76"/>
      <c r="S1701" s="76"/>
      <c r="T1701" s="76"/>
      <c r="U1701" s="97">
        <v>-7.0369200000000003E-3</v>
      </c>
      <c r="V1701" s="255">
        <f>U1701</f>
        <v>-7.0369200000000003E-3</v>
      </c>
      <c r="W1701" s="255">
        <f t="shared" si="364"/>
        <v>-7.0369200000000003E-3</v>
      </c>
      <c r="X1701" s="255">
        <f t="shared" si="364"/>
        <v>-7.0369200000000003E-3</v>
      </c>
      <c r="Y1701" s="255">
        <f>V1701</f>
        <v>-7.0369200000000003E-3</v>
      </c>
      <c r="Z1701" s="255">
        <f>AA1701</f>
        <v>-7.0369200000000003E-3</v>
      </c>
      <c r="AA1701" s="97">
        <v>-7.0369200000000003E-3</v>
      </c>
      <c r="AB1701" s="255">
        <f t="shared" si="365"/>
        <v>-7.0369200000000003E-3</v>
      </c>
      <c r="AC1701" s="255">
        <f t="shared" si="365"/>
        <v>-7.0369200000000003E-3</v>
      </c>
      <c r="AD1701" s="255">
        <f t="shared" si="365"/>
        <v>-7.0369200000000003E-3</v>
      </c>
      <c r="AE1701" s="76"/>
      <c r="AF1701" s="76"/>
      <c r="AG1701" s="76"/>
      <c r="AH1701" s="76">
        <v>1</v>
      </c>
      <c r="AI1701" s="76">
        <v>1</v>
      </c>
      <c r="AJ1701" s="73"/>
      <c r="AK1701" s="57"/>
      <c r="AL1701" s="45"/>
      <c r="AM1701" s="45"/>
      <c r="AN1701" s="45"/>
    </row>
    <row r="1702" spans="1:40" hidden="1" outlineLevel="2" x14ac:dyDescent="0.25">
      <c r="A1702" s="45"/>
      <c r="B1702" s="54"/>
      <c r="C1702" s="47">
        <f t="shared" si="363"/>
        <v>4</v>
      </c>
      <c r="D1702" s="73"/>
      <c r="E1702" s="70"/>
      <c r="F1702" s="70" t="s">
        <v>3325</v>
      </c>
      <c r="G1702" s="73"/>
      <c r="H1702" s="378" t="s">
        <v>2739</v>
      </c>
      <c r="I1702" s="96"/>
      <c r="J1702" s="76"/>
      <c r="K1702" s="76"/>
      <c r="L1702" s="76"/>
      <c r="M1702" s="76"/>
      <c r="N1702" s="76"/>
      <c r="O1702" s="76"/>
      <c r="P1702" s="76"/>
      <c r="Q1702" s="76"/>
      <c r="R1702" s="76"/>
      <c r="S1702" s="76"/>
      <c r="T1702" s="76"/>
      <c r="U1702" s="97">
        <v>7.4569999999999999E-5</v>
      </c>
      <c r="V1702" s="255">
        <f>U1702</f>
        <v>7.4569999999999999E-5</v>
      </c>
      <c r="W1702" s="255">
        <f t="shared" si="364"/>
        <v>7.4569999999999999E-5</v>
      </c>
      <c r="X1702" s="255">
        <f t="shared" si="364"/>
        <v>7.4569999999999999E-5</v>
      </c>
      <c r="Y1702" s="255">
        <f>V1702</f>
        <v>7.4569999999999999E-5</v>
      </c>
      <c r="Z1702" s="255">
        <f>AA1702</f>
        <v>7.4569999999999999E-5</v>
      </c>
      <c r="AA1702" s="97">
        <v>7.4569999999999999E-5</v>
      </c>
      <c r="AB1702" s="255">
        <f t="shared" si="365"/>
        <v>7.4569999999999999E-5</v>
      </c>
      <c r="AC1702" s="255">
        <f t="shared" si="365"/>
        <v>7.4569999999999999E-5</v>
      </c>
      <c r="AD1702" s="255">
        <f t="shared" si="365"/>
        <v>7.4569999999999999E-5</v>
      </c>
      <c r="AE1702" s="76"/>
      <c r="AF1702" s="76"/>
      <c r="AG1702" s="76"/>
      <c r="AH1702" s="76">
        <v>1</v>
      </c>
      <c r="AI1702" s="76">
        <v>1</v>
      </c>
      <c r="AJ1702" s="73"/>
      <c r="AK1702" s="57"/>
      <c r="AL1702" s="45"/>
      <c r="AM1702" s="45"/>
      <c r="AN1702" s="45"/>
    </row>
    <row r="1703" spans="1:40" hidden="1" outlineLevel="2" x14ac:dyDescent="0.25">
      <c r="A1703" s="45"/>
      <c r="B1703" s="54"/>
      <c r="C1703" s="47">
        <f t="shared" si="363"/>
        <v>4</v>
      </c>
      <c r="D1703" s="73"/>
      <c r="E1703" s="70"/>
      <c r="F1703" s="70" t="s">
        <v>3337</v>
      </c>
      <c r="G1703" s="73"/>
      <c r="H1703" s="378" t="s">
        <v>3340</v>
      </c>
      <c r="I1703" s="96"/>
      <c r="J1703" s="76"/>
      <c r="K1703" s="76"/>
      <c r="L1703" s="76"/>
      <c r="M1703" s="76"/>
      <c r="N1703" s="76"/>
      <c r="O1703" s="76"/>
      <c r="P1703" s="76"/>
      <c r="Q1703" s="76"/>
      <c r="R1703" s="76"/>
      <c r="S1703" s="76"/>
      <c r="T1703" s="76"/>
      <c r="U1703" s="97">
        <v>0</v>
      </c>
      <c r="V1703" s="97">
        <v>0</v>
      </c>
      <c r="W1703" s="97">
        <v>0</v>
      </c>
      <c r="X1703" s="97">
        <v>0</v>
      </c>
      <c r="Y1703" s="97">
        <v>0</v>
      </c>
      <c r="Z1703" s="97">
        <v>0</v>
      </c>
      <c r="AA1703" s="97">
        <v>0</v>
      </c>
      <c r="AB1703" s="97">
        <v>0</v>
      </c>
      <c r="AC1703" s="97">
        <v>0</v>
      </c>
      <c r="AD1703" s="97">
        <v>0</v>
      </c>
      <c r="AE1703" s="76"/>
      <c r="AF1703" s="76"/>
      <c r="AG1703" s="76"/>
      <c r="AH1703" s="76">
        <v>1</v>
      </c>
      <c r="AI1703" s="76">
        <v>1</v>
      </c>
      <c r="AJ1703" s="73"/>
      <c r="AK1703" s="57"/>
      <c r="AL1703" s="45"/>
      <c r="AM1703" s="45"/>
      <c r="AN1703" s="45"/>
    </row>
    <row r="1704" spans="1:40" hidden="1" outlineLevel="2" x14ac:dyDescent="0.25">
      <c r="A1704" s="45"/>
      <c r="B1704" s="54"/>
      <c r="C1704" s="47">
        <f t="shared" si="363"/>
        <v>4</v>
      </c>
      <c r="D1704" s="73"/>
      <c r="E1704" s="70"/>
      <c r="F1704" s="70" t="s">
        <v>3338</v>
      </c>
      <c r="G1704" s="73"/>
      <c r="H1704" s="378" t="s">
        <v>3339</v>
      </c>
      <c r="I1704" s="96"/>
      <c r="J1704" s="76"/>
      <c r="K1704" s="76"/>
      <c r="L1704" s="76"/>
      <c r="M1704" s="76"/>
      <c r="N1704" s="76"/>
      <c r="O1704" s="76"/>
      <c r="P1704" s="76"/>
      <c r="Q1704" s="76"/>
      <c r="R1704" s="76"/>
      <c r="S1704" s="76"/>
      <c r="T1704" s="76"/>
      <c r="U1704" s="97">
        <v>0</v>
      </c>
      <c r="V1704" s="97">
        <v>0</v>
      </c>
      <c r="W1704" s="97">
        <v>0</v>
      </c>
      <c r="X1704" s="97">
        <v>0</v>
      </c>
      <c r="Y1704" s="97">
        <v>0</v>
      </c>
      <c r="Z1704" s="97">
        <v>0</v>
      </c>
      <c r="AA1704" s="97">
        <v>0</v>
      </c>
      <c r="AB1704" s="97">
        <v>0</v>
      </c>
      <c r="AC1704" s="97">
        <v>0</v>
      </c>
      <c r="AD1704" s="97">
        <v>0</v>
      </c>
      <c r="AE1704" s="76"/>
      <c r="AF1704" s="76"/>
      <c r="AG1704" s="76"/>
      <c r="AH1704" s="76">
        <v>1</v>
      </c>
      <c r="AI1704" s="76">
        <v>1</v>
      </c>
      <c r="AJ1704" s="73"/>
      <c r="AK1704" s="57"/>
      <c r="AL1704" s="45"/>
      <c r="AM1704" s="45"/>
      <c r="AN1704" s="45"/>
    </row>
    <row r="1705" spans="1:40" hidden="1" outlineLevel="2" x14ac:dyDescent="0.25">
      <c r="A1705" s="45"/>
      <c r="B1705" s="54"/>
      <c r="C1705" s="47">
        <f>INT($C$29)+2</f>
        <v>3</v>
      </c>
      <c r="D1705" s="73"/>
      <c r="E1705" s="70"/>
      <c r="F1705" s="70" t="s">
        <v>3326</v>
      </c>
      <c r="G1705" s="73"/>
      <c r="H1705" s="76" t="s">
        <v>2482</v>
      </c>
      <c r="I1705" s="76"/>
      <c r="J1705" s="76"/>
      <c r="K1705" s="155"/>
      <c r="L1705" s="76"/>
      <c r="M1705" s="76"/>
      <c r="N1705" s="76"/>
      <c r="O1705" s="76"/>
      <c r="P1705" s="76"/>
      <c r="Q1705" s="76"/>
      <c r="R1705" s="76"/>
      <c r="S1705" s="76"/>
      <c r="T1705" s="76"/>
      <c r="U1705" s="97">
        <v>-1.8110552</v>
      </c>
      <c r="V1705" s="255">
        <f>U1705</f>
        <v>-1.8110552</v>
      </c>
      <c r="W1705" s="255">
        <f t="shared" si="364"/>
        <v>-1.8110552</v>
      </c>
      <c r="X1705" s="255">
        <f t="shared" si="364"/>
        <v>-1.8110552</v>
      </c>
      <c r="Y1705" s="255">
        <f>V1705</f>
        <v>-1.8110552</v>
      </c>
      <c r="Z1705" s="255">
        <f>AA1705</f>
        <v>-0.49941732500000002</v>
      </c>
      <c r="AA1705" s="97">
        <v>-0.49941732500000002</v>
      </c>
      <c r="AB1705" s="255">
        <f t="shared" si="365"/>
        <v>-0.49941732500000002</v>
      </c>
      <c r="AC1705" s="255">
        <f t="shared" si="365"/>
        <v>-0.49941732500000002</v>
      </c>
      <c r="AD1705" s="255">
        <f t="shared" si="365"/>
        <v>-0.49941732500000002</v>
      </c>
      <c r="AE1705" s="76"/>
      <c r="AF1705" s="76"/>
      <c r="AG1705" s="76"/>
      <c r="AH1705" s="97">
        <v>1</v>
      </c>
      <c r="AI1705" s="97">
        <v>1</v>
      </c>
      <c r="AJ1705" s="73"/>
      <c r="AK1705" s="57"/>
      <c r="AL1705" s="45"/>
      <c r="AM1705" s="45"/>
      <c r="AN1705" s="45"/>
    </row>
    <row r="1706" spans="1:40" hidden="1" outlineLevel="2" x14ac:dyDescent="0.25">
      <c r="A1706" s="45"/>
      <c r="B1706" s="54"/>
      <c r="C1706" s="47">
        <f>INT($C$29)+2</f>
        <v>3</v>
      </c>
      <c r="D1706" s="73"/>
      <c r="E1706" s="70"/>
      <c r="F1706" s="70" t="s">
        <v>3360</v>
      </c>
      <c r="G1706" s="73"/>
      <c r="H1706" s="76" t="s">
        <v>3369</v>
      </c>
      <c r="I1706" s="76"/>
      <c r="J1706" s="76"/>
      <c r="K1706" s="76"/>
      <c r="L1706" s="76"/>
      <c r="M1706" s="76"/>
      <c r="N1706" s="76"/>
      <c r="O1706" s="76"/>
      <c r="P1706" s="76"/>
      <c r="Q1706" s="76"/>
      <c r="R1706" s="76"/>
      <c r="S1706" s="76"/>
      <c r="T1706" s="76"/>
      <c r="U1706" s="97">
        <v>-1.0469999999999999</v>
      </c>
      <c r="V1706" s="255">
        <f>U1706</f>
        <v>-1.0469999999999999</v>
      </c>
      <c r="W1706" s="255">
        <f t="shared" si="364"/>
        <v>-1.0469999999999999</v>
      </c>
      <c r="X1706" s="255">
        <f t="shared" si="364"/>
        <v>-1.0469999999999999</v>
      </c>
      <c r="Y1706" s="255">
        <f>V1706</f>
        <v>-1.0469999999999999</v>
      </c>
      <c r="Z1706" s="255">
        <f>AA1706</f>
        <v>-1.0469999999999999</v>
      </c>
      <c r="AA1706" s="97">
        <f>U1706</f>
        <v>-1.0469999999999999</v>
      </c>
      <c r="AB1706" s="255">
        <f t="shared" si="365"/>
        <v>-1.0469999999999999</v>
      </c>
      <c r="AC1706" s="255">
        <f t="shared" si="365"/>
        <v>-1.0469999999999999</v>
      </c>
      <c r="AD1706" s="255">
        <f t="shared" si="365"/>
        <v>-1.0469999999999999</v>
      </c>
      <c r="AE1706" s="76"/>
      <c r="AF1706" s="97" t="s">
        <v>3622</v>
      </c>
      <c r="AG1706" s="76"/>
      <c r="AH1706" s="76">
        <v>1</v>
      </c>
      <c r="AI1706" s="76">
        <v>1</v>
      </c>
      <c r="AJ1706" s="73"/>
      <c r="AK1706" s="57"/>
      <c r="AL1706" s="45"/>
      <c r="AM1706" s="45"/>
      <c r="AN1706" s="45"/>
    </row>
    <row r="1707" spans="1:40" hidden="1" outlineLevel="2" x14ac:dyDescent="0.25">
      <c r="A1707" s="45"/>
      <c r="B1707" s="54"/>
      <c r="C1707" s="47">
        <f>INT($C$29)+2</f>
        <v>3</v>
      </c>
      <c r="D1707" s="73"/>
      <c r="E1707" s="70"/>
      <c r="F1707" s="70" t="s">
        <v>3361</v>
      </c>
      <c r="G1707" s="73"/>
      <c r="H1707" s="76" t="s">
        <v>3370</v>
      </c>
      <c r="I1707" s="76"/>
      <c r="J1707" s="76"/>
      <c r="K1707" s="76"/>
      <c r="L1707" s="76"/>
      <c r="M1707" s="76"/>
      <c r="N1707" s="76"/>
      <c r="O1707" s="76"/>
      <c r="P1707" s="76"/>
      <c r="Q1707" s="76"/>
      <c r="R1707" s="76"/>
      <c r="S1707" s="76"/>
      <c r="T1707" s="76"/>
      <c r="U1707" s="97">
        <v>7.5389999999999997E-3</v>
      </c>
      <c r="V1707" s="255">
        <f>U1707</f>
        <v>7.5389999999999997E-3</v>
      </c>
      <c r="W1707" s="255">
        <f t="shared" si="364"/>
        <v>7.5389999999999997E-3</v>
      </c>
      <c r="X1707" s="255">
        <f t="shared" si="364"/>
        <v>7.5389999999999997E-3</v>
      </c>
      <c r="Y1707" s="255">
        <f>V1707</f>
        <v>7.5389999999999997E-3</v>
      </c>
      <c r="Z1707" s="255">
        <f>AA1707</f>
        <v>7.5389999999999997E-3</v>
      </c>
      <c r="AA1707" s="97">
        <f t="shared" ref="AA1707:AA1709" si="366">U1707</f>
        <v>7.5389999999999997E-3</v>
      </c>
      <c r="AB1707" s="255">
        <f t="shared" si="365"/>
        <v>7.5389999999999997E-3</v>
      </c>
      <c r="AC1707" s="255">
        <f t="shared" si="365"/>
        <v>7.5389999999999997E-3</v>
      </c>
      <c r="AD1707" s="255">
        <f t="shared" si="365"/>
        <v>7.5389999999999997E-3</v>
      </c>
      <c r="AE1707" s="76"/>
      <c r="AF1707" s="97" t="s">
        <v>3371</v>
      </c>
      <c r="AG1707" s="76"/>
      <c r="AH1707" s="76">
        <v>1</v>
      </c>
      <c r="AI1707" s="76">
        <v>1</v>
      </c>
      <c r="AJ1707" s="73"/>
      <c r="AK1707" s="57"/>
      <c r="AL1707" s="45"/>
      <c r="AM1707" s="45"/>
      <c r="AN1707" s="45"/>
    </row>
    <row r="1708" spans="1:40" hidden="1" outlineLevel="2" x14ac:dyDescent="0.25">
      <c r="A1708" s="45"/>
      <c r="B1708" s="54"/>
      <c r="C1708" s="47">
        <f t="shared" ref="C1708:C1719" si="367">INT($C$29)+3</f>
        <v>4</v>
      </c>
      <c r="D1708" s="73"/>
      <c r="E1708" s="70"/>
      <c r="F1708" s="70" t="s">
        <v>3362</v>
      </c>
      <c r="G1708" s="73"/>
      <c r="H1708" s="76" t="s">
        <v>3618</v>
      </c>
      <c r="I1708" s="76"/>
      <c r="J1708" s="76"/>
      <c r="K1708" s="76"/>
      <c r="L1708" s="76"/>
      <c r="M1708" s="76"/>
      <c r="N1708" s="76"/>
      <c r="O1708" s="76"/>
      <c r="P1708" s="76"/>
      <c r="Q1708" s="76"/>
      <c r="R1708" s="76"/>
      <c r="S1708" s="76"/>
      <c r="T1708" s="76"/>
      <c r="U1708" s="97">
        <v>0.24360000000000001</v>
      </c>
      <c r="V1708" s="255">
        <f>U1708</f>
        <v>0.24360000000000001</v>
      </c>
      <c r="W1708" s="255">
        <f t="shared" si="364"/>
        <v>0.24360000000000001</v>
      </c>
      <c r="X1708" s="255">
        <f t="shared" si="364"/>
        <v>0.24360000000000001</v>
      </c>
      <c r="Y1708" s="255">
        <f>V1708</f>
        <v>0.24360000000000001</v>
      </c>
      <c r="Z1708" s="255">
        <f>AA1708</f>
        <v>0.24360000000000001</v>
      </c>
      <c r="AA1708" s="97">
        <f t="shared" si="366"/>
        <v>0.24360000000000001</v>
      </c>
      <c r="AB1708" s="255">
        <f t="shared" si="365"/>
        <v>0.24360000000000001</v>
      </c>
      <c r="AC1708" s="255">
        <f t="shared" si="365"/>
        <v>0.24360000000000001</v>
      </c>
      <c r="AD1708" s="255">
        <f t="shared" si="365"/>
        <v>0.24360000000000001</v>
      </c>
      <c r="AE1708" s="76"/>
      <c r="AF1708" s="97" t="s">
        <v>3372</v>
      </c>
      <c r="AG1708" s="76"/>
      <c r="AH1708" s="97">
        <v>1</v>
      </c>
      <c r="AI1708" s="97">
        <v>1</v>
      </c>
      <c r="AJ1708" s="73"/>
      <c r="AK1708" s="57"/>
      <c r="AL1708" s="45"/>
      <c r="AM1708" s="45"/>
      <c r="AN1708" s="45"/>
    </row>
    <row r="1709" spans="1:40" hidden="1" outlineLevel="2" collapsed="1" x14ac:dyDescent="0.25">
      <c r="A1709" s="45"/>
      <c r="B1709" s="54"/>
      <c r="C1709" s="47">
        <f t="shared" si="367"/>
        <v>4</v>
      </c>
      <c r="D1709" s="73"/>
      <c r="E1709" s="70"/>
      <c r="F1709" s="70" t="s">
        <v>3363</v>
      </c>
      <c r="G1709" s="73"/>
      <c r="H1709" s="76" t="s">
        <v>3619</v>
      </c>
      <c r="I1709" s="76"/>
      <c r="J1709" s="76"/>
      <c r="K1709" s="76"/>
      <c r="L1709" s="76"/>
      <c r="M1709" s="76"/>
      <c r="N1709" s="76"/>
      <c r="O1709" s="76"/>
      <c r="P1709" s="76"/>
      <c r="Q1709" s="76"/>
      <c r="R1709" s="76"/>
      <c r="S1709" s="76"/>
      <c r="T1709" s="76"/>
      <c r="U1709" s="97"/>
      <c r="V1709" s="255">
        <f t="shared" ref="V1709" si="368">U1709</f>
        <v>0</v>
      </c>
      <c r="W1709" s="255">
        <f t="shared" ref="W1709:W1710" si="369">U1709</f>
        <v>0</v>
      </c>
      <c r="X1709" s="255">
        <f t="shared" ref="X1709:X1710" si="370">V1709</f>
        <v>0</v>
      </c>
      <c r="Y1709" s="255">
        <f t="shared" ref="Y1709" si="371">V1709</f>
        <v>0</v>
      </c>
      <c r="Z1709" s="255">
        <f t="shared" ref="Z1709" si="372">AA1709</f>
        <v>0</v>
      </c>
      <c r="AA1709" s="97">
        <f t="shared" si="366"/>
        <v>0</v>
      </c>
      <c r="AB1709" s="255">
        <f t="shared" ref="AB1709:AB1710" si="373">AA1709</f>
        <v>0</v>
      </c>
      <c r="AC1709" s="255">
        <f t="shared" ref="AC1709:AC1710" si="374">AB1709</f>
        <v>0</v>
      </c>
      <c r="AD1709" s="255">
        <f t="shared" ref="AD1709:AD1710" si="375">AC1709</f>
        <v>0</v>
      </c>
      <c r="AE1709" s="76"/>
      <c r="AF1709" s="76"/>
      <c r="AG1709" s="76"/>
      <c r="AH1709" s="76">
        <v>1</v>
      </c>
      <c r="AI1709" s="76">
        <v>1</v>
      </c>
      <c r="AJ1709" s="73"/>
      <c r="AK1709" s="57"/>
      <c r="AL1709" s="45"/>
      <c r="AM1709" s="45"/>
      <c r="AN1709" s="45"/>
    </row>
    <row r="1710" spans="1:40" hidden="1" outlineLevel="3" x14ac:dyDescent="0.25">
      <c r="A1710" s="45"/>
      <c r="B1710" s="54"/>
      <c r="C1710" s="47">
        <f t="shared" si="367"/>
        <v>4</v>
      </c>
      <c r="D1710" s="73"/>
      <c r="E1710" s="70"/>
      <c r="F1710" s="70" t="s">
        <v>3364</v>
      </c>
      <c r="G1710" s="73"/>
      <c r="H1710" s="76" t="s">
        <v>3620</v>
      </c>
      <c r="I1710" s="76"/>
      <c r="J1710" s="76"/>
      <c r="K1710" s="76"/>
      <c r="L1710" s="76"/>
      <c r="M1710" s="76"/>
      <c r="N1710" s="76"/>
      <c r="O1710" s="76"/>
      <c r="P1710" s="76"/>
      <c r="Q1710" s="76"/>
      <c r="R1710" s="76"/>
      <c r="S1710" s="76"/>
      <c r="T1710" s="76"/>
      <c r="U1710" s="97">
        <v>0.24360000000000001</v>
      </c>
      <c r="V1710" s="255">
        <f>U1710</f>
        <v>0.24360000000000001</v>
      </c>
      <c r="W1710" s="255">
        <f t="shared" si="369"/>
        <v>0.24360000000000001</v>
      </c>
      <c r="X1710" s="255">
        <f t="shared" si="370"/>
        <v>0.24360000000000001</v>
      </c>
      <c r="Y1710" s="255">
        <f>V1710</f>
        <v>0.24360000000000001</v>
      </c>
      <c r="Z1710" s="255">
        <f>AA1710</f>
        <v>0.24360000000000001</v>
      </c>
      <c r="AA1710" s="97">
        <f t="shared" ref="AA1710:AA1711" si="376">U1710</f>
        <v>0.24360000000000001</v>
      </c>
      <c r="AB1710" s="255">
        <f t="shared" si="373"/>
        <v>0.24360000000000001</v>
      </c>
      <c r="AC1710" s="255">
        <f t="shared" si="374"/>
        <v>0.24360000000000001</v>
      </c>
      <c r="AD1710" s="255">
        <f t="shared" si="375"/>
        <v>0.24360000000000001</v>
      </c>
      <c r="AE1710" s="76"/>
      <c r="AF1710" s="76"/>
      <c r="AG1710" s="76"/>
      <c r="AH1710" s="97">
        <v>1</v>
      </c>
      <c r="AI1710" s="97">
        <v>1</v>
      </c>
      <c r="AJ1710" s="73"/>
      <c r="AK1710" s="57"/>
      <c r="AL1710" s="45"/>
      <c r="AM1710" s="45"/>
      <c r="AN1710" s="45"/>
    </row>
    <row r="1711" spans="1:40" hidden="1" outlineLevel="3" x14ac:dyDescent="0.25">
      <c r="A1711" s="45"/>
      <c r="B1711" s="54"/>
      <c r="C1711" s="47">
        <f t="shared" si="367"/>
        <v>4</v>
      </c>
      <c r="D1711" s="73"/>
      <c r="E1711" s="70"/>
      <c r="F1711" s="70" t="s">
        <v>3365</v>
      </c>
      <c r="G1711" s="73"/>
      <c r="H1711" s="76" t="s">
        <v>3621</v>
      </c>
      <c r="I1711" s="76"/>
      <c r="J1711" s="76"/>
      <c r="K1711" s="76"/>
      <c r="L1711" s="76"/>
      <c r="M1711" s="76"/>
      <c r="N1711" s="76"/>
      <c r="O1711" s="76"/>
      <c r="P1711" s="76"/>
      <c r="Q1711" s="76"/>
      <c r="R1711" s="76"/>
      <c r="S1711" s="76"/>
      <c r="T1711" s="76"/>
      <c r="U1711" s="97"/>
      <c r="V1711" s="255">
        <f t="shared" ref="V1711" si="377">U1711</f>
        <v>0</v>
      </c>
      <c r="W1711" s="255">
        <f t="shared" ref="W1711" si="378">U1711</f>
        <v>0</v>
      </c>
      <c r="X1711" s="255">
        <f t="shared" ref="X1711" si="379">V1711</f>
        <v>0</v>
      </c>
      <c r="Y1711" s="255">
        <f t="shared" ref="Y1711" si="380">V1711</f>
        <v>0</v>
      </c>
      <c r="Z1711" s="255">
        <f t="shared" ref="Z1711" si="381">AA1711</f>
        <v>0</v>
      </c>
      <c r="AA1711" s="97">
        <f t="shared" si="376"/>
        <v>0</v>
      </c>
      <c r="AB1711" s="255">
        <f t="shared" ref="AB1711" si="382">AA1711</f>
        <v>0</v>
      </c>
      <c r="AC1711" s="255">
        <f t="shared" ref="AC1711" si="383">AB1711</f>
        <v>0</v>
      </c>
      <c r="AD1711" s="255">
        <f t="shared" ref="AD1711" si="384">AC1711</f>
        <v>0</v>
      </c>
      <c r="AE1711" s="76"/>
      <c r="AF1711" s="76"/>
      <c r="AG1711" s="76"/>
      <c r="AH1711" s="76">
        <v>1</v>
      </c>
      <c r="AI1711" s="76">
        <v>1</v>
      </c>
      <c r="AJ1711" s="73"/>
      <c r="AK1711" s="57"/>
      <c r="AL1711" s="45"/>
      <c r="AM1711" s="45"/>
      <c r="AN1711" s="45"/>
    </row>
    <row r="1712" spans="1:40" hidden="1" outlineLevel="3" x14ac:dyDescent="0.25">
      <c r="A1712" s="45"/>
      <c r="B1712" s="54"/>
      <c r="C1712" s="47">
        <f t="shared" si="367"/>
        <v>4</v>
      </c>
      <c r="D1712" s="73"/>
      <c r="E1712" s="70"/>
      <c r="F1712" s="70" t="s">
        <v>3366</v>
      </c>
      <c r="G1712" s="73"/>
      <c r="H1712" s="377" t="s">
        <v>3373</v>
      </c>
      <c r="I1712" s="76"/>
      <c r="J1712" s="76"/>
      <c r="K1712" s="76"/>
      <c r="L1712" s="76"/>
      <c r="M1712" s="76"/>
      <c r="N1712" s="76"/>
      <c r="O1712" s="76"/>
      <c r="P1712" s="76"/>
      <c r="Q1712" s="76"/>
      <c r="R1712" s="76"/>
      <c r="S1712" s="76"/>
      <c r="T1712" s="76"/>
      <c r="U1712" s="76"/>
      <c r="V1712" s="76"/>
      <c r="W1712" s="76"/>
      <c r="X1712" s="76"/>
      <c r="Y1712" s="76"/>
      <c r="Z1712" s="76"/>
      <c r="AA1712" s="76"/>
      <c r="AB1712" s="76"/>
      <c r="AC1712" s="76"/>
      <c r="AD1712" s="76"/>
      <c r="AE1712" s="76"/>
      <c r="AF1712" s="76"/>
      <c r="AG1712" s="76"/>
      <c r="AH1712" s="76">
        <v>1</v>
      </c>
      <c r="AI1712" s="76">
        <v>1</v>
      </c>
      <c r="AJ1712" s="73"/>
      <c r="AK1712" s="57"/>
      <c r="AL1712" s="45"/>
      <c r="AM1712" s="45"/>
      <c r="AN1712" s="45"/>
    </row>
    <row r="1713" spans="1:40" hidden="1" outlineLevel="3" x14ac:dyDescent="0.25">
      <c r="A1713" s="45"/>
      <c r="B1713" s="54"/>
      <c r="C1713" s="47">
        <f t="shared" si="367"/>
        <v>4</v>
      </c>
      <c r="D1713" s="73"/>
      <c r="E1713" s="70"/>
      <c r="F1713" s="70" t="s">
        <v>3367</v>
      </c>
      <c r="G1713" s="73"/>
      <c r="H1713" s="377" t="s">
        <v>3374</v>
      </c>
      <c r="I1713" s="76"/>
      <c r="J1713" s="76"/>
      <c r="K1713" s="76"/>
      <c r="L1713" s="76"/>
      <c r="M1713" s="76"/>
      <c r="N1713" s="76"/>
      <c r="O1713" s="76"/>
      <c r="P1713" s="76"/>
      <c r="Q1713" s="76"/>
      <c r="R1713" s="76"/>
      <c r="S1713" s="76"/>
      <c r="T1713" s="76"/>
      <c r="U1713" s="76"/>
      <c r="V1713" s="76"/>
      <c r="W1713" s="76"/>
      <c r="X1713" s="76"/>
      <c r="Y1713" s="76"/>
      <c r="Z1713" s="76"/>
      <c r="AA1713" s="76"/>
      <c r="AB1713" s="76"/>
      <c r="AC1713" s="76"/>
      <c r="AD1713" s="76"/>
      <c r="AE1713" s="76"/>
      <c r="AF1713" s="76"/>
      <c r="AG1713" s="76"/>
      <c r="AH1713" s="76">
        <v>1</v>
      </c>
      <c r="AI1713" s="76">
        <v>1</v>
      </c>
      <c r="AJ1713" s="73"/>
      <c r="AK1713" s="57"/>
      <c r="AL1713" s="45"/>
      <c r="AM1713" s="45"/>
      <c r="AN1713" s="45"/>
    </row>
    <row r="1714" spans="1:40" hidden="1" outlineLevel="3" x14ac:dyDescent="0.25">
      <c r="A1714" s="45"/>
      <c r="B1714" s="54"/>
      <c r="C1714" s="47">
        <f t="shared" si="367"/>
        <v>4</v>
      </c>
      <c r="D1714" s="73"/>
      <c r="E1714" s="70"/>
      <c r="F1714" s="70" t="str">
        <f>SUBSTITUTE(F1710,",4)",",8)")</f>
        <v>C(U2,27,8)</v>
      </c>
      <c r="G1714" s="73"/>
      <c r="H1714" s="377" t="s">
        <v>3375</v>
      </c>
      <c r="I1714" s="96"/>
      <c r="J1714" s="76"/>
      <c r="K1714" s="76"/>
      <c r="L1714" s="76"/>
      <c r="M1714" s="76"/>
      <c r="N1714" s="76"/>
      <c r="O1714" s="76"/>
      <c r="P1714" s="76"/>
      <c r="Q1714" s="76"/>
      <c r="R1714" s="76"/>
      <c r="S1714" s="76"/>
      <c r="T1714" s="76"/>
      <c r="U1714" s="76"/>
      <c r="V1714" s="76"/>
      <c r="W1714" s="76"/>
      <c r="X1714" s="76"/>
      <c r="Y1714" s="76"/>
      <c r="Z1714" s="76"/>
      <c r="AA1714" s="76"/>
      <c r="AB1714" s="76"/>
      <c r="AC1714" s="76"/>
      <c r="AD1714" s="76"/>
      <c r="AE1714" s="76"/>
      <c r="AF1714" s="76"/>
      <c r="AG1714" s="76"/>
      <c r="AH1714" s="76">
        <v>1</v>
      </c>
      <c r="AI1714" s="76">
        <v>1</v>
      </c>
      <c r="AJ1714" s="73"/>
      <c r="AK1714" s="57"/>
      <c r="AL1714" s="45"/>
      <c r="AM1714" s="45"/>
      <c r="AN1714" s="45"/>
    </row>
    <row r="1715" spans="1:40" hidden="1" outlineLevel="3" x14ac:dyDescent="0.25">
      <c r="A1715" s="45"/>
      <c r="B1715" s="54"/>
      <c r="C1715" s="47">
        <f t="shared" si="367"/>
        <v>4</v>
      </c>
      <c r="D1715" s="73"/>
      <c r="E1715" s="70"/>
      <c r="F1715" s="70" t="str">
        <f>SUBSTITUTE(F1711,",5)",",9)")</f>
        <v>C(U2,27,9)</v>
      </c>
      <c r="G1715" s="73"/>
      <c r="H1715" s="377" t="s">
        <v>3376</v>
      </c>
      <c r="I1715" s="96"/>
      <c r="J1715" s="76"/>
      <c r="K1715" s="76"/>
      <c r="L1715" s="76"/>
      <c r="M1715" s="76"/>
      <c r="N1715" s="76"/>
      <c r="O1715" s="76"/>
      <c r="P1715" s="76"/>
      <c r="Q1715" s="76"/>
      <c r="R1715" s="76"/>
      <c r="S1715" s="76"/>
      <c r="T1715" s="76"/>
      <c r="U1715" s="76"/>
      <c r="V1715" s="76"/>
      <c r="W1715" s="76"/>
      <c r="X1715" s="76"/>
      <c r="Y1715" s="76"/>
      <c r="Z1715" s="76"/>
      <c r="AA1715" s="76"/>
      <c r="AB1715" s="76"/>
      <c r="AC1715" s="76"/>
      <c r="AD1715" s="76"/>
      <c r="AE1715" s="76"/>
      <c r="AF1715" s="76"/>
      <c r="AG1715" s="76"/>
      <c r="AH1715" s="76">
        <v>1</v>
      </c>
      <c r="AI1715" s="76">
        <v>1</v>
      </c>
      <c r="AJ1715" s="73"/>
      <c r="AK1715" s="57"/>
      <c r="AL1715" s="45"/>
      <c r="AM1715" s="45"/>
      <c r="AN1715" s="45"/>
    </row>
    <row r="1716" spans="1:40" hidden="1" outlineLevel="3" x14ac:dyDescent="0.25">
      <c r="A1716" s="45"/>
      <c r="B1716" s="54"/>
      <c r="C1716" s="47">
        <f t="shared" si="367"/>
        <v>4</v>
      </c>
      <c r="D1716" s="73"/>
      <c r="E1716" s="70"/>
      <c r="F1716" s="70" t="str">
        <f>SUBSTITUTE(F1712,",6)",",10)")</f>
        <v>C(U2,27,10)</v>
      </c>
      <c r="G1716" s="73"/>
      <c r="H1716" s="377" t="s">
        <v>3377</v>
      </c>
      <c r="I1716" s="96"/>
      <c r="J1716" s="76"/>
      <c r="K1716" s="76"/>
      <c r="L1716" s="76"/>
      <c r="M1716" s="76"/>
      <c r="N1716" s="76"/>
      <c r="O1716" s="76"/>
      <c r="P1716" s="76"/>
      <c r="Q1716" s="76"/>
      <c r="R1716" s="76"/>
      <c r="S1716" s="76"/>
      <c r="T1716" s="76"/>
      <c r="U1716" s="76"/>
      <c r="V1716" s="76"/>
      <c r="W1716" s="76"/>
      <c r="X1716" s="76"/>
      <c r="Y1716" s="76"/>
      <c r="Z1716" s="76"/>
      <c r="AA1716" s="76"/>
      <c r="AB1716" s="76"/>
      <c r="AC1716" s="76"/>
      <c r="AD1716" s="76"/>
      <c r="AE1716" s="76"/>
      <c r="AF1716" s="76"/>
      <c r="AG1716" s="76"/>
      <c r="AH1716" s="76">
        <v>1</v>
      </c>
      <c r="AI1716" s="76">
        <v>1</v>
      </c>
      <c r="AJ1716" s="73"/>
      <c r="AK1716" s="57"/>
      <c r="AL1716" s="45"/>
      <c r="AM1716" s="45"/>
      <c r="AN1716" s="45"/>
    </row>
    <row r="1717" spans="1:40" hidden="1" outlineLevel="3" collapsed="1" x14ac:dyDescent="0.25">
      <c r="A1717" s="45"/>
      <c r="B1717" s="54"/>
      <c r="C1717" s="47">
        <f t="shared" si="367"/>
        <v>4</v>
      </c>
      <c r="D1717" s="73"/>
      <c r="E1717" s="70"/>
      <c r="F1717" s="70" t="str">
        <f>SUBSTITUTE(F1713,",7)",",11)")</f>
        <v>C(U2,27,11)</v>
      </c>
      <c r="G1717" s="73"/>
      <c r="H1717" s="377" t="s">
        <v>3378</v>
      </c>
      <c r="I1717" s="96"/>
      <c r="J1717" s="76"/>
      <c r="K1717" s="76"/>
      <c r="L1717" s="76"/>
      <c r="M1717" s="76"/>
      <c r="N1717" s="76"/>
      <c r="O1717" s="76"/>
      <c r="P1717" s="76"/>
      <c r="Q1717" s="76"/>
      <c r="R1717" s="76"/>
      <c r="S1717" s="76"/>
      <c r="T1717" s="76"/>
      <c r="U1717" s="76"/>
      <c r="V1717" s="76"/>
      <c r="W1717" s="76"/>
      <c r="X1717" s="76"/>
      <c r="Y1717" s="76"/>
      <c r="Z1717" s="76"/>
      <c r="AA1717" s="76"/>
      <c r="AB1717" s="76"/>
      <c r="AC1717" s="76"/>
      <c r="AD1717" s="76"/>
      <c r="AE1717" s="76"/>
      <c r="AF1717" s="76"/>
      <c r="AG1717" s="76"/>
      <c r="AH1717" s="76">
        <v>1</v>
      </c>
      <c r="AI1717" s="76">
        <v>1</v>
      </c>
      <c r="AJ1717" s="73"/>
      <c r="AK1717" s="57"/>
      <c r="AL1717" s="45"/>
      <c r="AM1717" s="45"/>
      <c r="AN1717" s="45"/>
    </row>
    <row r="1718" spans="1:40" hidden="1" outlineLevel="3" x14ac:dyDescent="0.25">
      <c r="A1718" s="45"/>
      <c r="B1718" s="54"/>
      <c r="C1718" s="47">
        <f t="shared" si="367"/>
        <v>4</v>
      </c>
      <c r="D1718" s="73"/>
      <c r="E1718" s="70"/>
      <c r="F1718" s="70" t="str">
        <f>SUBSTITUTE(F1712,",6)",",12)")</f>
        <v>C(U2,27,12)</v>
      </c>
      <c r="G1718" s="73"/>
      <c r="H1718" s="377" t="s">
        <v>3379</v>
      </c>
      <c r="I1718" s="96"/>
      <c r="J1718" s="76"/>
      <c r="K1718" s="76"/>
      <c r="L1718" s="76"/>
      <c r="M1718" s="76"/>
      <c r="N1718" s="76"/>
      <c r="O1718" s="76"/>
      <c r="P1718" s="76"/>
      <c r="Q1718" s="76"/>
      <c r="R1718" s="76"/>
      <c r="S1718" s="76"/>
      <c r="T1718" s="76"/>
      <c r="U1718" s="76"/>
      <c r="V1718" s="76"/>
      <c r="W1718" s="76"/>
      <c r="X1718" s="76"/>
      <c r="Y1718" s="76"/>
      <c r="Z1718" s="76"/>
      <c r="AA1718" s="76"/>
      <c r="AB1718" s="76"/>
      <c r="AC1718" s="76"/>
      <c r="AD1718" s="76"/>
      <c r="AE1718" s="76"/>
      <c r="AF1718" s="76"/>
      <c r="AG1718" s="76"/>
      <c r="AH1718" s="76">
        <v>1</v>
      </c>
      <c r="AI1718" s="76">
        <v>1</v>
      </c>
      <c r="AJ1718" s="73"/>
      <c r="AK1718" s="57"/>
      <c r="AL1718" s="45"/>
      <c r="AM1718" s="45"/>
      <c r="AN1718" s="45"/>
    </row>
    <row r="1719" spans="1:40" hidden="1" outlineLevel="3" x14ac:dyDescent="0.25">
      <c r="A1719" s="45"/>
      <c r="B1719" s="54"/>
      <c r="C1719" s="47">
        <f t="shared" si="367"/>
        <v>4</v>
      </c>
      <c r="D1719" s="73"/>
      <c r="E1719" s="70"/>
      <c r="F1719" s="70" t="str">
        <f>SUBSTITUTE(F1713,",7)",",13)")</f>
        <v>C(U2,27,13)</v>
      </c>
      <c r="G1719" s="73"/>
      <c r="H1719" s="377" t="s">
        <v>3380</v>
      </c>
      <c r="I1719" s="96"/>
      <c r="J1719" s="76"/>
      <c r="K1719" s="76"/>
      <c r="L1719" s="76"/>
      <c r="M1719" s="76"/>
      <c r="N1719" s="76"/>
      <c r="O1719" s="76"/>
      <c r="P1719" s="76"/>
      <c r="Q1719" s="76"/>
      <c r="R1719" s="76"/>
      <c r="S1719" s="76"/>
      <c r="T1719" s="76"/>
      <c r="U1719" s="76"/>
      <c r="V1719" s="76"/>
      <c r="W1719" s="76"/>
      <c r="X1719" s="76"/>
      <c r="Y1719" s="76"/>
      <c r="Z1719" s="76"/>
      <c r="AA1719" s="76"/>
      <c r="AB1719" s="76"/>
      <c r="AC1719" s="76"/>
      <c r="AD1719" s="76"/>
      <c r="AE1719" s="76"/>
      <c r="AF1719" s="76"/>
      <c r="AG1719" s="76"/>
      <c r="AH1719" s="76">
        <v>1</v>
      </c>
      <c r="AI1719" s="76">
        <v>1</v>
      </c>
      <c r="AJ1719" s="73"/>
      <c r="AK1719" s="57"/>
      <c r="AL1719" s="45"/>
      <c r="AM1719" s="45"/>
      <c r="AN1719" s="45"/>
    </row>
    <row r="1720" spans="1:40" hidden="1" outlineLevel="2" x14ac:dyDescent="0.25">
      <c r="A1720" s="45"/>
      <c r="B1720" s="54"/>
      <c r="C1720" s="47">
        <f>INT($C$29)+2</f>
        <v>3</v>
      </c>
      <c r="D1720" s="73"/>
      <c r="E1720" s="70"/>
      <c r="F1720" s="70" t="s">
        <v>3368</v>
      </c>
      <c r="G1720" s="73"/>
      <c r="H1720" s="76" t="s">
        <v>3381</v>
      </c>
      <c r="I1720" s="76"/>
      <c r="J1720" s="76"/>
      <c r="K1720" s="76"/>
      <c r="L1720" s="76"/>
      <c r="M1720" s="76"/>
      <c r="N1720" s="76"/>
      <c r="O1720" s="76"/>
      <c r="P1720" s="76"/>
      <c r="Q1720" s="76"/>
      <c r="R1720" s="76"/>
      <c r="S1720" s="76"/>
      <c r="T1720" s="76"/>
      <c r="U1720" s="97">
        <v>28.52</v>
      </c>
      <c r="V1720" s="255">
        <f t="shared" ref="V1720" si="385">U1720</f>
        <v>28.52</v>
      </c>
      <c r="W1720" s="255">
        <f t="shared" ref="W1720" si="386">U1720</f>
        <v>28.52</v>
      </c>
      <c r="X1720" s="255">
        <f t="shared" ref="X1720" si="387">V1720</f>
        <v>28.52</v>
      </c>
      <c r="Y1720" s="255">
        <f t="shared" ref="Y1720" si="388">V1720</f>
        <v>28.52</v>
      </c>
      <c r="Z1720" s="255">
        <f t="shared" ref="Z1720" si="389">AA1720</f>
        <v>28.52</v>
      </c>
      <c r="AA1720" s="97">
        <f>U1720</f>
        <v>28.52</v>
      </c>
      <c r="AB1720" s="255">
        <f t="shared" ref="AB1720" si="390">AA1720</f>
        <v>28.52</v>
      </c>
      <c r="AC1720" s="255">
        <f t="shared" ref="AC1720" si="391">AB1720</f>
        <v>28.52</v>
      </c>
      <c r="AD1720" s="255">
        <f t="shared" ref="AD1720" si="392">AC1720</f>
        <v>28.52</v>
      </c>
      <c r="AE1720" s="76"/>
      <c r="AF1720" s="97"/>
      <c r="AG1720" s="76"/>
      <c r="AH1720" s="97">
        <v>1</v>
      </c>
      <c r="AI1720" s="97">
        <v>1</v>
      </c>
      <c r="AJ1720" s="73"/>
      <c r="AK1720" s="57"/>
      <c r="AL1720" s="45"/>
      <c r="AM1720" s="45"/>
      <c r="AN1720" s="45"/>
    </row>
    <row r="1721" spans="1:40" outlineLevel="1" x14ac:dyDescent="0.25">
      <c r="A1721" s="45"/>
      <c r="B1721" s="54"/>
      <c r="C1721" s="47">
        <f>INT($C$29)+1</f>
        <v>2</v>
      </c>
      <c r="D1721" s="73"/>
      <c r="E1721" s="70"/>
      <c r="F1721" s="265" t="s">
        <v>1703</v>
      </c>
      <c r="G1721" s="73"/>
      <c r="H1721" s="267" t="s">
        <v>3766</v>
      </c>
      <c r="I1721" s="129"/>
      <c r="J1721" s="129" t="s">
        <v>1045</v>
      </c>
      <c r="K1721" s="76"/>
      <c r="L1721" s="76"/>
      <c r="M1721" s="76"/>
      <c r="N1721" s="76"/>
      <c r="O1721" s="76"/>
      <c r="P1721" s="76"/>
      <c r="Q1721" s="76"/>
      <c r="R1721" s="76"/>
      <c r="S1721" s="76"/>
      <c r="T1721" s="76"/>
      <c r="U1721" s="79">
        <v>24</v>
      </c>
      <c r="V1721" s="79">
        <v>15</v>
      </c>
      <c r="W1721" s="79">
        <v>-15</v>
      </c>
      <c r="X1721" s="76"/>
      <c r="Y1721" s="76"/>
      <c r="Z1721" s="76"/>
      <c r="AA1721" s="76"/>
      <c r="AB1721" s="76"/>
      <c r="AC1721" s="76"/>
      <c r="AD1721" s="76"/>
      <c r="AE1721" s="76"/>
      <c r="AF1721" s="76"/>
      <c r="AG1721" s="76"/>
      <c r="AH1721" s="76"/>
      <c r="AI1721" s="76"/>
      <c r="AJ1721" s="73"/>
      <c r="AK1721" s="57"/>
      <c r="AL1721" s="45"/>
      <c r="AM1721" s="45"/>
      <c r="AN1721" s="45"/>
    </row>
    <row r="1722" spans="1:40" outlineLevel="2" collapsed="1" x14ac:dyDescent="0.25">
      <c r="A1722" s="45"/>
      <c r="B1722" s="54"/>
      <c r="C1722" s="47">
        <f t="shared" ref="C1722:C1741" si="393">INT($C$29)+3</f>
        <v>4</v>
      </c>
      <c r="D1722" s="73"/>
      <c r="E1722" s="70"/>
      <c r="F1722" s="70" t="s">
        <v>3536</v>
      </c>
      <c r="G1722" s="73"/>
      <c r="H1722" s="76" t="s">
        <v>3532</v>
      </c>
      <c r="I1722" s="96" t="s">
        <v>2332</v>
      </c>
      <c r="J1722" s="76"/>
      <c r="K1722" s="76"/>
      <c r="L1722" s="76"/>
      <c r="M1722" s="76"/>
      <c r="N1722" s="76"/>
      <c r="O1722" s="76"/>
      <c r="P1722" s="76"/>
      <c r="Q1722" s="76"/>
      <c r="R1722" s="76"/>
      <c r="S1722" s="76"/>
      <c r="T1722" s="76"/>
      <c r="U1722" s="76"/>
      <c r="V1722" s="76"/>
      <c r="W1722" s="76"/>
      <c r="X1722" s="76"/>
      <c r="Y1722" s="76"/>
      <c r="Z1722" s="76"/>
      <c r="AA1722" s="76"/>
      <c r="AB1722" s="76"/>
      <c r="AC1722" s="76"/>
      <c r="AD1722" s="76"/>
      <c r="AE1722" s="76"/>
      <c r="AF1722" s="76"/>
      <c r="AG1722" s="76"/>
      <c r="AH1722" s="76">
        <v>1</v>
      </c>
      <c r="AI1722" s="76">
        <v>1</v>
      </c>
      <c r="AJ1722" s="73"/>
      <c r="AK1722" s="57"/>
      <c r="AL1722" s="45"/>
      <c r="AM1722" s="45"/>
      <c r="AN1722" s="45"/>
    </row>
    <row r="1723" spans="1:40" hidden="1" outlineLevel="3" x14ac:dyDescent="0.25">
      <c r="A1723" s="45"/>
      <c r="B1723" s="54"/>
      <c r="C1723" s="47">
        <f t="shared" si="393"/>
        <v>4</v>
      </c>
      <c r="D1723" s="73"/>
      <c r="E1723" s="70"/>
      <c r="F1723" s="70" t="s">
        <v>3537</v>
      </c>
      <c r="G1723" s="73"/>
      <c r="H1723" s="76" t="s">
        <v>3520</v>
      </c>
      <c r="I1723" s="96" t="s">
        <v>2333</v>
      </c>
      <c r="J1723" s="76"/>
      <c r="K1723" s="76"/>
      <c r="L1723" s="76"/>
      <c r="M1723" s="76"/>
      <c r="N1723" s="76"/>
      <c r="O1723" s="76"/>
      <c r="P1723" s="76"/>
      <c r="Q1723" s="76"/>
      <c r="R1723" s="76"/>
      <c r="S1723" s="76"/>
      <c r="T1723" s="76"/>
      <c r="U1723" s="76"/>
      <c r="V1723" s="76"/>
      <c r="W1723" s="76"/>
      <c r="X1723" s="76"/>
      <c r="Y1723" s="76"/>
      <c r="Z1723" s="76"/>
      <c r="AA1723" s="76"/>
      <c r="AB1723" s="76"/>
      <c r="AC1723" s="76"/>
      <c r="AD1723" s="76"/>
      <c r="AE1723" s="76"/>
      <c r="AF1723" s="76"/>
      <c r="AG1723" s="76"/>
      <c r="AH1723" s="76">
        <v>1</v>
      </c>
      <c r="AI1723" s="76">
        <v>1</v>
      </c>
      <c r="AJ1723" s="73"/>
      <c r="AK1723" s="57"/>
      <c r="AL1723" s="45"/>
      <c r="AM1723" s="45"/>
      <c r="AN1723" s="45"/>
    </row>
    <row r="1724" spans="1:40" hidden="1" outlineLevel="3" x14ac:dyDescent="0.25">
      <c r="A1724" s="45"/>
      <c r="B1724" s="54"/>
      <c r="C1724" s="47">
        <f t="shared" si="393"/>
        <v>4</v>
      </c>
      <c r="D1724" s="73"/>
      <c r="E1724" s="70"/>
      <c r="F1724" s="70" t="s">
        <v>3538</v>
      </c>
      <c r="G1724" s="73"/>
      <c r="H1724" s="76" t="s">
        <v>3527</v>
      </c>
      <c r="I1724" s="96" t="s">
        <v>2334</v>
      </c>
      <c r="J1724" s="76"/>
      <c r="K1724" s="76"/>
      <c r="L1724" s="76"/>
      <c r="M1724" s="76"/>
      <c r="N1724" s="76"/>
      <c r="O1724" s="76"/>
      <c r="P1724" s="76"/>
      <c r="Q1724" s="76"/>
      <c r="R1724" s="76"/>
      <c r="S1724" s="76"/>
      <c r="T1724" s="76"/>
      <c r="U1724" s="76"/>
      <c r="V1724" s="76"/>
      <c r="W1724" s="76"/>
      <c r="X1724" s="76"/>
      <c r="Y1724" s="76"/>
      <c r="Z1724" s="76"/>
      <c r="AA1724" s="76"/>
      <c r="AB1724" s="76"/>
      <c r="AC1724" s="76"/>
      <c r="AD1724" s="76"/>
      <c r="AE1724" s="76"/>
      <c r="AF1724" s="76"/>
      <c r="AG1724" s="76"/>
      <c r="AH1724" s="76">
        <v>1</v>
      </c>
      <c r="AI1724" s="76">
        <v>1</v>
      </c>
      <c r="AJ1724" s="73"/>
      <c r="AK1724" s="57"/>
      <c r="AL1724" s="45"/>
      <c r="AM1724" s="45"/>
      <c r="AN1724" s="45"/>
    </row>
    <row r="1725" spans="1:40" hidden="1" outlineLevel="3" x14ac:dyDescent="0.25">
      <c r="A1725" s="45"/>
      <c r="B1725" s="54"/>
      <c r="C1725" s="47">
        <f t="shared" si="393"/>
        <v>4</v>
      </c>
      <c r="D1725" s="73"/>
      <c r="E1725" s="70"/>
      <c r="F1725" s="70" t="s">
        <v>3539</v>
      </c>
      <c r="G1725" s="73"/>
      <c r="H1725" s="76" t="s">
        <v>3521</v>
      </c>
      <c r="I1725" s="96" t="s">
        <v>2368</v>
      </c>
      <c r="J1725" s="76"/>
      <c r="K1725" s="76"/>
      <c r="L1725" s="76"/>
      <c r="M1725" s="76"/>
      <c r="N1725" s="76"/>
      <c r="O1725" s="76"/>
      <c r="P1725" s="76"/>
      <c r="Q1725" s="76"/>
      <c r="R1725" s="76"/>
      <c r="S1725" s="76"/>
      <c r="T1725" s="76"/>
      <c r="U1725" s="76"/>
      <c r="V1725" s="76"/>
      <c r="W1725" s="76"/>
      <c r="X1725" s="76"/>
      <c r="Y1725" s="76"/>
      <c r="Z1725" s="76"/>
      <c r="AA1725" s="76"/>
      <c r="AB1725" s="76"/>
      <c r="AC1725" s="76"/>
      <c r="AD1725" s="76"/>
      <c r="AE1725" s="76"/>
      <c r="AF1725" s="76"/>
      <c r="AG1725" s="76"/>
      <c r="AH1725" s="76">
        <v>1</v>
      </c>
      <c r="AI1725" s="76">
        <v>1</v>
      </c>
      <c r="AJ1725" s="73"/>
      <c r="AK1725" s="57"/>
      <c r="AL1725" s="45"/>
      <c r="AM1725" s="45"/>
      <c r="AN1725" s="45"/>
    </row>
    <row r="1726" spans="1:40" hidden="1" outlineLevel="3" x14ac:dyDescent="0.25">
      <c r="A1726" s="45"/>
      <c r="B1726" s="54"/>
      <c r="C1726" s="47">
        <f t="shared" si="393"/>
        <v>4</v>
      </c>
      <c r="D1726" s="73"/>
      <c r="E1726" s="70"/>
      <c r="F1726" s="70" t="s">
        <v>3540</v>
      </c>
      <c r="G1726" s="73"/>
      <c r="H1726" s="76" t="s">
        <v>3528</v>
      </c>
      <c r="I1726" s="96" t="s">
        <v>2335</v>
      </c>
      <c r="J1726" s="76"/>
      <c r="K1726" s="76"/>
      <c r="L1726" s="76"/>
      <c r="M1726" s="76"/>
      <c r="N1726" s="76"/>
      <c r="O1726" s="76"/>
      <c r="P1726" s="76"/>
      <c r="Q1726" s="76"/>
      <c r="R1726" s="76"/>
      <c r="S1726" s="76"/>
      <c r="T1726" s="76"/>
      <c r="U1726" s="76"/>
      <c r="V1726" s="76"/>
      <c r="W1726" s="76"/>
      <c r="X1726" s="76"/>
      <c r="Y1726" s="76"/>
      <c r="Z1726" s="76"/>
      <c r="AA1726" s="76"/>
      <c r="AB1726" s="76"/>
      <c r="AC1726" s="76"/>
      <c r="AD1726" s="76"/>
      <c r="AE1726" s="76"/>
      <c r="AF1726" s="76"/>
      <c r="AG1726" s="76"/>
      <c r="AH1726" s="76">
        <v>1</v>
      </c>
      <c r="AI1726" s="76">
        <v>1</v>
      </c>
      <c r="AJ1726" s="73"/>
      <c r="AK1726" s="57"/>
      <c r="AL1726" s="45"/>
      <c r="AM1726" s="45"/>
      <c r="AN1726" s="45"/>
    </row>
    <row r="1727" spans="1:40" hidden="1" outlineLevel="3" x14ac:dyDescent="0.25">
      <c r="A1727" s="45"/>
      <c r="B1727" s="54"/>
      <c r="C1727" s="47">
        <f t="shared" si="393"/>
        <v>4</v>
      </c>
      <c r="D1727" s="73"/>
      <c r="E1727" s="70"/>
      <c r="F1727" s="70" t="s">
        <v>3541</v>
      </c>
      <c r="G1727" s="73"/>
      <c r="H1727" s="76" t="s">
        <v>3522</v>
      </c>
      <c r="I1727" s="96" t="s">
        <v>2336</v>
      </c>
      <c r="J1727" s="76"/>
      <c r="K1727" s="76"/>
      <c r="L1727" s="76"/>
      <c r="M1727" s="76"/>
      <c r="N1727" s="76"/>
      <c r="O1727" s="76"/>
      <c r="P1727" s="76"/>
      <c r="Q1727" s="76"/>
      <c r="R1727" s="76"/>
      <c r="S1727" s="76"/>
      <c r="T1727" s="76"/>
      <c r="U1727" s="76"/>
      <c r="V1727" s="76"/>
      <c r="W1727" s="76"/>
      <c r="X1727" s="76"/>
      <c r="Y1727" s="76"/>
      <c r="Z1727" s="76"/>
      <c r="AA1727" s="76"/>
      <c r="AB1727" s="76"/>
      <c r="AC1727" s="76"/>
      <c r="AD1727" s="76"/>
      <c r="AE1727" s="76"/>
      <c r="AF1727" s="76"/>
      <c r="AG1727" s="76"/>
      <c r="AH1727" s="76">
        <v>1</v>
      </c>
      <c r="AI1727" s="76">
        <v>1</v>
      </c>
      <c r="AJ1727" s="73"/>
      <c r="AK1727" s="57"/>
      <c r="AL1727" s="45"/>
      <c r="AM1727" s="45"/>
      <c r="AN1727" s="45"/>
    </row>
    <row r="1728" spans="1:40" hidden="1" outlineLevel="3" x14ac:dyDescent="0.25">
      <c r="A1728" s="45"/>
      <c r="B1728" s="54"/>
      <c r="C1728" s="47">
        <f t="shared" si="393"/>
        <v>4</v>
      </c>
      <c r="D1728" s="73"/>
      <c r="E1728" s="70"/>
      <c r="F1728" s="70" t="s">
        <v>3542</v>
      </c>
      <c r="G1728" s="73"/>
      <c r="H1728" s="76" t="s">
        <v>3529</v>
      </c>
      <c r="I1728" s="96" t="s">
        <v>2370</v>
      </c>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25">
      <c r="A1729" s="45"/>
      <c r="B1729" s="54"/>
      <c r="C1729" s="47">
        <f t="shared" si="393"/>
        <v>4</v>
      </c>
      <c r="D1729" s="73"/>
      <c r="E1729" s="70"/>
      <c r="F1729" s="70" t="s">
        <v>3543</v>
      </c>
      <c r="G1729" s="73"/>
      <c r="H1729" s="76" t="s">
        <v>3523</v>
      </c>
      <c r="I1729" s="96" t="s">
        <v>2372</v>
      </c>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393"/>
        <v>4</v>
      </c>
      <c r="D1730" s="73"/>
      <c r="E1730" s="70"/>
      <c r="F1730" s="70" t="str">
        <f>SUBSTITUTE(F1726,",4)",",8)")</f>
        <v>C(U6,0,8)</v>
      </c>
      <c r="G1730" s="73"/>
      <c r="H1730" s="76" t="s">
        <v>3530</v>
      </c>
      <c r="I1730" s="96" t="s">
        <v>2729</v>
      </c>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393"/>
        <v>4</v>
      </c>
      <c r="D1731" s="73"/>
      <c r="E1731" s="70"/>
      <c r="F1731" s="70" t="str">
        <f>SUBSTITUTE(F1727,",5)",",9)")</f>
        <v>C(U6,0,9)</v>
      </c>
      <c r="G1731" s="73"/>
      <c r="H1731" s="76" t="s">
        <v>3524</v>
      </c>
      <c r="I1731" s="96" t="s">
        <v>2730</v>
      </c>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393"/>
        <v>4</v>
      </c>
      <c r="D1732" s="73"/>
      <c r="E1732" s="70"/>
      <c r="F1732" s="70" t="str">
        <f>SUBSTITUTE(F1728,",6)",",10)")</f>
        <v>C(U6,0,10)</v>
      </c>
      <c r="G1732" s="73"/>
      <c r="H1732" s="76" t="s">
        <v>3531</v>
      </c>
      <c r="I1732" s="96" t="s">
        <v>2731</v>
      </c>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393"/>
        <v>4</v>
      </c>
      <c r="D1733" s="73"/>
      <c r="E1733" s="70"/>
      <c r="F1733" s="70" t="str">
        <f>SUBSTITUTE(F1729,",7)",",11)")</f>
        <v>C(U6,0,11)</v>
      </c>
      <c r="G1733" s="73"/>
      <c r="H1733" s="76" t="s">
        <v>3525</v>
      </c>
      <c r="I1733" s="96" t="s">
        <v>2732</v>
      </c>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393"/>
        <v>4</v>
      </c>
      <c r="D1734" s="73"/>
      <c r="E1734" s="70"/>
      <c r="F1734" s="70" t="str">
        <f>SUBSTITUTE(F1729,",7)",",12)")</f>
        <v>C(U6,0,12)</v>
      </c>
      <c r="G1734" s="73"/>
      <c r="H1734" s="76" t="s">
        <v>3345</v>
      </c>
      <c r="I1734" s="96" t="s">
        <v>2731</v>
      </c>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393"/>
        <v>4</v>
      </c>
      <c r="D1735" s="73"/>
      <c r="E1735" s="70"/>
      <c r="F1735" s="70" t="str">
        <f>SUBSTITUTE(F1729,",7)",",13)")</f>
        <v>C(U6,0,13)</v>
      </c>
      <c r="G1735" s="73"/>
      <c r="H1735" s="76" t="s">
        <v>3526</v>
      </c>
      <c r="I1735" s="96" t="s">
        <v>2732</v>
      </c>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393"/>
        <v>4</v>
      </c>
      <c r="D1736" s="73"/>
      <c r="E1736" s="70"/>
      <c r="F1736" s="70" t="s">
        <v>3544</v>
      </c>
      <c r="G1736" s="73"/>
      <c r="H1736" s="76" t="s">
        <v>1920</v>
      </c>
      <c r="I1736" s="96" t="s">
        <v>2337</v>
      </c>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3" x14ac:dyDescent="0.25">
      <c r="A1737" s="45"/>
      <c r="B1737" s="54"/>
      <c r="C1737" s="47">
        <f t="shared" si="393"/>
        <v>4</v>
      </c>
      <c r="D1737" s="73"/>
      <c r="E1737" s="70"/>
      <c r="F1737" s="70" t="s">
        <v>3545</v>
      </c>
      <c r="G1737" s="73"/>
      <c r="H1737" s="76" t="s">
        <v>604</v>
      </c>
      <c r="I1737" s="7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v>1</v>
      </c>
      <c r="AI1737" s="76">
        <v>1</v>
      </c>
      <c r="AJ1737" s="73"/>
      <c r="AK1737" s="57"/>
      <c r="AL1737" s="45"/>
      <c r="AM1737" s="45"/>
      <c r="AN1737" s="45"/>
    </row>
    <row r="1738" spans="1:40" hidden="1" outlineLevel="3" x14ac:dyDescent="0.25">
      <c r="A1738" s="45"/>
      <c r="B1738" s="54"/>
      <c r="C1738" s="47">
        <f t="shared" si="393"/>
        <v>4</v>
      </c>
      <c r="D1738" s="73"/>
      <c r="E1738" s="70"/>
      <c r="F1738" s="70" t="s">
        <v>3546</v>
      </c>
      <c r="G1738" s="73"/>
      <c r="H1738" s="76"/>
      <c r="I1738" s="7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25">
      <c r="A1739" s="45"/>
      <c r="B1739" s="54"/>
      <c r="C1739" s="47">
        <f t="shared" si="393"/>
        <v>4</v>
      </c>
      <c r="D1739" s="73"/>
      <c r="E1739" s="70"/>
      <c r="F1739" s="70" t="s">
        <v>3547</v>
      </c>
      <c r="G1739" s="73"/>
      <c r="H1739" s="76"/>
      <c r="I1739" s="76"/>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393"/>
        <v>4</v>
      </c>
      <c r="D1740" s="73"/>
      <c r="E1740" s="70"/>
      <c r="F1740" s="70" t="s">
        <v>3548</v>
      </c>
      <c r="G1740" s="73"/>
      <c r="H1740" s="76"/>
      <c r="I1740" s="7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393"/>
        <v>4</v>
      </c>
      <c r="D1741" s="73"/>
      <c r="E1741" s="70"/>
      <c r="F1741" s="70" t="s">
        <v>3549</v>
      </c>
      <c r="G1741" s="73"/>
      <c r="H1741" s="76"/>
      <c r="I1741" s="76"/>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c r="D1742" s="73"/>
      <c r="E1742" s="70"/>
      <c r="F1742" s="70" t="s">
        <v>3550</v>
      </c>
      <c r="G1742" s="73"/>
      <c r="H1742" s="76"/>
      <c r="I1742" s="76"/>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c r="D1743" s="73"/>
      <c r="E1743" s="70"/>
      <c r="F1743" s="70" t="s">
        <v>3551</v>
      </c>
      <c r="G1743" s="73"/>
      <c r="H1743" s="76"/>
      <c r="I1743" s="76"/>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c r="D1744" s="73"/>
      <c r="E1744" s="70"/>
      <c r="F1744" s="70" t="s">
        <v>3552</v>
      </c>
      <c r="G1744" s="73"/>
      <c r="H1744" s="76"/>
      <c r="I1744" s="76"/>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ref="C1745:C1756" si="394">INT($C$29)+3</f>
        <v>4</v>
      </c>
      <c r="D1745" s="73"/>
      <c r="E1745" s="70"/>
      <c r="F1745" s="70" t="str">
        <f>SUBSTITUTE(F1741,",4)",",8)")</f>
        <v>C(U6,1,8)</v>
      </c>
      <c r="G1745" s="73"/>
      <c r="H1745" s="76"/>
      <c r="I1745" s="96"/>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394"/>
        <v>4</v>
      </c>
      <c r="D1746" s="73"/>
      <c r="E1746" s="70"/>
      <c r="F1746" s="70" t="str">
        <f>SUBSTITUTE(F1742,",5)",",9)")</f>
        <v>C(U6,1,9)</v>
      </c>
      <c r="G1746" s="73"/>
      <c r="H1746" s="76"/>
      <c r="I1746" s="96"/>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394"/>
        <v>4</v>
      </c>
      <c r="D1747" s="73"/>
      <c r="E1747" s="70"/>
      <c r="F1747" s="70" t="str">
        <f>SUBSTITUTE(F1743,",6)",",10)")</f>
        <v>C(U6,1,10)</v>
      </c>
      <c r="G1747" s="73"/>
      <c r="H1747" s="76"/>
      <c r="I1747" s="96"/>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394"/>
        <v>4</v>
      </c>
      <c r="D1748" s="73"/>
      <c r="E1748" s="70"/>
      <c r="F1748" s="70" t="str">
        <f>SUBSTITUTE(F1744,",7)",",11)")</f>
        <v>C(U6,1,11)</v>
      </c>
      <c r="G1748" s="73"/>
      <c r="H1748" s="76"/>
      <c r="I1748" s="96"/>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394"/>
        <v>4</v>
      </c>
      <c r="D1749" s="73"/>
      <c r="E1749" s="70"/>
      <c r="F1749" s="70" t="str">
        <f>SUBSTITUTE(F1743,",6)",",12)")</f>
        <v>C(U6,1,12)</v>
      </c>
      <c r="G1749" s="73"/>
      <c r="H1749" s="76"/>
      <c r="I1749" s="96"/>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394"/>
        <v>4</v>
      </c>
      <c r="D1750" s="73"/>
      <c r="E1750" s="70"/>
      <c r="F1750" s="70" t="str">
        <f>SUBSTITUTE(F1744,",7)",",13)")</f>
        <v>C(U6,1,13)</v>
      </c>
      <c r="G1750" s="73"/>
      <c r="H1750" s="76"/>
      <c r="I1750" s="96"/>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394"/>
        <v>4</v>
      </c>
      <c r="D1751" s="73"/>
      <c r="E1751" s="70"/>
      <c r="F1751" s="70" t="s">
        <v>3553</v>
      </c>
      <c r="G1751" s="73"/>
      <c r="H1751" s="76"/>
      <c r="I1751" s="76"/>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394"/>
        <v>4</v>
      </c>
      <c r="D1752" s="73"/>
      <c r="E1752" s="70"/>
      <c r="F1752" s="70" t="s">
        <v>3554</v>
      </c>
      <c r="G1752" s="73"/>
      <c r="H1752" s="76" t="s">
        <v>604</v>
      </c>
      <c r="I1752" s="76"/>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394"/>
        <v>4</v>
      </c>
      <c r="D1753" s="73"/>
      <c r="E1753" s="70"/>
      <c r="F1753" s="70" t="s">
        <v>3555</v>
      </c>
      <c r="G1753" s="73"/>
      <c r="H1753" s="76"/>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394"/>
        <v>4</v>
      </c>
      <c r="D1754" s="73"/>
      <c r="E1754" s="70"/>
      <c r="F1754" s="70" t="s">
        <v>3556</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394"/>
        <v>4</v>
      </c>
      <c r="D1755" s="73"/>
      <c r="E1755" s="70"/>
      <c r="F1755" s="70" t="s">
        <v>3557</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394"/>
        <v>4</v>
      </c>
      <c r="D1756" s="73"/>
      <c r="E1756" s="70"/>
      <c r="F1756" s="70" t="s">
        <v>3558</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c r="D1757" s="73"/>
      <c r="E1757" s="70"/>
      <c r="F1757" s="70" t="s">
        <v>3559</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c r="D1758" s="73"/>
      <c r="E1758" s="70"/>
      <c r="F1758" s="70" t="s">
        <v>3560</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3561</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f t="shared" ref="C1760:C1771" si="395">INT($C$29)+3</f>
        <v>4</v>
      </c>
      <c r="D1760" s="73"/>
      <c r="E1760" s="70"/>
      <c r="F1760" s="70" t="str">
        <f>SUBSTITUTE(F1756,",4)",",8)")</f>
        <v>C(U6,2,8)</v>
      </c>
      <c r="G1760" s="73"/>
      <c r="H1760" s="76"/>
      <c r="I1760" s="9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f t="shared" si="395"/>
        <v>4</v>
      </c>
      <c r="D1761" s="73"/>
      <c r="E1761" s="70"/>
      <c r="F1761" s="70" t="str">
        <f>SUBSTITUTE(F1757,",5)",",9)")</f>
        <v>C(U6,2,9)</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si="395"/>
        <v>4</v>
      </c>
      <c r="D1762" s="73"/>
      <c r="E1762" s="70"/>
      <c r="F1762" s="70" t="str">
        <f>SUBSTITUTE(F1758,",6)",",10)")</f>
        <v>C(U6,2,10)</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395"/>
        <v>4</v>
      </c>
      <c r="D1763" s="73"/>
      <c r="E1763" s="70"/>
      <c r="F1763" s="70" t="str">
        <f>SUBSTITUTE(F1759,",7)",",11)")</f>
        <v>C(U6,2,11)</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395"/>
        <v>4</v>
      </c>
      <c r="D1764" s="73"/>
      <c r="E1764" s="70"/>
      <c r="F1764" s="70" t="str">
        <f>SUBSTITUTE(F1758,",6)",",12)")</f>
        <v>C(U6,2,12)</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395"/>
        <v>4</v>
      </c>
      <c r="D1765" s="73"/>
      <c r="E1765" s="70"/>
      <c r="F1765" s="70" t="str">
        <f>SUBSTITUTE(F1759,",7)",",13)")</f>
        <v>C(U6,2,13)</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395"/>
        <v>4</v>
      </c>
      <c r="D1766" s="73"/>
      <c r="E1766" s="70"/>
      <c r="F1766" s="70" t="s">
        <v>3562</v>
      </c>
      <c r="G1766" s="73"/>
      <c r="H1766" s="76"/>
      <c r="I1766" s="7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395"/>
        <v>4</v>
      </c>
      <c r="D1767" s="73"/>
      <c r="E1767" s="70"/>
      <c r="F1767" s="70" t="s">
        <v>3563</v>
      </c>
      <c r="G1767" s="73"/>
      <c r="H1767" s="76" t="s">
        <v>604</v>
      </c>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395"/>
        <v>4</v>
      </c>
      <c r="D1768" s="73"/>
      <c r="E1768" s="70"/>
      <c r="F1768" s="70" t="s">
        <v>3564</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395"/>
        <v>4</v>
      </c>
      <c r="D1769" s="73"/>
      <c r="E1769" s="70"/>
      <c r="F1769" s="70" t="s">
        <v>3565</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395"/>
        <v>4</v>
      </c>
      <c r="D1770" s="73"/>
      <c r="E1770" s="70"/>
      <c r="F1770" s="70" t="s">
        <v>3566</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395"/>
        <v>4</v>
      </c>
      <c r="D1771" s="73"/>
      <c r="E1771" s="70"/>
      <c r="F1771" s="70" t="s">
        <v>3567</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c r="D1772" s="73"/>
      <c r="E1772" s="70"/>
      <c r="F1772" s="70" t="s">
        <v>3568</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c r="D1773" s="73"/>
      <c r="E1773" s="70"/>
      <c r="F1773" s="70" t="s">
        <v>3569</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3570</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f t="shared" ref="C1775:C1786" si="396">INT($C$29)+3</f>
        <v>4</v>
      </c>
      <c r="D1775" s="73"/>
      <c r="E1775" s="70"/>
      <c r="F1775" s="70" t="str">
        <f>SUBSTITUTE(F1771,",4)",",8)")</f>
        <v>C(U6,3,8)</v>
      </c>
      <c r="G1775" s="73"/>
      <c r="H1775" s="76"/>
      <c r="I1775" s="9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f t="shared" si="396"/>
        <v>4</v>
      </c>
      <c r="D1776" s="73"/>
      <c r="E1776" s="70"/>
      <c r="F1776" s="70" t="str">
        <f>SUBSTITUTE(F1772,",5)",",9)")</f>
        <v>C(U6,3,9)</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si="396"/>
        <v>4</v>
      </c>
      <c r="D1777" s="73"/>
      <c r="E1777" s="70"/>
      <c r="F1777" s="70" t="str">
        <f>SUBSTITUTE(F1773,",6)",",10)")</f>
        <v>C(U6,3,10)</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396"/>
        <v>4</v>
      </c>
      <c r="D1778" s="73"/>
      <c r="E1778" s="70"/>
      <c r="F1778" s="70" t="str">
        <f>SUBSTITUTE(F1774,",7)",",11)")</f>
        <v>C(U6,3,11)</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396"/>
        <v>4</v>
      </c>
      <c r="D1779" s="73"/>
      <c r="E1779" s="70"/>
      <c r="F1779" s="70" t="str">
        <f>SUBSTITUTE(F1773,",6)",",12)")</f>
        <v>C(U6,3,12)</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396"/>
        <v>4</v>
      </c>
      <c r="D1780" s="73"/>
      <c r="E1780" s="70"/>
      <c r="F1780" s="70" t="str">
        <f>SUBSTITUTE(F1774,",7)",",13)")</f>
        <v>C(U6,3,13)</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396"/>
        <v>4</v>
      </c>
      <c r="D1781" s="73"/>
      <c r="E1781" s="70"/>
      <c r="F1781" s="70" t="s">
        <v>3571</v>
      </c>
      <c r="G1781" s="73"/>
      <c r="H1781" s="76"/>
      <c r="I1781" s="7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396"/>
        <v>4</v>
      </c>
      <c r="D1782" s="73"/>
      <c r="E1782" s="70"/>
      <c r="F1782" s="70" t="s">
        <v>3572</v>
      </c>
      <c r="G1782" s="73"/>
      <c r="H1782" s="76" t="s">
        <v>604</v>
      </c>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396"/>
        <v>4</v>
      </c>
      <c r="D1783" s="73"/>
      <c r="E1783" s="70"/>
      <c r="F1783" s="70" t="s">
        <v>3573</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396"/>
        <v>4</v>
      </c>
      <c r="D1784" s="73"/>
      <c r="E1784" s="70"/>
      <c r="F1784" s="70" t="s">
        <v>3574</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396"/>
        <v>4</v>
      </c>
      <c r="D1785" s="73"/>
      <c r="E1785" s="70"/>
      <c r="F1785" s="70" t="s">
        <v>3575</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396"/>
        <v>4</v>
      </c>
      <c r="D1786" s="73"/>
      <c r="E1786" s="70"/>
      <c r="F1786" s="70" t="s">
        <v>3576</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c r="D1787" s="73"/>
      <c r="E1787" s="70"/>
      <c r="F1787" s="70" t="s">
        <v>3577</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c r="D1788" s="73"/>
      <c r="E1788" s="70"/>
      <c r="F1788" s="70" t="s">
        <v>3578</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3579</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f t="shared" ref="C1790:C1801" si="397">INT($C$29)+3</f>
        <v>4</v>
      </c>
      <c r="D1790" s="73"/>
      <c r="E1790" s="70"/>
      <c r="F1790" s="70" t="str">
        <f>SUBSTITUTE(F1786,",4)",",8)")</f>
        <v>C(U6,4,8)</v>
      </c>
      <c r="G1790" s="73"/>
      <c r="H1790" s="76"/>
      <c r="I1790" s="9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f t="shared" si="397"/>
        <v>4</v>
      </c>
      <c r="D1791" s="73"/>
      <c r="E1791" s="70"/>
      <c r="F1791" s="70" t="str">
        <f>SUBSTITUTE(F1787,",5)",",9)")</f>
        <v>C(U6,4,9)</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si="397"/>
        <v>4</v>
      </c>
      <c r="D1792" s="73"/>
      <c r="E1792" s="70"/>
      <c r="F1792" s="70" t="str">
        <f>SUBSTITUTE(F1788,",6)",",10)")</f>
        <v>C(U6,4,10)</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397"/>
        <v>4</v>
      </c>
      <c r="D1793" s="73"/>
      <c r="E1793" s="70"/>
      <c r="F1793" s="70" t="str">
        <f>SUBSTITUTE(F1789,",7)",",11)")</f>
        <v>C(U6,4,11)</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397"/>
        <v>4</v>
      </c>
      <c r="D1794" s="73"/>
      <c r="E1794" s="70"/>
      <c r="F1794" s="70" t="str">
        <f>SUBSTITUTE(F1788,",6)",",12)")</f>
        <v>C(U6,4,12)</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397"/>
        <v>4</v>
      </c>
      <c r="D1795" s="73"/>
      <c r="E1795" s="70"/>
      <c r="F1795" s="70" t="str">
        <f>SUBSTITUTE(F1789,",7)",",13)")</f>
        <v>C(U6,4,13)</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397"/>
        <v>4</v>
      </c>
      <c r="D1796" s="73"/>
      <c r="E1796" s="70"/>
      <c r="F1796" s="70" t="s">
        <v>3580</v>
      </c>
      <c r="G1796" s="73"/>
      <c r="H1796" s="76"/>
      <c r="I1796" s="7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397"/>
        <v>4</v>
      </c>
      <c r="D1797" s="73"/>
      <c r="E1797" s="70"/>
      <c r="F1797" s="70" t="s">
        <v>3581</v>
      </c>
      <c r="G1797" s="73"/>
      <c r="H1797" s="76" t="s">
        <v>604</v>
      </c>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397"/>
        <v>4</v>
      </c>
      <c r="D1798" s="73"/>
      <c r="E1798" s="70"/>
      <c r="F1798" s="70" t="s">
        <v>3582</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397"/>
        <v>4</v>
      </c>
      <c r="D1799" s="73"/>
      <c r="E1799" s="70"/>
      <c r="F1799" s="70" t="s">
        <v>3583</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397"/>
        <v>4</v>
      </c>
      <c r="D1800" s="73"/>
      <c r="E1800" s="70"/>
      <c r="F1800" s="70" t="s">
        <v>3584</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397"/>
        <v>4</v>
      </c>
      <c r="D1801" s="73"/>
      <c r="E1801" s="70"/>
      <c r="F1801" s="70" t="s">
        <v>3585</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c r="D1802" s="73"/>
      <c r="E1802" s="70"/>
      <c r="F1802" s="70" t="s">
        <v>3586</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c r="D1803" s="73"/>
      <c r="E1803" s="70"/>
      <c r="F1803" s="70" t="s">
        <v>3587</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3588</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f t="shared" ref="C1805:C1816" si="398">INT($C$29)+3</f>
        <v>4</v>
      </c>
      <c r="D1805" s="73"/>
      <c r="E1805" s="70"/>
      <c r="F1805" s="70" t="str">
        <f>SUBSTITUTE(F1801,",4)",",8)")</f>
        <v>C(U6,5,8)</v>
      </c>
      <c r="G1805" s="73"/>
      <c r="H1805" s="76"/>
      <c r="I1805" s="9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f t="shared" si="398"/>
        <v>4</v>
      </c>
      <c r="D1806" s="73"/>
      <c r="E1806" s="70"/>
      <c r="F1806" s="70" t="str">
        <f>SUBSTITUTE(F1802,",5)",",9)")</f>
        <v>C(U6,5,9)</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si="398"/>
        <v>4</v>
      </c>
      <c r="D1807" s="73"/>
      <c r="E1807" s="70"/>
      <c r="F1807" s="70" t="str">
        <f>SUBSTITUTE(F1803,",6)",",10)")</f>
        <v>C(U6,5,10)</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398"/>
        <v>4</v>
      </c>
      <c r="D1808" s="73"/>
      <c r="E1808" s="70"/>
      <c r="F1808" s="70" t="str">
        <f>SUBSTITUTE(F1804,",7)",",11)")</f>
        <v>C(U6,5,11)</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398"/>
        <v>4</v>
      </c>
      <c r="D1809" s="73"/>
      <c r="E1809" s="70"/>
      <c r="F1809" s="70" t="str">
        <f>SUBSTITUTE(F1803,",6)",",12)")</f>
        <v>C(U6,5,12)</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398"/>
        <v>4</v>
      </c>
      <c r="D1810" s="73"/>
      <c r="E1810" s="70"/>
      <c r="F1810" s="70" t="str">
        <f>SUBSTITUTE(F1804,",7)",",13)")</f>
        <v>C(U6,5,13)</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398"/>
        <v>4</v>
      </c>
      <c r="D1811" s="73"/>
      <c r="E1811" s="70"/>
      <c r="F1811" s="70" t="s">
        <v>3589</v>
      </c>
      <c r="G1811" s="73"/>
      <c r="H1811" s="76"/>
      <c r="I1811" s="7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398"/>
        <v>4</v>
      </c>
      <c r="D1812" s="73"/>
      <c r="E1812" s="70"/>
      <c r="F1812" s="70" t="s">
        <v>3590</v>
      </c>
      <c r="G1812" s="73"/>
      <c r="H1812" s="76" t="s">
        <v>604</v>
      </c>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398"/>
        <v>4</v>
      </c>
      <c r="D1813" s="73"/>
      <c r="E1813" s="70"/>
      <c r="F1813" s="70" t="s">
        <v>3591</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398"/>
        <v>4</v>
      </c>
      <c r="D1814" s="73"/>
      <c r="E1814" s="70"/>
      <c r="F1814" s="70" t="s">
        <v>3592</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398"/>
        <v>4</v>
      </c>
      <c r="D1815" s="73"/>
      <c r="E1815" s="70"/>
      <c r="F1815" s="70" t="s">
        <v>3593</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398"/>
        <v>4</v>
      </c>
      <c r="D1816" s="73"/>
      <c r="E1816" s="70"/>
      <c r="F1816" s="70" t="s">
        <v>3594</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c r="D1817" s="73"/>
      <c r="E1817" s="70"/>
      <c r="F1817" s="70" t="s">
        <v>3595</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c r="D1818" s="73"/>
      <c r="E1818" s="70"/>
      <c r="F1818" s="70" t="s">
        <v>3596</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3597</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f t="shared" ref="C1820:C1831" si="399">INT($C$29)+3</f>
        <v>4</v>
      </c>
      <c r="D1820" s="73"/>
      <c r="E1820" s="70"/>
      <c r="F1820" s="70" t="str">
        <f>SUBSTITUTE(F1816,",4)",",8)")</f>
        <v>C(U6,6,8)</v>
      </c>
      <c r="G1820" s="73"/>
      <c r="H1820" s="76"/>
      <c r="I1820" s="9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f t="shared" si="399"/>
        <v>4</v>
      </c>
      <c r="D1821" s="73"/>
      <c r="E1821" s="70"/>
      <c r="F1821" s="70" t="str">
        <f>SUBSTITUTE(F1817,",5)",",9)")</f>
        <v>C(U6,6,9)</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si="399"/>
        <v>4</v>
      </c>
      <c r="D1822" s="73"/>
      <c r="E1822" s="70"/>
      <c r="F1822" s="70" t="str">
        <f>SUBSTITUTE(F1818,",6)",",10)")</f>
        <v>C(U6,6,10)</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399"/>
        <v>4</v>
      </c>
      <c r="D1823" s="73"/>
      <c r="E1823" s="70"/>
      <c r="F1823" s="70" t="str">
        <f>SUBSTITUTE(F1819,",7)",",11)")</f>
        <v>C(U6,6,11)</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399"/>
        <v>4</v>
      </c>
      <c r="D1824" s="73"/>
      <c r="E1824" s="70"/>
      <c r="F1824" s="70" t="str">
        <f>SUBSTITUTE(F1818,",6)",",12)")</f>
        <v>C(U6,6,12)</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399"/>
        <v>4</v>
      </c>
      <c r="D1825" s="73"/>
      <c r="E1825" s="70"/>
      <c r="F1825" s="70" t="str">
        <f>SUBSTITUTE(F1819,",7)",",13)")</f>
        <v>C(U6,6,13)</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399"/>
        <v>4</v>
      </c>
      <c r="D1826" s="73"/>
      <c r="E1826" s="70"/>
      <c r="F1826" s="70" t="s">
        <v>3598</v>
      </c>
      <c r="G1826" s="73"/>
      <c r="H1826" s="76"/>
      <c r="I1826" s="7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399"/>
        <v>4</v>
      </c>
      <c r="D1827" s="73"/>
      <c r="E1827" s="70"/>
      <c r="F1827" s="70" t="s">
        <v>3599</v>
      </c>
      <c r="G1827" s="73"/>
      <c r="H1827" s="76" t="s">
        <v>604</v>
      </c>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399"/>
        <v>4</v>
      </c>
      <c r="D1828" s="73"/>
      <c r="E1828" s="70"/>
      <c r="F1828" s="70" t="s">
        <v>3600</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399"/>
        <v>4</v>
      </c>
      <c r="D1829" s="73"/>
      <c r="E1829" s="70"/>
      <c r="F1829" s="70" t="s">
        <v>3601</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399"/>
        <v>4</v>
      </c>
      <c r="D1830" s="73"/>
      <c r="E1830" s="70"/>
      <c r="F1830" s="70" t="s">
        <v>3602</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399"/>
        <v>4</v>
      </c>
      <c r="D1831" s="73"/>
      <c r="E1831" s="70"/>
      <c r="F1831" s="70" t="s">
        <v>3603</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c r="D1832" s="73"/>
      <c r="E1832" s="70"/>
      <c r="F1832" s="70" t="s">
        <v>3604</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c r="D1833" s="73"/>
      <c r="E1833" s="70"/>
      <c r="F1833" s="70" t="s">
        <v>3605</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3606</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f>INT($C$29)+3</f>
        <v>4</v>
      </c>
      <c r="D1835" s="73"/>
      <c r="E1835" s="70"/>
      <c r="F1835" s="70" t="str">
        <f>SUBSTITUTE(F1831,",4)",",8)")</f>
        <v>C(U6,7,8)</v>
      </c>
      <c r="G1835" s="73"/>
      <c r="H1835" s="76"/>
      <c r="I1835" s="9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f>INT($C$29)+3</f>
        <v>4</v>
      </c>
      <c r="D1836" s="73"/>
      <c r="E1836" s="70"/>
      <c r="F1836" s="70" t="str">
        <f>SUBSTITUTE(F1832,",5)",",9)")</f>
        <v>C(U6,7,9)</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INT($C$29)+3</f>
        <v>4</v>
      </c>
      <c r="D1837" s="73"/>
      <c r="E1837" s="70"/>
      <c r="F1837" s="70" t="str">
        <f>SUBSTITUTE(F1833,",6)",",10)")</f>
        <v>C(U6,7,10)</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INT($C$29)+3</f>
        <v>4</v>
      </c>
      <c r="D1838" s="73"/>
      <c r="E1838" s="70"/>
      <c r="F1838" s="70" t="str">
        <f>SUBSTITUTE(F1834,",7)",",11)")</f>
        <v>C(U6,7,11)</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ref="C1839:C1840" si="400">INT($C$29)+3</f>
        <v>4</v>
      </c>
      <c r="D1839" s="73"/>
      <c r="E1839" s="70"/>
      <c r="F1839" s="70" t="str">
        <f>SUBSTITUTE(F1833,",6)",",12)")</f>
        <v>C(U6,7,12)</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00"/>
        <v>4</v>
      </c>
      <c r="D1840" s="73"/>
      <c r="E1840" s="70"/>
      <c r="F1840" s="70" t="str">
        <f>SUBSTITUTE(F1834,",7)",",13)")</f>
        <v>C(U6,7,13)</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INT($C$29)+3</f>
        <v>4</v>
      </c>
      <c r="D1841" s="73"/>
      <c r="E1841" s="402"/>
      <c r="F1841" s="402" t="s">
        <v>3607</v>
      </c>
      <c r="G1841" s="73"/>
      <c r="H1841" s="109"/>
      <c r="I1841" s="109"/>
      <c r="J1841" s="109"/>
      <c r="K1841" s="109"/>
      <c r="L1841" s="109"/>
      <c r="M1841" s="109"/>
      <c r="N1841" s="109"/>
      <c r="O1841" s="109"/>
      <c r="P1841" s="109"/>
      <c r="Q1841" s="109"/>
      <c r="R1841" s="109"/>
      <c r="S1841" s="109"/>
      <c r="T1841" s="109"/>
      <c r="U1841" s="109"/>
      <c r="V1841" s="109"/>
      <c r="W1841" s="109"/>
      <c r="X1841" s="109"/>
      <c r="Y1841" s="109"/>
      <c r="Z1841" s="109"/>
      <c r="AA1841" s="109"/>
      <c r="AB1841" s="109"/>
      <c r="AC1841" s="109"/>
      <c r="AD1841" s="109"/>
      <c r="AE1841" s="109"/>
      <c r="AF1841" s="109"/>
      <c r="AG1841" s="109"/>
      <c r="AH1841" s="109">
        <v>1</v>
      </c>
      <c r="AI1841" s="109">
        <v>1</v>
      </c>
      <c r="AJ1841" s="73"/>
      <c r="AK1841" s="57"/>
      <c r="AL1841" s="45"/>
      <c r="AM1841" s="45"/>
      <c r="AN1841" s="45"/>
    </row>
    <row r="1842" spans="1:40" outlineLevel="2" x14ac:dyDescent="0.25">
      <c r="A1842" s="45"/>
      <c r="B1842" s="54"/>
      <c r="C1842" s="47">
        <f>INT($C$29)+2</f>
        <v>3</v>
      </c>
      <c r="D1842" s="73"/>
      <c r="E1842" s="406"/>
      <c r="F1842" s="406" t="s">
        <v>3608</v>
      </c>
      <c r="G1842" s="407"/>
      <c r="H1842" s="181" t="s">
        <v>3773</v>
      </c>
      <c r="I1842" s="181"/>
      <c r="J1842" s="181"/>
      <c r="K1842" s="181"/>
      <c r="L1842" s="181"/>
      <c r="M1842" s="181"/>
      <c r="N1842" s="181"/>
      <c r="O1842" s="181"/>
      <c r="P1842" s="181"/>
      <c r="Q1842" s="181"/>
      <c r="R1842" s="181"/>
      <c r="S1842" s="181"/>
      <c r="T1842" s="181"/>
      <c r="U1842" s="408">
        <v>0.52490000000000003</v>
      </c>
      <c r="V1842" s="409">
        <f>U1842</f>
        <v>0.52490000000000003</v>
      </c>
      <c r="W1842" s="409">
        <f t="shared" ref="W1842:W1844" si="401">U1842</f>
        <v>0.52490000000000003</v>
      </c>
      <c r="X1842" s="409">
        <f t="shared" ref="X1842:X1844" si="402">V1842</f>
        <v>0.52490000000000003</v>
      </c>
      <c r="Y1842" s="409">
        <f>V1842</f>
        <v>0.52490000000000003</v>
      </c>
      <c r="Z1842" s="409">
        <f>AA1842</f>
        <v>0</v>
      </c>
      <c r="AA1842" s="408"/>
      <c r="AB1842" s="409">
        <f t="shared" ref="AB1842:AB1844" si="403">AA1842</f>
        <v>0</v>
      </c>
      <c r="AC1842" s="409">
        <f t="shared" ref="AC1842:AC1844" si="404">AB1842</f>
        <v>0</v>
      </c>
      <c r="AD1842" s="409">
        <f t="shared" ref="AD1842:AD1844" si="405">AC1842</f>
        <v>0</v>
      </c>
      <c r="AE1842" s="181"/>
      <c r="AF1842" s="408" t="s">
        <v>3535</v>
      </c>
      <c r="AG1842" s="181"/>
      <c r="AH1842" s="408">
        <v>1</v>
      </c>
      <c r="AI1842" s="408">
        <v>1</v>
      </c>
      <c r="AJ1842" s="73"/>
      <c r="AK1842" s="57"/>
      <c r="AL1842" s="45"/>
      <c r="AM1842" s="45"/>
      <c r="AN1842" s="45"/>
    </row>
    <row r="1843" spans="1:40" outlineLevel="2" x14ac:dyDescent="0.25">
      <c r="A1843" s="45"/>
      <c r="B1843" s="54"/>
      <c r="C1843" s="47">
        <f>INT($C$29)+2</f>
        <v>3</v>
      </c>
      <c r="D1843" s="73"/>
      <c r="E1843" s="70"/>
      <c r="F1843" s="70" t="s">
        <v>3609</v>
      </c>
      <c r="G1843" s="234"/>
      <c r="H1843" s="76" t="s">
        <v>3533</v>
      </c>
      <c r="I1843" s="76"/>
      <c r="J1843" s="76"/>
      <c r="K1843" s="76"/>
      <c r="L1843" s="76"/>
      <c r="M1843" s="76"/>
      <c r="N1843" s="76"/>
      <c r="O1843" s="76"/>
      <c r="P1843" s="76"/>
      <c r="Q1843" s="76"/>
      <c r="R1843" s="76"/>
      <c r="S1843" s="76"/>
      <c r="T1843" s="76"/>
      <c r="U1843" s="97">
        <v>-4.2820000000000002E-3</v>
      </c>
      <c r="V1843" s="255">
        <f>U1843</f>
        <v>-4.2820000000000002E-3</v>
      </c>
      <c r="W1843" s="255">
        <f t="shared" si="401"/>
        <v>-4.2820000000000002E-3</v>
      </c>
      <c r="X1843" s="255">
        <f t="shared" si="402"/>
        <v>-4.2820000000000002E-3</v>
      </c>
      <c r="Y1843" s="255">
        <f>V1843</f>
        <v>-4.2820000000000002E-3</v>
      </c>
      <c r="Z1843" s="404">
        <f>AA1843</f>
        <v>0</v>
      </c>
      <c r="AA1843" s="97"/>
      <c r="AB1843" s="404">
        <f t="shared" si="403"/>
        <v>0</v>
      </c>
      <c r="AC1843" s="404">
        <f t="shared" si="404"/>
        <v>0</v>
      </c>
      <c r="AD1843" s="404">
        <f t="shared" si="405"/>
        <v>0</v>
      </c>
      <c r="AE1843" s="76"/>
      <c r="AF1843" s="76"/>
      <c r="AG1843" s="76"/>
      <c r="AH1843" s="97">
        <v>1</v>
      </c>
      <c r="AI1843" s="97">
        <v>1</v>
      </c>
      <c r="AJ1843" s="73"/>
      <c r="AK1843" s="57"/>
      <c r="AL1843" s="45"/>
      <c r="AM1843" s="45"/>
      <c r="AN1843" s="45"/>
    </row>
    <row r="1844" spans="1:40" outlineLevel="2" collapsed="1" x14ac:dyDescent="0.25">
      <c r="A1844" s="45"/>
      <c r="B1844" s="54"/>
      <c r="C1844" s="47">
        <f>INT($C$29)+2</f>
        <v>3</v>
      </c>
      <c r="D1844" s="73"/>
      <c r="E1844" s="70"/>
      <c r="F1844" s="70" t="s">
        <v>3610</v>
      </c>
      <c r="G1844" s="234"/>
      <c r="H1844" s="76" t="s">
        <v>3527</v>
      </c>
      <c r="I1844" s="76"/>
      <c r="J1844" s="76"/>
      <c r="K1844" s="76"/>
      <c r="L1844" s="76"/>
      <c r="M1844" s="76"/>
      <c r="N1844" s="76"/>
      <c r="O1844" s="76"/>
      <c r="P1844" s="76"/>
      <c r="Q1844" s="76"/>
      <c r="R1844" s="76"/>
      <c r="S1844" s="76"/>
      <c r="T1844" s="76"/>
      <c r="U1844" s="97">
        <v>5.5010000000000003E-2</v>
      </c>
      <c r="V1844" s="255">
        <f>U1844</f>
        <v>5.5010000000000003E-2</v>
      </c>
      <c r="W1844" s="255">
        <f t="shared" si="401"/>
        <v>5.5010000000000003E-2</v>
      </c>
      <c r="X1844" s="255">
        <f t="shared" si="402"/>
        <v>5.5010000000000003E-2</v>
      </c>
      <c r="Y1844" s="255">
        <f>V1844</f>
        <v>5.5010000000000003E-2</v>
      </c>
      <c r="Z1844" s="404">
        <f>AA1844</f>
        <v>0</v>
      </c>
      <c r="AA1844" s="97"/>
      <c r="AB1844" s="404">
        <f t="shared" si="403"/>
        <v>0</v>
      </c>
      <c r="AC1844" s="404">
        <f t="shared" si="404"/>
        <v>0</v>
      </c>
      <c r="AD1844" s="404">
        <f t="shared" si="405"/>
        <v>0</v>
      </c>
      <c r="AE1844" s="76"/>
      <c r="AF1844" s="76"/>
      <c r="AG1844" s="76"/>
      <c r="AH1844" s="97">
        <v>1</v>
      </c>
      <c r="AI1844" s="97">
        <v>1</v>
      </c>
      <c r="AJ1844" s="73"/>
      <c r="AK1844" s="57"/>
      <c r="AL1844" s="45"/>
      <c r="AM1844" s="45"/>
      <c r="AN1844" s="45"/>
    </row>
    <row r="1845" spans="1:40" hidden="1" outlineLevel="3" x14ac:dyDescent="0.25">
      <c r="A1845" s="45"/>
      <c r="B1845" s="54"/>
      <c r="C1845" s="47">
        <f>INT($C$29)+3</f>
        <v>4</v>
      </c>
      <c r="D1845" s="73"/>
      <c r="E1845" s="70"/>
      <c r="F1845" s="70" t="s">
        <v>3611</v>
      </c>
      <c r="G1845" s="234"/>
      <c r="H1845" s="76" t="s">
        <v>3521</v>
      </c>
      <c r="I1845" s="9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outlineLevel="2" x14ac:dyDescent="0.25">
      <c r="A1846" s="45"/>
      <c r="B1846" s="54"/>
      <c r="C1846" s="47">
        <f>INT($C$29)+2</f>
        <v>3</v>
      </c>
      <c r="D1846" s="73"/>
      <c r="E1846" s="70"/>
      <c r="F1846" s="70" t="s">
        <v>3612</v>
      </c>
      <c r="G1846" s="234"/>
      <c r="H1846" s="76" t="s">
        <v>3528</v>
      </c>
      <c r="I1846" s="76"/>
      <c r="J1846" s="76"/>
      <c r="K1846" s="76"/>
      <c r="L1846" s="76"/>
      <c r="M1846" s="76"/>
      <c r="N1846" s="76"/>
      <c r="O1846" s="76"/>
      <c r="P1846" s="76"/>
      <c r="Q1846" s="76"/>
      <c r="R1846" s="76"/>
      <c r="S1846" s="76"/>
      <c r="T1846" s="76"/>
      <c r="U1846" s="97">
        <v>0.14710000000000001</v>
      </c>
      <c r="V1846" s="255">
        <f>U1846</f>
        <v>0.14710000000000001</v>
      </c>
      <c r="W1846" s="255">
        <f>U1846</f>
        <v>0.14710000000000001</v>
      </c>
      <c r="X1846" s="255">
        <f>V1846</f>
        <v>0.14710000000000001</v>
      </c>
      <c r="Y1846" s="255">
        <f>V1846</f>
        <v>0.14710000000000001</v>
      </c>
      <c r="Z1846" s="404">
        <f>AA1846</f>
        <v>0</v>
      </c>
      <c r="AA1846" s="97">
        <v>0</v>
      </c>
      <c r="AB1846" s="404">
        <f t="shared" ref="AB1846:AB1847" si="406">AA1846</f>
        <v>0</v>
      </c>
      <c r="AC1846" s="404">
        <f t="shared" ref="AC1846:AC1847" si="407">AB1846</f>
        <v>0</v>
      </c>
      <c r="AD1846" s="404">
        <f t="shared" ref="AD1846:AD1847" si="408">AC1846</f>
        <v>0</v>
      </c>
      <c r="AE1846" s="76"/>
      <c r="AF1846" s="76"/>
      <c r="AG1846" s="76"/>
      <c r="AH1846" s="97">
        <v>1</v>
      </c>
      <c r="AI1846" s="97">
        <v>1</v>
      </c>
      <c r="AJ1846" s="73"/>
      <c r="AK1846" s="57"/>
      <c r="AL1846" s="45"/>
      <c r="AM1846" s="45"/>
      <c r="AN1846" s="45"/>
    </row>
    <row r="1847" spans="1:40" outlineLevel="2" collapsed="1" x14ac:dyDescent="0.25">
      <c r="A1847" s="45"/>
      <c r="B1847" s="54"/>
      <c r="C1847" s="47">
        <f>INT($C$29)+2</f>
        <v>3</v>
      </c>
      <c r="D1847" s="73"/>
      <c r="E1847" s="70"/>
      <c r="F1847" s="70" t="s">
        <v>3613</v>
      </c>
      <c r="G1847" s="234"/>
      <c r="H1847" s="76" t="s">
        <v>3522</v>
      </c>
      <c r="I1847" s="76"/>
      <c r="J1847" s="76"/>
      <c r="K1847" s="76"/>
      <c r="L1847" s="76"/>
      <c r="M1847" s="76"/>
      <c r="N1847" s="76"/>
      <c r="O1847" s="76"/>
      <c r="P1847" s="76"/>
      <c r="Q1847" s="76"/>
      <c r="R1847" s="76"/>
      <c r="S1847" s="76"/>
      <c r="T1847" s="76"/>
      <c r="U1847" s="97">
        <v>-3.7910000000000001E-3</v>
      </c>
      <c r="V1847" s="255">
        <f>U1847</f>
        <v>-3.7910000000000001E-3</v>
      </c>
      <c r="W1847" s="255">
        <f>U1847</f>
        <v>-3.7910000000000001E-3</v>
      </c>
      <c r="X1847" s="255">
        <f>V1847</f>
        <v>-3.7910000000000001E-3</v>
      </c>
      <c r="Y1847" s="255">
        <f>V1847</f>
        <v>-3.7910000000000001E-3</v>
      </c>
      <c r="Z1847" s="404">
        <f>AA1847</f>
        <v>0</v>
      </c>
      <c r="AA1847" s="97">
        <v>0</v>
      </c>
      <c r="AB1847" s="404">
        <f t="shared" si="406"/>
        <v>0</v>
      </c>
      <c r="AC1847" s="404">
        <f t="shared" si="407"/>
        <v>0</v>
      </c>
      <c r="AD1847" s="404">
        <f t="shared" si="408"/>
        <v>0</v>
      </c>
      <c r="AE1847" s="76"/>
      <c r="AF1847" s="76"/>
      <c r="AG1847" s="76"/>
      <c r="AH1847" s="97">
        <v>1</v>
      </c>
      <c r="AI1847" s="97">
        <v>1</v>
      </c>
      <c r="AJ1847" s="73"/>
      <c r="AK1847" s="57"/>
      <c r="AL1847" s="45"/>
      <c r="AM1847" s="45"/>
      <c r="AN1847" s="45"/>
    </row>
    <row r="1848" spans="1:40" hidden="1" outlineLevel="3" x14ac:dyDescent="0.25">
      <c r="A1848" s="45"/>
      <c r="B1848" s="54"/>
      <c r="C1848" s="47">
        <f t="shared" ref="C1848:C1855" si="409">INT($C$29)+3</f>
        <v>4</v>
      </c>
      <c r="D1848" s="73"/>
      <c r="E1848" s="70"/>
      <c r="F1848" s="70" t="s">
        <v>3614</v>
      </c>
      <c r="G1848" s="234"/>
      <c r="H1848" s="76" t="s">
        <v>3529</v>
      </c>
      <c r="I1848" s="9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f t="shared" si="409"/>
        <v>4</v>
      </c>
      <c r="D1849" s="73"/>
      <c r="E1849" s="70"/>
      <c r="F1849" s="70" t="s">
        <v>3615</v>
      </c>
      <c r="G1849" s="234"/>
      <c r="H1849" s="76" t="s">
        <v>3523</v>
      </c>
      <c r="I1849" s="9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f t="shared" si="409"/>
        <v>4</v>
      </c>
      <c r="D1850" s="73"/>
      <c r="E1850" s="70"/>
      <c r="F1850" s="70" t="str">
        <f>SUBSTITUTE(F1846,",4)",",8)")</f>
        <v>C(U6,8,8)</v>
      </c>
      <c r="G1850" s="73"/>
      <c r="H1850" s="76" t="s">
        <v>3530</v>
      </c>
      <c r="I1850" s="9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f t="shared" si="409"/>
        <v>4</v>
      </c>
      <c r="D1851" s="73"/>
      <c r="E1851" s="70"/>
      <c r="F1851" s="70" t="str">
        <f>SUBSTITUTE(F1847,",5)",",9)")</f>
        <v>C(U6,8,9)</v>
      </c>
      <c r="G1851" s="73"/>
      <c r="H1851" s="76" t="s">
        <v>3524</v>
      </c>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 t="shared" si="409"/>
        <v>4</v>
      </c>
      <c r="D1852" s="73"/>
      <c r="E1852" s="70"/>
      <c r="F1852" s="70" t="str">
        <f>SUBSTITUTE(F1848,",6)",",10)")</f>
        <v>C(U6,8,10)</v>
      </c>
      <c r="G1852" s="73"/>
      <c r="H1852" s="76" t="s">
        <v>3531</v>
      </c>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 t="shared" si="409"/>
        <v>4</v>
      </c>
      <c r="D1853" s="73"/>
      <c r="E1853" s="70"/>
      <c r="F1853" s="70" t="str">
        <f>SUBSTITUTE(F1849,",7)",",11)")</f>
        <v>C(U6,8,11)</v>
      </c>
      <c r="G1853" s="73"/>
      <c r="H1853" s="76" t="s">
        <v>3525</v>
      </c>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 t="shared" si="409"/>
        <v>4</v>
      </c>
      <c r="D1854" s="73"/>
      <c r="E1854" s="70"/>
      <c r="F1854" s="70" t="str">
        <f>SUBSTITUTE(F1848,",6)",",12)")</f>
        <v>C(U6,8,12)</v>
      </c>
      <c r="G1854" s="73"/>
      <c r="H1854" s="76" t="s">
        <v>1968</v>
      </c>
      <c r="I1854" s="76"/>
      <c r="J1854" s="76"/>
      <c r="K1854" s="76"/>
      <c r="L1854" s="76"/>
      <c r="M1854" s="76"/>
      <c r="N1854" s="76"/>
      <c r="O1854" s="76"/>
      <c r="P1854" s="76"/>
      <c r="Q1854" s="76"/>
      <c r="R1854" s="76"/>
      <c r="S1854" s="76"/>
      <c r="T1854" s="76"/>
      <c r="U1854" s="97">
        <v>-7.9950000000000004E-3</v>
      </c>
      <c r="V1854" s="255">
        <f>U1854</f>
        <v>-7.9950000000000004E-3</v>
      </c>
      <c r="W1854" s="255">
        <f t="shared" ref="W1854" si="410">U1854</f>
        <v>-7.9950000000000004E-3</v>
      </c>
      <c r="X1854" s="255">
        <f t="shared" ref="X1854" si="411">V1854</f>
        <v>-7.9950000000000004E-3</v>
      </c>
      <c r="Y1854" s="255">
        <f>V1854</f>
        <v>-7.9950000000000004E-3</v>
      </c>
      <c r="Z1854" s="404">
        <f>AA1854</f>
        <v>-1.761E-3</v>
      </c>
      <c r="AA1854" s="97">
        <v>-1.761E-3</v>
      </c>
      <c r="AB1854" s="404">
        <f t="shared" ref="AB1854" si="412">AA1854</f>
        <v>-1.761E-3</v>
      </c>
      <c r="AC1854" s="404">
        <f t="shared" ref="AC1854" si="413">AB1854</f>
        <v>-1.761E-3</v>
      </c>
      <c r="AD1854" s="404">
        <f t="shared" ref="AD1854" si="414">AC1854</f>
        <v>-1.761E-3</v>
      </c>
      <c r="AE1854" s="76"/>
      <c r="AF1854" s="76"/>
      <c r="AG1854" s="76"/>
      <c r="AH1854" s="97">
        <v>1</v>
      </c>
      <c r="AI1854" s="97">
        <v>1</v>
      </c>
      <c r="AJ1854" s="73"/>
      <c r="AK1854" s="57"/>
      <c r="AL1854" s="45"/>
      <c r="AM1854" s="45"/>
      <c r="AN1854" s="45"/>
    </row>
    <row r="1855" spans="1:40" hidden="1" outlineLevel="3" x14ac:dyDescent="0.25">
      <c r="A1855" s="45"/>
      <c r="B1855" s="54"/>
      <c r="C1855" s="47">
        <f t="shared" si="409"/>
        <v>4</v>
      </c>
      <c r="D1855" s="73"/>
      <c r="E1855" s="70"/>
      <c r="F1855" s="70" t="str">
        <f>SUBSTITUTE(F1849,",7)",",13)")</f>
        <v>C(U6,8,13)</v>
      </c>
      <c r="G1855" s="73"/>
      <c r="H1855" s="76" t="s">
        <v>2470</v>
      </c>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outlineLevel="2" collapsed="1" x14ac:dyDescent="0.25">
      <c r="A1856" s="45"/>
      <c r="B1856" s="54"/>
      <c r="C1856" s="47">
        <f>INT($C$29)+2</f>
        <v>3</v>
      </c>
      <c r="D1856" s="73"/>
      <c r="E1856" s="410"/>
      <c r="F1856" s="410" t="s">
        <v>3616</v>
      </c>
      <c r="G1856" s="411"/>
      <c r="H1856" s="184" t="s">
        <v>3534</v>
      </c>
      <c r="I1856" s="184"/>
      <c r="J1856" s="184"/>
      <c r="K1856" s="184"/>
      <c r="L1856" s="184"/>
      <c r="M1856" s="184"/>
      <c r="N1856" s="184"/>
      <c r="O1856" s="184"/>
      <c r="P1856" s="184"/>
      <c r="Q1856" s="184"/>
      <c r="R1856" s="184"/>
      <c r="S1856" s="184"/>
      <c r="T1856" s="184"/>
      <c r="U1856" s="413">
        <v>-14</v>
      </c>
      <c r="V1856" s="414">
        <f>U1856</f>
        <v>-14</v>
      </c>
      <c r="W1856" s="414">
        <f t="shared" ref="W1856:Y1856" si="415">V1856</f>
        <v>-14</v>
      </c>
      <c r="X1856" s="414">
        <f t="shared" si="415"/>
        <v>-14</v>
      </c>
      <c r="Y1856" s="414">
        <f t="shared" si="415"/>
        <v>-14</v>
      </c>
      <c r="Z1856" s="414">
        <f>AA1856</f>
        <v>-4.3544999999999998</v>
      </c>
      <c r="AA1856" s="413">
        <v>-4.3544999999999998</v>
      </c>
      <c r="AB1856" s="414">
        <f>AA1856</f>
        <v>-4.3544999999999998</v>
      </c>
      <c r="AC1856" s="414">
        <f>AB1856</f>
        <v>-4.3544999999999998</v>
      </c>
      <c r="AD1856" s="414">
        <f>AC1856</f>
        <v>-4.3544999999999998</v>
      </c>
      <c r="AE1856" s="184"/>
      <c r="AF1856" s="184"/>
      <c r="AG1856" s="184"/>
      <c r="AH1856" s="413">
        <v>1</v>
      </c>
      <c r="AI1856" s="413">
        <v>1</v>
      </c>
      <c r="AJ1856" s="73"/>
      <c r="AK1856" s="57"/>
      <c r="AL1856" s="45"/>
      <c r="AM1856" s="45"/>
      <c r="AN1856" s="45"/>
    </row>
    <row r="1857" spans="1:40" hidden="1" outlineLevel="3" x14ac:dyDescent="0.25">
      <c r="A1857" s="45"/>
      <c r="B1857" s="54"/>
      <c r="C1857" s="47">
        <f t="shared" ref="C1857:C1861" si="416">INT($C$29)+3</f>
        <v>4</v>
      </c>
      <c r="D1857" s="73"/>
      <c r="E1857" s="70"/>
      <c r="F1857" s="70" t="s">
        <v>3623</v>
      </c>
      <c r="G1857" s="73"/>
      <c r="H1857" s="76" t="s">
        <v>604</v>
      </c>
      <c r="I1857" s="7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 t="shared" si="416"/>
        <v>4</v>
      </c>
      <c r="D1858" s="73"/>
      <c r="E1858" s="70"/>
      <c r="F1858" s="70" t="s">
        <v>3624</v>
      </c>
      <c r="G1858" s="73"/>
      <c r="H1858" s="76"/>
      <c r="I1858" s="7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v>1</v>
      </c>
      <c r="AI1858" s="76">
        <v>1</v>
      </c>
      <c r="AJ1858" s="73"/>
      <c r="AK1858" s="57"/>
      <c r="AL1858" s="45"/>
      <c r="AM1858" s="45"/>
      <c r="AN1858" s="45"/>
    </row>
    <row r="1859" spans="1:40" hidden="1" outlineLevel="3" x14ac:dyDescent="0.25">
      <c r="A1859" s="45"/>
      <c r="B1859" s="54"/>
      <c r="C1859" s="47">
        <f t="shared" si="416"/>
        <v>4</v>
      </c>
      <c r="D1859" s="73"/>
      <c r="E1859" s="70"/>
      <c r="F1859" s="70" t="s">
        <v>3625</v>
      </c>
      <c r="G1859" s="73"/>
      <c r="H1859" s="76"/>
      <c r="I1859" s="7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v>1</v>
      </c>
      <c r="AI1859" s="76">
        <v>1</v>
      </c>
      <c r="AJ1859" s="73"/>
      <c r="AK1859" s="57"/>
      <c r="AL1859" s="45"/>
      <c r="AM1859" s="45"/>
      <c r="AN1859" s="45"/>
    </row>
    <row r="1860" spans="1:40" hidden="1" outlineLevel="3" x14ac:dyDescent="0.25">
      <c r="A1860" s="45"/>
      <c r="B1860" s="54"/>
      <c r="C1860" s="47">
        <f t="shared" si="416"/>
        <v>4</v>
      </c>
      <c r="D1860" s="73"/>
      <c r="E1860" s="70"/>
      <c r="F1860" s="70" t="s">
        <v>3626</v>
      </c>
      <c r="G1860" s="73"/>
      <c r="H1860" s="76"/>
      <c r="I1860" s="7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v>1</v>
      </c>
      <c r="AI1860" s="76">
        <v>1</v>
      </c>
      <c r="AJ1860" s="73"/>
      <c r="AK1860" s="57"/>
      <c r="AL1860" s="45"/>
      <c r="AM1860" s="45"/>
      <c r="AN1860" s="45"/>
    </row>
    <row r="1861" spans="1:40" hidden="1" outlineLevel="3" x14ac:dyDescent="0.25">
      <c r="A1861" s="45"/>
      <c r="B1861" s="54"/>
      <c r="C1861" s="47">
        <f t="shared" si="416"/>
        <v>4</v>
      </c>
      <c r="D1861" s="73"/>
      <c r="E1861" s="70"/>
      <c r="F1861" s="70" t="s">
        <v>3627</v>
      </c>
      <c r="G1861" s="73"/>
      <c r="H1861" s="76"/>
      <c r="I1861" s="7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v>1</v>
      </c>
      <c r="AI1861" s="76">
        <v>1</v>
      </c>
      <c r="AJ1861" s="73"/>
      <c r="AK1861" s="57"/>
      <c r="AL1861" s="45"/>
      <c r="AM1861" s="45"/>
      <c r="AN1861" s="45"/>
    </row>
    <row r="1862" spans="1:40" hidden="1" outlineLevel="3" x14ac:dyDescent="0.25">
      <c r="A1862" s="45"/>
      <c r="B1862" s="54"/>
      <c r="C1862" s="47"/>
      <c r="D1862" s="73"/>
      <c r="E1862" s="70"/>
      <c r="F1862" s="70" t="s">
        <v>3628</v>
      </c>
      <c r="G1862" s="73"/>
      <c r="H1862" s="76"/>
      <c r="I1862" s="76"/>
      <c r="J1862" s="76"/>
      <c r="K1862" s="76"/>
      <c r="L1862" s="76"/>
      <c r="M1862" s="76"/>
      <c r="N1862" s="76"/>
      <c r="O1862" s="76"/>
      <c r="P1862" s="76"/>
      <c r="Q1862" s="76"/>
      <c r="R1862" s="76"/>
      <c r="S1862" s="76"/>
      <c r="T1862" s="76"/>
      <c r="U1862" s="76"/>
      <c r="V1862" s="76"/>
      <c r="W1862" s="76"/>
      <c r="X1862" s="76"/>
      <c r="Y1862" s="76"/>
      <c r="Z1862" s="76"/>
      <c r="AA1862" s="76"/>
      <c r="AB1862" s="76"/>
      <c r="AC1862" s="76"/>
      <c r="AD1862" s="76"/>
      <c r="AE1862" s="76"/>
      <c r="AF1862" s="76"/>
      <c r="AG1862" s="76"/>
      <c r="AH1862" s="76">
        <v>1</v>
      </c>
      <c r="AI1862" s="76">
        <v>1</v>
      </c>
      <c r="AJ1862" s="73"/>
      <c r="AK1862" s="57"/>
      <c r="AL1862" s="45"/>
      <c r="AM1862" s="45"/>
      <c r="AN1862" s="45"/>
    </row>
    <row r="1863" spans="1:40" hidden="1" outlineLevel="3" x14ac:dyDescent="0.25">
      <c r="A1863" s="45"/>
      <c r="B1863" s="54"/>
      <c r="C1863" s="47"/>
      <c r="D1863" s="73"/>
      <c r="E1863" s="70"/>
      <c r="F1863" s="70" t="s">
        <v>3629</v>
      </c>
      <c r="G1863" s="73"/>
      <c r="H1863" s="76"/>
      <c r="I1863" s="7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v>1</v>
      </c>
      <c r="AI1863" s="76">
        <v>1</v>
      </c>
      <c r="AJ1863" s="73"/>
      <c r="AK1863" s="57"/>
      <c r="AL1863" s="45"/>
      <c r="AM1863" s="45"/>
      <c r="AN1863" s="45"/>
    </row>
    <row r="1864" spans="1:40" hidden="1" outlineLevel="3" x14ac:dyDescent="0.25">
      <c r="A1864" s="45"/>
      <c r="B1864" s="54"/>
      <c r="C1864" s="47"/>
      <c r="D1864" s="73"/>
      <c r="E1864" s="70"/>
      <c r="F1864" s="70" t="s">
        <v>3630</v>
      </c>
      <c r="G1864" s="73"/>
      <c r="H1864" s="76"/>
      <c r="I1864" s="76"/>
      <c r="J1864" s="76"/>
      <c r="K1864" s="76"/>
      <c r="L1864" s="76"/>
      <c r="M1864" s="76"/>
      <c r="N1864" s="76"/>
      <c r="O1864" s="76"/>
      <c r="P1864" s="76"/>
      <c r="Q1864" s="76"/>
      <c r="R1864" s="76"/>
      <c r="S1864" s="76"/>
      <c r="T1864" s="76"/>
      <c r="U1864" s="76"/>
      <c r="V1864" s="76"/>
      <c r="W1864" s="76"/>
      <c r="X1864" s="76"/>
      <c r="Y1864" s="76"/>
      <c r="Z1864" s="76"/>
      <c r="AA1864" s="76"/>
      <c r="AB1864" s="76"/>
      <c r="AC1864" s="76"/>
      <c r="AD1864" s="76"/>
      <c r="AE1864" s="76"/>
      <c r="AF1864" s="76"/>
      <c r="AG1864" s="76"/>
      <c r="AH1864" s="76">
        <v>1</v>
      </c>
      <c r="AI1864" s="76">
        <v>1</v>
      </c>
      <c r="AJ1864" s="73"/>
      <c r="AK1864" s="57"/>
      <c r="AL1864" s="45"/>
      <c r="AM1864" s="45"/>
      <c r="AN1864" s="45"/>
    </row>
    <row r="1865" spans="1:40" hidden="1" outlineLevel="3" x14ac:dyDescent="0.25">
      <c r="A1865" s="45"/>
      <c r="B1865" s="54"/>
      <c r="C1865" s="47">
        <f t="shared" ref="C1865:C1876" si="417">INT($C$29)+3</f>
        <v>4</v>
      </c>
      <c r="D1865" s="73"/>
      <c r="E1865" s="70"/>
      <c r="F1865" s="70" t="str">
        <f>SUBSTITUTE(F1861,",4)",",8)")</f>
        <v>C(U6,9,8)</v>
      </c>
      <c r="G1865" s="73"/>
      <c r="H1865" s="76"/>
      <c r="I1865" s="96"/>
      <c r="J1865" s="76"/>
      <c r="K1865" s="76"/>
      <c r="L1865" s="76"/>
      <c r="M1865" s="76"/>
      <c r="N1865" s="76"/>
      <c r="O1865" s="76"/>
      <c r="P1865" s="76"/>
      <c r="Q1865" s="76"/>
      <c r="R1865" s="76"/>
      <c r="S1865" s="76"/>
      <c r="T1865" s="76"/>
      <c r="U1865" s="76"/>
      <c r="V1865" s="76"/>
      <c r="W1865" s="76"/>
      <c r="X1865" s="76"/>
      <c r="Y1865" s="76"/>
      <c r="Z1865" s="76"/>
      <c r="AA1865" s="76"/>
      <c r="AB1865" s="76"/>
      <c r="AC1865" s="76"/>
      <c r="AD1865" s="76"/>
      <c r="AE1865" s="76"/>
      <c r="AF1865" s="76"/>
      <c r="AG1865" s="76"/>
      <c r="AH1865" s="76">
        <v>1</v>
      </c>
      <c r="AI1865" s="76">
        <v>1</v>
      </c>
      <c r="AJ1865" s="73"/>
      <c r="AK1865" s="57"/>
      <c r="AL1865" s="45"/>
      <c r="AM1865" s="45"/>
      <c r="AN1865" s="45"/>
    </row>
    <row r="1866" spans="1:40" hidden="1" outlineLevel="3" x14ac:dyDescent="0.25">
      <c r="A1866" s="45"/>
      <c r="B1866" s="54"/>
      <c r="C1866" s="47">
        <f t="shared" si="417"/>
        <v>4</v>
      </c>
      <c r="D1866" s="73"/>
      <c r="E1866" s="70"/>
      <c r="F1866" s="70" t="str">
        <f>SUBSTITUTE(F1862,",5)",",9)")</f>
        <v>C(U6,9,9)</v>
      </c>
      <c r="G1866" s="73"/>
      <c r="H1866" s="76"/>
      <c r="I1866" s="96"/>
      <c r="J1866" s="76"/>
      <c r="K1866" s="76"/>
      <c r="L1866" s="76"/>
      <c r="M1866" s="76"/>
      <c r="N1866" s="76"/>
      <c r="O1866" s="76"/>
      <c r="P1866" s="76"/>
      <c r="Q1866" s="76"/>
      <c r="R1866" s="76"/>
      <c r="S1866" s="76"/>
      <c r="T1866" s="76"/>
      <c r="U1866" s="76"/>
      <c r="V1866" s="76"/>
      <c r="W1866" s="76"/>
      <c r="X1866" s="76"/>
      <c r="Y1866" s="76"/>
      <c r="Z1866" s="76"/>
      <c r="AA1866" s="76"/>
      <c r="AB1866" s="76"/>
      <c r="AC1866" s="76"/>
      <c r="AD1866" s="76"/>
      <c r="AE1866" s="76"/>
      <c r="AF1866" s="76"/>
      <c r="AG1866" s="76"/>
      <c r="AH1866" s="76">
        <v>1</v>
      </c>
      <c r="AI1866" s="76">
        <v>1</v>
      </c>
      <c r="AJ1866" s="73"/>
      <c r="AK1866" s="57"/>
      <c r="AL1866" s="45"/>
      <c r="AM1866" s="45"/>
      <c r="AN1866" s="45"/>
    </row>
    <row r="1867" spans="1:40" hidden="1" outlineLevel="3" x14ac:dyDescent="0.25">
      <c r="A1867" s="45"/>
      <c r="B1867" s="54"/>
      <c r="C1867" s="47">
        <f t="shared" si="417"/>
        <v>4</v>
      </c>
      <c r="D1867" s="73"/>
      <c r="E1867" s="70"/>
      <c r="F1867" s="70" t="str">
        <f>SUBSTITUTE(F1863,",6)",",10)")</f>
        <v>C(U6,9,10)</v>
      </c>
      <c r="G1867" s="73"/>
      <c r="H1867" s="76"/>
      <c r="I1867" s="96"/>
      <c r="J1867" s="76"/>
      <c r="K1867" s="76"/>
      <c r="L1867" s="76"/>
      <c r="M1867" s="76"/>
      <c r="N1867" s="76"/>
      <c r="O1867" s="76"/>
      <c r="P1867" s="76"/>
      <c r="Q1867" s="76"/>
      <c r="R1867" s="76"/>
      <c r="S1867" s="76"/>
      <c r="T1867" s="76"/>
      <c r="U1867" s="76"/>
      <c r="V1867" s="76"/>
      <c r="W1867" s="76"/>
      <c r="X1867" s="76"/>
      <c r="Y1867" s="76"/>
      <c r="Z1867" s="76"/>
      <c r="AA1867" s="76"/>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17"/>
        <v>4</v>
      </c>
      <c r="D1868" s="73"/>
      <c r="E1868" s="70"/>
      <c r="F1868" s="70" t="str">
        <f>SUBSTITUTE(F1864,",7)",",11)")</f>
        <v>C(U6,9,11)</v>
      </c>
      <c r="G1868" s="73"/>
      <c r="H1868" s="76"/>
      <c r="I1868" s="96"/>
      <c r="J1868" s="76"/>
      <c r="K1868" s="76"/>
      <c r="L1868" s="76"/>
      <c r="M1868" s="76"/>
      <c r="N1868" s="76"/>
      <c r="O1868" s="76"/>
      <c r="P1868" s="76"/>
      <c r="Q1868" s="76"/>
      <c r="R1868" s="76"/>
      <c r="S1868" s="76"/>
      <c r="T1868" s="76"/>
      <c r="U1868" s="76"/>
      <c r="V1868" s="76"/>
      <c r="W1868" s="76"/>
      <c r="X1868" s="76"/>
      <c r="Y1868" s="76"/>
      <c r="Z1868" s="76"/>
      <c r="AA1868" s="76"/>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17"/>
        <v>4</v>
      </c>
      <c r="D1869" s="73"/>
      <c r="E1869" s="70"/>
      <c r="F1869" s="70" t="str">
        <f>SUBSTITUTE(F1863,",6)",",12)")</f>
        <v>C(U6,9,12)</v>
      </c>
      <c r="G1869" s="73"/>
      <c r="H1869" s="76"/>
      <c r="I1869" s="96"/>
      <c r="J1869" s="76"/>
      <c r="K1869" s="76"/>
      <c r="L1869" s="76"/>
      <c r="M1869" s="76"/>
      <c r="N1869" s="76"/>
      <c r="O1869" s="76"/>
      <c r="P1869" s="76"/>
      <c r="Q1869" s="76"/>
      <c r="R1869" s="76"/>
      <c r="S1869" s="76"/>
      <c r="T1869" s="76"/>
      <c r="U1869" s="76"/>
      <c r="V1869" s="76"/>
      <c r="W1869" s="76"/>
      <c r="X1869" s="76"/>
      <c r="Y1869" s="76"/>
      <c r="Z1869" s="76"/>
      <c r="AA1869" s="76"/>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17"/>
        <v>4</v>
      </c>
      <c r="D1870" s="73"/>
      <c r="E1870" s="70"/>
      <c r="F1870" s="70" t="str">
        <f>SUBSTITUTE(F1864,",7)",",13)")</f>
        <v>C(U6,9,13)</v>
      </c>
      <c r="G1870" s="73"/>
      <c r="H1870" s="76"/>
      <c r="I1870" s="96"/>
      <c r="J1870" s="76"/>
      <c r="K1870" s="76"/>
      <c r="L1870" s="76"/>
      <c r="M1870" s="76"/>
      <c r="N1870" s="76"/>
      <c r="O1870" s="76"/>
      <c r="P1870" s="76"/>
      <c r="Q1870" s="76"/>
      <c r="R1870" s="76"/>
      <c r="S1870" s="76"/>
      <c r="T1870" s="76"/>
      <c r="U1870" s="76"/>
      <c r="V1870" s="76"/>
      <c r="W1870" s="76"/>
      <c r="X1870" s="76"/>
      <c r="Y1870" s="76"/>
      <c r="Z1870" s="76"/>
      <c r="AA1870" s="76"/>
      <c r="AB1870" s="76"/>
      <c r="AC1870" s="76"/>
      <c r="AD1870" s="76"/>
      <c r="AE1870" s="76"/>
      <c r="AF1870" s="76"/>
      <c r="AG1870" s="76"/>
      <c r="AH1870" s="76">
        <v>1</v>
      </c>
      <c r="AI1870" s="76">
        <v>1</v>
      </c>
      <c r="AJ1870" s="73"/>
      <c r="AK1870" s="57"/>
      <c r="AL1870" s="45"/>
      <c r="AM1870" s="45"/>
      <c r="AN1870" s="45"/>
    </row>
    <row r="1871" spans="1:40" hidden="1" outlineLevel="3" x14ac:dyDescent="0.25">
      <c r="A1871" s="45"/>
      <c r="B1871" s="54"/>
      <c r="C1871" s="47">
        <f t="shared" si="417"/>
        <v>4</v>
      </c>
      <c r="D1871" s="73"/>
      <c r="E1871" s="70"/>
      <c r="F1871" s="70" t="s">
        <v>3631</v>
      </c>
      <c r="G1871" s="73"/>
      <c r="H1871" s="76"/>
      <c r="I1871" s="76"/>
      <c r="J1871" s="76"/>
      <c r="K1871" s="76"/>
      <c r="L1871" s="76"/>
      <c r="M1871" s="76"/>
      <c r="N1871" s="76"/>
      <c r="O1871" s="76"/>
      <c r="P1871" s="76"/>
      <c r="Q1871" s="76"/>
      <c r="R1871" s="76"/>
      <c r="S1871" s="76"/>
      <c r="T1871" s="76"/>
      <c r="U1871" s="76"/>
      <c r="V1871" s="76"/>
      <c r="W1871" s="76"/>
      <c r="X1871" s="76"/>
      <c r="Y1871" s="76"/>
      <c r="Z1871" s="76"/>
      <c r="AA1871" s="76"/>
      <c r="AB1871" s="76"/>
      <c r="AC1871" s="76"/>
      <c r="AD1871" s="76"/>
      <c r="AE1871" s="76"/>
      <c r="AF1871" s="76"/>
      <c r="AG1871" s="76"/>
      <c r="AH1871" s="76">
        <v>1</v>
      </c>
      <c r="AI1871" s="76">
        <v>1</v>
      </c>
      <c r="AJ1871" s="73"/>
      <c r="AK1871" s="57"/>
      <c r="AL1871" s="45"/>
      <c r="AM1871" s="45"/>
      <c r="AN1871" s="45"/>
    </row>
    <row r="1872" spans="1:40" hidden="1" outlineLevel="3" x14ac:dyDescent="0.25">
      <c r="A1872" s="45"/>
      <c r="B1872" s="54"/>
      <c r="C1872" s="47">
        <f t="shared" si="417"/>
        <v>4</v>
      </c>
      <c r="D1872" s="73"/>
      <c r="E1872" s="70"/>
      <c r="F1872" s="70" t="s">
        <v>3632</v>
      </c>
      <c r="G1872" s="73"/>
      <c r="H1872" s="76" t="s">
        <v>604</v>
      </c>
      <c r="I1872" s="76"/>
      <c r="J1872" s="76"/>
      <c r="K1872" s="76"/>
      <c r="L1872" s="76"/>
      <c r="M1872" s="76"/>
      <c r="N1872" s="76"/>
      <c r="O1872" s="76"/>
      <c r="P1872" s="76"/>
      <c r="Q1872" s="76"/>
      <c r="R1872" s="76"/>
      <c r="S1872" s="76"/>
      <c r="T1872" s="76"/>
      <c r="U1872" s="76"/>
      <c r="V1872" s="76"/>
      <c r="W1872" s="76"/>
      <c r="X1872" s="76"/>
      <c r="Y1872" s="76"/>
      <c r="Z1872" s="76"/>
      <c r="AA1872" s="76"/>
      <c r="AB1872" s="76"/>
      <c r="AC1872" s="76"/>
      <c r="AD1872" s="76"/>
      <c r="AE1872" s="76"/>
      <c r="AF1872" s="76"/>
      <c r="AG1872" s="76"/>
      <c r="AH1872" s="76">
        <v>1</v>
      </c>
      <c r="AI1872" s="76">
        <v>1</v>
      </c>
      <c r="AJ1872" s="73"/>
      <c r="AK1872" s="57"/>
      <c r="AL1872" s="45"/>
      <c r="AM1872" s="45"/>
      <c r="AN1872" s="45"/>
    </row>
    <row r="1873" spans="1:40" hidden="1" outlineLevel="3" x14ac:dyDescent="0.25">
      <c r="A1873" s="45"/>
      <c r="B1873" s="54"/>
      <c r="C1873" s="47">
        <f t="shared" si="417"/>
        <v>4</v>
      </c>
      <c r="D1873" s="73"/>
      <c r="E1873" s="70"/>
      <c r="F1873" s="70" t="s">
        <v>3633</v>
      </c>
      <c r="G1873" s="73"/>
      <c r="H1873" s="76"/>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25">
      <c r="A1874" s="45"/>
      <c r="B1874" s="54"/>
      <c r="C1874" s="47">
        <f t="shared" si="417"/>
        <v>4</v>
      </c>
      <c r="D1874" s="73"/>
      <c r="E1874" s="70"/>
      <c r="F1874" s="70" t="s">
        <v>3634</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17"/>
        <v>4</v>
      </c>
      <c r="D1875" s="73"/>
      <c r="E1875" s="70"/>
      <c r="F1875" s="70" t="s">
        <v>3635</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17"/>
        <v>4</v>
      </c>
      <c r="D1876" s="73"/>
      <c r="E1876" s="70"/>
      <c r="F1876" s="70" t="s">
        <v>3636</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c r="D1877" s="73"/>
      <c r="E1877" s="70"/>
      <c r="F1877" s="70" t="s">
        <v>3637</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c r="D1878" s="73"/>
      <c r="E1878" s="70"/>
      <c r="F1878" s="70" t="s">
        <v>3638</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3639</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f t="shared" ref="C1880:C1891" si="418">INT($C$29)+3</f>
        <v>4</v>
      </c>
      <c r="D1880" s="73"/>
      <c r="E1880" s="70"/>
      <c r="F1880" s="70" t="str">
        <f>SUBSTITUTE(F1876,",4)",",8)")</f>
        <v>C(U6,10,8)</v>
      </c>
      <c r="G1880" s="73"/>
      <c r="H1880" s="76"/>
      <c r="I1880" s="9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f t="shared" si="418"/>
        <v>4</v>
      </c>
      <c r="D1881" s="73"/>
      <c r="E1881" s="70"/>
      <c r="F1881" s="70" t="str">
        <f>SUBSTITUTE(F1877,",5)",",9)")</f>
        <v>C(U6,10,9)</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si="418"/>
        <v>4</v>
      </c>
      <c r="D1882" s="73"/>
      <c r="E1882" s="70"/>
      <c r="F1882" s="70" t="str">
        <f>SUBSTITUTE(F1878,",6)",",10)")</f>
        <v>C(U6,10,10)</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18"/>
        <v>4</v>
      </c>
      <c r="D1883" s="73"/>
      <c r="E1883" s="70"/>
      <c r="F1883" s="70" t="str">
        <f>SUBSTITUTE(F1879,",7)",",11)")</f>
        <v>C(U6,10,11)</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18"/>
        <v>4</v>
      </c>
      <c r="D1884" s="73"/>
      <c r="E1884" s="70"/>
      <c r="F1884" s="70" t="str">
        <f>SUBSTITUTE(F1878,",6)",",12)")</f>
        <v>C(U6,10,12)</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18"/>
        <v>4</v>
      </c>
      <c r="D1885" s="73"/>
      <c r="E1885" s="70"/>
      <c r="F1885" s="70" t="str">
        <f>SUBSTITUTE(F1879,",7)",",13)")</f>
        <v>C(U6,10,13)</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18"/>
        <v>4</v>
      </c>
      <c r="D1886" s="73"/>
      <c r="E1886" s="70"/>
      <c r="F1886" s="70" t="s">
        <v>3640</v>
      </c>
      <c r="G1886" s="73"/>
      <c r="H1886" s="76"/>
      <c r="I1886" s="7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18"/>
        <v>4</v>
      </c>
      <c r="D1887" s="73"/>
      <c r="E1887" s="70"/>
      <c r="F1887" s="70" t="s">
        <v>3641</v>
      </c>
      <c r="G1887" s="73"/>
      <c r="H1887" s="76" t="s">
        <v>604</v>
      </c>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18"/>
        <v>4</v>
      </c>
      <c r="D1888" s="73"/>
      <c r="E1888" s="70"/>
      <c r="F1888" s="70" t="s">
        <v>3642</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18"/>
        <v>4</v>
      </c>
      <c r="D1889" s="73"/>
      <c r="E1889" s="70"/>
      <c r="F1889" s="70" t="s">
        <v>3643</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18"/>
        <v>4</v>
      </c>
      <c r="D1890" s="73"/>
      <c r="E1890" s="70"/>
      <c r="F1890" s="70" t="s">
        <v>3644</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18"/>
        <v>4</v>
      </c>
      <c r="D1891" s="73"/>
      <c r="E1891" s="70"/>
      <c r="F1891" s="70" t="s">
        <v>3645</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c r="D1892" s="73"/>
      <c r="E1892" s="70"/>
      <c r="F1892" s="70" t="s">
        <v>3646</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c r="D1893" s="73"/>
      <c r="E1893" s="70"/>
      <c r="F1893" s="70" t="s">
        <v>3647</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3648</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f t="shared" ref="C1895:C1906" si="419">INT($C$29)+3</f>
        <v>4</v>
      </c>
      <c r="D1895" s="73"/>
      <c r="E1895" s="70"/>
      <c r="F1895" s="70" t="str">
        <f>SUBSTITUTE(F1891,",4)",",8)")</f>
        <v>C(U6,11,8)</v>
      </c>
      <c r="G1895" s="73"/>
      <c r="H1895" s="76"/>
      <c r="I1895" s="9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f t="shared" si="419"/>
        <v>4</v>
      </c>
      <c r="D1896" s="73"/>
      <c r="E1896" s="70"/>
      <c r="F1896" s="70" t="str">
        <f>SUBSTITUTE(F1892,",5)",",9)")</f>
        <v>C(U6,11,9)</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si="419"/>
        <v>4</v>
      </c>
      <c r="D1897" s="73"/>
      <c r="E1897" s="70"/>
      <c r="F1897" s="70" t="str">
        <f>SUBSTITUTE(F1893,",6)",",10)")</f>
        <v>C(U6,11,10)</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19"/>
        <v>4</v>
      </c>
      <c r="D1898" s="73"/>
      <c r="E1898" s="70"/>
      <c r="F1898" s="70" t="str">
        <f>SUBSTITUTE(F1894,",7)",",11)")</f>
        <v>C(U6,11,11)</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19"/>
        <v>4</v>
      </c>
      <c r="D1899" s="73"/>
      <c r="E1899" s="70"/>
      <c r="F1899" s="70" t="str">
        <f>SUBSTITUTE(F1893,",6)",",12)")</f>
        <v>C(U6,11,12)</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19"/>
        <v>4</v>
      </c>
      <c r="D1900" s="73"/>
      <c r="E1900" s="70"/>
      <c r="F1900" s="70" t="str">
        <f>SUBSTITUTE(F1894,",7)",",13)")</f>
        <v>C(U6,11,13)</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19"/>
        <v>4</v>
      </c>
      <c r="D1901" s="73"/>
      <c r="E1901" s="70"/>
      <c r="F1901" s="70" t="s">
        <v>3649</v>
      </c>
      <c r="G1901" s="73"/>
      <c r="H1901" s="76"/>
      <c r="I1901" s="7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19"/>
        <v>4</v>
      </c>
      <c r="D1902" s="73"/>
      <c r="E1902" s="70"/>
      <c r="F1902" s="70" t="s">
        <v>3650</v>
      </c>
      <c r="G1902" s="73"/>
      <c r="H1902" s="76" t="s">
        <v>604</v>
      </c>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19"/>
        <v>4</v>
      </c>
      <c r="D1903" s="73"/>
      <c r="E1903" s="70"/>
      <c r="F1903" s="70" t="s">
        <v>3651</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19"/>
        <v>4</v>
      </c>
      <c r="D1904" s="73"/>
      <c r="E1904" s="70"/>
      <c r="F1904" s="70" t="s">
        <v>3652</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19"/>
        <v>4</v>
      </c>
      <c r="D1905" s="73"/>
      <c r="E1905" s="70"/>
      <c r="F1905" s="70" t="s">
        <v>3653</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19"/>
        <v>4</v>
      </c>
      <c r="D1906" s="73"/>
      <c r="E1906" s="70"/>
      <c r="F1906" s="70" t="s">
        <v>3654</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c r="D1907" s="73"/>
      <c r="E1907" s="70"/>
      <c r="F1907" s="70" t="s">
        <v>3655</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c r="D1908" s="73"/>
      <c r="E1908" s="70"/>
      <c r="F1908" s="70" t="s">
        <v>3656</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3657</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f t="shared" ref="C1910:C1921" si="420">INT($C$29)+3</f>
        <v>4</v>
      </c>
      <c r="D1910" s="73"/>
      <c r="E1910" s="70"/>
      <c r="F1910" s="70" t="str">
        <f>SUBSTITUTE(F1906,",4)",",8)")</f>
        <v>C(U6,12,8)</v>
      </c>
      <c r="G1910" s="73"/>
      <c r="H1910" s="76"/>
      <c r="I1910" s="9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f t="shared" si="420"/>
        <v>4</v>
      </c>
      <c r="D1911" s="73"/>
      <c r="E1911" s="70"/>
      <c r="F1911" s="70" t="str">
        <f>SUBSTITUTE(F1907,",5)",",9)")</f>
        <v>C(U6,12,9)</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si="420"/>
        <v>4</v>
      </c>
      <c r="D1912" s="73"/>
      <c r="E1912" s="70"/>
      <c r="F1912" s="70" t="str">
        <f>SUBSTITUTE(F1908,",6)",",10)")</f>
        <v>C(U6,12,10)</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20"/>
        <v>4</v>
      </c>
      <c r="D1913" s="73"/>
      <c r="E1913" s="70"/>
      <c r="F1913" s="70" t="str">
        <f>SUBSTITUTE(F1909,",7)",",11)")</f>
        <v>C(U6,12,11)</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20"/>
        <v>4</v>
      </c>
      <c r="D1914" s="73"/>
      <c r="E1914" s="70"/>
      <c r="F1914" s="70" t="str">
        <f>SUBSTITUTE(F1908,",6)",",12)")</f>
        <v>C(U6,12,12)</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20"/>
        <v>4</v>
      </c>
      <c r="D1915" s="73"/>
      <c r="E1915" s="70"/>
      <c r="F1915" s="70" t="str">
        <f>SUBSTITUTE(F1909,",7)",",13)")</f>
        <v>C(U6,12,13)</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20"/>
        <v>4</v>
      </c>
      <c r="D1916" s="73"/>
      <c r="E1916" s="70"/>
      <c r="F1916" s="70" t="s">
        <v>3658</v>
      </c>
      <c r="G1916" s="73"/>
      <c r="H1916" s="76"/>
      <c r="I1916" s="7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20"/>
        <v>4</v>
      </c>
      <c r="D1917" s="73"/>
      <c r="E1917" s="70"/>
      <c r="F1917" s="70" t="s">
        <v>3659</v>
      </c>
      <c r="G1917" s="73"/>
      <c r="H1917" s="76" t="s">
        <v>604</v>
      </c>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20"/>
        <v>4</v>
      </c>
      <c r="D1918" s="73"/>
      <c r="E1918" s="70"/>
      <c r="F1918" s="70" t="s">
        <v>3660</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20"/>
        <v>4</v>
      </c>
      <c r="D1919" s="73"/>
      <c r="E1919" s="70"/>
      <c r="F1919" s="70" t="s">
        <v>3661</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20"/>
        <v>4</v>
      </c>
      <c r="D1920" s="73"/>
      <c r="E1920" s="70"/>
      <c r="F1920" s="70" t="s">
        <v>3662</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20"/>
        <v>4</v>
      </c>
      <c r="D1921" s="73"/>
      <c r="E1921" s="70"/>
      <c r="F1921" s="70" t="s">
        <v>3663</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c r="D1922" s="73"/>
      <c r="E1922" s="70"/>
      <c r="F1922" s="70" t="s">
        <v>3664</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c r="D1923" s="73"/>
      <c r="E1923" s="70"/>
      <c r="F1923" s="70" t="s">
        <v>3665</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3666</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f t="shared" ref="C1925:C1936" si="421">INT($C$29)+3</f>
        <v>4</v>
      </c>
      <c r="D1925" s="73"/>
      <c r="E1925" s="70"/>
      <c r="F1925" s="70" t="str">
        <f>SUBSTITUTE(F1921,",4)",",8)")</f>
        <v>C(U6,13,8)</v>
      </c>
      <c r="G1925" s="73"/>
      <c r="H1925" s="76"/>
      <c r="I1925" s="9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f t="shared" si="421"/>
        <v>4</v>
      </c>
      <c r="D1926" s="73"/>
      <c r="E1926" s="70"/>
      <c r="F1926" s="70" t="str">
        <f>SUBSTITUTE(F1922,",5)",",9)")</f>
        <v>C(U6,13,9)</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si="421"/>
        <v>4</v>
      </c>
      <c r="D1927" s="73"/>
      <c r="E1927" s="70"/>
      <c r="F1927" s="70" t="str">
        <f>SUBSTITUTE(F1923,",6)",",10)")</f>
        <v>C(U6,13,10)</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21"/>
        <v>4</v>
      </c>
      <c r="D1928" s="73"/>
      <c r="E1928" s="70"/>
      <c r="F1928" s="70" t="str">
        <f>SUBSTITUTE(F1924,",7)",",11)")</f>
        <v>C(U6,13,11)</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21"/>
        <v>4</v>
      </c>
      <c r="D1929" s="73"/>
      <c r="E1929" s="70"/>
      <c r="F1929" s="70" t="str">
        <f>SUBSTITUTE(F1923,",6)",",12)")</f>
        <v>C(U6,13,12)</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21"/>
        <v>4</v>
      </c>
      <c r="D1930" s="73"/>
      <c r="E1930" s="70"/>
      <c r="F1930" s="70" t="str">
        <f>SUBSTITUTE(F1924,",7)",",13)")</f>
        <v>C(U6,13,13)</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21"/>
        <v>4</v>
      </c>
      <c r="D1931" s="73"/>
      <c r="E1931" s="70"/>
      <c r="F1931" s="70" t="s">
        <v>3667</v>
      </c>
      <c r="G1931" s="73"/>
      <c r="H1931" s="76"/>
      <c r="I1931" s="7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21"/>
        <v>4</v>
      </c>
      <c r="D1932" s="73"/>
      <c r="E1932" s="70"/>
      <c r="F1932" s="70" t="s">
        <v>3668</v>
      </c>
      <c r="G1932" s="73"/>
      <c r="H1932" s="76" t="s">
        <v>604</v>
      </c>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21"/>
        <v>4</v>
      </c>
      <c r="D1933" s="73"/>
      <c r="E1933" s="70"/>
      <c r="F1933" s="70" t="s">
        <v>3669</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21"/>
        <v>4</v>
      </c>
      <c r="D1934" s="73"/>
      <c r="E1934" s="70"/>
      <c r="F1934" s="70" t="s">
        <v>3670</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21"/>
        <v>4</v>
      </c>
      <c r="D1935" s="73"/>
      <c r="E1935" s="70"/>
      <c r="F1935" s="70" t="s">
        <v>3671</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21"/>
        <v>4</v>
      </c>
      <c r="D1936" s="73"/>
      <c r="E1936" s="70"/>
      <c r="F1936" s="70" t="s">
        <v>3672</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c r="D1937" s="73"/>
      <c r="E1937" s="70"/>
      <c r="F1937" s="70" t="s">
        <v>3673</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c r="D1938" s="73"/>
      <c r="E1938" s="70"/>
      <c r="F1938" s="70" t="s">
        <v>3674</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3675</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f t="shared" ref="C1940:C1951" si="422">INT($C$29)+3</f>
        <v>4</v>
      </c>
      <c r="D1940" s="73"/>
      <c r="E1940" s="70"/>
      <c r="F1940" s="70" t="str">
        <f>SUBSTITUTE(F1936,",4)",",8)")</f>
        <v>C(U6,14,8)</v>
      </c>
      <c r="G1940" s="73"/>
      <c r="H1940" s="76"/>
      <c r="I1940" s="9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f t="shared" si="422"/>
        <v>4</v>
      </c>
      <c r="D1941" s="73"/>
      <c r="E1941" s="70"/>
      <c r="F1941" s="70" t="str">
        <f>SUBSTITUTE(F1937,",5)",",9)")</f>
        <v>C(U6,14,9)</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si="422"/>
        <v>4</v>
      </c>
      <c r="D1942" s="73"/>
      <c r="E1942" s="70"/>
      <c r="F1942" s="70" t="str">
        <f>SUBSTITUTE(F1938,",6)",",10)")</f>
        <v>C(U6,14,10)</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22"/>
        <v>4</v>
      </c>
      <c r="D1943" s="73"/>
      <c r="E1943" s="70"/>
      <c r="F1943" s="70" t="str">
        <f>SUBSTITUTE(F1939,",7)",",11)")</f>
        <v>C(U6,14,11)</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22"/>
        <v>4</v>
      </c>
      <c r="D1944" s="73"/>
      <c r="E1944" s="70"/>
      <c r="F1944" s="70" t="str">
        <f>SUBSTITUTE(F1938,",6)",",12)")</f>
        <v>C(U6,14,12)</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22"/>
        <v>4</v>
      </c>
      <c r="D1945" s="73"/>
      <c r="E1945" s="70"/>
      <c r="F1945" s="70" t="str">
        <f>SUBSTITUTE(F1939,",7)",",13)")</f>
        <v>C(U6,14,13)</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22"/>
        <v>4</v>
      </c>
      <c r="D1946" s="73"/>
      <c r="E1946" s="70"/>
      <c r="F1946" s="70" t="s">
        <v>3676</v>
      </c>
      <c r="G1946" s="73"/>
      <c r="H1946" s="76"/>
      <c r="I1946" s="7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22"/>
        <v>4</v>
      </c>
      <c r="D1947" s="73"/>
      <c r="E1947" s="70"/>
      <c r="F1947" s="70" t="s">
        <v>3677</v>
      </c>
      <c r="G1947" s="73"/>
      <c r="H1947" s="76" t="s">
        <v>604</v>
      </c>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22"/>
        <v>4</v>
      </c>
      <c r="D1948" s="73"/>
      <c r="E1948" s="70"/>
      <c r="F1948" s="70" t="s">
        <v>3678</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22"/>
        <v>4</v>
      </c>
      <c r="D1949" s="73"/>
      <c r="E1949" s="70"/>
      <c r="F1949" s="70" t="s">
        <v>3679</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22"/>
        <v>4</v>
      </c>
      <c r="D1950" s="73"/>
      <c r="E1950" s="70"/>
      <c r="F1950" s="70" t="s">
        <v>3680</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22"/>
        <v>4</v>
      </c>
      <c r="D1951" s="73"/>
      <c r="E1951" s="70"/>
      <c r="F1951" s="70" t="s">
        <v>3681</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c r="D1952" s="73"/>
      <c r="E1952" s="70"/>
      <c r="F1952" s="70" t="s">
        <v>3682</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c r="D1953" s="73"/>
      <c r="E1953" s="70"/>
      <c r="F1953" s="70" t="s">
        <v>3683</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3684</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f>INT($C$29)+3</f>
        <v>4</v>
      </c>
      <c r="D1955" s="73"/>
      <c r="E1955" s="70"/>
      <c r="F1955" s="70" t="str">
        <f>SUBSTITUTE(F1951,",4)",",8)")</f>
        <v>C(U6,15,8)</v>
      </c>
      <c r="G1955" s="73"/>
      <c r="H1955" s="76"/>
      <c r="I1955" s="9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f>INT($C$29)+3</f>
        <v>4</v>
      </c>
      <c r="D1956" s="73"/>
      <c r="E1956" s="70"/>
      <c r="F1956" s="70" t="str">
        <f>SUBSTITUTE(F1952,",5)",",9)")</f>
        <v>C(U6,15,9)</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INT($C$29)+3</f>
        <v>4</v>
      </c>
      <c r="D1957" s="73"/>
      <c r="E1957" s="70"/>
      <c r="F1957" s="70" t="str">
        <f>SUBSTITUTE(F1953,",6)",",10)")</f>
        <v>C(U6,15,10)</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INT($C$29)+3</f>
        <v>4</v>
      </c>
      <c r="D1958" s="73"/>
      <c r="E1958" s="70"/>
      <c r="F1958" s="70" t="str">
        <f>SUBSTITUTE(F1954,",7)",",11)")</f>
        <v>C(U6,15,11)</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ref="C1959:C1960" si="423">INT($C$29)+3</f>
        <v>4</v>
      </c>
      <c r="D1959" s="73"/>
      <c r="E1959" s="70"/>
      <c r="F1959" s="70" t="str">
        <f>SUBSTITUTE(F1953,",6)",",12)")</f>
        <v>C(U6,15,12)</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23"/>
        <v>4</v>
      </c>
      <c r="D1960" s="73"/>
      <c r="E1960" s="70"/>
      <c r="F1960" s="70" t="str">
        <f>SUBSTITUTE(F1954,",7)",",13)")</f>
        <v>C(U6,15,13)</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INT($C$29)+3</f>
        <v>4</v>
      </c>
      <c r="D1961" s="73"/>
      <c r="E1961" s="402"/>
      <c r="F1961" s="402" t="s">
        <v>3685</v>
      </c>
      <c r="G1961" s="73"/>
      <c r="H1961" s="109"/>
      <c r="I1961" s="109"/>
      <c r="J1961" s="109"/>
      <c r="K1961" s="109"/>
      <c r="L1961" s="109"/>
      <c r="M1961" s="109"/>
      <c r="N1961" s="109"/>
      <c r="O1961" s="109"/>
      <c r="P1961" s="109"/>
      <c r="Q1961" s="109"/>
      <c r="R1961" s="109"/>
      <c r="S1961" s="109"/>
      <c r="T1961" s="109"/>
      <c r="U1961" s="109"/>
      <c r="V1961" s="109"/>
      <c r="W1961" s="109"/>
      <c r="X1961" s="109"/>
      <c r="Y1961" s="109"/>
      <c r="Z1961" s="109"/>
      <c r="AA1961" s="109"/>
      <c r="AB1961" s="109"/>
      <c r="AC1961" s="109"/>
      <c r="AD1961" s="109"/>
      <c r="AE1961" s="109"/>
      <c r="AF1961" s="109"/>
      <c r="AG1961" s="109"/>
      <c r="AH1961" s="109">
        <v>1</v>
      </c>
      <c r="AI1961" s="109">
        <v>1</v>
      </c>
      <c r="AJ1961" s="73"/>
      <c r="AK1961" s="57"/>
      <c r="AL1961" s="45"/>
      <c r="AM1961" s="45"/>
      <c r="AN1961" s="45"/>
    </row>
    <row r="1962" spans="1:40" hidden="1" outlineLevel="3" x14ac:dyDescent="0.25">
      <c r="A1962" s="45"/>
      <c r="B1962" s="54"/>
      <c r="C1962" s="47">
        <f t="shared" ref="C1962:C1966" si="424">INT($C$29)+3</f>
        <v>4</v>
      </c>
      <c r="D1962" s="73"/>
      <c r="E1962" s="70"/>
      <c r="F1962" s="70" t="s">
        <v>3686</v>
      </c>
      <c r="G1962" s="73"/>
      <c r="H1962" s="76" t="s">
        <v>604</v>
      </c>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24"/>
        <v>4</v>
      </c>
      <c r="D1963" s="73"/>
      <c r="E1963" s="70"/>
      <c r="F1963" s="70" t="s">
        <v>3687</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24"/>
        <v>4</v>
      </c>
      <c r="D1964" s="73"/>
      <c r="E1964" s="70"/>
      <c r="F1964" s="70" t="s">
        <v>3688</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24"/>
        <v>4</v>
      </c>
      <c r="D1965" s="73"/>
      <c r="E1965" s="70"/>
      <c r="F1965" s="70" t="s">
        <v>3689</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24"/>
        <v>4</v>
      </c>
      <c r="D1966" s="73"/>
      <c r="E1966" s="70"/>
      <c r="F1966" s="70" t="s">
        <v>3690</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c r="D1967" s="73"/>
      <c r="E1967" s="70"/>
      <c r="F1967" s="70" t="s">
        <v>3691</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c r="D1968" s="73"/>
      <c r="E1968" s="70"/>
      <c r="F1968" s="70" t="s">
        <v>3692</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3693</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f t="shared" ref="C1970:C1981" si="425">INT($C$29)+3</f>
        <v>4</v>
      </c>
      <c r="D1970" s="73"/>
      <c r="E1970" s="70"/>
      <c r="F1970" s="70" t="str">
        <f>SUBSTITUTE(F1966,",4)",",8)")</f>
        <v>C(U6,16,8)</v>
      </c>
      <c r="G1970" s="73"/>
      <c r="H1970" s="76"/>
      <c r="I1970" s="9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f t="shared" si="425"/>
        <v>4</v>
      </c>
      <c r="D1971" s="73"/>
      <c r="E1971" s="70"/>
      <c r="F1971" s="70" t="str">
        <f>SUBSTITUTE(F1967,",5)",",9)")</f>
        <v>C(U6,16,9)</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 t="shared" si="425"/>
        <v>4</v>
      </c>
      <c r="D1972" s="73"/>
      <c r="E1972" s="70"/>
      <c r="F1972" s="70" t="str">
        <f>SUBSTITUTE(F1968,",6)",",10)")</f>
        <v>C(U6,16,10)</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 t="shared" si="425"/>
        <v>4</v>
      </c>
      <c r="D1973" s="73"/>
      <c r="E1973" s="70"/>
      <c r="F1973" s="70" t="str">
        <f>SUBSTITUTE(F1969,",7)",",11)")</f>
        <v>C(U6,16,11)</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 t="shared" si="425"/>
        <v>4</v>
      </c>
      <c r="D1974" s="73"/>
      <c r="E1974" s="70"/>
      <c r="F1974" s="70" t="str">
        <f>SUBSTITUTE(F1968,",6)",",12)")</f>
        <v>C(U6,16,12)</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 t="shared" si="425"/>
        <v>4</v>
      </c>
      <c r="D1975" s="73"/>
      <c r="E1975" s="70"/>
      <c r="F1975" s="70" t="str">
        <f>SUBSTITUTE(F1969,",7)",",13)")</f>
        <v>C(U6,16,13)</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si="425"/>
        <v>4</v>
      </c>
      <c r="D1976" s="73"/>
      <c r="E1976" s="70"/>
      <c r="F1976" s="70" t="s">
        <v>3694</v>
      </c>
      <c r="G1976" s="73"/>
      <c r="H1976" s="76"/>
      <c r="I1976" s="7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si="425"/>
        <v>4</v>
      </c>
      <c r="D1977" s="73"/>
      <c r="E1977" s="70"/>
      <c r="F1977" s="70" t="s">
        <v>3695</v>
      </c>
      <c r="G1977" s="73"/>
      <c r="H1977" s="76" t="s">
        <v>604</v>
      </c>
      <c r="I1977" s="7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 t="shared" si="425"/>
        <v>4</v>
      </c>
      <c r="D1978" s="73"/>
      <c r="E1978" s="70"/>
      <c r="F1978" s="70" t="s">
        <v>3696</v>
      </c>
      <c r="G1978" s="73"/>
      <c r="H1978" s="76"/>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 t="shared" si="425"/>
        <v>4</v>
      </c>
      <c r="D1979" s="73"/>
      <c r="E1979" s="70"/>
      <c r="F1979" s="70" t="s">
        <v>3697</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25"/>
        <v>4</v>
      </c>
      <c r="D1980" s="73"/>
      <c r="E1980" s="70"/>
      <c r="F1980" s="70" t="s">
        <v>3698</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25"/>
        <v>4</v>
      </c>
      <c r="D1981" s="73"/>
      <c r="E1981" s="70"/>
      <c r="F1981" s="70" t="s">
        <v>3699</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c r="D1982" s="73"/>
      <c r="E1982" s="70"/>
      <c r="F1982" s="70" t="s">
        <v>3700</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c r="D1983" s="73"/>
      <c r="E1983" s="70"/>
      <c r="F1983" s="70" t="s">
        <v>3701</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3702</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f t="shared" ref="C1985:C1996" si="426">INT($C$29)+3</f>
        <v>4</v>
      </c>
      <c r="D1985" s="73"/>
      <c r="E1985" s="70"/>
      <c r="F1985" s="70" t="str">
        <f>SUBSTITUTE(F1981,",4)",",8)")</f>
        <v>C(U6,17,8)</v>
      </c>
      <c r="G1985" s="73"/>
      <c r="H1985" s="76"/>
      <c r="I1985" s="9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f t="shared" si="426"/>
        <v>4</v>
      </c>
      <c r="D1986" s="73"/>
      <c r="E1986" s="70"/>
      <c r="F1986" s="70" t="str">
        <f>SUBSTITUTE(F1982,",5)",",9)")</f>
        <v>C(U6,17,9)</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si="426"/>
        <v>4</v>
      </c>
      <c r="D1987" s="73"/>
      <c r="E1987" s="70"/>
      <c r="F1987" s="70" t="str">
        <f>SUBSTITUTE(F1983,",6)",",10)")</f>
        <v>C(U6,17,10)</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26"/>
        <v>4</v>
      </c>
      <c r="D1988" s="73"/>
      <c r="E1988" s="70"/>
      <c r="F1988" s="70" t="str">
        <f>SUBSTITUTE(F1984,",7)",",11)")</f>
        <v>C(U6,17,11)</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26"/>
        <v>4</v>
      </c>
      <c r="D1989" s="73"/>
      <c r="E1989" s="70"/>
      <c r="F1989" s="70" t="str">
        <f>SUBSTITUTE(F1983,",6)",",12)")</f>
        <v>C(U6,17,12)</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26"/>
        <v>4</v>
      </c>
      <c r="D1990" s="73"/>
      <c r="E1990" s="70"/>
      <c r="F1990" s="70" t="str">
        <f>SUBSTITUTE(F1984,",7)",",13)")</f>
        <v>C(U6,17,13)</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26"/>
        <v>4</v>
      </c>
      <c r="D1991" s="73"/>
      <c r="E1991" s="70"/>
      <c r="F1991" s="70" t="s">
        <v>3703</v>
      </c>
      <c r="G1991" s="73"/>
      <c r="H1991" s="76"/>
      <c r="I1991" s="7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26"/>
        <v>4</v>
      </c>
      <c r="D1992" s="73"/>
      <c r="E1992" s="70"/>
      <c r="F1992" s="70" t="s">
        <v>3704</v>
      </c>
      <c r="G1992" s="73"/>
      <c r="H1992" s="76" t="s">
        <v>604</v>
      </c>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26"/>
        <v>4</v>
      </c>
      <c r="D1993" s="73"/>
      <c r="E1993" s="70"/>
      <c r="F1993" s="70" t="s">
        <v>3705</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26"/>
        <v>4</v>
      </c>
      <c r="D1994" s="73"/>
      <c r="E1994" s="70"/>
      <c r="F1994" s="70" t="s">
        <v>3706</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26"/>
        <v>4</v>
      </c>
      <c r="D1995" s="73"/>
      <c r="E1995" s="70"/>
      <c r="F1995" s="70" t="s">
        <v>3707</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26"/>
        <v>4</v>
      </c>
      <c r="D1996" s="73"/>
      <c r="E1996" s="70"/>
      <c r="F1996" s="70" t="s">
        <v>3708</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c r="D1997" s="73"/>
      <c r="E1997" s="70"/>
      <c r="F1997" s="70" t="s">
        <v>3709</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c r="D1998" s="73"/>
      <c r="E1998" s="70"/>
      <c r="F1998" s="70" t="s">
        <v>3710</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3711</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f t="shared" ref="C2000:C2011" si="427">INT($C$29)+3</f>
        <v>4</v>
      </c>
      <c r="D2000" s="73"/>
      <c r="E2000" s="70"/>
      <c r="F2000" s="70" t="str">
        <f>SUBSTITUTE(F1996,",4)",",8)")</f>
        <v>C(U6,18,8)</v>
      </c>
      <c r="G2000" s="73"/>
      <c r="H2000" s="76"/>
      <c r="I2000" s="9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f t="shared" si="427"/>
        <v>4</v>
      </c>
      <c r="D2001" s="73"/>
      <c r="E2001" s="70"/>
      <c r="F2001" s="70" t="str">
        <f>SUBSTITUTE(F1997,",5)",",9)")</f>
        <v>C(U6,18,9)</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si="427"/>
        <v>4</v>
      </c>
      <c r="D2002" s="73"/>
      <c r="E2002" s="70"/>
      <c r="F2002" s="70" t="str">
        <f>SUBSTITUTE(F1998,",6)",",10)")</f>
        <v>C(U6,18,10)</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27"/>
        <v>4</v>
      </c>
      <c r="D2003" s="73"/>
      <c r="E2003" s="70"/>
      <c r="F2003" s="70" t="str">
        <f>SUBSTITUTE(F1999,",7)",",11)")</f>
        <v>C(U6,18,11)</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27"/>
        <v>4</v>
      </c>
      <c r="D2004" s="73"/>
      <c r="E2004" s="70"/>
      <c r="F2004" s="70" t="str">
        <f>SUBSTITUTE(F1998,",6)",",12)")</f>
        <v>C(U6,18,12)</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27"/>
        <v>4</v>
      </c>
      <c r="D2005" s="73"/>
      <c r="E2005" s="70"/>
      <c r="F2005" s="70" t="str">
        <f>SUBSTITUTE(F1999,",7)",",13)")</f>
        <v>C(U6,18,13)</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27"/>
        <v>4</v>
      </c>
      <c r="D2006" s="73"/>
      <c r="E2006" s="70"/>
      <c r="F2006" s="70" t="s">
        <v>3712</v>
      </c>
      <c r="G2006" s="73"/>
      <c r="H2006" s="76"/>
      <c r="I2006" s="7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27"/>
        <v>4</v>
      </c>
      <c r="D2007" s="73"/>
      <c r="E2007" s="70"/>
      <c r="F2007" s="70" t="s">
        <v>3713</v>
      </c>
      <c r="G2007" s="73"/>
      <c r="H2007" s="76" t="s">
        <v>604</v>
      </c>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27"/>
        <v>4</v>
      </c>
      <c r="D2008" s="73"/>
      <c r="E2008" s="70"/>
      <c r="F2008" s="70" t="s">
        <v>3714</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27"/>
        <v>4</v>
      </c>
      <c r="D2009" s="73"/>
      <c r="E2009" s="70"/>
      <c r="F2009" s="70" t="s">
        <v>3715</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27"/>
        <v>4</v>
      </c>
      <c r="D2010" s="73"/>
      <c r="E2010" s="70"/>
      <c r="F2010" s="70" t="s">
        <v>3716</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27"/>
        <v>4</v>
      </c>
      <c r="D2011" s="73"/>
      <c r="E2011" s="70"/>
      <c r="F2011" s="70" t="s">
        <v>3717</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c r="D2012" s="73"/>
      <c r="E2012" s="70"/>
      <c r="F2012" s="70" t="s">
        <v>3718</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c r="D2013" s="73"/>
      <c r="E2013" s="70"/>
      <c r="F2013" s="70" t="s">
        <v>3719</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3720</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f t="shared" ref="C2015:C2026" si="428">INT($C$29)+3</f>
        <v>4</v>
      </c>
      <c r="D2015" s="73"/>
      <c r="E2015" s="70"/>
      <c r="F2015" s="70" t="str">
        <f>SUBSTITUTE(F2011,",4)",",8)")</f>
        <v>C(U6,19,8)</v>
      </c>
      <c r="G2015" s="73"/>
      <c r="H2015" s="76"/>
      <c r="I2015" s="9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f t="shared" si="428"/>
        <v>4</v>
      </c>
      <c r="D2016" s="73"/>
      <c r="E2016" s="70"/>
      <c r="F2016" s="70" t="str">
        <f>SUBSTITUTE(F2012,",5)",",9)")</f>
        <v>C(U6,19,9)</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si="428"/>
        <v>4</v>
      </c>
      <c r="D2017" s="73"/>
      <c r="E2017" s="70"/>
      <c r="F2017" s="70" t="str">
        <f>SUBSTITUTE(F2013,",6)",",10)")</f>
        <v>C(U6,19,10)</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28"/>
        <v>4</v>
      </c>
      <c r="D2018" s="73"/>
      <c r="E2018" s="70"/>
      <c r="F2018" s="70" t="str">
        <f>SUBSTITUTE(F2014,",7)",",11)")</f>
        <v>C(U6,19,11)</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28"/>
        <v>4</v>
      </c>
      <c r="D2019" s="73"/>
      <c r="E2019" s="70"/>
      <c r="F2019" s="70" t="str">
        <f>SUBSTITUTE(F2013,",6)",",12)")</f>
        <v>C(U6,19,12)</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28"/>
        <v>4</v>
      </c>
      <c r="D2020" s="73"/>
      <c r="E2020" s="70"/>
      <c r="F2020" s="70" t="str">
        <f>SUBSTITUTE(F2014,",7)",",13)")</f>
        <v>C(U6,19,13)</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28"/>
        <v>4</v>
      </c>
      <c r="D2021" s="73"/>
      <c r="E2021" s="70"/>
      <c r="F2021" s="70" t="s">
        <v>3721</v>
      </c>
      <c r="G2021" s="73"/>
      <c r="H2021" s="76"/>
      <c r="I2021" s="7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28"/>
        <v>4</v>
      </c>
      <c r="D2022" s="73"/>
      <c r="E2022" s="70"/>
      <c r="F2022" s="70" t="s">
        <v>3722</v>
      </c>
      <c r="G2022" s="73"/>
      <c r="H2022" s="76" t="s">
        <v>604</v>
      </c>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28"/>
        <v>4</v>
      </c>
      <c r="D2023" s="73"/>
      <c r="E2023" s="70"/>
      <c r="F2023" s="70" t="s">
        <v>3723</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28"/>
        <v>4</v>
      </c>
      <c r="D2024" s="73"/>
      <c r="E2024" s="70"/>
      <c r="F2024" s="70" t="s">
        <v>3724</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28"/>
        <v>4</v>
      </c>
      <c r="D2025" s="73"/>
      <c r="E2025" s="70"/>
      <c r="F2025" s="70" t="s">
        <v>3725</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28"/>
        <v>4</v>
      </c>
      <c r="D2026" s="73"/>
      <c r="E2026" s="70"/>
      <c r="F2026" s="70" t="s">
        <v>3726</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c r="D2027" s="73"/>
      <c r="E2027" s="70"/>
      <c r="F2027" s="70" t="s">
        <v>3727</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c r="D2028" s="73"/>
      <c r="E2028" s="70"/>
      <c r="F2028" s="70" t="s">
        <v>3728</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3729</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f t="shared" ref="C2030:C2041" si="429">INT($C$29)+3</f>
        <v>4</v>
      </c>
      <c r="D2030" s="73"/>
      <c r="E2030" s="70"/>
      <c r="F2030" s="70" t="str">
        <f>SUBSTITUTE(F2026,",4)",",8)")</f>
        <v>C(U6,20,8)</v>
      </c>
      <c r="G2030" s="73"/>
      <c r="H2030" s="76"/>
      <c r="I2030" s="9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f t="shared" si="429"/>
        <v>4</v>
      </c>
      <c r="D2031" s="73"/>
      <c r="E2031" s="70"/>
      <c r="F2031" s="70" t="str">
        <f>SUBSTITUTE(F2027,",5)",",9)")</f>
        <v>C(U6,20,9)</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si="429"/>
        <v>4</v>
      </c>
      <c r="D2032" s="73"/>
      <c r="E2032" s="70"/>
      <c r="F2032" s="70" t="str">
        <f>SUBSTITUTE(F2028,",6)",",10)")</f>
        <v>C(U6,20,10)</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29"/>
        <v>4</v>
      </c>
      <c r="D2033" s="73"/>
      <c r="E2033" s="70"/>
      <c r="F2033" s="70" t="str">
        <f>SUBSTITUTE(F2029,",7)",",11)")</f>
        <v>C(U6,20,11)</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29"/>
        <v>4</v>
      </c>
      <c r="D2034" s="73"/>
      <c r="E2034" s="70"/>
      <c r="F2034" s="70" t="str">
        <f>SUBSTITUTE(F2028,",6)",",12)")</f>
        <v>C(U6,20,12)</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29"/>
        <v>4</v>
      </c>
      <c r="D2035" s="73"/>
      <c r="E2035" s="70"/>
      <c r="F2035" s="70" t="str">
        <f>SUBSTITUTE(F2029,",7)",",13)")</f>
        <v>C(U6,20,13)</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29"/>
        <v>4</v>
      </c>
      <c r="D2036" s="73"/>
      <c r="E2036" s="70"/>
      <c r="F2036" s="70" t="s">
        <v>3730</v>
      </c>
      <c r="G2036" s="73"/>
      <c r="H2036" s="76"/>
      <c r="I2036" s="7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29"/>
        <v>4</v>
      </c>
      <c r="D2037" s="73"/>
      <c r="E2037" s="70"/>
      <c r="F2037" s="70" t="s">
        <v>3731</v>
      </c>
      <c r="G2037" s="73"/>
      <c r="H2037" s="76" t="s">
        <v>604</v>
      </c>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29"/>
        <v>4</v>
      </c>
      <c r="D2038" s="73"/>
      <c r="E2038" s="70"/>
      <c r="F2038" s="70" t="s">
        <v>3732</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29"/>
        <v>4</v>
      </c>
      <c r="D2039" s="73"/>
      <c r="E2039" s="70"/>
      <c r="F2039" s="70" t="s">
        <v>3733</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29"/>
        <v>4</v>
      </c>
      <c r="D2040" s="73"/>
      <c r="E2040" s="70"/>
      <c r="F2040" s="70" t="s">
        <v>3734</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29"/>
        <v>4</v>
      </c>
      <c r="D2041" s="73"/>
      <c r="E2041" s="70"/>
      <c r="F2041" s="70" t="s">
        <v>3735</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c r="D2042" s="73"/>
      <c r="E2042" s="70"/>
      <c r="F2042" s="70" t="s">
        <v>3736</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c r="D2043" s="73"/>
      <c r="E2043" s="70"/>
      <c r="F2043" s="70" t="s">
        <v>3737</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3738</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f t="shared" ref="C2045:C2056" si="430">INT($C$29)+3</f>
        <v>4</v>
      </c>
      <c r="D2045" s="73"/>
      <c r="E2045" s="70"/>
      <c r="F2045" s="70" t="str">
        <f>SUBSTITUTE(F2041,",4)",",8)")</f>
        <v>C(U6,21,8)</v>
      </c>
      <c r="G2045" s="73"/>
      <c r="H2045" s="76"/>
      <c r="I2045" s="9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f t="shared" si="430"/>
        <v>4</v>
      </c>
      <c r="D2046" s="73"/>
      <c r="E2046" s="70"/>
      <c r="F2046" s="70" t="str">
        <f>SUBSTITUTE(F2042,",5)",",9)")</f>
        <v>C(U6,21,9)</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si="430"/>
        <v>4</v>
      </c>
      <c r="D2047" s="73"/>
      <c r="E2047" s="70"/>
      <c r="F2047" s="70" t="str">
        <f>SUBSTITUTE(F2043,",6)",",10)")</f>
        <v>C(U6,21,10)</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30"/>
        <v>4</v>
      </c>
      <c r="D2048" s="73"/>
      <c r="E2048" s="70"/>
      <c r="F2048" s="70" t="str">
        <f>SUBSTITUTE(F2044,",7)",",11)")</f>
        <v>C(U6,21,11)</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30"/>
        <v>4</v>
      </c>
      <c r="D2049" s="73"/>
      <c r="E2049" s="70"/>
      <c r="F2049" s="70" t="str">
        <f>SUBSTITUTE(F2043,",6)",",12)")</f>
        <v>C(U6,21,12)</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30"/>
        <v>4</v>
      </c>
      <c r="D2050" s="73"/>
      <c r="E2050" s="70"/>
      <c r="F2050" s="70" t="str">
        <f>SUBSTITUTE(F2044,",7)",",13)")</f>
        <v>C(U6,21,13)</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30"/>
        <v>4</v>
      </c>
      <c r="D2051" s="73"/>
      <c r="E2051" s="70"/>
      <c r="F2051" s="70" t="s">
        <v>3739</v>
      </c>
      <c r="G2051" s="73"/>
      <c r="H2051" s="76"/>
      <c r="I2051" s="7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30"/>
        <v>4</v>
      </c>
      <c r="D2052" s="73"/>
      <c r="E2052" s="70"/>
      <c r="F2052" s="70" t="s">
        <v>3740</v>
      </c>
      <c r="G2052" s="73"/>
      <c r="H2052" s="76" t="s">
        <v>604</v>
      </c>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30"/>
        <v>4</v>
      </c>
      <c r="D2053" s="73"/>
      <c r="E2053" s="70"/>
      <c r="F2053" s="70" t="s">
        <v>3741</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30"/>
        <v>4</v>
      </c>
      <c r="D2054" s="73"/>
      <c r="E2054" s="70"/>
      <c r="F2054" s="70" t="s">
        <v>3742</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30"/>
        <v>4</v>
      </c>
      <c r="D2055" s="73"/>
      <c r="E2055" s="70"/>
      <c r="F2055" s="70" t="s">
        <v>3743</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30"/>
        <v>4</v>
      </c>
      <c r="D2056" s="73"/>
      <c r="E2056" s="70"/>
      <c r="F2056" s="70" t="s">
        <v>3744</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c r="D2057" s="73"/>
      <c r="E2057" s="70"/>
      <c r="F2057" s="70" t="s">
        <v>3745</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c r="D2058" s="73"/>
      <c r="E2058" s="70"/>
      <c r="F2058" s="70" t="s">
        <v>3746</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3747</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f>INT($C$29)+3</f>
        <v>4</v>
      </c>
      <c r="D2060" s="73"/>
      <c r="E2060" s="70"/>
      <c r="F2060" s="70" t="str">
        <f>SUBSTITUTE(F2056,",4)",",8)")</f>
        <v>C(U6,22,8)</v>
      </c>
      <c r="G2060" s="73"/>
      <c r="H2060" s="76"/>
      <c r="I2060" s="9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f>INT($C$29)+3</f>
        <v>4</v>
      </c>
      <c r="D2061" s="73"/>
      <c r="E2061" s="70"/>
      <c r="F2061" s="70" t="str">
        <f>SUBSTITUTE(F2057,",5)",",9)")</f>
        <v>C(U6,22,9)</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INT($C$29)+3</f>
        <v>4</v>
      </c>
      <c r="D2062" s="73"/>
      <c r="E2062" s="70"/>
      <c r="F2062" s="70" t="str">
        <f>SUBSTITUTE(F2058,",6)",",10)")</f>
        <v>C(U6,22,10)</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INT($C$29)+3</f>
        <v>4</v>
      </c>
      <c r="D2063" s="73"/>
      <c r="E2063" s="70"/>
      <c r="F2063" s="70" t="str">
        <f>SUBSTITUTE(F2059,",7)",",11)")</f>
        <v>C(U6,22,11)</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ref="C2064:C2065" si="431">INT($C$29)+3</f>
        <v>4</v>
      </c>
      <c r="D2064" s="73"/>
      <c r="E2064" s="70"/>
      <c r="F2064" s="70" t="str">
        <f>SUBSTITUTE(F2058,",6)",",12)")</f>
        <v>C(U6,22,12)</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31"/>
        <v>4</v>
      </c>
      <c r="D2065" s="73"/>
      <c r="E2065" s="70"/>
      <c r="F2065" s="70" t="str">
        <f>SUBSTITUTE(F2059,",7)",",13)")</f>
        <v>C(U6,22,13)</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INT($C$29)+3</f>
        <v>4</v>
      </c>
      <c r="D2066" s="73"/>
      <c r="E2066" s="402"/>
      <c r="F2066" s="402" t="s">
        <v>3748</v>
      </c>
      <c r="G2066" s="73"/>
      <c r="H2066" s="109"/>
      <c r="I2066" s="109"/>
      <c r="J2066" s="109"/>
      <c r="K2066" s="109"/>
      <c r="L2066" s="109"/>
      <c r="M2066" s="109"/>
      <c r="N2066" s="109"/>
      <c r="O2066" s="109"/>
      <c r="P2066" s="109"/>
      <c r="Q2066" s="109"/>
      <c r="R2066" s="109"/>
      <c r="S2066" s="109"/>
      <c r="T2066" s="109"/>
      <c r="U2066" s="109"/>
      <c r="V2066" s="109"/>
      <c r="W2066" s="109"/>
      <c r="X2066" s="109"/>
      <c r="Y2066" s="109"/>
      <c r="Z2066" s="109"/>
      <c r="AA2066" s="109"/>
      <c r="AB2066" s="109"/>
      <c r="AC2066" s="109"/>
      <c r="AD2066" s="109"/>
      <c r="AE2066" s="109"/>
      <c r="AF2066" s="109"/>
      <c r="AG2066" s="109"/>
      <c r="AH2066" s="109">
        <v>1</v>
      </c>
      <c r="AI2066" s="109">
        <v>1</v>
      </c>
      <c r="AJ2066" s="73"/>
      <c r="AK2066" s="57"/>
      <c r="AL2066" s="45"/>
      <c r="AM2066" s="45"/>
      <c r="AN2066" s="45"/>
    </row>
    <row r="2067" spans="1:40" outlineLevel="2" x14ac:dyDescent="0.25">
      <c r="A2067" s="45"/>
      <c r="B2067" s="54"/>
      <c r="C2067" s="47">
        <f>INT($C$29)+2</f>
        <v>3</v>
      </c>
      <c r="D2067" s="73"/>
      <c r="E2067" s="70"/>
      <c r="F2067" s="70" t="s">
        <v>3749</v>
      </c>
      <c r="G2067" s="73"/>
      <c r="H2067" s="76" t="s">
        <v>3369</v>
      </c>
      <c r="I2067" s="76"/>
      <c r="J2067" s="76"/>
      <c r="K2067" s="76"/>
      <c r="L2067" s="76"/>
      <c r="M2067" s="76"/>
      <c r="N2067" s="76"/>
      <c r="O2067" s="76"/>
      <c r="P2067" s="76"/>
      <c r="Q2067" s="76"/>
      <c r="R2067" s="76"/>
      <c r="S2067" s="76"/>
      <c r="T2067" s="76"/>
      <c r="U2067" s="97">
        <v>-1.0469999999999999</v>
      </c>
      <c r="V2067" s="255">
        <f>U2067</f>
        <v>-1.0469999999999999</v>
      </c>
      <c r="W2067" s="255">
        <f t="shared" ref="W2067:W2072" si="432">U2067</f>
        <v>-1.0469999999999999</v>
      </c>
      <c r="X2067" s="255">
        <f t="shared" ref="X2067:X2072" si="433">V2067</f>
        <v>-1.0469999999999999</v>
      </c>
      <c r="Y2067" s="255">
        <f>V2067</f>
        <v>-1.0469999999999999</v>
      </c>
      <c r="Z2067" s="255">
        <f>AA2067</f>
        <v>-1.0469999999999999</v>
      </c>
      <c r="AA2067" s="97">
        <f>U2067</f>
        <v>-1.0469999999999999</v>
      </c>
      <c r="AB2067" s="255">
        <f t="shared" ref="AB2067:AB2072" si="434">AA2067</f>
        <v>-1.0469999999999999</v>
      </c>
      <c r="AC2067" s="255">
        <f t="shared" ref="AC2067:AC2072" si="435">AB2067</f>
        <v>-1.0469999999999999</v>
      </c>
      <c r="AD2067" s="255">
        <f t="shared" ref="AD2067:AD2072" si="436">AC2067</f>
        <v>-1.0469999999999999</v>
      </c>
      <c r="AE2067" s="76"/>
      <c r="AF2067" s="97" t="s">
        <v>3622</v>
      </c>
      <c r="AG2067" s="76"/>
      <c r="AH2067" s="76">
        <v>1</v>
      </c>
      <c r="AI2067" s="76">
        <v>1</v>
      </c>
      <c r="AJ2067" s="73"/>
      <c r="AK2067" s="57"/>
      <c r="AL2067" s="45"/>
      <c r="AM2067" s="45"/>
      <c r="AN2067" s="45"/>
    </row>
    <row r="2068" spans="1:40" outlineLevel="2" collapsed="1" x14ac:dyDescent="0.25">
      <c r="A2068" s="45"/>
      <c r="B2068" s="54"/>
      <c r="C2068" s="47">
        <f>INT($C$29)+2</f>
        <v>3</v>
      </c>
      <c r="D2068" s="73"/>
      <c r="E2068" s="70"/>
      <c r="F2068" s="70" t="s">
        <v>3750</v>
      </c>
      <c r="G2068" s="73"/>
      <c r="H2068" s="76" t="s">
        <v>3370</v>
      </c>
      <c r="I2068" s="76"/>
      <c r="J2068" s="76"/>
      <c r="K2068" s="76"/>
      <c r="L2068" s="76"/>
      <c r="M2068" s="76"/>
      <c r="N2068" s="76"/>
      <c r="O2068" s="76"/>
      <c r="P2068" s="76"/>
      <c r="Q2068" s="76"/>
      <c r="R2068" s="76"/>
      <c r="S2068" s="76"/>
      <c r="T2068" s="76"/>
      <c r="U2068" s="97">
        <v>7.5389999999999997E-3</v>
      </c>
      <c r="V2068" s="255">
        <f>U2068</f>
        <v>7.5389999999999997E-3</v>
      </c>
      <c r="W2068" s="255">
        <f t="shared" si="432"/>
        <v>7.5389999999999997E-3</v>
      </c>
      <c r="X2068" s="255">
        <f t="shared" si="433"/>
        <v>7.5389999999999997E-3</v>
      </c>
      <c r="Y2068" s="255">
        <f>V2068</f>
        <v>7.5389999999999997E-3</v>
      </c>
      <c r="Z2068" s="255">
        <f>AA2068</f>
        <v>7.5389999999999997E-3</v>
      </c>
      <c r="AA2068" s="97">
        <f t="shared" ref="AA2068:AA2072" si="437">U2068</f>
        <v>7.5389999999999997E-3</v>
      </c>
      <c r="AB2068" s="255">
        <f t="shared" si="434"/>
        <v>7.5389999999999997E-3</v>
      </c>
      <c r="AC2068" s="255">
        <f t="shared" si="435"/>
        <v>7.5389999999999997E-3</v>
      </c>
      <c r="AD2068" s="255">
        <f t="shared" si="436"/>
        <v>7.5389999999999997E-3</v>
      </c>
      <c r="AE2068" s="76"/>
      <c r="AF2068" s="97" t="s">
        <v>3371</v>
      </c>
      <c r="AG2068" s="76"/>
      <c r="AH2068" s="76">
        <v>1</v>
      </c>
      <c r="AI2068" s="76">
        <v>1</v>
      </c>
      <c r="AJ2068" s="73"/>
      <c r="AK2068" s="57"/>
      <c r="AL2068" s="45"/>
      <c r="AM2068" s="45"/>
      <c r="AN2068" s="45"/>
    </row>
    <row r="2069" spans="1:40" hidden="1" outlineLevel="3" x14ac:dyDescent="0.25">
      <c r="A2069" s="45"/>
      <c r="B2069" s="54"/>
      <c r="C2069" s="47">
        <f t="shared" ref="C2069:C2080" si="438">INT($C$29)+3</f>
        <v>4</v>
      </c>
      <c r="D2069" s="73"/>
      <c r="E2069" s="70"/>
      <c r="F2069" s="70" t="s">
        <v>3751</v>
      </c>
      <c r="G2069" s="73"/>
      <c r="H2069" s="377" t="s">
        <v>3527</v>
      </c>
      <c r="I2069" s="9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38"/>
        <v>4</v>
      </c>
      <c r="D2070" s="73"/>
      <c r="E2070" s="70"/>
      <c r="F2070" s="70" t="s">
        <v>3752</v>
      </c>
      <c r="G2070" s="73"/>
      <c r="H2070" s="377" t="s">
        <v>3521</v>
      </c>
      <c r="I2070" s="9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outlineLevel="2" collapsed="1" x14ac:dyDescent="0.25">
      <c r="A2071" s="45"/>
      <c r="B2071" s="54"/>
      <c r="C2071" s="47">
        <f t="shared" si="438"/>
        <v>4</v>
      </c>
      <c r="D2071" s="73"/>
      <c r="E2071" s="70"/>
      <c r="F2071" s="70" t="s">
        <v>3753</v>
      </c>
      <c r="G2071" s="73"/>
      <c r="H2071" s="76" t="s">
        <v>3618</v>
      </c>
      <c r="I2071" s="76"/>
      <c r="J2071" s="76"/>
      <c r="K2071" s="76"/>
      <c r="L2071" s="76"/>
      <c r="M2071" s="76"/>
      <c r="N2071" s="76"/>
      <c r="O2071" s="76"/>
      <c r="P2071" s="76"/>
      <c r="Q2071" s="76"/>
      <c r="R2071" s="76"/>
      <c r="S2071" s="76"/>
      <c r="T2071" s="76"/>
      <c r="U2071" s="97">
        <v>-0.23419999999999999</v>
      </c>
      <c r="V2071" s="255">
        <f>U2071</f>
        <v>-0.23419999999999999</v>
      </c>
      <c r="W2071" s="255">
        <f t="shared" ref="W2071:W2074" si="439">U2071</f>
        <v>-0.23419999999999999</v>
      </c>
      <c r="X2071" s="255">
        <f t="shared" ref="X2071:X2074" si="440">V2071</f>
        <v>-0.23419999999999999</v>
      </c>
      <c r="Y2071" s="255">
        <f>V2071</f>
        <v>-0.23419999999999999</v>
      </c>
      <c r="Z2071" s="255">
        <f>AA2071</f>
        <v>-0.23419999999999999</v>
      </c>
      <c r="AA2071" s="97">
        <f t="shared" ref="AA2071:AA2074" si="441">U2071</f>
        <v>-0.23419999999999999</v>
      </c>
      <c r="AB2071" s="255">
        <f t="shared" ref="AB2071:AB2074" si="442">AA2071</f>
        <v>-0.23419999999999999</v>
      </c>
      <c r="AC2071" s="255">
        <f t="shared" ref="AC2071:AC2074" si="443">AB2071</f>
        <v>-0.23419999999999999</v>
      </c>
      <c r="AD2071" s="255">
        <f t="shared" ref="AD2071:AD2074" si="444">AC2071</f>
        <v>-0.23419999999999999</v>
      </c>
      <c r="AE2071" s="76"/>
      <c r="AF2071" s="76"/>
      <c r="AG2071" s="76"/>
      <c r="AH2071" s="97">
        <v>1</v>
      </c>
      <c r="AI2071" s="97">
        <v>1</v>
      </c>
      <c r="AJ2071" s="73"/>
      <c r="AK2071" s="57"/>
      <c r="AL2071" s="45"/>
      <c r="AM2071" s="45"/>
      <c r="AN2071" s="45"/>
    </row>
    <row r="2072" spans="1:40" hidden="1" outlineLevel="3" x14ac:dyDescent="0.25">
      <c r="A2072" s="45"/>
      <c r="B2072" s="54"/>
      <c r="C2072" s="47">
        <f t="shared" si="438"/>
        <v>4</v>
      </c>
      <c r="D2072" s="73"/>
      <c r="E2072" s="70"/>
      <c r="F2072" s="70" t="s">
        <v>3754</v>
      </c>
      <c r="G2072" s="73"/>
      <c r="H2072" s="76" t="s">
        <v>3619</v>
      </c>
      <c r="I2072" s="76"/>
      <c r="J2072" s="76"/>
      <c r="K2072" s="76"/>
      <c r="L2072" s="76"/>
      <c r="M2072" s="76"/>
      <c r="N2072" s="76"/>
      <c r="O2072" s="76"/>
      <c r="P2072" s="76"/>
      <c r="Q2072" s="76"/>
      <c r="R2072" s="76"/>
      <c r="S2072" s="76"/>
      <c r="T2072" s="76"/>
      <c r="U2072" s="97"/>
      <c r="V2072" s="255">
        <f t="shared" ref="V2072" si="445">U2072</f>
        <v>0</v>
      </c>
      <c r="W2072" s="255">
        <f t="shared" si="439"/>
        <v>0</v>
      </c>
      <c r="X2072" s="255">
        <f t="shared" si="440"/>
        <v>0</v>
      </c>
      <c r="Y2072" s="255">
        <f t="shared" ref="Y2072" si="446">V2072</f>
        <v>0</v>
      </c>
      <c r="Z2072" s="255">
        <f t="shared" ref="Z2072" si="447">AA2072</f>
        <v>0</v>
      </c>
      <c r="AA2072" s="97">
        <f t="shared" si="441"/>
        <v>0</v>
      </c>
      <c r="AB2072" s="255">
        <f t="shared" si="442"/>
        <v>0</v>
      </c>
      <c r="AC2072" s="255">
        <f t="shared" si="443"/>
        <v>0</v>
      </c>
      <c r="AD2072" s="255">
        <f t="shared" si="444"/>
        <v>0</v>
      </c>
      <c r="AE2072" s="76"/>
      <c r="AF2072" s="76"/>
      <c r="AG2072" s="76"/>
      <c r="AH2072" s="76">
        <v>1</v>
      </c>
      <c r="AI2072" s="76">
        <v>1</v>
      </c>
      <c r="AJ2072" s="73"/>
      <c r="AK2072" s="57"/>
      <c r="AL2072" s="45"/>
      <c r="AM2072" s="45"/>
      <c r="AN2072" s="45"/>
    </row>
    <row r="2073" spans="1:40" outlineLevel="2" collapsed="1" x14ac:dyDescent="0.25">
      <c r="A2073" s="45"/>
      <c r="B2073" s="54"/>
      <c r="C2073" s="47">
        <f t="shared" si="438"/>
        <v>4</v>
      </c>
      <c r="D2073" s="73"/>
      <c r="E2073" s="70"/>
      <c r="F2073" s="70" t="s">
        <v>3755</v>
      </c>
      <c r="G2073" s="73"/>
      <c r="H2073" s="76" t="s">
        <v>3620</v>
      </c>
      <c r="I2073" s="76"/>
      <c r="J2073" s="76"/>
      <c r="K2073" s="76"/>
      <c r="L2073" s="76"/>
      <c r="M2073" s="76"/>
      <c r="N2073" s="76"/>
      <c r="O2073" s="76"/>
      <c r="P2073" s="76"/>
      <c r="Q2073" s="76"/>
      <c r="R2073" s="76"/>
      <c r="S2073" s="76"/>
      <c r="T2073" s="76"/>
      <c r="U2073" s="97">
        <v>-0.24959999999999999</v>
      </c>
      <c r="V2073" s="255">
        <f>U2073</f>
        <v>-0.24959999999999999</v>
      </c>
      <c r="W2073" s="255">
        <f t="shared" si="439"/>
        <v>-0.24959999999999999</v>
      </c>
      <c r="X2073" s="255">
        <f t="shared" si="440"/>
        <v>-0.24959999999999999</v>
      </c>
      <c r="Y2073" s="255">
        <f>V2073</f>
        <v>-0.24959999999999999</v>
      </c>
      <c r="Z2073" s="255">
        <f>AA2073</f>
        <v>-0.24959999999999999</v>
      </c>
      <c r="AA2073" s="97">
        <f t="shared" si="441"/>
        <v>-0.24959999999999999</v>
      </c>
      <c r="AB2073" s="255">
        <f t="shared" si="442"/>
        <v>-0.24959999999999999</v>
      </c>
      <c r="AC2073" s="255">
        <f t="shared" si="443"/>
        <v>-0.24959999999999999</v>
      </c>
      <c r="AD2073" s="255">
        <f t="shared" si="444"/>
        <v>-0.24959999999999999</v>
      </c>
      <c r="AE2073" s="76"/>
      <c r="AF2073" s="76"/>
      <c r="AG2073" s="76"/>
      <c r="AH2073" s="97">
        <v>1</v>
      </c>
      <c r="AI2073" s="97">
        <v>1</v>
      </c>
      <c r="AJ2073" s="73"/>
      <c r="AK2073" s="57"/>
      <c r="AL2073" s="45"/>
      <c r="AM2073" s="45"/>
      <c r="AN2073" s="45"/>
    </row>
    <row r="2074" spans="1:40" hidden="1" outlineLevel="3" x14ac:dyDescent="0.25">
      <c r="A2074" s="45"/>
      <c r="B2074" s="54"/>
      <c r="C2074" s="47">
        <f t="shared" si="438"/>
        <v>4</v>
      </c>
      <c r="D2074" s="73"/>
      <c r="E2074" s="70"/>
      <c r="F2074" s="70" t="s">
        <v>3756</v>
      </c>
      <c r="G2074" s="73"/>
      <c r="H2074" s="76" t="s">
        <v>3621</v>
      </c>
      <c r="I2074" s="76"/>
      <c r="J2074" s="76"/>
      <c r="K2074" s="76"/>
      <c r="L2074" s="76"/>
      <c r="M2074" s="76"/>
      <c r="N2074" s="76"/>
      <c r="O2074" s="76"/>
      <c r="P2074" s="76"/>
      <c r="Q2074" s="76"/>
      <c r="R2074" s="76"/>
      <c r="S2074" s="76"/>
      <c r="T2074" s="76"/>
      <c r="U2074" s="97"/>
      <c r="V2074" s="255">
        <f t="shared" ref="V2074" si="448">U2074</f>
        <v>0</v>
      </c>
      <c r="W2074" s="255">
        <f t="shared" si="439"/>
        <v>0</v>
      </c>
      <c r="X2074" s="255">
        <f t="shared" si="440"/>
        <v>0</v>
      </c>
      <c r="Y2074" s="255">
        <f t="shared" ref="Y2074" si="449">V2074</f>
        <v>0</v>
      </c>
      <c r="Z2074" s="255">
        <f t="shared" ref="Z2074" si="450">AA2074</f>
        <v>0</v>
      </c>
      <c r="AA2074" s="97">
        <f t="shared" si="441"/>
        <v>0</v>
      </c>
      <c r="AB2074" s="255">
        <f t="shared" si="442"/>
        <v>0</v>
      </c>
      <c r="AC2074" s="255">
        <f t="shared" si="443"/>
        <v>0</v>
      </c>
      <c r="AD2074" s="255">
        <f t="shared" si="444"/>
        <v>0</v>
      </c>
      <c r="AE2074" s="76"/>
      <c r="AF2074" s="76"/>
      <c r="AG2074" s="76"/>
      <c r="AH2074" s="76">
        <v>1</v>
      </c>
      <c r="AI2074" s="76">
        <v>1</v>
      </c>
      <c r="AJ2074" s="73"/>
      <c r="AK2074" s="57"/>
      <c r="AL2074" s="45"/>
      <c r="AM2074" s="45"/>
      <c r="AN2074" s="45"/>
    </row>
    <row r="2075" spans="1:40" hidden="1" outlineLevel="3" x14ac:dyDescent="0.25">
      <c r="A2075" s="45"/>
      <c r="B2075" s="54"/>
      <c r="C2075" s="47">
        <f t="shared" si="438"/>
        <v>4</v>
      </c>
      <c r="D2075" s="73"/>
      <c r="E2075" s="70"/>
      <c r="F2075" s="70" t="str">
        <f>SUBSTITUTE(F2071,",4)",",8)")</f>
        <v>C(U6,23,8)</v>
      </c>
      <c r="G2075" s="73"/>
      <c r="H2075" s="377" t="s">
        <v>3375</v>
      </c>
      <c r="I2075" s="9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f t="shared" si="438"/>
        <v>4</v>
      </c>
      <c r="D2076" s="73"/>
      <c r="E2076" s="70"/>
      <c r="F2076" s="70" t="str">
        <f>SUBSTITUTE(F2072,",5)",",9)")</f>
        <v>C(U6,23,9)</v>
      </c>
      <c r="G2076" s="73"/>
      <c r="H2076" s="377" t="s">
        <v>3376</v>
      </c>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 t="shared" si="438"/>
        <v>4</v>
      </c>
      <c r="D2077" s="73"/>
      <c r="E2077" s="70"/>
      <c r="F2077" s="70" t="str">
        <f>SUBSTITUTE(F2073,",6)",",10)")</f>
        <v>C(U6,23,10)</v>
      </c>
      <c r="G2077" s="73"/>
      <c r="H2077" s="377" t="s">
        <v>3377</v>
      </c>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collapsed="1" x14ac:dyDescent="0.25">
      <c r="A2078" s="45"/>
      <c r="B2078" s="54"/>
      <c r="C2078" s="47">
        <f t="shared" si="438"/>
        <v>4</v>
      </c>
      <c r="D2078" s="73"/>
      <c r="E2078" s="70"/>
      <c r="F2078" s="70" t="str">
        <f>SUBSTITUTE(F2074,",7)",",11)")</f>
        <v>C(U6,23,11)</v>
      </c>
      <c r="G2078" s="73"/>
      <c r="H2078" s="377" t="s">
        <v>3378</v>
      </c>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 t="shared" si="438"/>
        <v>4</v>
      </c>
      <c r="D2079" s="73"/>
      <c r="E2079" s="70"/>
      <c r="F2079" s="70" t="str">
        <f>SUBSTITUTE(F2073,",6)",",12)")</f>
        <v>C(U6,23,12)</v>
      </c>
      <c r="G2079" s="73"/>
      <c r="H2079" s="377" t="s">
        <v>3379</v>
      </c>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 t="shared" si="438"/>
        <v>4</v>
      </c>
      <c r="D2080" s="73"/>
      <c r="E2080" s="70"/>
      <c r="F2080" s="70" t="str">
        <f>SUBSTITUTE(F2074,",7)",",13)")</f>
        <v>C(U6,23,13)</v>
      </c>
      <c r="G2080" s="73"/>
      <c r="H2080" s="377" t="s">
        <v>3380</v>
      </c>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outlineLevel="2" x14ac:dyDescent="0.25">
      <c r="A2081" s="45"/>
      <c r="B2081" s="54"/>
      <c r="C2081" s="47">
        <f>INT($C$29)+2</f>
        <v>3</v>
      </c>
      <c r="D2081" s="73"/>
      <c r="E2081" s="70"/>
      <c r="F2081" s="70" t="s">
        <v>3757</v>
      </c>
      <c r="G2081" s="73"/>
      <c r="H2081" s="76" t="s">
        <v>3381</v>
      </c>
      <c r="I2081" s="76"/>
      <c r="J2081" s="76"/>
      <c r="K2081" s="76"/>
      <c r="L2081" s="76"/>
      <c r="M2081" s="76"/>
      <c r="N2081" s="76"/>
      <c r="O2081" s="76"/>
      <c r="P2081" s="76"/>
      <c r="Q2081" s="76"/>
      <c r="R2081" s="76"/>
      <c r="S2081" s="76"/>
      <c r="T2081" s="76"/>
      <c r="U2081" s="97">
        <v>28.52</v>
      </c>
      <c r="V2081" s="255">
        <f t="shared" ref="V2081" si="451">U2081</f>
        <v>28.52</v>
      </c>
      <c r="W2081" s="255">
        <f t="shared" ref="W2081" si="452">U2081</f>
        <v>28.52</v>
      </c>
      <c r="X2081" s="255">
        <f t="shared" ref="X2081" si="453">V2081</f>
        <v>28.52</v>
      </c>
      <c r="Y2081" s="255">
        <f t="shared" ref="Y2081" si="454">V2081</f>
        <v>28.52</v>
      </c>
      <c r="Z2081" s="255">
        <f t="shared" ref="Z2081" si="455">AA2081</f>
        <v>28.52</v>
      </c>
      <c r="AA2081" s="97">
        <f>U2081</f>
        <v>28.52</v>
      </c>
      <c r="AB2081" s="255">
        <f t="shared" ref="AB2081" si="456">AA2081</f>
        <v>28.52</v>
      </c>
      <c r="AC2081" s="255">
        <f t="shared" ref="AC2081" si="457">AB2081</f>
        <v>28.52</v>
      </c>
      <c r="AD2081" s="255">
        <f t="shared" ref="AD2081" si="458">AC2081</f>
        <v>28.52</v>
      </c>
      <c r="AE2081" s="76"/>
      <c r="AF2081" s="97"/>
      <c r="AG2081" s="76"/>
      <c r="AH2081" s="97">
        <v>1</v>
      </c>
      <c r="AI2081" s="97">
        <v>1</v>
      </c>
      <c r="AJ2081" s="73"/>
      <c r="AK2081" s="57"/>
      <c r="AL2081" s="45"/>
      <c r="AM2081" s="45"/>
      <c r="AN2081" s="45"/>
    </row>
    <row r="2082" spans="1:40" outlineLevel="2" x14ac:dyDescent="0.25">
      <c r="A2082" s="45"/>
      <c r="B2082" s="54"/>
      <c r="C2082" s="47">
        <f>INT($C$29)+2</f>
        <v>3</v>
      </c>
      <c r="D2082" s="73"/>
      <c r="E2082" s="70"/>
      <c r="F2082" s="70"/>
      <c r="G2082" s="73"/>
      <c r="H2082" s="76"/>
      <c r="I2082" s="7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c r="AJ2082" s="73"/>
      <c r="AK2082" s="57"/>
      <c r="AL2082" s="45"/>
      <c r="AM2082" s="45"/>
      <c r="AN2082" s="45"/>
    </row>
    <row r="2083" spans="1:40" outlineLevel="2" collapsed="1" x14ac:dyDescent="0.25">
      <c r="A2083" s="45"/>
      <c r="B2083" s="54"/>
      <c r="C2083" s="47">
        <f>INT($C$29)+2</f>
        <v>3</v>
      </c>
      <c r="D2083" s="73"/>
      <c r="E2083" s="70"/>
      <c r="F2083" s="70"/>
      <c r="G2083" s="73"/>
      <c r="H2083" s="76"/>
      <c r="I2083" s="7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c r="AJ2083" s="73"/>
      <c r="AK2083" s="57"/>
      <c r="AL2083" s="45"/>
      <c r="AM2083" s="45"/>
      <c r="AN2083" s="45"/>
    </row>
    <row r="2084" spans="1:40" ht="5.0999999999999996" hidden="1" customHeight="1" outlineLevel="3" x14ac:dyDescent="0.25">
      <c r="A2084" s="45"/>
      <c r="B2084" s="54"/>
      <c r="C2084" s="47">
        <f>INT($C$29)+3.005</f>
        <v>4.0049999999999999</v>
      </c>
      <c r="D2084" s="73"/>
      <c r="E2084" s="73"/>
      <c r="F2084" s="73"/>
      <c r="G2084" s="73"/>
      <c r="H2084" s="73"/>
      <c r="I2084" s="73"/>
      <c r="J2084" s="73"/>
      <c r="K2084" s="73"/>
      <c r="L2084" s="73"/>
      <c r="M2084" s="73"/>
      <c r="N2084" s="73"/>
      <c r="O2084" s="73"/>
      <c r="P2084" s="73"/>
      <c r="Q2084" s="73"/>
      <c r="R2084" s="73"/>
      <c r="S2084" s="73"/>
      <c r="T2084" s="73"/>
      <c r="U2084" s="73"/>
      <c r="V2084" s="73"/>
      <c r="W2084" s="73"/>
      <c r="X2084" s="73"/>
      <c r="Y2084" s="73"/>
      <c r="Z2084" s="73"/>
      <c r="AA2084" s="73"/>
      <c r="AB2084" s="73"/>
      <c r="AC2084" s="73"/>
      <c r="AD2084" s="73"/>
      <c r="AE2084" s="73"/>
      <c r="AF2084" s="73"/>
      <c r="AG2084" s="73"/>
      <c r="AH2084" s="73"/>
      <c r="AI2084" s="73"/>
      <c r="AJ2084" s="73" t="s">
        <v>136</v>
      </c>
      <c r="AK2084" s="57"/>
      <c r="AL2084" s="45"/>
      <c r="AM2084" s="45"/>
      <c r="AN2084" s="45"/>
    </row>
    <row r="2085" spans="1:40" ht="5.0999999999999996" customHeight="1" outlineLevel="2" x14ac:dyDescent="0.25">
      <c r="A2085" s="45"/>
      <c r="B2085" s="54"/>
      <c r="C2085" s="47">
        <f>INT($C$29)+2.005</f>
        <v>3.0049999999999999</v>
      </c>
      <c r="D2085" s="73" t="s">
        <v>132</v>
      </c>
      <c r="E2085" s="73"/>
      <c r="F2085" s="73"/>
      <c r="G2085" s="73"/>
      <c r="H2085" s="73"/>
      <c r="I2085" s="73"/>
      <c r="J2085" s="73"/>
      <c r="K2085" s="73"/>
      <c r="L2085" s="73"/>
      <c r="M2085" s="73"/>
      <c r="N2085" s="73"/>
      <c r="O2085" s="73"/>
      <c r="P2085" s="73"/>
      <c r="Q2085" s="73"/>
      <c r="R2085" s="73"/>
      <c r="S2085" s="73"/>
      <c r="T2085" s="73"/>
      <c r="U2085" s="73"/>
      <c r="V2085" s="73"/>
      <c r="W2085" s="73"/>
      <c r="X2085" s="73"/>
      <c r="Y2085" s="73"/>
      <c r="Z2085" s="73"/>
      <c r="AA2085" s="73"/>
      <c r="AB2085" s="73"/>
      <c r="AC2085" s="73"/>
      <c r="AD2085" s="73"/>
      <c r="AE2085" s="73"/>
      <c r="AF2085" s="73"/>
      <c r="AG2085" s="73"/>
      <c r="AH2085" s="73"/>
      <c r="AI2085" s="73"/>
      <c r="AJ2085" s="73"/>
      <c r="AK2085" s="57"/>
      <c r="AL2085" s="45"/>
      <c r="AM2085" s="45"/>
      <c r="AN2085" s="45"/>
    </row>
    <row r="2086" spans="1:40" outlineLevel="2" x14ac:dyDescent="0.25">
      <c r="A2086" s="45"/>
      <c r="B2086" s="54"/>
      <c r="C2086" s="47">
        <f>INT($C$29)+2</f>
        <v>3</v>
      </c>
      <c r="D2086" s="73"/>
      <c r="E2086" s="70"/>
      <c r="F2086" s="70"/>
      <c r="G2086" s="73"/>
      <c r="H2086" s="76"/>
      <c r="I2086" s="7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c r="AJ2086" s="73"/>
      <c r="AK2086" s="57"/>
      <c r="AL2086" s="45"/>
      <c r="AM2086" s="45"/>
      <c r="AN2086" s="45"/>
    </row>
    <row r="2087" spans="1:40" outlineLevel="2" collapsed="1" x14ac:dyDescent="0.25">
      <c r="A2087" s="45"/>
      <c r="B2087" s="54"/>
      <c r="C2087" s="47">
        <f>INT($C$29)+2</f>
        <v>3</v>
      </c>
      <c r="D2087" s="73"/>
      <c r="E2087" s="70"/>
      <c r="F2087" s="70"/>
      <c r="G2087" s="73"/>
      <c r="H2087" s="76"/>
      <c r="I2087" s="7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c r="AI2087" s="76"/>
      <c r="AJ2087" s="73"/>
      <c r="AK2087" s="57"/>
      <c r="AL2087" s="45"/>
      <c r="AM2087" s="45"/>
      <c r="AN2087" s="45"/>
    </row>
    <row r="2088" spans="1:40" hidden="1" outlineLevel="3" x14ac:dyDescent="0.25">
      <c r="A2088" s="45"/>
      <c r="B2088" s="54"/>
      <c r="C2088" s="47">
        <f>INT($C$29)+3</f>
        <v>4</v>
      </c>
      <c r="D2088" s="73"/>
      <c r="E2088" s="70"/>
      <c r="F2088" s="70"/>
      <c r="G2088" s="73"/>
      <c r="H2088" s="76"/>
      <c r="I2088" s="7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c r="AI2088" s="76"/>
      <c r="AJ2088" s="73"/>
      <c r="AK2088" s="57"/>
      <c r="AL2088" s="45"/>
      <c r="AM2088" s="45"/>
      <c r="AN2088" s="45"/>
    </row>
    <row r="2089" spans="1:40" hidden="1" outlineLevel="3" x14ac:dyDescent="0.25">
      <c r="A2089" s="45"/>
      <c r="B2089" s="54"/>
      <c r="C2089" s="47">
        <f>INT($C$29)+3</f>
        <v>4</v>
      </c>
      <c r="D2089" s="73"/>
      <c r="E2089" s="70"/>
      <c r="F2089" s="70"/>
      <c r="G2089" s="73"/>
      <c r="H2089" s="76"/>
      <c r="I2089" s="7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c r="AI2089" s="76"/>
      <c r="AJ2089" s="73"/>
      <c r="AK2089" s="57"/>
      <c r="AL2089" s="45"/>
      <c r="AM2089" s="45"/>
      <c r="AN2089" s="45"/>
    </row>
    <row r="2090" spans="1:40" hidden="1" outlineLevel="3" x14ac:dyDescent="0.25">
      <c r="A2090" s="45"/>
      <c r="B2090" s="54"/>
      <c r="C2090" s="47">
        <f>INT($C$29)+3</f>
        <v>4</v>
      </c>
      <c r="D2090" s="73"/>
      <c r="E2090" s="70"/>
      <c r="F2090" s="70"/>
      <c r="G2090" s="73"/>
      <c r="H2090" s="76"/>
      <c r="I2090" s="7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c r="AJ2090" s="73"/>
      <c r="AK2090" s="57"/>
      <c r="AL2090" s="45"/>
      <c r="AM2090" s="45"/>
      <c r="AN2090" s="45"/>
    </row>
    <row r="2091" spans="1:40" ht="5.0999999999999996" hidden="1" customHeight="1" outlineLevel="3" x14ac:dyDescent="0.25">
      <c r="A2091" s="45"/>
      <c r="B2091" s="54"/>
      <c r="C2091" s="47">
        <f>INT($C$29)+3.005</f>
        <v>4.0049999999999999</v>
      </c>
      <c r="D2091" s="73"/>
      <c r="E2091" s="73"/>
      <c r="F2091" s="73"/>
      <c r="G2091" s="73"/>
      <c r="H2091" s="73"/>
      <c r="I2091" s="73"/>
      <c r="J2091" s="73"/>
      <c r="K2091" s="73"/>
      <c r="L2091" s="73"/>
      <c r="M2091" s="73"/>
      <c r="N2091" s="73"/>
      <c r="O2091" s="73"/>
      <c r="P2091" s="73"/>
      <c r="Q2091" s="73"/>
      <c r="R2091" s="73"/>
      <c r="S2091" s="73"/>
      <c r="T2091" s="73"/>
      <c r="U2091" s="73"/>
      <c r="V2091" s="73"/>
      <c r="W2091" s="73"/>
      <c r="X2091" s="73"/>
      <c r="Y2091" s="73"/>
      <c r="Z2091" s="73"/>
      <c r="AA2091" s="73"/>
      <c r="AB2091" s="73"/>
      <c r="AC2091" s="73"/>
      <c r="AD2091" s="73"/>
      <c r="AE2091" s="76"/>
      <c r="AF2091" s="73"/>
      <c r="AG2091" s="73"/>
      <c r="AH2091" s="73"/>
      <c r="AI2091" s="73"/>
      <c r="AJ2091" s="73" t="s">
        <v>136</v>
      </c>
      <c r="AK2091" s="57"/>
      <c r="AL2091" s="45"/>
      <c r="AM2091" s="45"/>
      <c r="AN2091" s="45"/>
    </row>
    <row r="2092" spans="1:40" ht="5.0999999999999996" customHeight="1" outlineLevel="2" x14ac:dyDescent="0.25">
      <c r="A2092" s="45"/>
      <c r="B2092" s="54"/>
      <c r="C2092" s="47">
        <f>INT($C$29)+2.005</f>
        <v>3.0049999999999999</v>
      </c>
      <c r="D2092" s="73"/>
      <c r="E2092" s="73"/>
      <c r="F2092" s="73"/>
      <c r="G2092" s="73"/>
      <c r="H2092" s="73"/>
      <c r="I2092" s="73"/>
      <c r="J2092" s="73"/>
      <c r="K2092" s="73"/>
      <c r="L2092" s="73"/>
      <c r="M2092" s="73"/>
      <c r="N2092" s="73"/>
      <c r="O2092" s="73"/>
      <c r="P2092" s="73"/>
      <c r="Q2092" s="73"/>
      <c r="R2092" s="73"/>
      <c r="S2092" s="73"/>
      <c r="T2092" s="73"/>
      <c r="U2092" s="73"/>
      <c r="V2092" s="73"/>
      <c r="W2092" s="73"/>
      <c r="X2092" s="73"/>
      <c r="Y2092" s="73"/>
      <c r="Z2092" s="73"/>
      <c r="AA2092" s="73"/>
      <c r="AB2092" s="73"/>
      <c r="AC2092" s="73"/>
      <c r="AD2092" s="73"/>
      <c r="AE2092" s="76"/>
      <c r="AF2092" s="73"/>
      <c r="AG2092" s="73"/>
      <c r="AH2092" s="73"/>
      <c r="AI2092" s="73"/>
      <c r="AJ2092" s="73"/>
      <c r="AK2092" s="57"/>
      <c r="AL2092" s="45"/>
      <c r="AM2092" s="45"/>
      <c r="AN2092" s="45"/>
    </row>
    <row r="2093" spans="1:40" ht="5.0999999999999996" customHeight="1" outlineLevel="1" x14ac:dyDescent="0.25">
      <c r="A2093" s="45"/>
      <c r="B2093" s="81"/>
      <c r="C2093" s="82">
        <f>INT($C$29)+1.005</f>
        <v>2.0049999999999999</v>
      </c>
      <c r="D2093" s="83"/>
      <c r="E2093" s="83"/>
      <c r="F2093" s="83"/>
      <c r="G2093" s="83"/>
      <c r="H2093" s="83"/>
      <c r="I2093" s="83"/>
      <c r="J2093" s="83"/>
      <c r="K2093" s="83"/>
      <c r="L2093" s="83"/>
      <c r="M2093" s="83"/>
      <c r="N2093" s="83"/>
      <c r="O2093" s="83"/>
      <c r="P2093" s="83"/>
      <c r="Q2093" s="83"/>
      <c r="R2093" s="83"/>
      <c r="S2093" s="83"/>
      <c r="T2093" s="83"/>
      <c r="U2093" s="83"/>
      <c r="V2093" s="83"/>
      <c r="W2093" s="83"/>
      <c r="X2093" s="83"/>
      <c r="Y2093" s="83"/>
      <c r="Z2093" s="83"/>
      <c r="AA2093" s="83"/>
      <c r="AB2093" s="83"/>
      <c r="AC2093" s="83"/>
      <c r="AD2093" s="83"/>
      <c r="AE2093" s="83"/>
      <c r="AF2093" s="83"/>
      <c r="AG2093" s="83"/>
      <c r="AH2093" s="83"/>
      <c r="AI2093" s="83"/>
      <c r="AJ2093" s="83"/>
      <c r="AK2093" s="84" t="s">
        <v>145</v>
      </c>
      <c r="AL2093" s="45"/>
      <c r="AM2093" s="45"/>
      <c r="AN2093" s="45"/>
    </row>
    <row r="2094" spans="1:40" ht="5.0999999999999996" customHeight="1" collapsed="1" x14ac:dyDescent="0.25">
      <c r="A2094" s="45"/>
      <c r="B2094" s="85"/>
      <c r="C2094" s="86">
        <f>INT($C$29)+0.005</f>
        <v>1.0049999999999999</v>
      </c>
      <c r="D2094" s="85"/>
      <c r="E2094" s="85"/>
      <c r="F2094" s="85"/>
      <c r="G2094" s="85"/>
      <c r="H2094" s="85"/>
      <c r="I2094" s="85"/>
      <c r="J2094" s="85"/>
      <c r="K2094" s="85"/>
      <c r="L2094" s="85"/>
      <c r="M2094" s="85"/>
      <c r="N2094" s="85"/>
      <c r="O2094" s="85"/>
      <c r="P2094" s="85"/>
      <c r="Q2094" s="85"/>
      <c r="R2094" s="85"/>
      <c r="S2094" s="85"/>
      <c r="T2094" s="85"/>
      <c r="U2094" s="85"/>
      <c r="V2094" s="85"/>
      <c r="W2094" s="85"/>
      <c r="X2094" s="85"/>
      <c r="Y2094" s="85"/>
      <c r="Z2094" s="85"/>
      <c r="AA2094" s="85"/>
      <c r="AB2094" s="85"/>
      <c r="AC2094" s="85"/>
      <c r="AD2094" s="85"/>
      <c r="AE2094" s="85"/>
      <c r="AF2094" s="85"/>
      <c r="AG2094" s="85"/>
      <c r="AH2094" s="85"/>
      <c r="AI2094" s="85"/>
      <c r="AJ2094" s="85"/>
      <c r="AK2094" s="85"/>
      <c r="AL2094" s="45"/>
      <c r="AM2094" s="45"/>
      <c r="AN2094" s="45"/>
    </row>
    <row r="2095" spans="1:40" hidden="1" outlineLevel="2" x14ac:dyDescent="0.25">
      <c r="A2095" s="45"/>
      <c r="B2095" s="45"/>
      <c r="C2095" s="47">
        <f>INT($C$29)+2</f>
        <v>3</v>
      </c>
      <c r="D2095" s="45"/>
      <c r="E2095" s="45"/>
      <c r="F2095" s="45"/>
      <c r="G2095" s="45"/>
      <c r="H2095" s="45"/>
      <c r="I2095" s="45"/>
      <c r="J2095" s="45"/>
      <c r="K2095" s="45"/>
      <c r="L2095" s="45"/>
      <c r="M2095" s="45"/>
      <c r="N2095" s="45"/>
      <c r="O2095" s="45"/>
      <c r="P2095" s="45"/>
      <c r="Q2095" s="45"/>
      <c r="R2095" s="45"/>
      <c r="S2095" s="45"/>
      <c r="T2095" s="45"/>
      <c r="U2095" s="45"/>
      <c r="V2095" s="45"/>
      <c r="W2095" s="45"/>
      <c r="X2095" s="45"/>
      <c r="Y2095" s="45"/>
      <c r="Z2095" s="45"/>
      <c r="AA2095" s="45"/>
      <c r="AB2095" s="45"/>
      <c r="AC2095" s="45"/>
      <c r="AD2095" s="45"/>
      <c r="AE2095" s="45"/>
      <c r="AF2095" s="45"/>
      <c r="AG2095" s="45"/>
      <c r="AH2095" s="45"/>
      <c r="AI2095" s="45"/>
      <c r="AJ2095" s="45"/>
      <c r="AK2095" s="45"/>
      <c r="AL2095" s="45"/>
      <c r="AM2095" s="45"/>
      <c r="AN2095" s="45"/>
    </row>
    <row r="2096" spans="1:40" x14ac:dyDescent="0.25">
      <c r="A2096" s="45"/>
      <c r="B2096" s="45"/>
      <c r="C2096" s="46"/>
      <c r="D2096" s="45"/>
      <c r="E2096" s="45"/>
      <c r="F2096" s="45"/>
      <c r="G2096" s="45"/>
      <c r="H2096" s="45"/>
      <c r="I2096" s="45"/>
      <c r="J2096" s="45"/>
      <c r="K2096" s="45"/>
      <c r="L2096" s="45"/>
      <c r="M2096" s="45"/>
      <c r="N2096" s="45"/>
      <c r="O2096" s="45"/>
      <c r="P2096" s="45"/>
      <c r="Q2096" s="45"/>
      <c r="R2096" s="45"/>
      <c r="S2096" s="45"/>
      <c r="T2096" s="45"/>
      <c r="U2096" s="45"/>
      <c r="V2096" s="45"/>
      <c r="W2096" s="45"/>
      <c r="X2096" s="45"/>
      <c r="Y2096" s="45"/>
      <c r="Z2096" s="45"/>
      <c r="AA2096" s="45"/>
      <c r="AB2096" s="45"/>
      <c r="AC2096" s="45"/>
      <c r="AD2096" s="45"/>
      <c r="AE2096" s="45"/>
      <c r="AF2096" s="45"/>
      <c r="AG2096" s="45"/>
      <c r="AH2096" s="45"/>
      <c r="AI2096" s="45"/>
      <c r="AJ2096" s="45"/>
      <c r="AK2096" s="45"/>
      <c r="AL2096" s="45"/>
      <c r="AM2096" s="45"/>
      <c r="AN2096" s="45"/>
    </row>
    <row r="2097" spans="1:40" x14ac:dyDescent="0.25">
      <c r="A2097" s="45"/>
      <c r="B2097" s="45"/>
      <c r="C2097" s="46"/>
      <c r="D2097" s="45"/>
      <c r="E2097" s="45"/>
      <c r="F2097" s="45"/>
      <c r="G2097" s="45"/>
      <c r="H2097" s="45"/>
      <c r="I2097" s="45"/>
      <c r="J2097" s="45"/>
      <c r="K2097" s="45"/>
      <c r="L2097" s="45"/>
      <c r="M2097" s="45"/>
      <c r="N2097" s="45"/>
      <c r="O2097" s="45"/>
      <c r="P2097" s="45"/>
      <c r="Q2097" s="45"/>
      <c r="R2097" s="45"/>
      <c r="S2097" s="45"/>
      <c r="T2097" s="45"/>
      <c r="U2097" s="45"/>
      <c r="V2097" s="45"/>
      <c r="W2097" s="45"/>
      <c r="X2097" s="45"/>
      <c r="Y2097" s="45"/>
      <c r="Z2097" s="45"/>
      <c r="AA2097" s="45"/>
      <c r="AB2097" s="45"/>
      <c r="AC2097" s="45"/>
      <c r="AD2097" s="45"/>
      <c r="AE2097" s="45"/>
      <c r="AF2097" s="45"/>
      <c r="AG2097" s="45"/>
      <c r="AH2097" s="45"/>
      <c r="AI2097" s="45"/>
      <c r="AJ2097" s="45"/>
      <c r="AK2097" s="45"/>
      <c r="AL2097" s="45"/>
      <c r="AM2097" s="45"/>
      <c r="AN2097" s="45"/>
    </row>
    <row r="2098" spans="1:40" x14ac:dyDescent="0.25">
      <c r="A2098" s="45"/>
      <c r="B2098" s="45"/>
      <c r="C2098" s="46"/>
      <c r="D2098" s="45"/>
      <c r="E2098" s="45"/>
      <c r="F2098" s="45"/>
      <c r="G2098" s="45"/>
      <c r="H2098" s="45"/>
      <c r="I2098" s="45"/>
      <c r="J2098" s="45"/>
      <c r="K2098" s="45"/>
      <c r="L2098" s="45"/>
      <c r="M2098" s="45"/>
      <c r="N2098" s="45"/>
      <c r="O2098" s="45"/>
      <c r="P2098" s="45"/>
      <c r="Q2098" s="45"/>
      <c r="R2098" s="45"/>
      <c r="S2098" s="45"/>
      <c r="T2098" s="45"/>
      <c r="U2098" s="45"/>
      <c r="V2098" s="45"/>
      <c r="W2098" s="45"/>
      <c r="X2098" s="45"/>
      <c r="Y2098" s="45"/>
      <c r="Z2098" s="45"/>
      <c r="AA2098" s="45"/>
      <c r="AB2098" s="45"/>
      <c r="AC2098" s="45"/>
      <c r="AD2098" s="45"/>
      <c r="AE2098" s="45"/>
      <c r="AF2098" s="45"/>
      <c r="AG2098" s="45"/>
      <c r="AH2098" s="45"/>
      <c r="AI2098" s="45"/>
      <c r="AJ2098" s="45"/>
      <c r="AK2098" s="45"/>
      <c r="AL2098" s="45"/>
      <c r="AM2098" s="45"/>
      <c r="AN2098" s="45"/>
    </row>
    <row r="2099" spans="1:40" x14ac:dyDescent="0.25">
      <c r="A2099" s="45"/>
      <c r="B2099" s="45"/>
      <c r="C2099" s="46"/>
      <c r="D2099" s="45"/>
      <c r="E2099" s="45"/>
      <c r="F2099" s="45"/>
      <c r="G2099" s="45"/>
      <c r="H2099" s="45"/>
      <c r="I2099" s="45"/>
      <c r="J2099" s="45"/>
      <c r="K2099" s="45"/>
      <c r="L2099" s="45"/>
      <c r="M2099" s="45"/>
      <c r="N2099" s="45"/>
      <c r="O2099" s="45"/>
      <c r="P2099" s="45"/>
      <c r="Q2099" s="45"/>
      <c r="R2099" s="45"/>
      <c r="S2099" s="45"/>
      <c r="T2099" s="45"/>
      <c r="U2099" s="45"/>
      <c r="V2099" s="45"/>
      <c r="W2099" s="45"/>
      <c r="X2099" s="45"/>
      <c r="Y2099" s="45"/>
      <c r="Z2099" s="45"/>
      <c r="AA2099" s="45"/>
      <c r="AB2099" s="45"/>
      <c r="AC2099" s="45"/>
      <c r="AD2099" s="45"/>
      <c r="AE2099" s="45"/>
      <c r="AF2099" s="45"/>
      <c r="AG2099" s="45"/>
      <c r="AH2099" s="45"/>
      <c r="AI2099" s="45"/>
      <c r="AJ2099" s="45"/>
      <c r="AK2099" s="45"/>
      <c r="AL2099" s="45"/>
      <c r="AM2099" s="45"/>
      <c r="AN2099" s="45"/>
    </row>
    <row r="2100" spans="1:40" x14ac:dyDescent="0.25">
      <c r="A2100" s="45"/>
      <c r="B2100" s="45"/>
      <c r="C2100" s="46"/>
      <c r="D2100" s="45"/>
      <c r="E2100" s="45"/>
      <c r="F2100" s="45"/>
      <c r="G2100" s="45"/>
      <c r="H2100" s="45"/>
      <c r="I2100" s="45"/>
      <c r="J2100" s="45"/>
      <c r="K2100" s="45"/>
      <c r="L2100" s="45"/>
      <c r="M2100" s="45"/>
      <c r="N2100" s="45"/>
      <c r="O2100" s="45"/>
      <c r="P2100" s="45"/>
      <c r="Q2100" s="45"/>
      <c r="R2100" s="45"/>
      <c r="S2100" s="45"/>
      <c r="T2100" s="45"/>
      <c r="U2100" s="45"/>
      <c r="V2100" s="45"/>
      <c r="W2100" s="45"/>
      <c r="X2100" s="45"/>
      <c r="Y2100" s="45"/>
      <c r="Z2100" s="45"/>
      <c r="AA2100" s="45"/>
      <c r="AB2100" s="45"/>
      <c r="AC2100" s="45"/>
      <c r="AD2100" s="45"/>
      <c r="AE2100" s="45"/>
      <c r="AF2100" s="45"/>
      <c r="AG2100" s="45"/>
      <c r="AH2100" s="45"/>
      <c r="AI2100" s="45"/>
      <c r="AJ2100" s="45"/>
      <c r="AK2100" s="45"/>
      <c r="AL2100" s="45"/>
      <c r="AM2100" s="45"/>
      <c r="AN2100" s="45"/>
    </row>
    <row r="2101" spans="1:40" x14ac:dyDescent="0.25">
      <c r="A2101" s="45"/>
      <c r="B2101" s="45"/>
      <c r="C2101" s="46"/>
      <c r="D2101" s="45"/>
      <c r="E2101" s="45"/>
      <c r="F2101" s="45"/>
      <c r="G2101" s="45"/>
      <c r="H2101" s="45"/>
      <c r="I2101" s="45"/>
      <c r="J2101" s="45"/>
      <c r="K2101" s="45"/>
      <c r="L2101" s="45"/>
      <c r="M2101" s="45"/>
      <c r="N2101" s="45"/>
      <c r="O2101" s="45"/>
      <c r="P2101" s="45"/>
      <c r="Q2101" s="45"/>
      <c r="R2101" s="45"/>
      <c r="S2101" s="45"/>
      <c r="T2101" s="45"/>
      <c r="U2101" s="45"/>
      <c r="V2101" s="45"/>
      <c r="W2101" s="45"/>
      <c r="X2101" s="45"/>
      <c r="Y2101" s="45"/>
      <c r="Z2101" s="45"/>
      <c r="AA2101" s="45"/>
      <c r="AB2101" s="45"/>
      <c r="AC2101" s="45"/>
      <c r="AD2101" s="45"/>
      <c r="AE2101" s="45"/>
      <c r="AF2101" s="45"/>
      <c r="AG2101" s="45"/>
      <c r="AH2101" s="45"/>
      <c r="AI2101" s="45"/>
      <c r="AJ2101" s="45"/>
      <c r="AK2101" s="45"/>
      <c r="AL2101" s="45"/>
      <c r="AM2101" s="45"/>
      <c r="AN2101" s="45"/>
    </row>
    <row r="2102" spans="1:40" x14ac:dyDescent="0.25">
      <c r="C2102" s="233" t="s">
        <v>419</v>
      </c>
    </row>
  </sheetData>
  <autoFilter ref="E36:AJ2095"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92" activePane="bottomRight" state="frozen"/>
      <selection activeCell="A3" sqref="A3"/>
      <selection pane="topRight" activeCell="K3" sqref="K3"/>
      <selection pane="bottomLeft" activeCell="A51" sqref="A51"/>
      <selection pane="bottomRight" activeCell="K78" sqref="K78"/>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5" t="s">
        <v>2353</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2" t="s">
        <v>2364</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2229</v>
      </c>
      <c r="L35" s="72"/>
      <c r="M35" s="72"/>
      <c r="N35" s="72"/>
      <c r="O35" s="72"/>
      <c r="P35" s="72"/>
      <c r="Q35" s="72"/>
      <c r="R35" s="72" t="s">
        <v>2066</v>
      </c>
      <c r="S35" s="239" t="s">
        <v>2355</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2068</v>
      </c>
      <c r="I41" s="76" t="s">
        <v>2069</v>
      </c>
      <c r="J41" s="76"/>
      <c r="K41" s="97">
        <f>30/1000</f>
        <v>0.03</v>
      </c>
      <c r="L41" s="76"/>
      <c r="M41" s="76"/>
      <c r="N41" s="76"/>
      <c r="O41" s="76"/>
      <c r="P41" s="76"/>
      <c r="Q41" s="76"/>
      <c r="R41" s="97" t="s">
        <v>2338</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2339</v>
      </c>
      <c r="I42" s="76" t="s">
        <v>2340</v>
      </c>
      <c r="J42" s="76"/>
      <c r="K42" s="97">
        <v>200</v>
      </c>
      <c r="L42" s="76"/>
      <c r="M42" s="76"/>
      <c r="N42" s="76"/>
      <c r="O42" s="76"/>
      <c r="P42" s="76"/>
      <c r="Q42" s="76"/>
      <c r="R42" s="97" t="s">
        <v>2363</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25">
      <c r="A48" s="45"/>
      <c r="B48" s="54"/>
      <c r="C48" s="87">
        <f>INT($C$29)+2</f>
        <v>3</v>
      </c>
      <c r="D48" s="73"/>
      <c r="E48" s="70" t="s">
        <v>2073</v>
      </c>
      <c r="F48" s="70" t="s">
        <v>2074</v>
      </c>
      <c r="G48" s="73"/>
      <c r="H48" s="306" t="s">
        <v>2341</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2079</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2082</v>
      </c>
      <c r="G58" s="73"/>
      <c r="H58" s="306" t="s">
        <v>2342</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2079</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2088</v>
      </c>
      <c r="G68" s="73"/>
      <c r="H68" s="306" t="s">
        <v>2343</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2350</v>
      </c>
      <c r="T78" s="76"/>
      <c r="U78" s="76" t="s">
        <v>2351</v>
      </c>
      <c r="V78" s="76" t="s">
        <v>2352</v>
      </c>
      <c r="W78" s="76"/>
      <c r="X78" s="76"/>
      <c r="Y78" s="76"/>
      <c r="Z78" s="73"/>
      <c r="AA78" s="57"/>
      <c r="AB78" s="45"/>
      <c r="AC78" s="45"/>
      <c r="AD78" s="45"/>
    </row>
    <row r="79" spans="1:30" outlineLevel="3" x14ac:dyDescent="0.25">
      <c r="A79" s="45"/>
      <c r="B79" s="54"/>
      <c r="C79" s="87">
        <f t="shared" si="0"/>
        <v>4</v>
      </c>
      <c r="D79" s="73"/>
      <c r="E79" s="70" t="s">
        <v>2095</v>
      </c>
      <c r="F79" s="70" t="s">
        <v>2096</v>
      </c>
      <c r="G79" s="73"/>
      <c r="H79" s="306" t="s">
        <v>2344</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2354</v>
      </c>
      <c r="Y82" s="76" t="s">
        <v>2356</v>
      </c>
      <c r="Z82" s="73"/>
      <c r="AA82" s="57"/>
      <c r="AB82" s="45"/>
      <c r="AC82" s="45"/>
      <c r="AD82" s="45"/>
    </row>
    <row r="83" spans="1:30" outlineLevel="3" x14ac:dyDescent="0.2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2102</v>
      </c>
      <c r="G89" s="73"/>
      <c r="H89" s="306" t="s">
        <v>2345</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2108</v>
      </c>
      <c r="G99" s="73"/>
      <c r="H99" s="306" t="s">
        <v>2346</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2114</v>
      </c>
      <c r="G109" s="73"/>
      <c r="H109" s="306" t="s">
        <v>2347</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2120</v>
      </c>
      <c r="G119" s="73"/>
      <c r="H119" s="306" t="s">
        <v>2348</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2127</v>
      </c>
      <c r="G129" s="73"/>
      <c r="H129" s="306" t="s">
        <v>2349</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2894</v>
      </c>
      <c r="B3" s="491">
        <v>6.9999999999999994E-5</v>
      </c>
      <c r="C3" s="1" t="s">
        <v>2898</v>
      </c>
    </row>
    <row r="4" spans="1:3" x14ac:dyDescent="0.25">
      <c r="A4" t="s">
        <v>2895</v>
      </c>
      <c r="B4" s="491">
        <v>1.2999999999999999E-4</v>
      </c>
      <c r="C4" s="1" t="s">
        <v>2899</v>
      </c>
    </row>
    <row r="5" spans="1:3" x14ac:dyDescent="0.25">
      <c r="A5" t="s">
        <v>2896</v>
      </c>
      <c r="B5" s="491">
        <v>1.9000000000000001E-4</v>
      </c>
      <c r="C5" s="1" t="s">
        <v>2900</v>
      </c>
    </row>
    <row r="6" spans="1:3" x14ac:dyDescent="0.25">
      <c r="A6" t="s">
        <v>2897</v>
      </c>
      <c r="B6" s="491">
        <v>1.9000000000000001E-4</v>
      </c>
      <c r="C6" s="1" t="s">
        <v>2899</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2906</v>
      </c>
      <c r="B14"/>
    </row>
    <row r="15" spans="1:3" x14ac:dyDescent="0.25">
      <c r="A15" s="341" t="str">
        <f>General!G65</f>
        <v>b</v>
      </c>
      <c r="B15">
        <v>20</v>
      </c>
      <c r="C15" s="1" t="s">
        <v>2904</v>
      </c>
    </row>
    <row r="16" spans="1:3" x14ac:dyDescent="0.25">
      <c r="A16" s="341" t="str">
        <f>General!G66</f>
        <v>bd</v>
      </c>
      <c r="B16">
        <v>20</v>
      </c>
      <c r="C16" s="1" t="s">
        <v>2904</v>
      </c>
    </row>
    <row r="17" spans="1:3" x14ac:dyDescent="0.25">
      <c r="A17" s="341" t="str">
        <f>General!G67</f>
        <v>f</v>
      </c>
      <c r="B17">
        <v>7</v>
      </c>
      <c r="C17" s="1" t="s">
        <v>2904</v>
      </c>
    </row>
    <row r="18" spans="1:3" x14ac:dyDescent="0.25">
      <c r="A18" s="341" t="str">
        <f>General!G68</f>
        <v>h</v>
      </c>
      <c r="B18">
        <v>20</v>
      </c>
      <c r="C18" s="1" t="s">
        <v>2904</v>
      </c>
    </row>
    <row r="19" spans="1:3" x14ac:dyDescent="0.25">
      <c r="A19" s="341" t="str">
        <f>General!G69</f>
        <v>i</v>
      </c>
      <c r="B19">
        <v>7</v>
      </c>
      <c r="C19" s="1" t="s">
        <v>2904</v>
      </c>
    </row>
    <row r="20" spans="1:3" x14ac:dyDescent="0.25">
      <c r="A20" s="341" t="str">
        <f>General!G70</f>
        <v>k</v>
      </c>
      <c r="B20">
        <v>7</v>
      </c>
      <c r="C20" s="1" t="s">
        <v>2904</v>
      </c>
    </row>
    <row r="21" spans="1:3" x14ac:dyDescent="0.25">
      <c r="A21" s="341" t="str">
        <f>General!G71</f>
        <v>l</v>
      </c>
      <c r="B21">
        <v>7</v>
      </c>
      <c r="C21" s="1" t="s">
        <v>2904</v>
      </c>
    </row>
    <row r="22" spans="1:3" x14ac:dyDescent="0.25">
      <c r="A22" s="341" t="str">
        <f>General!G72</f>
        <v>lf</v>
      </c>
      <c r="B22">
        <v>7</v>
      </c>
      <c r="C22" s="1" t="s">
        <v>2904</v>
      </c>
    </row>
    <row r="23" spans="1:3" x14ac:dyDescent="0.25">
      <c r="A23" s="341" t="str">
        <f>General!G73</f>
        <v>ms</v>
      </c>
      <c r="B23" s="528">
        <f>0.65*B15+0.35*B21</f>
        <v>15.45</v>
      </c>
      <c r="C23" s="1" t="s">
        <v>2904</v>
      </c>
    </row>
    <row r="24" spans="1:3" x14ac:dyDescent="0.25">
      <c r="A24" s="341" t="str">
        <f>General!G74</f>
        <v>o</v>
      </c>
      <c r="B24">
        <v>20</v>
      </c>
      <c r="C24" s="1" t="s">
        <v>2904</v>
      </c>
    </row>
    <row r="25" spans="1:3" x14ac:dyDescent="0.25">
      <c r="A25" s="341" t="str">
        <f>General!G75</f>
        <v>od</v>
      </c>
      <c r="B25">
        <v>20</v>
      </c>
      <c r="C25" s="1" t="s">
        <v>2904</v>
      </c>
    </row>
    <row r="26" spans="1:3" x14ac:dyDescent="0.25">
      <c r="A26" s="341" t="str">
        <f>General!G76</f>
        <v>of</v>
      </c>
      <c r="B26">
        <v>20</v>
      </c>
      <c r="C26" s="1" t="s">
        <v>2904</v>
      </c>
    </row>
    <row r="27" spans="1:3" x14ac:dyDescent="0.25">
      <c r="A27" s="341" t="str">
        <f>General!G77</f>
        <v>r</v>
      </c>
      <c r="B27">
        <v>7</v>
      </c>
      <c r="C27" s="1" t="s">
        <v>2904</v>
      </c>
    </row>
    <row r="28" spans="1:3" x14ac:dyDescent="0.25">
      <c r="A28" s="341" t="str">
        <f>General!G78</f>
        <v>rd</v>
      </c>
      <c r="B28">
        <v>7</v>
      </c>
      <c r="C28" s="1" t="s">
        <v>2904</v>
      </c>
    </row>
    <row r="29" spans="1:3" x14ac:dyDescent="0.25">
      <c r="A29" s="341" t="str">
        <f>General!G79</f>
        <v>v</v>
      </c>
      <c r="B29">
        <v>7</v>
      </c>
      <c r="C29" s="1" t="s">
        <v>2904</v>
      </c>
    </row>
    <row r="30" spans="1:3" x14ac:dyDescent="0.25">
      <c r="A30" s="341" t="str">
        <f>General!G80</f>
        <v>w</v>
      </c>
      <c r="B30">
        <v>20</v>
      </c>
      <c r="C30" s="1" t="s">
        <v>2904</v>
      </c>
    </row>
    <row r="31" spans="1:3" x14ac:dyDescent="0.25">
      <c r="A31" s="341" t="str">
        <f>General!G81</f>
        <v>wd</v>
      </c>
      <c r="B31">
        <v>20</v>
      </c>
      <c r="C31" s="1" t="s">
        <v>2904</v>
      </c>
    </row>
    <row r="32" spans="1:3" x14ac:dyDescent="0.25">
      <c r="A32" s="341" t="str">
        <f>General!G82</f>
        <v>z</v>
      </c>
      <c r="B32">
        <v>7</v>
      </c>
      <c r="C32" s="1" t="s">
        <v>2904</v>
      </c>
    </row>
    <row r="33" spans="1:3" x14ac:dyDescent="0.25">
      <c r="A33" s="341" t="str">
        <f>General!G83</f>
        <v>zd</v>
      </c>
      <c r="B33">
        <v>7</v>
      </c>
      <c r="C33" s="1" t="s">
        <v>2904</v>
      </c>
    </row>
    <row r="35" spans="1:3" x14ac:dyDescent="0.2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2901</v>
      </c>
      <c r="F11" t="s">
        <v>2902</v>
      </c>
    </row>
    <row r="12" spans="1:17" x14ac:dyDescent="0.25">
      <c r="A12" t="s">
        <v>2771</v>
      </c>
      <c r="B12">
        <v>188000</v>
      </c>
      <c r="C12" s="44">
        <v>1</v>
      </c>
      <c r="D12" s="44">
        <v>0</v>
      </c>
      <c r="E12" s="44">
        <v>0</v>
      </c>
      <c r="F12" s="44">
        <v>0</v>
      </c>
    </row>
    <row r="13" spans="1:17" x14ac:dyDescent="0.25">
      <c r="A13" t="s">
        <v>2769</v>
      </c>
      <c r="B13">
        <v>87000</v>
      </c>
      <c r="C13" s="44">
        <v>1</v>
      </c>
      <c r="D13" s="44">
        <v>0</v>
      </c>
      <c r="E13" s="44">
        <v>0</v>
      </c>
      <c r="F13" s="44">
        <v>0</v>
      </c>
    </row>
    <row r="14" spans="1:17" x14ac:dyDescent="0.25">
      <c r="A14" t="s">
        <v>2770</v>
      </c>
      <c r="B14">
        <v>297000</v>
      </c>
      <c r="C14" s="44">
        <v>0</v>
      </c>
      <c r="D14" s="44">
        <v>1</v>
      </c>
      <c r="E14" s="44">
        <v>0</v>
      </c>
      <c r="F14" s="44">
        <v>0</v>
      </c>
    </row>
    <row r="15" spans="1:17" x14ac:dyDescent="0.25">
      <c r="A15" t="s">
        <v>119</v>
      </c>
      <c r="B15">
        <v>30000</v>
      </c>
      <c r="C15" s="44">
        <v>0</v>
      </c>
      <c r="D15" s="44">
        <v>1</v>
      </c>
      <c r="E15" s="44">
        <v>0</v>
      </c>
      <c r="F15" s="44">
        <v>0</v>
      </c>
      <c r="Q15" s="481"/>
    </row>
    <row r="16" spans="1:17" x14ac:dyDescent="0.25">
      <c r="A16" t="s">
        <v>2772</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2774</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2773</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2767</v>
      </c>
      <c r="B30" s="436">
        <v>1</v>
      </c>
    </row>
    <row r="31" spans="1:6" ht="7.35" customHeight="1" x14ac:dyDescent="0.25"/>
    <row r="32" spans="1:6" x14ac:dyDescent="0.25">
      <c r="A32" t="s">
        <v>2908</v>
      </c>
      <c r="B32">
        <v>8.6999999999999993</v>
      </c>
      <c r="C32" s="1" t="s">
        <v>2907</v>
      </c>
    </row>
    <row r="33" spans="1:3" ht="7.15" customHeight="1" x14ac:dyDescent="0.25"/>
    <row r="34" spans="1:3" x14ac:dyDescent="0.25">
      <c r="A34" t="s">
        <v>3294</v>
      </c>
      <c r="B34">
        <v>50</v>
      </c>
      <c r="C34" s="1" t="s">
        <v>2910</v>
      </c>
    </row>
    <row r="35" spans="1:3" ht="7.15" customHeight="1" x14ac:dyDescent="0.25"/>
    <row r="36" spans="1:3" x14ac:dyDescent="0.25">
      <c r="A36" t="s">
        <v>3295</v>
      </c>
      <c r="B36">
        <v>60</v>
      </c>
      <c r="C36" s="1" t="s">
        <v>3297</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5" x14ac:dyDescent="0.25">
      <c r="A65" s="341" t="str">
        <f>General!I91</f>
        <v>w</v>
      </c>
      <c r="B65">
        <v>1</v>
      </c>
    </row>
    <row r="66" spans="1:5" x14ac:dyDescent="0.25">
      <c r="A66" s="341" t="str">
        <f>General!I92</f>
        <v>wd</v>
      </c>
      <c r="B66">
        <v>1</v>
      </c>
    </row>
    <row r="67" spans="1:5" x14ac:dyDescent="0.25">
      <c r="A67" s="341" t="str">
        <f>General!I93</f>
        <v>x</v>
      </c>
      <c r="B67">
        <v>1</v>
      </c>
    </row>
    <row r="68" spans="1:5" x14ac:dyDescent="0.25">
      <c r="A68" s="341" t="str">
        <f>General!I94</f>
        <v>xc</v>
      </c>
      <c r="B68">
        <v>1</v>
      </c>
    </row>
    <row r="69" spans="1:5" x14ac:dyDescent="0.25">
      <c r="A69" s="341" t="str">
        <f>General!I95</f>
        <v>z</v>
      </c>
      <c r="B69">
        <v>1</v>
      </c>
    </row>
    <row r="70" spans="1:5" x14ac:dyDescent="0.25">
      <c r="A70" s="341" t="str">
        <f>General!I96</f>
        <v>zd</v>
      </c>
      <c r="B70">
        <v>1</v>
      </c>
    </row>
    <row r="72" spans="1:5" x14ac:dyDescent="0.25">
      <c r="A72" s="3" t="s">
        <v>35</v>
      </c>
    </row>
    <row r="73" spans="1:5" x14ac:dyDescent="0.25">
      <c r="A73" t="s">
        <v>2768</v>
      </c>
      <c r="B73" s="436">
        <v>1</v>
      </c>
    </row>
    <row r="74" spans="1:5" ht="7.35" customHeight="1" x14ac:dyDescent="0.25"/>
    <row r="75" spans="1:5" x14ac:dyDescent="0.25">
      <c r="A75" t="s">
        <v>2893</v>
      </c>
      <c r="B75">
        <v>63</v>
      </c>
    </row>
    <row r="76" spans="1:5" ht="7.15" customHeight="1" x14ac:dyDescent="0.25"/>
    <row r="77" spans="1:5" x14ac:dyDescent="0.25">
      <c r="A77" t="s">
        <v>3298</v>
      </c>
      <c r="B77">
        <f>0.3*harvest_maint</f>
        <v>16.5</v>
      </c>
      <c r="C77" s="1" t="s">
        <v>3299</v>
      </c>
    </row>
    <row r="78" spans="1:5" ht="7.15" customHeight="1" x14ac:dyDescent="0.25"/>
    <row r="79" spans="1:5" x14ac:dyDescent="0.25">
      <c r="A79" t="s">
        <v>2903</v>
      </c>
      <c r="B79"/>
    </row>
    <row r="80" spans="1:5" x14ac:dyDescent="0.25">
      <c r="A80" s="341" t="str">
        <f>General!G65</f>
        <v>b</v>
      </c>
      <c r="B80">
        <v>20</v>
      </c>
      <c r="C80" s="1" t="s">
        <v>2904</v>
      </c>
      <c r="E80" s="1" t="s">
        <v>2905</v>
      </c>
    </row>
    <row r="81" spans="1:3" x14ac:dyDescent="0.25">
      <c r="A81" s="341" t="str">
        <f>General!G66</f>
        <v>bd</v>
      </c>
      <c r="B81">
        <v>20</v>
      </c>
      <c r="C81" s="1" t="s">
        <v>2904</v>
      </c>
    </row>
    <row r="82" spans="1:3" x14ac:dyDescent="0.25">
      <c r="A82" s="341" t="str">
        <f>General!G67</f>
        <v>f</v>
      </c>
      <c r="B82">
        <v>12</v>
      </c>
      <c r="C82" s="1" t="s">
        <v>2904</v>
      </c>
    </row>
    <row r="83" spans="1:3" x14ac:dyDescent="0.25">
      <c r="A83" s="341" t="str">
        <f>General!G68</f>
        <v>h</v>
      </c>
      <c r="B83">
        <v>20</v>
      </c>
      <c r="C83" s="1" t="s">
        <v>2904</v>
      </c>
    </row>
    <row r="84" spans="1:3" x14ac:dyDescent="0.25">
      <c r="A84" s="341" t="str">
        <f>General!G69</f>
        <v>i</v>
      </c>
      <c r="B84">
        <v>12</v>
      </c>
      <c r="C84" s="1" t="s">
        <v>2904</v>
      </c>
    </row>
    <row r="85" spans="1:3" x14ac:dyDescent="0.25">
      <c r="A85" s="341" t="str">
        <f>General!G70</f>
        <v>k</v>
      </c>
      <c r="B85">
        <v>12</v>
      </c>
      <c r="C85" s="1" t="s">
        <v>2904</v>
      </c>
    </row>
    <row r="86" spans="1:3" x14ac:dyDescent="0.25">
      <c r="A86" s="341" t="str">
        <f>General!G71</f>
        <v>l</v>
      </c>
      <c r="B86">
        <v>12</v>
      </c>
      <c r="C86" s="1" t="s">
        <v>2904</v>
      </c>
    </row>
    <row r="87" spans="1:3" x14ac:dyDescent="0.25">
      <c r="A87" s="341" t="str">
        <f>General!G72</f>
        <v>lf</v>
      </c>
      <c r="B87">
        <v>12</v>
      </c>
      <c r="C87" s="1" t="s">
        <v>2904</v>
      </c>
    </row>
    <row r="88" spans="1:3" x14ac:dyDescent="0.25">
      <c r="A88" s="341" t="str">
        <f>General!G73</f>
        <v>ms</v>
      </c>
      <c r="B88" s="528">
        <f>0.65*B80+0.35*B86</f>
        <v>17.2</v>
      </c>
      <c r="C88" s="1" t="s">
        <v>2904</v>
      </c>
    </row>
    <row r="89" spans="1:3" x14ac:dyDescent="0.25">
      <c r="A89" s="341" t="str">
        <f>General!G74</f>
        <v>o</v>
      </c>
      <c r="B89">
        <v>20</v>
      </c>
      <c r="C89" s="1" t="s">
        <v>2904</v>
      </c>
    </row>
    <row r="90" spans="1:3" x14ac:dyDescent="0.25">
      <c r="A90" s="341" t="str">
        <f>General!G75</f>
        <v>od</v>
      </c>
      <c r="B90">
        <v>20</v>
      </c>
      <c r="C90" s="1" t="s">
        <v>2904</v>
      </c>
    </row>
    <row r="91" spans="1:3" x14ac:dyDescent="0.25">
      <c r="A91" s="341" t="str">
        <f>General!G76</f>
        <v>of</v>
      </c>
      <c r="B91">
        <v>20</v>
      </c>
      <c r="C91" s="1" t="s">
        <v>2904</v>
      </c>
    </row>
    <row r="92" spans="1:3" x14ac:dyDescent="0.25">
      <c r="A92" s="341" t="str">
        <f>General!G77</f>
        <v>r</v>
      </c>
      <c r="B92">
        <v>7</v>
      </c>
      <c r="C92" s="1" t="s">
        <v>2904</v>
      </c>
    </row>
    <row r="93" spans="1:3" x14ac:dyDescent="0.25">
      <c r="A93" s="341" t="str">
        <f>General!G78</f>
        <v>rd</v>
      </c>
      <c r="B93">
        <v>7</v>
      </c>
      <c r="C93" s="1" t="s">
        <v>2904</v>
      </c>
    </row>
    <row r="94" spans="1:3" x14ac:dyDescent="0.25">
      <c r="A94" s="341" t="str">
        <f>General!G79</f>
        <v>v</v>
      </c>
      <c r="B94">
        <v>12</v>
      </c>
      <c r="C94" s="1" t="s">
        <v>2904</v>
      </c>
    </row>
    <row r="95" spans="1:3" x14ac:dyDescent="0.25">
      <c r="A95" s="341" t="str">
        <f>General!G80</f>
        <v>w</v>
      </c>
      <c r="B95">
        <v>20</v>
      </c>
      <c r="C95" s="1" t="s">
        <v>2904</v>
      </c>
    </row>
    <row r="96" spans="1:3" x14ac:dyDescent="0.25">
      <c r="A96" s="341" t="str">
        <f>General!G81</f>
        <v>wd</v>
      </c>
      <c r="B96">
        <v>20</v>
      </c>
      <c r="C96" s="1" t="s">
        <v>2904</v>
      </c>
    </row>
    <row r="97" spans="1:3" x14ac:dyDescent="0.25">
      <c r="A97" s="341" t="str">
        <f>General!G82</f>
        <v>z</v>
      </c>
      <c r="B97">
        <v>7</v>
      </c>
      <c r="C97" s="1" t="s">
        <v>2904</v>
      </c>
    </row>
    <row r="98" spans="1:3" x14ac:dyDescent="0.25">
      <c r="A98" s="341" t="str">
        <f>General!G83</f>
        <v>zd</v>
      </c>
      <c r="B98">
        <v>7</v>
      </c>
      <c r="C98" s="1" t="s">
        <v>2904</v>
      </c>
    </row>
    <row r="100" spans="1:3" x14ac:dyDescent="0.25">
      <c r="A100" t="s">
        <v>37</v>
      </c>
      <c r="B100">
        <v>55</v>
      </c>
      <c r="C100" s="1" t="s">
        <v>2892</v>
      </c>
    </row>
    <row r="101" spans="1:3" ht="9" customHeight="1" x14ac:dyDescent="0.25"/>
    <row r="102" spans="1:3" x14ac:dyDescent="0.25">
      <c r="A102" t="s">
        <v>37</v>
      </c>
      <c r="B102" t="s">
        <v>3296</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2909</v>
      </c>
      <c r="B124">
        <v>33</v>
      </c>
      <c r="C124" s="1" t="s">
        <v>2911</v>
      </c>
    </row>
    <row r="125" spans="1:3" ht="4.1500000000000004" customHeight="1" x14ac:dyDescent="0.25"/>
    <row r="126" spans="1:3" x14ac:dyDescent="0.25">
      <c r="A126" t="s">
        <v>39</v>
      </c>
      <c r="B126">
        <v>30</v>
      </c>
      <c r="C126" s="1" t="s">
        <v>2910</v>
      </c>
    </row>
    <row r="127" spans="1:3" ht="3" customHeight="1" x14ac:dyDescent="0.25"/>
    <row r="128" spans="1:3" x14ac:dyDescent="0.25">
      <c r="A128" t="s">
        <v>40</v>
      </c>
      <c r="B128">
        <v>35</v>
      </c>
      <c r="C128" s="1" t="s">
        <v>3297</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25</v>
      </c>
    </row>
    <row r="136" spans="1:3" x14ac:dyDescent="0.25">
      <c r="A136" s="431" t="s">
        <v>69</v>
      </c>
      <c r="B136" t="str">
        <f>General!K67</f>
        <v>at_seeding</v>
      </c>
      <c r="C136"/>
    </row>
    <row r="137" spans="1:3" x14ac:dyDescent="0.25">
      <c r="A137" s="431" t="s">
        <v>2912</v>
      </c>
      <c r="B137" t="str">
        <f>General!K68</f>
        <v>mid</v>
      </c>
      <c r="C137">
        <v>25</v>
      </c>
    </row>
    <row r="138" spans="1:3" x14ac:dyDescent="0.25">
      <c r="A138" s="431" t="s">
        <v>2547</v>
      </c>
      <c r="B138" t="str">
        <f>General!K69</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3280</v>
      </c>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2143</v>
      </c>
    </row>
    <row r="11" spans="1:6" x14ac:dyDescent="0.25">
      <c r="A11" t="s">
        <v>70</v>
      </c>
      <c r="B11" t="s">
        <v>71</v>
      </c>
      <c r="C11" t="s">
        <v>120</v>
      </c>
      <c r="D11" t="s">
        <v>121</v>
      </c>
      <c r="E11" t="s">
        <v>2901</v>
      </c>
      <c r="F11" t="s">
        <v>2902</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2767</v>
      </c>
      <c r="B29" s="436">
        <v>1</v>
      </c>
    </row>
    <row r="30" spans="1:6" ht="7.35" customHeight="1" x14ac:dyDescent="0.25"/>
    <row r="31" spans="1:6" ht="4.9000000000000004" customHeight="1" x14ac:dyDescent="0.25"/>
    <row r="32" spans="1:6" x14ac:dyDescent="0.25">
      <c r="A32" t="s">
        <v>2908</v>
      </c>
      <c r="B32">
        <v>4</v>
      </c>
      <c r="C32" s="1" t="s">
        <v>2907</v>
      </c>
    </row>
    <row r="33" spans="1:3" ht="7.15" customHeight="1" x14ac:dyDescent="0.25"/>
    <row r="34" spans="1:3" x14ac:dyDescent="0.25">
      <c r="A34" t="s">
        <v>3294</v>
      </c>
      <c r="B34">
        <v>40</v>
      </c>
      <c r="C34" s="1" t="s">
        <v>2910</v>
      </c>
    </row>
    <row r="35" spans="1:3" ht="7.15" customHeight="1" x14ac:dyDescent="0.25"/>
    <row r="36" spans="1:3" x14ac:dyDescent="0.25">
      <c r="A36" t="s">
        <v>3295</v>
      </c>
      <c r="B36">
        <v>35</v>
      </c>
      <c r="C36" s="1" t="s">
        <v>3297</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3" x14ac:dyDescent="0.25">
      <c r="A65" s="341" t="str">
        <f>General!I91</f>
        <v>w</v>
      </c>
      <c r="B65">
        <v>1</v>
      </c>
    </row>
    <row r="66" spans="1:3" x14ac:dyDescent="0.25">
      <c r="A66" s="341" t="str">
        <f>General!I92</f>
        <v>wd</v>
      </c>
      <c r="B66">
        <v>1</v>
      </c>
    </row>
    <row r="67" spans="1:3" x14ac:dyDescent="0.25">
      <c r="A67" s="341" t="str">
        <f>General!I93</f>
        <v>x</v>
      </c>
      <c r="B67">
        <v>1</v>
      </c>
    </row>
    <row r="68" spans="1:3" x14ac:dyDescent="0.25">
      <c r="A68" s="341" t="str">
        <f>General!I94</f>
        <v>xc</v>
      </c>
      <c r="B68">
        <v>1</v>
      </c>
    </row>
    <row r="69" spans="1:3" x14ac:dyDescent="0.25">
      <c r="A69" s="341" t="str">
        <f>General!I95</f>
        <v>z</v>
      </c>
      <c r="B69">
        <v>1</v>
      </c>
    </row>
    <row r="70" spans="1:3" x14ac:dyDescent="0.25">
      <c r="A70" s="341" t="str">
        <f>General!I96</f>
        <v>zd</v>
      </c>
      <c r="B70">
        <v>1</v>
      </c>
    </row>
    <row r="72" spans="1:3" x14ac:dyDescent="0.25">
      <c r="A72" s="3" t="s">
        <v>35</v>
      </c>
    </row>
    <row r="73" spans="1:3" x14ac:dyDescent="0.25">
      <c r="A73" t="s">
        <v>2768</v>
      </c>
      <c r="B73" s="436">
        <v>1</v>
      </c>
    </row>
    <row r="74" spans="1:3" ht="7.35" customHeight="1" x14ac:dyDescent="0.25"/>
    <row r="75" spans="1:3" x14ac:dyDescent="0.25">
      <c r="A75" t="s">
        <v>36</v>
      </c>
      <c r="B75">
        <v>50</v>
      </c>
    </row>
    <row r="76" spans="1:3" ht="7.15" customHeight="1" x14ac:dyDescent="0.25"/>
    <row r="77" spans="1:3" x14ac:dyDescent="0.25">
      <c r="A77" t="s">
        <v>3298</v>
      </c>
      <c r="B77">
        <f>0.3*harvest_maint</f>
        <v>12</v>
      </c>
      <c r="C77" s="1" t="s">
        <v>3299</v>
      </c>
    </row>
    <row r="78" spans="1:3" ht="7.15" customHeight="1" x14ac:dyDescent="0.25"/>
    <row r="79" spans="1:3" x14ac:dyDescent="0.25">
      <c r="A79" t="s">
        <v>2903</v>
      </c>
      <c r="B79"/>
    </row>
    <row r="80" spans="1:3" x14ac:dyDescent="0.25">
      <c r="A80" s="341" t="str">
        <f>General!G65</f>
        <v>b</v>
      </c>
      <c r="B80">
        <f>'Mach 1'!B80*0.66</f>
        <v>13.200000000000001</v>
      </c>
      <c r="C80" s="1" t="s">
        <v>2904</v>
      </c>
    </row>
    <row r="81" spans="1:3" x14ac:dyDescent="0.25">
      <c r="A81" s="341" t="str">
        <f>General!G66</f>
        <v>bd</v>
      </c>
      <c r="B81">
        <f>'Mach 1'!B81*0.66</f>
        <v>13.200000000000001</v>
      </c>
      <c r="C81" s="1" t="s">
        <v>2904</v>
      </c>
    </row>
    <row r="82" spans="1:3" x14ac:dyDescent="0.25">
      <c r="A82" s="341" t="str">
        <f>General!G67</f>
        <v>f</v>
      </c>
      <c r="B82">
        <f>'Mach 1'!B82*0.66</f>
        <v>7.92</v>
      </c>
      <c r="C82" s="1" t="s">
        <v>2904</v>
      </c>
    </row>
    <row r="83" spans="1:3" x14ac:dyDescent="0.25">
      <c r="A83" s="341" t="str">
        <f>General!G68</f>
        <v>h</v>
      </c>
      <c r="B83">
        <f>'Mach 1'!B83*0.66</f>
        <v>13.200000000000001</v>
      </c>
      <c r="C83" s="1" t="s">
        <v>2904</v>
      </c>
    </row>
    <row r="84" spans="1:3" x14ac:dyDescent="0.25">
      <c r="A84" s="341" t="str">
        <f>General!G69</f>
        <v>i</v>
      </c>
      <c r="B84">
        <f>'Mach 1'!B84*0.66</f>
        <v>7.92</v>
      </c>
      <c r="C84" s="1" t="s">
        <v>2904</v>
      </c>
    </row>
    <row r="85" spans="1:3" x14ac:dyDescent="0.25">
      <c r="A85" s="341" t="str">
        <f>General!G70</f>
        <v>k</v>
      </c>
      <c r="B85">
        <f>'Mach 1'!B85*0.66</f>
        <v>7.92</v>
      </c>
      <c r="C85" s="1" t="s">
        <v>2904</v>
      </c>
    </row>
    <row r="86" spans="1:3" x14ac:dyDescent="0.25">
      <c r="A86" s="341" t="str">
        <f>General!G71</f>
        <v>l</v>
      </c>
      <c r="B86">
        <f>'Mach 1'!B86*0.66</f>
        <v>7.92</v>
      </c>
      <c r="C86" s="1" t="s">
        <v>2904</v>
      </c>
    </row>
    <row r="87" spans="1:3" x14ac:dyDescent="0.25">
      <c r="A87" s="341" t="str">
        <f>General!G72</f>
        <v>lf</v>
      </c>
      <c r="B87">
        <f>'Mach 1'!B87*0.66</f>
        <v>7.92</v>
      </c>
      <c r="C87" s="1" t="s">
        <v>2904</v>
      </c>
    </row>
    <row r="88" spans="1:3" x14ac:dyDescent="0.25">
      <c r="A88" s="341" t="str">
        <f>General!G73</f>
        <v>ms</v>
      </c>
      <c r="B88" s="528">
        <f>0.65*B80+0.35*B86</f>
        <v>11.352000000000002</v>
      </c>
      <c r="C88" s="1" t="s">
        <v>2904</v>
      </c>
    </row>
    <row r="89" spans="1:3" x14ac:dyDescent="0.25">
      <c r="A89" s="341" t="str">
        <f>General!G74</f>
        <v>o</v>
      </c>
      <c r="B89">
        <f>'Mach 1'!B89*0.66</f>
        <v>13.200000000000001</v>
      </c>
      <c r="C89" s="1" t="s">
        <v>2904</v>
      </c>
    </row>
    <row r="90" spans="1:3" x14ac:dyDescent="0.25">
      <c r="A90" s="341" t="str">
        <f>General!G75</f>
        <v>od</v>
      </c>
      <c r="B90">
        <f>'Mach 1'!B90*0.66</f>
        <v>13.200000000000001</v>
      </c>
      <c r="C90" s="1" t="s">
        <v>2904</v>
      </c>
    </row>
    <row r="91" spans="1:3" x14ac:dyDescent="0.25">
      <c r="A91" s="341" t="str">
        <f>General!G76</f>
        <v>of</v>
      </c>
      <c r="B91">
        <f>'Mach 1'!B91*0.66</f>
        <v>13.200000000000001</v>
      </c>
      <c r="C91" s="1" t="s">
        <v>2904</v>
      </c>
    </row>
    <row r="92" spans="1:3" x14ac:dyDescent="0.25">
      <c r="A92" s="341" t="str">
        <f>General!G77</f>
        <v>r</v>
      </c>
      <c r="B92">
        <f>'Mach 1'!B92*0.66</f>
        <v>4.62</v>
      </c>
      <c r="C92" s="1" t="s">
        <v>2904</v>
      </c>
    </row>
    <row r="93" spans="1:3" x14ac:dyDescent="0.25">
      <c r="A93" s="341" t="str">
        <f>General!G78</f>
        <v>rd</v>
      </c>
      <c r="B93">
        <f>'Mach 1'!B93*0.66</f>
        <v>4.62</v>
      </c>
      <c r="C93" s="1" t="s">
        <v>2904</v>
      </c>
    </row>
    <row r="94" spans="1:3" x14ac:dyDescent="0.25">
      <c r="A94" s="341" t="str">
        <f>General!G79</f>
        <v>v</v>
      </c>
      <c r="B94">
        <f>'Mach 1'!B94*0.66</f>
        <v>7.92</v>
      </c>
      <c r="C94" s="1" t="s">
        <v>2904</v>
      </c>
    </row>
    <row r="95" spans="1:3" x14ac:dyDescent="0.25">
      <c r="A95" s="341" t="str">
        <f>General!G80</f>
        <v>w</v>
      </c>
      <c r="B95">
        <f>'Mach 1'!B95*0.66</f>
        <v>13.200000000000001</v>
      </c>
      <c r="C95" s="1" t="s">
        <v>2904</v>
      </c>
    </row>
    <row r="96" spans="1:3" x14ac:dyDescent="0.25">
      <c r="A96" s="341" t="str">
        <f>General!G81</f>
        <v>wd</v>
      </c>
      <c r="B96">
        <f>'Mach 1'!B96*0.66</f>
        <v>13.200000000000001</v>
      </c>
      <c r="C96" s="1" t="s">
        <v>2904</v>
      </c>
    </row>
    <row r="97" spans="1:3" x14ac:dyDescent="0.25">
      <c r="A97" s="341" t="str">
        <f>General!G82</f>
        <v>z</v>
      </c>
      <c r="B97">
        <f>'Mach 1'!B97*0.66</f>
        <v>4.62</v>
      </c>
      <c r="C97" s="1" t="s">
        <v>2904</v>
      </c>
    </row>
    <row r="98" spans="1:3" x14ac:dyDescent="0.25">
      <c r="A98" s="341" t="str">
        <f>General!G83</f>
        <v>zd</v>
      </c>
      <c r="B98">
        <f>'Mach 1'!B98*0.66</f>
        <v>4.62</v>
      </c>
      <c r="C98" s="1" t="s">
        <v>2904</v>
      </c>
    </row>
    <row r="100" spans="1:3" x14ac:dyDescent="0.25">
      <c r="A100" t="s">
        <v>37</v>
      </c>
      <c r="B100">
        <v>40</v>
      </c>
      <c r="C100" s="1" t="s">
        <v>2892</v>
      </c>
    </row>
    <row r="102" spans="1:3" x14ac:dyDescent="0.25">
      <c r="A102" t="s">
        <v>37</v>
      </c>
      <c r="B102" t="s">
        <v>3296</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2909</v>
      </c>
      <c r="B124">
        <v>23</v>
      </c>
      <c r="C124" s="1" t="s">
        <v>2911</v>
      </c>
    </row>
    <row r="125" spans="1:3" ht="4.1500000000000004" customHeight="1" x14ac:dyDescent="0.25"/>
    <row r="126" spans="1:3" x14ac:dyDescent="0.25">
      <c r="A126" t="s">
        <v>39</v>
      </c>
      <c r="B126">
        <v>20</v>
      </c>
      <c r="C126" s="1" t="s">
        <v>2910</v>
      </c>
    </row>
    <row r="127" spans="1:3" ht="3" customHeight="1" x14ac:dyDescent="0.25"/>
    <row r="128" spans="1:3" x14ac:dyDescent="0.25">
      <c r="A128" t="s">
        <v>40</v>
      </c>
      <c r="B128">
        <v>22</v>
      </c>
      <c r="C128" s="1" t="s">
        <v>3297</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20</v>
      </c>
    </row>
    <row r="136" spans="1:3" x14ac:dyDescent="0.25">
      <c r="A136" s="431" t="s">
        <v>69</v>
      </c>
      <c r="B136" t="str">
        <f>General!K67</f>
        <v>at_seeding</v>
      </c>
      <c r="C136"/>
    </row>
    <row r="137" spans="1:3" x14ac:dyDescent="0.25">
      <c r="A137" s="431" t="s">
        <v>2912</v>
      </c>
      <c r="B137" t="str">
        <f>General!K68</f>
        <v>mid</v>
      </c>
      <c r="C137">
        <v>20</v>
      </c>
    </row>
    <row r="138" spans="1:3" x14ac:dyDescent="0.25">
      <c r="A138" s="431" t="s">
        <v>2547</v>
      </c>
      <c r="B138" t="str">
        <f>General!K69</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2901</v>
      </c>
      <c r="F11" t="s">
        <v>2902</v>
      </c>
    </row>
    <row r="12" spans="1:17" x14ac:dyDescent="0.25">
      <c r="A12" t="s">
        <v>2771</v>
      </c>
      <c r="B12">
        <v>250000</v>
      </c>
      <c r="C12" s="44">
        <v>1</v>
      </c>
      <c r="D12" s="44">
        <v>0</v>
      </c>
      <c r="E12" s="44">
        <v>0</v>
      </c>
      <c r="F12" s="44">
        <v>0</v>
      </c>
    </row>
    <row r="13" spans="1:17" x14ac:dyDescent="0.25">
      <c r="A13" t="s">
        <v>2769</v>
      </c>
      <c r="B13">
        <v>115000</v>
      </c>
      <c r="C13" s="44">
        <v>1</v>
      </c>
      <c r="D13" s="44">
        <v>0</v>
      </c>
      <c r="E13" s="44">
        <v>0</v>
      </c>
      <c r="F13" s="44">
        <v>0</v>
      </c>
    </row>
    <row r="14" spans="1:17" x14ac:dyDescent="0.25">
      <c r="A14" t="s">
        <v>2770</v>
      </c>
      <c r="B14">
        <v>500000</v>
      </c>
      <c r="C14" s="44">
        <v>0</v>
      </c>
      <c r="D14" s="44">
        <v>1</v>
      </c>
      <c r="E14" s="44">
        <v>0</v>
      </c>
      <c r="F14" s="44">
        <v>0</v>
      </c>
    </row>
    <row r="15" spans="1:17" x14ac:dyDescent="0.25">
      <c r="A15" t="s">
        <v>119</v>
      </c>
      <c r="B15">
        <v>50000</v>
      </c>
      <c r="C15" s="44">
        <v>0</v>
      </c>
      <c r="D15" s="44">
        <v>1</v>
      </c>
      <c r="E15" s="44">
        <v>0</v>
      </c>
      <c r="F15" s="44">
        <v>0</v>
      </c>
      <c r="Q15" s="481"/>
    </row>
    <row r="16" spans="1:17" x14ac:dyDescent="0.25">
      <c r="A16" t="s">
        <v>2772</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2774</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2773</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2767</v>
      </c>
      <c r="B29" s="436">
        <v>1</v>
      </c>
    </row>
    <row r="30" spans="1:6" ht="7.35" customHeight="1" x14ac:dyDescent="0.25"/>
    <row r="31" spans="1:6" x14ac:dyDescent="0.25">
      <c r="A31" t="s">
        <v>2908</v>
      </c>
      <c r="B31">
        <v>12.5</v>
      </c>
      <c r="C31" s="1" t="s">
        <v>2907</v>
      </c>
      <c r="D31" s="1" t="s">
        <v>3027</v>
      </c>
    </row>
    <row r="32" spans="1:6" ht="7.15" customHeight="1" x14ac:dyDescent="0.25"/>
    <row r="33" spans="1:3" x14ac:dyDescent="0.25">
      <c r="A33" t="s">
        <v>3294</v>
      </c>
      <c r="B33">
        <v>60</v>
      </c>
      <c r="C33" s="1" t="s">
        <v>2910</v>
      </c>
    </row>
    <row r="34" spans="1:3" ht="7.15" customHeight="1" x14ac:dyDescent="0.25"/>
    <row r="35" spans="1:3" x14ac:dyDescent="0.25">
      <c r="A35" t="s">
        <v>3295</v>
      </c>
      <c r="B35">
        <v>78</v>
      </c>
      <c r="C35" s="1" t="s">
        <v>3297</v>
      </c>
    </row>
    <row r="36" spans="1:3" ht="7.15" customHeight="1" x14ac:dyDescent="0.25"/>
    <row r="37" spans="1:3" x14ac:dyDescent="0.25">
      <c r="A37" t="s">
        <v>54</v>
      </c>
      <c r="B37"/>
    </row>
    <row r="38" spans="1:3" x14ac:dyDescent="0.25">
      <c r="A38" s="341" t="str">
        <f>General!I65</f>
        <v>a</v>
      </c>
      <c r="B38">
        <v>1</v>
      </c>
    </row>
    <row r="39" spans="1:3" x14ac:dyDescent="0.25">
      <c r="A39" s="341" t="str">
        <f>General!I66</f>
        <v>a2</v>
      </c>
      <c r="B39">
        <v>1</v>
      </c>
    </row>
    <row r="40" spans="1:3" x14ac:dyDescent="0.25">
      <c r="A40" s="341" t="str">
        <f>General!I67</f>
        <v>b</v>
      </c>
      <c r="B40">
        <v>1</v>
      </c>
    </row>
    <row r="41" spans="1:3" x14ac:dyDescent="0.25">
      <c r="A41" s="341" t="str">
        <f>General!I68</f>
        <v>bd</v>
      </c>
      <c r="B41">
        <v>1</v>
      </c>
    </row>
    <row r="42" spans="1:3" x14ac:dyDescent="0.25">
      <c r="A42" s="341" t="str">
        <f>General!I69</f>
        <v>f</v>
      </c>
      <c r="B42">
        <v>1</v>
      </c>
    </row>
    <row r="43" spans="1:3" x14ac:dyDescent="0.25">
      <c r="A43" s="341" t="str">
        <f>General!I70</f>
        <v>h</v>
      </c>
      <c r="B43">
        <v>1</v>
      </c>
    </row>
    <row r="44" spans="1:3" x14ac:dyDescent="0.25">
      <c r="A44" s="341" t="str">
        <f>General!I71</f>
        <v>i</v>
      </c>
      <c r="B44">
        <v>1</v>
      </c>
    </row>
    <row r="45" spans="1:3" x14ac:dyDescent="0.25">
      <c r="A45" s="341" t="str">
        <f>General!I72</f>
        <v>j</v>
      </c>
      <c r="B45">
        <v>1</v>
      </c>
    </row>
    <row r="46" spans="1:3" x14ac:dyDescent="0.25">
      <c r="A46" s="341" t="str">
        <f>General!I73</f>
        <v>jc</v>
      </c>
      <c r="B46">
        <v>1</v>
      </c>
    </row>
    <row r="47" spans="1:3" x14ac:dyDescent="0.25">
      <c r="A47" s="341" t="str">
        <f>General!I74</f>
        <v>k</v>
      </c>
      <c r="B47">
        <v>1</v>
      </c>
    </row>
    <row r="48" spans="1:3" x14ac:dyDescent="0.25">
      <c r="A48" s="341" t="str">
        <f>General!I75</f>
        <v>l</v>
      </c>
      <c r="B48">
        <v>1</v>
      </c>
    </row>
    <row r="49" spans="1:2" x14ac:dyDescent="0.25">
      <c r="A49" s="341" t="str">
        <f>General!I76</f>
        <v>lf</v>
      </c>
      <c r="B49">
        <v>1</v>
      </c>
    </row>
    <row r="50" spans="1:2" x14ac:dyDescent="0.25">
      <c r="A50" s="341" t="str">
        <f>General!I77</f>
        <v>m</v>
      </c>
      <c r="B50">
        <v>1</v>
      </c>
    </row>
    <row r="51" spans="1:2" x14ac:dyDescent="0.25">
      <c r="A51" s="341" t="str">
        <f>General!I78</f>
        <v>ms</v>
      </c>
      <c r="B51">
        <v>1</v>
      </c>
    </row>
    <row r="52" spans="1:2" x14ac:dyDescent="0.25">
      <c r="A52" s="341" t="str">
        <f>General!I79</f>
        <v>o</v>
      </c>
      <c r="B52">
        <v>1</v>
      </c>
    </row>
    <row r="53" spans="1:2" x14ac:dyDescent="0.25">
      <c r="A53" s="341" t="str">
        <f>General!I80</f>
        <v>od</v>
      </c>
      <c r="B53">
        <v>1</v>
      </c>
    </row>
    <row r="54" spans="1:2" x14ac:dyDescent="0.25">
      <c r="A54" s="341" t="str">
        <f>General!I81</f>
        <v>of</v>
      </c>
      <c r="B54">
        <v>1</v>
      </c>
    </row>
    <row r="55" spans="1:2" x14ac:dyDescent="0.25">
      <c r="A55" s="341" t="str">
        <f>General!I82</f>
        <v>r</v>
      </c>
      <c r="B55">
        <v>1</v>
      </c>
    </row>
    <row r="56" spans="1:2" x14ac:dyDescent="0.25">
      <c r="A56" s="341" t="str">
        <f>General!I83</f>
        <v>rd</v>
      </c>
      <c r="B56">
        <v>1</v>
      </c>
    </row>
    <row r="57" spans="1:2" x14ac:dyDescent="0.25">
      <c r="A57" s="341" t="str">
        <f>General!I84</f>
        <v>s</v>
      </c>
      <c r="B57">
        <v>1</v>
      </c>
    </row>
    <row r="58" spans="1:2" x14ac:dyDescent="0.25">
      <c r="A58" s="341" t="str">
        <f>General!I85</f>
        <v>sp</v>
      </c>
      <c r="B58">
        <v>1</v>
      </c>
    </row>
    <row r="59" spans="1:2" x14ac:dyDescent="0.25">
      <c r="A59" s="341" t="str">
        <f>General!I86</f>
        <v>t</v>
      </c>
      <c r="B59">
        <v>1</v>
      </c>
    </row>
    <row r="60" spans="1:2" x14ac:dyDescent="0.25">
      <c r="A60" s="341" t="str">
        <f>General!I87</f>
        <v>tc</v>
      </c>
      <c r="B60">
        <v>1</v>
      </c>
    </row>
    <row r="61" spans="1:2" x14ac:dyDescent="0.25">
      <c r="A61" s="341" t="str">
        <f>General!I88</f>
        <v>u</v>
      </c>
      <c r="B61">
        <v>1</v>
      </c>
    </row>
    <row r="62" spans="1:2" x14ac:dyDescent="0.25">
      <c r="A62" s="341" t="str">
        <f>General!I89</f>
        <v>uc</v>
      </c>
      <c r="B62">
        <v>1</v>
      </c>
    </row>
    <row r="63" spans="1:2" x14ac:dyDescent="0.25">
      <c r="A63" s="341" t="str">
        <f>General!I90</f>
        <v>v</v>
      </c>
      <c r="B63">
        <v>1</v>
      </c>
    </row>
    <row r="64" spans="1:2" x14ac:dyDescent="0.25">
      <c r="A64" s="341" t="str">
        <f>General!I91</f>
        <v>w</v>
      </c>
      <c r="B64">
        <v>1</v>
      </c>
    </row>
    <row r="65" spans="1:3" x14ac:dyDescent="0.25">
      <c r="A65" s="341" t="str">
        <f>General!I92</f>
        <v>wd</v>
      </c>
      <c r="B65">
        <v>1</v>
      </c>
    </row>
    <row r="66" spans="1:3" x14ac:dyDescent="0.25">
      <c r="A66" s="341" t="str">
        <f>General!I93</f>
        <v>x</v>
      </c>
      <c r="B66">
        <v>1</v>
      </c>
    </row>
    <row r="67" spans="1:3" x14ac:dyDescent="0.25">
      <c r="A67" s="341" t="str">
        <f>General!I94</f>
        <v>xc</v>
      </c>
      <c r="B67">
        <v>1</v>
      </c>
    </row>
    <row r="68" spans="1:3" x14ac:dyDescent="0.25">
      <c r="A68" s="341" t="str">
        <f>General!I95</f>
        <v>z</v>
      </c>
      <c r="B68">
        <v>1</v>
      </c>
    </row>
    <row r="69" spans="1:3" x14ac:dyDescent="0.25">
      <c r="A69" s="341" t="str">
        <f>General!I96</f>
        <v>zd</v>
      </c>
      <c r="B69">
        <v>1</v>
      </c>
    </row>
    <row r="71" spans="1:3" x14ac:dyDescent="0.25">
      <c r="A71" s="3" t="s">
        <v>35</v>
      </c>
    </row>
    <row r="72" spans="1:3" x14ac:dyDescent="0.25">
      <c r="A72" t="s">
        <v>2768</v>
      </c>
      <c r="B72" s="436">
        <v>1</v>
      </c>
    </row>
    <row r="73" spans="1:3" ht="7.35" customHeight="1" x14ac:dyDescent="0.25"/>
    <row r="74" spans="1:3" x14ac:dyDescent="0.25">
      <c r="A74" t="s">
        <v>2893</v>
      </c>
      <c r="B74">
        <v>63</v>
      </c>
    </row>
    <row r="75" spans="1:3" ht="7.15" customHeight="1" x14ac:dyDescent="0.25"/>
    <row r="76" spans="1:3" x14ac:dyDescent="0.25">
      <c r="A76" t="s">
        <v>3298</v>
      </c>
      <c r="B76">
        <f>0.3*harvest_maint</f>
        <v>24</v>
      </c>
      <c r="C76" s="1" t="s">
        <v>3299</v>
      </c>
    </row>
    <row r="77" spans="1:3" ht="7.15" customHeight="1" x14ac:dyDescent="0.25"/>
    <row r="78" spans="1:3" x14ac:dyDescent="0.25">
      <c r="A78" t="s">
        <v>2903</v>
      </c>
      <c r="B78"/>
    </row>
    <row r="79" spans="1:3" x14ac:dyDescent="0.25">
      <c r="A79" s="341" t="str">
        <f>General!G65</f>
        <v>b</v>
      </c>
      <c r="B79">
        <v>30</v>
      </c>
      <c r="C79" s="1" t="s">
        <v>2904</v>
      </c>
    </row>
    <row r="80" spans="1:3" x14ac:dyDescent="0.25">
      <c r="A80" s="341" t="str">
        <f>General!G66</f>
        <v>bd</v>
      </c>
      <c r="B80">
        <v>30</v>
      </c>
      <c r="C80" s="1" t="s">
        <v>2904</v>
      </c>
    </row>
    <row r="81" spans="1:3" x14ac:dyDescent="0.25">
      <c r="A81" s="341" t="str">
        <f>General!G67</f>
        <v>f</v>
      </c>
      <c r="B81">
        <v>18</v>
      </c>
      <c r="C81" s="1" t="s">
        <v>2904</v>
      </c>
    </row>
    <row r="82" spans="1:3" x14ac:dyDescent="0.25">
      <c r="A82" s="341" t="str">
        <f>General!G68</f>
        <v>h</v>
      </c>
      <c r="B82">
        <v>30</v>
      </c>
      <c r="C82" s="1" t="s">
        <v>2904</v>
      </c>
    </row>
    <row r="83" spans="1:3" x14ac:dyDescent="0.25">
      <c r="A83" s="341" t="str">
        <f>General!G69</f>
        <v>i</v>
      </c>
      <c r="B83">
        <v>18</v>
      </c>
      <c r="C83" s="1" t="s">
        <v>2904</v>
      </c>
    </row>
    <row r="84" spans="1:3" x14ac:dyDescent="0.25">
      <c r="A84" s="341" t="str">
        <f>General!G70</f>
        <v>k</v>
      </c>
      <c r="B84">
        <v>18</v>
      </c>
      <c r="C84" s="1" t="s">
        <v>2904</v>
      </c>
    </row>
    <row r="85" spans="1:3" x14ac:dyDescent="0.25">
      <c r="A85" s="341" t="str">
        <f>General!G71</f>
        <v>l</v>
      </c>
      <c r="B85">
        <v>18</v>
      </c>
      <c r="C85" s="1" t="s">
        <v>2904</v>
      </c>
    </row>
    <row r="86" spans="1:3" x14ac:dyDescent="0.25">
      <c r="A86" s="341" t="str">
        <f>General!G72</f>
        <v>lf</v>
      </c>
      <c r="B86">
        <v>18</v>
      </c>
      <c r="C86" s="1" t="s">
        <v>2904</v>
      </c>
    </row>
    <row r="87" spans="1:3" x14ac:dyDescent="0.25">
      <c r="A87" s="341" t="str">
        <f>General!G73</f>
        <v>ms</v>
      </c>
      <c r="B87" s="528">
        <f>0.65*B79+0.35*B85</f>
        <v>25.8</v>
      </c>
      <c r="C87" s="1" t="s">
        <v>2904</v>
      </c>
    </row>
    <row r="88" spans="1:3" x14ac:dyDescent="0.25">
      <c r="A88" s="341" t="str">
        <f>General!G74</f>
        <v>o</v>
      </c>
      <c r="B88">
        <v>30</v>
      </c>
      <c r="C88" s="1" t="s">
        <v>2904</v>
      </c>
    </row>
    <row r="89" spans="1:3" x14ac:dyDescent="0.25">
      <c r="A89" s="341" t="str">
        <f>General!G75</f>
        <v>od</v>
      </c>
      <c r="B89">
        <v>30</v>
      </c>
      <c r="C89" s="1" t="s">
        <v>2904</v>
      </c>
    </row>
    <row r="90" spans="1:3" x14ac:dyDescent="0.25">
      <c r="A90" s="341" t="str">
        <f>General!G76</f>
        <v>of</v>
      </c>
      <c r="B90">
        <v>30</v>
      </c>
      <c r="C90" s="1" t="s">
        <v>2904</v>
      </c>
    </row>
    <row r="91" spans="1:3" x14ac:dyDescent="0.25">
      <c r="A91" s="341" t="str">
        <f>General!G77</f>
        <v>r</v>
      </c>
      <c r="B91">
        <v>12</v>
      </c>
      <c r="C91" s="1" t="s">
        <v>2904</v>
      </c>
    </row>
    <row r="92" spans="1:3" x14ac:dyDescent="0.25">
      <c r="A92" s="341" t="str">
        <f>General!G78</f>
        <v>rd</v>
      </c>
      <c r="B92">
        <v>12</v>
      </c>
      <c r="C92" s="1" t="s">
        <v>2904</v>
      </c>
    </row>
    <row r="93" spans="1:3" x14ac:dyDescent="0.25">
      <c r="A93" s="341" t="str">
        <f>General!G79</f>
        <v>v</v>
      </c>
      <c r="B93">
        <v>18</v>
      </c>
      <c r="C93" s="1" t="s">
        <v>2904</v>
      </c>
    </row>
    <row r="94" spans="1:3" x14ac:dyDescent="0.25">
      <c r="A94" s="341" t="str">
        <f>General!G80</f>
        <v>w</v>
      </c>
      <c r="B94">
        <v>30</v>
      </c>
      <c r="C94" s="1" t="s">
        <v>2904</v>
      </c>
    </row>
    <row r="95" spans="1:3" x14ac:dyDescent="0.25">
      <c r="A95" s="341" t="str">
        <f>General!G81</f>
        <v>wd</v>
      </c>
      <c r="B95">
        <v>30</v>
      </c>
      <c r="C95" s="1" t="s">
        <v>2904</v>
      </c>
    </row>
    <row r="96" spans="1:3" x14ac:dyDescent="0.25">
      <c r="A96" s="341" t="str">
        <f>General!G82</f>
        <v>z</v>
      </c>
      <c r="B96">
        <v>12</v>
      </c>
      <c r="C96" s="1" t="s">
        <v>2904</v>
      </c>
    </row>
    <row r="97" spans="1:3" x14ac:dyDescent="0.25">
      <c r="A97" s="341" t="str">
        <f>General!G83</f>
        <v>zd</v>
      </c>
      <c r="B97">
        <v>12</v>
      </c>
      <c r="C97" s="1" t="s">
        <v>2904</v>
      </c>
    </row>
    <row r="99" spans="1:3" x14ac:dyDescent="0.25">
      <c r="A99" t="s">
        <v>37</v>
      </c>
      <c r="B99">
        <v>80</v>
      </c>
      <c r="C99" s="1" t="s">
        <v>2892</v>
      </c>
    </row>
    <row r="101" spans="1:3" x14ac:dyDescent="0.25">
      <c r="A101" t="s">
        <v>37</v>
      </c>
      <c r="B101" t="s">
        <v>3296</v>
      </c>
    </row>
    <row r="102" spans="1:3" x14ac:dyDescent="0.25">
      <c r="A102" s="341" t="str">
        <f>General!G65</f>
        <v>b</v>
      </c>
      <c r="B102" s="326">
        <v>1</v>
      </c>
    </row>
    <row r="103" spans="1:3" x14ac:dyDescent="0.25">
      <c r="A103" s="341" t="str">
        <f>General!G66</f>
        <v>bd</v>
      </c>
      <c r="B103" s="326">
        <v>1</v>
      </c>
    </row>
    <row r="104" spans="1:3" x14ac:dyDescent="0.25">
      <c r="A104" s="341" t="str">
        <f>General!G67</f>
        <v>f</v>
      </c>
      <c r="B104" s="326">
        <f>38/33</f>
        <v>1.1515151515151516</v>
      </c>
    </row>
    <row r="105" spans="1:3" x14ac:dyDescent="0.25">
      <c r="A105" s="341" t="str">
        <f>General!G68</f>
        <v>h</v>
      </c>
      <c r="B105" s="326">
        <v>1</v>
      </c>
    </row>
    <row r="106" spans="1:3" x14ac:dyDescent="0.25">
      <c r="A106" s="341" t="str">
        <f>General!G69</f>
        <v>i</v>
      </c>
      <c r="B106" s="326">
        <f t="shared" ref="B106:B107" si="0">38/33</f>
        <v>1.1515151515151516</v>
      </c>
    </row>
    <row r="107" spans="1:3" x14ac:dyDescent="0.25">
      <c r="A107" s="341" t="str">
        <f>General!G70</f>
        <v>k</v>
      </c>
      <c r="B107" s="326">
        <f t="shared" si="0"/>
        <v>1.1515151515151516</v>
      </c>
    </row>
    <row r="108" spans="1:3" x14ac:dyDescent="0.25">
      <c r="A108" s="341" t="str">
        <f>General!G71</f>
        <v>l</v>
      </c>
      <c r="B108" s="326">
        <v>1</v>
      </c>
    </row>
    <row r="109" spans="1:3" x14ac:dyDescent="0.25">
      <c r="A109" s="341" t="str">
        <f>General!G72</f>
        <v>lf</v>
      </c>
      <c r="B109" s="326">
        <v>1</v>
      </c>
    </row>
    <row r="110" spans="1:3" x14ac:dyDescent="0.25">
      <c r="A110" s="341" t="str">
        <f>General!G73</f>
        <v>ms</v>
      </c>
      <c r="B110" s="618">
        <f>0.65*B102+0.35*B108</f>
        <v>1</v>
      </c>
    </row>
    <row r="111" spans="1:3" x14ac:dyDescent="0.25">
      <c r="A111" s="341" t="str">
        <f>General!G74</f>
        <v>o</v>
      </c>
      <c r="B111" s="326">
        <v>1</v>
      </c>
    </row>
    <row r="112" spans="1:3" x14ac:dyDescent="0.25">
      <c r="A112" s="341" t="str">
        <f>General!G75</f>
        <v>od</v>
      </c>
      <c r="B112" s="326">
        <v>1</v>
      </c>
    </row>
    <row r="113" spans="1:3" x14ac:dyDescent="0.25">
      <c r="A113" s="341" t="str">
        <f>General!G76</f>
        <v>of</v>
      </c>
      <c r="B113" s="326">
        <v>1</v>
      </c>
    </row>
    <row r="114" spans="1:3" x14ac:dyDescent="0.25">
      <c r="A114" s="341" t="str">
        <f>General!G77</f>
        <v>r</v>
      </c>
      <c r="B114" s="326">
        <f t="shared" ref="B114:B116" si="1">38/33</f>
        <v>1.1515151515151516</v>
      </c>
    </row>
    <row r="115" spans="1:3" x14ac:dyDescent="0.25">
      <c r="A115" s="341" t="str">
        <f>General!G78</f>
        <v>rd</v>
      </c>
      <c r="B115" s="326">
        <f t="shared" si="1"/>
        <v>1.1515151515151516</v>
      </c>
    </row>
    <row r="116" spans="1:3" x14ac:dyDescent="0.25">
      <c r="A116" s="341" t="str">
        <f>General!G79</f>
        <v>v</v>
      </c>
      <c r="B116" s="326">
        <f t="shared" si="1"/>
        <v>1.1515151515151516</v>
      </c>
    </row>
    <row r="117" spans="1:3" x14ac:dyDescent="0.25">
      <c r="A117" s="341" t="str">
        <f>General!G80</f>
        <v>w</v>
      </c>
      <c r="B117" s="326">
        <v>1</v>
      </c>
    </row>
    <row r="118" spans="1:3" x14ac:dyDescent="0.25">
      <c r="A118" s="341" t="str">
        <f>General!G81</f>
        <v>wd</v>
      </c>
      <c r="B118" s="326">
        <v>1</v>
      </c>
    </row>
    <row r="119" spans="1:3" x14ac:dyDescent="0.25">
      <c r="A119" s="341" t="str">
        <f>General!G82</f>
        <v>z</v>
      </c>
      <c r="B119" s="326">
        <f t="shared" ref="B119:B120" si="2">38/33</f>
        <v>1.1515151515151516</v>
      </c>
    </row>
    <row r="120" spans="1:3" x14ac:dyDescent="0.25">
      <c r="A120" s="341" t="str">
        <f>General!G83</f>
        <v>zd</v>
      </c>
      <c r="B120" s="326">
        <f t="shared" si="2"/>
        <v>1.1515151515151516</v>
      </c>
    </row>
    <row r="122" spans="1:3" x14ac:dyDescent="0.25">
      <c r="A122" s="3" t="s">
        <v>38</v>
      </c>
    </row>
    <row r="123" spans="1:3" x14ac:dyDescent="0.25">
      <c r="A123" t="s">
        <v>2909</v>
      </c>
      <c r="B123">
        <v>50</v>
      </c>
      <c r="C123" s="1" t="s">
        <v>2911</v>
      </c>
    </row>
    <row r="124" spans="1:3" ht="4.1500000000000004" customHeight="1" x14ac:dyDescent="0.25"/>
    <row r="125" spans="1:3" x14ac:dyDescent="0.25">
      <c r="A125" t="s">
        <v>39</v>
      </c>
      <c r="B125">
        <v>40</v>
      </c>
      <c r="C125" s="1" t="s">
        <v>2910</v>
      </c>
    </row>
    <row r="126" spans="1:3" ht="3" customHeight="1" x14ac:dyDescent="0.25"/>
    <row r="127" spans="1:3" x14ac:dyDescent="0.25">
      <c r="A127" t="s">
        <v>40</v>
      </c>
      <c r="B127">
        <v>50</v>
      </c>
      <c r="C127" s="1" t="s">
        <v>3297</v>
      </c>
    </row>
    <row r="129" spans="1:3" x14ac:dyDescent="0.25">
      <c r="A129" s="3" t="s">
        <v>41</v>
      </c>
    </row>
    <row r="130" spans="1:3" x14ac:dyDescent="0.25">
      <c r="A130" t="s">
        <v>42</v>
      </c>
      <c r="B130">
        <v>20</v>
      </c>
      <c r="C130" s="1" t="s">
        <v>116</v>
      </c>
    </row>
    <row r="132" spans="1:3" x14ac:dyDescent="0.25">
      <c r="B132" t="s">
        <v>43</v>
      </c>
      <c r="C132"/>
    </row>
    <row r="133" spans="1:3" x14ac:dyDescent="0.25">
      <c r="A133" s="431" t="s">
        <v>45</v>
      </c>
      <c r="B133" t="str">
        <f>General!K65</f>
        <v>lime</v>
      </c>
      <c r="C133">
        <v>15</v>
      </c>
    </row>
    <row r="134" spans="1:3" x14ac:dyDescent="0.25">
      <c r="A134" s="431" t="s">
        <v>44</v>
      </c>
      <c r="B134" t="str">
        <f>General!K66</f>
        <v>early</v>
      </c>
      <c r="C134">
        <v>25</v>
      </c>
    </row>
    <row r="135" spans="1:3" x14ac:dyDescent="0.25">
      <c r="A135" s="431" t="s">
        <v>69</v>
      </c>
      <c r="B135" t="str">
        <f>General!K67</f>
        <v>at_seeding</v>
      </c>
      <c r="C135"/>
    </row>
    <row r="136" spans="1:3" x14ac:dyDescent="0.25">
      <c r="A136" s="431" t="s">
        <v>2912</v>
      </c>
      <c r="B136" t="str">
        <f>General!K68</f>
        <v>mid</v>
      </c>
      <c r="C136">
        <v>25</v>
      </c>
    </row>
    <row r="137" spans="1:3" x14ac:dyDescent="0.25">
      <c r="A137" s="431" t="s">
        <v>2547</v>
      </c>
      <c r="B137" t="str">
        <f>General!K69</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General!G65</f>
        <v>b</v>
      </c>
      <c r="B156" s="6">
        <v>1</v>
      </c>
      <c r="C156" s="6">
        <v>1</v>
      </c>
    </row>
    <row r="157" spans="1:3" x14ac:dyDescent="0.25">
      <c r="A157" s="342" t="str">
        <f>General!G66</f>
        <v>bd</v>
      </c>
      <c r="B157" s="6">
        <v>1</v>
      </c>
      <c r="C157" s="6">
        <v>1</v>
      </c>
    </row>
    <row r="158" spans="1:3" x14ac:dyDescent="0.25">
      <c r="A158" s="342" t="str">
        <f>General!G67</f>
        <v>f</v>
      </c>
      <c r="B158" s="6">
        <v>1</v>
      </c>
      <c r="C158" s="6">
        <v>1</v>
      </c>
    </row>
    <row r="159" spans="1:3" x14ac:dyDescent="0.25">
      <c r="A159" s="342" t="str">
        <f>General!G68</f>
        <v>h</v>
      </c>
      <c r="B159" s="6">
        <v>1</v>
      </c>
      <c r="C159" s="6">
        <v>3</v>
      </c>
    </row>
    <row r="160" spans="1:3" x14ac:dyDescent="0.25">
      <c r="A160" s="342" t="str">
        <f>General!G69</f>
        <v>i</v>
      </c>
      <c r="B160" s="6">
        <v>1</v>
      </c>
      <c r="C160" s="6">
        <v>1</v>
      </c>
    </row>
    <row r="161" spans="1:3" x14ac:dyDescent="0.25">
      <c r="A161" s="342" t="str">
        <f>General!G70</f>
        <v>k</v>
      </c>
      <c r="B161" s="6">
        <v>1</v>
      </c>
      <c r="C161" s="6">
        <v>1</v>
      </c>
    </row>
    <row r="162" spans="1:3" x14ac:dyDescent="0.25">
      <c r="A162" s="342" t="str">
        <f>General!G71</f>
        <v>l</v>
      </c>
      <c r="B162" s="6">
        <v>1</v>
      </c>
      <c r="C162" s="6">
        <v>1</v>
      </c>
    </row>
    <row r="163" spans="1:3" x14ac:dyDescent="0.25">
      <c r="A163" s="342" t="str">
        <f>General!G72</f>
        <v>lf</v>
      </c>
      <c r="B163" s="6">
        <v>1</v>
      </c>
      <c r="C163" s="6">
        <v>1</v>
      </c>
    </row>
    <row r="164" spans="1:3" x14ac:dyDescent="0.25">
      <c r="A164" s="342" t="str">
        <f>General!G73</f>
        <v>ms</v>
      </c>
      <c r="B164" s="6">
        <v>1</v>
      </c>
      <c r="C164" s="6">
        <v>1</v>
      </c>
    </row>
    <row r="165" spans="1:3" x14ac:dyDescent="0.25">
      <c r="A165" s="342" t="str">
        <f>General!G74</f>
        <v>o</v>
      </c>
      <c r="B165" s="6">
        <v>1</v>
      </c>
      <c r="C165" s="6">
        <v>1</v>
      </c>
    </row>
    <row r="166" spans="1:3" x14ac:dyDescent="0.25">
      <c r="A166" s="342" t="str">
        <f>General!G75</f>
        <v>od</v>
      </c>
      <c r="B166" s="6">
        <v>1</v>
      </c>
      <c r="C166" s="6">
        <v>1</v>
      </c>
    </row>
    <row r="167" spans="1:3" x14ac:dyDescent="0.25">
      <c r="A167" s="342" t="str">
        <f>General!G76</f>
        <v>of</v>
      </c>
      <c r="B167" s="6">
        <v>1</v>
      </c>
      <c r="C167" s="6">
        <v>1</v>
      </c>
    </row>
    <row r="168" spans="1:3" x14ac:dyDescent="0.25">
      <c r="A168" s="342" t="str">
        <f>General!G77</f>
        <v>r</v>
      </c>
      <c r="B168" s="6">
        <v>1</v>
      </c>
      <c r="C168" s="6">
        <v>1</v>
      </c>
    </row>
    <row r="169" spans="1:3" x14ac:dyDescent="0.25">
      <c r="A169" s="342" t="str">
        <f>General!G78</f>
        <v>rd</v>
      </c>
      <c r="B169" s="6">
        <v>1</v>
      </c>
      <c r="C169" s="6">
        <v>1</v>
      </c>
    </row>
    <row r="170" spans="1:3" x14ac:dyDescent="0.25">
      <c r="A170" s="342" t="str">
        <f>General!G79</f>
        <v>v</v>
      </c>
      <c r="B170" s="6">
        <v>1</v>
      </c>
      <c r="C170" s="6">
        <v>1</v>
      </c>
    </row>
    <row r="171" spans="1:3" x14ac:dyDescent="0.25">
      <c r="A171" s="342" t="str">
        <f>General!G80</f>
        <v>w</v>
      </c>
      <c r="B171" s="6">
        <v>1</v>
      </c>
      <c r="C171" s="6">
        <v>1</v>
      </c>
    </row>
    <row r="172" spans="1:3" x14ac:dyDescent="0.25">
      <c r="A172" s="342" t="str">
        <f>General!G81</f>
        <v>wd</v>
      </c>
      <c r="B172" s="6">
        <v>1</v>
      </c>
      <c r="C172" s="6">
        <v>1</v>
      </c>
    </row>
    <row r="173" spans="1:3" x14ac:dyDescent="0.25">
      <c r="A173" s="342" t="str">
        <f>General!G82</f>
        <v>z</v>
      </c>
      <c r="B173" s="6">
        <v>1</v>
      </c>
      <c r="C173" s="6">
        <v>1</v>
      </c>
    </row>
    <row r="174" spans="1:3" x14ac:dyDescent="0.25">
      <c r="A174" s="342" t="str">
        <f>General!G83</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528</vt:i4>
      </vt:variant>
    </vt:vector>
  </HeadingPairs>
  <TitlesOfParts>
    <vt:vector size="542"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2025-10-03T05:01:24Z</dcterms:modified>
</cp:coreProperties>
</file>