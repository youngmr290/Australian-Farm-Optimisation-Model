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15B533AE-DD32-4513-8FA2-343DE867A250}" xr6:coauthVersionLast="47" xr6:coauthVersionMax="47" xr10:uidLastSave="{00000000-0000-0000-0000-000000000000}"/>
  <bookViews>
    <workbookView xWindow="-120" yWindow="-16365" windowWidth="29040" windowHeight="1572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Parameters!$E$36:$AJ$1615</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Parameters!$W$928</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Emissions!$L$67</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Parameters!$U$820:$AE$927</definedName>
    <definedName name="i_cl0_len">Parameters!$U$819</definedName>
    <definedName name="i_cl0_len2">Parameters!$V$819</definedName>
    <definedName name="i_cl0_pos">Parameters!$W$819</definedName>
    <definedName name="i_cl0_y">Parameters!$AH$820:$AI$927</definedName>
    <definedName name="i_cl1_c2">Parameters!$U$929:$AE$1036</definedName>
    <definedName name="i_cl1_len">Parameters!$U$928</definedName>
    <definedName name="i_cl1_len2">Parameters!$V$928</definedName>
    <definedName name="i_cl1_pos">Parameters!$W$928</definedName>
    <definedName name="i_cl1_y">Parameters!$AH$929:$AI$1036</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Parameters!$U$1038:$AE$1042</definedName>
    <definedName name="i_cu0_len">Parameters!$U$1037</definedName>
    <definedName name="i_cu0_pos">Parameters!$W$1037</definedName>
    <definedName name="i_cu0_y">Parameters!$AH$1038:$AI$1042</definedName>
    <definedName name="i_cu1_c2">Parameters!$U$1044:$AE$1195</definedName>
    <definedName name="i_cu1_len">Parameters!$U$1043</definedName>
    <definedName name="i_cu1_len2">Parameters!$V$1043</definedName>
    <definedName name="i_cu1_pos">Parameters!$W$1043</definedName>
    <definedName name="i_cu1_y">Parameters!$AH$1044:$AI$1195</definedName>
    <definedName name="i_cu2_c2">Parameters!$U$1197:$AE$1601</definedName>
    <definedName name="i_cu2_len">Parameters!$U$1196</definedName>
    <definedName name="i_cu2_len2">Parameters!$V$1196</definedName>
    <definedName name="i_cu2_pos">Parameters!$W$1196</definedName>
    <definedName name="i_cu2_y">Parameters!$AH$1197:$AI$1601</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Emissions!$L$53</definedName>
    <definedName name="i_ef_fert" localSheetId="7">Emissions!$L$50</definedName>
    <definedName name="i_ef_leach_runoff" localSheetId="7">Emissions!$L$36</definedName>
    <definedName name="i_ef_limestone" localSheetId="7">Emissions!$L$52</definedName>
    <definedName name="i_ef_n2o_burning" localSheetId="7">Emissions!$L$41</definedName>
    <definedName name="i_ef_residue" localSheetId="7">Emissions!$L$40</definedName>
    <definedName name="i_ef_urea" localSheetId="7">Emissions!$L$51</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Emissions!$N$100</definedName>
    <definedName name="i_FracGASM_manure" localSheetId="7">Emissions!$L$100</definedName>
    <definedName name="i_FracLEACH_fert" localSheetId="7">Emissions!$N$104</definedName>
    <definedName name="i_FracLEACH_manure" localSheetId="7">Emissions!$L$104</definedName>
    <definedName name="i_FracLEACH_residue" localSheetId="7">Emissions!$P$104</definedName>
    <definedName name="i_FracLime" localSheetId="7">Emissions!$N$108</definedName>
    <definedName name="i_FracRENEWAL" localSheetId="7">Emissions!$AA$67</definedName>
    <definedName name="i_FracWET_fert" localSheetId="7">Emissions!$N$103</definedName>
    <definedName name="i_FracWET_manure" localSheetId="7">Emissions!$L$103</definedName>
    <definedName name="i_FracWET_residue" localSheetId="7">Emissions!$P$103</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Parameters!$U$1039:$AE$1039</definedName>
    <definedName name="i_kgcs_y">Parameters!$AH$1039:$AI$1039</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Emissions!$I$67</definedName>
    <definedName name="i_NCAG_t" localSheetId="7">Emissions!$W$67:$W$70</definedName>
    <definedName name="i_NCb" localSheetId="7">Emissions!$G$67</definedName>
    <definedName name="i_NCBG_t" localSheetId="7">Emissions!$Y$67:$Y$70</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Emissions!$N$110</definedName>
    <definedName name="i_purity_limestone" localSheetId="7">Emissions!$N$109</definedName>
    <definedName name="i_rain_t" localSheetId="4">CropResidue!$J$289:$AK$289</definedName>
    <definedName name="i_Rbg" localSheetId="7">Emissions!$Q$67:$Q$85</definedName>
    <definedName name="i_RBG_t" localSheetId="7">Emissions!$U$67:$U$70</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Emissions!$N$67</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922" i="24" l="1"/>
  <c r="V921" i="24" l="1"/>
  <c r="V920" i="24"/>
  <c r="V1572" i="24"/>
  <c r="X1572" i="24" s="1"/>
  <c r="V1573" i="24"/>
  <c r="V1574" i="24"/>
  <c r="V1575" i="24"/>
  <c r="V1576" i="24"/>
  <c r="V1577" i="24"/>
  <c r="V1578" i="24"/>
  <c r="Y1578" i="24" s="1"/>
  <c r="V1579" i="24"/>
  <c r="V1580" i="24"/>
  <c r="V1581" i="24"/>
  <c r="V1582" i="24"/>
  <c r="V1583" i="24"/>
  <c r="V1584" i="24"/>
  <c r="V1585" i="24"/>
  <c r="V1586" i="24"/>
  <c r="Y1586" i="24" s="1"/>
  <c r="X1582" i="24"/>
  <c r="Y1583"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5" i="24"/>
  <c r="C1345" i="24"/>
  <c r="F1344" i="24"/>
  <c r="C1344" i="24"/>
  <c r="F1330" i="24"/>
  <c r="C1330" i="24"/>
  <c r="F1329" i="24"/>
  <c r="C1329" i="24"/>
  <c r="F1315" i="24"/>
  <c r="C1315" i="24"/>
  <c r="F1314" i="24"/>
  <c r="C1314" i="24"/>
  <c r="F1300" i="24"/>
  <c r="C1300" i="24"/>
  <c r="F1299" i="24"/>
  <c r="C1299" i="24"/>
  <c r="F1285" i="24"/>
  <c r="C1285" i="24"/>
  <c r="F1284" i="24"/>
  <c r="C1284" i="24"/>
  <c r="F1270" i="24"/>
  <c r="C1270" i="24"/>
  <c r="F1269" i="24"/>
  <c r="C1269" i="24"/>
  <c r="F1255" i="24"/>
  <c r="C1255" i="24"/>
  <c r="F1254" i="24"/>
  <c r="C1254" i="24"/>
  <c r="F1240" i="24"/>
  <c r="C1240" i="24"/>
  <c r="F1239" i="24"/>
  <c r="C1239" i="24"/>
  <c r="F1224" i="24"/>
  <c r="F1225" i="24"/>
  <c r="C1225" i="24"/>
  <c r="C1224" i="24"/>
  <c r="F1210" i="24"/>
  <c r="F1209" i="24"/>
  <c r="F1208" i="24"/>
  <c r="F1223" i="24"/>
  <c r="F1206" i="24"/>
  <c r="F1207" i="24"/>
  <c r="C1210" i="24"/>
  <c r="C1209" i="24"/>
  <c r="C1570" i="24"/>
  <c r="C1569" i="24"/>
  <c r="C1585" i="24"/>
  <c r="C1584" i="24"/>
  <c r="C1600" i="24"/>
  <c r="C1599" i="24"/>
  <c r="V923" i="24"/>
  <c r="Y923" i="24" s="1"/>
  <c r="X922" i="24"/>
  <c r="C1032" i="24"/>
  <c r="C1031" i="24"/>
  <c r="C1030" i="24"/>
  <c r="C1029"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01" i="24"/>
  <c r="V1598" i="24"/>
  <c r="V1597" i="24"/>
  <c r="V1596" i="24"/>
  <c r="V1595" i="24"/>
  <c r="V1593" i="24"/>
  <c r="V1591" i="24"/>
  <c r="V1589" i="24"/>
  <c r="V1588" i="24"/>
  <c r="V1587" i="24"/>
  <c r="AB1586" i="24"/>
  <c r="AC1586" i="24" s="1"/>
  <c r="AD1586" i="24" s="1"/>
  <c r="Z1586" i="24"/>
  <c r="W1586" i="24"/>
  <c r="C1586" i="24"/>
  <c r="AB1583" i="24"/>
  <c r="AC1583" i="24" s="1"/>
  <c r="AD1583" i="24" s="1"/>
  <c r="Z1583" i="24"/>
  <c r="W1583" i="24"/>
  <c r="F1583" i="24"/>
  <c r="C1583" i="24"/>
  <c r="AB1582" i="24"/>
  <c r="AC1582" i="24" s="1"/>
  <c r="AD1582" i="24" s="1"/>
  <c r="Z1582" i="24"/>
  <c r="W1582" i="24"/>
  <c r="F1582" i="24"/>
  <c r="C1582" i="24"/>
  <c r="AB1581" i="24"/>
  <c r="AC1581" i="24" s="1"/>
  <c r="AD1581" i="24" s="1"/>
  <c r="Z1581" i="24"/>
  <c r="W1581" i="24"/>
  <c r="X1581" i="24"/>
  <c r="F1581" i="24"/>
  <c r="C1581" i="24"/>
  <c r="AB1580" i="24"/>
  <c r="AC1580" i="24" s="1"/>
  <c r="AD1580" i="24" s="1"/>
  <c r="Z1580" i="24"/>
  <c r="W1580" i="24"/>
  <c r="X1580" i="24"/>
  <c r="F1580" i="24"/>
  <c r="C1580" i="24"/>
  <c r="C1579" i="24"/>
  <c r="AB1578" i="24"/>
  <c r="AC1578" i="24" s="1"/>
  <c r="AD1578" i="24" s="1"/>
  <c r="Z1578" i="24"/>
  <c r="W1578" i="24"/>
  <c r="C1578" i="24"/>
  <c r="C1577" i="24"/>
  <c r="AB1576" i="24"/>
  <c r="AC1576" i="24" s="1"/>
  <c r="AD1576" i="24" s="1"/>
  <c r="Z1576" i="24"/>
  <c r="W1576" i="24"/>
  <c r="Y1576" i="24"/>
  <c r="C1576" i="24"/>
  <c r="C1575" i="24"/>
  <c r="AB1574" i="24"/>
  <c r="AC1574" i="24" s="1"/>
  <c r="AD1574" i="24" s="1"/>
  <c r="Z1574" i="24"/>
  <c r="W1574" i="24"/>
  <c r="X1574" i="24"/>
  <c r="C1574" i="24"/>
  <c r="AB1573" i="24"/>
  <c r="AC1573" i="24" s="1"/>
  <c r="AD1573" i="24" s="1"/>
  <c r="Z1573" i="24"/>
  <c r="W1573" i="24"/>
  <c r="Y1573" i="24"/>
  <c r="C1573" i="24"/>
  <c r="AB1572" i="24"/>
  <c r="AC1572" i="24" s="1"/>
  <c r="AD1572" i="24" s="1"/>
  <c r="Z1572" i="24"/>
  <c r="W1572" i="24"/>
  <c r="C1572" i="24"/>
  <c r="Y922" i="24" l="1"/>
  <c r="X923" i="24"/>
  <c r="Y1572" i="24"/>
  <c r="X1578" i="24"/>
  <c r="X1583" i="24"/>
  <c r="Y1574" i="24"/>
  <c r="X1586" i="24"/>
  <c r="X1573" i="24"/>
  <c r="Y1581" i="24"/>
  <c r="Y1580" i="24"/>
  <c r="Y1582" i="24"/>
  <c r="X1576" i="24"/>
  <c r="C1602" i="24" l="1"/>
  <c r="C1603" i="24"/>
  <c r="C1604" i="24"/>
  <c r="C1605" i="24"/>
  <c r="C1606" i="24"/>
  <c r="C1607" i="24"/>
  <c r="C1608" i="24"/>
  <c r="C1609" i="24"/>
  <c r="C1610" i="24"/>
  <c r="C1611" i="24"/>
  <c r="C1612" i="24"/>
  <c r="C1613" i="24"/>
  <c r="C1614"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28" i="24"/>
  <c r="C929" i="24"/>
  <c r="C930" i="24"/>
  <c r="U930" i="24"/>
  <c r="V930" i="24"/>
  <c r="W930" i="24"/>
  <c r="X930" i="24"/>
  <c r="Y930" i="24"/>
  <c r="Z930" i="24"/>
  <c r="AA930" i="24"/>
  <c r="AB930" i="24"/>
  <c r="AC930" i="24"/>
  <c r="AD930" i="24"/>
  <c r="C931" i="24"/>
  <c r="U931" i="24"/>
  <c r="V931" i="24"/>
  <c r="W931" i="24"/>
  <c r="X931" i="24"/>
  <c r="Y931" i="24"/>
  <c r="Z931" i="24"/>
  <c r="AA931" i="24"/>
  <c r="AB931" i="24"/>
  <c r="AC931" i="24"/>
  <c r="AD931" i="24"/>
  <c r="C932" i="24"/>
  <c r="U932" i="24"/>
  <c r="V932" i="24"/>
  <c r="W932" i="24"/>
  <c r="X932" i="24"/>
  <c r="Y932" i="24"/>
  <c r="Z932" i="24"/>
  <c r="AA932" i="24"/>
  <c r="AB932" i="24"/>
  <c r="AC932" i="24"/>
  <c r="AD932" i="24"/>
  <c r="C933" i="24"/>
  <c r="C934" i="24"/>
  <c r="C935" i="24"/>
  <c r="C936" i="24"/>
  <c r="C937" i="24"/>
  <c r="C938" i="24"/>
  <c r="C939" i="24"/>
  <c r="C940" i="24"/>
  <c r="C941" i="24"/>
  <c r="C942" i="24"/>
  <c r="C943" i="24"/>
  <c r="C944" i="24"/>
  <c r="C945" i="24"/>
  <c r="C946" i="24"/>
  <c r="C947" i="24"/>
  <c r="C948" i="24"/>
  <c r="C949" i="24"/>
  <c r="C950" i="24"/>
  <c r="C951" i="24"/>
  <c r="C952" i="24"/>
  <c r="C953" i="24"/>
  <c r="C954" i="24"/>
  <c r="C955" i="24"/>
  <c r="C956" i="24"/>
  <c r="C957" i="24"/>
  <c r="C958" i="24"/>
  <c r="C959" i="24"/>
  <c r="C960" i="24"/>
  <c r="C961" i="24"/>
  <c r="C962" i="24"/>
  <c r="C963" i="24"/>
  <c r="C964" i="24"/>
  <c r="C965" i="24"/>
  <c r="C966" i="24"/>
  <c r="C967" i="24"/>
  <c r="C968" i="24"/>
  <c r="C969" i="24"/>
  <c r="C970" i="24"/>
  <c r="C971" i="24"/>
  <c r="C972" i="24"/>
  <c r="C973" i="24"/>
  <c r="C974" i="24"/>
  <c r="C975" i="24"/>
  <c r="C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U1006" i="24"/>
  <c r="V1006" i="24"/>
  <c r="W1006" i="24"/>
  <c r="X1006" i="24"/>
  <c r="Y1006" i="24"/>
  <c r="Z1006" i="24"/>
  <c r="AA1006" i="24"/>
  <c r="AB1006" i="24"/>
  <c r="AC1006" i="24"/>
  <c r="AD1006" i="24"/>
  <c r="C1007" i="24"/>
  <c r="U1007" i="24"/>
  <c r="V1007" i="24"/>
  <c r="W1007" i="24"/>
  <c r="X1007" i="24"/>
  <c r="Y1007" i="24"/>
  <c r="Z1007" i="24"/>
  <c r="AA1007" i="24"/>
  <c r="AB1007" i="24"/>
  <c r="AC1007" i="24"/>
  <c r="AD1007" i="24"/>
  <c r="C1008" i="24"/>
  <c r="U1008" i="24"/>
  <c r="V1008" i="24"/>
  <c r="W1008" i="24"/>
  <c r="X1008" i="24"/>
  <c r="Y1008" i="24"/>
  <c r="Z1008" i="24"/>
  <c r="AA1008" i="24"/>
  <c r="AB1008" i="24"/>
  <c r="AC1008" i="24"/>
  <c r="AD1008" i="24"/>
  <c r="C1009" i="24"/>
  <c r="C1010" i="24"/>
  <c r="C1011" i="24"/>
  <c r="C1012" i="24"/>
  <c r="C1013" i="24"/>
  <c r="C1014" i="24"/>
  <c r="C1015" i="24"/>
  <c r="C1016" i="24"/>
  <c r="C1017" i="24"/>
  <c r="C1018" i="24"/>
  <c r="C1019" i="24"/>
  <c r="C1020" i="24"/>
  <c r="C1021" i="24"/>
  <c r="C1022" i="24"/>
  <c r="C1023" i="24"/>
  <c r="C1024" i="24"/>
  <c r="C1025" i="24"/>
  <c r="C1026" i="24"/>
  <c r="C1027" i="24"/>
  <c r="C1028" i="24"/>
  <c r="C1033" i="24"/>
  <c r="C1034" i="24"/>
  <c r="C1035" i="24"/>
  <c r="C1036" i="24"/>
  <c r="C1037" i="24"/>
  <c r="C1038" i="24"/>
  <c r="U1038" i="24"/>
  <c r="V1038" i="24"/>
  <c r="W1038" i="24"/>
  <c r="X1038" i="24"/>
  <c r="Y1038" i="24"/>
  <c r="Z1038" i="24"/>
  <c r="AA1038" i="24"/>
  <c r="AB1038" i="24"/>
  <c r="AC1038" i="24"/>
  <c r="AD1038" i="24"/>
  <c r="C1039" i="24"/>
  <c r="C1040" i="24"/>
  <c r="Z1040" i="24"/>
  <c r="AA1040" i="24" s="1"/>
  <c r="AB1040" i="24" s="1"/>
  <c r="AC1040" i="24" s="1"/>
  <c r="AD1040" i="24" s="1"/>
  <c r="C1041" i="24"/>
  <c r="Z1041" i="24"/>
  <c r="AA1041" i="24" s="1"/>
  <c r="AB1041" i="24" s="1"/>
  <c r="AC1041" i="24" s="1"/>
  <c r="AD1041" i="24" s="1"/>
  <c r="C1042" i="24"/>
  <c r="Z1042" i="24"/>
  <c r="AA1042" i="24" s="1"/>
  <c r="AB1042" i="24" s="1"/>
  <c r="AC1042" i="24" s="1"/>
  <c r="AD1042" i="24" s="1"/>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C1073" i="24"/>
  <c r="C1074" i="24"/>
  <c r="C1075" i="24"/>
  <c r="C1076" i="24"/>
  <c r="C1077" i="24"/>
  <c r="C1078" i="24"/>
  <c r="C1079" i="24"/>
  <c r="C1080" i="24"/>
  <c r="C1081" i="24"/>
  <c r="C1082" i="24"/>
  <c r="C1083" i="24"/>
  <c r="C1084" i="24"/>
  <c r="C1085" i="24"/>
  <c r="C1086" i="24"/>
  <c r="C1087" i="24"/>
  <c r="C1088" i="24"/>
  <c r="C1089" i="24"/>
  <c r="C1090" i="24"/>
  <c r="C1091" i="24"/>
  <c r="C1092" i="24"/>
  <c r="C1093" i="24"/>
  <c r="C1094" i="24"/>
  <c r="C1095" i="24"/>
  <c r="C1096" i="24"/>
  <c r="C1097" i="24"/>
  <c r="C1098" i="24"/>
  <c r="C1099" i="24"/>
  <c r="C1100" i="24"/>
  <c r="C1101" i="24"/>
  <c r="C1102" i="24"/>
  <c r="C1103" i="24"/>
  <c r="C1104" i="24"/>
  <c r="C1105" i="24"/>
  <c r="C1106" i="24"/>
  <c r="C1107" i="24"/>
  <c r="C1108" i="24"/>
  <c r="C1109" i="24"/>
  <c r="C1110" i="24"/>
  <c r="C1111" i="24"/>
  <c r="C1112" i="24"/>
  <c r="C1113" i="24"/>
  <c r="C1114" i="24"/>
  <c r="C1115" i="24"/>
  <c r="C1116" i="24"/>
  <c r="C1117" i="24"/>
  <c r="C1118" i="24"/>
  <c r="C1119" i="24"/>
  <c r="C1120" i="24"/>
  <c r="C1121" i="24"/>
  <c r="C1122" i="24"/>
  <c r="C1123" i="24"/>
  <c r="C1124" i="24"/>
  <c r="C1125" i="24"/>
  <c r="C1126" i="24"/>
  <c r="C1127" i="24"/>
  <c r="C1128" i="24"/>
  <c r="C1129" i="24"/>
  <c r="C1130" i="24"/>
  <c r="C1131" i="24"/>
  <c r="C1132" i="24"/>
  <c r="C1133" i="24"/>
  <c r="C1134" i="24"/>
  <c r="C1135" i="24"/>
  <c r="C1136" i="24"/>
  <c r="C1137" i="24"/>
  <c r="C1138" i="24"/>
  <c r="C1139" i="24"/>
  <c r="C1140" i="24"/>
  <c r="Z1140" i="24"/>
  <c r="AA1140" i="24" s="1"/>
  <c r="AB1140" i="24" s="1"/>
  <c r="AC1140" i="24" s="1"/>
  <c r="AD1140" i="24" s="1"/>
  <c r="C1141" i="24"/>
  <c r="AH1141" i="24"/>
  <c r="AI1141" i="24"/>
  <c r="C1142" i="24"/>
  <c r="U1142" i="24"/>
  <c r="U1141" i="24" s="1"/>
  <c r="V1142" i="24"/>
  <c r="V1141" i="24" s="1"/>
  <c r="W1142" i="24"/>
  <c r="W1141" i="24" s="1"/>
  <c r="X1142" i="24"/>
  <c r="X1141" i="24" s="1"/>
  <c r="Y1142" i="24"/>
  <c r="Z1142" i="24" s="1"/>
  <c r="C1143" i="24"/>
  <c r="U1143" i="24"/>
  <c r="V1143" i="24"/>
  <c r="W1143" i="24"/>
  <c r="X1143" i="24"/>
  <c r="Y1143" i="24"/>
  <c r="Z1143" i="24" s="1"/>
  <c r="AA1143" i="24" s="1"/>
  <c r="AB1143" i="24" s="1"/>
  <c r="AC1143" i="24" s="1"/>
  <c r="AD1143" i="24" s="1"/>
  <c r="C1144" i="24"/>
  <c r="C1145" i="24"/>
  <c r="C1146" i="24"/>
  <c r="C1147" i="24"/>
  <c r="Z1147" i="24"/>
  <c r="AA1147" i="24" s="1"/>
  <c r="AB1147" i="24" s="1"/>
  <c r="AC1147" i="24" s="1"/>
  <c r="AD1147" i="24" s="1"/>
  <c r="C1148" i="24"/>
  <c r="Z1148" i="24"/>
  <c r="AA1148" i="24" s="1"/>
  <c r="AB1148" i="24" s="1"/>
  <c r="AC1148" i="24" s="1"/>
  <c r="AD1148" i="24" s="1"/>
  <c r="C1149" i="24"/>
  <c r="AH1149" i="24"/>
  <c r="AI1149" i="24"/>
  <c r="C1150" i="24"/>
  <c r="U1150" i="24"/>
  <c r="U1149" i="24" s="1"/>
  <c r="V1150" i="24"/>
  <c r="V1149" i="24" s="1"/>
  <c r="W1150" i="24"/>
  <c r="W1149" i="24" s="1"/>
  <c r="X1150" i="24"/>
  <c r="X1149" i="24" s="1"/>
  <c r="Y1150" i="24"/>
  <c r="Y1149" i="24" s="1"/>
  <c r="C1151" i="24"/>
  <c r="U1151" i="24"/>
  <c r="V1151" i="24"/>
  <c r="W1151" i="24"/>
  <c r="X1151" i="24"/>
  <c r="Y1151" i="24"/>
  <c r="Z1151" i="24" s="1"/>
  <c r="AA1151" i="24" s="1"/>
  <c r="AB1151" i="24" s="1"/>
  <c r="AC1151" i="24" s="1"/>
  <c r="AD1151" i="24" s="1"/>
  <c r="C1152" i="24"/>
  <c r="C1153" i="24"/>
  <c r="C1154" i="24"/>
  <c r="C1155" i="24"/>
  <c r="Z1155" i="24"/>
  <c r="AA1155" i="24" s="1"/>
  <c r="AB1155" i="24" s="1"/>
  <c r="AC1155" i="24" s="1"/>
  <c r="AD1155" i="24" s="1"/>
  <c r="C1156" i="24"/>
  <c r="C1157" i="24"/>
  <c r="C1158" i="24"/>
  <c r="C1159" i="24"/>
  <c r="C1160" i="24"/>
  <c r="C1161" i="24"/>
  <c r="C1162" i="24"/>
  <c r="C1163" i="24"/>
  <c r="C1164" i="24"/>
  <c r="C1165" i="24"/>
  <c r="C1166" i="24"/>
  <c r="C1167" i="24"/>
  <c r="C1168" i="24"/>
  <c r="C1169" i="24"/>
  <c r="C1170" i="24"/>
  <c r="C1171" i="24"/>
  <c r="C1172" i="24"/>
  <c r="V1172" i="24"/>
  <c r="Y1172" i="24" s="1"/>
  <c r="W1172" i="24"/>
  <c r="Z1172" i="24"/>
  <c r="AB1172" i="24"/>
  <c r="AC1172" i="24" s="1"/>
  <c r="AD1172" i="24" s="1"/>
  <c r="C1173" i="24"/>
  <c r="U1173" i="24"/>
  <c r="AA1173" i="24"/>
  <c r="AH1173" i="24"/>
  <c r="AI1173" i="24"/>
  <c r="C1174" i="24"/>
  <c r="V1174" i="24"/>
  <c r="V1173" i="24" s="1"/>
  <c r="W1174" i="24"/>
  <c r="W1173" i="24" s="1"/>
  <c r="Z1174" i="24"/>
  <c r="Z1173" i="24" s="1"/>
  <c r="AB1174" i="24"/>
  <c r="AB1173" i="24" s="1"/>
  <c r="C1175" i="24"/>
  <c r="V1175" i="24"/>
  <c r="Y1175" i="24" s="1"/>
  <c r="W1175" i="24"/>
  <c r="Z1175" i="24"/>
  <c r="AB1175" i="24"/>
  <c r="AC1175" i="24" s="1"/>
  <c r="AD1175" i="24" s="1"/>
  <c r="C1176" i="24"/>
  <c r="C1177" i="24"/>
  <c r="C1178" i="24"/>
  <c r="C1179" i="24"/>
  <c r="Z1179" i="24"/>
  <c r="AB1179" i="24"/>
  <c r="AC1179" i="24" s="1"/>
  <c r="AD1179" i="24" s="1"/>
  <c r="C1180" i="24"/>
  <c r="Z1180" i="24"/>
  <c r="AB1180" i="24"/>
  <c r="AC1180" i="24" s="1"/>
  <c r="AD1180" i="24" s="1"/>
  <c r="C1181" i="24"/>
  <c r="AH1181" i="24"/>
  <c r="AI1181" i="24"/>
  <c r="C1182" i="24"/>
  <c r="U1182" i="24"/>
  <c r="U1181" i="24" s="1"/>
  <c r="V1182" i="24"/>
  <c r="V1181" i="24" s="1"/>
  <c r="W1182" i="24"/>
  <c r="W1181" i="24" s="1"/>
  <c r="X1182" i="24"/>
  <c r="X1181" i="24" s="1"/>
  <c r="Y1182" i="24"/>
  <c r="Y1181" i="24" s="1"/>
  <c r="AA1182" i="24"/>
  <c r="Z1182" i="24" s="1"/>
  <c r="Z1181" i="24" s="1"/>
  <c r="C1183" i="24"/>
  <c r="U1183" i="24"/>
  <c r="V1183" i="24"/>
  <c r="W1183" i="24"/>
  <c r="X1183" i="24"/>
  <c r="Y1183" i="24"/>
  <c r="AA1183" i="24"/>
  <c r="Z1183" i="24" s="1"/>
  <c r="C1184" i="24"/>
  <c r="U1184" i="24"/>
  <c r="V1184" i="24"/>
  <c r="W1184" i="24"/>
  <c r="X1184" i="24"/>
  <c r="Y1184" i="24"/>
  <c r="AA1184" i="24"/>
  <c r="AB1184" i="24" s="1"/>
  <c r="AC1184" i="24" s="1"/>
  <c r="AD1184" i="24" s="1"/>
  <c r="C1185" i="24"/>
  <c r="Z1185" i="24"/>
  <c r="AB1185" i="24"/>
  <c r="AC1185" i="24" s="1"/>
  <c r="AD1185" i="24" s="1"/>
  <c r="C1186" i="24"/>
  <c r="Z1186" i="24"/>
  <c r="AB1186" i="24"/>
  <c r="AC1186" i="24" s="1"/>
  <c r="AD1186" i="24" s="1"/>
  <c r="C1187" i="24"/>
  <c r="AA1187" i="24"/>
  <c r="Z1187" i="24" s="1"/>
  <c r="C1188" i="24"/>
  <c r="U1188" i="24"/>
  <c r="U1190" i="24" s="1"/>
  <c r="U1189" i="24" s="1"/>
  <c r="V1188" i="24"/>
  <c r="V1192" i="24" s="1"/>
  <c r="W1188" i="24"/>
  <c r="W1192" i="24" s="1"/>
  <c r="X1188" i="24"/>
  <c r="X1192" i="24" s="1"/>
  <c r="Y1188" i="24"/>
  <c r="Y1192" i="24" s="1"/>
  <c r="AA1188" i="24"/>
  <c r="AA1192" i="24" s="1"/>
  <c r="C1189" i="24"/>
  <c r="AH1189" i="24"/>
  <c r="AI1189" i="24"/>
  <c r="C1190" i="24"/>
  <c r="C1191" i="24"/>
  <c r="C1192" i="24"/>
  <c r="C1193" i="24"/>
  <c r="U1193" i="24"/>
  <c r="V1193" i="24"/>
  <c r="W1193" i="24"/>
  <c r="X1193" i="24"/>
  <c r="Y1193" i="24"/>
  <c r="AA1193" i="24"/>
  <c r="Z1193" i="24" s="1"/>
  <c r="C1194" i="24"/>
  <c r="U1194" i="24"/>
  <c r="V1194" i="24"/>
  <c r="W1194" i="24"/>
  <c r="X1194" i="24"/>
  <c r="Y1194" i="24"/>
  <c r="AA1194" i="24"/>
  <c r="Z1194" i="24" s="1"/>
  <c r="C1195" i="24"/>
  <c r="U1195" i="24"/>
  <c r="V1195" i="24"/>
  <c r="W1195" i="24"/>
  <c r="X1195" i="24"/>
  <c r="Y1195" i="24"/>
  <c r="AA1195" i="24"/>
  <c r="Z1195" i="24" s="1"/>
  <c r="C1196" i="24"/>
  <c r="C1197" i="24"/>
  <c r="C1198" i="24"/>
  <c r="C1199" i="24"/>
  <c r="C1200" i="24"/>
  <c r="C1201" i="24"/>
  <c r="C1202" i="24"/>
  <c r="C1203" i="24"/>
  <c r="C1204" i="24"/>
  <c r="C1205" i="24"/>
  <c r="F1205" i="24"/>
  <c r="C1206" i="24"/>
  <c r="C1207" i="24"/>
  <c r="C1208" i="24"/>
  <c r="C1211" i="24"/>
  <c r="C1212" i="24"/>
  <c r="C1213" i="24"/>
  <c r="C1214" i="24"/>
  <c r="C1215" i="24"/>
  <c r="C1216" i="24"/>
  <c r="C1220" i="24"/>
  <c r="F1220" i="24"/>
  <c r="C1221" i="24"/>
  <c r="F1221" i="24"/>
  <c r="C1222" i="24"/>
  <c r="F1222" i="24"/>
  <c r="C1223" i="24"/>
  <c r="C1226" i="24"/>
  <c r="C1227" i="24"/>
  <c r="C1228" i="24"/>
  <c r="C1229" i="24"/>
  <c r="C1230" i="24"/>
  <c r="C1231" i="24"/>
  <c r="C1235" i="24"/>
  <c r="F1235" i="24"/>
  <c r="C1236" i="24"/>
  <c r="F1236" i="24"/>
  <c r="C1237" i="24"/>
  <c r="F1237" i="24"/>
  <c r="C1238" i="24"/>
  <c r="F1238" i="24"/>
  <c r="C1241" i="24"/>
  <c r="C1242" i="24"/>
  <c r="C1243" i="24"/>
  <c r="C1244" i="24"/>
  <c r="C1245" i="24"/>
  <c r="C1246" i="24"/>
  <c r="C1250" i="24"/>
  <c r="F1250" i="24"/>
  <c r="C1251" i="24"/>
  <c r="F1251" i="24"/>
  <c r="C1252" i="24"/>
  <c r="F1252" i="24"/>
  <c r="C1253" i="24"/>
  <c r="F1253" i="24"/>
  <c r="C1256" i="24"/>
  <c r="C1257" i="24"/>
  <c r="C1258" i="24"/>
  <c r="C1259" i="24"/>
  <c r="C1260" i="24"/>
  <c r="C1261" i="24"/>
  <c r="C1265" i="24"/>
  <c r="F1265" i="24"/>
  <c r="C1266" i="24"/>
  <c r="F1266" i="24"/>
  <c r="C1267" i="24"/>
  <c r="F1267" i="24"/>
  <c r="C1268" i="24"/>
  <c r="F1268" i="24"/>
  <c r="C1271" i="24"/>
  <c r="C1272" i="24"/>
  <c r="C1273" i="24"/>
  <c r="C1274" i="24"/>
  <c r="C1275" i="24"/>
  <c r="C1276" i="24"/>
  <c r="C1280" i="24"/>
  <c r="F1280" i="24"/>
  <c r="C1281" i="24"/>
  <c r="F1281" i="24"/>
  <c r="C1282" i="24"/>
  <c r="F1282" i="24"/>
  <c r="C1283" i="24"/>
  <c r="F1283" i="24"/>
  <c r="C1286" i="24"/>
  <c r="C1287" i="24"/>
  <c r="C1288" i="24"/>
  <c r="C1289" i="24"/>
  <c r="C1290" i="24"/>
  <c r="C1291" i="24"/>
  <c r="C1295" i="24"/>
  <c r="F1295" i="24"/>
  <c r="C1296" i="24"/>
  <c r="F1296" i="24"/>
  <c r="C1297" i="24"/>
  <c r="F1297" i="24"/>
  <c r="C1298" i="24"/>
  <c r="F1298" i="24"/>
  <c r="C1301" i="24"/>
  <c r="C1302" i="24"/>
  <c r="C1303" i="24"/>
  <c r="C1304" i="24"/>
  <c r="C1305" i="24"/>
  <c r="C1306" i="24"/>
  <c r="C1310" i="24"/>
  <c r="F1310" i="24"/>
  <c r="C1311" i="24"/>
  <c r="F1311" i="24"/>
  <c r="C1312" i="24"/>
  <c r="F1312" i="24"/>
  <c r="C1313" i="24"/>
  <c r="F1313" i="24"/>
  <c r="C1316" i="24"/>
  <c r="C1317" i="24"/>
  <c r="V1317" i="24"/>
  <c r="X1317" i="24" s="1"/>
  <c r="W1317" i="24"/>
  <c r="Z1317" i="24"/>
  <c r="AB1317" i="24"/>
  <c r="AC1317" i="24" s="1"/>
  <c r="AD1317" i="24" s="1"/>
  <c r="C1318" i="24"/>
  <c r="V1318" i="24"/>
  <c r="X1318" i="24" s="1"/>
  <c r="W1318" i="24"/>
  <c r="Z1318" i="24"/>
  <c r="AB1318" i="24"/>
  <c r="AC1318" i="24" s="1"/>
  <c r="AD1318" i="24" s="1"/>
  <c r="C1319" i="24"/>
  <c r="V1319" i="24"/>
  <c r="X1319" i="24" s="1"/>
  <c r="W1319" i="24"/>
  <c r="Z1319" i="24"/>
  <c r="AB1319" i="24"/>
  <c r="AC1319" i="24" s="1"/>
  <c r="AD1319" i="24" s="1"/>
  <c r="C1320" i="24"/>
  <c r="C1321" i="24"/>
  <c r="U1321" i="24"/>
  <c r="W1321" i="24" s="1"/>
  <c r="Z1321" i="24"/>
  <c r="AB1321" i="24"/>
  <c r="AC1321" i="24" s="1"/>
  <c r="AD1321" i="24" s="1"/>
  <c r="C1322" i="24"/>
  <c r="U1322" i="24"/>
  <c r="W1322" i="24" s="1"/>
  <c r="Z1322" i="24"/>
  <c r="AB1322" i="24"/>
  <c r="AC1322" i="24" s="1"/>
  <c r="AD1322" i="24" s="1"/>
  <c r="C1323" i="24"/>
  <c r="C1324" i="24"/>
  <c r="C1325" i="24"/>
  <c r="F1325" i="24"/>
  <c r="C1326" i="24"/>
  <c r="F1326" i="24"/>
  <c r="C1327" i="24"/>
  <c r="F1327" i="24"/>
  <c r="C1328" i="24"/>
  <c r="F1328" i="24"/>
  <c r="C1331" i="24"/>
  <c r="V1331" i="24"/>
  <c r="Z1331" i="24"/>
  <c r="AB1331" i="24"/>
  <c r="AC1331" i="24" s="1"/>
  <c r="AD1331" i="24" s="1"/>
  <c r="C1332" i="24"/>
  <c r="C1333" i="24"/>
  <c r="C1334" i="24"/>
  <c r="C1335" i="24"/>
  <c r="C1336" i="24"/>
  <c r="C1340" i="24"/>
  <c r="F1340" i="24"/>
  <c r="C1341" i="24"/>
  <c r="F1341" i="24"/>
  <c r="C1342" i="24"/>
  <c r="F1342" i="24"/>
  <c r="C1343" i="24"/>
  <c r="F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C1438" i="24"/>
  <c r="C1439" i="24"/>
  <c r="C1440" i="24"/>
  <c r="C1441" i="24"/>
  <c r="C1445" i="24"/>
  <c r="F1445" i="24"/>
  <c r="C1446" i="24"/>
  <c r="F1446" i="24"/>
  <c r="C1447" i="24"/>
  <c r="F1447" i="24"/>
  <c r="C1448" i="24"/>
  <c r="F1448" i="24"/>
  <c r="C1451" i="24"/>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Z1497" i="24"/>
  <c r="AA1497" i="24" s="1"/>
  <c r="AB1497" i="24" s="1"/>
  <c r="AC1497" i="24" s="1"/>
  <c r="AD1497" i="24" s="1"/>
  <c r="C1498" i="24"/>
  <c r="Z1498" i="24"/>
  <c r="AA1498" i="24" s="1"/>
  <c r="AB1498" i="24" s="1"/>
  <c r="AC1498" i="24" s="1"/>
  <c r="AD1498" i="24" s="1"/>
  <c r="C1499" i="24"/>
  <c r="C1500" i="24"/>
  <c r="C1501" i="24"/>
  <c r="C1502" i="24"/>
  <c r="C1503" i="24"/>
  <c r="C1504" i="24"/>
  <c r="C1505" i="24"/>
  <c r="F1505" i="24"/>
  <c r="C1506" i="24"/>
  <c r="F1506" i="24"/>
  <c r="C1507" i="24"/>
  <c r="F1507" i="24"/>
  <c r="C1508" i="24"/>
  <c r="F1508" i="24"/>
  <c r="C1511" i="24"/>
  <c r="Z1511" i="24"/>
  <c r="AA1511" i="24" s="1"/>
  <c r="AB1511" i="24" s="1"/>
  <c r="AC1511" i="24" s="1"/>
  <c r="AD1511" i="24" s="1"/>
  <c r="C1512" i="24"/>
  <c r="C1513" i="24"/>
  <c r="C1514" i="24"/>
  <c r="C1515" i="24"/>
  <c r="C1516" i="24"/>
  <c r="C1520" i="24"/>
  <c r="F1520" i="24"/>
  <c r="C1521" i="24"/>
  <c r="F1521" i="24"/>
  <c r="C1522" i="24"/>
  <c r="F1522" i="24"/>
  <c r="C1523" i="24"/>
  <c r="F1523" i="24"/>
  <c r="C1526" i="24"/>
  <c r="C1527" i="24"/>
  <c r="V1527" i="24"/>
  <c r="X1527" i="24" s="1"/>
  <c r="W1527" i="24"/>
  <c r="C1528" i="24"/>
  <c r="V1528" i="24"/>
  <c r="X1528" i="24" s="1"/>
  <c r="W1528" i="24"/>
  <c r="C1529" i="24"/>
  <c r="C1530" i="24"/>
  <c r="C1531" i="24"/>
  <c r="C1532" i="24"/>
  <c r="C1533" i="24"/>
  <c r="C1534" i="24"/>
  <c r="C1535" i="24"/>
  <c r="F1535" i="24"/>
  <c r="C1536" i="24"/>
  <c r="F1536" i="24"/>
  <c r="C1537" i="24"/>
  <c r="F1537" i="24"/>
  <c r="C1538" i="24"/>
  <c r="F1538" i="24"/>
  <c r="C1541" i="24"/>
  <c r="V1541" i="24"/>
  <c r="Y1541" i="24" s="1"/>
  <c r="Z1541" i="24" s="1"/>
  <c r="AA1541" i="24" s="1"/>
  <c r="AB1541" i="24" s="1"/>
  <c r="AC1541" i="24" s="1"/>
  <c r="AD1541" i="24" s="1"/>
  <c r="W1541" i="24"/>
  <c r="C1542" i="24"/>
  <c r="AA1542" i="24"/>
  <c r="C1543" i="24"/>
  <c r="AA1543" i="24"/>
  <c r="Z1543" i="24" s="1"/>
  <c r="C1544" i="24"/>
  <c r="AA1544" i="24"/>
  <c r="U1544" i="24" s="1"/>
  <c r="C1545" i="24"/>
  <c r="C1546" i="24"/>
  <c r="C1547" i="24"/>
  <c r="C1548" i="24"/>
  <c r="C1549" i="24"/>
  <c r="C1550" i="24"/>
  <c r="F1550" i="24"/>
  <c r="C1551" i="24"/>
  <c r="F1551" i="24"/>
  <c r="C1552" i="24"/>
  <c r="F1552" i="24"/>
  <c r="C1553" i="24"/>
  <c r="F1553" i="24"/>
  <c r="C1556" i="24"/>
  <c r="AA1556" i="24"/>
  <c r="Z1556" i="24" s="1"/>
  <c r="C1557" i="24"/>
  <c r="V1557" i="24"/>
  <c r="X1557" i="24" s="1"/>
  <c r="W1557" i="24"/>
  <c r="Z1557" i="24"/>
  <c r="AB1557" i="24"/>
  <c r="AC1557" i="24" s="1"/>
  <c r="AD1557" i="24" s="1"/>
  <c r="C1558" i="24"/>
  <c r="V1558" i="24"/>
  <c r="X1558" i="24" s="1"/>
  <c r="W1558" i="24"/>
  <c r="Z1558" i="24"/>
  <c r="AB1558" i="24"/>
  <c r="AC1558" i="24" s="1"/>
  <c r="AD1558" i="24" s="1"/>
  <c r="C1559" i="24"/>
  <c r="V1559" i="24"/>
  <c r="X1559" i="24" s="1"/>
  <c r="W1559" i="24"/>
  <c r="Z1559" i="24"/>
  <c r="AB1559" i="24"/>
  <c r="AC1559" i="24" s="1"/>
  <c r="AD1559" i="24" s="1"/>
  <c r="C1560" i="24"/>
  <c r="U1560" i="24"/>
  <c r="V1560" i="24" s="1"/>
  <c r="X1560" i="24" s="1"/>
  <c r="AA1560" i="24"/>
  <c r="Z1560" i="24" s="1"/>
  <c r="C1561" i="24"/>
  <c r="V1561" i="24"/>
  <c r="X1561" i="24" s="1"/>
  <c r="W1561" i="24"/>
  <c r="Z1561" i="24"/>
  <c r="AB1561" i="24"/>
  <c r="AC1561" i="24" s="1"/>
  <c r="AD1561" i="24" s="1"/>
  <c r="C1562" i="24"/>
  <c r="C1563" i="24"/>
  <c r="V1563" i="24"/>
  <c r="X1563" i="24" s="1"/>
  <c r="W1563" i="24"/>
  <c r="Z1563" i="24"/>
  <c r="AB1563" i="24"/>
  <c r="AC1563" i="24" s="1"/>
  <c r="AD1563" i="24" s="1"/>
  <c r="C1564" i="24"/>
  <c r="C1565" i="24"/>
  <c r="F1565" i="24"/>
  <c r="C1566" i="24"/>
  <c r="F1566" i="24"/>
  <c r="C1567" i="24"/>
  <c r="F1567" i="24"/>
  <c r="C1568" i="24"/>
  <c r="F1568" i="24"/>
  <c r="C1571" i="24"/>
  <c r="U1571" i="24"/>
  <c r="V1571" i="24" s="1"/>
  <c r="Z1571" i="24"/>
  <c r="AB1571" i="24"/>
  <c r="AC1571" i="24" s="1"/>
  <c r="AD1571" i="24" s="1"/>
  <c r="C1587" i="24"/>
  <c r="X1587" i="24"/>
  <c r="W1587" i="24"/>
  <c r="Z1587" i="24"/>
  <c r="AB1587" i="24"/>
  <c r="AC1587" i="24" s="1"/>
  <c r="AD1587" i="24" s="1"/>
  <c r="C1588" i="24"/>
  <c r="X1588" i="24"/>
  <c r="W1588" i="24"/>
  <c r="Z1588" i="24"/>
  <c r="AB1588" i="24"/>
  <c r="AC1588" i="24" s="1"/>
  <c r="AD1588" i="24" s="1"/>
  <c r="C1589" i="24"/>
  <c r="X1589" i="24"/>
  <c r="W1589" i="24"/>
  <c r="Z1589" i="24"/>
  <c r="AB1589" i="24"/>
  <c r="AC1589" i="24" s="1"/>
  <c r="AD1589" i="24" s="1"/>
  <c r="C1590" i="24"/>
  <c r="C1591" i="24"/>
  <c r="Y1591" i="24"/>
  <c r="W1591" i="24"/>
  <c r="Z1591" i="24"/>
  <c r="AB1591" i="24"/>
  <c r="AC1591" i="24" s="1"/>
  <c r="AD1591" i="24" s="1"/>
  <c r="C1592" i="24"/>
  <c r="C1593" i="24"/>
  <c r="X1593" i="24"/>
  <c r="W1593" i="24"/>
  <c r="Z1593" i="24"/>
  <c r="AB1593" i="24"/>
  <c r="AC1593" i="24" s="1"/>
  <c r="AD1593" i="24" s="1"/>
  <c r="C1594" i="24"/>
  <c r="C1595" i="24"/>
  <c r="X1595" i="24"/>
  <c r="W1595" i="24"/>
  <c r="Z1595" i="24"/>
  <c r="AB1595" i="24"/>
  <c r="AC1595" i="24" s="1"/>
  <c r="AD1595" i="24" s="1"/>
  <c r="C1596" i="24"/>
  <c r="Y1596" i="24"/>
  <c r="W1596" i="24"/>
  <c r="Z1596" i="24"/>
  <c r="AB1596" i="24"/>
  <c r="AC1596" i="24" s="1"/>
  <c r="AD1596" i="24" s="1"/>
  <c r="C1597" i="24"/>
  <c r="X1597" i="24"/>
  <c r="W1597" i="24"/>
  <c r="Z1597" i="24"/>
  <c r="AB1597" i="24"/>
  <c r="AC1597" i="24" s="1"/>
  <c r="AD1597" i="24" s="1"/>
  <c r="C1598" i="24"/>
  <c r="Y1598" i="24"/>
  <c r="W1598" i="24"/>
  <c r="Z1598" i="24"/>
  <c r="AB1598" i="24"/>
  <c r="AC1598" i="24" s="1"/>
  <c r="AD1598" i="24" s="1"/>
  <c r="C1601" i="24"/>
  <c r="Y1601" i="24"/>
  <c r="W1601" i="24"/>
  <c r="Z1601" i="24"/>
  <c r="AB1601" i="24"/>
  <c r="AC1601" i="24" s="1"/>
  <c r="AD1601" i="24" s="1"/>
  <c r="C1615" i="24"/>
  <c r="Y195" i="24" l="1"/>
  <c r="X197" i="24"/>
  <c r="U815" i="24"/>
  <c r="W197" i="24"/>
  <c r="AB677" i="24"/>
  <c r="Y197" i="24"/>
  <c r="AC677" i="24"/>
  <c r="Y1528" i="24"/>
  <c r="Z1528" i="24" s="1"/>
  <c r="AA1528" i="24" s="1"/>
  <c r="AB1528" i="24" s="1"/>
  <c r="AC1528" i="24" s="1"/>
  <c r="AD1528" i="24" s="1"/>
  <c r="V195" i="24"/>
  <c r="W203" i="24"/>
  <c r="V203" i="24"/>
  <c r="U203" i="24"/>
  <c r="U212" i="24"/>
  <c r="W1571" i="24"/>
  <c r="X677" i="24"/>
  <c r="V677" i="24"/>
  <c r="Y677" i="24"/>
  <c r="AB1193" i="24"/>
  <c r="AC1193" i="24" s="1"/>
  <c r="AD1193" i="24" s="1"/>
  <c r="U677" i="24"/>
  <c r="AB1187" i="24"/>
  <c r="AC1187" i="24" s="1"/>
  <c r="AD1187" i="24" s="1"/>
  <c r="Y196" i="24"/>
  <c r="V1321" i="24"/>
  <c r="X1321" i="24" s="1"/>
  <c r="X196" i="24"/>
  <c r="X203" i="24"/>
  <c r="AA239" i="24"/>
  <c r="Z239" i="24"/>
  <c r="W239" i="24"/>
  <c r="U915" i="24"/>
  <c r="V915" i="24" s="1"/>
  <c r="X915" i="24" s="1"/>
  <c r="AA1191" i="24"/>
  <c r="Z1191" i="24" s="1"/>
  <c r="U239" i="24"/>
  <c r="AA1553" i="24"/>
  <c r="Y239" i="24"/>
  <c r="U1543" i="24"/>
  <c r="V1543" i="24" s="1"/>
  <c r="X1543" i="24" s="1"/>
  <c r="X239" i="24"/>
  <c r="V1322" i="24"/>
  <c r="X1322" i="24" s="1"/>
  <c r="U412" i="24"/>
  <c r="W816" i="24"/>
  <c r="W817" i="24" s="1"/>
  <c r="W818" i="24" s="1"/>
  <c r="Z1188" i="24"/>
  <c r="AD199" i="24"/>
  <c r="AB199" i="24"/>
  <c r="AA199" i="24"/>
  <c r="W677" i="24"/>
  <c r="Z199" i="24"/>
  <c r="Y199" i="24"/>
  <c r="X199" i="24"/>
  <c r="W199" i="24"/>
  <c r="AB1556" i="24"/>
  <c r="AC1556" i="24" s="1"/>
  <c r="AD1556" i="24" s="1"/>
  <c r="V199" i="24"/>
  <c r="AD325" i="24"/>
  <c r="W503" i="24"/>
  <c r="AB325" i="24"/>
  <c r="AA325" i="24"/>
  <c r="V206" i="24"/>
  <c r="U206" i="24"/>
  <c r="AB626" i="24"/>
  <c r="AC626" i="24" s="1"/>
  <c r="AD626" i="24" s="1"/>
  <c r="X1591" i="24"/>
  <c r="W1560" i="24"/>
  <c r="X212" i="24"/>
  <c r="Y776" i="24"/>
  <c r="Z776" i="24" s="1"/>
  <c r="AA776" i="24" s="1"/>
  <c r="AB776" i="24" s="1"/>
  <c r="AC776" i="24" s="1"/>
  <c r="AD776" i="24" s="1"/>
  <c r="X1175" i="24"/>
  <c r="M196" i="24"/>
  <c r="N196" i="24" s="1"/>
  <c r="O196" i="24" s="1"/>
  <c r="P196" i="24" s="1"/>
  <c r="AD196" i="24"/>
  <c r="W814" i="24"/>
  <c r="W815" i="24" s="1"/>
  <c r="AB1542" i="24"/>
  <c r="AC1542" i="24" s="1"/>
  <c r="AB913" i="24"/>
  <c r="AC913" i="24" s="1"/>
  <c r="AD913" i="24" s="1"/>
  <c r="V197" i="24"/>
  <c r="AB623" i="24"/>
  <c r="AC623" i="24" s="1"/>
  <c r="AD623" i="24" s="1"/>
  <c r="L197" i="24"/>
  <c r="AA197" i="24" s="1"/>
  <c r="X1601" i="24"/>
  <c r="Z325" i="24"/>
  <c r="Y325" i="24"/>
  <c r="Z1542" i="24"/>
  <c r="Z1553" i="24" s="1"/>
  <c r="X325" i="24"/>
  <c r="AC209" i="24"/>
  <c r="W325" i="24"/>
  <c r="AB209" i="24"/>
  <c r="U325" i="24"/>
  <c r="Z209" i="24"/>
  <c r="W196" i="24"/>
  <c r="V196" i="24"/>
  <c r="U196" i="24"/>
  <c r="W1191" i="24"/>
  <c r="U195" i="24"/>
  <c r="V1191" i="24"/>
  <c r="U1191" i="24"/>
  <c r="U1192" i="24"/>
  <c r="U817" i="24"/>
  <c r="U818" i="24" s="1"/>
  <c r="AB1544" i="24"/>
  <c r="AC1544" i="24" s="1"/>
  <c r="AD1544" i="24" s="1"/>
  <c r="AD239" i="24"/>
  <c r="AC239" i="24"/>
  <c r="Y1595" i="24"/>
  <c r="X926" i="24"/>
  <c r="Y772" i="24"/>
  <c r="Z772" i="24" s="1"/>
  <c r="AA772" i="24" s="1"/>
  <c r="AB772" i="24" s="1"/>
  <c r="AC772" i="24" s="1"/>
  <c r="AD772" i="24" s="1"/>
  <c r="AC172" i="24"/>
  <c r="Z172" i="24"/>
  <c r="AC885" i="24"/>
  <c r="AD885" i="24" s="1"/>
  <c r="AD801" i="24" s="1"/>
  <c r="X211" i="24"/>
  <c r="W206" i="24"/>
  <c r="AA797" i="24"/>
  <c r="Z797" i="24"/>
  <c r="X1596" i="24"/>
  <c r="Y810" i="24"/>
  <c r="X204" i="24"/>
  <c r="Y1588" i="24"/>
  <c r="Z540" i="24"/>
  <c r="Z541" i="24" s="1"/>
  <c r="Z542" i="24" s="1"/>
  <c r="W45" i="24"/>
  <c r="Y773" i="24"/>
  <c r="Z773" i="24" s="1"/>
  <c r="AA773" i="24" s="1"/>
  <c r="AB773" i="24" s="1"/>
  <c r="AC773" i="24" s="1"/>
  <c r="AD773" i="24" s="1"/>
  <c r="AA209" i="24"/>
  <c r="Y212" i="24"/>
  <c r="Y69" i="24"/>
  <c r="Z69" i="24" s="1"/>
  <c r="AA69" i="24" s="1"/>
  <c r="AB69" i="24" s="1"/>
  <c r="AC69" i="24" s="1"/>
  <c r="AD69" i="24" s="1"/>
  <c r="X1598" i="24"/>
  <c r="Z623" i="24"/>
  <c r="Y172" i="24"/>
  <c r="W172" i="24"/>
  <c r="V172" i="24"/>
  <c r="Y887" i="24"/>
  <c r="Y805" i="24" s="1"/>
  <c r="X887" i="24"/>
  <c r="X805" i="24" s="1"/>
  <c r="Y814" i="24"/>
  <c r="Z814" i="24" s="1"/>
  <c r="Z815" i="24" s="1"/>
  <c r="X814" i="24"/>
  <c r="X815" i="24" s="1"/>
  <c r="AB800" i="24"/>
  <c r="AB45" i="24"/>
  <c r="Z800" i="24"/>
  <c r="AC196" i="24"/>
  <c r="Y1587" i="24"/>
  <c r="Y1560" i="24"/>
  <c r="Z1184" i="24"/>
  <c r="V809" i="24"/>
  <c r="X809" i="24" s="1"/>
  <c r="Y797" i="24"/>
  <c r="Y681" i="24"/>
  <c r="V212" i="24"/>
  <c r="AB196" i="24"/>
  <c r="AA196" i="24"/>
  <c r="Z196" i="24"/>
  <c r="V75" i="24"/>
  <c r="X75" i="24" s="1"/>
  <c r="W395" i="24"/>
  <c r="Y211" i="24"/>
  <c r="Y206" i="24"/>
  <c r="Y1319" i="24"/>
  <c r="Y886" i="24"/>
  <c r="Z886" i="24" s="1"/>
  <c r="Z802" i="24" s="1"/>
  <c r="X206" i="24"/>
  <c r="X886" i="24"/>
  <c r="X804" i="24" s="1"/>
  <c r="Z628" i="24"/>
  <c r="W72" i="24"/>
  <c r="AB627" i="24"/>
  <c r="AC627" i="24" s="1"/>
  <c r="AD627" i="24" s="1"/>
  <c r="Z45" i="24"/>
  <c r="U626" i="24"/>
  <c r="V204" i="24"/>
  <c r="X172" i="24"/>
  <c r="C28" i="24"/>
  <c r="AD799" i="24"/>
  <c r="X1541" i="24"/>
  <c r="Y927" i="24"/>
  <c r="AC799" i="24"/>
  <c r="U811" i="24"/>
  <c r="V811" i="24" s="1"/>
  <c r="Y811" i="24" s="1"/>
  <c r="C38" i="24"/>
  <c r="C5" i="24"/>
  <c r="X774" i="24"/>
  <c r="Y659" i="24"/>
  <c r="Y1561" i="24"/>
  <c r="Y857" i="24"/>
  <c r="AD797" i="24"/>
  <c r="AC797" i="24"/>
  <c r="C37" i="24"/>
  <c r="X73" i="24"/>
  <c r="Y73" i="24"/>
  <c r="Z73" i="24" s="1"/>
  <c r="AA73" i="24" s="1"/>
  <c r="AB73" i="24" s="1"/>
  <c r="AC73" i="24" s="1"/>
  <c r="AD73" i="24" s="1"/>
  <c r="AA1142" i="24"/>
  <c r="Z1141" i="24"/>
  <c r="V627" i="24"/>
  <c r="W627" i="24"/>
  <c r="AB547" i="24"/>
  <c r="AC547" i="24" s="1"/>
  <c r="AA548" i="24"/>
  <c r="AA549" i="24" s="1"/>
  <c r="AA550" i="24" s="1"/>
  <c r="X1172" i="24"/>
  <c r="Z1150" i="24"/>
  <c r="Z1149" i="24" s="1"/>
  <c r="AB797" i="24"/>
  <c r="Y45" i="24"/>
  <c r="U204" i="24"/>
  <c r="AB172" i="24"/>
  <c r="W73" i="24"/>
  <c r="AC656" i="24"/>
  <c r="AC658" i="24" s="1"/>
  <c r="X45" i="24"/>
  <c r="L204" i="24"/>
  <c r="V45" i="24"/>
  <c r="L211" i="24"/>
  <c r="W797" i="24"/>
  <c r="U45" i="24"/>
  <c r="AB629" i="24"/>
  <c r="AC629" i="24" s="1"/>
  <c r="AD629" i="24" s="1"/>
  <c r="AB1560" i="24"/>
  <c r="AC1560" i="24" s="1"/>
  <c r="AD1560" i="24" s="1"/>
  <c r="Y330" i="24"/>
  <c r="Z330" i="24" s="1"/>
  <c r="AA330" i="24" s="1"/>
  <c r="AB330" i="24" s="1"/>
  <c r="AC330" i="24" s="1"/>
  <c r="AD330" i="24" s="1"/>
  <c r="AD206" i="24"/>
  <c r="AC206" i="24"/>
  <c r="AB1183" i="24"/>
  <c r="AC1183" i="24" s="1"/>
  <c r="AD1183" i="24" s="1"/>
  <c r="X919" i="24"/>
  <c r="U629" i="24"/>
  <c r="AB206" i="24"/>
  <c r="AA206" i="24"/>
  <c r="W70" i="24"/>
  <c r="Y1141"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181" i="24"/>
  <c r="AC45" i="24"/>
  <c r="Y204" i="24"/>
  <c r="W74" i="24"/>
  <c r="Y808" i="24"/>
  <c r="X657" i="24"/>
  <c r="Y1527" i="24"/>
  <c r="Z1527" i="24" s="1"/>
  <c r="AA1527" i="24" s="1"/>
  <c r="AB1527" i="24" s="1"/>
  <c r="AC1527" i="24" s="1"/>
  <c r="AD152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192" i="24"/>
  <c r="AC1192" i="24" s="1"/>
  <c r="AD1192" i="24" s="1"/>
  <c r="Z1192"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571" i="24"/>
  <c r="Y1571" i="24"/>
  <c r="X816" i="24"/>
  <c r="X817" i="24" s="1"/>
  <c r="X818" i="24" s="1"/>
  <c r="Y816" i="24"/>
  <c r="V817" i="24"/>
  <c r="V818" i="24" s="1"/>
  <c r="V1544" i="24"/>
  <c r="W154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194" i="24"/>
  <c r="AC1194" i="24" s="1"/>
  <c r="AD1194" i="24" s="1"/>
  <c r="Z207" i="24"/>
  <c r="AC1174" i="24"/>
  <c r="Y858" i="24"/>
  <c r="AC853" i="24"/>
  <c r="AB804" i="24"/>
  <c r="X797" i="24"/>
  <c r="Y775" i="24"/>
  <c r="Z775" i="24" s="1"/>
  <c r="AA775" i="24" s="1"/>
  <c r="AB775" i="24" s="1"/>
  <c r="AC775" i="24" s="1"/>
  <c r="AD775" i="24" s="1"/>
  <c r="V756" i="24"/>
  <c r="AA677" i="24"/>
  <c r="U628" i="24"/>
  <c r="Y1557" i="24"/>
  <c r="Z677" i="24"/>
  <c r="U625" i="24"/>
  <c r="X195" i="24"/>
  <c r="W71" i="24"/>
  <c r="Y1191" i="24"/>
  <c r="AB1188" i="24"/>
  <c r="AC1188" i="24" s="1"/>
  <c r="AD1188" i="24" s="1"/>
  <c r="Y918" i="24"/>
  <c r="W914" i="24"/>
  <c r="V797" i="24"/>
  <c r="Y656" i="24"/>
  <c r="Y658" i="24" s="1"/>
  <c r="W195" i="24"/>
  <c r="Y1589" i="24"/>
  <c r="X1191" i="24"/>
  <c r="Y1174" i="24"/>
  <c r="Y1173" i="24" s="1"/>
  <c r="AC886" i="24"/>
  <c r="Y853" i="24"/>
  <c r="Y753" i="24" s="1"/>
  <c r="U797" i="24"/>
  <c r="X656" i="24"/>
  <c r="X658" i="24" s="1"/>
  <c r="AB630" i="24"/>
  <c r="AC630" i="24" s="1"/>
  <c r="AD630" i="24" s="1"/>
  <c r="X1174" i="24"/>
  <c r="X1173" i="24" s="1"/>
  <c r="X853" i="24"/>
  <c r="X753" i="24" s="1"/>
  <c r="AB806" i="24"/>
  <c r="Z630" i="24"/>
  <c r="AB624" i="24"/>
  <c r="AC624" i="24" s="1"/>
  <c r="AD624" i="24" s="1"/>
  <c r="AD796" i="24"/>
  <c r="Z624" i="24"/>
  <c r="V799" i="24"/>
  <c r="AC796" i="24"/>
  <c r="AB796" i="24"/>
  <c r="L195" i="24"/>
  <c r="W806" i="24"/>
  <c r="AA796" i="24"/>
  <c r="W76" i="24"/>
  <c r="AD198" i="24"/>
  <c r="Z913" i="24"/>
  <c r="Y1190" i="24"/>
  <c r="Y1189" i="24" s="1"/>
  <c r="AB803" i="24"/>
  <c r="V801" i="24"/>
  <c r="X796" i="24"/>
  <c r="V755" i="24"/>
  <c r="AC198" i="24"/>
  <c r="X799" i="24"/>
  <c r="AA1190" i="24"/>
  <c r="X1190" i="24"/>
  <c r="X1189" i="24" s="1"/>
  <c r="W796" i="24"/>
  <c r="AB198" i="24"/>
  <c r="V806" i="24"/>
  <c r="Y1593" i="24"/>
  <c r="Y1559" i="24"/>
  <c r="U1556" i="24"/>
  <c r="Y1318" i="24"/>
  <c r="W1190" i="24"/>
  <c r="W1189" i="24" s="1"/>
  <c r="Y885" i="24"/>
  <c r="V796" i="24"/>
  <c r="AA198" i="24"/>
  <c r="Y796" i="24"/>
  <c r="Y1597" i="24"/>
  <c r="V1190" i="24"/>
  <c r="V1189" i="24" s="1"/>
  <c r="U796" i="24"/>
  <c r="AD678" i="24"/>
  <c r="W211" i="24"/>
  <c r="Z1544" i="24"/>
  <c r="Y1563" i="24"/>
  <c r="Z798" i="24"/>
  <c r="AC678" i="24"/>
  <c r="V211" i="24"/>
  <c r="Y198" i="24"/>
  <c r="W803" i="24"/>
  <c r="AB678" i="24"/>
  <c r="Y203" i="24"/>
  <c r="X198" i="24"/>
  <c r="AB1195" i="24"/>
  <c r="AC1195" i="24" s="1"/>
  <c r="AD1195" i="24" s="1"/>
  <c r="AB1182" i="24"/>
  <c r="AB915" i="24"/>
  <c r="AC915" i="24" s="1"/>
  <c r="AD915" i="24" s="1"/>
  <c r="Y855" i="24"/>
  <c r="W809" i="24"/>
  <c r="AB805" i="24"/>
  <c r="V803" i="24"/>
  <c r="AA678" i="24"/>
  <c r="AD412" i="24"/>
  <c r="W198" i="24"/>
  <c r="AB754" i="24"/>
  <c r="AC412" i="24"/>
  <c r="AD395" i="24"/>
  <c r="V198" i="24"/>
  <c r="AB1543" i="24"/>
  <c r="AC1543" i="24" s="1"/>
  <c r="AD1543" i="24" s="1"/>
  <c r="Y678" i="24"/>
  <c r="AB412" i="24"/>
  <c r="AC395" i="24"/>
  <c r="X678" i="24"/>
  <c r="AA412" i="24"/>
  <c r="AB395" i="24"/>
  <c r="Y859" i="24"/>
  <c r="W678" i="24"/>
  <c r="AA395" i="24"/>
  <c r="Y1317" i="24"/>
  <c r="V678" i="24"/>
  <c r="Y412" i="24"/>
  <c r="Y205" i="24"/>
  <c r="U1542" i="24"/>
  <c r="Y1558" i="24"/>
  <c r="AC854" i="24"/>
  <c r="Y1321" i="24" l="1"/>
  <c r="AB1191" i="24"/>
  <c r="AC1191" i="24" s="1"/>
  <c r="AD1191" i="24" s="1"/>
  <c r="Y915" i="24"/>
  <c r="W915" i="24"/>
  <c r="Y1322" i="24"/>
  <c r="W1543" i="24"/>
  <c r="Y154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150" i="24"/>
  <c r="AA1149"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142" i="24"/>
  <c r="AA1141" i="24"/>
  <c r="AC1182" i="24"/>
  <c r="AB1181" i="24"/>
  <c r="Z816" i="24"/>
  <c r="Y817" i="24"/>
  <c r="Y818" i="24" s="1"/>
  <c r="Y1544" i="24"/>
  <c r="X154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553" i="24"/>
  <c r="V1542" i="24"/>
  <c r="W1542" i="24"/>
  <c r="W1553" i="24" s="1"/>
  <c r="Z885" i="24"/>
  <c r="Z801" i="24" s="1"/>
  <c r="Y801" i="24"/>
  <c r="AD805" i="24"/>
  <c r="AD803" i="24"/>
  <c r="AD806" i="24"/>
  <c r="Z205" i="24"/>
  <c r="AA205" i="24"/>
  <c r="AB205" i="24"/>
  <c r="AC205" i="24"/>
  <c r="AD205" i="24"/>
  <c r="X812" i="24"/>
  <c r="Y812" i="24"/>
  <c r="AA1189" i="24"/>
  <c r="Z1190" i="24"/>
  <c r="Z1189" i="24" s="1"/>
  <c r="AB1190" i="24"/>
  <c r="AC753" i="24"/>
  <c r="AD853" i="24"/>
  <c r="AD753" i="24" s="1"/>
  <c r="AB1553" i="24"/>
  <c r="X623" i="24"/>
  <c r="Y623" i="24"/>
  <c r="V1556" i="24"/>
  <c r="W1556" i="24"/>
  <c r="AC1173" i="24"/>
  <c r="AD1174" i="24"/>
  <c r="AD1173" i="24" s="1"/>
  <c r="AC1553" i="24"/>
  <c r="AD1542" i="24"/>
  <c r="AD1553" i="24" s="1"/>
  <c r="X630" i="24"/>
  <c r="Y630" i="24"/>
  <c r="AC539" i="24"/>
  <c r="AB540" i="24"/>
  <c r="AB541" i="24" s="1"/>
  <c r="AB542" i="24" s="1"/>
  <c r="AC802" i="24"/>
  <c r="AD886" i="24"/>
  <c r="AC804" i="24"/>
  <c r="Y755" i="24"/>
  <c r="Y757" i="24"/>
  <c r="Y758" i="24"/>
  <c r="Z806" i="24" l="1"/>
  <c r="Z805" i="24"/>
  <c r="AA815" i="24"/>
  <c r="AB1150" i="24"/>
  <c r="AB1149" i="24" s="1"/>
  <c r="Y626" i="24"/>
  <c r="X626" i="24"/>
  <c r="X629" i="24"/>
  <c r="Y629" i="24"/>
  <c r="AB815" i="24"/>
  <c r="AC814" i="24"/>
  <c r="AD757" i="24"/>
  <c r="AD755" i="24"/>
  <c r="AD758" i="24"/>
  <c r="AC1142" i="24"/>
  <c r="AB1141" i="24"/>
  <c r="AD756" i="24"/>
  <c r="AD754" i="24"/>
  <c r="AD802" i="24"/>
  <c r="AD804" i="24"/>
  <c r="X1556" i="24"/>
  <c r="Y1556" i="24"/>
  <c r="X625" i="24"/>
  <c r="Y625" i="24"/>
  <c r="AD539" i="24"/>
  <c r="AD540" i="24" s="1"/>
  <c r="AD541" i="24" s="1"/>
  <c r="AD542" i="24" s="1"/>
  <c r="AC540" i="24"/>
  <c r="AC541" i="24" s="1"/>
  <c r="AC542" i="24" s="1"/>
  <c r="X628" i="24"/>
  <c r="Y628" i="24"/>
  <c r="AA816" i="24"/>
  <c r="Z817" i="24"/>
  <c r="Z818" i="24" s="1"/>
  <c r="V1553" i="24"/>
  <c r="X1542" i="24"/>
  <c r="X1553" i="24" s="1"/>
  <c r="Y1542" i="24"/>
  <c r="Y1553" i="24" s="1"/>
  <c r="AC1190" i="24"/>
  <c r="AB1189" i="24"/>
  <c r="AD1182" i="24"/>
  <c r="AD1181" i="24" s="1"/>
  <c r="AC1181" i="24"/>
  <c r="AC1150" i="24" l="1"/>
  <c r="AC1149" i="24" s="1"/>
  <c r="AC1141" i="24"/>
  <c r="AD1142" i="24"/>
  <c r="AD1141" i="24" s="1"/>
  <c r="AC815" i="24"/>
  <c r="AD814" i="24"/>
  <c r="AD815" i="24" s="1"/>
  <c r="AC1189" i="24"/>
  <c r="AD1190" i="24"/>
  <c r="AD1189" i="24" s="1"/>
  <c r="AB816" i="24"/>
  <c r="AA817" i="24"/>
  <c r="AA818" i="24" s="1"/>
  <c r="AD1150" i="24" l="1"/>
  <c r="AD1149"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4"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5"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X186" i="23"/>
  <c r="Y186" i="23" s="1"/>
  <c r="Z186" i="23"/>
  <c r="AA186" i="23"/>
  <c r="AC186" i="23"/>
  <c r="AD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68" i="20"/>
  <c r="P69" i="20"/>
  <c r="P70" i="20"/>
  <c r="P71" i="20"/>
  <c r="P72" i="20"/>
  <c r="P73" i="20"/>
  <c r="P75" i="20"/>
  <c r="P76" i="20"/>
  <c r="P77" i="20"/>
  <c r="P78" i="20"/>
  <c r="P79" i="20"/>
  <c r="P80" i="20"/>
  <c r="P81" i="20"/>
  <c r="P82" i="20"/>
  <c r="P83" i="20"/>
  <c r="P84" i="20"/>
  <c r="P85" i="20"/>
  <c r="P67"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88" i="20"/>
  <c r="G114"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6"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charset val="1"/>
          </rPr>
          <t>Michael:</t>
        </r>
        <r>
          <rPr>
            <sz val="9"/>
            <color indexed="81"/>
            <rFont val="Tahoma"/>
            <charset val="1"/>
          </rPr>
          <t xml:space="preserve">
This allows price to be included for a supplement that is not a crop (ie pellets)</t>
        </r>
      </text>
    </comment>
    <comment ref="C51" authorId="3" shapeId="0" xr:uid="{42BE74C8-FDA4-43E6-8B14-AF5A9DA8766C}">
      <text>
        <r>
          <rPr>
            <b/>
            <sz val="9"/>
            <color indexed="81"/>
            <rFont val="Tahoma"/>
            <charset val="1"/>
          </rPr>
          <t>Michael:</t>
        </r>
        <r>
          <rPr>
            <sz val="9"/>
            <color indexed="81"/>
            <rFont val="Tahoma"/>
            <charset val="1"/>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charset val="1"/>
          </rPr>
          <t>Michael:</t>
        </r>
        <r>
          <rPr>
            <sz val="9"/>
            <color indexed="81"/>
            <rFont val="Tahoma"/>
            <charset val="1"/>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charset val="1"/>
          </rPr>
          <t>Michael:</t>
        </r>
        <r>
          <rPr>
            <sz val="9"/>
            <color indexed="81"/>
            <rFont val="Tahoma"/>
            <charset val="1"/>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charset val="1"/>
          </rPr>
          <t>Michael:</t>
        </r>
        <r>
          <rPr>
            <sz val="9"/>
            <color indexed="81"/>
            <rFont val="Tahoma"/>
            <charset val="1"/>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charset val="1"/>
          </rPr>
          <t>Michael:</t>
        </r>
        <r>
          <rPr>
            <sz val="9"/>
            <color indexed="81"/>
            <rFont val="Tahoma"/>
            <charset val="1"/>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charset val="1"/>
          </rPr>
          <t>Michael:</t>
        </r>
        <r>
          <rPr>
            <sz val="9"/>
            <color indexed="81"/>
            <rFont val="Tahoma"/>
            <charset val="1"/>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charset val="1"/>
          </rPr>
          <t>Michael:</t>
        </r>
        <r>
          <rPr>
            <sz val="9"/>
            <color indexed="81"/>
            <rFont val="Tahoma"/>
            <charset val="1"/>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Average price of lamb &amp; mutton</t>
        </r>
      </text>
    </comment>
    <comment ref="Z186" authorId="0" shapeId="0" xr:uid="{E7AC0602-4C4F-41DF-91F2-A189EEC32108}">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charset val="1"/>
          </rPr>
          <t>John:</t>
        </r>
        <r>
          <rPr>
            <sz val="9"/>
            <color indexed="81"/>
            <rFont val="Tahoma"/>
            <charset val="1"/>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97F92D76-482C-4F38-9FDF-718720E049D0}">
      <text>
        <r>
          <rPr>
            <b/>
            <sz val="9"/>
            <color indexed="81"/>
            <rFont val="Tahoma"/>
            <family val="2"/>
          </rPr>
          <t>Southern Dirt:</t>
        </r>
        <r>
          <rPr>
            <sz val="9"/>
            <color indexed="81"/>
            <rFont val="Tahoma"/>
            <family val="2"/>
          </rPr>
          <t xml:space="preserve">
non-irigated pastures</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G66"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6"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6"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6"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6"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6"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5" authorId="1" shapeId="0" xr:uid="{24ACAB97-59CF-4554-ABC3-57EE1368C527}">
      <text>
        <r>
          <rPr>
            <b/>
            <sz val="9"/>
            <color indexed="81"/>
            <rFont val="Tahoma"/>
            <charset val="1"/>
          </rPr>
          <t>Michael:</t>
        </r>
        <r>
          <rPr>
            <sz val="9"/>
            <color indexed="81"/>
            <rFont val="Tahoma"/>
            <charset val="1"/>
          </rPr>
          <t xml:space="preserve">
combo of ceral and pulse</t>
        </r>
      </text>
    </comment>
    <comment ref="I100"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3"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4"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charset val="1"/>
          </rPr>
          <t>John:</t>
        </r>
        <r>
          <rPr>
            <sz val="9"/>
            <color indexed="81"/>
            <rFont val="Tahoma"/>
            <charset val="1"/>
          </rPr>
          <t xml:space="preserve">
This genotype is referenced for the GEPEP analysis - so that the standard genotype doesn't need to be altered</t>
        </r>
      </text>
    </comment>
    <comment ref="X35" authorId="0" shapeId="0" xr:uid="{BB4BAC49-5394-44D9-8AAC-AFE40B514A67}">
      <text>
        <r>
          <rPr>
            <b/>
            <sz val="9"/>
            <color indexed="81"/>
            <rFont val="Tahoma"/>
            <charset val="1"/>
          </rPr>
          <t>John:</t>
        </r>
        <r>
          <rPr>
            <sz val="9"/>
            <color indexed="81"/>
            <rFont val="Tahoma"/>
            <charset val="1"/>
          </rPr>
          <t xml:space="preserve">
This genotype is referenced for the GEPEP analysis - so that the standard genotype doesn't need to be altered</t>
        </r>
      </text>
    </comment>
    <comment ref="Y35" authorId="0" shapeId="0" xr:uid="{9FC7DDEA-E0A3-494D-8892-3572395760A6}">
      <text>
        <r>
          <rPr>
            <b/>
            <sz val="9"/>
            <color indexed="81"/>
            <rFont val="Tahoma"/>
            <charset val="1"/>
          </rPr>
          <t>John:</t>
        </r>
        <r>
          <rPr>
            <sz val="9"/>
            <color indexed="81"/>
            <rFont val="Tahoma"/>
            <charset val="1"/>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charset val="1"/>
          </rPr>
          <t>John:</t>
        </r>
        <r>
          <rPr>
            <sz val="9"/>
            <color indexed="81"/>
            <rFont val="Tahoma"/>
            <charset val="1"/>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charset val="1"/>
          </rPr>
          <t>John:</t>
        </r>
        <r>
          <rPr>
            <sz val="9"/>
            <color indexed="81"/>
            <rFont val="Tahoma"/>
            <charset val="1"/>
          </rPr>
          <t xml:space="preserve">
Calibrated to increase Wwt</t>
        </r>
      </text>
    </comment>
    <comment ref="X283" authorId="0" shapeId="0" xr:uid="{A346BA1E-2862-4380-90B6-F3A0678378A1}">
      <text>
        <r>
          <rPr>
            <b/>
            <sz val="9"/>
            <color indexed="81"/>
            <rFont val="Tahoma"/>
            <charset val="1"/>
          </rPr>
          <t>John:</t>
        </r>
        <r>
          <rPr>
            <sz val="9"/>
            <color indexed="81"/>
            <rFont val="Tahoma"/>
            <charset val="1"/>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charset val="1"/>
          </rPr>
          <t>John:</t>
        </r>
        <r>
          <rPr>
            <sz val="9"/>
            <color indexed="81"/>
            <rFont val="Tahoma"/>
            <charset val="1"/>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charset val="1"/>
          </rPr>
          <t>John:</t>
        </r>
        <r>
          <rPr>
            <sz val="9"/>
            <color indexed="81"/>
            <rFont val="Tahoma"/>
            <charset val="1"/>
          </rPr>
          <t xml:space="preserve">
Calibrate to reduce TwS to about 70%</t>
        </r>
      </text>
    </comment>
    <comment ref="X854" authorId="0" shapeId="0" xr:uid="{2BC3D271-7E2E-410B-B0BF-7337BBA04335}">
      <text>
        <r>
          <rPr>
            <b/>
            <sz val="9"/>
            <color indexed="81"/>
            <rFont val="Tahoma"/>
            <charset val="1"/>
          </rPr>
          <t>John:</t>
        </r>
        <r>
          <rPr>
            <sz val="9"/>
            <color indexed="81"/>
            <rFont val="Tahoma"/>
            <charset val="1"/>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charset val="1"/>
          </rPr>
          <t>John:</t>
        </r>
        <r>
          <rPr>
            <sz val="9"/>
            <color indexed="81"/>
            <rFont val="Tahoma"/>
            <charset val="1"/>
          </rPr>
          <t xml:space="preserve">
Calibrated for 8% dry</t>
        </r>
      </text>
    </comment>
    <comment ref="X920" authorId="0" shapeId="0" xr:uid="{52FBDF70-A0A5-492E-8215-51A97B59AEDE}">
      <text>
        <r>
          <rPr>
            <b/>
            <sz val="9"/>
            <color indexed="81"/>
            <rFont val="Tahoma"/>
            <charset val="1"/>
          </rPr>
          <t>John:</t>
        </r>
        <r>
          <rPr>
            <sz val="9"/>
            <color indexed="81"/>
            <rFont val="Tahoma"/>
            <charset val="1"/>
          </rPr>
          <t xml:space="preserve">
Calibrated for 8% dry</t>
        </r>
      </text>
    </comment>
    <comment ref="W921" authorId="0" shapeId="0" xr:uid="{70C9DA3D-EE36-45C5-9E41-6B971B5BF984}">
      <text>
        <r>
          <rPr>
            <b/>
            <sz val="9"/>
            <color indexed="81"/>
            <rFont val="Tahoma"/>
            <charset val="1"/>
          </rPr>
          <t>John:</t>
        </r>
        <r>
          <rPr>
            <sz val="9"/>
            <color indexed="81"/>
            <rFont val="Tahoma"/>
            <charset val="1"/>
          </rPr>
          <t xml:space="preserve">
Adjusted to keep scanning % similar when % drys increased</t>
        </r>
      </text>
    </comment>
    <comment ref="X921" authorId="0" shapeId="0" xr:uid="{DAD34EA9-DAE3-4679-BEDE-ACC11A1895DD}">
      <text>
        <r>
          <rPr>
            <b/>
            <sz val="9"/>
            <color indexed="81"/>
            <rFont val="Tahoma"/>
            <charset val="1"/>
          </rPr>
          <t>John:</t>
        </r>
        <r>
          <rPr>
            <sz val="9"/>
            <color indexed="81"/>
            <rFont val="Tahoma"/>
            <charset val="1"/>
          </rPr>
          <t xml:space="preserve">
Adjusted to keep scanning % similar when % drys increased</t>
        </r>
      </text>
    </comment>
    <comment ref="W924" authorId="0" shapeId="0" xr:uid="{EC60DA1B-FCB2-4FA8-8FDB-BE1AA9E5A580}">
      <text>
        <r>
          <rPr>
            <b/>
            <sz val="9"/>
            <color indexed="81"/>
            <rFont val="Tahoma"/>
            <charset val="1"/>
          </rPr>
          <t>John:</t>
        </r>
        <r>
          <rPr>
            <sz val="9"/>
            <color indexed="81"/>
            <rFont val="Tahoma"/>
            <charset val="1"/>
          </rPr>
          <t xml:space="preserve">
Calibrated for 8% dry</t>
        </r>
      </text>
    </comment>
    <comment ref="X924" authorId="0" shapeId="0" xr:uid="{04088015-AC35-4ADF-9EB5-DCD38B76ACB4}">
      <text>
        <r>
          <rPr>
            <b/>
            <sz val="9"/>
            <color indexed="81"/>
            <rFont val="Tahoma"/>
            <charset val="1"/>
          </rPr>
          <t>John:</t>
        </r>
        <r>
          <rPr>
            <sz val="9"/>
            <color indexed="81"/>
            <rFont val="Tahoma"/>
            <charset val="1"/>
          </rPr>
          <t xml:space="preserve">
Calibrated for 8% dry</t>
        </r>
      </text>
    </comment>
    <comment ref="W925" authorId="0" shapeId="0" xr:uid="{C7271E47-43BF-4017-9581-9077245D1138}">
      <text>
        <r>
          <rPr>
            <b/>
            <sz val="9"/>
            <color indexed="81"/>
            <rFont val="Tahoma"/>
            <charset val="1"/>
          </rPr>
          <t>John:</t>
        </r>
        <r>
          <rPr>
            <sz val="9"/>
            <color indexed="81"/>
            <rFont val="Tahoma"/>
            <charset val="1"/>
          </rPr>
          <t xml:space="preserve">
Adjusted to keep scanning % similar when % drys increased</t>
        </r>
      </text>
    </comment>
    <comment ref="X925" authorId="0" shapeId="0" xr:uid="{7C30F7AA-2368-46E7-B82A-A1D325B7B92D}">
      <text>
        <r>
          <rPr>
            <b/>
            <sz val="9"/>
            <color indexed="81"/>
            <rFont val="Tahoma"/>
            <charset val="1"/>
          </rPr>
          <t>John:</t>
        </r>
        <r>
          <rPr>
            <sz val="9"/>
            <color indexed="81"/>
            <rFont val="Tahoma"/>
            <charset val="1"/>
          </rPr>
          <t xml:space="preserve">
Adjusted to keep scanning % similar when % drys increased</t>
        </r>
      </text>
    </comment>
    <comment ref="W928"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30"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140"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142"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147"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148"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155"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172"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179"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180"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187"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188"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19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319" authorId="0" shapeId="0" xr:uid="{4489C792-1EE6-4CEF-9B8E-0328AD65B31E}">
      <text>
        <r>
          <rPr>
            <b/>
            <sz val="9"/>
            <color indexed="81"/>
            <rFont val="Tahoma"/>
            <family val="2"/>
          </rPr>
          <t>John:</t>
        </r>
        <r>
          <rPr>
            <sz val="9"/>
            <color indexed="81"/>
            <rFont val="Tahoma"/>
            <family val="2"/>
          </rPr>
          <t xml:space="preserve">
From LMAT</t>
        </r>
      </text>
    </comment>
    <comment ref="U132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321" authorId="0" shapeId="0" xr:uid="{C228E3A4-7E5C-416C-BFB2-AFFCFB91913E}">
      <text>
        <r>
          <rPr>
            <b/>
            <sz val="9"/>
            <color indexed="81"/>
            <rFont val="Tahoma"/>
            <family val="2"/>
          </rPr>
          <t>John:</t>
        </r>
        <r>
          <rPr>
            <sz val="9"/>
            <color indexed="81"/>
            <rFont val="Tahoma"/>
            <family val="2"/>
          </rPr>
          <t xml:space="preserve">
FOO is ns in LMAT</t>
        </r>
      </text>
    </comment>
    <comment ref="AA133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553"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AA155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559"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559"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56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57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59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charset val="1"/>
          </rPr>
          <t>Michael:</t>
        </r>
        <r>
          <rPr>
            <sz val="9"/>
            <color indexed="81"/>
            <rFont val="Tahoma"/>
            <charset val="1"/>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charset val="1"/>
          </rPr>
          <t>Michael:</t>
        </r>
        <r>
          <rPr>
            <sz val="9"/>
            <color indexed="81"/>
            <rFont val="Tahoma"/>
            <charset val="1"/>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charset val="1"/>
          </rPr>
          <t>Michael:</t>
        </r>
        <r>
          <rPr>
            <sz val="9"/>
            <color indexed="81"/>
            <rFont val="Tahoma"/>
            <charset val="1"/>
          </rPr>
          <t xml:space="preserve">
maint cost for cereals</t>
        </r>
      </text>
    </comment>
    <comment ref="B111" authorId="2" shapeId="0" xr:uid="{CD3307A8-99A7-4991-A0EF-58E516E5EF1B}">
      <text>
        <r>
          <rPr>
            <b/>
            <sz val="9"/>
            <color indexed="81"/>
            <rFont val="Tahoma"/>
            <charset val="1"/>
          </rPr>
          <t>Michael:</t>
        </r>
        <r>
          <rPr>
            <sz val="9"/>
            <color indexed="81"/>
            <rFont val="Tahoma"/>
            <charset val="1"/>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charset val="1"/>
          </rPr>
          <t>Michael:</t>
        </r>
        <r>
          <rPr>
            <sz val="9"/>
            <color indexed="81"/>
            <rFont val="Tahoma"/>
            <charset val="1"/>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charset val="1"/>
          </rPr>
          <t>Michael:</t>
        </r>
        <r>
          <rPr>
            <sz val="9"/>
            <color indexed="81"/>
            <rFont val="Tahoma"/>
            <charset val="1"/>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charset val="1"/>
          </rPr>
          <t>Michael:</t>
        </r>
        <r>
          <rPr>
            <sz val="9"/>
            <color indexed="81"/>
            <rFont val="Tahoma"/>
            <charset val="1"/>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charset val="1"/>
          </rPr>
          <t>Michael:</t>
        </r>
        <r>
          <rPr>
            <sz val="9"/>
            <color indexed="81"/>
            <rFont val="Tahoma"/>
            <charset val="1"/>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charset val="1"/>
          </rPr>
          <t>Michael:</t>
        </r>
        <r>
          <rPr>
            <sz val="9"/>
            <color indexed="81"/>
            <rFont val="Tahoma"/>
            <charset val="1"/>
          </rPr>
          <t xml:space="preserve">
maint cost for cereals</t>
        </r>
      </text>
    </comment>
    <comment ref="B110" authorId="2" shapeId="0" xr:uid="{53EF6292-A9B1-4493-B59A-7681176000E2}">
      <text>
        <r>
          <rPr>
            <b/>
            <sz val="9"/>
            <color indexed="81"/>
            <rFont val="Tahoma"/>
            <charset val="1"/>
          </rPr>
          <t>Michael:</t>
        </r>
        <r>
          <rPr>
            <sz val="9"/>
            <color indexed="81"/>
            <rFont val="Tahoma"/>
            <charset val="1"/>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<sst xmlns="http://schemas.openxmlformats.org/spreadsheetml/2006/main" count="5838" uniqueCount="3377">
  <si>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</si>
  <si>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</si>
  <si>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</si>
  <si>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</si>
  <si>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</si>
  <si>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</si>
  <si>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</si>
  <si>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</si>
  <si>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</si>
  <si>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</si>
  <si>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</si>
  <si>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</si>
  <si>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</si>
  <si>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</si>
  <si>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</si>
  <si>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</si>
  <si>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</si>
  <si>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</si>
  <si>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</si>
  <si>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</si>
  <si>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</si>
  <si>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</si>
  <si>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</si>
  <si>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</si>
  <si>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</si>
  <si>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</si>
  <si>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</si>
  <si>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</si>
  <si>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</si>
  <si>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</si>
  <si>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</si>
  <si>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</si>
  <si>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</si>
  <si>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</si>
  <si>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</si>
  <si>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</si>
  <si>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</si>
  <si>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</si>
  <si>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</si>
  <si>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</si>
  <si>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</si>
  <si>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</si>
  <si>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</si>
  <si>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</si>
  <si>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</si>
  <si>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</si>
  <si>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</si>
  <si>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</si>
  <si>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</si>
  <si>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</si>
  <si>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</si>
  <si>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</si>
  <si>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</si>
  <si>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</si>
  <si>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</si>
  <si>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</si>
  <si>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</si>
  <si>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</si>
  <si>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</si>
  <si>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</si>
  <si>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</si>
  <si>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</si>
  <si>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</si>
  <si>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</si>
  <si>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</si>
  <si>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</si>
  <si>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</si>
  <si>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</si>
  <si>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</si>
  <si>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</si>
  <si>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</si>
  <si>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</si>
  <si>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</si>
  <si>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</si>
  <si>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</si>
  <si>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</si>
  <si>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</si>
  <si>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</si>
  <si>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</si>
  <si>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</si>
  <si>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</si>
  <si>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</si>
  <si>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</si>
  <si>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</si>
  <si>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</si>
  <si>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</si>
  <si>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</si>
  <si>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</si>
  <si>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</si>
  <si>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</si>
  <si>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</si>
  <si>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</si>
  <si>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</si>
  <si>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</si>
  <si>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</si>
  <si>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</si>
  <si>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</si>
  <si>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</si>
  <si>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</si>
  <si>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</si>
  <si>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</si>
  <si>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</si>
  <si>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</si>
  <si>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</si>
  <si>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</si>
  <si>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</si>
  <si>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</si>
  <si>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</si>
  <si>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</si>
  <si>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</si>
  <si>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</si>
  <si>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</si>
  <si>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</si>
  <si>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</si>
  <si>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</si>
  <si>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</si>
  <si>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</si>
  <si>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</si>
  <si>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</si>
  <si>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</si>
  <si>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</si>
  <si>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</si>
  <si>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</si>
  <si>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</si>
  <si>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</si>
  <si>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</si>
  <si>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</si>
  <si>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</si>
  <si>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</si>
  <si>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</si>
  <si>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</si>
  <si>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</si>
  <si>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</si>
  <si>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</si>
  <si>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</si>
  <si>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</si>
  <si>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</si>
  <si>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</si>
  <si>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</si>
  <si>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</si>
  <si>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</si>
  <si>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</si>
  <si>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</si>
  <si>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</si>
  <si>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</si>
  <si>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</si>
  <si>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</si>
  <si>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</si>
  <si>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</si>
  <si>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</si>
  <si>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</si>
  <si>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</si>
  <si>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</si>
  <si>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</si>
  <si>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</si>
  <si>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</si>
  <si>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</si>
  <si>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</si>
  <si>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</si>
  <si>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</si>
  <si>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</si>
  <si>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</si>
  <si>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</si>
  <si>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</si>
  <si>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</si>
  <si>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</si>
  <si>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</si>
  <si>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</si>
  <si>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</si>
  <si>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</si>
  <si>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</si>
  <si>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</si>
  <si>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</si>
  <si>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</si>
  <si>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</si>
  <si>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</si>
  <si>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</si>
  <si>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</si>
  <si>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</si>
  <si>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</si>
  <si>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</si>
  <si>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</si>
  <si>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</si>
  <si>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</si>
  <si>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</si>
  <si>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</si>
  <si>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</si>
  <si>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</si>
  <si>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</si>
  <si>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</si>
  <si>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</si>
  <si>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</si>
  <si>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</si>
  <si>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</si>
  <si>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</si>
  <si>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</si>
  <si>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</si>
  <si>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</si>
  <si>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</si>
  <si>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</si>
  <si>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</si>
  <si>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</si>
  <si>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</si>
  <si>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</si>
  <si>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</si>
  <si>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</si>
  <si>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</si>
  <si>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</si>
  <si>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</si>
  <si>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</si>
  <si>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</si>
  <si>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</si>
  <si>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</si>
  <si>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</si>
  <si>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</si>
  <si>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</si>
  <si>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</si>
  <si>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</si>
  <si>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</si>
  <si>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</si>
  <si>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</si>
  <si>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</si>
  <si>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</si>
  <si>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</si>
  <si>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</si>
  <si>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</si>
  <si>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</si>
  <si>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</si>
  <si>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</si>
  <si>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</si>
  <si>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</si>
  <si>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</si>
  <si>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</si>
  <si>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</si>
  <si>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</si>
  <si>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</si>
  <si>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</si>
  <si>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</si>
  <si>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</si>
  <si>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</si>
  <si>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</si>
  <si>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</si>
  <si>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</si>
  <si>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</si>
  <si>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</si>
  <si>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</si>
  <si>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</si>
  <si>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</si>
  <si>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</si>
  <si>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</si>
  <si>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</si>
  <si>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</si>
  <si>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</si>
  <si>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</si>
  <si>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</si>
  <si>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</si>
  <si>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</si>
  <si>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</si>
  <si>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</si>
  <si>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</si>
  <si>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</si>
  <si>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</si>
  <si>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</si>
  <si>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</si>
  <si>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</si>
  <si>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</si>
  <si>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</si>
  <si>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</si>
  <si>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</si>
  <si>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</si>
  <si>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</si>
  <si>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</si>
  <si>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</si>
  <si>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</si>
  <si>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</si>
  <si>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</si>
  <si>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</si>
  <si>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</si>
  <si>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</si>
  <si>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</si>
  <si>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</si>
  <si>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</si>
  <si>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</si>
  <si>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</si>
  <si>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</si>
  <si>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</si>
  <si>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</si>
  <si>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</si>
  <si>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</si>
  <si>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</si>
  <si>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</si>
  <si>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</si>
  <si>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</si>
  <si>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</si>
  <si>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</si>
  <si>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</si>
  <si>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</si>
  <si>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</si>
  <si>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</si>
  <si>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</si>
  <si>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</si>
  <si>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</si>
  <si>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</si>
  <si>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</si>
  <si>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</si>
  <si>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</si>
  <si>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</si>
  <si>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</si>
  <si>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</si>
  <si>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</si>
  <si>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</si>
  <si>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</si>
  <si>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</si>
  <si>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</si>
  <si>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</si>
  <si>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</si>
  <si>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</si>
  <si>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</si>
  <si>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</si>
  <si>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</si>
  <si>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</si>
  <si>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</si>
  <si>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</si>
  <si>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</si>
  <si>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</si>
  <si>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</si>
  <si>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</si>
  <si>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</si>
  <si>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</si>
  <si>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</si>
  <si>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</si>
  <si>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</si>
  <si>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</si>
  <si>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</si>
  <si>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</si>
  <si>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</si>
  <si>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</si>
  <si>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</si>
  <si>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</si>
  <si>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</si>
  <si>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</si>
  <si>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</si>
  <si>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</si>
  <si>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</si>
  <si>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</si>
  <si>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</si>
  <si>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</si>
  <si>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</si>
  <si>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</si>
  <si>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</si>
  <si>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</si>
  <si>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</si>
  <si>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</si>
  <si>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</si>
  <si>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</si>
  <si>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</si>
  <si>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</si>
  <si>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</si>
  <si>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</si>
  <si>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</si>
  <si>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</si>
  <si>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</si>
  <si>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</si>
  <si>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</si>
  <si>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</si>
  <si>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</si>
  <si>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</si>
  <si>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</si>
  <si>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</si>
  <si>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</si>
  <si>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</si>
  <si>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</si>
  <si>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</si>
  <si>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</si>
  <si>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</si>
  <si>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</si>
  <si>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</si>
  <si>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</si>
  <si>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</si>
  <si>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</si>
  <si>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</si>
  <si>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</si>
  <si>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</si>
  <si>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</si>
  <si>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</si>
  <si>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</si>
  <si>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</si>
  <si>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</si>
  <si>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</si>
  <si>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</si>
  <si>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</si>
  <si>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</si>
  <si>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</si>
  <si>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</si>
  <si>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</si>
  <si>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</si>
  <si>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</si>
  <si>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</si>
  <si>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</si>
  <si>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</si>
  <si>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</si>
  <si>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</si>
  <si>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</si>
  <si>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</si>
  <si>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</si>
  <si>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</si>
  <si>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</si>
  <si>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</si>
  <si>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</si>
  <si>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</si>
  <si>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</si>
  <si>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</si>
  <si>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</si>
  <si>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</si>
  <si>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</si>
  <si>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</si>
  <si>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</si>
  <si>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</si>
  <si>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</si>
  <si>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</si>
  <si>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</si>
  <si>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</si>
  <si>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</si>
  <si>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</si>
  <si>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</si>
  <si>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</si>
  <si>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</si>
  <si>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</si>
  <si>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</si>
  <si>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</si>
  <si>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</si>
  <si>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</si>
  <si>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</si>
  <si>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</si>
  <si>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</si>
  <si>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</si>
  <si>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</si>
  <si>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</si>
  <si>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</si>
  <si>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</si>
  <si>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</si>
  <si>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</si>
  <si>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</si>
  <si>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</si>
  <si>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</si>
  <si>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</si>
  <si>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</si>
  <si>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</si>
  <si>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</si>
  <si>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</si>
  <si>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</si>
  <si>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</si>
  <si>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</si>
  <si>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</si>
  <si>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</si>
  <si>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</si>
  <si>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</si>
  <si>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</si>
  <si>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</si>
  <si>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</si>
  <si>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</si>
  <si>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</si>
  <si>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</si>
  <si>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</si>
  <si>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</si>
  <si>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</si>
  <si>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</si>
  <si>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</si>
  <si>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</si>
  <si>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</si>
  <si>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</si>
  <si>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</si>
  <si>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</si>
  <si>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</si>
  <si>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</si>
  <si>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</si>
  <si>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</si>
  <si>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</si>
  <si>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</si>
  <si>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</si>
  <si>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</si>
  <si>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</si>
  <si>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</si>
  <si>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</si>
  <si>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</si>
  <si>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</si>
  <si>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</si>
  <si>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</si>
  <si>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</si>
  <si>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</si>
  <si>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</si>
  <si>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</si>
  <si>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</si>
  <si>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</si>
  <si>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</si>
  <si>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</si>
  <si>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</si>
  <si>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</si>
  <si>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</si>
  <si>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</si>
  <si>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</si>
  <si>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</si>
  <si>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</si>
  <si>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</si>
  <si>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</si>
  <si>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</si>
  <si>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</si>
  <si>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</si>
  <si>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</si>
  <si>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</si>
  <si>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</si>
  <si>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</si>
  <si>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</si>
  <si>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</si>
  <si>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</si>
  <si>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</si>
  <si>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</si>
  <si>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</si>
  <si>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</si>
  <si>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</si>
  <si>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</si>
  <si>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</si>
  <si>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</si>
  <si>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</si>
  <si>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</si>
  <si>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</si>
  <si>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</si>
  <si>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</si>
  <si>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</si>
  <si>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</si>
  <si>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</si>
  <si>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</si>
  <si>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</si>
  <si>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</si>
  <si>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</si>
  <si>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</si>
  <si>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</si>
  <si>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</si>
  <si>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</si>
  <si>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</si>
  <si>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</si>
  <si>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</si>
  <si>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</si>
  <si>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</si>
  <si>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</si>
  <si>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</si>
  <si>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</si>
  <si>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</si>
  <si>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</si>
  <si>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</si>
  <si>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</si>
  <si>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</si>
  <si>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</si>
  <si>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</si>
  <si>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</si>
  <si>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</si>
  <si>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</si>
  <si>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</si>
  <si>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</si>
  <si>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</si>
  <si>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</si>
  <si>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</si>
  <si>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</si>
  <si>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</si>
  <si>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</si>
  <si>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</si>
  <si>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</si>
  <si>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</si>
  <si>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</si>
  <si>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</si>
  <si>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</si>
  <si>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</si>
  <si>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</si>
  <si>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</si>
  <si>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</si>
  <si>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</si>
  <si>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</si>
  <si>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</si>
  <si>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</si>
  <si>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</si>
  <si>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</si>
  <si>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</si>
  <si>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</si>
  <si>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</si>
  <si>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</si>
  <si>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</si>
  <si>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</si>
  <si>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</si>
  <si>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</si>
  <si>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</si>
  <si>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</si>
  <si>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</si>
  <si>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</si>
  <si>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</si>
  <si>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</si>
  <si>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</si>
  <si>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</si>
  <si>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</si>
  <si>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</si>
  <si>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</si>
  <si>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</si>
  <si>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</si>
  <si>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</si>
  <si>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</si>
  <si>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</si>
  <si>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</si>
  <si>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</si>
  <si>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</si>
  <si>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</si>
  <si>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</si>
  <si>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</si>
  <si>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</si>
  <si>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</si>
  <si>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</si>
  <si>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</si>
  <si>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</si>
  <si>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</si>
  <si>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</si>
  <si>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</si>
  <si>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</si>
  <si>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</si>
  <si>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</si>
  <si>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</si>
  <si>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</si>
  <si>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</si>
  <si>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</si>
  <si>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</si>
  <si>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</si>
  <si>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</si>
  <si>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</si>
  <si>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</si>
  <si>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</si>
  <si>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</si>
  <si>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</si>
  <si>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</si>
  <si>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</si>
  <si>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</si>
  <si>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</si>
  <si>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</si>
  <si>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</si>
  <si>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</si>
  <si>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</si>
  <si>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</si>
  <si>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</si>
  <si>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</si>
  <si>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</si>
  <si>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</si>
  <si>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</si>
  <si>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</si>
  <si>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</si>
  <si>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</si>
  <si>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</si>
  <si>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</si>
  <si>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</si>
  <si>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</si>
  <si>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</si>
  <si>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</si>
  <si>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</si>
  <si>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</si>
  <si>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</si>
  <si>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</si>
  <si>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</si>
  <si>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</si>
  <si>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</si>
  <si>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</si>
  <si>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</si>
  <si>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</si>
  <si>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</si>
  <si>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</si>
  <si>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</si>
  <si>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</si>
  <si>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</si>
  <si>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</si>
  <si>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</si>
  <si>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</si>
  <si>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</si>
  <si>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</si>
  <si>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</si>
  <si>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</si>
  <si>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</si>
  <si>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</si>
  <si>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</si>
  <si>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</si>
  <si>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</si>
  <si>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</si>
  <si>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</si>
  <si>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</si>
  <si>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</si>
  <si>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</si>
  <si>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</si>
  <si>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</si>
  <si>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</si>
  <si>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</si>
  <si>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</si>
  <si>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</si>
  <si>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</si>
  <si>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</si>
  <si>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</si>
  <si>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</si>
  <si>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</si>
  <si>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</si>
  <si>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</si>
  <si>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</si>
  <si>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</si>
  <si>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</si>
  <si>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</si>
  <si>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</si>
  <si>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</si>
  <si>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</si>
  <si>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</si>
  <si>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</si>
  <si>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</si>
  <si>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</si>
  <si>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</si>
  <si>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</si>
  <si>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</si>
  <si>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</si>
  <si>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</si>
  <si>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</si>
  <si>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</si>
  <si>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</si>
  <si>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</si>
  <si>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</si>
  <si>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</si>
  <si>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</si>
  <si>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</si>
  <si>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</si>
  <si>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</si>
  <si>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</si>
  <si>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</si>
  <si>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</si>
  <si>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</si>
  <si>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</si>
  <si>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</si>
  <si>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</si>
  <si>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</si>
  <si>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</si>
  <si>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</si>
  <si>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</si>
  <si>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</si>
  <si>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</si>
  <si>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</si>
  <si>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</si>
  <si>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</si>
  <si>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</si>
  <si>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</si>
  <si>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</si>
  <si>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</si>
  <si>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</si>
  <si>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</si>
  <si>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</si>
  <si>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</si>
  <si>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</si>
  <si>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</si>
  <si>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</si>
  <si>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</si>
  <si>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</si>
  <si>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</si>
  <si>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</si>
  <si>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</si>
  <si>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</si>
  <si>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</si>
  <si>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</si>
  <si>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</si>
  <si>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</si>
  <si>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</si>
  <si>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</si>
  <si>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</si>
  <si>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</si>
  <si>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</si>
  <si>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</si>
  <si>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</si>
  <si>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</si>
  <si>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</si>
  <si>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</si>
  <si>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</si>
  <si>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</si>
  <si>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</si>
  <si>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</si>
  <si>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</si>
  <si>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</si>
  <si>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</si>
  <si>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</si>
  <si>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</si>
  <si>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</si>
  <si>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</si>
  <si>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</si>
  <si>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</si>
  <si>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</si>
  <si>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</si>
  <si>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</si>
  <si>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</si>
  <si>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</si>
  <si>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</si>
  <si>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</si>
  <si>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</si>
  <si>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</si>
  <si>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</si>
  <si>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</si>
  <si>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</si>
  <si>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</si>
  <si>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</si>
  <si>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</si>
  <si>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</si>
  <si>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</si>
  <si>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</si>
  <si>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</si>
  <si>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</si>
  <si>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</si>
  <si>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</si>
  <si>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</si>
  <si>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</si>
  <si>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</si>
  <si>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</si>
  <si>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</si>
  <si>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</si>
  <si>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</si>
  <si>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</si>
  <si>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</si>
  <si>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</si>
  <si>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</si>
  <si>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</si>
  <si>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</si>
  <si>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</si>
  <si>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</si>
  <si>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</si>
  <si>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</si>
  <si>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</si>
  <si>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</si>
  <si>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</si>
  <si>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</si>
  <si>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</si>
  <si>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</si>
  <si>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</si>
  <si>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</si>
  <si>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</si>
  <si>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</si>
  <si>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</si>
  <si>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</si>
  <si>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</si>
  <si>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</si>
  <si>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</si>
  <si>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</si>
  <si>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</si>
  <si>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</si>
  <si>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</si>
  <si>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</si>
  <si>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</si>
  <si>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</si>
  <si>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</si>
  <si>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</si>
  <si>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</si>
  <si>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</si>
  <si>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</si>
  <si>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</si>
  <si>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</si>
  <si>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</si>
  <si>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</si>
  <si>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</si>
  <si>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</si>
  <si>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</si>
  <si>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</si>
  <si>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</si>
  <si>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</si>
  <si>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</si>
  <si>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</si>
  <si>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</si>
  <si>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</si>
  <si>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</si>
  <si>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</si>
  <si>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</si>
  <si>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</si>
  <si>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</si>
  <si>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</si>
  <si>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</si>
  <si>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</si>
  <si>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</si>
  <si>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</si>
  <si>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</si>
  <si>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</si>
  <si>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</si>
  <si>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</si>
  <si>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</si>
  <si>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</si>
  <si>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</si>
  <si>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</si>
  <si>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</si>
  <si>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</si>
  <si>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</si>
  <si>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</si>
  <si>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</si>
  <si>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</si>
  <si>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</si>
  <si>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</si>
  <si>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</si>
  <si>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</si>
  <si>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</si>
  <si>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</si>
  <si>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</si>
  <si>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</si>
  <si>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</si>
  <si>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</si>
  <si>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</si>
  <si>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</si>
  <si>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</si>
  <si>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</si>
  <si>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</si>
  <si>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</si>
  <si>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</si>
  <si>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</si>
  <si>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</si>
  <si>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</si>
  <si>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</si>
  <si>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</si>
  <si>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</si>
  <si>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</si>
  <si>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</si>
  <si>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</si>
  <si>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</si>
  <si>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</si>
  <si>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</si>
  <si>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</si>
  <si>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</si>
  <si>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</si>
  <si>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</si>
  <si>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</si>
  <si>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</si>
  <si>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</si>
  <si>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</si>
  <si>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</si>
  <si>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</si>
  <si>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</si>
  <si>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</si>
  <si>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</si>
  <si>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</si>
  <si>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</si>
  <si>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</si>
  <si>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</si>
  <si>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</si>
  <si>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</si>
  <si>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</si>
  <si>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</si>
  <si>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</si>
  <si>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</si>
  <si>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</si>
  <si>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</si>
  <si>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</si>
  <si>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</si>
  <si>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</si>
  <si>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</si>
  <si>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</si>
  <si>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</si>
  <si>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</si>
  <si>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</si>
  <si>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</si>
  <si>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</si>
  <si>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</si>
  <si>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</si>
  <si>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</si>
  <si>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</si>
  <si>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</si>
  <si>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</si>
  <si>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</si>
  <si>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</si>
  <si>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</si>
  <si>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</si>
  <si>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</si>
  <si>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</si>
  <si>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</si>
  <si>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</si>
  <si>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</si>
  <si>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</si>
  <si>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</si>
  <si>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</si>
  <si>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</si>
  <si>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</si>
  <si>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</si>
  <si>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</si>
  <si>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</si>
  <si>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</si>
  <si>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</si>
  <si>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</si>
  <si>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</si>
  <si>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</si>
  <si>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</si>
  <si>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</si>
  <si>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</si>
  <si>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</si>
  <si>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</si>
  <si>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</si>
  <si>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</si>
  <si>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</si>
  <si>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</si>
  <si>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</si>
  <si>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</si>
  <si>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</si>
  <si>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</si>
  <si>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</si>
  <si>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</si>
  <si>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</si>
  <si>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</si>
  <si>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</si>
  <si>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</si>
  <si>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</si>
  <si>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</si>
  <si>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</si>
  <si>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</si>
  <si>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</si>
  <si>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</si>
  <si>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</si>
  <si>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</si>
  <si>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</si>
  <si>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</si>
  <si>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</si>
  <si>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</si>
  <si>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</si>
  <si>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</si>
  <si>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</si>
  <si>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</si>
  <si>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</si>
  <si>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</si>
  <si>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</si>
  <si>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</si>
  <si>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</si>
  <si>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</si>
  <si>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</si>
  <si>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</si>
  <si>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</si>
  <si>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</si>
  <si>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</si>
  <si>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</si>
  <si>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</si>
  <si>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</si>
  <si>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</si>
  <si>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</si>
  <si>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</si>
  <si>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</si>
  <si>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</si>
  <si>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</si>
  <si>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</si>
  <si>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</si>
  <si>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</si>
  <si>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</si>
  <si>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</si>
  <si>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</si>
  <si>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</si>
  <si>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</si>
  <si>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</si>
  <si>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</si>
  <si>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</si>
  <si>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</si>
  <si>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</si>
  <si>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</si>
  <si>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</si>
  <si>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</si>
  <si>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</si>
  <si>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</si>
  <si>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</si>
  <si>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</si>
  <si>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</si>
  <si>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</si>
  <si>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</si>
  <si>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</si>
  <si>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</si>
  <si>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</si>
  <si>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</si>
  <si>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</si>
  <si>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</si>
  <si>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</si>
  <si>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</si>
  <si>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</si>
  <si>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</si>
  <si>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</si>
  <si>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</si>
  <si>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</si>
  <si>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</si>
  <si>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</si>
  <si>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</si>
  <si>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</si>
  <si>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</si>
  <si>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</si>
  <si>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</si>
  <si>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</si>
  <si>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</si>
  <si>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</si>
  <si>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</si>
  <si>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</si>
  <si>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</si>
  <si>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</si>
  <si>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</si>
  <si>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</si>
  <si>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</si>
  <si>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</si>
  <si>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</si>
  <si>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</si>
  <si>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</si>
  <si>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</si>
  <si>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</si>
  <si>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</si>
  <si>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</si>
  <si>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</si>
  <si>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</si>
  <si>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</si>
  <si>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</si>
  <si>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</si>
  <si>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</si>
  <si>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</si>
  <si>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</si>
  <si>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</si>
  <si>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</si>
  <si>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</si>
  <si>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</si>
  <si>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</si>
  <si>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</si>
  <si>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</si>
  <si>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</si>
  <si>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</si>
  <si>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</si>
  <si>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</si>
  <si>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</si>
  <si>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</si>
  <si>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</si>
  <si>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</si>
  <si>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</si>
  <si>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</si>
  <si>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</si>
  <si>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</si>
  <si>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</si>
  <si>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</si>
  <si>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</si>
  <si>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</si>
  <si>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</si>
  <si>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</si>
  <si>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</si>
  <si>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</si>
  <si>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</si>
  <si>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</si>
  <si>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</si>
  <si>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</si>
  <si>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</si>
  <si>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</si>
  <si>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</si>
  <si>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</si>
  <si>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</si>
  <si>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</si>
  <si>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</si>
  <si>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</si>
  <si>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</si>
  <si>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</si>
  <si>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</si>
  <si>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</si>
  <si>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</si>
  <si>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</si>
  <si>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</si>
  <si>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</si>
  <si>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</si>
  <si>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</si>
  <si>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</si>
  <si>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</si>
  <si>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</si>
  <si>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</si>
  <si>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</si>
  <si>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</si>
  <si>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</si>
  <si>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</si>
  <si>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</si>
  <si>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</si>
  <si>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</si>
  <si>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</si>
  <si>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</si>
  <si>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</si>
  <si>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</si>
  <si>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</si>
  <si>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</si>
  <si>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</si>
  <si>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</si>
  <si>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</si>
  <si>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</si>
  <si>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</si>
  <si>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</si>
  <si>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</si>
  <si>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</si>
  <si>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</si>
  <si>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</si>
  <si>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</si>
  <si>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</si>
  <si>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</si>
  <si>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</si>
  <si>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</si>
  <si>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</si>
  <si>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</si>
  <si>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</si>
  <si>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</si>
  <si>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</si>
  <si>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</si>
  <si>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</si>
  <si>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</si>
  <si>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</si>
  <si>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</si>
  <si>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</si>
  <si>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</si>
  <si>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</si>
  <si>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</si>
  <si>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</si>
  <si>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</si>
  <si>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</si>
  <si>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</si>
  <si>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</si>
  <si>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</si>
  <si>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</si>
  <si>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</si>
  <si>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</si>
  <si>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</si>
  <si>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</si>
  <si>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</si>
  <si>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</si>
  <si>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</si>
  <si>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</si>
  <si>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</si>
  <si>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</si>
  <si>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</si>
  <si>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</si>
  <si>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</si>
  <si>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</si>
  <si>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</si>
  <si>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</si>
  <si>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</si>
  <si>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</si>
  <si>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</si>
  <si>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</si>
  <si>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</si>
  <si>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</si>
  <si>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</si>
  <si>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</si>
  <si>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</si>
  <si>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</si>
  <si>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</si>
  <si>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</si>
  <si>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</si>
  <si>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</si>
  <si>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</si>
  <si>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</si>
  <si>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</si>
  <si>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</si>
  <si>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</si>
  <si>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</si>
  <si>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</si>
  <si>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</si>
  <si>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</si>
  <si>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</si>
  <si>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</si>
  <si>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</si>
  <si>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</si>
  <si>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</si>
  <si>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</si>
  <si>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</si>
  <si>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</si>
  <si>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</si>
  <si>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</si>
  <si>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</si>
  <si>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</si>
  <si>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</si>
  <si>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</si>
  <si>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</si>
  <si>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</si>
  <si>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</si>
  <si>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</si>
  <si>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</si>
  <si>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</si>
  <si>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</si>
  <si>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</si>
  <si>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</si>
  <si>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</si>
  <si>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</si>
  <si>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</si>
  <si>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</si>
  <si>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</si>
  <si>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</si>
  <si>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</si>
  <si>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</si>
  <si>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</si>
  <si>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</si>
  <si>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</si>
  <si>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</si>
  <si>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</si>
  <si>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</si>
  <si>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</si>
  <si>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</si>
  <si>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</si>
  <si>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</si>
  <si>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</si>
  <si>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</si>
  <si>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</si>
  <si>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</si>
  <si>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</si>
  <si>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</si>
  <si>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</si>
  <si>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</si>
  <si>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</si>
  <si>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</si>
  <si>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</si>
  <si>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</si>
  <si>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</si>
  <si>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</si>
  <si>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</si>
  <si>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</si>
  <si>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</si>
  <si>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</si>
  <si>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</si>
  <si>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</si>
  <si>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</si>
  <si>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</si>
  <si>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</si>
  <si>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</si>
  <si>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</si>
  <si>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</si>
  <si>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</si>
  <si>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</si>
  <si>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</si>
  <si>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</si>
  <si>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</si>
  <si>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</si>
  <si>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</si>
  <si>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</si>
  <si>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</si>
  <si>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</si>
  <si>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</si>
  <si>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</si>
  <si>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</si>
  <si>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</si>
  <si>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</si>
  <si>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</si>
  <si>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</si>
  <si>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</si>
  <si>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</si>
  <si>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</si>
  <si>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</si>
  <si>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</si>
  <si>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</si>
  <si>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</si>
  <si>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</si>
  <si>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</si>
  <si>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</si>
  <si>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</si>
  <si>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</si>
  <si>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</si>
  <si>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</si>
  <si>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</si>
  <si>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</si>
  <si>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</si>
  <si>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</si>
  <si>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</si>
  <si>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</si>
  <si>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</si>
  <si>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</si>
  <si>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</si>
  <si>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</si>
  <si>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</si>
  <si>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</si>
  <si>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</si>
  <si>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</si>
  <si>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</si>
  <si>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</si>
  <si>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</si>
  <si>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</si>
  <si>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</si>
  <si>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</si>
  <si>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</si>
  <si>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</si>
  <si>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</si>
  <si>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</si>
  <si>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</si>
  <si>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</si>
  <si>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</si>
  <si>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</si>
  <si>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</si>
  <si>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</si>
  <si>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</si>
  <si>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</si>
  <si>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</si>
  <si>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</si>
  <si>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</si>
  <si>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</si>
  <si>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</si>
  <si>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</si>
  <si>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</si>
  <si>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</si>
  <si>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</si>
  <si>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</si>
  <si>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</si>
  <si>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</si>
  <si>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</si>
  <si>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</si>
  <si>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</si>
  <si>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</si>
  <si>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</si>
  <si>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</si>
  <si>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</si>
  <si>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</si>
  <si>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</si>
  <si>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</si>
  <si>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</si>
  <si>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</si>
  <si>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</si>
  <si>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</si>
  <si>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</si>
  <si>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</si>
  <si>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</si>
  <si>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</si>
  <si>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</si>
  <si>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</si>
  <si>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</si>
  <si>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</si>
  <si>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</si>
  <si>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</si>
  <si>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</si>
  <si>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</si>
  <si>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</si>
  <si>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</si>
  <si>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</si>
  <si>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</si>
  <si>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</si>
  <si>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</si>
  <si>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</si>
  <si>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</si>
  <si>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</si>
  <si>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</si>
  <si>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</si>
  <si>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</si>
  <si>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</si>
  <si>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</si>
  <si>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</si>
  <si>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</si>
  <si>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</si>
  <si>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</si>
  <si>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</si>
  <si>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</si>
  <si>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</si>
  <si>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</si>
  <si>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</si>
  <si>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</si>
  <si>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</si>
  <si>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</si>
  <si>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</si>
  <si>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</si>
  <si>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</si>
  <si>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</si>
  <si>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</si>
  <si>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</si>
  <si>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</si>
  <si>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</si>
  <si>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</si>
  <si>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</si>
  <si>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</si>
  <si>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</si>
  <si>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</si>
  <si>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</si>
  <si>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</si>
  <si>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</si>
  <si>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</si>
  <si>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</si>
  <si>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</si>
  <si>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</si>
  <si>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</si>
  <si>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</si>
  <si>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</si>
  <si>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</si>
  <si>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</si>
  <si>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</si>
  <si>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</si>
  <si>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</si>
  <si>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</si>
  <si>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</si>
  <si>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</si>
  <si>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</si>
  <si>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</si>
  <si>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</si>
  <si>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</si>
  <si>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</si>
  <si>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</si>
  <si>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</si>
  <si>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</si>
  <si>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</si>
  <si>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</si>
  <si>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</si>
  <si>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</si>
  <si>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</si>
  <si>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</si>
  <si>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</si>
  <si>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</si>
  <si>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</si>
  <si>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</si>
  <si>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</si>
  <si>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</si>
  <si>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</si>
  <si>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</si>
  <si>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</si>
  <si>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</si>
  <si>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</si>
  <si>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</si>
  <si>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</si>
  <si>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</si>
  <si>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</si>
  <si>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</si>
  <si>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</si>
  <si>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</si>
  <si>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</si>
  <si>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</si>
  <si>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</si>
  <si>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</si>
  <si>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</si>
  <si>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</si>
  <si>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</si>
  <si>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</si>
  <si>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</si>
  <si>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</si>
  <si>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</si>
  <si>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</si>
  <si>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</si>
  <si>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</si>
  <si>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</si>
  <si>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</si>
  <si>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</si>
  <si>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</si>
  <si>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</si>
  <si>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</si>
  <si>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</si>
  <si>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</si>
  <si>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</si>
  <si>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</si>
  <si>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</si>
  <si>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</si>
  <si>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</si>
  <si>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</si>
  <si>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</si>
  <si>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</si>
  <si>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</si>
  <si>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</si>
  <si>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</si>
  <si>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</si>
  <si>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</si>
  <si>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</si>
  <si>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</si>
  <si>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</si>
  <si>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</si>
  <si>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</si>
  <si>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</si>
  <si>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</si>
  <si>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</si>
  <si>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</si>
  <si>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</si>
  <si>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</si>
  <si>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</si>
  <si>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</si>
  <si>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</si>
  <si>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</si>
  <si>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</si>
  <si>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</si>
  <si>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</si>
  <si>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</si>
  <si>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</si>
  <si>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</si>
  <si>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</si>
  <si>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</si>
  <si>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</si>
  <si>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</si>
  <si>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</si>
  <si>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</si>
  <si>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</si>
  <si>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</si>
  <si>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</si>
  <si>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</si>
  <si>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</si>
  <si>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</si>
  <si>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</si>
  <si>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</si>
  <si>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</si>
  <si>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</si>
  <si>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</si>
  <si>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</si>
  <si>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</si>
  <si>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</si>
  <si>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</si>
  <si>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</si>
  <si>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</si>
  <si>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</si>
  <si>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</si>
  <si>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</si>
  <si>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</si>
  <si>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</si>
  <si>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</si>
  <si>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</si>
  <si>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</si>
  <si>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</si>
  <si>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</si>
  <si>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</si>
  <si>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</si>
  <si>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</si>
  <si>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</si>
  <si>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</si>
  <si>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</si>
  <si>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</si>
  <si>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</si>
  <si>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</si>
  <si>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</si>
  <si>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</si>
  <si>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</si>
  <si>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</si>
  <si>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</si>
  <si>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</si>
  <si>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</si>
  <si>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</si>
  <si>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</si>
  <si>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</si>
  <si>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</si>
  <si>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</si>
  <si>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</si>
  <si>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</si>
  <si>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</si>
  <si>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</si>
  <si>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</si>
  <si>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</si>
  <si>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</si>
  <si>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</si>
  <si>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</si>
  <si>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</si>
  <si>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</si>
  <si>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</si>
  <si>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</si>
  <si>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</si>
  <si>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</si>
  <si>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</si>
  <si>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</si>
  <si>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</si>
  <si>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</si>
  <si>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</si>
  <si>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</si>
  <si>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</si>
  <si>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</si>
  <si>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</si>
  <si>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</si>
  <si>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</si>
  <si>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</si>
  <si>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</si>
  <si>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</si>
  <si>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</si>
  <si>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</si>
  <si>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</si>
  <si>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</si>
  <si>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</si>
  <si>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</si>
  <si>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</si>
  <si>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</si>
  <si>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</si>
  <si>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</si>
  <si>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</si>
  <si>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</si>
  <si>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</si>
  <si>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</si>
  <si>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</si>
  <si>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</si>
  <si>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</si>
  <si>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</si>
  <si>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</si>
  <si>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</si>
  <si>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</si>
  <si>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</si>
  <si>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</si>
  <si>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</si>
  <si>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</si>
  <si>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</si>
  <si>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</si>
  <si>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</si>
  <si>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</si>
  <si>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</si>
  <si>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</si>
  <si>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</si>
  <si>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</si>
  <si>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</si>
  <si>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</si>
  <si>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</si>
  <si>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</si>
  <si>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</si>
  <si>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</si>
  <si>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</si>
  <si>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</si>
  <si>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</si>
  <si>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</si>
  <si>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</si>
  <si>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</si>
  <si>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</si>
  <si>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</si>
  <si>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</si>
  <si>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</si>
  <si>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</si>
  <si>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</si>
  <si>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</si>
  <si>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</si>
  <si>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</si>
  <si>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</si>
  <si>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</si>
  <si>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</si>
  <si>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</si>
  <si>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</si>
  <si>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</si>
  <si>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</si>
  <si>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</si>
  <si>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</si>
  <si>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</si>
  <si>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</si>
  <si>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</si>
  <si>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</si>
  <si>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</si>
  <si>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</si>
  <si>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</si>
  <si>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</si>
  <si>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</si>
  <si>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</si>
  <si>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</si>
  <si>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</si>
  <si>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</si>
  <si>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</si>
  <si>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</si>
  <si>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</si>
  <si>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</si>
  <si>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</si>
  <si>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</si>
  <si>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</si>
  <si>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</si>
  <si>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</si>
  <si>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</si>
  <si>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</si>
  <si>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</si>
  <si>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</si>
  <si>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</si>
  <si>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</si>
  <si>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</si>
  <si>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</si>
  <si>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</si>
  <si>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</si>
  <si>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</si>
  <si>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</si>
  <si>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</si>
  <si>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</si>
  <si>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</si>
  <si>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</si>
  <si>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</si>
  <si>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</si>
  <si>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</si>
  <si>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</si>
  <si>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</si>
  <si>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</si>
  <si>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</si>
  <si>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</si>
  <si>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</si>
  <si>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</si>
  <si>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</si>
  <si>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</si>
  <si>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</si>
  <si>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</si>
  <si>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</si>
  <si>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</si>
  <si>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</si>
  <si>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</si>
  <si>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</si>
  <si>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</si>
  <si>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</si>
  <si>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</si>
  <si>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</si>
  <si>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</si>
  <si>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</si>
  <si>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</si>
  <si>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</si>
  <si>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</si>
  <si>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</si>
  <si>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</si>
  <si>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</si>
  <si>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</si>
  <si>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</si>
  <si>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</si>
  <si>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</si>
  <si>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</si>
  <si>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</si>
  <si>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</si>
  <si>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</si>
  <si>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</si>
  <si>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</si>
  <si>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</si>
  <si>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</si>
  <si>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</si>
  <si>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</si>
  <si>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</si>
  <si>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</si>
  <si>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</si>
  <si>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</si>
  <si>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</si>
  <si>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</si>
  <si>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</si>
  <si>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</si>
  <si>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</si>
  <si>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</si>
  <si>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</si>
  <si>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</si>
  <si>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</si>
  <si>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</si>
  <si>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</si>
  <si>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</si>
  <si>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</si>
  <si>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</si>
  <si>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</si>
  <si>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</si>
  <si>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</si>
  <si>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</si>
  <si>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</si>
  <si>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</si>
  <si>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</si>
  <si>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</si>
  <si>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</si>
  <si>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</si>
  <si>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</si>
  <si>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</si>
  <si>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</si>
  <si>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</si>
  <si>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</si>
  <si>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</si>
  <si>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</si>
  <si>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</si>
  <si>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</si>
  <si>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</si>
  <si>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</si>
  <si>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</si>
  <si>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</si>
  <si>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</si>
  <si>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</si>
  <si>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</si>
  <si>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</si>
  <si>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</si>
  <si>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</si>
  <si>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</si>
  <si>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</si>
  <si>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</si>
  <si>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</si>
  <si>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</si>
  <si>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</si>
  <si>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</si>
  <si>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</si>
  <si>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</si>
  <si>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</si>
  <si>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</si>
  <si>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</si>
  <si>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</si>
  <si>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</si>
  <si>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</si>
  <si>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</si>
  <si>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</si>
  <si>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</si>
  <si>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</si>
  <si>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</si>
  <si>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</si>
  <si>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</si>
  <si>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</si>
  <si>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</si>
  <si>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</si>
  <si>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</si>
  <si>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</si>
  <si>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</si>
  <si>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</si>
  <si>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</si>
  <si>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</si>
  <si>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</si>
  <si>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</si>
  <si>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</si>
  <si>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</si>
  <si>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</si>
  <si>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</si>
  <si>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</si>
  <si>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</si>
  <si>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</si>
  <si>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</si>
  <si>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</si>
  <si>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</si>
  <si>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</si>
  <si>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</si>
  <si>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</si>
  <si>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</si>
  <si>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</si>
  <si>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</si>
  <si>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</si>
  <si>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</si>
  <si>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</si>
  <si>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</si>
  <si>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</si>
  <si>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</si>
  <si>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</si>
  <si>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</si>
  <si>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</si>
  <si>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</si>
  <si>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</si>
  <si>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</si>
  <si>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</si>
  <si>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</si>
  <si>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</si>
  <si>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</si>
  <si>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</si>
  <si>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</si>
  <si>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</si>
  <si>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</si>
  <si>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</si>
  <si>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</si>
  <si>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</si>
  <si>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</si>
  <si>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</si>
  <si>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</si>
  <si>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</si>
  <si>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</si>
  <si>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</si>
  <si>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</si>
  <si>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</si>
  <si>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</si>
  <si>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</si>
  <si>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</si>
  <si>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</si>
  <si>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</si>
  <si>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</si>
  <si>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</si>
  <si>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</si>
  <si>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</si>
  <si>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</si>
  <si>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</si>
  <si>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</si>
  <si>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</si>
  <si>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</si>
  <si>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</si>
  <si>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</si>
  <si>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</si>
  <si>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</si>
  <si>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</si>
  <si>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</si>
  <si>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</si>
  <si>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</si>
  <si>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</si>
  <si>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</si>
  <si>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</si>
  <si>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</si>
  <si>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</si>
  <si>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</si>
  <si>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</si>
  <si>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</si>
  <si>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</si>
  <si>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</si>
  <si>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</si>
  <si>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</si>
  <si>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</si>
  <si>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</si>
  <si>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</si>
  <si>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</si>
  <si>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</si>
  <si>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</si>
  <si>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</si>
  <si>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</si>
  <si>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</si>
  <si>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</si>
  <si>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</si>
  <si>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</si>
  <si>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</si>
  <si>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</si>
  <si>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</si>
  <si>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</si>
  <si>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</si>
  <si>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</si>
  <si>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</si>
  <si>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</si>
  <si>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</si>
  <si>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</si>
  <si>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</si>
  <si>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</si>
  <si>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</si>
  <si>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</si>
  <si>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</si>
  <si>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</si>
  <si>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</si>
  <si>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</si>
  <si>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</si>
  <si>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</si>
  <si>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</si>
  <si>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</si>
  <si>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</si>
  <si>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</si>
  <si>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</si>
  <si>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</si>
  <si>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</si>
  <si>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</si>
  <si>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</si>
  <si>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</si>
  <si>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</si>
  <si>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</si>
  <si>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</si>
  <si>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</si>
  <si>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</si>
  <si>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</si>
  <si>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</si>
  <si>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</si>
  <si>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</si>
  <si>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</si>
  <si>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</si>
  <si>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</si>
  <si>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</si>
  <si>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</si>
  <si>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</si>
  <si>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</si>
  <si>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</si>
  <si>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</si>
  <si>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</si>
  <si>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</si>
  <si>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</si>
  <si>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</si>
  <si>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</si>
  <si>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</si>
  <si>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</si>
  <si>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</si>
  <si>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</si>
  <si>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</si>
  <si>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</si>
  <si>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</si>
  <si>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</si>
  <si>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</si>
  <si>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</si>
  <si>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</si>
  <si>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</si>
  <si>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</si>
  <si>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</si>
  <si>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</si>
  <si>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</si>
  <si>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</si>
  <si>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</si>
  <si>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</si>
  <si>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</si>
  <si>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</si>
  <si>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</si>
  <si>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</si>
  <si>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</si>
  <si>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</si>
  <si>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</si>
  <si>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</si>
  <si>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</si>
  <si>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</si>
  <si>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</si>
  <si>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</si>
  <si>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</si>
  <si>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</si>
  <si>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</si>
  <si>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</si>
  <si>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</si>
  <si>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</si>
  <si>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</si>
  <si>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</si>
  <si>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</si>
  <si>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</si>
  <si>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</si>
  <si>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</si>
  <si>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</si>
  <si>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</si>
  <si>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</si>
  <si>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</si>
  <si>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</si>
  <si>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</si>
  <si>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</si>
  <si>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</si>
  <si>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</si>
  <si>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</si>
  <si>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</si>
  <si>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</si>
  <si>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</si>
  <si>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</si>
  <si>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</si>
  <si>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</si>
  <si>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</si>
  <si>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</si>
  <si>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</si>
  <si>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</si>
  <si>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</si>
  <si>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</si>
  <si>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</si>
  <si>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</si>
  <si>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</si>
  <si>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</si>
  <si>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</si>
  <si>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</si>
  <si>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</si>
  <si>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</si>
  <si>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</si>
  <si>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</si>
  <si>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</si>
  <si>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</si>
  <si>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</si>
  <si>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</si>
  <si>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</si>
  <si>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</si>
  <si>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</si>
  <si>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</si>
  <si>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</si>
  <si>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</si>
  <si>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</si>
  <si>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</si>
  <si>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</si>
  <si>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</si>
  <si>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</si>
  <si>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</si>
  <si>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</si>
  <si>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</si>
  <si>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</si>
  <si>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</si>
  <si>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</si>
  <si>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</si>
  <si>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</si>
  <si>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</si>
  <si>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</si>
  <si>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</si>
  <si>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</si>
  <si>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</si>
  <si>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</si>
  <si>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</si>
  <si>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</si>
  <si>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</si>
  <si>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</si>
  <si>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</si>
  <si>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</si>
  <si>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</si>
  <si>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</si>
  <si>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</si>
  <si>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</si>
  <si>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</si>
  <si>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</si>
  <si>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</si>
  <si>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</si>
  <si>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</si>
  <si>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</si>
  <si>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</si>
  <si>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</si>
  <si>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</si>
  <si>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</si>
  <si>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</si>
  <si>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</si>
  <si>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</si>
  <si>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</si>
  <si>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</si>
  <si>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</si>
  <si>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</si>
  <si>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</si>
  <si>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</si>
  <si>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</si>
  <si>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</si>
  <si>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</si>
  <si>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</si>
  <si>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</si>
  <si>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</si>
  <si>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</si>
  <si>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</si>
  <si>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</si>
  <si>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</si>
  <si>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</si>
  <si>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</si>
  <si>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</si>
  <si>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</si>
  <si>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</si>
  <si>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</si>
  <si>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</si>
  <si>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</si>
  <si>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</si>
  <si>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</si>
  <si>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</si>
  <si>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</si>
  <si>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</si>
  <si>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</si>
  <si>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</si>
  <si>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</si>
  <si>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</si>
  <si>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</si>
  <si>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</si>
  <si>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</si>
  <si>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</si>
  <si>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</si>
  <si>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</si>
  <si>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</si>
  <si>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</si>
  <si>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</si>
  <si>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</si>
  <si>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</si>
  <si>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</si>
  <si>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</si>
  <si>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</si>
  <si>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</si>
  <si>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</si>
  <si>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</si>
  <si>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</si>
  <si>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</si>
  <si>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</si>
  <si>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</si>
  <si>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</si>
  <si>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</si>
  <si>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</si>
  <si>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</si>
  <si>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</si>
  <si>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</si>
  <si>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</si>
  <si>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</si>
  <si>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</si>
  <si>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</si>
  <si>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</si>
  <si>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</si>
  <si>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</si>
  <si>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</si>
  <si>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</si>
  <si>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</si>
  <si>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</si>
  <si>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</si>
  <si>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</si>
  <si>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</si>
  <si>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</si>
  <si>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</si>
  <si>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</si>
  <si>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</si>
  <si>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</si>
  <si>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</si>
  <si>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</si>
  <si>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</si>
  <si>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</si>
  <si>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</si>
  <si>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</si>
  <si>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</si>
  <si>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</si>
  <si>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</si>
  <si>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</si>
  <si>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</si>
  <si>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</si>
  <si>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</si>
  <si>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</si>
  <si>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</si>
  <si>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</si>
  <si>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</si>
  <si>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</si>
  <si>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</si>
  <si>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</si>
  <si>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</si>
  <si>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</si>
  <si>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</si>
  <si>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</si>
  <si>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</si>
  <si>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</si>
  <si>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</si>
  <si>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</si>
  <si>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</si>
  <si>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</si>
  <si>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</si>
  <si>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</si>
  <si>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</si>
  <si>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</si>
  <si>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</si>
  <si>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</si>
  <si>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</si>
  <si>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</si>
  <si>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</si>
  <si>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</si>
  <si>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</si>
  <si>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</si>
  <si>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</si>
  <si>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</si>
  <si>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</si>
  <si>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</si>
  <si>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</si>
  <si>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</si>
  <si>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</si>
  <si>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</si>
  <si>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</si>
  <si>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</si>
  <si>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</si>
  <si>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</si>
  <si>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</si>
  <si>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</si>
  <si>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</si>
  <si>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</si>
  <si>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</si>
  <si>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</si>
  <si>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</si>
  <si>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</si>
  <si>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</si>
  <si>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</si>
  <si>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</si>
  <si>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</si>
  <si>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</si>
  <si>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</si>
  <si>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</si>
  <si>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</si>
  <si>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</si>
  <si>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</si>
  <si>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</si>
  <si>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</si>
  <si>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</si>
  <si>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</si>
  <si>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</si>
  <si>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</si>
  <si>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</si>
  <si>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</si>
  <si>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</si>
  <si>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</si>
  <si>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</si>
  <si>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</si>
  <si>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</si>
  <si>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</si>
  <si>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</si>
  <si>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</si>
  <si>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</si>
  <si>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</si>
  <si>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</si>
  <si>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</si>
  <si>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</si>
  <si>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</si>
  <si>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</si>
  <si>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</si>
  <si>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</si>
  <si>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</si>
  <si>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</si>
  <si>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</si>
  <si>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</si>
  <si>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</si>
  <si>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</si>
  <si>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</si>
  <si>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</si>
  <si>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</si>
  <si>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</si>
  <si>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</si>
  <si>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</si>
  <si>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</si>
  <si>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</si>
  <si>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</si>
  <si>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</si>
  <si>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</si>
  <si>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</si>
  <si>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</si>
  <si>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</si>
  <si>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</si>
  <si>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</si>
  <si>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</si>
  <si>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</si>
  <si>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</si>
  <si>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</si>
  <si>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</si>
  <si>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</si>
  <si>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</si>
  <si>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</si>
  <si>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</si>
  <si>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</si>
  <si>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</si>
  <si>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</si>
  <si>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</si>
  <si>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</si>
  <si>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</si>
  <si>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</si>
  <si>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</si>
  <si>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</si>
  <si>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</si>
  <si>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</si>
  <si>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</si>
  <si>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</si>
  <si>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</si>
  <si>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</si>
  <si>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</si>
  <si>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</si>
  <si>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</si>
  <si>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</si>
  <si>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</si>
  <si>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</si>
  <si>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</si>
  <si>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</si>
  <si>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</si>
  <si>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</si>
  <si>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</si>
  <si>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</si>
  <si>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</si>
  <si>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</si>
  <si>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</si>
  <si>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</si>
  <si>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</si>
  <si>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</si>
  <si>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</si>
  <si>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</si>
  <si>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</si>
  <si>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</si>
  <si>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</si>
  <si>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</si>
  <si>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</si>
  <si>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</si>
  <si>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</si>
  <si>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</si>
  <si>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</si>
  <si>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</si>
  <si>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</si>
  <si>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</si>
  <si>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</si>
  <si>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</si>
  <si>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</si>
  <si>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</si>
  <si>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</si>
  <si>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</si>
  <si>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</si>
  <si>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</si>
  <si>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</si>
  <si>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</si>
  <si>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</si>
  <si>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</si>
  <si>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</si>
  <si>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</si>
  <si>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</si>
  <si>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</si>
  <si>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</si>
  <si>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</si>
  <si>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</si>
  <si>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</si>
  <si>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</si>
  <si>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</si>
  <si>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</si>
  <si>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</si>
  <si>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</si>
  <si>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</si>
  <si>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</si>
  <si>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</si>
  <si>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</si>
  <si>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</si>
  <si>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</si>
  <si>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</si>
  <si>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</si>
  <si>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</si>
  <si>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</si>
  <si>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</si>
  <si>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</si>
  <si>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</si>
  <si>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</si>
  <si>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</si>
  <si>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</si>
  <si>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</si>
  <si>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</si>
  <si>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</si>
  <si>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</si>
  <si>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</si>
  <si>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</si>
  <si>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</si>
  <si>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</si>
  <si>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</si>
  <si>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</si>
  <si>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</si>
  <si>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</si>
  <si>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</si>
  <si>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</si>
  <si>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</si>
  <si>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</si>
  <si>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</si>
  <si>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</si>
  <si>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</si>
  <si>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</si>
  <si>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</si>
  <si>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</si>
  <si>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</si>
  <si>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</si>
  <si>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</si>
  <si>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</si>
  <si>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</si>
  <si>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</si>
  <si>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</si>
  <si>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</si>
  <si>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</si>
  <si>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</si>
  <si>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</si>
  <si>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</si>
  <si>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</si>
  <si>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</si>
  <si>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</si>
  <si>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</si>
  <si>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</si>
  <si>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</si>
  <si>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</si>
  <si>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</si>
  <si>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</si>
  <si>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</si>
  <si>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</si>
  <si>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</si>
  <si>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</si>
  <si>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</si>
  <si>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</si>
  <si>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</si>
  <si>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</si>
  <si>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</si>
  <si>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</si>
  <si>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</si>
  <si>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</si>
  <si>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</si>
  <si>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</si>
  <si>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</si>
  <si>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</si>
  <si>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</si>
  <si>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</si>
  <si>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</si>
  <si>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</si>
  <si>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</si>
  <si>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</si>
  <si>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</si>
  <si>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</si>
  <si>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</si>
  <si>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</si>
  <si>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</si>
  <si>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</si>
  <si>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</si>
  <si>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</si>
  <si>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</si>
  <si>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</si>
  <si>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</si>
  <si>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</si>
  <si>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</si>
  <si>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</si>
  <si>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</si>
  <si>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</si>
  <si>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</si>
  <si>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</si>
  <si>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</si>
  <si>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</si>
  <si>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</si>
  <si>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</si>
  <si>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</si>
  <si>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</si>
  <si>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</si>
  <si>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</si>
  <si>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</si>
  <si>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</si>
  <si>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</si>
  <si>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</si>
  <si>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</si>
  <si>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</si>
  <si>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</si>
  <si>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</si>
  <si>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</si>
  <si>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</si>
  <si>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</si>
  <si>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</si>
  <si>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</si>
  <si>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</si>
  <si>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</si>
  <si>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</si>
  <si>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</si>
  <si>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</si>
  <si>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</si>
  <si>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</si>
  <si>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</si>
  <si>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</si>
  <si>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</si>
  <si>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</si>
  <si>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</si>
  <si>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</si>
  <si>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</si>
  <si>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</si>
  <si>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</si>
  <si>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</si>
  <si>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</si>
  <si>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</si>
  <si>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</si>
  <si>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</si>
  <si>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</si>
  <si>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</si>
  <si>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</si>
  <si>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</si>
  <si>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</si>
  <si>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</si>
  <si>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</si>
  <si>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</si>
  <si>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</si>
  <si>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</si>
  <si>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</si>
  <si>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</si>
  <si>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</si>
  <si>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</si>
  <si>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</si>
  <si>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</si>
  <si>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</si>
  <si>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</si>
  <si>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</si>
  <si>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</si>
  <si>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</si>
  <si>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</si>
  <si>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</si>
  <si>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</si>
  <si>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</si>
  <si>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</si>
  <si>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</si>
  <si>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</si>
  <si>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</si>
  <si>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</si>
  <si>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</si>
  <si>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</si>
  <si>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</si>
  <si>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</si>
  <si>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</si>
  <si>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</si>
  <si>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</si>
  <si>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</si>
  <si>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</si>
  <si>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</si>
  <si>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</si>
  <si>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</si>
  <si>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</si>
  <si>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</si>
  <si>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</si>
  <si>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</si>
  <si>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</si>
  <si>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</si>
  <si>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</si>
  <si>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</si>
  <si>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</si>
  <si>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</si>
  <si>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</si>
  <si>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</si>
  <si>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</si>
  <si>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</si>
  <si>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</si>
  <si>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</si>
  <si>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</si>
  <si>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</si>
  <si>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</si>
  <si>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</si>
  <si>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</si>
  <si>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</si>
  <si>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</si>
  <si>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</si>
  <si>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</si>
  <si>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</si>
  <si>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</si>
  <si>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</si>
  <si>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</si>
  <si>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</si>
  <si>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</si>
  <si>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</si>
  <si>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</si>
  <si>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</si>
  <si>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</si>
  <si>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</si>
  <si>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</si>
  <si>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</si>
  <si>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</si>
  <si>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</si>
  <si>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</si>
  <si>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</si>
  <si>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</si>
  <si>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</si>
  <si>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</si>
  <si>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</si>
  <si>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</si>
  <si>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</si>
  <si>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</si>
  <si>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</si>
  <si>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</si>
  <si>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</si>
  <si>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</si>
  <si>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</si>
  <si>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</si>
  <si>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</si>
  <si>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</si>
  <si>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</si>
  <si>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</si>
  <si>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</si>
  <si>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</si>
  <si>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</si>
  <si>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</si>
  <si>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</si>
  <si>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</si>
  <si>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</si>
  <si>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</si>
  <si>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</si>
  <si>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</si>
  <si>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</si>
  <si>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</si>
  <si>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</si>
  <si>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</si>
  <si>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</si>
  <si>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</si>
  <si>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</si>
  <si>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</si>
  <si>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</si>
  <si>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</si>
  <si>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</si>
  <si>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</si>
  <si>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</si>
  <si>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</si>
  <si>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</si>
  <si>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</si>
  <si>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</si>
  <si>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</si>
  <si>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</si>
  <si>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</si>
  <si>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</si>
  <si>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</si>
  <si>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</si>
  <si>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</si>
  <si>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</si>
  <si>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</si>
  <si>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</si>
  <si>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</si>
  <si>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</si>
  <si>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</si>
  <si>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</si>
  <si>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</si>
  <si>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</si>
  <si>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</si>
  <si>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</si>
  <si>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</si>
  <si>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</si>
  <si>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</si>
  <si>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</si>
  <si>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</si>
  <si>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</si>
  <si>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</si>
  <si>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</si>
  <si>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</si>
  <si>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</si>
  <si>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</si>
  <si>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</si>
  <si>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</si>
  <si>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</si>
  <si>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</si>
  <si>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</si>
  <si>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</si>
  <si>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</si>
  <si>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</si>
  <si>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</si>
  <si>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</si>
  <si>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</si>
  <si>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</si>
  <si>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</si>
  <si>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</si>
  <si>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</si>
  <si>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</si>
  <si>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</si>
  <si>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</si>
  <si>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</si>
  <si>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</si>
  <si>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</si>
  <si>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</si>
  <si>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</si>
  <si>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</si>
  <si>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</si>
  <si>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</si>
  <si>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</si>
  <si>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</si>
  <si>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</si>
  <si>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</si>
  <si>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</si>
  <si>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</si>
  <si>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</si>
  <si>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</si>
  <si>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</si>
  <si>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</si>
  <si>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</si>
  <si>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</si>
  <si>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</si>
  <si>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</si>
  <si>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</si>
  <si>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</si>
  <si>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</si>
  <si>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</si>
  <si>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</si>
  <si>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</si>
  <si>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</si>
  <si>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</si>
  <si>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</si>
  <si>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</si>
  <si>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</si>
  <si>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</si>
  <si>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</si>
  <si>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</si>
  <si>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</si>
  <si>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</si>
  <si>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</si>
  <si>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</si>
  <si>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</si>
  <si>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</si>
  <si>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</si>
  <si>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</si>
  <si>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</si>
  <si>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</si>
  <si>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</si>
  <si>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</si>
  <si>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</si>
  <si>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</si>
  <si>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</si>
  <si>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</si>
  <si>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</si>
  <si>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</si>
  <si>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</si>
  <si>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</si>
  <si>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</si>
  <si>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</si>
  <si>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</si>
  <si>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</si>
  <si>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</si>
  <si>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</si>
  <si>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</si>
  <si>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</si>
  <si>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</si>
  <si>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</si>
  <si>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</si>
  <si>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</si>
  <si>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</si>
  <si>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</si>
  <si>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</si>
  <si>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</si>
  <si>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</si>
  <si>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</si>
  <si>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</si>
  <si>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</si>
  <si>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</si>
  <si>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</si>
  <si>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</si>
  <si>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</si>
  <si>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</si>
  <si>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</si>
  <si>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</si>
  <si>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</si>
  <si>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</si>
  <si>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</si>
  <si>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</si>
  <si>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</si>
  <si>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</si>
  <si>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</si>
  <si>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</si>
  <si>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</si>
  <si>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</si>
  <si>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</si>
  <si>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</si>
  <si>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</si>
  <si>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</si>
  <si>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</si>
  <si>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</si>
  <si>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</si>
  <si>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</si>
  <si>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</si>
  <si>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</si>
  <si>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</si>
  <si>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</si>
  <si>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</si>
  <si>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</si>
  <si>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</si>
  <si>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</si>
  <si>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</si>
  <si>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</si>
  <si>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</si>
  <si>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</si>
  <si>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</si>
  <si>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</si>
  <si>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</si>
  <si>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</si>
  <si>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</si>
  <si>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</si>
  <si>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</si>
  <si>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</si>
  <si>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</si>
  <si>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</si>
  <si>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</si>
  <si>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</si>
  <si>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</si>
  <si>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</si>
  <si>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</si>
  <si>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</si>
  <si>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</si>
  <si>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</si>
  <si>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</si>
  <si>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</si>
  <si>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</si>
  <si>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</si>
  <si>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</si>
  <si>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</si>
  <si>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</si>
  <si>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</si>
  <si>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</si>
  <si>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</si>
  <si>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</si>
  <si>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</si>
  <si>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</si>
  <si>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</si>
  <si>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</si>
  <si>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</si>
  <si>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</si>
  <si>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</si>
  <si>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</si>
  <si>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</si>
  <si>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</si>
  <si>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</si>
  <si>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</si>
  <si>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</si>
  <si>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</si>
  <si>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</si>
  <si>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</si>
  <si>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</si>
  <si>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</si>
  <si>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</si>
  <si>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</si>
  <si>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</si>
  <si>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</si>
  <si>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</si>
  <si>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</si>
  <si>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</si>
  <si>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</si>
  <si>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</si>
  <si>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</si>
  <si>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</si>
  <si>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</si>
  <si>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</si>
  <si>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</si>
  <si>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</si>
  <si>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</si>
  <si>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</si>
  <si>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</si>
  <si>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</si>
  <si>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</si>
  <si>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</si>
  <si>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</si>
  <si>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</si>
  <si>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</si>
  <si>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</si>
  <si>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</si>
  <si>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</si>
  <si>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</si>
  <si>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</si>
  <si>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</si>
  <si>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</si>
  <si>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</si>
  <si>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</si>
  <si>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</si>
  <si>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</si>
  <si>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</si>
  <si>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</si>
  <si>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</si>
  <si>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</si>
  <si>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</si>
  <si>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</si>
  <si>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</si>
  <si>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</si>
  <si>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</si>
  <si>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</si>
  <si>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</si>
  <si>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</si>
  <si>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</si>
  <si>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</si>
  <si>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</si>
  <si>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</si>
  <si>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</si>
  <si>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</si>
  <si>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</si>
  <si>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</si>
  <si>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</si>
  <si>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</si>
  <si>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</si>
  <si>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</si>
  <si>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</si>
  <si>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</si>
  <si>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</si>
  <si>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</si>
  <si>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</si>
  <si>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</si>
  <si>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</si>
  <si>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</si>
  <si>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</si>
  <si>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</si>
  <si>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</si>
  <si>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</si>
  <si>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</si>
  <si>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</si>
  <si>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</si>
  <si>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</si>
  <si>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</si>
  <si>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</si>
  <si>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</si>
  <si>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</si>
  <si>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</si>
  <si>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</si>
  <si>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</si>
  <si>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</si>
  <si>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</si>
  <si>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</si>
  <si>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</si>
  <si>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</si>
  <si>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</si>
  <si>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</si>
  <si>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</si>
  <si>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</si>
  <si>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</si>
  <si>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</si>
  <si>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</si>
  <si>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</si>
  <si>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</si>
  <si>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</si>
  <si>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</si>
  <si>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</si>
  <si>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</si>
  <si>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</si>
  <si>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</si>
  <si>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</si>
  <si>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</si>
  <si>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</si>
  <si>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</si>
  <si>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</si>
  <si>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</si>
  <si>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</si>
  <si>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</si>
  <si>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</si>
  <si>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</si>
  <si>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</si>
  <si>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</si>
  <si>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</si>
  <si>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</si>
  <si>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</si>
  <si>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</si>
  <si>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</si>
  <si>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</si>
  <si>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</si>
  <si>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</si>
  <si>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</si>
  <si>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</si>
  <si>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</si>
  <si>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</si>
  <si>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</si>
  <si>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</si>
  <si>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</si>
  <si>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</si>
  <si>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</si>
  <si>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</si>
  <si>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</si>
  <si>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</si>
  <si>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</si>
  <si>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</si>
  <si>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</si>
  <si>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</si>
  <si>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</si>
  <si>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</si>
  <si>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</si>
  <si>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</si>
  <si>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</si>
  <si>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</si>
  <si>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Fert Emission Factor (N2O-N/N)</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</si>
  <si>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</si>
  <si>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</si>
  <si>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</si>
  <si>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</si>
  <si>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</si>
  <si>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</si>
  <si>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</si>
  <si>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</si>
  <si>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</si>
  <si>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</si>
  <si>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</si>
  <si>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</si>
  <si>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</si>
  <si>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</si>
  <si>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</si>
  <si>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</si>
  <si>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</si>
  <si>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</si>
  <si>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</si>
  <si>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</si>
  <si>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</si>
  <si>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</si>
  <si>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</si>
  <si>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</si>
  <si>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</si>
  <si>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</si>
  <si>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</si>
  <si>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</si>
  <si>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</si>
  <si>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</si>
  <si>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</si>
  <si>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</si>
  <si>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</si>
  <si>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</si>
  <si>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</si>
  <si>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</si>
  <si>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</si>
  <si>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</si>
  <si>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</si>
  <si>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</si>
  <si>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</si>
  <si>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</si>
  <si>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</si>
  <si>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</si>
  <si>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</si>
  <si>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</si>
  <si>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</si>
  <si>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</si>
  <si>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</si>
  <si>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</si>
  <si>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</si>
  <si>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</si>
  <si>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</si>
  <si>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</si>
  <si>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</si>
  <si>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</si>
  <si>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</si>
  <si>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</si>
  <si>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</si>
  <si>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</si>
  <si>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</si>
  <si>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</si>
  <si>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</si>
  <si>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</si>
  <si>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</si>
  <si>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</si>
  <si>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</si>
  <si>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</si>
  <si>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</si>
  <si>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</si>
  <si>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</si>
  <si>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</si>
  <si>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</si>
  <si>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</si>
  <si>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</si>
  <si>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</si>
  <si>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</si>
  <si>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</si>
  <si>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</si>
  <si>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</si>
  <si>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</si>
  <si>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</si>
  <si>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</si>
  <si>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</si>
  <si>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</si>
  <si>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</si>
  <si>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</si>
  <si>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</si>
  <si>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</si>
  <si>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</si>
  <si>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</si>
  <si>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</si>
  <si>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</si>
  <si>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</si>
  <si>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</si>
  <si>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</si>
  <si>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</si>
  <si>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</si>
  <si>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</si>
  <si>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</si>
  <si>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</si>
  <si>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</si>
  <si>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</si>
  <si>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</si>
  <si>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</si>
  <si>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</si>
  <si>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</si>
  <si>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</si>
  <si>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</si>
  <si>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</si>
  <si>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</si>
  <si>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</si>
  <si>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</si>
  <si>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</si>
  <si>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</si>
  <si>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</si>
  <si>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</si>
  <si>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</si>
  <si>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</si>
  <si>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</si>
  <si>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</si>
  <si>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</si>
  <si>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</si>
  <si>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</si>
  <si>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</si>
  <si>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</si>
  <si>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</si>
  <si>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</si>
  <si>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</si>
  <si>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</si>
  <si>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</si>
  <si>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</si>
  <si>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</si>
  <si>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</si>
  <si>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</si>
  <si>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</si>
  <si>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</si>
  <si>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</si>
  <si>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</si>
  <si>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</si>
  <si>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</si>
  <si>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</si>
  <si>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</si>
  <si>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</si>
  <si>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</si>
  <si>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</si>
  <si>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</si>
  <si>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</si>
  <si>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</si>
  <si>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</si>
  <si>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</si>
  <si>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</si>
  <si>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</si>
  <si>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</si>
  <si>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</si>
  <si>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</si>
  <si>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</si>
  <si>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</si>
  <si>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</si>
  <si>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</si>
  <si>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</si>
  <si>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</si>
  <si>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</si>
  <si>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</si>
  <si>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</si>
  <si>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</si>
  <si>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</si>
  <si>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</si>
  <si>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</si>
  <si>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</si>
  <si>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</si>
  <si>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</si>
  <si>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</si>
  <si>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</si>
  <si>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</si>
  <si>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</si>
  <si>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</si>
  <si>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</si>
  <si>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</si>
  <si>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</si>
  <si>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</si>
  <si>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</si>
  <si>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</si>
  <si>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</si>
  <si>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</si>
  <si>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</si>
  <si>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</si>
  <si>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</si>
  <si>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</si>
  <si>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</si>
  <si>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</si>
  <si>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</si>
  <si>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</si>
  <si>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</si>
  <si>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</si>
  <si>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</si>
  <si>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</si>
  <si>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</si>
  <si>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</si>
  <si>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</si>
  <si>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</si>
  <si>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</si>
  <si>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</si>
  <si>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</si>
  <si>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</si>
  <si>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</si>
  <si>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</si>
  <si>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</si>
  <si>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</si>
  <si>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</si>
  <si>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</si>
  <si>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</si>
  <si>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</si>
  <si>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</si>
  <si>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</si>
  <si>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</si>
  <si>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</si>
  <si>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</si>
  <si>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</si>
  <si>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</si>
  <si>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</si>
  <si>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</si>
  <si>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</si>
  <si>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</si>
  <si>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</si>
  <si>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</si>
  <si>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</si>
  <si>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</si>
  <si>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</si>
  <si>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</si>
  <si>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</si>
  <si>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</si>
  <si>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</si>
  <si>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</si>
  <si>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</si>
  <si>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</si>
  <si>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</si>
  <si>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</si>
  <si>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</si>
  <si>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</si>
  <si>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</si>
  <si>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</si>
  <si>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</si>
  <si>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</si>
  <si>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</si>
  <si>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</si>
  <si>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</si>
  <si>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</si>
  <si>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</si>
  <si>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</si>
  <si>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</si>
  <si>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</si>
  <si>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</si>
  <si>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</si>
  <si>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</si>
  <si>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</si>
  <si>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</si>
  <si>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</si>
  <si>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</si>
  <si>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</si>
  <si>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</si>
  <si>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</si>
  <si>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</si>
  <si>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</si>
  <si>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</si>
  <si>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</si>
  <si>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</si>
  <si>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</si>
  <si>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</si>
  <si>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</si>
  <si>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</si>
  <si>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</si>
  <si>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</si>
  <si>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</si>
  <si>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</si>
  <si>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</si>
  <si>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</si>
  <si>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</si>
  <si>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</si>
  <si>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</si>
  <si>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</si>
  <si>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</si>
  <si>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</si>
  <si>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</si>
  <si>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</si>
  <si>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</si>
  <si>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</si>
  <si>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</si>
  <si>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</si>
  <si>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</si>
  <si>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</si>
  <si>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</si>
  <si>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</si>
  <si>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</si>
  <si>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</si>
  <si>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</si>
  <si>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C(W,26)</t>
  </si>
  <si>
    <t>Scalar of SFW for young animals (hoggets relative to adults)</t>
  </si>
  <si>
    <t>Scalar of 'cfw_ave' to alter FD of young animals (hoggets relative to adults)</t>
  </si>
  <si>
    <t>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</si>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</sst>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z val="9"/>
      <color indexed="81"/>
      <name val="Tahoma"/>
      <charset val="1"/>
    </font>
    <font>
      <sz val="9"/>
      <color indexed="81"/>
      <name val="Tahoma"/>
      <charset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26.782751755792731</c:v>
                </c:pt>
                <c:pt idx="1">
                  <c:v>54.993916938561071</c:v>
                </c:pt>
                <c:pt idx="2">
                  <c:v>62.850190786926944</c:v>
                </c:pt>
                <c:pt idx="3">
                  <c:v>83.562185478073317</c:v>
                </c:pt>
                <c:pt idx="4">
                  <c:v>92.846872753414814</c:v>
                </c:pt>
                <c:pt idx="5">
                  <c:v>102.13156002875628</c:v>
                </c:pt>
                <c:pt idx="6">
                  <c:v>111.41624730409777</c:v>
                </c:pt>
                <c:pt idx="7">
                  <c:v>120.70093457943923</c:v>
                </c:pt>
                <c:pt idx="8">
                  <c:v>129.98562185478073</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11" workbookViewId="0">
      <selection activeCell="I48" sqref="I48"/>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3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3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56" outlineLevel="3" x14ac:dyDescent="0.3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3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3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3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15" customHeight="1" outlineLevel="3" x14ac:dyDescent="0.3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15" customHeight="1" outlineLevel="2" x14ac:dyDescent="0.3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15" customHeight="1" outlineLevel="1" x14ac:dyDescent="0.3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15" customHeight="1" x14ac:dyDescent="0.3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3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35"/>
    <row r="36" spans="1:27" x14ac:dyDescent="0.35">
      <c r="G36" t="s">
        <v>2318</v>
      </c>
      <c r="I36" t="s">
        <v>2319</v>
      </c>
      <c r="K36" t="s">
        <v>2727</v>
      </c>
      <c r="M36" t="s">
        <v>2728</v>
      </c>
    </row>
    <row r="37" spans="1:27" x14ac:dyDescent="0.35">
      <c r="G37" s="338" t="s">
        <v>4</v>
      </c>
      <c r="I37" s="338" t="s">
        <v>2320</v>
      </c>
      <c r="K37" s="338" t="s">
        <v>45</v>
      </c>
      <c r="M37" s="432" t="s">
        <v>2729</v>
      </c>
    </row>
    <row r="38" spans="1:27" x14ac:dyDescent="0.35">
      <c r="G38" s="339" t="s">
        <v>2312</v>
      </c>
      <c r="I38" s="339" t="s">
        <v>2586</v>
      </c>
      <c r="K38" s="339" t="s">
        <v>2936</v>
      </c>
      <c r="M38" s="433" t="s">
        <v>2730</v>
      </c>
    </row>
    <row r="39" spans="1:27" ht="43.5" x14ac:dyDescent="0.35">
      <c r="G39" s="339" t="s">
        <v>10</v>
      </c>
      <c r="I39" s="339" t="s">
        <v>4</v>
      </c>
      <c r="K39" s="339" t="s">
        <v>2719</v>
      </c>
      <c r="M39" s="433" t="s">
        <v>2731</v>
      </c>
    </row>
    <row r="40" spans="1:27" x14ac:dyDescent="0.35">
      <c r="G40" t="s">
        <v>60</v>
      </c>
      <c r="H40" s="343"/>
      <c r="I40" s="339" t="s">
        <v>2312</v>
      </c>
      <c r="K40" s="339" t="s">
        <v>2720</v>
      </c>
      <c r="M40" s="434" t="s">
        <v>2732</v>
      </c>
    </row>
    <row r="41" spans="1:27" x14ac:dyDescent="0.35">
      <c r="G41" s="339" t="s">
        <v>61</v>
      </c>
      <c r="I41" s="339" t="s">
        <v>10</v>
      </c>
      <c r="K41" s="340" t="s">
        <v>2937</v>
      </c>
    </row>
    <row r="42" spans="1:27" x14ac:dyDescent="0.35">
      <c r="G42" s="339" t="s">
        <v>62</v>
      </c>
      <c r="I42" s="339" t="s">
        <v>60</v>
      </c>
    </row>
    <row r="43" spans="1:27" x14ac:dyDescent="0.35">
      <c r="G43" s="339" t="s">
        <v>7</v>
      </c>
      <c r="I43" s="339" t="s">
        <v>61</v>
      </c>
    </row>
    <row r="44" spans="1:27" x14ac:dyDescent="0.35">
      <c r="G44" s="339" t="s">
        <v>3314</v>
      </c>
      <c r="I44" s="339" t="s">
        <v>2321</v>
      </c>
    </row>
    <row r="45" spans="1:27" x14ac:dyDescent="0.35">
      <c r="G45" s="339" t="s">
        <v>3237</v>
      </c>
      <c r="I45" s="339" t="s">
        <v>107</v>
      </c>
    </row>
    <row r="46" spans="1:27" x14ac:dyDescent="0.35">
      <c r="G46" s="339" t="s">
        <v>6</v>
      </c>
      <c r="I46" s="339" t="s">
        <v>62</v>
      </c>
    </row>
    <row r="47" spans="1:27" x14ac:dyDescent="0.35">
      <c r="G47" s="339" t="s">
        <v>2316</v>
      </c>
      <c r="I47" s="339" t="s">
        <v>7</v>
      </c>
    </row>
    <row r="48" spans="1:27" x14ac:dyDescent="0.35">
      <c r="G48" s="339" t="s">
        <v>72</v>
      </c>
      <c r="I48" s="339" t="s">
        <v>3314</v>
      </c>
    </row>
    <row r="49" spans="7:9" x14ac:dyDescent="0.35">
      <c r="G49" s="339" t="s">
        <v>9</v>
      </c>
      <c r="I49" s="339" t="s">
        <v>113</v>
      </c>
    </row>
    <row r="50" spans="7:9" x14ac:dyDescent="0.35">
      <c r="G50" s="339" t="s">
        <v>2315</v>
      </c>
      <c r="I50" s="339" t="s">
        <v>3237</v>
      </c>
    </row>
    <row r="51" spans="7:9" x14ac:dyDescent="0.35">
      <c r="G51" s="339" t="s">
        <v>63</v>
      </c>
      <c r="I51" s="339" t="s">
        <v>6</v>
      </c>
    </row>
    <row r="52" spans="7:9" x14ac:dyDescent="0.35">
      <c r="G52" s="339" t="s">
        <v>5</v>
      </c>
      <c r="I52" s="339" t="s">
        <v>2316</v>
      </c>
    </row>
    <row r="53" spans="7:9" x14ac:dyDescent="0.35">
      <c r="G53" s="339" t="s">
        <v>2314</v>
      </c>
      <c r="I53" s="339" t="s">
        <v>72</v>
      </c>
    </row>
    <row r="54" spans="7:9" x14ac:dyDescent="0.35">
      <c r="G54" s="339" t="s">
        <v>8</v>
      </c>
      <c r="I54" s="339" t="s">
        <v>9</v>
      </c>
    </row>
    <row r="55" spans="7:9" x14ac:dyDescent="0.35">
      <c r="G55" s="340" t="s">
        <v>2313</v>
      </c>
      <c r="I55" s="339" t="s">
        <v>2315</v>
      </c>
    </row>
    <row r="56" spans="7:9" x14ac:dyDescent="0.35">
      <c r="I56" s="339" t="s">
        <v>2322</v>
      </c>
    </row>
    <row r="57" spans="7:9" x14ac:dyDescent="0.35">
      <c r="I57" s="339" t="s">
        <v>2572</v>
      </c>
    </row>
    <row r="58" spans="7:9" x14ac:dyDescent="0.35">
      <c r="I58" s="339" t="s">
        <v>2323</v>
      </c>
    </row>
    <row r="59" spans="7:9" x14ac:dyDescent="0.35">
      <c r="I59" s="339" t="s">
        <v>106</v>
      </c>
    </row>
    <row r="60" spans="7:9" x14ac:dyDescent="0.35">
      <c r="I60" s="339" t="s">
        <v>2324</v>
      </c>
    </row>
    <row r="61" spans="7:9" x14ac:dyDescent="0.35">
      <c r="I61" s="339" t="s">
        <v>108</v>
      </c>
    </row>
    <row r="62" spans="7:9" x14ac:dyDescent="0.35">
      <c r="I62" s="339" t="s">
        <v>63</v>
      </c>
    </row>
    <row r="63" spans="7:9" x14ac:dyDescent="0.35">
      <c r="I63" s="339" t="s">
        <v>5</v>
      </c>
    </row>
    <row r="64" spans="7:9" x14ac:dyDescent="0.35">
      <c r="I64" s="339" t="s">
        <v>2314</v>
      </c>
    </row>
    <row r="65" spans="9:9" x14ac:dyDescent="0.35">
      <c r="I65" s="339" t="s">
        <v>2325</v>
      </c>
    </row>
    <row r="66" spans="9:9" x14ac:dyDescent="0.35">
      <c r="I66" s="339" t="s">
        <v>109</v>
      </c>
    </row>
    <row r="67" spans="9:9" x14ac:dyDescent="0.35">
      <c r="I67" s="339" t="s">
        <v>8</v>
      </c>
    </row>
    <row r="68" spans="9:9" x14ac:dyDescent="0.35">
      <c r="I68"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3042</v>
      </c>
    </row>
    <row r="9" spans="1:3" x14ac:dyDescent="0.35">
      <c r="A9" s="341" t="str">
        <f>General!G37</f>
        <v>b</v>
      </c>
      <c r="B9">
        <v>680</v>
      </c>
      <c r="C9" s="1" t="s">
        <v>2914</v>
      </c>
    </row>
    <row r="10" spans="1:3" x14ac:dyDescent="0.35">
      <c r="A10" s="341" t="str">
        <f>General!G38</f>
        <v>bd</v>
      </c>
      <c r="B10">
        <v>680</v>
      </c>
      <c r="C10" s="1" t="s">
        <v>2914</v>
      </c>
    </row>
    <row r="11" spans="1:3" x14ac:dyDescent="0.35">
      <c r="A11" s="341" t="str">
        <f>General!G39</f>
        <v>f</v>
      </c>
      <c r="B11">
        <v>680</v>
      </c>
      <c r="C11" s="1" t="s">
        <v>2914</v>
      </c>
    </row>
    <row r="12" spans="1:3" x14ac:dyDescent="0.35">
      <c r="A12" s="341" t="str">
        <f>General!G40</f>
        <v>h</v>
      </c>
      <c r="B12">
        <v>680</v>
      </c>
      <c r="C12" s="1" t="s">
        <v>2914</v>
      </c>
    </row>
    <row r="13" spans="1:3" x14ac:dyDescent="0.35">
      <c r="A13" s="341" t="str">
        <f>General!G41</f>
        <v>i</v>
      </c>
      <c r="B13">
        <v>680</v>
      </c>
      <c r="C13" s="1" t="s">
        <v>2914</v>
      </c>
    </row>
    <row r="14" spans="1:3" x14ac:dyDescent="0.35">
      <c r="A14" s="341" t="str">
        <f>General!G42</f>
        <v>k</v>
      </c>
      <c r="B14">
        <v>680</v>
      </c>
      <c r="C14" s="1" t="s">
        <v>2914</v>
      </c>
    </row>
    <row r="15" spans="1:3" x14ac:dyDescent="0.35">
      <c r="A15" s="341" t="str">
        <f>General!G43</f>
        <v>l</v>
      </c>
      <c r="B15">
        <v>680</v>
      </c>
      <c r="C15" s="1" t="s">
        <v>2914</v>
      </c>
    </row>
    <row r="16" spans="1:3" x14ac:dyDescent="0.35">
      <c r="A16" s="341" t="str">
        <f>General!G44</f>
        <v>lf</v>
      </c>
      <c r="B16">
        <v>680</v>
      </c>
      <c r="C16" s="1" t="s">
        <v>2914</v>
      </c>
    </row>
    <row r="17" spans="1:3" x14ac:dyDescent="0.35">
      <c r="A17" s="341" t="str">
        <f>General!G45</f>
        <v>ms</v>
      </c>
      <c r="B17">
        <v>680</v>
      </c>
      <c r="C17" s="1" t="s">
        <v>2914</v>
      </c>
    </row>
    <row r="18" spans="1:3" x14ac:dyDescent="0.35">
      <c r="A18" s="341" t="str">
        <f>General!G46</f>
        <v>o</v>
      </c>
      <c r="B18">
        <v>680</v>
      </c>
      <c r="C18" s="1" t="s">
        <v>2914</v>
      </c>
    </row>
    <row r="19" spans="1:3" x14ac:dyDescent="0.35">
      <c r="A19" s="341" t="str">
        <f>General!G47</f>
        <v>od</v>
      </c>
      <c r="B19">
        <v>680</v>
      </c>
      <c r="C19" s="1" t="s">
        <v>2914</v>
      </c>
    </row>
    <row r="20" spans="1:3" x14ac:dyDescent="0.35">
      <c r="A20" s="341" t="str">
        <f>General!G48</f>
        <v>of</v>
      </c>
      <c r="B20">
        <v>680</v>
      </c>
      <c r="C20" s="1" t="s">
        <v>2914</v>
      </c>
    </row>
    <row r="21" spans="1:3" x14ac:dyDescent="0.35">
      <c r="A21" s="341" t="str">
        <f>General!G49</f>
        <v>r</v>
      </c>
      <c r="B21">
        <v>680</v>
      </c>
      <c r="C21" s="1" t="s">
        <v>2914</v>
      </c>
    </row>
    <row r="22" spans="1:3" x14ac:dyDescent="0.35">
      <c r="A22" s="341" t="str">
        <f>General!G50</f>
        <v>rd</v>
      </c>
      <c r="B22">
        <v>680</v>
      </c>
      <c r="C22" s="1" t="s">
        <v>2914</v>
      </c>
    </row>
    <row r="23" spans="1:3" x14ac:dyDescent="0.35">
      <c r="A23" s="341" t="str">
        <f>General!G51</f>
        <v>v</v>
      </c>
      <c r="B23">
        <v>680</v>
      </c>
      <c r="C23" s="1" t="s">
        <v>2914</v>
      </c>
    </row>
    <row r="24" spans="1:3" x14ac:dyDescent="0.35">
      <c r="A24" s="341" t="str">
        <f>General!G52</f>
        <v>w</v>
      </c>
      <c r="B24">
        <v>680</v>
      </c>
      <c r="C24" s="1" t="s">
        <v>2914</v>
      </c>
    </row>
    <row r="25" spans="1:3" x14ac:dyDescent="0.35">
      <c r="A25" s="341" t="str">
        <f>General!G53</f>
        <v>wd</v>
      </c>
      <c r="B25">
        <v>680</v>
      </c>
      <c r="C25" s="1" t="s">
        <v>2914</v>
      </c>
    </row>
    <row r="26" spans="1:3" x14ac:dyDescent="0.35">
      <c r="A26" s="341" t="str">
        <f>General!G54</f>
        <v>z</v>
      </c>
      <c r="B26">
        <v>680</v>
      </c>
      <c r="C26" s="1" t="s">
        <v>2914</v>
      </c>
    </row>
    <row r="27" spans="1:3" x14ac:dyDescent="0.35">
      <c r="A27" s="341" t="str">
        <f>General!G55</f>
        <v>zd</v>
      </c>
      <c r="B27">
        <v>680</v>
      </c>
      <c r="C27" s="1" t="s">
        <v>2914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2</v>
      </c>
    </row>
    <row r="46" spans="1:11" x14ac:dyDescent="0.35">
      <c r="A46" t="s">
        <v>80</v>
      </c>
      <c r="B46" s="385">
        <f>MIN(364,INT((C46 - DATE(YEAR(C46),1,1))))</f>
        <v>226</v>
      </c>
      <c r="C46" s="4">
        <v>43692</v>
      </c>
    </row>
    <row r="48" spans="1:11" x14ac:dyDescent="0.35">
      <c r="A48" s="1" t="s">
        <v>2275</v>
      </c>
      <c r="B48">
        <v>50</v>
      </c>
      <c r="K48" s="1" t="s">
        <v>2276</v>
      </c>
    </row>
    <row r="49" spans="1:27" x14ac:dyDescent="0.3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3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35">
      <c r="A51" t="s">
        <v>59</v>
      </c>
      <c r="B51" t="s">
        <v>3304</v>
      </c>
      <c r="C51" t="s">
        <v>3306</v>
      </c>
      <c r="D51" t="s">
        <v>2277</v>
      </c>
      <c r="E51" t="s">
        <v>64</v>
      </c>
      <c r="F51" t="s">
        <v>65</v>
      </c>
      <c r="G51" t="s">
        <v>3276</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General!G37</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General!G38</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35">
      <c r="A54" s="341" t="str">
        <f>General!G39</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General!G40</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General!G41</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General!G42</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General!G43</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General!G44</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35">
      <c r="A60" s="341" t="str">
        <f>General!G45</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General!G46</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General!G47</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35">
      <c r="A63" s="341" t="str">
        <f>General!G48</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35">
      <c r="A64" s="341" t="str">
        <f>General!G49</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General!G50</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35">
      <c r="A66" s="341" t="str">
        <f>General!G51</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General!G52</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General!G53</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35">
      <c r="A69" s="341" t="str">
        <f>General!G54</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35">
      <c r="A70" s="341" t="str">
        <f>General!G55</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35">
      <c r="L71"/>
      <c r="M71" t="s">
        <v>3273</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2317</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2223</v>
      </c>
      <c r="B9" s="42">
        <v>0</v>
      </c>
    </row>
    <row r="10" spans="1:2" x14ac:dyDescent="0.35">
      <c r="A10" t="s">
        <v>2224</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3052</v>
      </c>
    </row>
    <row r="19" spans="1:2" ht="29" x14ac:dyDescent="0.35">
      <c r="A19" s="5" t="s">
        <v>3051</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3308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3305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TRANSPOSE(General!G37:G55)</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3239</v>
      </c>
      <c r="H54" s="28"/>
      <c r="I54" s="41" t="s">
        <v>3238</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3240</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3241</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3242</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3243</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TRANSPOSE(General!G37:G55)</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2335</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2327</v>
      </c>
      <c r="K88" t="s">
        <v>2329</v>
      </c>
      <c r="L88" t="s">
        <v>2328</v>
      </c>
      <c r="AC88" s="27"/>
      <c r="AD88" s="27"/>
      <c r="AE88" s="27"/>
      <c r="AF88" s="17"/>
      <c r="AG88" s="9"/>
      <c r="AH88" s="9"/>
      <c r="AI88" s="9"/>
    </row>
    <row r="89" spans="1:35" ht="12" customHeight="1" x14ac:dyDescent="0.35">
      <c r="A89" s="7"/>
      <c r="B89" s="8"/>
      <c r="C89" s="18"/>
      <c r="D89" s="18"/>
      <c r="E89" s="18"/>
      <c r="F89" s="24"/>
      <c r="I89" s="346" t="str">
        <f>General!G37</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General!G38</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General!G39</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General!G40</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General!G41</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General!G42</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General!G43</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General!G44</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General!G45</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General!G46</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General!G47</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General!G48</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General!G49</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General!G50</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General!G51</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General!G52</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General!G53</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General!G54</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General!G55</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21" t="s">
        <v>3275</v>
      </c>
      <c r="K11" s="622"/>
      <c r="L11" s="622"/>
      <c r="M11" s="622"/>
      <c r="N11" s="622"/>
      <c r="O11" s="622"/>
      <c r="P11" s="622"/>
      <c r="Q11" s="622"/>
      <c r="R11" s="622"/>
      <c r="S11" s="622"/>
      <c r="T11" s="622"/>
      <c r="U11" s="623"/>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24" t="s">
        <v>3274</v>
      </c>
      <c r="K12" s="625"/>
      <c r="L12" s="625"/>
      <c r="M12" s="625"/>
      <c r="N12" s="625"/>
      <c r="O12" s="625"/>
      <c r="P12" s="625"/>
      <c r="Q12" s="625"/>
      <c r="R12" s="625"/>
      <c r="S12" s="625"/>
      <c r="T12" s="625"/>
      <c r="U12" s="626"/>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3054</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3055</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3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35">
      <c r="A32" s="7"/>
      <c r="B32" s="8"/>
      <c r="C32" s="18"/>
      <c r="D32" s="18"/>
      <c r="E32" s="18"/>
      <c r="F32" s="24"/>
      <c r="G32" s="496"/>
      <c r="H32" s="496"/>
      <c r="I32" s="496" t="s">
        <v>3056</v>
      </c>
      <c r="J32" s="497">
        <v>1</v>
      </c>
      <c r="K32" s="496"/>
      <c r="Q32" s="30"/>
      <c r="R32" s="30"/>
      <c r="S32" s="30"/>
      <c r="T32" s="30"/>
      <c r="U32" s="30"/>
      <c r="V32" s="27"/>
      <c r="W32" s="17"/>
      <c r="X32" s="9"/>
      <c r="Y32" s="9"/>
      <c r="Z32" s="9"/>
    </row>
    <row r="33" spans="1:80" customFormat="1" ht="12" customHeight="1" outlineLevel="1" x14ac:dyDescent="0.35">
      <c r="A33" s="7"/>
      <c r="B33" s="8"/>
      <c r="C33" s="18"/>
      <c r="D33" s="18"/>
      <c r="E33" s="18"/>
      <c r="F33" s="24"/>
      <c r="G33" s="496"/>
      <c r="H33" s="496"/>
      <c r="I33" s="498" t="s">
        <v>3057</v>
      </c>
      <c r="J33" s="499">
        <v>0.05</v>
      </c>
      <c r="K33" s="496"/>
      <c r="L33" s="496"/>
      <c r="O33" s="496"/>
      <c r="P33" s="30"/>
      <c r="Q33" s="30"/>
      <c r="R33" s="30"/>
      <c r="S33" s="30"/>
      <c r="T33" s="30"/>
      <c r="U33" s="30"/>
      <c r="V33" s="27"/>
      <c r="W33" s="17"/>
      <c r="X33" s="9"/>
      <c r="Y33" s="9"/>
      <c r="Z33" s="9"/>
    </row>
    <row r="34" spans="1:80" customFormat="1" ht="12" customHeight="1" outlineLevel="1" x14ac:dyDescent="0.3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35">
      <c r="A35" s="7"/>
      <c r="B35" s="8"/>
      <c r="C35" s="18"/>
      <c r="D35" s="18"/>
      <c r="E35" s="18"/>
      <c r="F35" s="24"/>
      <c r="G35" s="500"/>
      <c r="H35" s="500"/>
      <c r="I35" s="28" t="s">
        <v>3058</v>
      </c>
      <c r="J35" s="28"/>
      <c r="K35" s="14" t="s">
        <v>3059</v>
      </c>
      <c r="L35" s="501"/>
      <c r="M35" s="502">
        <v>0.5</v>
      </c>
      <c r="O35" s="496"/>
      <c r="P35" s="30"/>
      <c r="Q35" s="30"/>
      <c r="R35" s="30"/>
      <c r="S35" s="30"/>
      <c r="T35" s="30"/>
      <c r="U35" s="30"/>
      <c r="V35" s="27"/>
      <c r="W35" s="17"/>
      <c r="X35" s="9"/>
      <c r="Y35" s="9"/>
      <c r="Z35" s="9"/>
    </row>
    <row r="36" spans="1:80" customFormat="1" ht="12" customHeight="1" outlineLevel="1" x14ac:dyDescent="0.35">
      <c r="A36" s="7"/>
      <c r="B36" s="8"/>
      <c r="C36" s="18"/>
      <c r="D36" s="18"/>
      <c r="E36" s="18"/>
      <c r="F36" s="24"/>
      <c r="G36" s="500"/>
      <c r="H36" s="500"/>
      <c r="I36" s="503" t="s">
        <v>3060</v>
      </c>
      <c r="J36" s="504"/>
      <c r="K36" s="505"/>
      <c r="L36" s="505"/>
      <c r="M36" s="506"/>
      <c r="O36" s="496"/>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3061</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3062</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10" t="s">
        <v>97</v>
      </c>
      <c r="I54" s="513" t="s">
        <v>3063</v>
      </c>
      <c r="J54" s="513" t="s">
        <v>3064</v>
      </c>
      <c r="K54" s="513" t="s">
        <v>3065</v>
      </c>
      <c r="L54" s="513" t="s">
        <v>3066</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4" t="str">
        <f>General!G37</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4" t="str">
        <f>General!G38</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4" t="str">
        <f>General!G39</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4" t="str">
        <f>General!G40</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4" t="str">
        <f>General!G41</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4" t="str">
        <f>General!G42</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4" t="str">
        <f>General!G43</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4" t="str">
        <f>General!G44</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4" t="str">
        <f>General!G45</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4" t="str">
        <f>General!G46</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4" t="str">
        <f>General!G47</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4" t="str">
        <f>General!G48</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4" t="str">
        <f>General!G49</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4" t="str">
        <f>General!G50</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4" t="str">
        <f>General!G51</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4" t="str">
        <f>General!G52</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4" t="str">
        <f>General!G53</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4" t="str">
        <f>General!G54</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4" t="str">
        <f>General!G55</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3067</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3055</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35">
      <c r="A92" s="7"/>
      <c r="B92" s="8"/>
      <c r="C92" s="18"/>
      <c r="D92" s="18"/>
      <c r="E92" s="18"/>
      <c r="F92" s="24"/>
      <c r="G92" s="345" t="s">
        <v>3068</v>
      </c>
      <c r="I92" s="517"/>
      <c r="K92" s="518"/>
      <c r="L92" s="518"/>
      <c r="M92" s="26"/>
      <c r="O92" s="494"/>
      <c r="P92" s="26"/>
      <c r="Q92" s="26"/>
      <c r="R92" s="26"/>
      <c r="S92" s="26"/>
      <c r="T92" s="26"/>
      <c r="U92" s="26"/>
      <c r="V92" s="27"/>
      <c r="W92" s="17"/>
      <c r="X92" s="9"/>
      <c r="Y92" s="9"/>
      <c r="Z92" s="9"/>
    </row>
    <row r="93" spans="1:26" customFormat="1" outlineLevel="1" x14ac:dyDescent="0.3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3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General!G37</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General!G38</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General!G39</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General!G40</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General!G41</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General!G42</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General!G43</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General!G44</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General!G45</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General!G46</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General!G47</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General!G48</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General!G49</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General!G50</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General!G51</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General!G52</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General!G53</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General!G54</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General!G55</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3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35">
      <c r="A116" s="7"/>
      <c r="B116" s="8"/>
      <c r="C116" s="18"/>
      <c r="D116" s="18"/>
      <c r="E116" s="18"/>
      <c r="F116" s="24"/>
      <c r="G116" s="526" t="s">
        <v>3069</v>
      </c>
      <c r="I116" s="527"/>
      <c r="K116" s="518"/>
      <c r="L116" s="518"/>
      <c r="M116" s="26"/>
      <c r="O116" s="494"/>
      <c r="P116" s="26"/>
      <c r="Q116" s="26"/>
      <c r="R116" s="26"/>
      <c r="S116" s="26"/>
      <c r="T116" s="26"/>
      <c r="U116" s="26"/>
      <c r="V116" s="27"/>
      <c r="W116" s="17"/>
      <c r="X116" s="9"/>
      <c r="Y116" s="9"/>
      <c r="Z116" s="9"/>
    </row>
    <row r="117" spans="1:26" customFormat="1" outlineLevel="1" x14ac:dyDescent="0.3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4" t="str">
        <f>General!G37</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4" t="str">
        <f>General!G38</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4" t="str">
        <f>General!G39</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4" t="str">
        <f>General!G40</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4" t="str">
        <f>General!G41</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4" t="str">
        <f>General!G42</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4" t="str">
        <f>General!G43</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4" t="str">
        <f>General!G44</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4" t="str">
        <f>General!G45</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4" t="str">
        <f>General!G46</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4" t="str">
        <f>General!G47</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4" t="str">
        <f>General!G48</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4" t="str">
        <f>General!G49</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4" t="str">
        <f>General!G50</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4" t="str">
        <f>General!G51</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4" t="str">
        <f>General!G52</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4" t="str">
        <f>General!G53</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4" t="str">
        <f>General!G54</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4" t="str">
        <f>General!G55</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35">
      <c r="A138" s="7"/>
      <c r="B138" s="8"/>
      <c r="C138" s="18"/>
      <c r="D138" s="18"/>
      <c r="E138" s="18"/>
      <c r="F138" s="24"/>
      <c r="G138" s="526" t="s">
        <v>3070</v>
      </c>
      <c r="I138" s="527"/>
      <c r="K138" s="518"/>
      <c r="L138" s="518"/>
      <c r="M138" s="26"/>
      <c r="O138" s="494"/>
      <c r="P138" s="26"/>
      <c r="Q138" s="26"/>
      <c r="R138" s="26"/>
      <c r="S138" s="26"/>
      <c r="T138" s="26"/>
      <c r="U138" s="26"/>
      <c r="V138" s="27"/>
      <c r="W138" s="17"/>
      <c r="X138" s="9"/>
      <c r="Y138" s="9"/>
      <c r="Z138" s="9"/>
    </row>
    <row r="139" spans="1:26" customFormat="1" outlineLevel="1" x14ac:dyDescent="0.3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General!G37</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General!G38</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General!G39</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General!G40</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General!G41</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General!G42</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General!G43</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General!G44</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General!G45</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General!G46</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General!G47</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General!G48</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General!G49</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General!G50</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General!G51</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General!G52</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General!G53</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General!G54</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General!G55</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35">
      <c r="A160" s="7"/>
      <c r="B160" s="8"/>
      <c r="C160" s="18"/>
      <c r="D160" s="18"/>
      <c r="E160" s="18"/>
      <c r="F160" s="27"/>
      <c r="G160" s="483" t="s">
        <v>3071</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35">
      <c r="A161" s="7"/>
      <c r="B161" s="8"/>
      <c r="C161" s="18"/>
      <c r="D161" s="18"/>
      <c r="E161" s="18"/>
      <c r="F161" s="24"/>
      <c r="H161" s="28" t="s">
        <v>3072</v>
      </c>
      <c r="I161" s="28" t="s">
        <v>3073</v>
      </c>
      <c r="J161" s="28" t="s">
        <v>3074</v>
      </c>
      <c r="L161" s="518"/>
      <c r="O161" s="507"/>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4" t="str">
        <f>General!G37</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4" t="str">
        <f>General!G38</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4" t="str">
        <f>General!G39</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4" t="str">
        <f>General!G40</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4" t="str">
        <f>General!G41</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4" t="str">
        <f>General!G42</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4" t="str">
        <f>General!G43</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4" t="str">
        <f>General!G44</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4" t="str">
        <f>General!G45</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4" t="str">
        <f>General!G46</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4" t="str">
        <f>General!G47</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4" t="str">
        <f>General!G48</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4" t="str">
        <f>General!G49</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4" t="str">
        <f>General!G50</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4" t="str">
        <f>General!G51</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4" t="str">
        <f>General!G52</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4" t="str">
        <f>General!G53</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4" t="str">
        <f>General!G54</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4" t="str">
        <f>General!G55</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3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5" customHeight="1" outlineLevel="1" x14ac:dyDescent="0.3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6" t="s">
        <v>3075</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7" t="s">
        <v>2320</v>
      </c>
      <c r="I186" s="538" t="s">
        <v>4</v>
      </c>
      <c r="J186" s="538" t="s">
        <v>3076</v>
      </c>
      <c r="K186" s="538" t="s">
        <v>531</v>
      </c>
      <c r="L186" s="539" t="s">
        <v>3077</v>
      </c>
      <c r="M186" s="540" t="s">
        <v>10</v>
      </c>
      <c r="N186" s="540" t="s">
        <v>3078</v>
      </c>
      <c r="O186" s="540" t="s">
        <v>60</v>
      </c>
      <c r="P186" s="541" t="s">
        <v>61</v>
      </c>
      <c r="Q186" s="542" t="s">
        <v>2321</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3079</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3080</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3081</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3082</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3083</v>
      </c>
      <c r="K205" s="21" t="s">
        <v>3084</v>
      </c>
      <c r="L205" s="21" t="s">
        <v>3085</v>
      </c>
      <c r="M205" s="21" t="s">
        <v>3086</v>
      </c>
      <c r="N205" s="21" t="s">
        <v>3087</v>
      </c>
      <c r="O205" s="21" t="s">
        <v>3088</v>
      </c>
      <c r="P205" s="21" t="s">
        <v>3089</v>
      </c>
      <c r="Q205" s="21" t="s">
        <v>3090</v>
      </c>
      <c r="R205" s="21" t="s">
        <v>3091</v>
      </c>
      <c r="S205" s="21" t="s">
        <v>3092</v>
      </c>
      <c r="T205" s="21" t="s">
        <v>3093</v>
      </c>
      <c r="U205" s="21" t="s">
        <v>3094</v>
      </c>
      <c r="V205" s="21" t="s">
        <v>3095</v>
      </c>
      <c r="W205" s="21" t="s">
        <v>3096</v>
      </c>
      <c r="X205" s="21" t="s">
        <v>3097</v>
      </c>
      <c r="Y205" s="21" t="s">
        <v>3098</v>
      </c>
      <c r="Z205" s="21" t="s">
        <v>3099</v>
      </c>
      <c r="AA205" s="21" t="s">
        <v>3100</v>
      </c>
      <c r="AB205" s="21" t="s">
        <v>3101</v>
      </c>
      <c r="AC205" s="21" t="s">
        <v>3102</v>
      </c>
      <c r="AD205" s="21" t="s">
        <v>3103</v>
      </c>
      <c r="AE205" s="21" t="s">
        <v>3104</v>
      </c>
      <c r="AF205" s="21" t="s">
        <v>3105</v>
      </c>
      <c r="AG205" s="21" t="s">
        <v>3106</v>
      </c>
      <c r="AH205" s="21" t="s">
        <v>3107</v>
      </c>
      <c r="AI205" s="21" t="s">
        <v>3108</v>
      </c>
      <c r="AJ205" s="21" t="s">
        <v>3109</v>
      </c>
      <c r="AK205" s="21" t="s">
        <v>3110</v>
      </c>
      <c r="AL205" s="21" t="s">
        <v>3111</v>
      </c>
      <c r="AM205" s="21" t="s">
        <v>3112</v>
      </c>
      <c r="AN205" s="21"/>
      <c r="AO205" s="17"/>
      <c r="AP205" s="9"/>
      <c r="AQ205" s="9"/>
      <c r="AR205" s="9"/>
    </row>
    <row r="206" spans="1:44" customFormat="1" ht="12" customHeight="1" outlineLevel="1" x14ac:dyDescent="0.35">
      <c r="A206" s="7"/>
      <c r="B206" s="8"/>
      <c r="C206" s="18"/>
      <c r="D206" s="18"/>
      <c r="E206" s="18"/>
      <c r="F206" s="18"/>
      <c r="G206" s="18"/>
      <c r="H206" s="18"/>
      <c r="I206" s="18"/>
      <c r="J206" s="548" t="s">
        <v>399</v>
      </c>
      <c r="K206" s="548"/>
      <c r="L206" s="548"/>
      <c r="M206" s="548"/>
      <c r="N206" s="548"/>
      <c r="O206" s="548"/>
      <c r="P206" s="548"/>
      <c r="Q206" s="548"/>
      <c r="R206" s="548" t="s">
        <v>3113</v>
      </c>
      <c r="S206" s="548"/>
      <c r="T206" s="548"/>
      <c r="U206" s="548"/>
      <c r="V206" s="548"/>
      <c r="W206" s="548"/>
      <c r="X206" s="548"/>
      <c r="Y206" s="548"/>
      <c r="Z206" s="548"/>
      <c r="AA206" s="548"/>
      <c r="AB206" s="548"/>
      <c r="AC206" s="548"/>
      <c r="AD206" s="548" t="s">
        <v>400</v>
      </c>
      <c r="AE206" s="548"/>
      <c r="AF206" s="548"/>
      <c r="AG206" s="548"/>
      <c r="AH206" s="548"/>
      <c r="AI206" s="548"/>
      <c r="AJ206" s="548" t="s">
        <v>3114</v>
      </c>
      <c r="AK206" s="548"/>
      <c r="AL206" s="549"/>
      <c r="AM206" s="549"/>
      <c r="AN206" s="21"/>
      <c r="AO206" s="17"/>
      <c r="AP206" s="9"/>
      <c r="AQ206" s="9"/>
      <c r="AR206" s="9"/>
    </row>
    <row r="207" spans="1:44" customFormat="1" ht="12" customHeight="1" outlineLevel="1" x14ac:dyDescent="0.35">
      <c r="A207" s="7"/>
      <c r="B207" s="8"/>
      <c r="C207" s="18"/>
      <c r="D207" s="18"/>
      <c r="E207" s="18"/>
      <c r="F207" s="18"/>
      <c r="G207" s="18"/>
      <c r="H207" s="18"/>
      <c r="I207" s="18"/>
      <c r="J207" s="550" t="s">
        <v>3115</v>
      </c>
      <c r="K207" s="550" t="s">
        <v>3116</v>
      </c>
      <c r="L207" s="550" t="s">
        <v>3117</v>
      </c>
      <c r="M207" s="550" t="s">
        <v>3117</v>
      </c>
      <c r="N207" s="550" t="s">
        <v>3117</v>
      </c>
      <c r="O207" s="550" t="s">
        <v>3117</v>
      </c>
      <c r="P207" s="550" t="s">
        <v>3117</v>
      </c>
      <c r="Q207" s="550" t="s">
        <v>3118</v>
      </c>
      <c r="R207" s="550" t="s">
        <v>3119</v>
      </c>
      <c r="S207" s="550" t="s">
        <v>3119</v>
      </c>
      <c r="T207" s="550" t="s">
        <v>3120</v>
      </c>
      <c r="U207" s="550" t="s">
        <v>3120</v>
      </c>
      <c r="V207" s="550" t="s">
        <v>3121</v>
      </c>
      <c r="W207" s="550" t="s">
        <v>3121</v>
      </c>
      <c r="X207" s="550" t="s">
        <v>3122</v>
      </c>
      <c r="Y207" s="550" t="s">
        <v>3122</v>
      </c>
      <c r="Z207" s="550" t="s">
        <v>3123</v>
      </c>
      <c r="AA207" s="550" t="s">
        <v>3123</v>
      </c>
      <c r="AB207" s="550" t="s">
        <v>3124</v>
      </c>
      <c r="AC207" s="550" t="s">
        <v>3124</v>
      </c>
      <c r="AD207" s="550" t="s">
        <v>3125</v>
      </c>
      <c r="AE207" s="550" t="s">
        <v>3126</v>
      </c>
      <c r="AF207" s="550" t="s">
        <v>3127</v>
      </c>
      <c r="AG207" s="550" t="s">
        <v>3128</v>
      </c>
      <c r="AH207" s="550" t="s">
        <v>3128</v>
      </c>
      <c r="AI207" s="550" t="s">
        <v>3129</v>
      </c>
      <c r="AJ207" s="549" t="s">
        <v>3130</v>
      </c>
      <c r="AK207" s="549" t="s">
        <v>3130</v>
      </c>
      <c r="AL207" s="549"/>
      <c r="AM207" s="549"/>
      <c r="AN207" s="21"/>
      <c r="AO207" s="17"/>
      <c r="AP207" s="9"/>
      <c r="AQ207" s="9"/>
      <c r="AR207" s="9"/>
    </row>
    <row r="208" spans="1:44" customFormat="1" ht="12" customHeight="1" outlineLevel="1" x14ac:dyDescent="0.35">
      <c r="A208" s="7"/>
      <c r="B208" s="8"/>
      <c r="C208" s="18"/>
      <c r="D208" s="18"/>
      <c r="E208" s="18"/>
      <c r="F208" s="18"/>
      <c r="G208" s="18"/>
      <c r="H208" s="18"/>
      <c r="I208" s="21"/>
      <c r="J208" s="550" t="s">
        <v>3131</v>
      </c>
      <c r="K208" s="550" t="s">
        <v>3131</v>
      </c>
      <c r="L208" s="550" t="s">
        <v>3131</v>
      </c>
      <c r="M208" s="550" t="s">
        <v>3131</v>
      </c>
      <c r="N208" s="550" t="s">
        <v>3131</v>
      </c>
      <c r="O208" s="550" t="s">
        <v>3131</v>
      </c>
      <c r="P208" s="550" t="s">
        <v>3131</v>
      </c>
      <c r="Q208" s="550" t="s">
        <v>3131</v>
      </c>
      <c r="R208" s="550" t="s">
        <v>3132</v>
      </c>
      <c r="S208" s="550" t="s">
        <v>3133</v>
      </c>
      <c r="T208" s="550" t="s">
        <v>3134</v>
      </c>
      <c r="U208" s="550" t="s">
        <v>3135</v>
      </c>
      <c r="V208" s="550" t="s">
        <v>3136</v>
      </c>
      <c r="W208" s="550" t="s">
        <v>3137</v>
      </c>
      <c r="X208" s="550" t="s">
        <v>3138</v>
      </c>
      <c r="Y208" s="550" t="s">
        <v>3139</v>
      </c>
      <c r="Z208" s="550" t="s">
        <v>3140</v>
      </c>
      <c r="AA208" s="550" t="s">
        <v>3131</v>
      </c>
      <c r="AB208" s="550" t="s">
        <v>3140</v>
      </c>
      <c r="AC208" s="550" t="s">
        <v>3131</v>
      </c>
      <c r="AD208" s="550" t="s">
        <v>3141</v>
      </c>
      <c r="AE208" s="550" t="s">
        <v>3141</v>
      </c>
      <c r="AF208" s="550" t="s">
        <v>3141</v>
      </c>
      <c r="AG208" s="550" t="s">
        <v>3141</v>
      </c>
      <c r="AH208" s="550" t="s">
        <v>3142</v>
      </c>
      <c r="AI208" s="550" t="s">
        <v>3141</v>
      </c>
      <c r="AJ208" s="550" t="s">
        <v>3143</v>
      </c>
      <c r="AK208" s="550" t="s">
        <v>3142</v>
      </c>
      <c r="AL208" s="549"/>
      <c r="AM208" s="549"/>
      <c r="AN208" s="21"/>
      <c r="AO208" s="17"/>
      <c r="AP208" s="9"/>
      <c r="AQ208" s="9"/>
      <c r="AR208" s="9"/>
    </row>
    <row r="209" spans="1:44" customFormat="1" ht="5.15" customHeight="1" outlineLevel="1" x14ac:dyDescent="0.3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15" customHeight="1" outlineLevel="1" x14ac:dyDescent="0.3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35">
      <c r="A211" s="7"/>
      <c r="B211" s="8"/>
      <c r="C211" s="18"/>
      <c r="D211" s="18"/>
      <c r="E211" s="18"/>
      <c r="F211" s="24"/>
      <c r="G211" s="551" t="s">
        <v>3144</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35">
      <c r="A212" s="7"/>
      <c r="B212" s="8"/>
      <c r="C212" s="18"/>
      <c r="D212" s="18"/>
      <c r="E212" s="18"/>
      <c r="F212" s="24"/>
      <c r="G212" s="25"/>
      <c r="H212" s="25" t="s">
        <v>3145</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3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35">
      <c r="A214" s="7"/>
      <c r="B214" s="8"/>
      <c r="C214" s="18"/>
      <c r="D214" s="18"/>
      <c r="E214" s="18"/>
      <c r="F214" s="24"/>
      <c r="G214" s="25"/>
      <c r="H214" s="25" t="s">
        <v>3146</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35">
      <c r="A215" s="7"/>
      <c r="B215" s="8"/>
      <c r="C215" s="18"/>
      <c r="D215" s="18"/>
      <c r="E215" s="18"/>
      <c r="F215" s="24"/>
      <c r="G215" s="25"/>
      <c r="H215" s="25" t="s">
        <v>3146</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35">
      <c r="A216" s="7"/>
      <c r="B216" s="8"/>
      <c r="C216" s="18"/>
      <c r="D216" s="18"/>
      <c r="E216" s="18"/>
      <c r="F216" s="24"/>
      <c r="G216" s="28"/>
      <c r="H216" s="25" t="s">
        <v>3147</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35">
      <c r="A217" s="7"/>
      <c r="B217" s="8"/>
      <c r="C217" s="18"/>
      <c r="D217" s="18"/>
      <c r="E217" s="18"/>
      <c r="F217" s="24"/>
      <c r="G217" s="25"/>
      <c r="H217" s="25" t="s">
        <v>3148</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3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35">
      <c r="A219" s="7"/>
      <c r="B219" s="8"/>
      <c r="C219" s="18"/>
      <c r="D219" s="18"/>
      <c r="E219" s="18"/>
      <c r="F219" s="24"/>
      <c r="G219" s="25"/>
      <c r="H219" s="25" t="s">
        <v>3149</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35">
      <c r="A221" s="7"/>
      <c r="B221" s="8"/>
      <c r="C221" s="18"/>
      <c r="D221" s="18"/>
      <c r="E221" s="18"/>
      <c r="F221" s="24"/>
      <c r="G221" s="25"/>
      <c r="H221" s="25" t="s">
        <v>3150</v>
      </c>
      <c r="I221" s="25"/>
      <c r="J221" s="558" t="s">
        <v>2327</v>
      </c>
      <c r="K221" s="558" t="s">
        <v>2327</v>
      </c>
      <c r="L221" s="558" t="s">
        <v>2327</v>
      </c>
      <c r="M221" s="558" t="s">
        <v>2327</v>
      </c>
      <c r="N221" s="558" t="s">
        <v>2327</v>
      </c>
      <c r="O221" s="558" t="s">
        <v>2327</v>
      </c>
      <c r="P221" s="558" t="s">
        <v>2327</v>
      </c>
      <c r="Q221" s="558" t="s">
        <v>2327</v>
      </c>
      <c r="R221" s="558" t="s">
        <v>3151</v>
      </c>
      <c r="S221" s="558" t="s">
        <v>2327</v>
      </c>
      <c r="T221" s="558" t="s">
        <v>3151</v>
      </c>
      <c r="U221" s="558" t="s">
        <v>2327</v>
      </c>
      <c r="V221" s="558" t="s">
        <v>3151</v>
      </c>
      <c r="W221" s="558" t="s">
        <v>2327</v>
      </c>
      <c r="X221" s="558" t="s">
        <v>3151</v>
      </c>
      <c r="Y221" s="558" t="s">
        <v>2327</v>
      </c>
      <c r="Z221" s="558" t="s">
        <v>3151</v>
      </c>
      <c r="AA221" s="558" t="s">
        <v>2327</v>
      </c>
      <c r="AB221" s="558" t="s">
        <v>3151</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35">
      <c r="A222" s="7"/>
      <c r="B222" s="8"/>
      <c r="C222" s="18"/>
      <c r="D222" s="18"/>
      <c r="E222" s="18"/>
      <c r="F222" s="24"/>
      <c r="G222" s="25"/>
      <c r="H222" s="25" t="s">
        <v>3152</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5" customHeight="1" outlineLevel="1" x14ac:dyDescent="0.35">
      <c r="A223" s="7"/>
      <c r="B223" s="8"/>
      <c r="C223" s="18"/>
      <c r="D223" s="18"/>
      <c r="E223" s="18"/>
      <c r="F223" s="24"/>
      <c r="G223" s="25"/>
      <c r="H223" s="561" t="s">
        <v>3153</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35">
      <c r="A224" s="7"/>
      <c r="B224" s="8"/>
      <c r="C224" s="18"/>
      <c r="D224" s="18"/>
      <c r="E224" s="18"/>
      <c r="F224" s="24"/>
      <c r="G224" s="25"/>
      <c r="H224" s="563" t="s">
        <v>3154</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35">
      <c r="A225" s="7"/>
      <c r="B225" s="8"/>
      <c r="C225" s="18"/>
      <c r="D225" s="18"/>
      <c r="E225" s="18"/>
      <c r="F225" s="24"/>
      <c r="G225" s="551" t="s">
        <v>3155</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35">
      <c r="A226" s="7"/>
      <c r="B226" s="8"/>
      <c r="C226" s="18"/>
      <c r="D226" s="18"/>
      <c r="E226" s="18"/>
      <c r="F226" s="24"/>
      <c r="G226" s="25"/>
      <c r="H226" s="25" t="s">
        <v>3156</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35">
      <c r="A227" s="7"/>
      <c r="B227" s="8"/>
      <c r="C227" s="18"/>
      <c r="D227" s="18"/>
      <c r="E227" s="18"/>
      <c r="F227" s="24"/>
      <c r="G227" s="25"/>
      <c r="H227" s="25" t="s">
        <v>3157</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35">
      <c r="A228" s="7"/>
      <c r="B228" s="8"/>
      <c r="C228" s="18"/>
      <c r="D228" s="18"/>
      <c r="E228" s="18"/>
      <c r="F228" s="24"/>
      <c r="G228" s="25"/>
      <c r="H228" s="25" t="s">
        <v>3158</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35">
      <c r="A229" s="7"/>
      <c r="B229" s="8"/>
      <c r="C229" s="18"/>
      <c r="D229" s="18"/>
      <c r="E229" s="18"/>
      <c r="F229" s="24"/>
      <c r="G229" s="25"/>
      <c r="H229" s="25" t="s">
        <v>3159</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35">
      <c r="A230" s="7"/>
      <c r="B230" s="8"/>
      <c r="C230" s="18"/>
      <c r="D230" s="18"/>
      <c r="E230" s="18"/>
      <c r="F230" s="24"/>
      <c r="G230" s="25"/>
      <c r="H230" s="25" t="s">
        <v>3160</v>
      </c>
      <c r="I230" s="620" t="s">
        <v>3161</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35">
      <c r="A231" s="7"/>
      <c r="B231" s="8"/>
      <c r="C231" s="18"/>
      <c r="D231" s="18"/>
      <c r="E231" s="18"/>
      <c r="F231" s="24"/>
      <c r="G231" s="25"/>
      <c r="H231" s="25" t="s">
        <v>3162</v>
      </c>
      <c r="I231" s="620"/>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35">
      <c r="A232" s="7"/>
      <c r="B232" s="8"/>
      <c r="C232" s="18"/>
      <c r="D232" s="18"/>
      <c r="E232" s="18"/>
      <c r="F232" s="24"/>
      <c r="G232" s="25"/>
      <c r="H232" s="25" t="s">
        <v>3163</v>
      </c>
      <c r="I232" s="620"/>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35">
      <c r="A233" s="7"/>
      <c r="B233" s="8"/>
      <c r="C233" s="18"/>
      <c r="D233" s="18"/>
      <c r="E233" s="18"/>
      <c r="F233" s="24"/>
      <c r="G233" s="25"/>
      <c r="H233" s="25" t="s">
        <v>3164</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35">
      <c r="A234" s="7"/>
      <c r="B234" s="8"/>
      <c r="C234" s="18"/>
      <c r="D234" s="18"/>
      <c r="E234" s="18"/>
      <c r="F234" s="24"/>
      <c r="G234" s="25"/>
      <c r="H234" s="25" t="s">
        <v>3165</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3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35">
      <c r="A236" s="7"/>
      <c r="B236" s="8"/>
      <c r="C236" s="18"/>
      <c r="D236" s="18"/>
      <c r="E236" s="18"/>
      <c r="F236" s="24"/>
      <c r="G236" s="25"/>
      <c r="H236" s="25" t="s">
        <v>3166</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35">
      <c r="A237" s="7"/>
      <c r="B237" s="8"/>
      <c r="C237" s="18"/>
      <c r="D237" s="18"/>
      <c r="E237" s="18"/>
      <c r="F237" s="24"/>
      <c r="G237" s="25"/>
      <c r="H237" s="25" t="s">
        <v>3167</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3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35">
      <c r="A239" s="7"/>
      <c r="B239" s="8"/>
      <c r="C239" s="18"/>
      <c r="D239" s="18"/>
      <c r="E239" s="18"/>
      <c r="F239" s="24"/>
      <c r="G239" s="25"/>
      <c r="H239" s="25" t="s">
        <v>3168</v>
      </c>
      <c r="I239" s="16" t="s">
        <v>3169</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35">
      <c r="A240" s="7"/>
      <c r="B240" s="8"/>
      <c r="C240" s="18"/>
      <c r="D240" s="18"/>
      <c r="E240" s="18"/>
      <c r="F240" s="24"/>
      <c r="G240" s="25"/>
      <c r="H240" s="25"/>
      <c r="I240" s="570" t="s">
        <v>3170</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35">
      <c r="A241" s="7"/>
      <c r="B241" s="8"/>
      <c r="C241" s="18"/>
      <c r="D241" s="18"/>
      <c r="E241" s="18"/>
      <c r="F241" s="24"/>
      <c r="G241" s="25"/>
      <c r="H241" s="25"/>
      <c r="I241" s="570" t="s">
        <v>3171</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35">
      <c r="A242" s="7"/>
      <c r="B242" s="8"/>
      <c r="C242" s="18"/>
      <c r="D242" s="18"/>
      <c r="E242" s="18"/>
      <c r="F242" s="24"/>
      <c r="G242" s="25"/>
      <c r="H242" s="25"/>
      <c r="I242" s="570" t="s">
        <v>3172</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35">
      <c r="A243" s="7"/>
      <c r="B243" s="8"/>
      <c r="C243" s="18"/>
      <c r="D243" s="18"/>
      <c r="E243" s="18"/>
      <c r="F243" s="24"/>
      <c r="G243" s="25"/>
      <c r="H243" s="25"/>
      <c r="I243" s="570" t="s">
        <v>3173</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35">
      <c r="A244" s="7"/>
      <c r="B244" s="8"/>
      <c r="C244" s="18"/>
      <c r="D244" s="18"/>
      <c r="E244" s="18"/>
      <c r="F244" s="24"/>
      <c r="G244" s="25"/>
      <c r="H244" s="25"/>
      <c r="I244" s="570" t="s">
        <v>3174</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35">
      <c r="A245" s="7"/>
      <c r="B245" s="8"/>
      <c r="C245" s="18"/>
      <c r="D245" s="18"/>
      <c r="E245" s="18"/>
      <c r="F245" s="24"/>
      <c r="G245" s="25"/>
      <c r="H245" s="25"/>
      <c r="I245" s="570" t="s">
        <v>3175</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35">
      <c r="A246" s="7"/>
      <c r="B246" s="8"/>
      <c r="C246" s="18"/>
      <c r="D246" s="18"/>
      <c r="E246" s="18"/>
      <c r="F246" s="24"/>
      <c r="G246" s="25"/>
      <c r="H246" s="25"/>
      <c r="I246" s="570" t="s">
        <v>3176</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35">
      <c r="A247" s="7"/>
      <c r="B247" s="8"/>
      <c r="C247" s="18"/>
      <c r="D247" s="18"/>
      <c r="E247" s="18"/>
      <c r="F247" s="24"/>
      <c r="G247" s="25"/>
      <c r="H247" s="25"/>
      <c r="I247" s="570" t="s">
        <v>3177</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35">
      <c r="A248" s="7"/>
      <c r="B248" s="8"/>
      <c r="C248" s="18"/>
      <c r="D248" s="18"/>
      <c r="E248" s="18"/>
      <c r="F248" s="24"/>
      <c r="G248" s="25"/>
      <c r="H248" s="25"/>
      <c r="I248" s="570" t="s">
        <v>3178</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35">
      <c r="A249" s="7"/>
      <c r="B249" s="8"/>
      <c r="C249" s="18"/>
      <c r="D249" s="18"/>
      <c r="E249" s="18"/>
      <c r="F249" s="24"/>
      <c r="G249" s="25"/>
      <c r="H249" s="25"/>
      <c r="I249" s="570" t="s">
        <v>3179</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3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35">
      <c r="A251" s="7"/>
      <c r="B251" s="8"/>
      <c r="C251" s="18"/>
      <c r="D251" s="18"/>
      <c r="E251" s="18"/>
      <c r="F251" s="24"/>
      <c r="G251" s="25"/>
      <c r="H251" s="25" t="s">
        <v>3180</v>
      </c>
      <c r="I251" s="570" t="s">
        <v>3171</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35">
      <c r="A252" s="7"/>
      <c r="B252" s="8"/>
      <c r="C252" s="18"/>
      <c r="D252" s="18"/>
      <c r="E252" s="18"/>
      <c r="F252" s="24"/>
      <c r="G252" s="25"/>
      <c r="H252" s="25"/>
      <c r="I252" s="570" t="s">
        <v>3172</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35">
      <c r="A253" s="7"/>
      <c r="B253" s="8"/>
      <c r="C253" s="18"/>
      <c r="D253" s="18"/>
      <c r="E253" s="18"/>
      <c r="F253" s="24"/>
      <c r="G253" s="25"/>
      <c r="H253" s="25"/>
      <c r="I253" s="570" t="s">
        <v>3173</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35">
      <c r="A254" s="7"/>
      <c r="B254" s="8"/>
      <c r="C254" s="18"/>
      <c r="D254" s="18"/>
      <c r="E254" s="18"/>
      <c r="F254" s="24"/>
      <c r="G254" s="25"/>
      <c r="H254" s="25"/>
      <c r="I254" s="570" t="s">
        <v>3174</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35">
      <c r="A255" s="7"/>
      <c r="B255" s="8"/>
      <c r="C255" s="18"/>
      <c r="D255" s="18"/>
      <c r="E255" s="18"/>
      <c r="F255" s="24"/>
      <c r="G255" s="25"/>
      <c r="H255" s="25"/>
      <c r="I255" s="570" t="s">
        <v>3175</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35">
      <c r="A256" s="7"/>
      <c r="B256" s="8"/>
      <c r="C256" s="18"/>
      <c r="D256" s="18"/>
      <c r="E256" s="18"/>
      <c r="F256" s="24"/>
      <c r="G256" s="25"/>
      <c r="H256" s="25"/>
      <c r="I256" s="570" t="s">
        <v>3176</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3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35">
      <c r="A258" s="7"/>
      <c r="B258" s="8"/>
      <c r="C258" s="18"/>
      <c r="D258" s="18"/>
      <c r="E258" s="18"/>
      <c r="F258" s="24"/>
      <c r="G258" s="551" t="s">
        <v>3181</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35">
      <c r="A259" s="7"/>
      <c r="B259" s="8"/>
      <c r="C259" s="18"/>
      <c r="D259" s="18"/>
      <c r="E259" s="18"/>
      <c r="F259" s="24"/>
      <c r="G259" s="25"/>
      <c r="H259" s="25" t="s">
        <v>3182</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35">
      <c r="A260" s="7"/>
      <c r="B260" s="8"/>
      <c r="C260" s="18"/>
      <c r="D260" s="18"/>
      <c r="E260" s="18"/>
      <c r="F260" s="24"/>
      <c r="G260" s="25"/>
      <c r="H260" s="25" t="s">
        <v>3157</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35">
      <c r="A261" s="7"/>
      <c r="B261" s="8"/>
      <c r="C261" s="18"/>
      <c r="D261" s="18"/>
      <c r="E261" s="18"/>
      <c r="F261" s="24"/>
      <c r="G261" s="25"/>
      <c r="H261" s="25" t="s">
        <v>3158</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35">
      <c r="A262" s="7"/>
      <c r="B262" s="8"/>
      <c r="C262" s="18"/>
      <c r="D262" s="18"/>
      <c r="E262" s="18"/>
      <c r="F262" s="24"/>
      <c r="G262" s="25"/>
      <c r="H262" s="25" t="s">
        <v>3183</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35">
      <c r="A263" s="7"/>
      <c r="B263" s="8"/>
      <c r="C263" s="18"/>
      <c r="D263" s="18"/>
      <c r="E263" s="18"/>
      <c r="F263" s="24"/>
      <c r="G263" s="25"/>
      <c r="H263" s="25" t="s">
        <v>3160</v>
      </c>
      <c r="I263" s="620" t="s">
        <v>3161</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35">
      <c r="A264" s="7"/>
      <c r="B264" s="8"/>
      <c r="C264" s="18"/>
      <c r="D264" s="18"/>
      <c r="E264" s="18"/>
      <c r="F264" s="24"/>
      <c r="G264" s="25"/>
      <c r="H264" s="25" t="s">
        <v>3162</v>
      </c>
      <c r="I264" s="620"/>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35">
      <c r="A265" s="7"/>
      <c r="B265" s="8"/>
      <c r="C265" s="18"/>
      <c r="D265" s="18"/>
      <c r="E265" s="18"/>
      <c r="F265" s="24"/>
      <c r="G265" s="25"/>
      <c r="H265" s="25" t="s">
        <v>3163</v>
      </c>
      <c r="I265" s="620"/>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3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3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35">
      <c r="A268" s="7"/>
      <c r="B268" s="8"/>
      <c r="C268" s="18"/>
      <c r="D268" s="18"/>
      <c r="E268" s="18"/>
      <c r="F268" s="24"/>
      <c r="G268" s="551" t="s">
        <v>3184</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35">
      <c r="A269" s="7"/>
      <c r="B269" s="8"/>
      <c r="C269" s="18"/>
      <c r="D269" s="18"/>
      <c r="E269" s="18"/>
      <c r="F269" s="24"/>
      <c r="H269" s="507" t="s">
        <v>3185</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35">
      <c r="A270" s="7"/>
      <c r="B270" s="8"/>
      <c r="C270" s="18"/>
      <c r="D270" s="18"/>
      <c r="E270" s="18"/>
      <c r="F270" s="24"/>
      <c r="H270" s="507"/>
      <c r="I270" s="495" t="s">
        <v>3186</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35">
      <c r="A271" s="7"/>
      <c r="B271" s="8"/>
      <c r="C271" s="18"/>
      <c r="D271" s="18"/>
      <c r="E271" s="18"/>
      <c r="F271" s="24"/>
      <c r="H271" s="507"/>
      <c r="I271" s="495" t="s">
        <v>3187</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35">
      <c r="A272" s="7"/>
      <c r="B272" s="8"/>
      <c r="C272" s="18"/>
      <c r="D272" s="18"/>
      <c r="E272" s="18"/>
      <c r="F272" s="24"/>
      <c r="H272" s="507"/>
      <c r="I272" s="495" t="s">
        <v>3188</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3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35">
      <c r="A274" s="7"/>
      <c r="B274" s="8"/>
      <c r="C274" s="18"/>
      <c r="D274" s="18"/>
      <c r="E274" s="18"/>
      <c r="F274" s="24"/>
      <c r="H274" s="507" t="s">
        <v>3189</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3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3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3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3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3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35">
      <c r="A280" s="7"/>
      <c r="B280" s="8"/>
      <c r="C280" s="18"/>
      <c r="D280" s="18"/>
      <c r="E280" s="18"/>
      <c r="F280" s="24"/>
      <c r="G280" s="574" t="s">
        <v>3190</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35">
      <c r="A281" s="7"/>
      <c r="B281" s="8"/>
      <c r="C281" s="18"/>
      <c r="D281" s="18"/>
      <c r="E281" s="18"/>
      <c r="F281" s="24"/>
      <c r="G281" s="507"/>
      <c r="H281" s="507" t="s">
        <v>3191</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3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35">
      <c r="A283" s="7"/>
      <c r="B283" s="8"/>
      <c r="C283" s="18"/>
      <c r="D283" s="18"/>
      <c r="E283" s="18"/>
      <c r="F283" s="24"/>
      <c r="G283" s="507"/>
      <c r="H283" s="507" t="s">
        <v>3192</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3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3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3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35">
      <c r="A287" s="7"/>
      <c r="B287" s="8"/>
      <c r="C287" s="18"/>
      <c r="D287" s="18"/>
      <c r="E287" s="18"/>
      <c r="F287" s="24"/>
      <c r="G287" s="574" t="s">
        <v>3193</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35">
      <c r="A288" s="7"/>
      <c r="B288" s="8"/>
      <c r="C288" s="18"/>
      <c r="D288" s="18"/>
      <c r="E288" s="18"/>
      <c r="F288" s="24"/>
      <c r="G288" s="507"/>
      <c r="H288" s="507" t="s">
        <v>3194</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35">
      <c r="A289" s="7"/>
      <c r="B289" s="8"/>
      <c r="C289" s="18"/>
      <c r="D289" s="18"/>
      <c r="E289" s="18"/>
      <c r="F289" s="24"/>
      <c r="G289" s="507"/>
      <c r="H289" s="507" t="s">
        <v>3195</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35">
      <c r="A290" s="7"/>
      <c r="B290" s="8"/>
      <c r="C290" s="18"/>
      <c r="D290" s="18"/>
      <c r="E290" s="18"/>
      <c r="F290" s="24"/>
      <c r="G290" s="507"/>
      <c r="H290" s="507" t="s">
        <v>3196</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35">
      <c r="A291" s="7"/>
      <c r="B291" s="8"/>
      <c r="C291" s="18"/>
      <c r="D291" s="18"/>
      <c r="E291" s="18"/>
      <c r="F291" s="24"/>
      <c r="G291" s="507"/>
      <c r="H291" s="507" t="s">
        <v>3197</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35">
      <c r="A292" s="7"/>
      <c r="B292" s="8"/>
      <c r="C292" s="18"/>
      <c r="D292" s="18"/>
      <c r="E292" s="18"/>
      <c r="F292" s="24"/>
      <c r="G292" s="507"/>
      <c r="H292" s="507" t="s">
        <v>3198</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3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3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35">
      <c r="A295" s="7"/>
      <c r="B295" s="8"/>
      <c r="C295" s="18"/>
      <c r="D295" s="18"/>
      <c r="E295" s="18"/>
      <c r="F295" s="24"/>
      <c r="G295" s="551" t="s">
        <v>3199</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3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3200</v>
      </c>
      <c r="AR296" s="9"/>
    </row>
    <row r="297" spans="1:44" customFormat="1" ht="12" customHeight="1" outlineLevel="1" x14ac:dyDescent="0.35">
      <c r="A297" s="7"/>
      <c r="B297" s="8"/>
      <c r="C297" s="18"/>
      <c r="D297" s="18"/>
      <c r="E297" s="18"/>
      <c r="F297" s="24"/>
      <c r="G297" s="25"/>
      <c r="H297" s="41" t="s">
        <v>3201</v>
      </c>
      <c r="I297" s="580" t="s">
        <v>3202</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35">
      <c r="A298" s="7"/>
      <c r="B298" s="8"/>
      <c r="C298" s="18"/>
      <c r="D298" s="18"/>
      <c r="E298" s="18"/>
      <c r="F298" s="24"/>
      <c r="G298" s="25"/>
      <c r="H298" s="28"/>
      <c r="I298" s="580" t="s">
        <v>3203</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35">
      <c r="A299" s="7"/>
      <c r="B299" s="8"/>
      <c r="C299" s="18"/>
      <c r="D299" s="18"/>
      <c r="E299" s="18"/>
      <c r="F299" s="24"/>
      <c r="G299" s="25"/>
      <c r="H299" s="28"/>
      <c r="I299" s="580" t="s">
        <v>3204</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35">
      <c r="A300" s="7"/>
      <c r="B300" s="8"/>
      <c r="C300" s="18"/>
      <c r="D300" s="18"/>
      <c r="E300" s="18"/>
      <c r="F300" s="24"/>
      <c r="G300" s="25"/>
      <c r="H300" s="28"/>
      <c r="I300" s="580" t="s">
        <v>3205</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35">
      <c r="A301" s="7"/>
      <c r="B301" s="8"/>
      <c r="C301" s="18"/>
      <c r="D301" s="18"/>
      <c r="E301" s="18"/>
      <c r="F301" s="24"/>
      <c r="G301" s="25"/>
      <c r="H301" s="28"/>
      <c r="I301" s="580" t="s">
        <v>3206</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35">
      <c r="A302" s="7"/>
      <c r="B302" s="8"/>
      <c r="C302" s="18"/>
      <c r="D302" s="18"/>
      <c r="E302" s="18"/>
      <c r="F302" s="24"/>
      <c r="G302" s="25"/>
      <c r="H302" s="28"/>
      <c r="I302" s="580" t="s">
        <v>3207</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35">
      <c r="A303" s="7"/>
      <c r="B303" s="8"/>
      <c r="C303" s="18"/>
      <c r="D303" s="18"/>
      <c r="E303" s="18"/>
      <c r="F303" s="24"/>
      <c r="G303" s="25"/>
      <c r="H303" s="28"/>
      <c r="I303" s="580" t="s">
        <v>3208</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35">
      <c r="A304" s="7"/>
      <c r="B304" s="8"/>
      <c r="C304" s="18"/>
      <c r="D304" s="18"/>
      <c r="E304" s="18"/>
      <c r="F304" s="24"/>
      <c r="G304" s="25"/>
      <c r="H304" s="28"/>
      <c r="I304" s="580" t="s">
        <v>3209</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35">
      <c r="A305" s="7"/>
      <c r="B305" s="8"/>
      <c r="C305" s="18"/>
      <c r="D305" s="18"/>
      <c r="E305" s="18"/>
      <c r="F305" s="24"/>
      <c r="G305" s="25"/>
      <c r="H305" s="28"/>
      <c r="I305" s="580" t="s">
        <v>3210</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35">
      <c r="A306" s="7"/>
      <c r="B306" s="8"/>
      <c r="C306" s="18"/>
      <c r="D306" s="18"/>
      <c r="E306" s="18"/>
      <c r="F306" s="24"/>
      <c r="G306" s="25"/>
      <c r="H306" s="28"/>
      <c r="I306" s="580" t="s">
        <v>3211</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35">
      <c r="A307" s="7"/>
      <c r="B307" s="8"/>
      <c r="C307" s="18"/>
      <c r="D307" s="18"/>
      <c r="E307" s="18"/>
      <c r="F307" s="24"/>
      <c r="G307" s="25"/>
      <c r="H307" s="28"/>
      <c r="I307" s="580" t="s">
        <v>3212</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35">
      <c r="A308" s="7"/>
      <c r="B308" s="8"/>
      <c r="C308" s="18"/>
      <c r="D308" s="18"/>
      <c r="E308" s="18"/>
      <c r="F308" s="24"/>
      <c r="G308" s="25"/>
      <c r="H308" s="28"/>
      <c r="I308" s="580" t="s">
        <v>3213</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35">
      <c r="A309" s="7"/>
      <c r="B309" s="8"/>
      <c r="C309" s="18"/>
      <c r="D309" s="18"/>
      <c r="E309" s="18"/>
      <c r="F309" s="24"/>
      <c r="G309" s="25"/>
      <c r="H309" s="28"/>
      <c r="I309" s="580" t="s">
        <v>3214</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35">
      <c r="A310" s="7"/>
      <c r="B310" s="8"/>
      <c r="C310" s="18"/>
      <c r="D310" s="18"/>
      <c r="E310" s="18"/>
      <c r="F310" s="24"/>
      <c r="G310" s="25"/>
      <c r="H310" s="28"/>
      <c r="I310" s="580" t="s">
        <v>3215</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35">
      <c r="A311" s="7"/>
      <c r="B311" s="8"/>
      <c r="C311" s="18"/>
      <c r="D311" s="18"/>
      <c r="E311" s="18"/>
      <c r="F311" s="24"/>
      <c r="G311" s="25"/>
      <c r="H311" s="28"/>
      <c r="I311" s="580" t="s">
        <v>3216</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35">
      <c r="A312" s="7"/>
      <c r="B312" s="8"/>
      <c r="C312" s="18"/>
      <c r="D312" s="18"/>
      <c r="E312" s="18"/>
      <c r="F312" s="24"/>
      <c r="G312" s="25"/>
      <c r="H312" s="28"/>
      <c r="I312" s="580" t="s">
        <v>3217</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35">
      <c r="A313" s="7"/>
      <c r="B313" s="8"/>
      <c r="C313" s="18"/>
      <c r="D313" s="18"/>
      <c r="E313" s="18"/>
      <c r="F313" s="24"/>
      <c r="G313" s="25"/>
      <c r="H313" s="28"/>
      <c r="I313" s="580" t="s">
        <v>3218</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35">
      <c r="A314" s="7"/>
      <c r="B314" s="8"/>
      <c r="C314" s="18"/>
      <c r="D314" s="18"/>
      <c r="E314" s="18"/>
      <c r="F314" s="24"/>
      <c r="G314" s="25"/>
      <c r="H314" s="28"/>
      <c r="I314" s="580" t="s">
        <v>3219</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35">
      <c r="A315" s="7"/>
      <c r="B315" s="8"/>
      <c r="C315" s="18"/>
      <c r="D315" s="18"/>
      <c r="E315" s="18"/>
      <c r="F315" s="24"/>
      <c r="G315" s="25"/>
      <c r="H315" s="28"/>
      <c r="I315" s="580" t="s">
        <v>3220</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35">
      <c r="A316" s="7"/>
      <c r="B316" s="8"/>
      <c r="C316" s="18"/>
      <c r="D316" s="18"/>
      <c r="E316" s="18"/>
      <c r="F316" s="24"/>
      <c r="G316" s="25"/>
      <c r="H316" s="28"/>
      <c r="I316" s="580" t="s">
        <v>3221</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3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3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3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35">
      <c r="A320" s="7"/>
      <c r="B320" s="8"/>
      <c r="C320" s="18"/>
      <c r="D320" s="18"/>
      <c r="E320" s="18"/>
      <c r="F320" s="24"/>
      <c r="G320" s="551" t="s">
        <v>3222</v>
      </c>
      <c r="H320" s="28"/>
      <c r="I320" s="583" t="s">
        <v>3223</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3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3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35">
      <c r="A323" s="7"/>
      <c r="B323" s="8"/>
      <c r="C323" s="18"/>
      <c r="D323" s="18"/>
      <c r="E323" s="18"/>
      <c r="F323" s="24"/>
      <c r="G323" s="551"/>
      <c r="H323" s="28"/>
      <c r="I323" s="585" t="s">
        <v>3076</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3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35">
      <c r="A325" s="7"/>
      <c r="B325" s="8"/>
      <c r="C325" s="18"/>
      <c r="D325" s="18"/>
      <c r="E325" s="18"/>
      <c r="F325" s="24"/>
      <c r="G325" s="588" t="s">
        <v>3224</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35">
      <c r="A326" s="7"/>
      <c r="B326" s="8"/>
      <c r="C326" s="18">
        <v>0</v>
      </c>
      <c r="D326" s="18"/>
      <c r="E326" s="18"/>
      <c r="F326" s="24"/>
      <c r="G326" s="551"/>
      <c r="H326" s="25" t="s">
        <v>2327</v>
      </c>
      <c r="I326" s="514" t="str">
        <f>General!G37</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35">
      <c r="A327" s="7"/>
      <c r="B327" s="8"/>
      <c r="C327" s="18"/>
      <c r="D327" s="18"/>
      <c r="E327" s="18"/>
      <c r="F327" s="24"/>
      <c r="G327" s="551"/>
      <c r="H327" s="25"/>
      <c r="I327" s="514" t="str">
        <f>General!G38</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51"/>
      <c r="H328" s="25"/>
      <c r="I328" s="514" t="str">
        <f>General!G39</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35">
      <c r="A329" s="7"/>
      <c r="B329" s="8"/>
      <c r="C329" s="18"/>
      <c r="D329" s="18"/>
      <c r="E329" s="18"/>
      <c r="F329" s="24"/>
      <c r="G329" s="551"/>
      <c r="H329" s="25"/>
      <c r="I329" s="514" t="str">
        <f>General!G40</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35">
      <c r="A330" s="7"/>
      <c r="B330" s="8"/>
      <c r="C330" s="18"/>
      <c r="D330" s="18"/>
      <c r="E330" s="18"/>
      <c r="F330" s="24"/>
      <c r="G330" s="551"/>
      <c r="H330" s="25"/>
      <c r="I330" s="514" t="str">
        <f>General!G41</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35">
      <c r="A331" s="7"/>
      <c r="B331" s="8"/>
      <c r="C331" s="18"/>
      <c r="D331" s="18"/>
      <c r="E331" s="18"/>
      <c r="F331" s="24"/>
      <c r="G331" s="551"/>
      <c r="H331" s="25"/>
      <c r="I331" s="514" t="str">
        <f>General!G42</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35">
      <c r="A332" s="7"/>
      <c r="B332" s="8"/>
      <c r="C332" s="18"/>
      <c r="D332" s="18"/>
      <c r="E332" s="18"/>
      <c r="F332" s="24"/>
      <c r="G332" s="551"/>
      <c r="H332" s="25"/>
      <c r="I332" s="514" t="str">
        <f>General!G43</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35">
      <c r="A333" s="7"/>
      <c r="B333" s="8"/>
      <c r="C333" s="18"/>
      <c r="D333" s="18"/>
      <c r="E333" s="18"/>
      <c r="F333" s="24"/>
      <c r="G333" s="551"/>
      <c r="H333" s="25"/>
      <c r="I333" s="514" t="str">
        <f>General!G44</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35">
      <c r="A334" s="7"/>
      <c r="B334" s="8"/>
      <c r="C334" s="18"/>
      <c r="D334" s="18"/>
      <c r="E334" s="18"/>
      <c r="F334" s="24"/>
      <c r="G334" s="551"/>
      <c r="H334" s="25"/>
      <c r="I334" s="514" t="str">
        <f>General!G45</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35">
      <c r="A335" s="7"/>
      <c r="B335" s="8"/>
      <c r="C335" s="18"/>
      <c r="D335" s="18"/>
      <c r="E335" s="18"/>
      <c r="F335" s="24"/>
      <c r="G335" s="551"/>
      <c r="H335" s="25"/>
      <c r="I335" s="514" t="str">
        <f>General!G46</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35">
      <c r="A336" s="7"/>
      <c r="B336" s="8"/>
      <c r="C336" s="18"/>
      <c r="D336" s="18"/>
      <c r="E336" s="18"/>
      <c r="F336" s="24"/>
      <c r="G336" s="551"/>
      <c r="H336" s="25"/>
      <c r="I336" s="514" t="str">
        <f>General!G47</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35">
      <c r="A337" s="7"/>
      <c r="B337" s="8"/>
      <c r="C337" s="18"/>
      <c r="D337" s="18"/>
      <c r="E337" s="18"/>
      <c r="F337" s="24"/>
      <c r="G337" s="551"/>
      <c r="H337" s="25"/>
      <c r="I337" s="514" t="str">
        <f>General!G48</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35">
      <c r="A338" s="7"/>
      <c r="B338" s="8"/>
      <c r="C338" s="18"/>
      <c r="D338" s="18"/>
      <c r="E338" s="18"/>
      <c r="F338" s="24"/>
      <c r="G338" s="551"/>
      <c r="H338" s="25"/>
      <c r="I338" s="514" t="str">
        <f>General!G49</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35">
      <c r="A339" s="7"/>
      <c r="B339" s="8"/>
      <c r="C339" s="18"/>
      <c r="D339" s="18"/>
      <c r="E339" s="18"/>
      <c r="F339" s="24"/>
      <c r="G339" s="551"/>
      <c r="H339" s="25"/>
      <c r="I339" s="514" t="str">
        <f>General!G50</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35">
      <c r="A340" s="7"/>
      <c r="B340" s="8"/>
      <c r="C340" s="18"/>
      <c r="D340" s="18"/>
      <c r="E340" s="18"/>
      <c r="F340" s="24"/>
      <c r="G340" s="551"/>
      <c r="H340" s="25"/>
      <c r="I340" s="514" t="str">
        <f>General!G51</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35">
      <c r="A341" s="7"/>
      <c r="B341" s="8"/>
      <c r="C341" s="18"/>
      <c r="D341" s="18"/>
      <c r="E341" s="18"/>
      <c r="F341" s="24"/>
      <c r="G341" s="551"/>
      <c r="H341" s="25"/>
      <c r="I341" s="514" t="str">
        <f>General!G52</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35">
      <c r="A342" s="7"/>
      <c r="B342" s="8"/>
      <c r="C342" s="18"/>
      <c r="D342" s="18"/>
      <c r="E342" s="18"/>
      <c r="F342" s="24"/>
      <c r="G342" s="551"/>
      <c r="H342" s="25"/>
      <c r="I342" s="514" t="str">
        <f>General!G53</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35">
      <c r="A343" s="7"/>
      <c r="B343" s="8"/>
      <c r="C343" s="18"/>
      <c r="D343" s="18"/>
      <c r="E343" s="18"/>
      <c r="F343" s="24"/>
      <c r="G343" s="551"/>
      <c r="H343" s="24"/>
      <c r="I343" s="514" t="str">
        <f>General!G54</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35">
      <c r="A344" s="7"/>
      <c r="B344" s="8"/>
      <c r="C344" s="18"/>
      <c r="D344" s="18"/>
      <c r="E344" s="18"/>
      <c r="F344" s="24"/>
      <c r="G344" s="551"/>
      <c r="H344" s="24"/>
      <c r="I344" s="514" t="str">
        <f>General!G55</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35">
      <c r="A345" s="7"/>
      <c r="B345" s="8"/>
      <c r="C345" s="18">
        <v>1</v>
      </c>
      <c r="D345" s="18"/>
      <c r="E345" s="18"/>
      <c r="F345" s="24"/>
      <c r="G345" s="551"/>
      <c r="H345" s="25" t="s">
        <v>2329</v>
      </c>
      <c r="I345" s="514" t="str">
        <f>General!G37</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35">
      <c r="A346" s="7"/>
      <c r="B346" s="8"/>
      <c r="C346" s="18"/>
      <c r="D346" s="18"/>
      <c r="E346" s="18"/>
      <c r="F346" s="24"/>
      <c r="G346" s="551"/>
      <c r="H346" s="25"/>
      <c r="I346" s="514" t="str">
        <f>General!G38</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35">
      <c r="A347" s="7"/>
      <c r="B347" s="8"/>
      <c r="C347" s="18"/>
      <c r="D347" s="18"/>
      <c r="E347" s="18"/>
      <c r="F347" s="24"/>
      <c r="G347" s="551"/>
      <c r="H347" s="25"/>
      <c r="I347" s="514" t="str">
        <f>General!G39</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35">
      <c r="A348" s="7"/>
      <c r="B348" s="8"/>
      <c r="C348" s="18"/>
      <c r="D348" s="18"/>
      <c r="E348" s="18"/>
      <c r="F348" s="24"/>
      <c r="G348" s="551"/>
      <c r="H348" s="25"/>
      <c r="I348" s="514" t="str">
        <f>General!G40</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35">
      <c r="A349" s="7"/>
      <c r="B349" s="8"/>
      <c r="C349" s="18"/>
      <c r="D349" s="18"/>
      <c r="E349" s="18"/>
      <c r="F349" s="24"/>
      <c r="G349" s="551"/>
      <c r="H349" s="25"/>
      <c r="I349" s="514" t="str">
        <f>General!G41</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35">
      <c r="A350" s="7"/>
      <c r="B350" s="8"/>
      <c r="C350" s="18"/>
      <c r="D350" s="18"/>
      <c r="E350" s="18"/>
      <c r="F350" s="24"/>
      <c r="G350" s="551"/>
      <c r="H350" s="25"/>
      <c r="I350" s="514" t="str">
        <f>General!G42</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35">
      <c r="A351" s="7"/>
      <c r="B351" s="8"/>
      <c r="C351" s="18"/>
      <c r="D351" s="18"/>
      <c r="E351" s="18"/>
      <c r="F351" s="24"/>
      <c r="G351" s="551"/>
      <c r="H351" s="25"/>
      <c r="I351" s="514" t="str">
        <f>General!G43</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35">
      <c r="A352" s="7"/>
      <c r="B352" s="8"/>
      <c r="C352" s="18"/>
      <c r="D352" s="18"/>
      <c r="E352" s="18"/>
      <c r="F352" s="24"/>
      <c r="G352" s="551"/>
      <c r="H352" s="25"/>
      <c r="I352" s="514" t="str">
        <f>General!G44</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35">
      <c r="A353" s="7"/>
      <c r="B353" s="8"/>
      <c r="C353" s="18"/>
      <c r="D353" s="18"/>
      <c r="E353" s="18"/>
      <c r="F353" s="24"/>
      <c r="G353" s="551"/>
      <c r="H353" s="25"/>
      <c r="I353" s="514" t="str">
        <f>General!G45</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35">
      <c r="A354" s="7"/>
      <c r="B354" s="8"/>
      <c r="C354" s="18"/>
      <c r="D354" s="18"/>
      <c r="E354" s="18"/>
      <c r="F354" s="24"/>
      <c r="G354" s="551"/>
      <c r="H354" s="589"/>
      <c r="I354" s="514" t="str">
        <f>General!G46</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35">
      <c r="A355" s="7"/>
      <c r="B355" s="8"/>
      <c r="C355" s="18"/>
      <c r="D355" s="18"/>
      <c r="E355" s="18"/>
      <c r="F355" s="24"/>
      <c r="G355" s="551"/>
      <c r="H355" s="25"/>
      <c r="I355" s="514" t="str">
        <f>General!G47</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35">
      <c r="A356" s="7"/>
      <c r="B356" s="8"/>
      <c r="C356" s="18"/>
      <c r="D356" s="18"/>
      <c r="E356" s="18"/>
      <c r="F356" s="24"/>
      <c r="G356" s="551"/>
      <c r="H356" s="25"/>
      <c r="I356" s="514" t="str">
        <f>General!G48</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35">
      <c r="A357" s="7"/>
      <c r="B357" s="8"/>
      <c r="C357" s="18"/>
      <c r="D357" s="18"/>
      <c r="E357" s="18"/>
      <c r="F357" s="24"/>
      <c r="G357" s="551"/>
      <c r="H357" s="25"/>
      <c r="I357" s="514" t="str">
        <f>General!G49</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35">
      <c r="A358" s="7"/>
      <c r="B358" s="8"/>
      <c r="C358" s="18"/>
      <c r="D358" s="18"/>
      <c r="E358" s="18"/>
      <c r="F358" s="24"/>
      <c r="G358" s="551"/>
      <c r="H358" s="25"/>
      <c r="I358" s="514" t="str">
        <f>General!G50</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35">
      <c r="A359" s="7"/>
      <c r="B359" s="8"/>
      <c r="C359" s="18"/>
      <c r="D359" s="18"/>
      <c r="E359" s="18"/>
      <c r="F359" s="24"/>
      <c r="G359" s="551"/>
      <c r="H359" s="25"/>
      <c r="I359" s="514" t="str">
        <f>General!G51</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35">
      <c r="A360" s="7"/>
      <c r="B360" s="8"/>
      <c r="C360" s="18"/>
      <c r="D360" s="18"/>
      <c r="E360" s="18"/>
      <c r="F360" s="24"/>
      <c r="G360" s="551"/>
      <c r="H360" s="25"/>
      <c r="I360" s="514" t="str">
        <f>General!G52</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35">
      <c r="A361" s="7"/>
      <c r="B361" s="8"/>
      <c r="C361" s="18"/>
      <c r="D361" s="18"/>
      <c r="E361" s="18"/>
      <c r="F361" s="24"/>
      <c r="G361" s="551"/>
      <c r="H361" s="25"/>
      <c r="I361" s="514" t="str">
        <f>General!G53</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35">
      <c r="A362" s="7"/>
      <c r="B362" s="8"/>
      <c r="C362" s="18"/>
      <c r="D362" s="18"/>
      <c r="E362" s="18"/>
      <c r="F362" s="24"/>
      <c r="G362" s="551"/>
      <c r="H362" s="24"/>
      <c r="I362" s="514" t="str">
        <f>General!G54</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35">
      <c r="A363" s="7"/>
      <c r="B363" s="8"/>
      <c r="C363" s="18"/>
      <c r="D363" s="18"/>
      <c r="E363" s="18"/>
      <c r="F363" s="24"/>
      <c r="G363" s="551"/>
      <c r="H363" s="24"/>
      <c r="I363" s="514" t="str">
        <f>General!G55</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35">
      <c r="A364" s="7"/>
      <c r="B364" s="8"/>
      <c r="C364" s="18">
        <v>2</v>
      </c>
      <c r="D364" s="18"/>
      <c r="E364" s="18"/>
      <c r="F364" s="24"/>
      <c r="G364" s="551"/>
      <c r="H364" s="25" t="s">
        <v>2328</v>
      </c>
      <c r="I364" s="514" t="str">
        <f>General!G37</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35">
      <c r="A365" s="7"/>
      <c r="B365" s="8"/>
      <c r="C365" s="18"/>
      <c r="D365" s="18"/>
      <c r="E365" s="18"/>
      <c r="F365" s="24"/>
      <c r="G365" s="551"/>
      <c r="H365" s="25"/>
      <c r="I365" s="514" t="str">
        <f>General!G38</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35">
      <c r="A366" s="7"/>
      <c r="B366" s="8"/>
      <c r="C366" s="18"/>
      <c r="D366" s="18"/>
      <c r="E366" s="18"/>
      <c r="F366" s="24"/>
      <c r="G366" s="551"/>
      <c r="H366" s="25"/>
      <c r="I366" s="514" t="str">
        <f>General!G39</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35">
      <c r="A367" s="7"/>
      <c r="B367" s="8"/>
      <c r="C367" s="18"/>
      <c r="D367" s="18"/>
      <c r="E367" s="18"/>
      <c r="F367" s="24"/>
      <c r="G367" s="551"/>
      <c r="H367" s="25"/>
      <c r="I367" s="514" t="str">
        <f>General!G40</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35">
      <c r="A368" s="7"/>
      <c r="B368" s="8"/>
      <c r="C368" s="18"/>
      <c r="D368" s="18"/>
      <c r="E368" s="18"/>
      <c r="F368" s="24"/>
      <c r="G368" s="551"/>
      <c r="H368" s="25"/>
      <c r="I368" s="514" t="str">
        <f>General!G41</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35">
      <c r="A369" s="7"/>
      <c r="B369" s="8"/>
      <c r="C369" s="18"/>
      <c r="D369" s="18"/>
      <c r="E369" s="18"/>
      <c r="F369" s="24"/>
      <c r="G369" s="551"/>
      <c r="H369" s="25"/>
      <c r="I369" s="514" t="str">
        <f>General!G42</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35">
      <c r="A370" s="7"/>
      <c r="B370" s="8"/>
      <c r="C370" s="18"/>
      <c r="D370" s="18"/>
      <c r="E370" s="18"/>
      <c r="F370" s="24"/>
      <c r="G370" s="551"/>
      <c r="H370" s="25"/>
      <c r="I370" s="514" t="str">
        <f>General!G43</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35">
      <c r="A371" s="7"/>
      <c r="B371" s="8"/>
      <c r="C371" s="18"/>
      <c r="D371" s="18"/>
      <c r="E371" s="18"/>
      <c r="F371" s="24"/>
      <c r="G371" s="551"/>
      <c r="H371" s="25"/>
      <c r="I371" s="514" t="str">
        <f>General!G44</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35">
      <c r="A372" s="7"/>
      <c r="B372" s="8"/>
      <c r="C372" s="18"/>
      <c r="D372" s="18"/>
      <c r="E372" s="18"/>
      <c r="F372" s="24"/>
      <c r="G372" s="551"/>
      <c r="H372" s="25"/>
      <c r="I372" s="514" t="str">
        <f>General!G45</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35">
      <c r="A373" s="7"/>
      <c r="B373" s="8"/>
      <c r="C373" s="18"/>
      <c r="D373" s="18"/>
      <c r="E373" s="18"/>
      <c r="F373" s="24"/>
      <c r="G373" s="551"/>
      <c r="H373" s="25"/>
      <c r="I373" s="514" t="str">
        <f>General!G46</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35">
      <c r="A374" s="7"/>
      <c r="B374" s="8"/>
      <c r="C374" s="18"/>
      <c r="D374" s="18"/>
      <c r="E374" s="18"/>
      <c r="F374" s="24"/>
      <c r="G374" s="551"/>
      <c r="H374" s="25"/>
      <c r="I374" s="514" t="str">
        <f>General!G47</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35">
      <c r="A375" s="7"/>
      <c r="B375" s="8"/>
      <c r="C375" s="18"/>
      <c r="D375" s="18"/>
      <c r="E375" s="18"/>
      <c r="F375" s="24"/>
      <c r="G375" s="551"/>
      <c r="H375" s="25"/>
      <c r="I375" s="514" t="str">
        <f>General!G48</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35">
      <c r="A376" s="7"/>
      <c r="B376" s="8"/>
      <c r="C376" s="18"/>
      <c r="D376" s="18"/>
      <c r="E376" s="18"/>
      <c r="F376" s="24"/>
      <c r="G376" s="551"/>
      <c r="H376" s="25"/>
      <c r="I376" s="514" t="str">
        <f>General!G49</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35">
      <c r="A377" s="7"/>
      <c r="B377" s="8"/>
      <c r="C377" s="18"/>
      <c r="D377" s="18"/>
      <c r="E377" s="18"/>
      <c r="F377" s="24"/>
      <c r="G377" s="551"/>
      <c r="H377" s="25"/>
      <c r="I377" s="514" t="str">
        <f>General!G50</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35">
      <c r="A378" s="7"/>
      <c r="B378" s="8"/>
      <c r="C378" s="18"/>
      <c r="D378" s="18"/>
      <c r="E378" s="18"/>
      <c r="F378" s="24"/>
      <c r="G378" s="551"/>
      <c r="H378" s="25"/>
      <c r="I378" s="514" t="str">
        <f>General!G51</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35">
      <c r="A379" s="7"/>
      <c r="B379" s="8"/>
      <c r="C379" s="18"/>
      <c r="D379" s="18"/>
      <c r="E379" s="18"/>
      <c r="F379" s="24"/>
      <c r="G379" s="551"/>
      <c r="H379" s="25"/>
      <c r="I379" s="514" t="str">
        <f>General!G52</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35">
      <c r="A380" s="7"/>
      <c r="B380" s="8"/>
      <c r="C380" s="18"/>
      <c r="D380" s="18"/>
      <c r="E380" s="18"/>
      <c r="F380" s="24"/>
      <c r="G380" s="551"/>
      <c r="H380" s="25"/>
      <c r="I380" s="514" t="str">
        <f>General!G53</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35">
      <c r="A381" s="7"/>
      <c r="B381" s="8"/>
      <c r="C381" s="18"/>
      <c r="D381" s="18"/>
      <c r="E381" s="18"/>
      <c r="F381" s="24"/>
      <c r="G381" s="551"/>
      <c r="H381" s="24"/>
      <c r="I381" s="514" t="str">
        <f>General!G54</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35">
      <c r="A382" s="7"/>
      <c r="B382" s="8"/>
      <c r="C382" s="18"/>
      <c r="D382" s="18"/>
      <c r="E382" s="18"/>
      <c r="F382" s="24"/>
      <c r="G382" s="551"/>
      <c r="H382" s="24"/>
      <c r="I382" s="514" t="str">
        <f>General!G55</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3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27" t="s">
        <v>2201</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28" t="s">
        <v>2200</v>
      </c>
      <c r="K12" s="629"/>
      <c r="L12" s="629"/>
      <c r="M12" s="629"/>
      <c r="N12" s="629"/>
      <c r="O12" s="629"/>
      <c r="P12" s="629"/>
      <c r="Q12" s="629"/>
      <c r="R12" s="629"/>
      <c r="S12" s="629"/>
      <c r="T12" s="629"/>
      <c r="U12" s="629"/>
      <c r="V12" s="629"/>
      <c r="W12" s="629"/>
      <c r="X12" s="630"/>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A317" zoomScale="85" zoomScaleNormal="85" workbookViewId="0">
      <pane xSplit="11" topLeftCell="U1" activePane="topRight" state="frozen"/>
      <selection activeCell="A6" sqref="A6"/>
      <selection pane="topRight" activeCell="AG329" sqref="AG329"/>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35">
      <c r="A11" s="45"/>
      <c r="B11" s="54"/>
      <c r="C11" s="47">
        <f>INT($C$6)+1.045</f>
        <v>2.0449999999999999</v>
      </c>
      <c r="D11" s="73"/>
      <c r="E11" s="70"/>
      <c r="F11" s="70"/>
      <c r="G11" s="73"/>
      <c r="H11" s="76" t="s">
        <v>134</v>
      </c>
      <c r="I11" s="279">
        <v>45582.576862152797</v>
      </c>
      <c r="J11" s="631" t="s">
        <v>3309</v>
      </c>
      <c r="K11" s="627"/>
      <c r="L11" s="627"/>
      <c r="M11" s="627"/>
      <c r="N11" s="627"/>
      <c r="O11" s="627"/>
      <c r="P11" s="627"/>
      <c r="Q11" s="627"/>
      <c r="R11" s="627"/>
      <c r="S11" s="627"/>
      <c r="T11" s="627"/>
      <c r="U11" s="627"/>
      <c r="V11" s="627"/>
      <c r="W11" s="627"/>
      <c r="X11" s="627"/>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35">
      <c r="A12" s="45"/>
      <c r="B12" s="54"/>
      <c r="C12" s="47">
        <f>INT($C$6)+1.045</f>
        <v>2.0449999999999999</v>
      </c>
      <c r="D12" s="73"/>
      <c r="E12" s="70"/>
      <c r="F12" s="70"/>
      <c r="G12" s="73"/>
      <c r="H12" s="76" t="s">
        <v>135</v>
      </c>
      <c r="I12" s="271">
        <v>45546.4224167824</v>
      </c>
      <c r="J12" s="628" t="s">
        <v>3299</v>
      </c>
      <c r="K12" s="629"/>
      <c r="L12" s="629"/>
      <c r="M12" s="629"/>
      <c r="N12" s="629"/>
      <c r="O12" s="629"/>
      <c r="P12" s="629"/>
      <c r="Q12" s="629"/>
      <c r="R12" s="629"/>
      <c r="S12" s="629"/>
      <c r="T12" s="629"/>
      <c r="U12" s="629"/>
      <c r="V12" s="629"/>
      <c r="W12" s="629"/>
      <c r="X12" s="630"/>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49999999999999" customHeight="1" outlineLevel="1" x14ac:dyDescent="0.3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3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3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3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3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3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3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3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3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3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3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3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3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3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3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3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3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49999999999999" customHeight="1" outlineLevel="1" collapsed="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15" hidden="1"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5" hidden="1"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3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35">
      <c r="A94" s="45"/>
      <c r="B94" s="54"/>
      <c r="C94" s="87">
        <f>INT($C$81)+2</f>
        <v>3</v>
      </c>
      <c r="D94" s="73"/>
      <c r="E94" s="70"/>
      <c r="F94" s="70"/>
      <c r="G94" s="73"/>
      <c r="H94" s="76"/>
      <c r="I94" s="95" t="s">
        <v>3310</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3266</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3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3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3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3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3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3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3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3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3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3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3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3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3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3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3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3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3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3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3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5" t="s">
        <v>3265</v>
      </c>
      <c r="J114" s="119"/>
      <c r="K114" s="119"/>
      <c r="L114" s="119"/>
      <c r="M114" s="119"/>
      <c r="N114" s="119" t="s">
        <v>197</v>
      </c>
      <c r="O114" s="119"/>
      <c r="P114" s="119"/>
      <c r="Q114" s="602" t="s">
        <v>3264</v>
      </c>
      <c r="R114" s="602"/>
      <c r="S114" s="602"/>
      <c r="T114" s="602"/>
      <c r="U114" s="602"/>
      <c r="V114" s="602"/>
      <c r="W114" s="602"/>
      <c r="X114" s="602"/>
      <c r="Y114" s="119" t="s">
        <v>2205</v>
      </c>
      <c r="Z114" s="119"/>
      <c r="AA114" s="119"/>
      <c r="AB114" s="119"/>
      <c r="AC114" s="119"/>
      <c r="AD114" s="119"/>
      <c r="AE114" s="76"/>
      <c r="AF114" s="119" t="s">
        <v>3263</v>
      </c>
      <c r="AG114" s="119"/>
      <c r="AH114" s="119"/>
      <c r="AI114" s="119"/>
      <c r="AJ114" s="119"/>
      <c r="AK114" s="76"/>
      <c r="AL114" s="76"/>
      <c r="AM114" s="76"/>
      <c r="AN114" s="73"/>
      <c r="AO114" s="57"/>
      <c r="AP114" s="45"/>
      <c r="AQ114" s="45"/>
      <c r="AR114" s="45"/>
      <c r="AS114" s="441"/>
      <c r="AT114" s="441"/>
    </row>
    <row r="115" spans="1:59" ht="15.5" outlineLevel="3" thickTop="1" thickBot="1" x14ac:dyDescent="0.4">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 outlineLevel="3" thickTop="1" x14ac:dyDescent="0.3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3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3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3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3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3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3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3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3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3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3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3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3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3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35">
      <c r="A135" s="45"/>
      <c r="B135" s="54"/>
      <c r="C135" s="87">
        <f>INT($C$81)+1</f>
        <v>2</v>
      </c>
      <c r="D135" s="73"/>
      <c r="E135" s="70"/>
      <c r="F135" s="70"/>
      <c r="G135" s="73"/>
      <c r="H135" s="90" t="s">
        <v>3262</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35">
      <c r="A137" s="45"/>
      <c r="B137" s="54"/>
      <c r="C137" s="87">
        <f t="shared" ref="C137:C146" si="31">INT($C$81+3)</f>
        <v>4</v>
      </c>
      <c r="D137" s="73"/>
      <c r="E137" s="70"/>
      <c r="F137" s="70"/>
      <c r="G137" s="73"/>
      <c r="H137" s="246" t="s">
        <v>3261</v>
      </c>
      <c r="I137" s="76" t="s">
        <v>2805</v>
      </c>
      <c r="J137" s="76" t="s">
        <v>2806</v>
      </c>
      <c r="K137" s="76" t="s">
        <v>3260</v>
      </c>
      <c r="L137" s="76"/>
      <c r="M137" s="76"/>
      <c r="N137" s="76"/>
      <c r="O137" s="76"/>
      <c r="P137" s="246" t="s">
        <v>3259</v>
      </c>
      <c r="Q137" s="76"/>
      <c r="R137" s="76" t="s">
        <v>3258</v>
      </c>
      <c r="S137" s="76" t="s">
        <v>3257</v>
      </c>
      <c r="T137" s="76" t="s">
        <v>3256</v>
      </c>
      <c r="U137" s="76" t="s">
        <v>3255</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35">
      <c r="A138" s="45"/>
      <c r="B138" s="54"/>
      <c r="C138" s="87">
        <f t="shared" si="31"/>
        <v>4</v>
      </c>
      <c r="D138" s="73"/>
      <c r="E138" s="70"/>
      <c r="F138" s="70"/>
      <c r="G138" s="73"/>
      <c r="H138" s="76" t="s">
        <v>3254</v>
      </c>
      <c r="I138" s="599">
        <v>-0.10100000000000001</v>
      </c>
      <c r="J138" s="599">
        <v>0</v>
      </c>
      <c r="K138" s="598">
        <v>0</v>
      </c>
      <c r="L138" s="76"/>
      <c r="M138" s="76"/>
      <c r="N138" s="76"/>
      <c r="O138" s="76"/>
      <c r="P138" s="76" t="s">
        <v>3254</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35">
      <c r="A139" s="45"/>
      <c r="B139" s="54"/>
      <c r="C139" s="87">
        <f t="shared" si="31"/>
        <v>4</v>
      </c>
      <c r="D139" s="73"/>
      <c r="E139" s="70"/>
      <c r="F139" s="70"/>
      <c r="G139" s="73"/>
      <c r="H139" s="76" t="s">
        <v>3253</v>
      </c>
      <c r="I139" s="599">
        <v>0</v>
      </c>
      <c r="J139" s="599">
        <v>0.113</v>
      </c>
      <c r="K139" s="598">
        <v>5.9005989731888203E-3</v>
      </c>
      <c r="L139" s="76"/>
      <c r="M139" s="76"/>
      <c r="N139" s="76"/>
      <c r="O139" s="76"/>
      <c r="P139" s="76" t="s">
        <v>3253</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35">
      <c r="A140" s="45"/>
      <c r="B140" s="54"/>
      <c r="C140" s="87">
        <f t="shared" si="31"/>
        <v>4</v>
      </c>
      <c r="D140" s="73"/>
      <c r="E140" s="70"/>
      <c r="F140" s="70"/>
      <c r="G140" s="73"/>
      <c r="H140" s="76" t="s">
        <v>3252</v>
      </c>
      <c r="I140" s="599">
        <v>-6.0999999999999999E-2</v>
      </c>
      <c r="J140" s="599">
        <v>5.1999999999999998E-2</v>
      </c>
      <c r="K140" s="598">
        <v>3.5107296137339059E-3</v>
      </c>
      <c r="L140" s="76"/>
      <c r="M140" s="76"/>
      <c r="N140" s="76"/>
      <c r="O140" s="76"/>
      <c r="P140" s="76" t="s">
        <v>3252</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35">
      <c r="A141" s="45"/>
      <c r="B141" s="54"/>
      <c r="C141" s="87">
        <f t="shared" si="31"/>
        <v>4</v>
      </c>
      <c r="D141" s="73"/>
      <c r="E141" s="70"/>
      <c r="F141" s="70"/>
      <c r="G141" s="73"/>
      <c r="H141" s="76" t="s">
        <v>3251</v>
      </c>
      <c r="I141" s="356">
        <v>47.809731093905945</v>
      </c>
      <c r="J141" s="365">
        <v>4566.4973039173738</v>
      </c>
      <c r="K141" s="356">
        <v>45.892351332455597</v>
      </c>
      <c r="L141" s="76"/>
      <c r="M141" s="76"/>
      <c r="N141" s="76"/>
      <c r="O141" s="76"/>
      <c r="P141" s="76" t="s">
        <v>3251</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35">
      <c r="A142" s="45"/>
      <c r="B142" s="54"/>
      <c r="C142" s="87">
        <f t="shared" si="31"/>
        <v>4</v>
      </c>
      <c r="D142" s="73"/>
      <c r="E142" s="70"/>
      <c r="F142" s="70"/>
      <c r="G142" s="73"/>
      <c r="H142" s="76" t="s">
        <v>3250</v>
      </c>
      <c r="I142" s="442">
        <v>-0.22538711253423788</v>
      </c>
      <c r="J142" s="596">
        <v>-0.50483440440253269</v>
      </c>
      <c r="K142" s="596">
        <v>-0.22213692403040283</v>
      </c>
      <c r="L142" s="76"/>
      <c r="M142" s="76"/>
      <c r="N142" s="76"/>
      <c r="O142" s="76"/>
      <c r="P142" s="76" t="s">
        <v>3250</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3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35">
      <c r="A144" s="45"/>
      <c r="B144" s="54"/>
      <c r="C144" s="87">
        <f t="shared" si="31"/>
        <v>4</v>
      </c>
      <c r="D144" s="73"/>
      <c r="E144" s="70"/>
      <c r="F144" s="70"/>
      <c r="G144" s="73"/>
      <c r="H144" s="76" t="s">
        <v>3249</v>
      </c>
      <c r="I144" s="76">
        <v>35</v>
      </c>
      <c r="J144" s="76"/>
      <c r="K144" s="76"/>
      <c r="L144" s="76"/>
      <c r="M144" s="76"/>
      <c r="N144" s="76"/>
      <c r="O144" s="76"/>
      <c r="P144" s="76" t="s">
        <v>3248</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35">
      <c r="A145" s="45"/>
      <c r="B145" s="54"/>
      <c r="C145" s="87">
        <f t="shared" si="31"/>
        <v>4</v>
      </c>
      <c r="D145" s="73"/>
      <c r="E145" s="70"/>
      <c r="F145" s="70"/>
      <c r="G145" s="73"/>
      <c r="H145" s="76"/>
      <c r="I145" s="76"/>
      <c r="J145" s="76"/>
      <c r="K145" s="76"/>
      <c r="L145" s="76"/>
      <c r="M145" s="76"/>
      <c r="N145" s="76"/>
      <c r="O145" s="76"/>
      <c r="P145" s="76" t="s">
        <v>3247</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35">
      <c r="A146" s="45"/>
      <c r="B146" s="54"/>
      <c r="C146" s="87">
        <f t="shared" si="31"/>
        <v>4</v>
      </c>
      <c r="D146" s="73"/>
      <c r="E146" s="70"/>
      <c r="F146" s="70"/>
      <c r="G146" s="73"/>
      <c r="H146" s="76" t="s">
        <v>196</v>
      </c>
      <c r="I146" s="595" t="s">
        <v>3246</v>
      </c>
      <c r="J146" s="119"/>
      <c r="K146" s="119"/>
      <c r="L146" s="119"/>
      <c r="M146" s="119"/>
      <c r="N146" s="119"/>
      <c r="O146" s="76"/>
      <c r="P146" s="76" t="s">
        <v>196</v>
      </c>
      <c r="Q146" s="76"/>
      <c r="R146" s="595" t="s">
        <v>3245</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3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3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3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3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3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3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3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49999999999999" customHeight="1" outlineLevel="1" collapsed="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15" hidden="1"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5" hidden="1"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idden="1"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3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3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3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3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AVERAGE(X$183,X$189)</f>
        <v>5.125</v>
      </c>
      <c r="Y186" s="122">
        <f>X186/(1+AVERAGEIF(INDEX(i_salep_months_priceadj_s7s9p4,1+$E186*2,0),"&lt;&gt;-1"))</f>
        <v>4.4212796549245148</v>
      </c>
      <c r="Z186" s="593">
        <f>AVERAGE(Z$183,Z$189)</f>
        <v>0.7077277859184703</v>
      </c>
      <c r="AA186" s="593">
        <f>AVERAGE(AA$183,AA$189)</f>
        <v>0.87631018440670361</v>
      </c>
      <c r="AB186" s="96">
        <v>1</v>
      </c>
      <c r="AC186" s="593">
        <f>AVERAGE(AC$183,AC$189)</f>
        <v>1.2127042846733449</v>
      </c>
      <c r="AD186" s="593">
        <f>AVERAGE(AD$183,AD$189)</f>
        <v>1.4387386197122198</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4.4212796549245148</v>
      </c>
      <c r="BA186" s="326">
        <f t="shared" ca="1" si="37"/>
        <v>4.4212796549245148</v>
      </c>
      <c r="BD186" s="326">
        <f ca="1">50*0.44*AZ186</f>
        <v>97.268152408339319</v>
      </c>
      <c r="BE186" t="s">
        <v>2309</v>
      </c>
    </row>
    <row r="187" spans="1:58" outlineLevel="3" x14ac:dyDescent="0.3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3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3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3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3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3244</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26.782751755792731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54.993916938561071</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62.850190786926944</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35">
      <c r="A199" s="45"/>
      <c r="B199" s="54"/>
      <c r="C199" s="87">
        <f t="shared" ref="C199:C205" si="39">INT($C$167)+3</f>
        <v>4</v>
      </c>
      <c r="D199" s="73"/>
      <c r="E199" s="70">
        <f t="shared" ref="E199:F205" si="40">E198</f>
        <v>0</v>
      </c>
      <c r="F199" s="70">
        <f t="shared" si="40"/>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83.562185478073317</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35">
      <c r="A200" s="45"/>
      <c r="B200" s="54"/>
      <c r="C200" s="87">
        <f t="shared" si="39"/>
        <v>4</v>
      </c>
      <c r="D200" s="73"/>
      <c r="E200" s="70">
        <f t="shared" si="40"/>
        <v>0</v>
      </c>
      <c r="F200" s="70">
        <f t="shared" si="40"/>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92.846872753414814</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35">
      <c r="A201" s="45"/>
      <c r="B201" s="54"/>
      <c r="C201" s="87">
        <f t="shared" si="39"/>
        <v>4</v>
      </c>
      <c r="D201" s="73"/>
      <c r="E201" s="70">
        <f t="shared" si="40"/>
        <v>0</v>
      </c>
      <c r="F201" s="70">
        <f t="shared" si="40"/>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102.13156002875628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35">
      <c r="A202" s="45"/>
      <c r="B202" s="54"/>
      <c r="C202" s="87">
        <f t="shared" si="39"/>
        <v>4</v>
      </c>
      <c r="D202" s="73"/>
      <c r="E202" s="70">
        <f t="shared" si="40"/>
        <v>0</v>
      </c>
      <c r="F202" s="70">
        <f t="shared" si="40"/>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111.41624730409777</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35">
      <c r="A203" s="45"/>
      <c r="B203" s="54"/>
      <c r="C203" s="87">
        <f t="shared" si="39"/>
        <v>4</v>
      </c>
      <c r="D203" s="73"/>
      <c r="E203" s="70">
        <f t="shared" si="40"/>
        <v>0</v>
      </c>
      <c r="F203" s="70">
        <f t="shared" si="40"/>
        <v>0</v>
      </c>
      <c r="G203" s="73"/>
      <c r="H203" s="76"/>
      <c r="I203" s="173">
        <f t="shared" ref="I203:N204" si="41">I202</f>
        <v>31.1</v>
      </c>
      <c r="J203" s="448">
        <f t="shared" si="41"/>
        <v>4</v>
      </c>
      <c r="K203" s="449">
        <f t="shared" si="41"/>
        <v>5</v>
      </c>
      <c r="L203" s="449">
        <f t="shared" si="41"/>
        <v>5</v>
      </c>
      <c r="M203" s="449">
        <f t="shared" si="41"/>
        <v>5</v>
      </c>
      <c r="N203" s="450">
        <f t="shared" si="41"/>
        <v>3.6</v>
      </c>
      <c r="O203" s="447">
        <v>0</v>
      </c>
      <c r="P203" s="174"/>
      <c r="Q203" s="392">
        <f t="shared" ref="Q203:U204" si="42">Q202</f>
        <v>0.87644444444444447</v>
      </c>
      <c r="R203" s="393">
        <f t="shared" si="42"/>
        <v>0.75088954500719218</v>
      </c>
      <c r="S203" s="393">
        <f t="shared" si="42"/>
        <v>0.75088954500719218</v>
      </c>
      <c r="T203" s="393">
        <f t="shared" si="42"/>
        <v>0.75088954500719218</v>
      </c>
      <c r="U203" s="394">
        <f t="shared" si="42"/>
        <v>0.94890510948905105</v>
      </c>
      <c r="V203" s="175">
        <v>0</v>
      </c>
      <c r="W203" s="174"/>
      <c r="X203" s="392">
        <f t="shared" ref="X203:AB204" si="43">X202</f>
        <v>0.8666666666666667</v>
      </c>
      <c r="Y203" s="393">
        <f t="shared" si="43"/>
        <v>1</v>
      </c>
      <c r="Z203" s="393">
        <f t="shared" si="43"/>
        <v>1</v>
      </c>
      <c r="AA203" s="393">
        <f t="shared" si="43"/>
        <v>1</v>
      </c>
      <c r="AB203" s="394">
        <f t="shared" si="43"/>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120.70093457943923</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35">
      <c r="A204" s="45"/>
      <c r="B204" s="54"/>
      <c r="C204" s="87">
        <f t="shared" si="39"/>
        <v>4</v>
      </c>
      <c r="D204" s="73"/>
      <c r="E204" s="70">
        <f t="shared" si="40"/>
        <v>0</v>
      </c>
      <c r="F204" s="70">
        <f t="shared" si="40"/>
        <v>0</v>
      </c>
      <c r="G204" s="73"/>
      <c r="H204" s="76"/>
      <c r="I204" s="173">
        <f t="shared" si="41"/>
        <v>31.1</v>
      </c>
      <c r="J204" s="451">
        <f t="shared" si="41"/>
        <v>4</v>
      </c>
      <c r="K204" s="452">
        <f t="shared" si="41"/>
        <v>5</v>
      </c>
      <c r="L204" s="452">
        <f t="shared" si="41"/>
        <v>5</v>
      </c>
      <c r="M204" s="452">
        <f t="shared" si="41"/>
        <v>5</v>
      </c>
      <c r="N204" s="453">
        <f t="shared" si="41"/>
        <v>3.6</v>
      </c>
      <c r="O204" s="447">
        <v>0</v>
      </c>
      <c r="P204" s="174"/>
      <c r="Q204" s="395">
        <f t="shared" si="42"/>
        <v>0.87644444444444447</v>
      </c>
      <c r="R204" s="396">
        <f t="shared" si="42"/>
        <v>0.75088954500719218</v>
      </c>
      <c r="S204" s="396">
        <f t="shared" si="42"/>
        <v>0.75088954500719218</v>
      </c>
      <c r="T204" s="396">
        <f t="shared" si="42"/>
        <v>0.75088954500719218</v>
      </c>
      <c r="U204" s="397">
        <f t="shared" si="42"/>
        <v>0.94890510948905105</v>
      </c>
      <c r="V204" s="175">
        <v>0</v>
      </c>
      <c r="W204" s="174"/>
      <c r="X204" s="395">
        <f t="shared" si="43"/>
        <v>0.8666666666666667</v>
      </c>
      <c r="Y204" s="396">
        <f t="shared" si="43"/>
        <v>1</v>
      </c>
      <c r="Z204" s="396">
        <f t="shared" si="43"/>
        <v>1</v>
      </c>
      <c r="AA204" s="396">
        <f t="shared" si="43"/>
        <v>1</v>
      </c>
      <c r="AB204" s="397">
        <f t="shared" si="43"/>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129.98562185478073</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35">
      <c r="A205" s="45"/>
      <c r="B205" s="54"/>
      <c r="C205" s="87">
        <f t="shared" si="39"/>
        <v>4</v>
      </c>
      <c r="D205" s="73"/>
      <c r="E205" s="70">
        <f t="shared" si="40"/>
        <v>0</v>
      </c>
      <c r="F205" s="70">
        <f t="shared" si="40"/>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3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35">
      <c r="A207" s="45"/>
      <c r="B207" s="54"/>
      <c r="C207" s="87">
        <f t="shared" ref="C207:C213" si="44">INT($C$167)+3</f>
        <v>4</v>
      </c>
      <c r="D207" s="73"/>
      <c r="E207" s="70"/>
      <c r="F207" s="70">
        <f t="shared" ref="F207:F213" si="45">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35">
      <c r="A208" s="45"/>
      <c r="B208" s="54"/>
      <c r="C208" s="87">
        <f t="shared" si="44"/>
        <v>4</v>
      </c>
      <c r="D208" s="73"/>
      <c r="E208" s="70"/>
      <c r="F208" s="70">
        <f t="shared" si="45"/>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35">
      <c r="A209" s="45"/>
      <c r="B209" s="54"/>
      <c r="C209" s="87">
        <f t="shared" si="44"/>
        <v>4</v>
      </c>
      <c r="D209" s="73"/>
      <c r="E209" s="70"/>
      <c r="F209" s="70">
        <f t="shared" si="45"/>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35">
      <c r="A210" s="45"/>
      <c r="B210" s="54"/>
      <c r="C210" s="87">
        <f t="shared" si="44"/>
        <v>4</v>
      </c>
      <c r="D210" s="73"/>
      <c r="E210" s="70"/>
      <c r="F210" s="70">
        <f t="shared" si="45"/>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44"/>
        <v>4</v>
      </c>
      <c r="D211" s="73"/>
      <c r="E211" s="70"/>
      <c r="F211" s="70">
        <f t="shared" si="45"/>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44"/>
        <v>4</v>
      </c>
      <c r="D212" s="73"/>
      <c r="E212" s="70"/>
      <c r="F212" s="70">
        <f t="shared" si="45"/>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44"/>
        <v>4</v>
      </c>
      <c r="D213" s="73"/>
      <c r="E213" s="70"/>
      <c r="F213" s="70">
        <f t="shared" si="45"/>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46">INT($C$167)+3</f>
        <v>4</v>
      </c>
      <c r="D215" s="73"/>
      <c r="E215" s="70"/>
      <c r="F215" s="70">
        <f t="shared" ref="F215:F221" si="47">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46"/>
        <v>4</v>
      </c>
      <c r="D216" s="73"/>
      <c r="E216" s="70"/>
      <c r="F216" s="70">
        <f t="shared" si="47"/>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46"/>
        <v>4</v>
      </c>
      <c r="D217" s="73"/>
      <c r="E217" s="70"/>
      <c r="F217" s="70">
        <f t="shared" si="47"/>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46"/>
        <v>4</v>
      </c>
      <c r="D218" s="73"/>
      <c r="E218" s="70"/>
      <c r="F218" s="70">
        <f t="shared" si="47"/>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46"/>
        <v>4</v>
      </c>
      <c r="D219" s="73"/>
      <c r="E219" s="70"/>
      <c r="F219" s="70">
        <f t="shared" si="47"/>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35">
      <c r="A220" s="45"/>
      <c r="B220" s="54"/>
      <c r="C220" s="87">
        <f t="shared" si="46"/>
        <v>4</v>
      </c>
      <c r="D220" s="73"/>
      <c r="E220" s="70"/>
      <c r="F220" s="70">
        <f t="shared" si="47"/>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35">
      <c r="A221" s="45"/>
      <c r="B221" s="54"/>
      <c r="C221" s="87">
        <f t="shared" si="46"/>
        <v>4</v>
      </c>
      <c r="D221" s="73"/>
      <c r="E221" s="70"/>
      <c r="F221" s="70">
        <f t="shared" si="47"/>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48">I246</f>
        <v>10.1</v>
      </c>
      <c r="J222" s="444">
        <f t="shared" si="48"/>
        <v>3</v>
      </c>
      <c r="K222" s="445">
        <f t="shared" si="48"/>
        <v>3</v>
      </c>
      <c r="L222" s="445">
        <f t="shared" si="48"/>
        <v>3</v>
      </c>
      <c r="M222" s="445">
        <f t="shared" si="48"/>
        <v>3</v>
      </c>
      <c r="N222" s="446">
        <f t="shared" si="48"/>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35">
      <c r="A223" s="45"/>
      <c r="B223" s="54"/>
      <c r="C223" s="87">
        <f t="shared" ref="C223:C229" si="49">INT($C$167)+3</f>
        <v>4</v>
      </c>
      <c r="D223" s="73"/>
      <c r="E223" s="70"/>
      <c r="F223" s="70">
        <f t="shared" ref="F223:F229" si="50">F222</f>
        <v>3</v>
      </c>
      <c r="G223" s="73"/>
      <c r="H223" s="176" t="str">
        <f>INDEX($M$175:$M$177,INDEX(i_salep_price_type_s7,$F223+1,1)+1,1)&amp;INDEX($L$175:$L$177,INDEX(ia_s8_s7,$F223+1,1)+1,1)</f>
        <v>$/kg DW, DW - Fat score</v>
      </c>
      <c r="I223" s="173">
        <f t="shared" si="48"/>
        <v>14.1</v>
      </c>
      <c r="J223" s="448">
        <f t="shared" si="48"/>
        <v>4.4000000000000004</v>
      </c>
      <c r="K223" s="449">
        <f t="shared" si="48"/>
        <v>4.4000000000000004</v>
      </c>
      <c r="L223" s="449">
        <f t="shared" si="48"/>
        <v>4.4000000000000004</v>
      </c>
      <c r="M223" s="449">
        <f t="shared" si="48"/>
        <v>4.4000000000000004</v>
      </c>
      <c r="N223" s="450">
        <f t="shared" si="48"/>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49"/>
        <v>4</v>
      </c>
      <c r="D224" s="73"/>
      <c r="E224" s="70"/>
      <c r="F224" s="70">
        <f t="shared" si="50"/>
        <v>3</v>
      </c>
      <c r="G224" s="73"/>
      <c r="H224" s="179" t="s">
        <v>256</v>
      </c>
      <c r="I224" s="173">
        <f t="shared" si="48"/>
        <v>18.100000000000001</v>
      </c>
      <c r="J224" s="448">
        <f t="shared" si="48"/>
        <v>5</v>
      </c>
      <c r="K224" s="449">
        <f t="shared" si="48"/>
        <v>5.2</v>
      </c>
      <c r="L224" s="449">
        <f t="shared" si="48"/>
        <v>5.2</v>
      </c>
      <c r="M224" s="449">
        <f t="shared" si="48"/>
        <v>5.2</v>
      </c>
      <c r="N224" s="450">
        <f t="shared" si="48"/>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49"/>
        <v>4</v>
      </c>
      <c r="D225" s="73"/>
      <c r="E225" s="70"/>
      <c r="F225" s="70">
        <f t="shared" si="50"/>
        <v>3</v>
      </c>
      <c r="G225" s="73"/>
      <c r="H225" s="76"/>
      <c r="I225" s="173">
        <f t="shared" si="48"/>
        <v>35.1</v>
      </c>
      <c r="J225" s="448">
        <f t="shared" si="48"/>
        <v>4.5</v>
      </c>
      <c r="K225" s="449">
        <f t="shared" si="48"/>
        <v>4.9000000000000004</v>
      </c>
      <c r="L225" s="449">
        <f t="shared" si="48"/>
        <v>4.9000000000000004</v>
      </c>
      <c r="M225" s="449">
        <f t="shared" si="48"/>
        <v>4.9000000000000004</v>
      </c>
      <c r="N225" s="450">
        <f t="shared" si="48"/>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49"/>
        <v>4</v>
      </c>
      <c r="D226" s="73"/>
      <c r="E226" s="70"/>
      <c r="F226" s="70">
        <f t="shared" si="50"/>
        <v>3</v>
      </c>
      <c r="G226" s="73"/>
      <c r="H226" s="76"/>
      <c r="I226" s="173">
        <f t="shared" si="48"/>
        <v>40.1</v>
      </c>
      <c r="J226" s="448">
        <f t="shared" si="48"/>
        <v>4.4000000000000004</v>
      </c>
      <c r="K226" s="449">
        <f t="shared" si="48"/>
        <v>4.5999999999999996</v>
      </c>
      <c r="L226" s="449">
        <f t="shared" si="48"/>
        <v>4.5999999999999996</v>
      </c>
      <c r="M226" s="449">
        <f t="shared" si="48"/>
        <v>4.5999999999999996</v>
      </c>
      <c r="N226" s="450">
        <f t="shared" si="48"/>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49"/>
        <v>4</v>
      </c>
      <c r="D227" s="73"/>
      <c r="E227" s="70"/>
      <c r="F227" s="70">
        <f t="shared" si="50"/>
        <v>3</v>
      </c>
      <c r="G227" s="73"/>
      <c r="H227" s="76"/>
      <c r="I227" s="173">
        <f t="shared" si="48"/>
        <v>45.1</v>
      </c>
      <c r="J227" s="448">
        <f t="shared" si="48"/>
        <v>4</v>
      </c>
      <c r="K227" s="449">
        <f t="shared" si="48"/>
        <v>4</v>
      </c>
      <c r="L227" s="449">
        <f t="shared" si="48"/>
        <v>4</v>
      </c>
      <c r="M227" s="449">
        <f t="shared" si="48"/>
        <v>4</v>
      </c>
      <c r="N227" s="450">
        <f t="shared" si="48"/>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49"/>
        <v>4</v>
      </c>
      <c r="D228" s="73"/>
      <c r="E228" s="70"/>
      <c r="F228" s="70">
        <f t="shared" si="50"/>
        <v>3</v>
      </c>
      <c r="G228" s="73"/>
      <c r="H228" s="76"/>
      <c r="I228" s="173">
        <f t="shared" si="48"/>
        <v>45.1</v>
      </c>
      <c r="J228" s="451">
        <f t="shared" si="48"/>
        <v>4</v>
      </c>
      <c r="K228" s="452">
        <f t="shared" si="48"/>
        <v>4</v>
      </c>
      <c r="L228" s="452">
        <f t="shared" si="48"/>
        <v>4</v>
      </c>
      <c r="M228" s="452">
        <f t="shared" si="48"/>
        <v>4</v>
      </c>
      <c r="N228" s="453">
        <f t="shared" si="48"/>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49"/>
        <v>4</v>
      </c>
      <c r="D229" s="73"/>
      <c r="E229" s="70"/>
      <c r="F229" s="70">
        <f t="shared" si="50"/>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1">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52">INT($C$167)+3</f>
        <v>4</v>
      </c>
      <c r="D231" s="73"/>
      <c r="E231" s="70"/>
      <c r="F231" s="70">
        <f t="shared" ref="F231:F237" si="53">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1"/>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52"/>
        <v>4</v>
      </c>
      <c r="D232" s="73"/>
      <c r="E232" s="70"/>
      <c r="F232" s="70">
        <f t="shared" si="53"/>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1"/>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35">
      <c r="A233" s="45"/>
      <c r="B233" s="54"/>
      <c r="C233" s="87">
        <f t="shared" si="52"/>
        <v>4</v>
      </c>
      <c r="D233" s="73"/>
      <c r="E233" s="70"/>
      <c r="F233" s="70">
        <f t="shared" si="53"/>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1"/>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35">
      <c r="A234" s="45"/>
      <c r="B234" s="54"/>
      <c r="C234" s="87">
        <f t="shared" si="52"/>
        <v>4</v>
      </c>
      <c r="D234" s="73"/>
      <c r="E234" s="70"/>
      <c r="F234" s="70">
        <f t="shared" si="53"/>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1"/>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35">
      <c r="A235" s="45"/>
      <c r="B235" s="54"/>
      <c r="C235" s="87">
        <f t="shared" si="52"/>
        <v>4</v>
      </c>
      <c r="D235" s="73"/>
      <c r="E235" s="70"/>
      <c r="F235" s="70">
        <f t="shared" si="53"/>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1"/>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35">
      <c r="A236" s="45"/>
      <c r="B236" s="54"/>
      <c r="C236" s="87">
        <f t="shared" si="52"/>
        <v>4</v>
      </c>
      <c r="D236" s="73"/>
      <c r="E236" s="70"/>
      <c r="F236" s="70">
        <f t="shared" si="53"/>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1"/>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35">
      <c r="A237" s="45"/>
      <c r="B237" s="54"/>
      <c r="C237" s="87">
        <f t="shared" si="52"/>
        <v>4</v>
      </c>
      <c r="D237" s="73"/>
      <c r="E237" s="70"/>
      <c r="F237" s="70">
        <f t="shared" si="53"/>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35">
      <c r="A239" s="45"/>
      <c r="B239" s="54"/>
      <c r="C239" s="87">
        <f t="shared" ref="C239:C245" si="54">INT($C$167)+3</f>
        <v>4</v>
      </c>
      <c r="D239" s="73"/>
      <c r="E239" s="70"/>
      <c r="F239" s="70">
        <f t="shared" ref="F239:F245" si="55">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35">
      <c r="A240" s="45"/>
      <c r="B240" s="54"/>
      <c r="C240" s="87">
        <f t="shared" si="54"/>
        <v>4</v>
      </c>
      <c r="D240" s="73"/>
      <c r="E240" s="70"/>
      <c r="F240" s="70">
        <f t="shared" si="55"/>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35">
      <c r="A241" s="45"/>
      <c r="B241" s="54"/>
      <c r="C241" s="87">
        <f t="shared" si="54"/>
        <v>4</v>
      </c>
      <c r="D241" s="73"/>
      <c r="E241" s="70"/>
      <c r="F241" s="70">
        <f t="shared" si="55"/>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35">
      <c r="A242" s="45"/>
      <c r="B242" s="54"/>
      <c r="C242" s="87">
        <f t="shared" si="54"/>
        <v>4</v>
      </c>
      <c r="D242" s="73"/>
      <c r="E242" s="70"/>
      <c r="F242" s="70">
        <f t="shared" si="55"/>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35">
      <c r="A243" s="45"/>
      <c r="B243" s="54"/>
      <c r="C243" s="87">
        <f t="shared" si="54"/>
        <v>4</v>
      </c>
      <c r="D243" s="73"/>
      <c r="E243" s="70"/>
      <c r="F243" s="70">
        <f t="shared" si="55"/>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35">
      <c r="A244" s="45"/>
      <c r="B244" s="54"/>
      <c r="C244" s="87">
        <f t="shared" si="54"/>
        <v>4</v>
      </c>
      <c r="D244" s="73"/>
      <c r="E244" s="70"/>
      <c r="F244" s="70">
        <f t="shared" si="55"/>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35">
      <c r="A245" s="45"/>
      <c r="B245" s="54"/>
      <c r="C245" s="87">
        <f t="shared" si="54"/>
        <v>4</v>
      </c>
      <c r="D245" s="73"/>
      <c r="E245" s="70"/>
      <c r="F245" s="70">
        <f t="shared" si="55"/>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3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35">
      <c r="A247" s="45"/>
      <c r="B247" s="54"/>
      <c r="C247" s="87">
        <f t="shared" ref="C247:C253" si="56">INT($C$167)+3</f>
        <v>4</v>
      </c>
      <c r="D247" s="73"/>
      <c r="E247" s="70"/>
      <c r="F247" s="70">
        <f t="shared" ref="F247:F253" si="57">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35">
      <c r="A248" s="45"/>
      <c r="B248" s="54"/>
      <c r="C248" s="87">
        <f t="shared" si="56"/>
        <v>4</v>
      </c>
      <c r="D248" s="73"/>
      <c r="E248" s="70"/>
      <c r="F248" s="70">
        <f t="shared" si="57"/>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35">
      <c r="A249" s="45"/>
      <c r="B249" s="54"/>
      <c r="C249" s="87">
        <f t="shared" si="56"/>
        <v>4</v>
      </c>
      <c r="D249" s="73"/>
      <c r="E249" s="70"/>
      <c r="F249" s="70">
        <f t="shared" si="57"/>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35">
      <c r="A250" s="45"/>
      <c r="B250" s="54"/>
      <c r="C250" s="87">
        <f t="shared" si="56"/>
        <v>4</v>
      </c>
      <c r="D250" s="73"/>
      <c r="E250" s="70"/>
      <c r="F250" s="70">
        <f t="shared" si="57"/>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35">
      <c r="A251" s="45"/>
      <c r="B251" s="54"/>
      <c r="C251" s="87">
        <f t="shared" si="56"/>
        <v>4</v>
      </c>
      <c r="D251" s="73"/>
      <c r="E251" s="70"/>
      <c r="F251" s="70">
        <f t="shared" si="57"/>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35">
      <c r="A252" s="45"/>
      <c r="B252" s="54"/>
      <c r="C252" s="87">
        <f t="shared" si="56"/>
        <v>4</v>
      </c>
      <c r="D252" s="73"/>
      <c r="E252" s="70"/>
      <c r="F252" s="70">
        <f t="shared" si="57"/>
        <v>6</v>
      </c>
      <c r="G252" s="73"/>
      <c r="H252" s="76"/>
      <c r="I252" s="173">
        <f t="shared" ref="I252:N252" si="58">I251</f>
        <v>45.1</v>
      </c>
      <c r="J252" s="465">
        <f t="shared" si="58"/>
        <v>4</v>
      </c>
      <c r="K252" s="466">
        <f t="shared" si="58"/>
        <v>4</v>
      </c>
      <c r="L252" s="466">
        <f t="shared" si="58"/>
        <v>4</v>
      </c>
      <c r="M252" s="466">
        <f t="shared" si="58"/>
        <v>4</v>
      </c>
      <c r="N252" s="467">
        <f t="shared" si="58"/>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35">
      <c r="A253" s="45"/>
      <c r="B253" s="54"/>
      <c r="C253" s="87">
        <f t="shared" si="56"/>
        <v>4</v>
      </c>
      <c r="D253" s="73"/>
      <c r="E253" s="70"/>
      <c r="F253" s="70">
        <f t="shared" si="57"/>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3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35">
      <c r="A255" s="45"/>
      <c r="B255" s="54"/>
      <c r="C255" s="87">
        <f t="shared" ref="C255:C261" si="59">INT($C$167)+3</f>
        <v>4</v>
      </c>
      <c r="D255" s="73"/>
      <c r="E255" s="70"/>
      <c r="F255" s="70">
        <f t="shared" ref="F255:F261" si="60">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35">
      <c r="A256" s="45"/>
      <c r="B256" s="54"/>
      <c r="C256" s="87">
        <f t="shared" si="59"/>
        <v>4</v>
      </c>
      <c r="D256" s="73"/>
      <c r="E256" s="70"/>
      <c r="F256" s="70">
        <f t="shared" si="60"/>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35">
      <c r="A257" s="45"/>
      <c r="B257" s="54"/>
      <c r="C257" s="87">
        <f t="shared" si="59"/>
        <v>4</v>
      </c>
      <c r="D257" s="73"/>
      <c r="E257" s="70"/>
      <c r="F257" s="70">
        <f t="shared" si="60"/>
        <v>7</v>
      </c>
      <c r="G257" s="73"/>
      <c r="H257" s="76"/>
      <c r="I257" s="173">
        <f t="shared" ref="I257:N260" si="61">I256</f>
        <v>30</v>
      </c>
      <c r="J257" s="468">
        <f t="shared" si="61"/>
        <v>1</v>
      </c>
      <c r="K257" s="469">
        <f t="shared" si="61"/>
        <v>1</v>
      </c>
      <c r="L257" s="469">
        <f t="shared" si="61"/>
        <v>1</v>
      </c>
      <c r="M257" s="469">
        <f t="shared" si="61"/>
        <v>1</v>
      </c>
      <c r="N257" s="470">
        <f t="shared" si="61"/>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35">
      <c r="A258" s="45"/>
      <c r="B258" s="54"/>
      <c r="C258" s="87">
        <f t="shared" si="59"/>
        <v>4</v>
      </c>
      <c r="D258" s="73"/>
      <c r="E258" s="70"/>
      <c r="F258" s="70">
        <f t="shared" si="60"/>
        <v>7</v>
      </c>
      <c r="G258" s="73"/>
      <c r="H258" s="76"/>
      <c r="I258" s="173">
        <f t="shared" si="61"/>
        <v>30</v>
      </c>
      <c r="J258" s="468">
        <f t="shared" si="61"/>
        <v>1</v>
      </c>
      <c r="K258" s="469">
        <f t="shared" si="61"/>
        <v>1</v>
      </c>
      <c r="L258" s="469">
        <f t="shared" si="61"/>
        <v>1</v>
      </c>
      <c r="M258" s="469">
        <f t="shared" si="61"/>
        <v>1</v>
      </c>
      <c r="N258" s="470">
        <f t="shared" si="61"/>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35">
      <c r="A259" s="45"/>
      <c r="B259" s="54"/>
      <c r="C259" s="87">
        <f t="shared" si="59"/>
        <v>4</v>
      </c>
      <c r="D259" s="73"/>
      <c r="E259" s="70"/>
      <c r="F259" s="70">
        <f t="shared" si="60"/>
        <v>7</v>
      </c>
      <c r="G259" s="73"/>
      <c r="H259" s="76"/>
      <c r="I259" s="173">
        <f t="shared" si="61"/>
        <v>30</v>
      </c>
      <c r="J259" s="468">
        <f t="shared" si="61"/>
        <v>1</v>
      </c>
      <c r="K259" s="469">
        <f t="shared" si="61"/>
        <v>1</v>
      </c>
      <c r="L259" s="469">
        <f t="shared" si="61"/>
        <v>1</v>
      </c>
      <c r="M259" s="469">
        <f t="shared" si="61"/>
        <v>1</v>
      </c>
      <c r="N259" s="470">
        <f t="shared" si="61"/>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35">
      <c r="A260" s="45"/>
      <c r="B260" s="54"/>
      <c r="C260" s="87">
        <f t="shared" si="59"/>
        <v>4</v>
      </c>
      <c r="D260" s="73"/>
      <c r="E260" s="70"/>
      <c r="F260" s="70">
        <f t="shared" si="60"/>
        <v>7</v>
      </c>
      <c r="G260" s="73"/>
      <c r="H260" s="76"/>
      <c r="I260" s="173">
        <f t="shared" si="61"/>
        <v>30</v>
      </c>
      <c r="J260" s="465">
        <f t="shared" si="61"/>
        <v>1</v>
      </c>
      <c r="K260" s="466">
        <f t="shared" si="61"/>
        <v>1</v>
      </c>
      <c r="L260" s="466">
        <f t="shared" si="61"/>
        <v>1</v>
      </c>
      <c r="M260" s="466">
        <f t="shared" si="61"/>
        <v>1</v>
      </c>
      <c r="N260" s="467">
        <f t="shared" si="61"/>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35">
      <c r="A261" s="45"/>
      <c r="B261" s="54"/>
      <c r="C261" s="87">
        <f t="shared" si="59"/>
        <v>4</v>
      </c>
      <c r="D261" s="73"/>
      <c r="E261" s="70"/>
      <c r="F261" s="70">
        <f t="shared" si="60"/>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35">
      <c r="A274" s="45"/>
      <c r="B274" s="54"/>
      <c r="C274" s="87">
        <f>INT($C$167)+3</f>
        <v>4</v>
      </c>
      <c r="D274" s="73"/>
      <c r="E274" s="70"/>
      <c r="F274" s="70"/>
      <c r="G274" s="73"/>
      <c r="H274" s="181" t="s">
        <v>281</v>
      </c>
      <c r="I274" s="182" t="s">
        <v>276</v>
      </c>
      <c r="J274" s="183">
        <v>0.15</v>
      </c>
      <c r="K274" s="183">
        <v>0.17</v>
      </c>
      <c r="L274" s="183">
        <v>0.19</v>
      </c>
      <c r="M274" s="183">
        <v>0.21</v>
      </c>
      <c r="N274" s="183">
        <v>0.23</v>
      </c>
      <c r="O274" s="183">
        <v>0.25</v>
      </c>
      <c r="P274" s="183">
        <v>0.27</v>
      </c>
      <c r="Q274" s="183">
        <v>0.28999999999999998</v>
      </c>
      <c r="R274" s="183">
        <v>0</v>
      </c>
      <c r="S274" s="183">
        <v>0</v>
      </c>
      <c r="T274" s="183">
        <v>0.05</v>
      </c>
      <c r="U274" s="183">
        <v>0.1</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35">
      <c r="A305" s="45"/>
      <c r="B305" s="54"/>
      <c r="C305" s="87">
        <f t="shared" ref="C305:C313" si="62">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35">
      <c r="A306" s="45"/>
      <c r="B306" s="54"/>
      <c r="C306" s="87">
        <f t="shared" si="62"/>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35">
      <c r="A307" s="45"/>
      <c r="B307" s="54"/>
      <c r="C307" s="87">
        <f t="shared" si="62"/>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35">
      <c r="A308" s="45"/>
      <c r="B308" s="54"/>
      <c r="C308" s="87">
        <f t="shared" si="62"/>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35">
      <c r="A309" s="45"/>
      <c r="B309" s="54"/>
      <c r="C309" s="87">
        <f t="shared" si="62"/>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35">
      <c r="A310" s="45"/>
      <c r="B310" s="54"/>
      <c r="C310" s="87">
        <f t="shared" si="62"/>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35">
      <c r="A311" s="45"/>
      <c r="B311" s="54"/>
      <c r="C311" s="87">
        <f t="shared" si="62"/>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35">
      <c r="A312" s="45"/>
      <c r="B312" s="54"/>
      <c r="C312" s="87">
        <f t="shared" si="62"/>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35">
      <c r="A313" s="45"/>
      <c r="B313" s="54"/>
      <c r="C313" s="87">
        <f t="shared" si="62"/>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3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2" outlineLevel="3" x14ac:dyDescent="0.35">
      <c r="A317" s="45"/>
      <c r="B317" s="54"/>
      <c r="C317" s="87">
        <f t="shared" ref="C317:C322" si="63">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35">
      <c r="A318" s="45"/>
      <c r="B318" s="54"/>
      <c r="C318" s="87">
        <f t="shared" si="63"/>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35">
      <c r="A319" s="45"/>
      <c r="B319" s="54"/>
      <c r="C319" s="87">
        <f t="shared" si="63"/>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35">
      <c r="A320" s="45"/>
      <c r="B320" s="54"/>
      <c r="C320" s="87">
        <f t="shared" si="63"/>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35">
      <c r="A321" s="45"/>
      <c r="B321" s="54"/>
      <c r="C321" s="87">
        <f t="shared" si="63"/>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35">
      <c r="A322" s="45"/>
      <c r="B322" s="54"/>
      <c r="C322" s="87">
        <f t="shared" si="63"/>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1" outlineLevel="2" x14ac:dyDescent="0.3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3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35">
      <c r="A330" s="45"/>
      <c r="B330" s="54"/>
      <c r="C330" s="87">
        <f t="shared" ref="C330:C336" si="64">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35">
      <c r="A331" s="45"/>
      <c r="B331" s="54"/>
      <c r="C331" s="87">
        <f t="shared" si="64"/>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35">
      <c r="A332" s="45"/>
      <c r="B332" s="54"/>
      <c r="C332" s="87">
        <f t="shared" si="64"/>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35">
      <c r="A333" s="45"/>
      <c r="B333" s="54"/>
      <c r="C333" s="87">
        <f t="shared" si="64"/>
        <v>4</v>
      </c>
      <c r="D333" s="73"/>
      <c r="E333" s="70"/>
      <c r="F333" s="70"/>
      <c r="G333" s="73"/>
      <c r="H333" s="76"/>
      <c r="I333" s="76"/>
      <c r="J333" s="76"/>
      <c r="K333" s="76"/>
      <c r="L333" s="76"/>
      <c r="M333" s="76"/>
      <c r="N333" s="76"/>
      <c r="O333" s="76"/>
      <c r="P333" s="76"/>
      <c r="Q333" s="76"/>
      <c r="R333" s="76"/>
      <c r="S333" s="76"/>
      <c r="T333" s="96" t="str">
        <f t="shared" ref="T333:AG333" si="65">INDEX($H$306:$H$314,T332+1,1)</f>
        <v>LW</v>
      </c>
      <c r="U333" s="96" t="str">
        <f t="shared" si="65"/>
        <v>LW</v>
      </c>
      <c r="V333" s="96" t="str">
        <f t="shared" si="65"/>
        <v>head</v>
      </c>
      <c r="W333" s="96" t="str">
        <f t="shared" si="65"/>
        <v>head</v>
      </c>
      <c r="X333" s="96" t="str">
        <f t="shared" si="65"/>
        <v>head</v>
      </c>
      <c r="Y333" s="96" t="str">
        <f t="shared" si="65"/>
        <v>head</v>
      </c>
      <c r="Z333" s="96" t="str">
        <f t="shared" si="65"/>
        <v>head</v>
      </c>
      <c r="AA333" s="96" t="str">
        <f t="shared" si="65"/>
        <v>nyatf</v>
      </c>
      <c r="AB333" s="96" t="str">
        <f t="shared" si="65"/>
        <v>nyatf</v>
      </c>
      <c r="AC333" s="96" t="str">
        <f t="shared" si="65"/>
        <v>head</v>
      </c>
      <c r="AD333" s="96" t="str">
        <f t="shared" si="65"/>
        <v>head</v>
      </c>
      <c r="AE333" s="96" t="str">
        <f t="shared" si="65"/>
        <v>head</v>
      </c>
      <c r="AF333" s="96" t="str">
        <f t="shared" si="65"/>
        <v>CFW</v>
      </c>
      <c r="AG333" s="96" t="str">
        <f t="shared" si="65"/>
        <v>mob</v>
      </c>
      <c r="AH333" s="96"/>
      <c r="AI333" s="96"/>
      <c r="AJ333" s="96"/>
      <c r="AK333" s="96"/>
      <c r="AL333" s="96"/>
      <c r="AM333" s="96"/>
      <c r="AN333" s="73"/>
      <c r="AO333" s="57"/>
      <c r="AP333" s="45"/>
      <c r="AQ333" s="45"/>
      <c r="AR333" s="45"/>
      <c r="AS333" s="441"/>
      <c r="AT333" s="441"/>
    </row>
    <row r="334" spans="1:46" outlineLevel="3" x14ac:dyDescent="0.35">
      <c r="A334" s="45"/>
      <c r="B334" s="54"/>
      <c r="C334" s="87">
        <f t="shared" si="64"/>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35">
      <c r="A335" s="45"/>
      <c r="B335" s="54"/>
      <c r="C335" s="87">
        <f t="shared" si="64"/>
        <v>4</v>
      </c>
      <c r="D335" s="73"/>
      <c r="E335" s="70"/>
      <c r="F335" s="70"/>
      <c r="G335" s="73"/>
      <c r="H335" s="76" t="s">
        <v>344</v>
      </c>
      <c r="I335" s="76"/>
      <c r="J335" s="76"/>
      <c r="K335" s="76"/>
      <c r="L335" s="76"/>
      <c r="M335" s="76"/>
      <c r="N335" s="76"/>
      <c r="O335" s="76"/>
      <c r="P335" s="76"/>
      <c r="Q335" s="76"/>
      <c r="R335" s="76"/>
      <c r="S335" s="76"/>
      <c r="T335" s="193">
        <f t="shared" ref="T335:AF335" si="66">T$331*T$334</f>
        <v>7.909090909090909E-3</v>
      </c>
      <c r="U335" s="193">
        <f t="shared" si="66"/>
        <v>1.0454545454545452E-2</v>
      </c>
      <c r="V335" s="193">
        <f t="shared" si="66"/>
        <v>0.4</v>
      </c>
      <c r="W335" s="193">
        <f t="shared" si="66"/>
        <v>0.4</v>
      </c>
      <c r="X335" s="193">
        <f t="shared" si="66"/>
        <v>0.68909090909090898</v>
      </c>
      <c r="Y335" s="193">
        <f t="shared" si="66"/>
        <v>2.56</v>
      </c>
      <c r="Z335" s="193">
        <f t="shared" si="66"/>
        <v>0.40454545454545454</v>
      </c>
      <c r="AA335" s="193">
        <f t="shared" si="66"/>
        <v>4.9090909090909095E-2</v>
      </c>
      <c r="AB335" s="193">
        <f t="shared" si="66"/>
        <v>1.9454545454545453</v>
      </c>
      <c r="AC335" s="193">
        <f t="shared" si="66"/>
        <v>0.97424999999999995</v>
      </c>
      <c r="AD335" s="193">
        <f t="shared" si="66"/>
        <v>0.625</v>
      </c>
      <c r="AE335" s="193">
        <f t="shared" si="66"/>
        <v>0</v>
      </c>
      <c r="AF335" s="193">
        <f t="shared" si="66"/>
        <v>5.6451612903225812E-2</v>
      </c>
      <c r="AG335" s="193">
        <f>AG331</f>
        <v>14.2</v>
      </c>
      <c r="AH335" s="193"/>
      <c r="AI335" s="193"/>
      <c r="AJ335" s="193"/>
      <c r="AK335" s="193"/>
      <c r="AL335" s="193"/>
      <c r="AM335" s="193"/>
      <c r="AN335" s="73"/>
      <c r="AO335" s="57"/>
      <c r="AP335" s="45"/>
      <c r="AQ335" s="45"/>
      <c r="AR335" s="45"/>
      <c r="AS335" s="441"/>
      <c r="AT335" s="441"/>
    </row>
    <row r="336" spans="1:46" ht="31.5" outlineLevel="3" x14ac:dyDescent="0.35">
      <c r="A336" s="45"/>
      <c r="B336" s="54"/>
      <c r="C336" s="87">
        <f t="shared" si="64"/>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7">IF(T$327&lt;&gt;"",T$327,T$326)</f>
        <v>Triguard</v>
      </c>
      <c r="U342" s="196" t="str">
        <f t="shared" si="67"/>
        <v>Q Drench</v>
      </c>
      <c r="V342" s="196" t="str">
        <f t="shared" si="67"/>
        <v>Se bullet</v>
      </c>
      <c r="W342" s="196" t="str">
        <f t="shared" si="67"/>
        <v>Co bullet</v>
      </c>
      <c r="X342" s="196" t="str">
        <f t="shared" si="67"/>
        <v>Glanvac 6S</v>
      </c>
      <c r="Y342" s="196" t="str">
        <f t="shared" si="67"/>
        <v>Gudair</v>
      </c>
      <c r="Z342" s="196" t="str">
        <f t="shared" si="67"/>
        <v>Sidney SP</v>
      </c>
      <c r="AA342" s="196" t="str">
        <f t="shared" si="67"/>
        <v>Rings</v>
      </c>
      <c r="AB342" s="196" t="str">
        <f t="shared" si="67"/>
        <v>Meloxicam</v>
      </c>
      <c r="AC342" s="196" t="str">
        <f t="shared" si="67"/>
        <v>Click</v>
      </c>
      <c r="AD342" s="196" t="str">
        <f t="shared" si="67"/>
        <v>Vetrazin</v>
      </c>
      <c r="AE342" s="196" t="str">
        <f t="shared" si="67"/>
        <v>Footrot treatment</v>
      </c>
      <c r="AF342" s="196" t="str">
        <f t="shared" si="67"/>
        <v>Wool packs</v>
      </c>
      <c r="AG342" s="196" t="str">
        <f t="shared" si="67"/>
        <v>Diesel</v>
      </c>
      <c r="AH342" s="196"/>
      <c r="AI342" s="196"/>
      <c r="AJ342" s="196"/>
      <c r="AK342" s="196"/>
      <c r="AL342" s="196"/>
      <c r="AM342" s="196"/>
      <c r="AN342" s="73"/>
      <c r="AO342" s="57"/>
      <c r="AP342" s="45"/>
      <c r="AQ342" s="45"/>
      <c r="AR342" s="45"/>
      <c r="AS342" s="441"/>
      <c r="AT342" s="441"/>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68">T333</f>
        <v>LW</v>
      </c>
      <c r="U343" s="166" t="str">
        <f t="shared" si="68"/>
        <v>LW</v>
      </c>
      <c r="V343" s="166" t="str">
        <f t="shared" si="68"/>
        <v>head</v>
      </c>
      <c r="W343" s="166" t="str">
        <f t="shared" si="68"/>
        <v>head</v>
      </c>
      <c r="X343" s="166" t="str">
        <f t="shared" si="68"/>
        <v>head</v>
      </c>
      <c r="Y343" s="166" t="str">
        <f t="shared" si="68"/>
        <v>head</v>
      </c>
      <c r="Z343" s="166" t="str">
        <f t="shared" si="68"/>
        <v>head</v>
      </c>
      <c r="AA343" s="166" t="str">
        <f t="shared" si="68"/>
        <v>nyatf</v>
      </c>
      <c r="AB343" s="166" t="str">
        <f t="shared" si="68"/>
        <v>nyatf</v>
      </c>
      <c r="AC343" s="166" t="str">
        <f t="shared" si="68"/>
        <v>head</v>
      </c>
      <c r="AD343" s="166" t="str">
        <f t="shared" si="68"/>
        <v>head</v>
      </c>
      <c r="AE343" s="166" t="str">
        <f t="shared" si="68"/>
        <v>head</v>
      </c>
      <c r="AF343" s="166" t="str">
        <f t="shared" si="68"/>
        <v>CFW</v>
      </c>
      <c r="AG343" s="166" t="str">
        <f t="shared" si="68"/>
        <v>mob</v>
      </c>
      <c r="AH343" s="475"/>
      <c r="AI343" s="475"/>
      <c r="AJ343" s="475"/>
      <c r="AK343" s="475"/>
      <c r="AL343" s="475"/>
      <c r="AM343" s="475"/>
      <c r="AN343" s="73"/>
      <c r="AO343" s="57"/>
      <c r="AP343" s="45"/>
      <c r="AQ343" s="45"/>
      <c r="AR343" s="45"/>
      <c r="AS343" s="441"/>
      <c r="AT343" s="441"/>
    </row>
    <row r="344" spans="1:46" outlineLevel="3" x14ac:dyDescent="0.35">
      <c r="A344" s="45"/>
      <c r="B344" s="54"/>
      <c r="C344" s="87">
        <f t="shared" ref="C344:C370" si="69">INT($C$293+3)</f>
        <v>4</v>
      </c>
      <c r="D344" s="73"/>
      <c r="E344" s="70"/>
      <c r="F344" s="70"/>
      <c r="G344" s="73"/>
      <c r="H344" s="105" t="s">
        <v>369</v>
      </c>
      <c r="I344" s="99">
        <v>1</v>
      </c>
      <c r="J344" s="177" t="str">
        <f t="shared" ref="J344:J370" si="70">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35">
      <c r="A345" s="45"/>
      <c r="B345" s="54"/>
      <c r="C345" s="87">
        <f t="shared" si="69"/>
        <v>4</v>
      </c>
      <c r="D345" s="73"/>
      <c r="E345" s="70"/>
      <c r="F345" s="70"/>
      <c r="G345" s="73"/>
      <c r="H345" s="76" t="s">
        <v>370</v>
      </c>
      <c r="I345" s="99">
        <v>1</v>
      </c>
      <c r="J345" s="96" t="str">
        <f t="shared" si="70"/>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35">
      <c r="A346" s="45"/>
      <c r="B346" s="54"/>
      <c r="C346" s="87">
        <f t="shared" si="69"/>
        <v>4</v>
      </c>
      <c r="D346" s="73"/>
      <c r="E346" s="70"/>
      <c r="F346" s="70"/>
      <c r="G346" s="73"/>
      <c r="H346" s="76" t="s">
        <v>371</v>
      </c>
      <c r="I346" s="99">
        <v>0</v>
      </c>
      <c r="J346" s="96" t="str">
        <f t="shared" si="70"/>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35">
      <c r="A347" s="45"/>
      <c r="B347" s="54"/>
      <c r="C347" s="87">
        <f t="shared" si="69"/>
        <v>4</v>
      </c>
      <c r="D347" s="73"/>
      <c r="E347" s="70"/>
      <c r="F347" s="70"/>
      <c r="G347" s="73"/>
      <c r="H347" s="76" t="s">
        <v>372</v>
      </c>
      <c r="I347" s="99">
        <v>1</v>
      </c>
      <c r="J347" s="96" t="str">
        <f t="shared" si="70"/>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35">
      <c r="A348" s="45"/>
      <c r="B348" s="54"/>
      <c r="C348" s="87">
        <f t="shared" si="69"/>
        <v>4</v>
      </c>
      <c r="D348" s="73"/>
      <c r="E348" s="70"/>
      <c r="F348" s="70"/>
      <c r="G348" s="73"/>
      <c r="H348" s="76" t="s">
        <v>373</v>
      </c>
      <c r="I348" s="99">
        <v>1</v>
      </c>
      <c r="J348" s="96" t="str">
        <f t="shared" si="70"/>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35">
      <c r="A349" s="45"/>
      <c r="B349" s="54"/>
      <c r="C349" s="87">
        <f t="shared" si="69"/>
        <v>4</v>
      </c>
      <c r="D349" s="73"/>
      <c r="E349" s="70"/>
      <c r="F349" s="70"/>
      <c r="G349" s="73"/>
      <c r="H349" s="76" t="s">
        <v>374</v>
      </c>
      <c r="I349" s="99">
        <v>1</v>
      </c>
      <c r="J349" s="96" t="str">
        <f t="shared" si="70"/>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35">
      <c r="A350" s="45"/>
      <c r="B350" s="54"/>
      <c r="C350" s="87">
        <f t="shared" si="69"/>
        <v>4</v>
      </c>
      <c r="D350" s="73"/>
      <c r="E350" s="70"/>
      <c r="F350" s="70"/>
      <c r="G350" s="73"/>
      <c r="H350" s="76" t="s">
        <v>375</v>
      </c>
      <c r="I350" s="99">
        <v>0</v>
      </c>
      <c r="J350" s="96" t="str">
        <f t="shared" si="70"/>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35">
      <c r="A351" s="45"/>
      <c r="B351" s="54"/>
      <c r="C351" s="87">
        <f t="shared" si="69"/>
        <v>4</v>
      </c>
      <c r="D351" s="73"/>
      <c r="E351" s="70"/>
      <c r="F351" s="70"/>
      <c r="G351" s="73"/>
      <c r="H351" s="76" t="s">
        <v>376</v>
      </c>
      <c r="I351" s="99">
        <v>0</v>
      </c>
      <c r="J351" s="96" t="str">
        <f t="shared" si="70"/>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35">
      <c r="A352" s="45"/>
      <c r="B352" s="54"/>
      <c r="C352" s="87">
        <f t="shared" si="69"/>
        <v>4</v>
      </c>
      <c r="D352" s="73"/>
      <c r="E352" s="70"/>
      <c r="F352" s="70"/>
      <c r="G352" s="73"/>
      <c r="H352" s="76" t="s">
        <v>377</v>
      </c>
      <c r="I352" s="99">
        <v>0</v>
      </c>
      <c r="J352" s="96" t="str">
        <f t="shared" si="70"/>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35">
      <c r="A353" s="45"/>
      <c r="B353" s="54"/>
      <c r="C353" s="87">
        <f t="shared" si="69"/>
        <v>4</v>
      </c>
      <c r="D353" s="73"/>
      <c r="E353" s="70"/>
      <c r="F353" s="70"/>
      <c r="G353" s="73"/>
      <c r="H353" s="76" t="s">
        <v>378</v>
      </c>
      <c r="I353" s="99">
        <v>0</v>
      </c>
      <c r="J353" s="96" t="str">
        <f t="shared" si="70"/>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35">
      <c r="A354" s="45"/>
      <c r="B354" s="54"/>
      <c r="C354" s="87">
        <f t="shared" si="69"/>
        <v>4</v>
      </c>
      <c r="D354" s="73"/>
      <c r="E354" s="70"/>
      <c r="F354" s="70"/>
      <c r="G354" s="73"/>
      <c r="H354" s="76" t="s">
        <v>379</v>
      </c>
      <c r="I354" s="99">
        <v>0</v>
      </c>
      <c r="J354" s="96" t="str">
        <f t="shared" si="70"/>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35">
      <c r="A355" s="45"/>
      <c r="B355" s="54"/>
      <c r="C355" s="87">
        <f t="shared" si="69"/>
        <v>4</v>
      </c>
      <c r="D355" s="73"/>
      <c r="E355" s="70"/>
      <c r="F355" s="70"/>
      <c r="G355" s="73"/>
      <c r="H355" s="76" t="s">
        <v>380</v>
      </c>
      <c r="I355" s="99">
        <v>0</v>
      </c>
      <c r="J355" s="96" t="str">
        <f t="shared" si="70"/>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35">
      <c r="A356" s="45"/>
      <c r="B356" s="54"/>
      <c r="C356" s="87">
        <f t="shared" si="69"/>
        <v>4</v>
      </c>
      <c r="D356" s="73"/>
      <c r="E356" s="70"/>
      <c r="F356" s="70"/>
      <c r="G356" s="73"/>
      <c r="H356" s="76" t="s">
        <v>381</v>
      </c>
      <c r="I356" s="99">
        <v>0</v>
      </c>
      <c r="J356" s="96" t="str">
        <f t="shared" si="70"/>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35">
      <c r="A357" s="45"/>
      <c r="B357" s="54"/>
      <c r="C357" s="87">
        <f t="shared" si="69"/>
        <v>4</v>
      </c>
      <c r="D357" s="73"/>
      <c r="E357" s="70"/>
      <c r="F357" s="70"/>
      <c r="G357" s="73"/>
      <c r="H357" s="76" t="s">
        <v>382</v>
      </c>
      <c r="I357" s="99">
        <v>0</v>
      </c>
      <c r="J357" s="96" t="str">
        <f t="shared" si="70"/>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35">
      <c r="A358" s="45"/>
      <c r="B358" s="54"/>
      <c r="C358" s="87">
        <f t="shared" si="69"/>
        <v>4</v>
      </c>
      <c r="D358" s="73"/>
      <c r="E358" s="70"/>
      <c r="F358" s="70"/>
      <c r="G358" s="73"/>
      <c r="H358" s="76" t="s">
        <v>383</v>
      </c>
      <c r="I358" s="99">
        <v>5</v>
      </c>
      <c r="J358" s="96" t="str">
        <f t="shared" si="70"/>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35">
      <c r="A359" s="45"/>
      <c r="B359" s="54"/>
      <c r="C359" s="87">
        <f t="shared" si="69"/>
        <v>4</v>
      </c>
      <c r="D359" s="73"/>
      <c r="E359" s="70"/>
      <c r="F359" s="70"/>
      <c r="G359" s="73"/>
      <c r="H359" s="76" t="s">
        <v>384</v>
      </c>
      <c r="I359" s="99">
        <v>5</v>
      </c>
      <c r="J359" s="96" t="str">
        <f t="shared" si="70"/>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35">
      <c r="A360" s="45"/>
      <c r="B360" s="54"/>
      <c r="C360" s="87">
        <f t="shared" si="69"/>
        <v>4</v>
      </c>
      <c r="D360" s="73"/>
      <c r="E360" s="70"/>
      <c r="F360" s="70"/>
      <c r="G360" s="73"/>
      <c r="H360" s="76" t="s">
        <v>385</v>
      </c>
      <c r="I360" s="99">
        <v>0</v>
      </c>
      <c r="J360" s="96" t="str">
        <f t="shared" si="70"/>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35">
      <c r="A361" s="45"/>
      <c r="B361" s="54"/>
      <c r="C361" s="87">
        <f t="shared" si="69"/>
        <v>4</v>
      </c>
      <c r="D361" s="73"/>
      <c r="E361" s="70"/>
      <c r="F361" s="70"/>
      <c r="G361" s="73"/>
      <c r="H361" s="76" t="s">
        <v>386</v>
      </c>
      <c r="I361" s="99">
        <v>0</v>
      </c>
      <c r="J361" s="96" t="str">
        <f t="shared" si="70"/>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35">
      <c r="A362" s="45"/>
      <c r="B362" s="54"/>
      <c r="C362" s="87">
        <f t="shared" si="69"/>
        <v>4</v>
      </c>
      <c r="D362" s="73"/>
      <c r="E362" s="70"/>
      <c r="F362" s="70"/>
      <c r="G362" s="73"/>
      <c r="H362" s="76" t="s">
        <v>387</v>
      </c>
      <c r="I362" s="99">
        <v>0</v>
      </c>
      <c r="J362" s="96" t="str">
        <f t="shared" si="70"/>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35">
      <c r="A363" s="45"/>
      <c r="B363" s="54"/>
      <c r="C363" s="87">
        <f t="shared" si="69"/>
        <v>4</v>
      </c>
      <c r="D363" s="73"/>
      <c r="E363" s="70"/>
      <c r="F363" s="70"/>
      <c r="G363" s="73"/>
      <c r="H363" s="76" t="s">
        <v>388</v>
      </c>
      <c r="I363" s="99">
        <v>1</v>
      </c>
      <c r="J363" s="96" t="str">
        <f t="shared" si="70"/>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35">
      <c r="A364" s="45"/>
      <c r="B364" s="54"/>
      <c r="C364" s="87">
        <f t="shared" si="69"/>
        <v>4</v>
      </c>
      <c r="D364" s="73"/>
      <c r="E364" s="70"/>
      <c r="F364" s="70"/>
      <c r="G364" s="73"/>
      <c r="H364" s="76" t="s">
        <v>389</v>
      </c>
      <c r="I364" s="99">
        <v>1</v>
      </c>
      <c r="J364" s="96" t="str">
        <f t="shared" si="70"/>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35">
      <c r="A365" s="45"/>
      <c r="B365" s="54"/>
      <c r="C365" s="87">
        <f t="shared" si="69"/>
        <v>4</v>
      </c>
      <c r="D365" s="73"/>
      <c r="E365" s="70"/>
      <c r="F365" s="70"/>
      <c r="G365" s="73"/>
      <c r="H365" s="76" t="s">
        <v>390</v>
      </c>
      <c r="I365" s="99">
        <v>0</v>
      </c>
      <c r="J365" s="96" t="str">
        <f t="shared" si="70"/>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35">
      <c r="A366" s="45"/>
      <c r="B366" s="54"/>
      <c r="C366" s="87">
        <f t="shared" si="69"/>
        <v>4</v>
      </c>
      <c r="D366" s="73"/>
      <c r="E366" s="70"/>
      <c r="F366" s="70"/>
      <c r="G366" s="73"/>
      <c r="H366" s="76" t="s">
        <v>391</v>
      </c>
      <c r="I366" s="99">
        <v>1</v>
      </c>
      <c r="J366" s="96" t="str">
        <f t="shared" si="70"/>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35">
      <c r="A367" s="45"/>
      <c r="B367" s="54"/>
      <c r="C367" s="87">
        <f t="shared" si="69"/>
        <v>4</v>
      </c>
      <c r="D367" s="73"/>
      <c r="E367" s="70"/>
      <c r="F367" s="70"/>
      <c r="G367" s="73"/>
      <c r="H367" s="76" t="s">
        <v>392</v>
      </c>
      <c r="I367" s="99">
        <v>0</v>
      </c>
      <c r="J367" s="96" t="str">
        <f t="shared" si="70"/>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35">
      <c r="A368" s="45"/>
      <c r="B368" s="54"/>
      <c r="C368" s="87">
        <f t="shared" si="69"/>
        <v>4</v>
      </c>
      <c r="D368" s="73"/>
      <c r="E368" s="70"/>
      <c r="F368" s="70"/>
      <c r="G368" s="73"/>
      <c r="H368" s="76" t="s">
        <v>393</v>
      </c>
      <c r="I368" s="99">
        <v>2</v>
      </c>
      <c r="J368" s="96" t="str">
        <f t="shared" si="70"/>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35">
      <c r="A369" s="45"/>
      <c r="B369" s="54"/>
      <c r="C369" s="87">
        <f t="shared" si="69"/>
        <v>4</v>
      </c>
      <c r="D369" s="73"/>
      <c r="E369" s="70"/>
      <c r="F369" s="70"/>
      <c r="G369" s="73"/>
      <c r="H369" s="76" t="s">
        <v>2352</v>
      </c>
      <c r="I369" s="99">
        <v>2</v>
      </c>
      <c r="J369" s="96" t="str">
        <f t="shared" si="70"/>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35">
      <c r="A370" s="45"/>
      <c r="B370" s="54"/>
      <c r="C370" s="87">
        <f t="shared" si="69"/>
        <v>4</v>
      </c>
      <c r="D370" s="73"/>
      <c r="E370" s="70"/>
      <c r="F370" s="70"/>
      <c r="G370" s="73"/>
      <c r="H370" s="76" t="s">
        <v>2353</v>
      </c>
      <c r="I370" s="99">
        <v>2</v>
      </c>
      <c r="J370" s="96" t="str">
        <f t="shared" si="70"/>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3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3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3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3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3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35">
      <c r="A403" s="45"/>
      <c r="B403" s="54"/>
      <c r="C403" s="87">
        <f t="shared" ref="C403:C421" si="71">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35">
      <c r="A404" s="45"/>
      <c r="B404" s="54"/>
      <c r="C404" s="87">
        <f t="shared" si="71"/>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35">
      <c r="A405" s="45"/>
      <c r="B405" s="54"/>
      <c r="C405" s="87">
        <f t="shared" si="71"/>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35">
      <c r="A406" s="45"/>
      <c r="B406" s="54"/>
      <c r="C406" s="87">
        <f t="shared" si="71"/>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35">
      <c r="A407" s="45"/>
      <c r="B407" s="54"/>
      <c r="C407" s="87">
        <f t="shared" si="71"/>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35">
      <c r="A408" s="45"/>
      <c r="B408" s="54"/>
      <c r="C408" s="87">
        <f t="shared" si="71"/>
        <v>4</v>
      </c>
      <c r="D408" s="73"/>
      <c r="E408" s="70"/>
      <c r="F408" s="70"/>
      <c r="G408" s="73"/>
      <c r="H408" s="284" t="s">
        <v>3279</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35">
      <c r="A409" s="45"/>
      <c r="B409" s="54"/>
      <c r="C409" s="87">
        <f t="shared" si="71"/>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35">
      <c r="A410" s="45"/>
      <c r="B410" s="54"/>
      <c r="C410" s="87">
        <f t="shared" si="71"/>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35">
      <c r="A411" s="45"/>
      <c r="B411" s="54"/>
      <c r="C411" s="87">
        <f t="shared" si="71"/>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35">
      <c r="A412" s="45"/>
      <c r="B412" s="54"/>
      <c r="C412" s="87">
        <f t="shared" si="71"/>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35">
      <c r="A413" s="45"/>
      <c r="B413" s="54"/>
      <c r="C413" s="87">
        <f t="shared" si="71"/>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35">
      <c r="A414" s="45"/>
      <c r="B414" s="54"/>
      <c r="C414" s="87">
        <f t="shared" si="71"/>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35">
      <c r="A415" s="45"/>
      <c r="B415" s="54"/>
      <c r="C415" s="87">
        <f t="shared" si="71"/>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35">
      <c r="A416" s="45"/>
      <c r="B416" s="54"/>
      <c r="C416" s="87">
        <f t="shared" si="71"/>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35">
      <c r="A417" s="45"/>
      <c r="B417" s="54"/>
      <c r="C417" s="87">
        <f t="shared" si="71"/>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35">
      <c r="A418" s="45"/>
      <c r="B418" s="54"/>
      <c r="C418" s="87">
        <f t="shared" si="71"/>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35">
      <c r="A419" s="45"/>
      <c r="B419" s="54"/>
      <c r="C419" s="87">
        <f t="shared" si="71"/>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35">
      <c r="A420" s="45"/>
      <c r="B420" s="54"/>
      <c r="C420" s="87">
        <f t="shared" si="71"/>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35">
      <c r="A421" s="45"/>
      <c r="B421" s="54"/>
      <c r="C421" s="87">
        <f t="shared" si="71"/>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5"/>
  <sheetViews>
    <sheetView topLeftCell="A71" workbookViewId="0">
      <selection activeCell="A74" sqref="A74:XFD74"/>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2911</v>
      </c>
      <c r="J33" s="24"/>
      <c r="L33" s="47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5" t="s">
        <v>3006</v>
      </c>
      <c r="J37" s="24"/>
      <c r="L37" s="384">
        <v>2E-3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4" t="s">
        <v>3020</v>
      </c>
      <c r="J40" s="24"/>
      <c r="L40" s="384">
        <v>0.01</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4" t="s">
        <v>3043</v>
      </c>
      <c r="J50" s="24"/>
      <c r="L50" s="384">
        <v>5.0000000000000001E-4</v>
      </c>
      <c r="M50" s="24"/>
      <c r="N50" s="24"/>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4" t="s">
        <v>3044</v>
      </c>
      <c r="J51" s="24"/>
      <c r="L51" s="384">
        <v>0.2</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4" t="s">
        <v>3045</v>
      </c>
      <c r="J52" s="24"/>
      <c r="L52" s="384">
        <v>0.12</v>
      </c>
      <c r="M52" s="24"/>
      <c r="N52" s="24"/>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4" t="s">
        <v>3046</v>
      </c>
      <c r="J53" s="24"/>
      <c r="L53" s="384">
        <v>0.13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8"/>
      <c r="H54" s="28"/>
      <c r="I54" s="31"/>
      <c r="J54" s="32"/>
      <c r="K54" s="32"/>
      <c r="L54" s="32"/>
      <c r="M54" s="32"/>
      <c r="N54" s="32"/>
      <c r="O54" s="32"/>
      <c r="P54" s="32"/>
      <c r="Q54" s="30"/>
      <c r="R54" s="30"/>
      <c r="S54" s="30"/>
      <c r="T54" s="30"/>
      <c r="U54" s="30"/>
      <c r="V54" s="30"/>
      <c r="W54" s="30"/>
      <c r="X54" s="30"/>
      <c r="Y54" s="27"/>
      <c r="Z54" s="27"/>
      <c r="AA54" s="27"/>
      <c r="AB54" s="27"/>
      <c r="AC54" s="27"/>
      <c r="AD54" s="27"/>
      <c r="AE54" s="17"/>
      <c r="AF54" s="9"/>
      <c r="AG54" s="9"/>
      <c r="AH54" s="9"/>
    </row>
    <row r="55" spans="1:34" ht="5.15" customHeight="1" x14ac:dyDescent="0.35">
      <c r="A55" s="7"/>
      <c r="B55" s="8"/>
      <c r="C55" s="18"/>
      <c r="D55" s="18"/>
      <c r="E55" s="18"/>
      <c r="F55" s="33"/>
      <c r="G55" s="34"/>
      <c r="H55" s="34"/>
      <c r="I55" s="34"/>
      <c r="J55" s="35"/>
      <c r="K55" s="35"/>
      <c r="L55" s="35"/>
      <c r="M55" s="35"/>
      <c r="N55" s="35"/>
      <c r="O55" s="35"/>
      <c r="P55" s="35"/>
      <c r="Q55" s="35"/>
      <c r="R55" s="35"/>
      <c r="S55" s="35"/>
      <c r="T55" s="35"/>
      <c r="U55" s="35"/>
      <c r="V55" s="35"/>
      <c r="W55" s="35"/>
      <c r="X55" s="35"/>
      <c r="Y55" s="27"/>
      <c r="Z55" s="27"/>
      <c r="AA55" s="27"/>
      <c r="AB55" s="27"/>
      <c r="AC55" s="27"/>
      <c r="AD55" s="27"/>
      <c r="AE55" s="17"/>
      <c r="AF55" s="9"/>
      <c r="AG55" s="9"/>
      <c r="AH55" s="9"/>
    </row>
    <row r="56" spans="1:34" ht="25" customHeight="1" x14ac:dyDescent="0.35">
      <c r="A56" s="7"/>
      <c r="B56" s="8"/>
      <c r="C56" s="36"/>
      <c r="D56" s="36"/>
      <c r="E56" s="36"/>
      <c r="F56" s="36"/>
      <c r="G56" s="37" t="str">
        <f>G26</f>
        <v>Emission Factors - National Inventory Report (NIR)</v>
      </c>
      <c r="H56" s="36"/>
      <c r="I56" s="36"/>
      <c r="J56" s="36"/>
      <c r="K56" s="36"/>
      <c r="L56" s="36"/>
      <c r="M56" s="36"/>
      <c r="N56" s="36"/>
      <c r="O56" s="36"/>
      <c r="P56" s="36"/>
      <c r="Q56" s="36"/>
      <c r="R56" s="36"/>
      <c r="S56" s="36"/>
      <c r="T56" s="36"/>
      <c r="U56" s="36"/>
      <c r="V56" s="36"/>
      <c r="W56" s="36"/>
      <c r="X56" s="36"/>
      <c r="Y56" s="36"/>
      <c r="Z56" s="36"/>
      <c r="AA56" s="36"/>
      <c r="AB56" s="36"/>
      <c r="AC56" s="36"/>
      <c r="AD56" s="36"/>
      <c r="AE56" s="38" t="s">
        <v>91</v>
      </c>
      <c r="AF56" s="9"/>
      <c r="AG56" s="9"/>
      <c r="AH56" s="9"/>
    </row>
    <row r="57" spans="1:34" ht="12" customHeight="1" x14ac:dyDescent="0.35">
      <c r="A57" s="7"/>
      <c r="B57" s="8"/>
      <c r="C57" s="8"/>
      <c r="D57" s="8"/>
      <c r="E57" s="8"/>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row>
    <row r="58" spans="1:34" ht="12" customHeight="1" x14ac:dyDescent="0.35">
      <c r="A58" s="7"/>
      <c r="B58" s="8"/>
      <c r="C58" s="8"/>
      <c r="D58" s="8"/>
      <c r="E58" s="8"/>
      <c r="F58" s="8"/>
      <c r="G58" s="8"/>
      <c r="H58" s="9"/>
      <c r="I58" s="9"/>
      <c r="J58" s="9"/>
      <c r="K58" s="9"/>
      <c r="L58" s="9"/>
      <c r="M58" s="9"/>
      <c r="N58" s="9"/>
      <c r="O58" s="9"/>
      <c r="P58" s="9"/>
      <c r="Q58" s="9"/>
      <c r="R58" s="9"/>
      <c r="S58" s="9"/>
      <c r="T58" s="9"/>
      <c r="U58" s="9"/>
      <c r="V58" s="9"/>
      <c r="W58" s="9"/>
      <c r="X58" s="9"/>
      <c r="Y58" s="9"/>
      <c r="Z58" s="9"/>
      <c r="AA58" s="9"/>
      <c r="AB58" s="9"/>
      <c r="AC58" s="9"/>
      <c r="AD58" s="9"/>
      <c r="AE58" s="9"/>
      <c r="AF58" s="8"/>
      <c r="AG58" s="8"/>
      <c r="AH58" s="8"/>
    </row>
    <row r="59" spans="1:34" ht="5.15" customHeight="1" thickBot="1" x14ac:dyDescent="0.4">
      <c r="A59" s="7"/>
      <c r="B59" s="8"/>
      <c r="C59" s="8"/>
      <c r="D59" s="8"/>
      <c r="E59" s="8"/>
      <c r="F59" s="8"/>
      <c r="G59" s="8"/>
      <c r="H59" s="9"/>
      <c r="I59" s="9"/>
      <c r="J59" s="9"/>
      <c r="K59" s="9"/>
      <c r="L59" s="9"/>
      <c r="M59" s="9"/>
      <c r="N59" s="9"/>
      <c r="O59" s="9"/>
      <c r="P59" s="9"/>
      <c r="Q59" s="9"/>
      <c r="R59" s="9"/>
      <c r="S59" s="9"/>
      <c r="T59" s="9"/>
      <c r="U59" s="9"/>
      <c r="V59" s="9"/>
      <c r="W59" s="9"/>
      <c r="X59" s="9"/>
      <c r="Y59" s="9"/>
      <c r="Z59" s="9"/>
      <c r="AA59" s="9"/>
      <c r="AB59" s="9"/>
      <c r="AC59" s="9"/>
      <c r="AD59" s="9"/>
      <c r="AE59" s="9"/>
      <c r="AF59" s="8"/>
      <c r="AG59" s="8"/>
      <c r="AH59" s="8"/>
    </row>
    <row r="60" spans="1:34" ht="5.15" customHeight="1" x14ac:dyDescent="0.35">
      <c r="A60" s="7"/>
      <c r="B60" s="8"/>
      <c r="C60" s="10" t="s">
        <v>86</v>
      </c>
      <c r="D60" s="10"/>
      <c r="E60" s="10"/>
      <c r="F60" s="10"/>
      <c r="G60" s="10"/>
      <c r="H60" s="10"/>
      <c r="I60" s="10"/>
      <c r="J60" s="10"/>
      <c r="K60" s="10"/>
      <c r="L60" s="11"/>
      <c r="M60" s="11"/>
      <c r="N60" s="11"/>
      <c r="O60" s="11"/>
      <c r="P60" s="11"/>
      <c r="Q60" s="11"/>
      <c r="R60" s="11"/>
      <c r="S60" s="11"/>
      <c r="T60" s="11"/>
      <c r="U60" s="11"/>
      <c r="V60" s="11"/>
      <c r="W60" s="11"/>
      <c r="X60" s="11"/>
      <c r="Y60" s="11"/>
      <c r="Z60" s="11"/>
      <c r="AA60" s="11"/>
      <c r="AB60" s="11"/>
      <c r="AC60" s="11"/>
      <c r="AD60" s="11"/>
      <c r="AE60" s="12"/>
      <c r="AF60" s="9"/>
      <c r="AG60" s="9"/>
      <c r="AH60" s="9"/>
    </row>
    <row r="61" spans="1:34" ht="12" customHeight="1" x14ac:dyDescent="0.35">
      <c r="A61" s="7"/>
      <c r="B61" s="8"/>
      <c r="C61" s="13"/>
      <c r="D61" s="13"/>
      <c r="E61" s="13" t="s">
        <v>87</v>
      </c>
      <c r="F61" s="14"/>
      <c r="G61" s="15" t="s">
        <v>3028</v>
      </c>
      <c r="H61" s="14"/>
      <c r="I61" s="14"/>
      <c r="J61" s="14"/>
      <c r="K61" s="14"/>
      <c r="L61" s="14"/>
      <c r="M61" s="14"/>
      <c r="N61" s="14"/>
      <c r="O61" s="14"/>
      <c r="P61" s="14"/>
      <c r="Q61" s="14"/>
      <c r="R61" s="14"/>
      <c r="S61" s="14"/>
      <c r="T61" s="14"/>
      <c r="U61" s="14"/>
      <c r="V61" s="16"/>
      <c r="W61" s="14"/>
      <c r="X61" s="16"/>
      <c r="Y61" s="16"/>
      <c r="Z61" s="16"/>
      <c r="AA61" s="16"/>
      <c r="AB61" s="16"/>
      <c r="AC61" s="16"/>
      <c r="AD61" s="16"/>
      <c r="AE61" s="17"/>
      <c r="AF61" s="9"/>
      <c r="AG61" s="9"/>
      <c r="AH61" s="9"/>
    </row>
    <row r="62" spans="1:34" ht="12" customHeight="1" x14ac:dyDescent="0.35">
      <c r="A62" s="7"/>
      <c r="B62" s="8"/>
      <c r="C62" s="13"/>
      <c r="D62" s="13"/>
      <c r="E62" s="18"/>
      <c r="F62" s="14"/>
      <c r="G62" s="14"/>
      <c r="H62" s="14"/>
      <c r="I62" s="14"/>
      <c r="J62" s="14"/>
      <c r="K62" s="14"/>
      <c r="L62" s="14"/>
      <c r="M62" s="14"/>
      <c r="N62" s="14"/>
      <c r="O62" s="14"/>
      <c r="P62" s="14"/>
      <c r="Q62" s="14"/>
      <c r="R62" s="14"/>
      <c r="S62" s="14"/>
      <c r="T62" s="14"/>
      <c r="U62" s="14"/>
      <c r="V62" s="16"/>
      <c r="W62" s="19"/>
      <c r="X62" s="16"/>
      <c r="Y62" s="16"/>
      <c r="Z62" s="16"/>
      <c r="AA62" s="16"/>
      <c r="AB62" s="16"/>
      <c r="AC62" s="16"/>
      <c r="AD62" s="16"/>
      <c r="AE62" s="17"/>
      <c r="AF62" s="9"/>
      <c r="AG62" s="9"/>
      <c r="AH62" s="9"/>
    </row>
    <row r="63" spans="1:34" ht="12" customHeight="1" x14ac:dyDescent="0.35">
      <c r="A63" s="7"/>
      <c r="B63" s="8"/>
      <c r="C63" s="18"/>
      <c r="D63" s="13"/>
      <c r="E63" s="18"/>
      <c r="F63" s="14"/>
      <c r="G63" s="20">
        <v>2023</v>
      </c>
      <c r="H63" s="14"/>
      <c r="I63" s="14"/>
      <c r="J63" s="14"/>
      <c r="K63" s="14"/>
      <c r="L63" s="14"/>
      <c r="M63" s="14"/>
      <c r="N63" s="14"/>
      <c r="O63" s="14"/>
      <c r="P63" s="14"/>
      <c r="Q63" s="14"/>
      <c r="R63" s="14"/>
      <c r="S63" s="14"/>
      <c r="T63" s="14"/>
      <c r="U63" s="14"/>
      <c r="V63" s="16"/>
      <c r="W63" s="19"/>
      <c r="X63" s="16"/>
      <c r="Y63" s="16"/>
      <c r="Z63" s="16"/>
      <c r="AA63" s="16"/>
      <c r="AB63" s="16"/>
      <c r="AC63" s="16"/>
      <c r="AD63" s="16"/>
      <c r="AE63" s="17"/>
      <c r="AF63" s="9"/>
      <c r="AG63" s="9"/>
      <c r="AH63" s="9"/>
    </row>
    <row r="64" spans="1:34" ht="12" customHeight="1" x14ac:dyDescent="0.35">
      <c r="A64" s="7"/>
      <c r="B64" s="8"/>
      <c r="C64" s="18"/>
      <c r="D64" s="18"/>
      <c r="E64" s="18"/>
      <c r="F64" s="18"/>
      <c r="G64" s="18"/>
      <c r="H64" s="18"/>
      <c r="I64" s="18"/>
      <c r="J64" s="21"/>
      <c r="K64" s="21"/>
      <c r="L64" s="21"/>
      <c r="M64" s="21"/>
      <c r="N64" s="21"/>
      <c r="O64" s="21"/>
      <c r="P64" s="21"/>
      <c r="Q64" s="21"/>
      <c r="R64" s="21"/>
      <c r="S64" s="21"/>
      <c r="T64" s="21"/>
      <c r="U64" s="21"/>
      <c r="V64" s="21"/>
      <c r="W64" s="21"/>
      <c r="X64" s="21"/>
      <c r="Y64" s="21"/>
      <c r="Z64" s="21"/>
      <c r="AA64" s="21"/>
      <c r="AB64" s="21"/>
      <c r="AC64" s="21"/>
      <c r="AD64" s="21"/>
      <c r="AE64" s="17"/>
      <c r="AF64" s="9"/>
      <c r="AG64" s="9"/>
      <c r="AH64" s="9"/>
    </row>
    <row r="65" spans="1:34" ht="12" customHeight="1" x14ac:dyDescent="0.35">
      <c r="A65" s="7"/>
      <c r="B65" s="8"/>
      <c r="C65" s="18"/>
      <c r="D65" s="18"/>
      <c r="E65" s="18"/>
      <c r="F65" s="18"/>
      <c r="G65" s="18"/>
      <c r="H65" s="18"/>
      <c r="I65" s="18"/>
      <c r="J65" s="18"/>
      <c r="K65" s="18"/>
      <c r="L65" s="18"/>
      <c r="M65" s="18"/>
      <c r="N65" s="18"/>
      <c r="O65" s="18"/>
      <c r="P65" s="18"/>
      <c r="Q65" s="18"/>
      <c r="R65" s="18"/>
      <c r="S65" s="18"/>
      <c r="T65" s="18"/>
      <c r="U65" s="18"/>
      <c r="V65" s="21"/>
      <c r="W65" s="18" t="s">
        <v>3033</v>
      </c>
      <c r="X65" s="21"/>
      <c r="Y65" s="18" t="s">
        <v>3033</v>
      </c>
      <c r="Z65" s="18"/>
      <c r="AA65" s="18"/>
      <c r="AB65" s="21"/>
      <c r="AC65" s="21"/>
      <c r="AD65" s="21"/>
      <c r="AE65" s="17"/>
      <c r="AF65" s="9"/>
      <c r="AG65" s="9"/>
      <c r="AH65" s="9"/>
    </row>
    <row r="66" spans="1:34" ht="12" customHeight="1" x14ac:dyDescent="0.35">
      <c r="A66" s="7"/>
      <c r="B66" s="8"/>
      <c r="C66" s="18"/>
      <c r="D66" s="18"/>
      <c r="E66" s="18"/>
      <c r="F66" s="18"/>
      <c r="G66" s="18" t="s">
        <v>3025</v>
      </c>
      <c r="H66" s="18"/>
      <c r="I66" s="18" t="s">
        <v>3027</v>
      </c>
      <c r="J66" s="18"/>
      <c r="K66" s="18"/>
      <c r="L66" s="18" t="s">
        <v>3026</v>
      </c>
      <c r="M66" s="18"/>
      <c r="N66" s="18" t="s">
        <v>3023</v>
      </c>
      <c r="O66" s="18"/>
      <c r="P66" s="18" t="s">
        <v>3024</v>
      </c>
      <c r="Q66" s="18"/>
      <c r="R66" s="18"/>
      <c r="S66" s="18"/>
      <c r="T66" s="18"/>
      <c r="U66" s="18" t="s">
        <v>3030</v>
      </c>
      <c r="V66" s="21"/>
      <c r="W66" s="18" t="s">
        <v>3031</v>
      </c>
      <c r="X66" s="21"/>
      <c r="Y66" s="18" t="s">
        <v>3032</v>
      </c>
      <c r="Z66" s="18"/>
      <c r="AA66" s="18" t="s">
        <v>3029</v>
      </c>
      <c r="AB66" s="21"/>
      <c r="AC66" s="21"/>
      <c r="AD66" s="21"/>
      <c r="AE66" s="17"/>
      <c r="AF66" s="9"/>
      <c r="AG66" s="9"/>
      <c r="AH66" s="9"/>
    </row>
    <row r="67" spans="1:34" ht="12" customHeight="1" x14ac:dyDescent="0.35">
      <c r="A67" s="7"/>
      <c r="B67" s="8"/>
      <c r="C67" s="18"/>
      <c r="D67" s="18"/>
      <c r="E67" s="18"/>
      <c r="F67" s="24"/>
      <c r="G67" s="384">
        <v>0.01</v>
      </c>
      <c r="H67" s="24"/>
      <c r="I67" s="384">
        <v>6.0000000000000001E-3</v>
      </c>
      <c r="J67" s="24"/>
      <c r="K67" s="24"/>
      <c r="L67" s="384">
        <v>0.4</v>
      </c>
      <c r="N67" s="384">
        <v>0.96</v>
      </c>
      <c r="O67" s="24"/>
      <c r="P67" s="514" t="str">
        <f>General!G37</f>
        <v>b</v>
      </c>
      <c r="Q67" s="384">
        <v>0.32</v>
      </c>
      <c r="R67" s="24"/>
      <c r="S67" s="24"/>
      <c r="T67" t="s">
        <v>3034</v>
      </c>
      <c r="U67" s="477">
        <v>0.4</v>
      </c>
      <c r="V67" s="24"/>
      <c r="W67" s="478">
        <v>1.4999999999999999E-2</v>
      </c>
      <c r="X67" s="488"/>
      <c r="Y67" s="478">
        <v>1.2E-2</v>
      </c>
      <c r="Z67" s="24"/>
      <c r="AA67" s="384">
        <v>0.1</v>
      </c>
      <c r="AB67" s="27"/>
      <c r="AC67" s="27"/>
      <c r="AD67" s="27"/>
      <c r="AE67" s="17"/>
      <c r="AF67" s="9"/>
      <c r="AG67" s="9"/>
      <c r="AH67" s="9"/>
    </row>
    <row r="68" spans="1:34" ht="12" customHeight="1" x14ac:dyDescent="0.35">
      <c r="A68" s="7"/>
      <c r="B68" s="8"/>
      <c r="C68" s="18"/>
      <c r="D68" s="18"/>
      <c r="E68" s="18"/>
      <c r="F68" s="24"/>
      <c r="G68" s="24"/>
      <c r="H68" s="24"/>
      <c r="I68" s="24"/>
      <c r="J68" s="24"/>
      <c r="K68" s="24"/>
      <c r="N68" s="24"/>
      <c r="O68" s="24"/>
      <c r="P68" s="514" t="str">
        <f>General!G38</f>
        <v>bd</v>
      </c>
      <c r="Q68" s="384">
        <v>0.32</v>
      </c>
      <c r="R68" s="24"/>
      <c r="S68" s="24"/>
      <c r="T68" t="s">
        <v>3035</v>
      </c>
      <c r="U68" s="477">
        <v>0.4</v>
      </c>
      <c r="V68" s="24"/>
      <c r="W68" s="478">
        <v>2.7E-2</v>
      </c>
      <c r="X68" s="488"/>
      <c r="Y68" s="478">
        <v>1.9E-2</v>
      </c>
      <c r="Z68" s="24"/>
      <c r="AA68" s="24"/>
      <c r="AB68" s="27"/>
      <c r="AC68" s="27"/>
      <c r="AD68" s="27"/>
      <c r="AE68" s="17"/>
      <c r="AF68" s="9"/>
      <c r="AG68" s="9"/>
      <c r="AH68" s="9"/>
    </row>
    <row r="69" spans="1:34" ht="12" customHeight="1" x14ac:dyDescent="0.35">
      <c r="A69" s="7"/>
      <c r="B69" s="8"/>
      <c r="C69" s="18"/>
      <c r="D69" s="18"/>
      <c r="E69" s="18"/>
      <c r="F69" s="24"/>
      <c r="G69" s="24"/>
      <c r="H69" s="24"/>
      <c r="I69" s="24"/>
      <c r="J69" s="24"/>
      <c r="K69" s="24"/>
      <c r="N69" s="24"/>
      <c r="O69" s="24"/>
      <c r="P69" s="514" t="str">
        <f>General!G39</f>
        <v>f</v>
      </c>
      <c r="Q69" s="384">
        <v>0.51</v>
      </c>
      <c r="R69" s="24"/>
      <c r="S69" s="24"/>
      <c r="T69" t="s">
        <v>3036</v>
      </c>
      <c r="U69" s="477">
        <v>0.8</v>
      </c>
      <c r="V69" s="24"/>
      <c r="W69" s="478">
        <v>1.4999999999999999E-2</v>
      </c>
      <c r="X69" s="488"/>
      <c r="Y69" s="478">
        <v>1.2E-2</v>
      </c>
      <c r="Z69" s="24"/>
      <c r="AA69" s="24"/>
      <c r="AB69" s="27"/>
      <c r="AC69" s="27"/>
      <c r="AD69" s="27"/>
      <c r="AE69" s="17"/>
      <c r="AF69" s="9"/>
      <c r="AG69" s="9"/>
      <c r="AH69" s="9"/>
    </row>
    <row r="70" spans="1:34" ht="12" customHeight="1" x14ac:dyDescent="0.35">
      <c r="A70" s="7"/>
      <c r="B70" s="8"/>
      <c r="C70" s="18"/>
      <c r="D70" s="18"/>
      <c r="E70" s="18"/>
      <c r="F70" s="24"/>
      <c r="G70" s="24"/>
      <c r="H70" s="24"/>
      <c r="I70" s="24"/>
      <c r="J70" s="24"/>
      <c r="K70" s="24"/>
      <c r="N70" s="24"/>
      <c r="O70" s="24"/>
      <c r="P70" s="514" t="str">
        <f>General!G40</f>
        <v>h</v>
      </c>
      <c r="Q70" s="384">
        <v>0.43</v>
      </c>
      <c r="R70" s="24"/>
      <c r="S70" s="24"/>
      <c r="T70" t="s">
        <v>3037</v>
      </c>
      <c r="U70" s="477">
        <v>0.4</v>
      </c>
      <c r="V70" s="24"/>
      <c r="W70" s="478">
        <v>1.4999999999999999E-2</v>
      </c>
      <c r="X70" s="488"/>
      <c r="Y70" s="478">
        <v>1.2E-2</v>
      </c>
      <c r="Z70" s="24"/>
      <c r="AA70" s="24"/>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4" t="str">
        <f>General!G41</f>
        <v>i</v>
      </c>
      <c r="Q71" s="384">
        <v>0.51</v>
      </c>
      <c r="R71" s="24"/>
      <c r="S71" s="24"/>
      <c r="T71" s="24"/>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4" t="str">
        <f>General!G42</f>
        <v>k</v>
      </c>
      <c r="Q72" s="384">
        <v>0.51</v>
      </c>
      <c r="R72" s="24"/>
      <c r="S72" s="24"/>
      <c r="T72" s="24"/>
      <c r="U72" s="24"/>
      <c r="V72" s="24"/>
      <c r="W72" s="24"/>
      <c r="X72" s="24"/>
      <c r="Y72" s="24"/>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4" t="str">
        <f>General!G43</f>
        <v>l</v>
      </c>
      <c r="Q73" s="384">
        <v>0.51</v>
      </c>
      <c r="R73" s="24"/>
      <c r="S73" s="24"/>
      <c r="T73" s="24"/>
      <c r="U73" s="24"/>
      <c r="V73" s="24"/>
      <c r="W73" s="24"/>
      <c r="X73" s="24"/>
      <c r="Y73" s="24"/>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4" t="str">
        <f>General!G44</f>
        <v>lf</v>
      </c>
      <c r="Q74" s="384">
        <v>0.51</v>
      </c>
      <c r="R74" s="24"/>
      <c r="S74" s="24"/>
      <c r="T74" s="24"/>
      <c r="U74" s="24"/>
      <c r="V74" s="24"/>
      <c r="W74" s="24"/>
      <c r="X74" s="24"/>
      <c r="Y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4" t="str">
        <f>General!G45</f>
        <v>ms</v>
      </c>
      <c r="Q75" s="528">
        <f>0.65*Q67+0.35*Q73</f>
        <v>0.38650000000000001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4" t="str">
        <f>General!G46</f>
        <v>o</v>
      </c>
      <c r="Q76" s="384">
        <v>0.43</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4" t="str">
        <f>General!G47</f>
        <v>od</v>
      </c>
      <c r="Q77" s="384">
        <v>0.43</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4" t="str">
        <f>General!G48</f>
        <v>of</v>
      </c>
      <c r="Q78" s="384">
        <v>0.43</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4" t="str">
        <f>General!G49</f>
        <v>r</v>
      </c>
      <c r="Q79" s="384">
        <v>0.33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4" t="str">
        <f>General!G50</f>
        <v>rd</v>
      </c>
      <c r="Q80" s="384">
        <v>0.33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4" t="str">
        <f>General!G51</f>
        <v>v</v>
      </c>
      <c r="Q81" s="384">
        <v>0.51</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4" t="str">
        <f>General!G52</f>
        <v>w</v>
      </c>
      <c r="Q82" s="384">
        <v>0.28999999999999998</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4" t="str">
        <f>General!G53</f>
        <v>wd</v>
      </c>
      <c r="Q83" s="384">
        <v>0.28999999999999998</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4" t="str">
        <f>General!G54</f>
        <v>z</v>
      </c>
      <c r="Q84" s="384">
        <v>0.33</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484"/>
      <c r="I85" s="484"/>
      <c r="J85" s="24"/>
      <c r="K85" s="484"/>
      <c r="N85" s="484"/>
      <c r="O85" s="24"/>
      <c r="P85" s="514" t="str">
        <f>General!G55</f>
        <v>zd</v>
      </c>
      <c r="Q85" s="384">
        <v>0.33</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8"/>
      <c r="H86" s="28"/>
      <c r="I86" s="487"/>
      <c r="J86" s="32"/>
      <c r="K86" s="32"/>
      <c r="L86" s="32"/>
      <c r="M86" s="32"/>
      <c r="N86" s="32"/>
      <c r="O86" s="32"/>
      <c r="P86" s="32"/>
      <c r="Q86" s="30"/>
      <c r="R86" s="30"/>
      <c r="S86" s="30"/>
      <c r="T86" s="30"/>
      <c r="U86" s="30"/>
      <c r="V86" s="30"/>
      <c r="W86" s="30"/>
      <c r="X86" s="30"/>
      <c r="Y86" s="27"/>
      <c r="Z86" s="27"/>
      <c r="AA86" s="27"/>
      <c r="AB86" s="27"/>
      <c r="AC86" s="27"/>
      <c r="AD86" s="27"/>
      <c r="AE86" s="17"/>
      <c r="AF86" s="9"/>
      <c r="AG86" s="9"/>
      <c r="AH86" s="9"/>
    </row>
    <row r="87" spans="1:34" ht="5.15" customHeight="1" x14ac:dyDescent="0.35">
      <c r="A87" s="7"/>
      <c r="B87" s="8"/>
      <c r="C87" s="18"/>
      <c r="D87" s="18"/>
      <c r="E87" s="18"/>
      <c r="F87" s="33"/>
      <c r="G87" s="34"/>
      <c r="H87" s="34"/>
      <c r="I87" s="34"/>
      <c r="J87" s="35"/>
      <c r="K87" s="35"/>
      <c r="L87" s="35"/>
      <c r="M87" s="35"/>
      <c r="N87" s="35"/>
      <c r="O87" s="35"/>
      <c r="P87" s="35"/>
      <c r="Q87" s="35"/>
      <c r="R87" s="35"/>
      <c r="S87" s="35"/>
      <c r="T87" s="35"/>
      <c r="U87" s="35"/>
      <c r="V87" s="35"/>
      <c r="W87" s="35"/>
      <c r="X87" s="35"/>
      <c r="Y87" s="27"/>
      <c r="Z87" s="27"/>
      <c r="AA87" s="27"/>
      <c r="AB87" s="27"/>
      <c r="AC87" s="27"/>
      <c r="AD87" s="27"/>
      <c r="AE87" s="17"/>
      <c r="AF87" s="9"/>
      <c r="AG87" s="9"/>
      <c r="AH87" s="9"/>
    </row>
    <row r="88" spans="1:34" ht="25" customHeight="1" x14ac:dyDescent="0.35">
      <c r="A88" s="7"/>
      <c r="B88" s="8"/>
      <c r="C88" s="36"/>
      <c r="D88" s="36"/>
      <c r="E88" s="36"/>
      <c r="F88" s="36"/>
      <c r="G88" s="37" t="str">
        <f>G61</f>
        <v>Crop &amp; Pasture Residues &amp; Burning</v>
      </c>
      <c r="H88" s="36"/>
      <c r="I88" s="36"/>
      <c r="J88" s="36"/>
      <c r="K88" s="36"/>
      <c r="L88" s="36"/>
      <c r="M88" s="36"/>
      <c r="N88" s="36"/>
      <c r="O88" s="36"/>
      <c r="P88" s="36"/>
      <c r="Q88" s="36"/>
      <c r="R88" s="36"/>
      <c r="S88" s="36"/>
      <c r="T88" s="36"/>
      <c r="U88" s="36"/>
      <c r="V88" s="36"/>
      <c r="W88" s="36"/>
      <c r="X88" s="36"/>
      <c r="Y88" s="36"/>
      <c r="Z88" s="36"/>
      <c r="AA88" s="36"/>
      <c r="AB88" s="36"/>
      <c r="AC88" s="36"/>
      <c r="AD88" s="36"/>
      <c r="AE88" s="38" t="s">
        <v>91</v>
      </c>
      <c r="AF88" s="9"/>
      <c r="AG88" s="9"/>
      <c r="AH88" s="9"/>
    </row>
    <row r="89" spans="1:34" ht="12" customHeight="1" x14ac:dyDescent="0.35">
      <c r="A89" s="7"/>
      <c r="B89" s="8"/>
      <c r="C89" s="8"/>
      <c r="D89" s="8"/>
      <c r="E89" s="8"/>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row>
    <row r="90" spans="1:34" ht="12" customHeight="1" x14ac:dyDescent="0.35">
      <c r="A90" s="7"/>
      <c r="B90" s="8"/>
      <c r="C90" s="8"/>
      <c r="D90" s="8"/>
      <c r="E90" s="8"/>
      <c r="F90" s="8"/>
      <c r="G90" s="8"/>
      <c r="H90" s="9"/>
      <c r="I90" s="9"/>
      <c r="J90" s="9"/>
      <c r="K90" s="9"/>
      <c r="L90" s="9"/>
      <c r="M90" s="9"/>
      <c r="N90" s="9"/>
      <c r="O90" s="9"/>
      <c r="P90" s="9"/>
      <c r="Q90" s="9"/>
      <c r="R90" s="9"/>
      <c r="S90" s="9"/>
      <c r="T90" s="9"/>
      <c r="U90" s="9"/>
      <c r="V90" s="9"/>
      <c r="W90" s="9"/>
      <c r="X90" s="9"/>
      <c r="Y90" s="9"/>
      <c r="Z90" s="9"/>
      <c r="AA90" s="9"/>
      <c r="AB90" s="9"/>
      <c r="AC90" s="9"/>
      <c r="AD90" s="9"/>
      <c r="AE90" s="9"/>
      <c r="AF90" s="8"/>
      <c r="AG90" s="8"/>
      <c r="AH90" s="8"/>
    </row>
    <row r="91" spans="1:34" ht="5.15" customHeight="1" thickBot="1" x14ac:dyDescent="0.4">
      <c r="A91" s="7"/>
      <c r="B91" s="8"/>
      <c r="C91" s="8"/>
      <c r="D91" s="8"/>
      <c r="E91" s="8"/>
      <c r="F91" s="8"/>
      <c r="G91" s="8"/>
      <c r="H91" s="9"/>
      <c r="I91" s="9"/>
      <c r="J91" s="9"/>
      <c r="K91" s="9"/>
      <c r="L91" s="9"/>
      <c r="M91" s="9"/>
      <c r="N91" s="9"/>
      <c r="O91" s="9"/>
      <c r="P91" s="9"/>
      <c r="Q91" s="9"/>
      <c r="R91" s="9"/>
      <c r="S91" s="9"/>
      <c r="T91" s="9"/>
      <c r="U91" s="9"/>
      <c r="V91" s="9"/>
      <c r="W91" s="9"/>
      <c r="X91" s="9"/>
      <c r="Y91" s="9"/>
      <c r="Z91" s="9"/>
      <c r="AA91" s="9"/>
      <c r="AB91" s="9"/>
      <c r="AC91" s="9"/>
      <c r="AD91" s="9"/>
      <c r="AE91" s="9"/>
      <c r="AF91" s="8"/>
      <c r="AG91" s="8"/>
      <c r="AH91" s="8"/>
    </row>
    <row r="92" spans="1:34" ht="5.15" customHeight="1" x14ac:dyDescent="0.35">
      <c r="A92" s="7"/>
      <c r="B92" s="8"/>
      <c r="C92" s="10" t="s">
        <v>86</v>
      </c>
      <c r="D92" s="10"/>
      <c r="E92" s="10"/>
      <c r="F92" s="10"/>
      <c r="G92" s="10"/>
      <c r="H92" s="10"/>
      <c r="I92" s="10"/>
      <c r="J92" s="10"/>
      <c r="K92" s="10"/>
      <c r="L92" s="11"/>
      <c r="M92" s="11"/>
      <c r="N92" s="11"/>
      <c r="O92" s="11"/>
      <c r="P92" s="11"/>
      <c r="Q92" s="11"/>
      <c r="R92" s="11"/>
      <c r="S92" s="11"/>
      <c r="T92" s="11"/>
      <c r="U92" s="11"/>
      <c r="V92" s="11"/>
      <c r="W92" s="11"/>
      <c r="X92" s="11"/>
      <c r="Y92" s="11"/>
      <c r="Z92" s="11"/>
      <c r="AA92" s="11"/>
      <c r="AB92" s="11"/>
      <c r="AC92" s="11"/>
      <c r="AD92" s="11"/>
      <c r="AE92" s="12"/>
      <c r="AF92" s="9"/>
      <c r="AG92" s="9"/>
      <c r="AH92" s="9"/>
    </row>
    <row r="93" spans="1:34" ht="12" customHeight="1" x14ac:dyDescent="0.35">
      <c r="A93" s="7"/>
      <c r="B93" s="8"/>
      <c r="C93" s="13"/>
      <c r="D93" s="13"/>
      <c r="E93" s="13" t="s">
        <v>87</v>
      </c>
      <c r="F93" s="14"/>
      <c r="G93" s="15" t="s">
        <v>3008</v>
      </c>
      <c r="H93" s="14"/>
      <c r="I93" s="14"/>
      <c r="J93" s="14"/>
      <c r="K93" s="14"/>
      <c r="L93" s="14"/>
      <c r="M93" s="14"/>
      <c r="N93" s="14"/>
      <c r="O93" s="14"/>
      <c r="P93" s="14"/>
      <c r="Q93" s="14"/>
      <c r="R93" s="14"/>
      <c r="S93" s="14"/>
      <c r="T93" s="14"/>
      <c r="U93" s="14"/>
      <c r="V93" s="16"/>
      <c r="W93" s="14"/>
      <c r="X93" s="16"/>
      <c r="Y93" s="16"/>
      <c r="Z93" s="16"/>
      <c r="AA93" s="16"/>
      <c r="AB93" s="16"/>
      <c r="AC93" s="16"/>
      <c r="AD93" s="16"/>
      <c r="AE93" s="17"/>
      <c r="AF93" s="9"/>
      <c r="AG93" s="9"/>
      <c r="AH93" s="9"/>
    </row>
    <row r="94" spans="1:34" ht="12" customHeight="1" x14ac:dyDescent="0.35">
      <c r="A94" s="7"/>
      <c r="B94" s="8"/>
      <c r="C94" s="13"/>
      <c r="D94" s="13"/>
      <c r="E94" s="18"/>
      <c r="F94" s="14"/>
      <c r="G94" s="14"/>
      <c r="H94" s="14"/>
      <c r="I94" s="14"/>
      <c r="J94" s="14"/>
      <c r="K94" s="14"/>
      <c r="L94" s="14"/>
      <c r="M94" s="14"/>
      <c r="N94" s="14"/>
      <c r="O94" s="14"/>
      <c r="P94" s="14"/>
      <c r="Q94" s="14"/>
      <c r="R94" s="14"/>
      <c r="S94" s="14"/>
      <c r="T94" s="14"/>
      <c r="U94" s="14"/>
      <c r="V94" s="16"/>
      <c r="W94" s="19"/>
      <c r="X94" s="16"/>
      <c r="Y94" s="16"/>
      <c r="Z94" s="16"/>
      <c r="AA94" s="16"/>
      <c r="AB94" s="16"/>
      <c r="AC94" s="16"/>
      <c r="AD94" s="16"/>
      <c r="AE94" s="17"/>
      <c r="AF94" s="9"/>
      <c r="AG94" s="9"/>
      <c r="AH94" s="9"/>
    </row>
    <row r="95" spans="1:34" ht="12" customHeight="1" x14ac:dyDescent="0.35">
      <c r="A95" s="7"/>
      <c r="B95" s="8"/>
      <c r="C95" s="18"/>
      <c r="D95" s="13"/>
      <c r="E95" s="18"/>
      <c r="F95" s="14"/>
      <c r="G95" s="20">
        <v>2023</v>
      </c>
      <c r="H95" s="14"/>
      <c r="I95" s="14"/>
      <c r="J95" s="14"/>
      <c r="K95" s="14"/>
      <c r="L95" s="14"/>
      <c r="M95" s="14"/>
      <c r="N95" s="14"/>
      <c r="O95" s="14"/>
      <c r="P95" s="14"/>
      <c r="Q95" s="14"/>
      <c r="R95" s="14"/>
      <c r="S95" s="14"/>
      <c r="T95" s="14"/>
      <c r="U95" s="14"/>
      <c r="V95" s="16"/>
      <c r="W95" s="19"/>
      <c r="X95" s="16"/>
      <c r="Y95" s="16"/>
      <c r="Z95" s="16"/>
      <c r="AA95" s="16"/>
      <c r="AB95" s="16"/>
      <c r="AC95" s="16"/>
      <c r="AD95" s="16"/>
      <c r="AE95" s="17"/>
      <c r="AF95" s="9"/>
      <c r="AG95" s="9"/>
      <c r="AH95" s="9"/>
    </row>
    <row r="96" spans="1:34" ht="12" customHeight="1" x14ac:dyDescent="0.35">
      <c r="A96" s="7"/>
      <c r="B96" s="8"/>
      <c r="C96" s="18"/>
      <c r="D96" s="18"/>
      <c r="E96" s="18"/>
      <c r="F96" s="18"/>
      <c r="G96" s="18"/>
      <c r="H96" s="18"/>
      <c r="I96" s="18"/>
      <c r="J96" s="21"/>
      <c r="K96" s="21"/>
      <c r="L96" s="21"/>
      <c r="M96" s="21"/>
      <c r="N96" s="21"/>
      <c r="O96" s="21"/>
      <c r="P96" s="21"/>
      <c r="Q96" s="21"/>
      <c r="R96" s="21"/>
      <c r="S96" s="21"/>
      <c r="T96" s="21"/>
      <c r="U96" s="21"/>
      <c r="V96" s="21"/>
      <c r="W96" s="21"/>
      <c r="X96" s="21"/>
      <c r="Y96" s="21"/>
      <c r="Z96" s="21"/>
      <c r="AA96" s="21"/>
      <c r="AB96" s="21"/>
      <c r="AC96" s="21"/>
      <c r="AD96" s="21"/>
      <c r="AE96" s="17"/>
      <c r="AF96" s="9"/>
      <c r="AG96" s="9"/>
      <c r="AH96" s="9"/>
    </row>
    <row r="97" spans="1:34" ht="12" customHeight="1" x14ac:dyDescent="0.35">
      <c r="A97" s="7"/>
      <c r="B97" s="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21"/>
      <c r="AC97" s="21"/>
      <c r="AD97" s="21"/>
      <c r="AE97" s="17"/>
      <c r="AF97" s="9"/>
      <c r="AG97" s="9"/>
      <c r="AH97" s="9"/>
    </row>
    <row r="98" spans="1:34" ht="12" customHeight="1" x14ac:dyDescent="0.35">
      <c r="A98" s="7"/>
      <c r="B98" s="8"/>
      <c r="C98" s="18"/>
      <c r="D98" s="18"/>
      <c r="E98" s="18"/>
      <c r="F98" s="18"/>
      <c r="G98" s="18"/>
      <c r="H98" s="18"/>
      <c r="I98" s="18"/>
      <c r="J98" s="18"/>
      <c r="K98" s="18"/>
      <c r="L98" s="18" t="s">
        <v>3015</v>
      </c>
      <c r="M98" s="18"/>
      <c r="N98" s="18" t="s">
        <v>3014</v>
      </c>
      <c r="O98" s="18"/>
      <c r="P98" s="18" t="s">
        <v>3016</v>
      </c>
      <c r="Q98" s="18"/>
      <c r="R98" s="18"/>
      <c r="S98" s="18"/>
      <c r="T98" s="18"/>
      <c r="U98" s="18"/>
      <c r="V98" s="18"/>
      <c r="W98" s="18"/>
      <c r="X98" s="18"/>
      <c r="Y98" s="18"/>
      <c r="Z98" s="18"/>
      <c r="AA98" s="18"/>
      <c r="AB98" s="21"/>
      <c r="AC98" s="21"/>
      <c r="AD98" s="21"/>
      <c r="AE98" s="17"/>
      <c r="AF98" s="9"/>
      <c r="AG98" s="9"/>
      <c r="AH98" s="9"/>
    </row>
    <row r="99" spans="1:34" ht="12" customHeight="1" x14ac:dyDescent="0.35">
      <c r="A99" s="7"/>
      <c r="B99" s="8"/>
      <c r="C99" s="18"/>
      <c r="D99" s="18"/>
      <c r="E99" s="18"/>
      <c r="F99" s="24"/>
      <c r="G99" s="24"/>
      <c r="H99" s="483" t="s">
        <v>3010</v>
      </c>
      <c r="I99" s="484"/>
      <c r="J99" s="24"/>
      <c r="K99" s="484"/>
      <c r="L99" s="484"/>
      <c r="M99" s="24"/>
      <c r="N99" s="24"/>
      <c r="O99" s="24"/>
      <c r="P99" s="24"/>
      <c r="Q99" s="24"/>
      <c r="R99" s="24"/>
      <c r="S99" s="24"/>
      <c r="T99" s="24"/>
      <c r="U99" s="24"/>
      <c r="V99" s="24"/>
      <c r="W99" s="24"/>
      <c r="X99" s="24"/>
      <c r="Y99" s="24"/>
      <c r="Z99" s="24"/>
      <c r="AA99" s="24"/>
      <c r="AB99" s="27"/>
      <c r="AC99" s="27"/>
      <c r="AD99" s="27"/>
      <c r="AE99" s="17"/>
      <c r="AF99" s="9"/>
      <c r="AG99" s="9"/>
      <c r="AH99" s="9"/>
    </row>
    <row r="100" spans="1:34" ht="12" customHeight="1" x14ac:dyDescent="0.35">
      <c r="A100" s="7"/>
      <c r="B100" s="8"/>
      <c r="C100" s="18"/>
      <c r="D100" s="18"/>
      <c r="E100" s="18"/>
      <c r="F100" s="24"/>
      <c r="G100" s="24"/>
      <c r="H100" s="24"/>
      <c r="I100" s="484" t="s">
        <v>3011</v>
      </c>
      <c r="J100" s="24"/>
      <c r="K100" s="484"/>
      <c r="L100" s="478">
        <v>0.21</v>
      </c>
      <c r="M100" s="24"/>
      <c r="N100" s="478">
        <v>0.11</v>
      </c>
      <c r="O100" s="24"/>
      <c r="P100" s="24"/>
      <c r="Q100" s="24"/>
      <c r="R100" s="24"/>
      <c r="S100" s="24"/>
      <c r="T100" s="24"/>
      <c r="U100" s="24"/>
      <c r="V100" s="24"/>
      <c r="W100" s="24"/>
      <c r="X100" s="24"/>
      <c r="Y100" s="24"/>
      <c r="Z100" s="24"/>
      <c r="AA100" s="24"/>
      <c r="AB100" s="27"/>
      <c r="AC100" s="27"/>
      <c r="AD100" s="27"/>
      <c r="AE100" s="17"/>
      <c r="AF100" s="9"/>
      <c r="AG100" s="9"/>
      <c r="AH100" s="9"/>
    </row>
    <row r="101" spans="1:34" ht="12" customHeight="1" x14ac:dyDescent="0.35">
      <c r="A101" s="7"/>
      <c r="B101" s="8"/>
      <c r="C101" s="18"/>
      <c r="D101" s="18"/>
      <c r="E101" s="18"/>
      <c r="F101" s="24"/>
      <c r="G101" s="24"/>
      <c r="H101" s="24"/>
      <c r="I101" s="484"/>
      <c r="J101" s="24"/>
      <c r="K101" s="484"/>
      <c r="L101" s="484"/>
      <c r="M101" s="24"/>
      <c r="N101" s="24"/>
      <c r="O101" s="24"/>
      <c r="P101" s="24"/>
      <c r="Q101" s="24"/>
      <c r="R101" s="24"/>
      <c r="S101" s="24"/>
      <c r="T101" s="24"/>
      <c r="U101" s="24"/>
      <c r="V101" s="24"/>
      <c r="W101" s="24"/>
      <c r="X101" s="24"/>
      <c r="Y101" s="24"/>
      <c r="Z101" s="24"/>
      <c r="AA101" s="24"/>
      <c r="AB101" s="27"/>
      <c r="AC101" s="27"/>
      <c r="AD101" s="27"/>
      <c r="AE101" s="17"/>
      <c r="AF101" s="9"/>
      <c r="AG101" s="9"/>
      <c r="AH101" s="9"/>
    </row>
    <row r="102" spans="1:34" ht="12" customHeight="1" x14ac:dyDescent="0.35">
      <c r="A102" s="7"/>
      <c r="B102" s="8"/>
      <c r="C102" s="18"/>
      <c r="D102" s="18"/>
      <c r="E102" s="18"/>
      <c r="F102" s="24"/>
      <c r="G102" s="24"/>
      <c r="H102" s="483" t="s">
        <v>3009</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484"/>
      <c r="I103" s="484" t="s">
        <v>3012</v>
      </c>
      <c r="J103" s="24"/>
      <c r="K103" s="484"/>
      <c r="L103" s="384">
        <v>1</v>
      </c>
      <c r="M103" s="24"/>
      <c r="N103" s="384">
        <v>0.223</v>
      </c>
      <c r="O103" s="24"/>
      <c r="P103" s="384">
        <v>1</v>
      </c>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484"/>
      <c r="I104" s="484" t="s">
        <v>3013</v>
      </c>
      <c r="J104" s="24"/>
      <c r="K104" s="484"/>
      <c r="L104" s="384">
        <v>0.24</v>
      </c>
      <c r="M104" s="24"/>
      <c r="N104" s="384">
        <v>0.24</v>
      </c>
      <c r="O104" s="24"/>
      <c r="P104" s="384">
        <v>0.24</v>
      </c>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85"/>
      <c r="I105" s="485"/>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6"/>
      <c r="I106" s="485"/>
      <c r="J106" s="24"/>
      <c r="K106" s="484"/>
      <c r="L106" s="484"/>
      <c r="M106" s="24"/>
      <c r="N106" s="24"/>
      <c r="O106" s="24"/>
      <c r="P106" s="24"/>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4"/>
      <c r="I107" s="345" t="s">
        <v>3047</v>
      </c>
      <c r="J107" s="24"/>
      <c r="K107" s="484"/>
      <c r="L107" s="484"/>
      <c r="M107" s="24"/>
      <c r="N107" s="24"/>
      <c r="O107" s="24"/>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4"/>
      <c r="I108" s="325" t="s">
        <v>3048</v>
      </c>
      <c r="J108" s="24"/>
      <c r="K108" s="484"/>
      <c r="L108" s="484"/>
      <c r="M108" s="24"/>
      <c r="N108" s="384">
        <v>1</v>
      </c>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4"/>
      <c r="I109" s="325" t="s">
        <v>3049</v>
      </c>
      <c r="J109" s="24"/>
      <c r="K109" s="484"/>
      <c r="L109" s="484"/>
      <c r="M109" s="24"/>
      <c r="N109" s="384">
        <v>0.9</v>
      </c>
      <c r="O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4"/>
      <c r="I110" s="325" t="s">
        <v>3050</v>
      </c>
      <c r="J110" s="24"/>
      <c r="K110" s="484"/>
      <c r="L110" s="484"/>
      <c r="M110" s="24"/>
      <c r="N110" s="384">
        <v>0.95</v>
      </c>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4"/>
      <c r="I111" s="484"/>
      <c r="J111" s="24"/>
      <c r="K111" s="484"/>
      <c r="L111" s="484"/>
      <c r="M111" s="24"/>
      <c r="N111" s="24"/>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8"/>
      <c r="H112" s="28"/>
      <c r="I112" s="487"/>
      <c r="J112" s="32"/>
      <c r="K112" s="32"/>
      <c r="L112" s="32"/>
      <c r="M112" s="32"/>
      <c r="N112" s="32"/>
      <c r="O112" s="32"/>
      <c r="P112" s="32"/>
      <c r="Q112" s="30"/>
      <c r="R112" s="30"/>
      <c r="S112" s="30"/>
      <c r="T112" s="30"/>
      <c r="U112" s="30"/>
      <c r="V112" s="30"/>
      <c r="W112" s="30"/>
      <c r="X112" s="30"/>
      <c r="Y112" s="27"/>
      <c r="Z112" s="27"/>
      <c r="AA112" s="27"/>
      <c r="AB112" s="27"/>
      <c r="AC112" s="27"/>
      <c r="AD112" s="27"/>
      <c r="AE112" s="17"/>
      <c r="AF112" s="9"/>
      <c r="AG112" s="9"/>
      <c r="AH112" s="9"/>
    </row>
    <row r="113" spans="1:34" ht="5.15" customHeight="1" x14ac:dyDescent="0.35">
      <c r="A113" s="7"/>
      <c r="B113" s="8"/>
      <c r="C113" s="18"/>
      <c r="D113" s="18"/>
      <c r="E113" s="18"/>
      <c r="F113" s="33"/>
      <c r="G113" s="34"/>
      <c r="H113" s="34"/>
      <c r="I113" s="34"/>
      <c r="J113" s="35"/>
      <c r="K113" s="35"/>
      <c r="L113" s="35"/>
      <c r="M113" s="35"/>
      <c r="N113" s="35"/>
      <c r="O113" s="35"/>
      <c r="P113" s="35"/>
      <c r="Q113" s="35"/>
      <c r="R113" s="35"/>
      <c r="S113" s="35"/>
      <c r="T113" s="35"/>
      <c r="U113" s="35"/>
      <c r="V113" s="35"/>
      <c r="W113" s="35"/>
      <c r="X113" s="35"/>
      <c r="Y113" s="27"/>
      <c r="Z113" s="27"/>
      <c r="AA113" s="27"/>
      <c r="AB113" s="27"/>
      <c r="AC113" s="27"/>
      <c r="AD113" s="27"/>
      <c r="AE113" s="17"/>
      <c r="AF113" s="9"/>
      <c r="AG113" s="9"/>
      <c r="AH113" s="9"/>
    </row>
    <row r="114" spans="1:34" ht="25" customHeight="1" x14ac:dyDescent="0.35">
      <c r="A114" s="7"/>
      <c r="B114" s="8"/>
      <c r="C114" s="36"/>
      <c r="D114" s="36"/>
      <c r="E114" s="36"/>
      <c r="F114" s="36"/>
      <c r="G114" s="37" t="str">
        <f>G93</f>
        <v>Other Factors</v>
      </c>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8" t="s">
        <v>91</v>
      </c>
      <c r="AF114" s="9"/>
      <c r="AG114" s="9"/>
      <c r="AH114" s="9"/>
    </row>
    <row r="115" spans="1:34" ht="12" customHeight="1" x14ac:dyDescent="0.3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622"/>
  <sheetViews>
    <sheetView tabSelected="1" topLeftCell="A3" zoomScale="80" zoomScaleNormal="80" workbookViewId="0">
      <pane xSplit="9" ySplit="36" topLeftCell="P914" activePane="bottomRight" state="frozen"/>
      <selection activeCell="A3" sqref="A3"/>
      <selection pane="topRight" activeCell="J3" sqref="J3"/>
      <selection pane="bottomLeft" activeCell="A39" sqref="A39"/>
      <selection pane="bottomRight" activeCell="V921" sqref="V921:V922"/>
    </sheetView>
  </sheetViews>
  <sheetFormatPr defaultRowHeight="14.5" outlineLevelRow="4" outlineLevelCol="2" x14ac:dyDescent="0.35"/>
  <cols>
    <col min="1" max="1" width="4.7265625" customWidth="1"/>
    <col min="2" max="2" width="2.7265625" customWidth="1"/>
    <col min="3" max="3" width="6.26953125"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 min="11" max="11" width="9.453125" customWidth="1" outlineLevel="1"/>
    <col min="12" max="16" width="9.1796875" customWidth="1" outlineLevel="1"/>
    <col min="17" max="17" width="3.1796875" customWidth="1" outlineLevel="1"/>
    <col min="18" max="19" width="24.7265625"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45806.700035879599</v>
      </c>
      <c r="J11" s="621" t="s">
        <v>3339</v>
      </c>
      <c r="K11" s="622"/>
      <c r="L11" s="622"/>
      <c r="M11" s="622"/>
      <c r="N11" s="622"/>
      <c r="O11" s="622"/>
      <c r="P11" s="622"/>
      <c r="Q11" s="622"/>
      <c r="R11" s="622"/>
      <c r="S11" s="622"/>
      <c r="T11" s="622"/>
      <c r="U11" s="622"/>
      <c r="V11" s="622"/>
      <c r="W11" s="622"/>
      <c r="X11" s="622"/>
      <c r="Y11" s="622"/>
      <c r="Z11" s="622"/>
      <c r="AA11" s="622"/>
      <c r="AB11" s="373"/>
      <c r="AC11" s="373"/>
      <c r="AD11" s="374"/>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45808.455146296299</v>
      </c>
      <c r="J12" s="632" t="s">
        <v>3343</v>
      </c>
      <c r="K12" s="633"/>
      <c r="L12" s="633"/>
      <c r="M12" s="633"/>
      <c r="N12" s="633"/>
      <c r="O12" s="633"/>
      <c r="P12" s="633"/>
      <c r="Q12" s="633"/>
      <c r="R12" s="633"/>
      <c r="S12" s="633"/>
      <c r="T12" s="633"/>
      <c r="U12" s="633"/>
      <c r="V12" s="633"/>
      <c r="W12" s="633"/>
      <c r="X12" s="633"/>
      <c r="Y12" s="633"/>
      <c r="Z12" s="633"/>
      <c r="AA12" s="633"/>
      <c r="AB12" s="375"/>
      <c r="AC12" s="375"/>
      <c r="AD12" s="376"/>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INT(MAX($C$39:$C$1611))+1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3338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ht="28"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3320</v>
      </c>
      <c r="X35" s="617" t="s">
        <v>3321</v>
      </c>
      <c r="Y35" s="72" t="s">
        <v>3319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INT(MAX($C$39:$C$1611))+1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INT(MAX($C$39:$C$1611))+1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3331</v>
      </c>
      <c r="G44" s="73"/>
      <c r="H44" s="129" t="s">
        <v>2994</v>
      </c>
      <c r="I44" s="96" t="s">
        <v>692</v>
      </c>
      <c r="J44" s="96"/>
      <c r="K44" s="76"/>
      <c r="L44" s="76"/>
      <c r="M44" s="76"/>
      <c r="N44" s="76"/>
      <c r="O44" s="76"/>
      <c r="P44" s="76"/>
      <c r="Q44" s="76"/>
      <c r="R44" s="76"/>
      <c r="S44" s="76"/>
      <c r="T44" s="76" t="s">
        <v>3328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3330</v>
      </c>
      <c r="G50" s="73"/>
      <c r="H50" s="129" t="s">
        <v>464</v>
      </c>
      <c r="I50" s="96" t="s">
        <v>465</v>
      </c>
      <c r="J50" s="96"/>
      <c r="K50" s="76"/>
      <c r="L50" s="76"/>
      <c r="M50" s="76"/>
      <c r="N50" s="76"/>
      <c r="O50" s="76"/>
      <c r="P50" s="76"/>
      <c r="Q50" s="76"/>
      <c r="R50" s="76"/>
      <c r="S50" s="76"/>
      <c r="T50" s="76" t="s">
        <v>3328</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3329</v>
      </c>
      <c r="G51" s="73"/>
      <c r="H51" s="129" t="s">
        <v>466</v>
      </c>
      <c r="I51" s="96" t="s">
        <v>1419</v>
      </c>
      <c r="J51" s="96"/>
      <c r="K51" s="76"/>
      <c r="L51" s="76"/>
      <c r="M51" s="76"/>
      <c r="N51" s="76"/>
      <c r="O51" s="76"/>
      <c r="P51" s="76"/>
      <c r="Q51" s="76"/>
      <c r="R51" s="76"/>
      <c r="S51" s="76"/>
      <c r="T51" s="76" t="s">
        <v>3328</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3328</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3280</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2844</v>
      </c>
      <c r="G192" s="73"/>
      <c r="H192" s="76" t="s">
        <v>3228</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3225</v>
      </c>
      <c r="S192" s="76" t="s">
        <v>3225</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2845</v>
      </c>
      <c r="G193" s="73"/>
      <c r="H193" s="76" t="s">
        <v>3229</v>
      </c>
      <c r="I193" s="96" t="s">
        <v>2856</v>
      </c>
      <c r="J193" s="96"/>
      <c r="K193" s="97">
        <v>7.6536</v>
      </c>
      <c r="L193" s="97">
        <v>7.6536</v>
      </c>
      <c r="M193" s="97">
        <v>7.6536</v>
      </c>
      <c r="N193" s="97">
        <v>7.6536</v>
      </c>
      <c r="O193" s="97">
        <v>7.6536</v>
      </c>
      <c r="P193" s="97">
        <v>7.6536</v>
      </c>
      <c r="Q193" s="76"/>
      <c r="R193" s="76" t="s">
        <v>3225</v>
      </c>
      <c r="S193" s="76" t="s">
        <v>3225</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2848</v>
      </c>
      <c r="G198" s="73"/>
      <c r="H198" s="76" t="s">
        <v>3226</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3225</v>
      </c>
      <c r="S198" s="76" t="s">
        <v>3225</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2851</v>
      </c>
      <c r="G199" s="73"/>
      <c r="H199" s="76" t="s">
        <v>3227</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3225</v>
      </c>
      <c r="S199" s="76" t="s">
        <v>3225</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3281</v>
      </c>
      <c r="G203" s="73"/>
      <c r="H203" s="76" t="s">
        <v>3289</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3282</v>
      </c>
      <c r="G204" s="73"/>
      <c r="H204" s="76" t="s">
        <v>3290</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3283</v>
      </c>
      <c r="G205" s="73"/>
      <c r="H205" s="76" t="s">
        <v>3291</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3284</v>
      </c>
      <c r="G206" s="73"/>
      <c r="H206" s="76" t="s">
        <v>3292</v>
      </c>
      <c r="I206" s="96" t="s">
        <v>626</v>
      </c>
      <c r="J206" s="96"/>
      <c r="K206" s="281">
        <f>1/(1+K$194)</f>
        <v>0.69930069930069938</v>
      </c>
      <c r="L206" s="281">
        <f t="shared" si="35"/>
        <v>0.69930069930069938</v>
      </c>
      <c r="M206" s="76"/>
      <c r="N206" s="76"/>
      <c r="O206" s="76"/>
      <c r="P206" s="76"/>
      <c r="Q206" s="76"/>
      <c r="R206" s="76" t="s">
        <v>3296</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3286</v>
      </c>
      <c r="G207" s="73"/>
      <c r="H207" s="76" t="s">
        <v>3293</v>
      </c>
      <c r="I207" s="96" t="s">
        <v>626</v>
      </c>
      <c r="J207" s="96"/>
      <c r="K207" s="258">
        <v>1</v>
      </c>
      <c r="L207" s="258">
        <f t="shared" si="35"/>
        <v>1</v>
      </c>
      <c r="M207" s="76"/>
      <c r="N207" s="76"/>
      <c r="O207" s="76"/>
      <c r="P207" s="76"/>
      <c r="Q207" s="76"/>
      <c r="R207" s="76" t="s">
        <v>3296</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3285</v>
      </c>
      <c r="G208" s="73"/>
      <c r="H208" s="76" t="s">
        <v>3294</v>
      </c>
      <c r="I208" s="96" t="s">
        <v>626</v>
      </c>
      <c r="J208" s="96"/>
      <c r="K208" s="281">
        <f>1/(1+K$195)</f>
        <v>0.4</v>
      </c>
      <c r="L208" s="281">
        <f t="shared" si="35"/>
        <v>0.4</v>
      </c>
      <c r="M208" s="76"/>
      <c r="N208" s="76"/>
      <c r="O208" s="76"/>
      <c r="P208" s="76"/>
      <c r="Q208" s="76"/>
      <c r="R208" s="76" t="s">
        <v>3296</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3287</v>
      </c>
      <c r="G209" s="73"/>
      <c r="H209" s="76" t="s">
        <v>3295</v>
      </c>
      <c r="I209" s="96" t="s">
        <v>626</v>
      </c>
      <c r="J209" s="96"/>
      <c r="K209" s="258">
        <v>1</v>
      </c>
      <c r="L209" s="258">
        <f t="shared" si="35"/>
        <v>1</v>
      </c>
      <c r="M209" s="76"/>
      <c r="N209" s="76"/>
      <c r="O209" s="76"/>
      <c r="P209" s="76"/>
      <c r="Q209" s="76"/>
      <c r="R209" s="76" t="s">
        <v>3296</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3288</v>
      </c>
      <c r="G210" s="73"/>
      <c r="H210" s="76" t="s">
        <v>3298</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3297</v>
      </c>
      <c r="G211" s="73"/>
      <c r="H211" s="76" t="s">
        <v>3316</v>
      </c>
      <c r="I211" s="96" t="s">
        <v>626</v>
      </c>
      <c r="J211" s="96"/>
      <c r="K211" s="281">
        <f>0.448*K$175</f>
        <v>0.224</v>
      </c>
      <c r="L211" s="281">
        <f>K211</f>
        <v>0.224</v>
      </c>
      <c r="M211" s="76"/>
      <c r="N211" s="76"/>
      <c r="O211" s="76"/>
      <c r="P211" s="76"/>
      <c r="Q211" s="76"/>
      <c r="R211" s="76" t="s">
        <v>3318</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3315</v>
      </c>
      <c r="G212" s="73"/>
      <c r="H212" s="76" t="s">
        <v>3317</v>
      </c>
      <c r="I212" s="96" t="s">
        <v>626</v>
      </c>
      <c r="J212" s="96"/>
      <c r="K212" s="281">
        <f>0.448*K$176</f>
        <v>8.9600000000000009E-3</v>
      </c>
      <c r="L212" s="281">
        <f>K212</f>
        <v>8.9600000000000009E-3</v>
      </c>
      <c r="M212" s="76"/>
      <c r="N212" s="76"/>
      <c r="O212" s="76"/>
      <c r="P212" s="76"/>
      <c r="Q212" s="76"/>
      <c r="R212" s="76" t="s">
        <v>3318</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2862</v>
      </c>
      <c r="G234" s="73"/>
      <c r="H234" s="76" t="s">
        <v>3230</v>
      </c>
      <c r="I234" s="96" t="s">
        <v>2865</v>
      </c>
      <c r="J234" s="96"/>
      <c r="K234" s="97">
        <v>0</v>
      </c>
      <c r="L234" s="97">
        <v>0</v>
      </c>
      <c r="M234" s="97">
        <v>0</v>
      </c>
      <c r="N234" s="97">
        <v>0</v>
      </c>
      <c r="O234" s="97">
        <v>0</v>
      </c>
      <c r="P234" s="97">
        <v>0</v>
      </c>
      <c r="Q234" s="76"/>
      <c r="R234" s="76" t="s">
        <v>3236</v>
      </c>
      <c r="S234" s="76" t="s">
        <v>3236</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3236</v>
      </c>
      <c r="S235" s="76" t="s">
        <v>3236</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3236</v>
      </c>
      <c r="S236" s="76" t="s">
        <v>3236</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3231</v>
      </c>
      <c r="G237" s="73"/>
      <c r="H237" s="76" t="s">
        <v>662</v>
      </c>
      <c r="I237" s="96" t="s">
        <v>502</v>
      </c>
      <c r="J237" s="96"/>
      <c r="K237" s="97">
        <v>0.106</v>
      </c>
      <c r="L237" s="97">
        <v>0.106</v>
      </c>
      <c r="M237" s="97">
        <v>0.106</v>
      </c>
      <c r="N237" s="97">
        <v>0.106</v>
      </c>
      <c r="O237" s="97">
        <v>0.106</v>
      </c>
      <c r="P237" s="97">
        <v>0.106</v>
      </c>
      <c r="Q237" s="76"/>
      <c r="R237" s="76" t="s">
        <v>3235</v>
      </c>
      <c r="S237" s="76" t="s">
        <v>3235</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3232</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3235</v>
      </c>
      <c r="S238" s="76" t="s">
        <v>3235</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3234</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3235</v>
      </c>
      <c r="S239" s="76" t="s">
        <v>3235</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3233</v>
      </c>
      <c r="G240" s="73"/>
      <c r="H240" s="76" t="s">
        <v>671</v>
      </c>
      <c r="I240" s="96" t="s">
        <v>502</v>
      </c>
      <c r="J240" s="96"/>
      <c r="K240" s="97">
        <v>0.39</v>
      </c>
      <c r="L240" s="97">
        <v>0.39</v>
      </c>
      <c r="M240" s="97">
        <v>0.39</v>
      </c>
      <c r="N240" s="97">
        <v>0.39</v>
      </c>
      <c r="O240" s="97">
        <v>0.39</v>
      </c>
      <c r="P240" s="97">
        <v>0.39</v>
      </c>
      <c r="Q240" s="76"/>
      <c r="R240" s="76" t="s">
        <v>3235</v>
      </c>
      <c r="S240" s="76" t="s">
        <v>3235</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3311</v>
      </c>
      <c r="G277" s="73"/>
      <c r="H277" s="76" t="s">
        <v>3312</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3313</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3328</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3267</v>
      </c>
      <c r="I310" s="96" t="s">
        <v>3269</v>
      </c>
      <c r="J310" s="96"/>
      <c r="K310" s="97">
        <v>31.7</v>
      </c>
      <c r="L310" s="97">
        <v>31.7</v>
      </c>
      <c r="M310" s="76"/>
      <c r="N310" s="76"/>
      <c r="O310" s="76"/>
      <c r="P310" s="76"/>
      <c r="Q310" s="76"/>
      <c r="R310" s="76" t="s">
        <v>3268</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3328</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3328</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3270</v>
      </c>
      <c r="G332" s="73"/>
      <c r="H332" s="76" t="s">
        <v>3271</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3272</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3332</v>
      </c>
      <c r="G333" s="73"/>
      <c r="H333" s="76" t="s">
        <v>3335</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3334</v>
      </c>
      <c r="G334" s="73"/>
      <c r="H334" s="76" t="s">
        <v>3337</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3336</v>
      </c>
      <c r="G335" s="73"/>
      <c r="H335" s="76" t="s">
        <v>3341</v>
      </c>
      <c r="I335" s="96"/>
      <c r="J335" s="96"/>
      <c r="K335" s="76"/>
      <c r="L335" s="76"/>
      <c r="M335" s="76"/>
      <c r="N335" s="76"/>
      <c r="O335" s="76"/>
      <c r="P335" s="76"/>
      <c r="Q335" s="76"/>
      <c r="R335" s="76"/>
      <c r="S335" s="76"/>
      <c r="T335" s="76" t="s">
        <v>3328</v>
      </c>
      <c r="U335" s="97">
        <v>0.85</v>
      </c>
      <c r="V335" s="97">
        <v>0.85</v>
      </c>
      <c r="W335" s="97">
        <v>0.85</v>
      </c>
      <c r="X335" s="97">
        <v>0.85</v>
      </c>
      <c r="Y335" s="97">
        <v>0.85</v>
      </c>
      <c r="Z335" s="97">
        <v>0.85</v>
      </c>
      <c r="AA335" s="97">
        <v>0.85</v>
      </c>
      <c r="AB335" s="97">
        <v>0.85</v>
      </c>
      <c r="AC335" s="97">
        <v>0.85</v>
      </c>
      <c r="AD335" s="97">
        <v>0.85</v>
      </c>
      <c r="AE335" s="76"/>
      <c r="AF335" s="97" t="s">
        <v>3333</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3340</v>
      </c>
      <c r="G336" s="73"/>
      <c r="H336" s="76" t="s">
        <v>3342</v>
      </c>
      <c r="I336" s="96"/>
      <c r="J336" s="96"/>
      <c r="K336" s="76"/>
      <c r="L336" s="76"/>
      <c r="M336" s="76"/>
      <c r="N336" s="76"/>
      <c r="O336" s="76"/>
      <c r="P336" s="76"/>
      <c r="Q336" s="76"/>
      <c r="R336" s="76"/>
      <c r="S336" s="76"/>
      <c r="T336" s="76" t="s">
        <v>3328</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3328</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3328</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3277</v>
      </c>
      <c r="G394" s="73"/>
      <c r="H394" s="76" t="s">
        <v>3301</v>
      </c>
      <c r="I394" s="96" t="s">
        <v>502</v>
      </c>
      <c r="J394" s="96"/>
      <c r="K394" s="281">
        <v>0.1</v>
      </c>
      <c r="L394" s="281">
        <v>0.1</v>
      </c>
      <c r="M394" s="281">
        <v>0.1</v>
      </c>
      <c r="N394" s="281">
        <v>0.1</v>
      </c>
      <c r="O394" s="281">
        <v>0.1</v>
      </c>
      <c r="P394" s="281">
        <v>0.1</v>
      </c>
      <c r="Q394" s="76"/>
      <c r="R394" s="76" t="s">
        <v>3278</v>
      </c>
      <c r="S394" s="76" t="s">
        <v>3278</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3303</v>
      </c>
      <c r="G395" s="73"/>
      <c r="H395" s="76" t="s">
        <v>3300</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3302</v>
      </c>
      <c r="S395" s="76" t="s">
        <v>3278</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3328</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3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3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3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3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3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3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3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3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3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3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3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3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3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3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3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3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collapsed="1" x14ac:dyDescent="0.3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3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3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3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3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collapsed="1" x14ac:dyDescent="0.3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3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3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3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3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3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3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3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collapsed="1" x14ac:dyDescent="0.3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3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3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3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3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3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3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3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3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3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3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3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3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3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collapsed="1" x14ac:dyDescent="0.3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3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3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3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3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3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3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3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collapsed="1" x14ac:dyDescent="0.3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3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3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3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3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3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3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3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3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3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3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3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3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3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3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3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3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3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3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3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3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3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3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3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3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3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3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3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3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3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3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collapsed="1" x14ac:dyDescent="0.3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3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3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3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3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3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3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3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3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3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3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3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collapsed="1" x14ac:dyDescent="0.3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3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3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3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3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3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3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3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3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3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3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3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3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3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3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3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3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3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3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3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3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3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3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3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3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3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3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3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3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3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3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3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3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3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3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x14ac:dyDescent="0.3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27</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3" x14ac:dyDescent="0.3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outlineLevel="3" x14ac:dyDescent="0.3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outlineLevel="3" x14ac:dyDescent="0.3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outlineLevel="3" x14ac:dyDescent="0.3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3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outlineLevel="2" x14ac:dyDescent="0.3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outlineLevel="2" x14ac:dyDescent="0.3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outlineLevel="2" x14ac:dyDescent="0.3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outlineLevel="2" x14ac:dyDescent="0.3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outlineLevel="2" x14ac:dyDescent="0.3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outlineLevel="2" x14ac:dyDescent="0.3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outlineLevel="2" x14ac:dyDescent="0.3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outlineLevel="2" x14ac:dyDescent="0.3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outlineLevel="2" x14ac:dyDescent="0.3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outlineLevel="2" x14ac:dyDescent="0.3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outlineLevel="2" x14ac:dyDescent="0.3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outlineLevel="2" x14ac:dyDescent="0.3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outlineLevel="2" x14ac:dyDescent="0.3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outlineLevel="2" x14ac:dyDescent="0.3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outlineLevel="2" x14ac:dyDescent="0.3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outlineLevel="2" x14ac:dyDescent="0.3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outlineLevel="2" x14ac:dyDescent="0.3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outlineLevel="2" x14ac:dyDescent="0.3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outlineLevel="2" x14ac:dyDescent="0.3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outlineLevel="2" x14ac:dyDescent="0.3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outlineLevel="2" x14ac:dyDescent="0.3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outlineLevel="2" x14ac:dyDescent="0.3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outlineLevel="2" x14ac:dyDescent="0.3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outlineLevel="2" x14ac:dyDescent="0.3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outlineLevel="2" x14ac:dyDescent="0.3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outlineLevel="2" x14ac:dyDescent="0.3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outlineLevel="2" x14ac:dyDescent="0.3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outlineLevel="2" x14ac:dyDescent="0.3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3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outlineLevel="2" x14ac:dyDescent="0.3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outlineLevel="2" x14ac:dyDescent="0.3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outlineLevel="2" x14ac:dyDescent="0.3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3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outlineLevel="2" x14ac:dyDescent="0.3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outlineLevel="2" x14ac:dyDescent="0.3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outlineLevel="2" x14ac:dyDescent="0.3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outlineLevel="2" x14ac:dyDescent="0.3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3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3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3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35">
      <c r="A876" s="45"/>
      <c r="B876" s="54"/>
      <c r="C876" s="47">
        <f t="shared" ref="C876:C927"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3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outlineLevel="2" x14ac:dyDescent="0.3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outlineLevel="2" x14ac:dyDescent="0.3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outlineLevel="2" x14ac:dyDescent="0.3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3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outlineLevel="2" x14ac:dyDescent="0.3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outlineLevel="2" x14ac:dyDescent="0.3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outlineLevel="2" x14ac:dyDescent="0.3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3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outlineLevel="2" x14ac:dyDescent="0.3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outlineLevel="2" collapsed="1" x14ac:dyDescent="0.3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3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3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3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outlineLevel="2" x14ac:dyDescent="0.3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outlineLevel="2" x14ac:dyDescent="0.3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outlineLevel="2" x14ac:dyDescent="0.3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outlineLevel="2" x14ac:dyDescent="0.3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outlineLevel="2" x14ac:dyDescent="0.3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outlineLevel="2" x14ac:dyDescent="0.3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outlineLevel="2" x14ac:dyDescent="0.3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outlineLevel="2" x14ac:dyDescent="0.3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outlineLevel="2" x14ac:dyDescent="0.3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outlineLevel="2" x14ac:dyDescent="0.3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outlineLevel="2" x14ac:dyDescent="0.35">
      <c r="A920" s="45"/>
      <c r="B920" s="54"/>
      <c r="C920" s="47">
        <f t="shared" si="166"/>
        <v>3</v>
      </c>
      <c r="D920" s="73"/>
      <c r="E920" s="70"/>
      <c r="F920" s="70" t="s">
        <v>2531</v>
      </c>
      <c r="G920" s="73"/>
      <c r="H920" s="76" t="s">
        <v>3357</v>
      </c>
      <c r="I920" s="96" t="s">
        <v>502</v>
      </c>
      <c r="J920" s="96"/>
      <c r="K920" s="76"/>
      <c r="L920" s="76"/>
      <c r="M920" s="76"/>
      <c r="N920" s="76"/>
      <c r="O920" s="76"/>
      <c r="P920" s="76"/>
      <c r="Q920" s="76"/>
      <c r="R920" s="76"/>
      <c r="S920" s="76"/>
      <c r="T920" s="76" t="s">
        <v>3328</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outlineLevel="2" x14ac:dyDescent="0.3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3328</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outlineLevel="2" x14ac:dyDescent="0.3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outlineLevel="2" x14ac:dyDescent="0.3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outlineLevel="2" x14ac:dyDescent="0.35">
      <c r="A924" s="45"/>
      <c r="B924" s="54"/>
      <c r="C924" s="47">
        <f t="shared" si="166"/>
        <v>3</v>
      </c>
      <c r="D924" s="73"/>
      <c r="E924" s="70"/>
      <c r="F924" s="70" t="s">
        <v>3362</v>
      </c>
      <c r="G924" s="73"/>
      <c r="H924" s="76" t="s">
        <v>2596</v>
      </c>
      <c r="I924" s="96" t="s">
        <v>502</v>
      </c>
      <c r="J924" s="96"/>
      <c r="K924" s="76"/>
      <c r="L924" s="76"/>
      <c r="M924" s="76"/>
      <c r="N924" s="76"/>
      <c r="O924" s="76"/>
      <c r="P924" s="76"/>
      <c r="Q924" s="76"/>
      <c r="R924" s="76"/>
      <c r="S924" s="76"/>
      <c r="T924" s="76" t="s">
        <v>3328</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outlineLevel="2" x14ac:dyDescent="0.35">
      <c r="A925" s="45"/>
      <c r="B925" s="54"/>
      <c r="C925" s="47">
        <f t="shared" si="166"/>
        <v>3</v>
      </c>
      <c r="D925" s="73"/>
      <c r="E925" s="70"/>
      <c r="F925" s="70" t="s">
        <v>3363</v>
      </c>
      <c r="G925" s="73"/>
      <c r="H925" s="76" t="s">
        <v>2536</v>
      </c>
      <c r="I925" s="96" t="s">
        <v>502</v>
      </c>
      <c r="J925" s="96"/>
      <c r="K925" s="76"/>
      <c r="L925" s="76"/>
      <c r="M925" s="76"/>
      <c r="N925" s="76"/>
      <c r="O925" s="76"/>
      <c r="P925" s="76"/>
      <c r="Q925" s="76"/>
      <c r="R925" s="76"/>
      <c r="S925" s="76"/>
      <c r="T925" s="76" t="s">
        <v>3328</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outlineLevel="2" x14ac:dyDescent="0.35">
      <c r="A926" s="45"/>
      <c r="B926" s="54"/>
      <c r="C926" s="47">
        <f t="shared" si="166"/>
        <v>3</v>
      </c>
      <c r="D926" s="73"/>
      <c r="E926" s="70"/>
      <c r="F926" s="70" t="s">
        <v>3364</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outlineLevel="2" x14ac:dyDescent="0.35">
      <c r="A927" s="45"/>
      <c r="B927" s="54"/>
      <c r="C927" s="47">
        <f t="shared" si="166"/>
        <v>3</v>
      </c>
      <c r="D927" s="73"/>
      <c r="E927" s="70"/>
      <c r="F927" s="70" t="s">
        <v>3365</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outlineLevel="1" collapsed="1" x14ac:dyDescent="0.35">
      <c r="A928" s="45"/>
      <c r="B928" s="54"/>
      <c r="C928" s="47">
        <f>INT($C$29)+1</f>
        <v>2</v>
      </c>
      <c r="D928" s="73"/>
      <c r="E928" s="70"/>
      <c r="F928" s="265" t="s">
        <v>1627</v>
      </c>
      <c r="G928" s="73"/>
      <c r="H928" s="246" t="s">
        <v>1628</v>
      </c>
      <c r="I928" s="129"/>
      <c r="J928" s="129" t="s">
        <v>1045</v>
      </c>
      <c r="K928" s="76"/>
      <c r="L928" s="76"/>
      <c r="M928" s="76"/>
      <c r="N928" s="76"/>
      <c r="O928" s="76"/>
      <c r="P928" s="76"/>
      <c r="Q928" s="76"/>
      <c r="R928" s="76"/>
      <c r="S928" s="76"/>
      <c r="T928" s="76"/>
      <c r="U928" s="79">
        <v>27</v>
      </c>
      <c r="V928" s="79">
        <v>4</v>
      </c>
      <c r="W928" s="79">
        <v>-12</v>
      </c>
      <c r="X928" s="76"/>
      <c r="Y928" s="76"/>
      <c r="Z928" s="76"/>
      <c r="AA928" s="76"/>
      <c r="AB928" s="76"/>
      <c r="AC928" s="76"/>
      <c r="AD928" s="76"/>
      <c r="AE928" s="76"/>
      <c r="AF928" s="76"/>
      <c r="AG928" s="76"/>
      <c r="AH928" s="76"/>
      <c r="AI928" s="76"/>
      <c r="AJ928" s="73"/>
      <c r="AK928" s="57"/>
      <c r="AL928" s="45"/>
      <c r="AM928" s="45"/>
      <c r="AN928" s="45"/>
    </row>
    <row r="929" spans="1:40" hidden="1" outlineLevel="2" x14ac:dyDescent="0.35">
      <c r="A929" s="45"/>
      <c r="B929" s="54"/>
      <c r="C929" s="47">
        <f>INT($C$29)+2</f>
        <v>3</v>
      </c>
      <c r="D929" s="73"/>
      <c r="E929" s="70" t="s">
        <v>790</v>
      </c>
      <c r="F929" s="70" t="s">
        <v>1629</v>
      </c>
      <c r="G929" s="73"/>
      <c r="H929" s="76" t="s">
        <v>1630</v>
      </c>
      <c r="I929" s="96" t="s">
        <v>665</v>
      </c>
      <c r="J929" s="96"/>
      <c r="K929" s="76"/>
      <c r="L929" s="76"/>
      <c r="M929" s="76"/>
      <c r="N929" s="76"/>
      <c r="O929" s="76"/>
      <c r="P929" s="76"/>
      <c r="Q929" s="76"/>
      <c r="R929" s="76" t="s">
        <v>672</v>
      </c>
      <c r="S929" s="76" t="s">
        <v>794</v>
      </c>
      <c r="T929" s="76"/>
      <c r="U929" s="76">
        <v>0</v>
      </c>
      <c r="V929" s="76">
        <v>0</v>
      </c>
      <c r="W929" s="76">
        <v>0</v>
      </c>
      <c r="X929" s="76">
        <v>0</v>
      </c>
      <c r="Y929" s="76">
        <v>0</v>
      </c>
      <c r="Z929" s="76">
        <v>0</v>
      </c>
      <c r="AA929" s="76">
        <v>0</v>
      </c>
      <c r="AB929" s="76">
        <v>0</v>
      </c>
      <c r="AC929" s="76">
        <v>0</v>
      </c>
      <c r="AD929" s="76">
        <v>0</v>
      </c>
      <c r="AE929" s="76"/>
      <c r="AF929" s="264" t="s">
        <v>1631</v>
      </c>
      <c r="AG929" s="76"/>
      <c r="AH929" s="76">
        <v>1</v>
      </c>
      <c r="AI929" s="76">
        <v>1</v>
      </c>
      <c r="AJ929" s="73"/>
      <c r="AK929" s="57"/>
      <c r="AL929" s="45"/>
      <c r="AM929" s="45"/>
      <c r="AN929" s="45"/>
    </row>
    <row r="930" spans="1:40" hidden="1" outlineLevel="2" x14ac:dyDescent="0.35">
      <c r="A930" s="45"/>
      <c r="B930" s="54"/>
      <c r="C930" s="47">
        <f>INT($C$29)+2</f>
        <v>3</v>
      </c>
      <c r="D930" s="73"/>
      <c r="E930" s="70"/>
      <c r="F930" s="70" t="s">
        <v>1632</v>
      </c>
      <c r="G930" s="73"/>
      <c r="H930" s="76" t="s">
        <v>1633</v>
      </c>
      <c r="I930" s="96" t="s">
        <v>665</v>
      </c>
      <c r="J930" s="96"/>
      <c r="K930" s="97">
        <v>0.38900000000000001</v>
      </c>
      <c r="L930" s="97">
        <v>0.48599999999999999</v>
      </c>
      <c r="M930" s="97">
        <v>0.375</v>
      </c>
      <c r="N930" s="97">
        <v>0.375</v>
      </c>
      <c r="O930" s="97">
        <v>0.375</v>
      </c>
      <c r="P930" s="97">
        <v>0.5</v>
      </c>
      <c r="Q930" s="76"/>
      <c r="R930" s="76" t="s">
        <v>672</v>
      </c>
      <c r="S930" s="76" t="s">
        <v>794</v>
      </c>
      <c r="T930" s="76"/>
      <c r="U930" s="253">
        <f t="shared" ref="U930:AD932" si="182">INDEX($K930:$Q930,1,U$43)</f>
        <v>0.38900000000000001</v>
      </c>
      <c r="V930" s="253">
        <f t="shared" si="182"/>
        <v>0.38900000000000001</v>
      </c>
      <c r="W930" s="253">
        <f t="shared" si="182"/>
        <v>0.38900000000000001</v>
      </c>
      <c r="X930" s="253">
        <f t="shared" si="182"/>
        <v>0.38900000000000001</v>
      </c>
      <c r="Y930" s="253">
        <f t="shared" si="182"/>
        <v>0.38900000000000001</v>
      </c>
      <c r="Z930" s="253">
        <f t="shared" si="182"/>
        <v>0.48599999999999999</v>
      </c>
      <c r="AA930" s="253">
        <f t="shared" si="182"/>
        <v>0.48599999999999999</v>
      </c>
      <c r="AB930" s="253">
        <f t="shared" si="182"/>
        <v>0.48599999999999999</v>
      </c>
      <c r="AC930" s="253">
        <f t="shared" si="182"/>
        <v>0.48599999999999999</v>
      </c>
      <c r="AD930" s="253">
        <f t="shared" si="182"/>
        <v>0.48599999999999999</v>
      </c>
      <c r="AE930" s="76"/>
      <c r="AF930" s="76"/>
      <c r="AG930" s="76"/>
      <c r="AH930" s="97">
        <v>1</v>
      </c>
      <c r="AI930" s="97">
        <v>1</v>
      </c>
      <c r="AJ930" s="73"/>
      <c r="AK930" s="57"/>
      <c r="AL930" s="45"/>
      <c r="AM930" s="45"/>
      <c r="AN930" s="45"/>
    </row>
    <row r="931" spans="1:40" hidden="1" outlineLevel="2" x14ac:dyDescent="0.35">
      <c r="A931" s="45"/>
      <c r="B931" s="54"/>
      <c r="C931" s="47">
        <f>INT($C$29)+2</f>
        <v>3</v>
      </c>
      <c r="D931" s="73"/>
      <c r="E931" s="70"/>
      <c r="F931" s="70" t="s">
        <v>1629</v>
      </c>
      <c r="G931" s="73"/>
      <c r="H931" s="76" t="s">
        <v>1634</v>
      </c>
      <c r="I931" s="96" t="s">
        <v>665</v>
      </c>
      <c r="J931" s="96"/>
      <c r="K931" s="97">
        <v>0.622</v>
      </c>
      <c r="L931" s="97">
        <v>0.77800000000000002</v>
      </c>
      <c r="M931" s="76"/>
      <c r="N931" s="76"/>
      <c r="O931" s="76"/>
      <c r="P931" s="76"/>
      <c r="Q931" s="76"/>
      <c r="R931" s="76" t="s">
        <v>672</v>
      </c>
      <c r="S931" s="76" t="s">
        <v>794</v>
      </c>
      <c r="T931" s="76"/>
      <c r="U931" s="253">
        <f t="shared" si="182"/>
        <v>0.622</v>
      </c>
      <c r="V931" s="253">
        <f t="shared" si="182"/>
        <v>0.622</v>
      </c>
      <c r="W931" s="253">
        <f t="shared" si="182"/>
        <v>0.622</v>
      </c>
      <c r="X931" s="253">
        <f t="shared" si="182"/>
        <v>0.622</v>
      </c>
      <c r="Y931" s="253">
        <f t="shared" si="182"/>
        <v>0.622</v>
      </c>
      <c r="Z931" s="253">
        <f t="shared" si="182"/>
        <v>0.77800000000000002</v>
      </c>
      <c r="AA931" s="253">
        <f t="shared" si="182"/>
        <v>0.77800000000000002</v>
      </c>
      <c r="AB931" s="253">
        <f t="shared" si="182"/>
        <v>0.77800000000000002</v>
      </c>
      <c r="AC931" s="253">
        <f t="shared" si="182"/>
        <v>0.77800000000000002</v>
      </c>
      <c r="AD931" s="253">
        <f t="shared" si="182"/>
        <v>0.77800000000000002</v>
      </c>
      <c r="AE931" s="76"/>
      <c r="AF931" s="76"/>
      <c r="AG931" s="76"/>
      <c r="AH931" s="97">
        <v>1</v>
      </c>
      <c r="AI931" s="97">
        <v>1</v>
      </c>
      <c r="AJ931" s="73"/>
      <c r="AK931" s="57"/>
      <c r="AL931" s="45"/>
      <c r="AM931" s="45"/>
      <c r="AN931" s="45"/>
    </row>
    <row r="932" spans="1:40" hidden="1" outlineLevel="2" collapsed="1" x14ac:dyDescent="0.35">
      <c r="A932" s="45"/>
      <c r="B932" s="54"/>
      <c r="C932" s="47">
        <f>INT($C$29)+2</f>
        <v>3</v>
      </c>
      <c r="D932" s="73"/>
      <c r="E932" s="70"/>
      <c r="F932" s="70" t="s">
        <v>1635</v>
      </c>
      <c r="G932" s="73"/>
      <c r="H932" s="76" t="s">
        <v>1636</v>
      </c>
      <c r="I932" s="96" t="s">
        <v>665</v>
      </c>
      <c r="J932" s="96"/>
      <c r="K932" s="97">
        <v>0.746</v>
      </c>
      <c r="L932" s="97">
        <v>0.93400000000000005</v>
      </c>
      <c r="M932" s="76"/>
      <c r="N932" s="76"/>
      <c r="O932" s="76"/>
      <c r="P932" s="76"/>
      <c r="Q932" s="76"/>
      <c r="R932" s="76" t="s">
        <v>672</v>
      </c>
      <c r="S932" s="76" t="s">
        <v>794</v>
      </c>
      <c r="T932" s="76"/>
      <c r="U932" s="253">
        <f t="shared" si="182"/>
        <v>0.746</v>
      </c>
      <c r="V932" s="253">
        <f t="shared" si="182"/>
        <v>0.746</v>
      </c>
      <c r="W932" s="253">
        <f t="shared" si="182"/>
        <v>0.746</v>
      </c>
      <c r="X932" s="253">
        <f t="shared" si="182"/>
        <v>0.746</v>
      </c>
      <c r="Y932" s="253">
        <f t="shared" si="182"/>
        <v>0.746</v>
      </c>
      <c r="Z932" s="253">
        <f t="shared" si="182"/>
        <v>0.93400000000000005</v>
      </c>
      <c r="AA932" s="253">
        <f t="shared" si="182"/>
        <v>0.93400000000000005</v>
      </c>
      <c r="AB932" s="253">
        <f t="shared" si="182"/>
        <v>0.93400000000000005</v>
      </c>
      <c r="AC932" s="253">
        <f t="shared" si="182"/>
        <v>0.93400000000000005</v>
      </c>
      <c r="AD932" s="253">
        <f t="shared" si="182"/>
        <v>0.93400000000000005</v>
      </c>
      <c r="AE932" s="76"/>
      <c r="AF932" s="76"/>
      <c r="AG932" s="76"/>
      <c r="AH932" s="97">
        <v>1</v>
      </c>
      <c r="AI932" s="97">
        <v>1</v>
      </c>
      <c r="AJ932" s="73"/>
      <c r="AK932" s="57"/>
      <c r="AL932" s="45"/>
      <c r="AM932" s="45"/>
      <c r="AN932" s="45"/>
    </row>
    <row r="933" spans="1:40" hidden="1" outlineLevel="3" x14ac:dyDescent="0.35">
      <c r="A933" s="45"/>
      <c r="B933" s="54"/>
      <c r="C933" s="47">
        <f t="shared" ref="C933:C964" si="183">INT($C$29)+3</f>
        <v>4</v>
      </c>
      <c r="D933" s="73"/>
      <c r="E933" s="70"/>
      <c r="F933" s="70" t="s">
        <v>1637</v>
      </c>
      <c r="G933" s="73"/>
      <c r="H933" s="76" t="s">
        <v>1489</v>
      </c>
      <c r="I933" s="96" t="s">
        <v>502</v>
      </c>
      <c r="J933" s="96"/>
      <c r="K933" s="76"/>
      <c r="L933" s="76"/>
      <c r="M933" s="76"/>
      <c r="N933" s="76"/>
      <c r="O933" s="76"/>
      <c r="P933" s="76"/>
      <c r="Q933" s="76"/>
      <c r="R933" s="76"/>
      <c r="S933" s="76"/>
      <c r="T933" s="76"/>
      <c r="U933" s="76"/>
      <c r="V933" s="76"/>
      <c r="W933" s="76"/>
      <c r="X933" s="76"/>
      <c r="Y933" s="76"/>
      <c r="Z933" s="76"/>
      <c r="AA933" s="76"/>
      <c r="AB933" s="76"/>
      <c r="AC933" s="76"/>
      <c r="AD933" s="76"/>
      <c r="AE933" s="76"/>
      <c r="AF933" s="76"/>
      <c r="AG933" s="76"/>
      <c r="AH933" s="76">
        <v>1</v>
      </c>
      <c r="AI933" s="76">
        <v>1</v>
      </c>
      <c r="AJ933" s="73"/>
      <c r="AK933" s="57"/>
      <c r="AL933" s="45"/>
      <c r="AM933" s="45"/>
      <c r="AN933" s="45"/>
    </row>
    <row r="934" spans="1:40" hidden="1" outlineLevel="3" x14ac:dyDescent="0.35">
      <c r="A934" s="45"/>
      <c r="B934" s="54"/>
      <c r="C934" s="47">
        <f t="shared" si="183"/>
        <v>4</v>
      </c>
      <c r="D934" s="73"/>
      <c r="E934" s="70"/>
      <c r="F934" s="70" t="s">
        <v>1638</v>
      </c>
      <c r="G934" s="73"/>
      <c r="H934" s="76" t="s">
        <v>1491</v>
      </c>
      <c r="I934" s="96" t="s">
        <v>502</v>
      </c>
      <c r="J934" s="96"/>
      <c r="K934" s="76"/>
      <c r="L934" s="76"/>
      <c r="M934" s="76"/>
      <c r="N934" s="76"/>
      <c r="O934" s="76"/>
      <c r="P934" s="76"/>
      <c r="Q934" s="76"/>
      <c r="R934" s="76"/>
      <c r="S934" s="76"/>
      <c r="T934" s="76"/>
      <c r="U934" s="76"/>
      <c r="V934" s="76"/>
      <c r="W934" s="76"/>
      <c r="X934" s="76"/>
      <c r="Y934" s="76"/>
      <c r="Z934" s="76"/>
      <c r="AA934" s="76"/>
      <c r="AB934" s="76"/>
      <c r="AC934" s="76"/>
      <c r="AD934" s="76"/>
      <c r="AE934" s="76"/>
      <c r="AF934" s="76"/>
      <c r="AG934" s="76"/>
      <c r="AH934" s="76">
        <v>1</v>
      </c>
      <c r="AI934" s="76">
        <v>1</v>
      </c>
      <c r="AJ934" s="73"/>
      <c r="AK934" s="57"/>
      <c r="AL934" s="45"/>
      <c r="AM934" s="45"/>
      <c r="AN934" s="45"/>
    </row>
    <row r="935" spans="1:40" hidden="1" outlineLevel="3" x14ac:dyDescent="0.35">
      <c r="A935" s="45"/>
      <c r="B935" s="54"/>
      <c r="C935" s="47">
        <f t="shared" si="183"/>
        <v>4</v>
      </c>
      <c r="D935" s="73"/>
      <c r="E935" s="70"/>
      <c r="F935" s="70" t="s">
        <v>1639</v>
      </c>
      <c r="G935" s="73"/>
      <c r="H935" s="76" t="s">
        <v>1493</v>
      </c>
      <c r="I935" s="96" t="s">
        <v>502</v>
      </c>
      <c r="J935" s="96"/>
      <c r="K935" s="76"/>
      <c r="L935" s="76"/>
      <c r="M935" s="76"/>
      <c r="N935" s="76"/>
      <c r="O935" s="76"/>
      <c r="P935" s="76"/>
      <c r="Q935" s="76"/>
      <c r="R935" s="76"/>
      <c r="S935" s="76"/>
      <c r="T935" s="76"/>
      <c r="U935" s="76"/>
      <c r="V935" s="76"/>
      <c r="W935" s="76"/>
      <c r="X935" s="76"/>
      <c r="Y935" s="76"/>
      <c r="Z935" s="76"/>
      <c r="AA935" s="76"/>
      <c r="AB935" s="76"/>
      <c r="AC935" s="76"/>
      <c r="AD935" s="76"/>
      <c r="AE935" s="76"/>
      <c r="AF935" s="76"/>
      <c r="AG935" s="76"/>
      <c r="AH935" s="76">
        <v>1</v>
      </c>
      <c r="AI935" s="76">
        <v>1</v>
      </c>
      <c r="AJ935" s="73"/>
      <c r="AK935" s="57"/>
      <c r="AL935" s="45"/>
      <c r="AM935" s="45"/>
      <c r="AN935" s="45"/>
    </row>
    <row r="936" spans="1:40" hidden="1" outlineLevel="3" x14ac:dyDescent="0.35">
      <c r="A936" s="45"/>
      <c r="B936" s="54"/>
      <c r="C936" s="47">
        <f t="shared" si="183"/>
        <v>4</v>
      </c>
      <c r="D936" s="73"/>
      <c r="E936" s="70"/>
      <c r="F936" s="70" t="s">
        <v>1640</v>
      </c>
      <c r="G936" s="73"/>
      <c r="H936" s="76" t="s">
        <v>1495</v>
      </c>
      <c r="I936" s="96" t="s">
        <v>502</v>
      </c>
      <c r="J936" s="96"/>
      <c r="K936" s="76"/>
      <c r="L936" s="76"/>
      <c r="M936" s="76"/>
      <c r="N936" s="76"/>
      <c r="O936" s="76"/>
      <c r="P936" s="76"/>
      <c r="Q936" s="76"/>
      <c r="R936" s="76"/>
      <c r="S936" s="76"/>
      <c r="T936" s="76"/>
      <c r="U936" s="76"/>
      <c r="V936" s="76"/>
      <c r="W936" s="76"/>
      <c r="X936" s="76"/>
      <c r="Y936" s="76"/>
      <c r="Z936" s="76"/>
      <c r="AA936" s="76"/>
      <c r="AB936" s="76"/>
      <c r="AC936" s="76"/>
      <c r="AD936" s="76"/>
      <c r="AE936" s="76"/>
      <c r="AF936" s="76"/>
      <c r="AG936" s="76"/>
      <c r="AH936" s="76">
        <v>1</v>
      </c>
      <c r="AI936" s="76">
        <v>1</v>
      </c>
      <c r="AJ936" s="73"/>
      <c r="AK936" s="57"/>
      <c r="AL936" s="45"/>
      <c r="AM936" s="45"/>
      <c r="AN936" s="45"/>
    </row>
    <row r="937" spans="1:40" hidden="1" outlineLevel="3" x14ac:dyDescent="0.35">
      <c r="A937" s="45"/>
      <c r="B937" s="54"/>
      <c r="C937" s="47">
        <f t="shared" si="183"/>
        <v>4</v>
      </c>
      <c r="D937" s="73"/>
      <c r="E937" s="70"/>
      <c r="F937" s="70" t="s">
        <v>1641</v>
      </c>
      <c r="G937" s="73"/>
      <c r="H937" s="76" t="s">
        <v>1489</v>
      </c>
      <c r="I937" s="96" t="s">
        <v>502</v>
      </c>
      <c r="J937" s="96"/>
      <c r="K937" s="76"/>
      <c r="L937" s="76"/>
      <c r="M937" s="76"/>
      <c r="N937" s="76"/>
      <c r="O937" s="76"/>
      <c r="P937" s="76"/>
      <c r="Q937" s="76"/>
      <c r="R937" s="76"/>
      <c r="S937" s="76"/>
      <c r="T937" s="76"/>
      <c r="U937" s="76"/>
      <c r="V937" s="76"/>
      <c r="W937" s="76"/>
      <c r="X937" s="76"/>
      <c r="Y937" s="76"/>
      <c r="Z937" s="76"/>
      <c r="AA937" s="76"/>
      <c r="AB937" s="76"/>
      <c r="AC937" s="76"/>
      <c r="AD937" s="76"/>
      <c r="AE937" s="76"/>
      <c r="AF937" s="76"/>
      <c r="AG937" s="76"/>
      <c r="AH937" s="76">
        <v>1</v>
      </c>
      <c r="AI937" s="76">
        <v>1</v>
      </c>
      <c r="AJ937" s="73"/>
      <c r="AK937" s="57"/>
      <c r="AL937" s="45"/>
      <c r="AM937" s="45"/>
      <c r="AN937" s="45"/>
    </row>
    <row r="938" spans="1:40" hidden="1" outlineLevel="3" x14ac:dyDescent="0.35">
      <c r="A938" s="45"/>
      <c r="B938" s="54"/>
      <c r="C938" s="47">
        <f t="shared" si="183"/>
        <v>4</v>
      </c>
      <c r="D938" s="73"/>
      <c r="E938" s="70"/>
      <c r="F938" s="70" t="s">
        <v>1642</v>
      </c>
      <c r="G938" s="73"/>
      <c r="H938" s="76" t="s">
        <v>1491</v>
      </c>
      <c r="I938" s="96" t="s">
        <v>502</v>
      </c>
      <c r="J938" s="96"/>
      <c r="K938" s="76"/>
      <c r="L938" s="76"/>
      <c r="M938" s="76"/>
      <c r="N938" s="76"/>
      <c r="O938" s="76"/>
      <c r="P938" s="76"/>
      <c r="Q938" s="76"/>
      <c r="R938" s="76"/>
      <c r="S938" s="76"/>
      <c r="T938" s="76"/>
      <c r="U938" s="76"/>
      <c r="V938" s="76"/>
      <c r="W938" s="76"/>
      <c r="X938" s="76"/>
      <c r="Y938" s="76"/>
      <c r="Z938" s="76"/>
      <c r="AA938" s="76"/>
      <c r="AB938" s="76"/>
      <c r="AC938" s="76"/>
      <c r="AD938" s="76"/>
      <c r="AE938" s="76"/>
      <c r="AF938" s="76"/>
      <c r="AG938" s="76"/>
      <c r="AH938" s="76">
        <v>1</v>
      </c>
      <c r="AI938" s="76">
        <v>1</v>
      </c>
      <c r="AJ938" s="73"/>
      <c r="AK938" s="57"/>
      <c r="AL938" s="45"/>
      <c r="AM938" s="45"/>
      <c r="AN938" s="45"/>
    </row>
    <row r="939" spans="1:40" hidden="1" outlineLevel="3" x14ac:dyDescent="0.35">
      <c r="A939" s="45"/>
      <c r="B939" s="54"/>
      <c r="C939" s="47">
        <f t="shared" si="183"/>
        <v>4</v>
      </c>
      <c r="D939" s="73"/>
      <c r="E939" s="70"/>
      <c r="F939" s="70" t="s">
        <v>1643</v>
      </c>
      <c r="G939" s="73"/>
      <c r="H939" s="76" t="s">
        <v>1493</v>
      </c>
      <c r="I939" s="96" t="s">
        <v>502</v>
      </c>
      <c r="J939" s="96"/>
      <c r="K939" s="76"/>
      <c r="L939" s="76"/>
      <c r="M939" s="76"/>
      <c r="N939" s="76"/>
      <c r="O939" s="76"/>
      <c r="P939" s="76"/>
      <c r="Q939" s="76"/>
      <c r="R939" s="76"/>
      <c r="S939" s="76"/>
      <c r="T939" s="76"/>
      <c r="U939" s="76"/>
      <c r="V939" s="76"/>
      <c r="W939" s="76"/>
      <c r="X939" s="76"/>
      <c r="Y939" s="76"/>
      <c r="Z939" s="76"/>
      <c r="AA939" s="76"/>
      <c r="AB939" s="76"/>
      <c r="AC939" s="76"/>
      <c r="AD939" s="76"/>
      <c r="AE939" s="76"/>
      <c r="AF939" s="76"/>
      <c r="AG939" s="76"/>
      <c r="AH939" s="76">
        <v>1</v>
      </c>
      <c r="AI939" s="76">
        <v>1</v>
      </c>
      <c r="AJ939" s="73"/>
      <c r="AK939" s="57"/>
      <c r="AL939" s="45"/>
      <c r="AM939" s="45"/>
      <c r="AN939" s="45"/>
    </row>
    <row r="940" spans="1:40" hidden="1" outlineLevel="3" x14ac:dyDescent="0.35">
      <c r="A940" s="45"/>
      <c r="B940" s="54"/>
      <c r="C940" s="47">
        <f t="shared" si="183"/>
        <v>4</v>
      </c>
      <c r="D940" s="73"/>
      <c r="E940" s="70"/>
      <c r="F940" s="70" t="s">
        <v>1644</v>
      </c>
      <c r="G940" s="73"/>
      <c r="H940" s="76" t="s">
        <v>1495</v>
      </c>
      <c r="I940" s="96" t="s">
        <v>502</v>
      </c>
      <c r="J940" s="96"/>
      <c r="K940" s="76"/>
      <c r="L940" s="76"/>
      <c r="M940" s="76"/>
      <c r="N940" s="76"/>
      <c r="O940" s="76"/>
      <c r="P940" s="76"/>
      <c r="Q940" s="76"/>
      <c r="R940" s="76"/>
      <c r="S940" s="76"/>
      <c r="T940" s="76"/>
      <c r="U940" s="76"/>
      <c r="V940" s="76"/>
      <c r="W940" s="76"/>
      <c r="X940" s="76"/>
      <c r="Y940" s="76"/>
      <c r="Z940" s="76"/>
      <c r="AA940" s="76"/>
      <c r="AB940" s="76"/>
      <c r="AC940" s="76"/>
      <c r="AD940" s="76"/>
      <c r="AE940" s="76"/>
      <c r="AF940" s="76"/>
      <c r="AG940" s="76"/>
      <c r="AH940" s="76">
        <v>1</v>
      </c>
      <c r="AI940" s="76">
        <v>1</v>
      </c>
      <c r="AJ940" s="73"/>
      <c r="AK940" s="57"/>
      <c r="AL940" s="45"/>
      <c r="AM940" s="45"/>
      <c r="AN940" s="45"/>
    </row>
    <row r="941" spans="1:40" hidden="1" outlineLevel="3" x14ac:dyDescent="0.35">
      <c r="A941" s="45"/>
      <c r="B941" s="54"/>
      <c r="C941" s="47">
        <f t="shared" si="183"/>
        <v>4</v>
      </c>
      <c r="D941" s="73"/>
      <c r="E941" s="70"/>
      <c r="F941" s="70" t="s">
        <v>1645</v>
      </c>
      <c r="G941" s="73"/>
      <c r="H941" s="76" t="s">
        <v>1489</v>
      </c>
      <c r="I941" s="96" t="s">
        <v>502</v>
      </c>
      <c r="J941" s="96"/>
      <c r="K941" s="76"/>
      <c r="L941" s="76"/>
      <c r="M941" s="76"/>
      <c r="N941" s="76"/>
      <c r="O941" s="76"/>
      <c r="P941" s="76"/>
      <c r="Q941" s="76"/>
      <c r="R941" s="76"/>
      <c r="S941" s="76"/>
      <c r="T941" s="76"/>
      <c r="U941" s="76"/>
      <c r="V941" s="76"/>
      <c r="W941" s="76"/>
      <c r="X941" s="76"/>
      <c r="Y941" s="76"/>
      <c r="Z941" s="76"/>
      <c r="AA941" s="76"/>
      <c r="AB941" s="76"/>
      <c r="AC941" s="76"/>
      <c r="AD941" s="76"/>
      <c r="AE941" s="76"/>
      <c r="AF941" s="76"/>
      <c r="AG941" s="76"/>
      <c r="AH941" s="76">
        <v>1</v>
      </c>
      <c r="AI941" s="76">
        <v>1</v>
      </c>
      <c r="AJ941" s="73"/>
      <c r="AK941" s="57"/>
      <c r="AL941" s="45"/>
      <c r="AM941" s="45"/>
      <c r="AN941" s="45"/>
    </row>
    <row r="942" spans="1:40" hidden="1" outlineLevel="3" x14ac:dyDescent="0.35">
      <c r="A942" s="45"/>
      <c r="B942" s="54"/>
      <c r="C942" s="47">
        <f t="shared" si="183"/>
        <v>4</v>
      </c>
      <c r="D942" s="73"/>
      <c r="E942" s="70"/>
      <c r="F942" s="70" t="s">
        <v>1646</v>
      </c>
      <c r="G942" s="73"/>
      <c r="H942" s="76" t="s">
        <v>1491</v>
      </c>
      <c r="I942" s="96" t="s">
        <v>502</v>
      </c>
      <c r="J942" s="96"/>
      <c r="K942" s="76"/>
      <c r="L942" s="76"/>
      <c r="M942" s="76"/>
      <c r="N942" s="76"/>
      <c r="O942" s="76"/>
      <c r="P942" s="76"/>
      <c r="Q942" s="76"/>
      <c r="R942" s="76"/>
      <c r="S942" s="76"/>
      <c r="T942" s="76"/>
      <c r="U942" s="76"/>
      <c r="V942" s="76"/>
      <c r="W942" s="76"/>
      <c r="X942" s="76"/>
      <c r="Y942" s="76"/>
      <c r="Z942" s="76"/>
      <c r="AA942" s="76"/>
      <c r="AB942" s="76"/>
      <c r="AC942" s="76"/>
      <c r="AD942" s="76"/>
      <c r="AE942" s="76"/>
      <c r="AF942" s="76"/>
      <c r="AG942" s="76"/>
      <c r="AH942" s="76">
        <v>1</v>
      </c>
      <c r="AI942" s="76">
        <v>1</v>
      </c>
      <c r="AJ942" s="73"/>
      <c r="AK942" s="57"/>
      <c r="AL942" s="45"/>
      <c r="AM942" s="45"/>
      <c r="AN942" s="45"/>
    </row>
    <row r="943" spans="1:40" hidden="1" outlineLevel="3" x14ac:dyDescent="0.35">
      <c r="A943" s="45"/>
      <c r="B943" s="54"/>
      <c r="C943" s="47">
        <f t="shared" si="183"/>
        <v>4</v>
      </c>
      <c r="D943" s="73"/>
      <c r="E943" s="70"/>
      <c r="F943" s="70" t="s">
        <v>1647</v>
      </c>
      <c r="G943" s="73"/>
      <c r="H943" s="76" t="s">
        <v>1493</v>
      </c>
      <c r="I943" s="96" t="s">
        <v>502</v>
      </c>
      <c r="J943" s="96"/>
      <c r="K943" s="76"/>
      <c r="L943" s="76"/>
      <c r="M943" s="76"/>
      <c r="N943" s="76"/>
      <c r="O943" s="76"/>
      <c r="P943" s="76"/>
      <c r="Q943" s="76"/>
      <c r="R943" s="76"/>
      <c r="S943" s="76"/>
      <c r="T943" s="76"/>
      <c r="U943" s="76"/>
      <c r="V943" s="76"/>
      <c r="W943" s="76"/>
      <c r="X943" s="76"/>
      <c r="Y943" s="76"/>
      <c r="Z943" s="76"/>
      <c r="AA943" s="76"/>
      <c r="AB943" s="76"/>
      <c r="AC943" s="76"/>
      <c r="AD943" s="76"/>
      <c r="AE943" s="76"/>
      <c r="AF943" s="76"/>
      <c r="AG943" s="76"/>
      <c r="AH943" s="76">
        <v>1</v>
      </c>
      <c r="AI943" s="76">
        <v>1</v>
      </c>
      <c r="AJ943" s="73"/>
      <c r="AK943" s="57"/>
      <c r="AL943" s="45"/>
      <c r="AM943" s="45"/>
      <c r="AN943" s="45"/>
    </row>
    <row r="944" spans="1:40" hidden="1" outlineLevel="3" x14ac:dyDescent="0.35">
      <c r="A944" s="45"/>
      <c r="B944" s="54"/>
      <c r="C944" s="47">
        <f t="shared" si="183"/>
        <v>4</v>
      </c>
      <c r="D944" s="73"/>
      <c r="E944" s="70"/>
      <c r="F944" s="70" t="s">
        <v>1648</v>
      </c>
      <c r="G944" s="73"/>
      <c r="H944" s="76" t="s">
        <v>1495</v>
      </c>
      <c r="I944" s="96" t="s">
        <v>502</v>
      </c>
      <c r="J944" s="96"/>
      <c r="K944" s="76"/>
      <c r="L944" s="76"/>
      <c r="M944" s="76"/>
      <c r="N944" s="76"/>
      <c r="O944" s="76"/>
      <c r="P944" s="76"/>
      <c r="Q944" s="76"/>
      <c r="R944" s="76"/>
      <c r="S944" s="76"/>
      <c r="T944" s="76"/>
      <c r="U944" s="76"/>
      <c r="V944" s="76"/>
      <c r="W944" s="76"/>
      <c r="X944" s="76"/>
      <c r="Y944" s="76"/>
      <c r="Z944" s="76"/>
      <c r="AA944" s="76"/>
      <c r="AB944" s="76"/>
      <c r="AC944" s="76"/>
      <c r="AD944" s="76"/>
      <c r="AE944" s="76"/>
      <c r="AF944" s="76"/>
      <c r="AG944" s="76"/>
      <c r="AH944" s="76">
        <v>1</v>
      </c>
      <c r="AI944" s="76">
        <v>1</v>
      </c>
      <c r="AJ944" s="73"/>
      <c r="AK944" s="57"/>
      <c r="AL944" s="45"/>
      <c r="AM944" s="45"/>
      <c r="AN944" s="45"/>
    </row>
    <row r="945" spans="1:40" hidden="1" outlineLevel="3" x14ac:dyDescent="0.35">
      <c r="A945" s="45"/>
      <c r="B945" s="54"/>
      <c r="C945" s="47">
        <f t="shared" si="183"/>
        <v>4</v>
      </c>
      <c r="D945" s="73"/>
      <c r="E945" s="70"/>
      <c r="F945" s="70" t="s">
        <v>1649</v>
      </c>
      <c r="G945" s="73"/>
      <c r="H945" s="76" t="s">
        <v>1489</v>
      </c>
      <c r="I945" s="96" t="s">
        <v>502</v>
      </c>
      <c r="J945" s="96"/>
      <c r="K945" s="76"/>
      <c r="L945" s="76"/>
      <c r="M945" s="76"/>
      <c r="N945" s="76"/>
      <c r="O945" s="76"/>
      <c r="P945" s="76"/>
      <c r="Q945" s="76"/>
      <c r="R945" s="76"/>
      <c r="S945" s="76"/>
      <c r="T945" s="76"/>
      <c r="U945" s="76"/>
      <c r="V945" s="76"/>
      <c r="W945" s="76"/>
      <c r="X945" s="76"/>
      <c r="Y945" s="76"/>
      <c r="Z945" s="76"/>
      <c r="AA945" s="76"/>
      <c r="AB945" s="76"/>
      <c r="AC945" s="76"/>
      <c r="AD945" s="76"/>
      <c r="AE945" s="76"/>
      <c r="AF945" s="76"/>
      <c r="AG945" s="76"/>
      <c r="AH945" s="76">
        <v>1</v>
      </c>
      <c r="AI945" s="76">
        <v>1</v>
      </c>
      <c r="AJ945" s="73"/>
      <c r="AK945" s="57"/>
      <c r="AL945" s="45"/>
      <c r="AM945" s="45"/>
      <c r="AN945" s="45"/>
    </row>
    <row r="946" spans="1:40" hidden="1" outlineLevel="3" x14ac:dyDescent="0.35">
      <c r="A946" s="45"/>
      <c r="B946" s="54"/>
      <c r="C946" s="47">
        <f t="shared" si="183"/>
        <v>4</v>
      </c>
      <c r="D946" s="73"/>
      <c r="E946" s="70"/>
      <c r="F946" s="70" t="s">
        <v>1650</v>
      </c>
      <c r="G946" s="73"/>
      <c r="H946" s="76" t="s">
        <v>1491</v>
      </c>
      <c r="I946" s="96" t="s">
        <v>502</v>
      </c>
      <c r="J946" s="96"/>
      <c r="K946" s="76"/>
      <c r="L946" s="76"/>
      <c r="M946" s="76"/>
      <c r="N946" s="76"/>
      <c r="O946" s="76"/>
      <c r="P946" s="76"/>
      <c r="Q946" s="76"/>
      <c r="R946" s="76"/>
      <c r="S946" s="76"/>
      <c r="T946" s="76"/>
      <c r="U946" s="76"/>
      <c r="V946" s="76"/>
      <c r="W946" s="76"/>
      <c r="X946" s="76"/>
      <c r="Y946" s="76"/>
      <c r="Z946" s="76"/>
      <c r="AA946" s="76"/>
      <c r="AB946" s="76"/>
      <c r="AC946" s="76"/>
      <c r="AD946" s="76"/>
      <c r="AE946" s="76"/>
      <c r="AF946" s="76"/>
      <c r="AG946" s="76"/>
      <c r="AH946" s="76">
        <v>1</v>
      </c>
      <c r="AI946" s="76">
        <v>1</v>
      </c>
      <c r="AJ946" s="73"/>
      <c r="AK946" s="57"/>
      <c r="AL946" s="45"/>
      <c r="AM946" s="45"/>
      <c r="AN946" s="45"/>
    </row>
    <row r="947" spans="1:40" hidden="1" outlineLevel="3" x14ac:dyDescent="0.35">
      <c r="A947" s="45"/>
      <c r="B947" s="54"/>
      <c r="C947" s="47">
        <f t="shared" si="183"/>
        <v>4</v>
      </c>
      <c r="D947" s="73"/>
      <c r="E947" s="70"/>
      <c r="F947" s="70" t="s">
        <v>1651</v>
      </c>
      <c r="G947" s="73"/>
      <c r="H947" s="76" t="s">
        <v>1493</v>
      </c>
      <c r="I947" s="96" t="s">
        <v>502</v>
      </c>
      <c r="J947" s="96"/>
      <c r="K947" s="76"/>
      <c r="L947" s="76"/>
      <c r="M947" s="76"/>
      <c r="N947" s="76"/>
      <c r="O947" s="76"/>
      <c r="P947" s="76"/>
      <c r="Q947" s="76"/>
      <c r="R947" s="76"/>
      <c r="S947" s="76"/>
      <c r="T947" s="76"/>
      <c r="U947" s="76"/>
      <c r="V947" s="76"/>
      <c r="W947" s="76"/>
      <c r="X947" s="76"/>
      <c r="Y947" s="76"/>
      <c r="Z947" s="76"/>
      <c r="AA947" s="76"/>
      <c r="AB947" s="76"/>
      <c r="AC947" s="76"/>
      <c r="AD947" s="76"/>
      <c r="AE947" s="76"/>
      <c r="AF947" s="76"/>
      <c r="AG947" s="76"/>
      <c r="AH947" s="76">
        <v>1</v>
      </c>
      <c r="AI947" s="76">
        <v>1</v>
      </c>
      <c r="AJ947" s="73"/>
      <c r="AK947" s="57"/>
      <c r="AL947" s="45"/>
      <c r="AM947" s="45"/>
      <c r="AN947" s="45"/>
    </row>
    <row r="948" spans="1:40" hidden="1" outlineLevel="3" x14ac:dyDescent="0.35">
      <c r="A948" s="45"/>
      <c r="B948" s="54"/>
      <c r="C948" s="47">
        <f t="shared" si="183"/>
        <v>4</v>
      </c>
      <c r="D948" s="73"/>
      <c r="E948" s="70"/>
      <c r="F948" s="70" t="s">
        <v>1652</v>
      </c>
      <c r="G948" s="73"/>
      <c r="H948" s="76" t="s">
        <v>1495</v>
      </c>
      <c r="I948" s="96" t="s">
        <v>502</v>
      </c>
      <c r="J948" s="96"/>
      <c r="K948" s="76"/>
      <c r="L948" s="76"/>
      <c r="M948" s="76"/>
      <c r="N948" s="76"/>
      <c r="O948" s="76"/>
      <c r="P948" s="76"/>
      <c r="Q948" s="76"/>
      <c r="R948" s="76"/>
      <c r="S948" s="76"/>
      <c r="T948" s="76"/>
      <c r="U948" s="76"/>
      <c r="V948" s="76"/>
      <c r="W948" s="76"/>
      <c r="X948" s="76"/>
      <c r="Y948" s="76"/>
      <c r="Z948" s="76"/>
      <c r="AA948" s="76"/>
      <c r="AB948" s="76"/>
      <c r="AC948" s="76"/>
      <c r="AD948" s="76"/>
      <c r="AE948" s="76"/>
      <c r="AF948" s="76"/>
      <c r="AG948" s="76"/>
      <c r="AH948" s="76">
        <v>1</v>
      </c>
      <c r="AI948" s="76">
        <v>1</v>
      </c>
      <c r="AJ948" s="73"/>
      <c r="AK948" s="57"/>
      <c r="AL948" s="45"/>
      <c r="AM948" s="45"/>
      <c r="AN948" s="45"/>
    </row>
    <row r="949" spans="1:40" hidden="1" outlineLevel="3" x14ac:dyDescent="0.35">
      <c r="A949" s="45"/>
      <c r="B949" s="54"/>
      <c r="C949" s="47">
        <f t="shared" si="183"/>
        <v>4</v>
      </c>
      <c r="D949" s="73"/>
      <c r="E949" s="70"/>
      <c r="F949" s="70" t="s">
        <v>1653</v>
      </c>
      <c r="G949" s="73"/>
      <c r="H949" s="76" t="s">
        <v>1489</v>
      </c>
      <c r="I949" s="96" t="s">
        <v>502</v>
      </c>
      <c r="J949" s="96"/>
      <c r="K949" s="76"/>
      <c r="L949" s="76"/>
      <c r="M949" s="76"/>
      <c r="N949" s="76"/>
      <c r="O949" s="76"/>
      <c r="P949" s="76"/>
      <c r="Q949" s="76"/>
      <c r="R949" s="76"/>
      <c r="S949" s="76"/>
      <c r="T949" s="76"/>
      <c r="U949" s="76"/>
      <c r="V949" s="76"/>
      <c r="W949" s="76"/>
      <c r="X949" s="76"/>
      <c r="Y949" s="76"/>
      <c r="Z949" s="76"/>
      <c r="AA949" s="76"/>
      <c r="AB949" s="76"/>
      <c r="AC949" s="76"/>
      <c r="AD949" s="76"/>
      <c r="AE949" s="76"/>
      <c r="AF949" s="76"/>
      <c r="AG949" s="76"/>
      <c r="AH949" s="76">
        <v>1</v>
      </c>
      <c r="AI949" s="76">
        <v>1</v>
      </c>
      <c r="AJ949" s="73"/>
      <c r="AK949" s="57"/>
      <c r="AL949" s="45"/>
      <c r="AM949" s="45"/>
      <c r="AN949" s="45"/>
    </row>
    <row r="950" spans="1:40" hidden="1" outlineLevel="3" x14ac:dyDescent="0.35">
      <c r="A950" s="45"/>
      <c r="B950" s="54"/>
      <c r="C950" s="47">
        <f t="shared" si="183"/>
        <v>4</v>
      </c>
      <c r="D950" s="73"/>
      <c r="E950" s="70"/>
      <c r="F950" s="70" t="s">
        <v>1654</v>
      </c>
      <c r="G950" s="73"/>
      <c r="H950" s="76" t="s">
        <v>1491</v>
      </c>
      <c r="I950" s="96" t="s">
        <v>502</v>
      </c>
      <c r="J950" s="96"/>
      <c r="K950" s="76"/>
      <c r="L950" s="76"/>
      <c r="M950" s="76"/>
      <c r="N950" s="76"/>
      <c r="O950" s="76"/>
      <c r="P950" s="76"/>
      <c r="Q950" s="76"/>
      <c r="R950" s="76"/>
      <c r="S950" s="76"/>
      <c r="T950" s="76"/>
      <c r="U950" s="76"/>
      <c r="V950" s="76"/>
      <c r="W950" s="76"/>
      <c r="X950" s="76"/>
      <c r="Y950" s="76"/>
      <c r="Z950" s="76"/>
      <c r="AA950" s="76"/>
      <c r="AB950" s="76"/>
      <c r="AC950" s="76"/>
      <c r="AD950" s="76"/>
      <c r="AE950" s="76"/>
      <c r="AF950" s="76"/>
      <c r="AG950" s="76"/>
      <c r="AH950" s="76">
        <v>1</v>
      </c>
      <c r="AI950" s="76">
        <v>1</v>
      </c>
      <c r="AJ950" s="73"/>
      <c r="AK950" s="57"/>
      <c r="AL950" s="45"/>
      <c r="AM950" s="45"/>
      <c r="AN950" s="45"/>
    </row>
    <row r="951" spans="1:40" hidden="1" outlineLevel="3" x14ac:dyDescent="0.35">
      <c r="A951" s="45"/>
      <c r="B951" s="54"/>
      <c r="C951" s="47">
        <f t="shared" si="183"/>
        <v>4</v>
      </c>
      <c r="D951" s="73"/>
      <c r="E951" s="70"/>
      <c r="F951" s="70" t="s">
        <v>1655</v>
      </c>
      <c r="G951" s="73"/>
      <c r="H951" s="76" t="s">
        <v>1493</v>
      </c>
      <c r="I951" s="96" t="s">
        <v>502</v>
      </c>
      <c r="J951" s="96"/>
      <c r="K951" s="76"/>
      <c r="L951" s="76"/>
      <c r="M951" s="76"/>
      <c r="N951" s="76"/>
      <c r="O951" s="76"/>
      <c r="P951" s="76"/>
      <c r="Q951" s="76"/>
      <c r="R951" s="76"/>
      <c r="S951" s="76"/>
      <c r="T951" s="76"/>
      <c r="U951" s="76"/>
      <c r="V951" s="76"/>
      <c r="W951" s="76"/>
      <c r="X951" s="76"/>
      <c r="Y951" s="76"/>
      <c r="Z951" s="76"/>
      <c r="AA951" s="76"/>
      <c r="AB951" s="76"/>
      <c r="AC951" s="76"/>
      <c r="AD951" s="76"/>
      <c r="AE951" s="76"/>
      <c r="AF951" s="76"/>
      <c r="AG951" s="76"/>
      <c r="AH951" s="76">
        <v>1</v>
      </c>
      <c r="AI951" s="76">
        <v>1</v>
      </c>
      <c r="AJ951" s="73"/>
      <c r="AK951" s="57"/>
      <c r="AL951" s="45"/>
      <c r="AM951" s="45"/>
      <c r="AN951" s="45"/>
    </row>
    <row r="952" spans="1:40" hidden="1" outlineLevel="3" x14ac:dyDescent="0.35">
      <c r="A952" s="45"/>
      <c r="B952" s="54"/>
      <c r="C952" s="47">
        <f t="shared" si="183"/>
        <v>4</v>
      </c>
      <c r="D952" s="73"/>
      <c r="E952" s="70"/>
      <c r="F952" s="70" t="s">
        <v>1656</v>
      </c>
      <c r="G952" s="73"/>
      <c r="H952" s="76" t="s">
        <v>1495</v>
      </c>
      <c r="I952" s="96" t="s">
        <v>502</v>
      </c>
      <c r="J952" s="96"/>
      <c r="K952" s="76"/>
      <c r="L952" s="76"/>
      <c r="M952" s="76"/>
      <c r="N952" s="76"/>
      <c r="O952" s="76"/>
      <c r="P952" s="76"/>
      <c r="Q952" s="76"/>
      <c r="R952" s="76"/>
      <c r="S952" s="76"/>
      <c r="T952" s="76"/>
      <c r="U952" s="76"/>
      <c r="V952" s="76"/>
      <c r="W952" s="76"/>
      <c r="X952" s="76"/>
      <c r="Y952" s="76"/>
      <c r="Z952" s="76"/>
      <c r="AA952" s="76"/>
      <c r="AB952" s="76"/>
      <c r="AC952" s="76"/>
      <c r="AD952" s="76"/>
      <c r="AE952" s="76"/>
      <c r="AF952" s="76"/>
      <c r="AG952" s="76"/>
      <c r="AH952" s="76">
        <v>1</v>
      </c>
      <c r="AI952" s="76">
        <v>1</v>
      </c>
      <c r="AJ952" s="73"/>
      <c r="AK952" s="57"/>
      <c r="AL952" s="45"/>
      <c r="AM952" s="45"/>
      <c r="AN952" s="45"/>
    </row>
    <row r="953" spans="1:40" hidden="1" outlineLevel="3" x14ac:dyDescent="0.35">
      <c r="A953" s="45"/>
      <c r="B953" s="54"/>
      <c r="C953" s="47">
        <f t="shared" si="183"/>
        <v>4</v>
      </c>
      <c r="D953" s="73"/>
      <c r="E953" s="70"/>
      <c r="F953" s="70" t="s">
        <v>1657</v>
      </c>
      <c r="G953" s="73"/>
      <c r="H953" s="76" t="s">
        <v>1489</v>
      </c>
      <c r="I953" s="96" t="s">
        <v>502</v>
      </c>
      <c r="J953" s="96"/>
      <c r="K953" s="76"/>
      <c r="L953" s="76"/>
      <c r="M953" s="76"/>
      <c r="N953" s="76"/>
      <c r="O953" s="76"/>
      <c r="P953" s="76"/>
      <c r="Q953" s="76"/>
      <c r="R953" s="76"/>
      <c r="S953" s="76"/>
      <c r="T953" s="76"/>
      <c r="U953" s="76"/>
      <c r="V953" s="76"/>
      <c r="W953" s="76"/>
      <c r="X953" s="76"/>
      <c r="Y953" s="76"/>
      <c r="Z953" s="76"/>
      <c r="AA953" s="76"/>
      <c r="AB953" s="76"/>
      <c r="AC953" s="76"/>
      <c r="AD953" s="76"/>
      <c r="AE953" s="76"/>
      <c r="AF953" s="76"/>
      <c r="AG953" s="76"/>
      <c r="AH953" s="76">
        <v>1</v>
      </c>
      <c r="AI953" s="76">
        <v>1</v>
      </c>
      <c r="AJ953" s="73"/>
      <c r="AK953" s="57"/>
      <c r="AL953" s="45"/>
      <c r="AM953" s="45"/>
      <c r="AN953" s="45"/>
    </row>
    <row r="954" spans="1:40" hidden="1" outlineLevel="3" x14ac:dyDescent="0.35">
      <c r="A954" s="45"/>
      <c r="B954" s="54"/>
      <c r="C954" s="47">
        <f t="shared" si="183"/>
        <v>4</v>
      </c>
      <c r="D954" s="73"/>
      <c r="E954" s="70"/>
      <c r="F954" s="70" t="s">
        <v>1658</v>
      </c>
      <c r="G954" s="73"/>
      <c r="H954" s="76" t="s">
        <v>1491</v>
      </c>
      <c r="I954" s="96" t="s">
        <v>502</v>
      </c>
      <c r="J954" s="96"/>
      <c r="K954" s="76"/>
      <c r="L954" s="76"/>
      <c r="M954" s="76"/>
      <c r="N954" s="76"/>
      <c r="O954" s="76"/>
      <c r="P954" s="76"/>
      <c r="Q954" s="76"/>
      <c r="R954" s="76"/>
      <c r="S954" s="76"/>
      <c r="T954" s="76"/>
      <c r="U954" s="76"/>
      <c r="V954" s="76"/>
      <c r="W954" s="76"/>
      <c r="X954" s="76"/>
      <c r="Y954" s="76"/>
      <c r="Z954" s="76"/>
      <c r="AA954" s="76"/>
      <c r="AB954" s="76"/>
      <c r="AC954" s="76"/>
      <c r="AD954" s="76"/>
      <c r="AE954" s="76"/>
      <c r="AF954" s="76"/>
      <c r="AG954" s="76"/>
      <c r="AH954" s="76">
        <v>1</v>
      </c>
      <c r="AI954" s="76">
        <v>1</v>
      </c>
      <c r="AJ954" s="73"/>
      <c r="AK954" s="57"/>
      <c r="AL954" s="45"/>
      <c r="AM954" s="45"/>
      <c r="AN954" s="45"/>
    </row>
    <row r="955" spans="1:40" hidden="1" outlineLevel="3" x14ac:dyDescent="0.35">
      <c r="A955" s="45"/>
      <c r="B955" s="54"/>
      <c r="C955" s="47">
        <f t="shared" si="183"/>
        <v>4</v>
      </c>
      <c r="D955" s="73"/>
      <c r="E955" s="70"/>
      <c r="F955" s="70" t="s">
        <v>1659</v>
      </c>
      <c r="G955" s="73"/>
      <c r="H955" s="76" t="s">
        <v>1493</v>
      </c>
      <c r="I955" s="96" t="s">
        <v>502</v>
      </c>
      <c r="J955" s="96"/>
      <c r="K955" s="76"/>
      <c r="L955" s="76"/>
      <c r="M955" s="76"/>
      <c r="N955" s="76"/>
      <c r="O955" s="76"/>
      <c r="P955" s="76"/>
      <c r="Q955" s="76"/>
      <c r="R955" s="76"/>
      <c r="S955" s="76"/>
      <c r="T955" s="76"/>
      <c r="U955" s="76"/>
      <c r="V955" s="76"/>
      <c r="W955" s="76"/>
      <c r="X955" s="76"/>
      <c r="Y955" s="76"/>
      <c r="Z955" s="76"/>
      <c r="AA955" s="76"/>
      <c r="AB955" s="76"/>
      <c r="AC955" s="76"/>
      <c r="AD955" s="76"/>
      <c r="AE955" s="76"/>
      <c r="AF955" s="76"/>
      <c r="AG955" s="76"/>
      <c r="AH955" s="76">
        <v>1</v>
      </c>
      <c r="AI955" s="76">
        <v>1</v>
      </c>
      <c r="AJ955" s="73"/>
      <c r="AK955" s="57"/>
      <c r="AL955" s="45"/>
      <c r="AM955" s="45"/>
      <c r="AN955" s="45"/>
    </row>
    <row r="956" spans="1:40" hidden="1" outlineLevel="3" x14ac:dyDescent="0.35">
      <c r="A956" s="45"/>
      <c r="B956" s="54"/>
      <c r="C956" s="47">
        <f t="shared" si="183"/>
        <v>4</v>
      </c>
      <c r="D956" s="73"/>
      <c r="E956" s="70"/>
      <c r="F956" s="70" t="s">
        <v>1660</v>
      </c>
      <c r="G956" s="73"/>
      <c r="H956" s="76" t="s">
        <v>1495</v>
      </c>
      <c r="I956" s="96" t="s">
        <v>502</v>
      </c>
      <c r="J956" s="96"/>
      <c r="K956" s="76"/>
      <c r="L956" s="76"/>
      <c r="M956" s="76"/>
      <c r="N956" s="76"/>
      <c r="O956" s="76"/>
      <c r="P956" s="76"/>
      <c r="Q956" s="76"/>
      <c r="R956" s="76"/>
      <c r="S956" s="76"/>
      <c r="T956" s="76"/>
      <c r="U956" s="76"/>
      <c r="V956" s="76"/>
      <c r="W956" s="76"/>
      <c r="X956" s="76"/>
      <c r="Y956" s="76"/>
      <c r="Z956" s="76"/>
      <c r="AA956" s="76"/>
      <c r="AB956" s="76"/>
      <c r="AC956" s="76"/>
      <c r="AD956" s="76"/>
      <c r="AE956" s="76"/>
      <c r="AF956" s="76"/>
      <c r="AG956" s="76"/>
      <c r="AH956" s="76">
        <v>1</v>
      </c>
      <c r="AI956" s="76">
        <v>1</v>
      </c>
      <c r="AJ956" s="73"/>
      <c r="AK956" s="57"/>
      <c r="AL956" s="45"/>
      <c r="AM956" s="45"/>
      <c r="AN956" s="45"/>
    </row>
    <row r="957" spans="1:40" hidden="1" outlineLevel="3" x14ac:dyDescent="0.35">
      <c r="A957" s="45"/>
      <c r="B957" s="54"/>
      <c r="C957" s="47">
        <f t="shared" si="183"/>
        <v>4</v>
      </c>
      <c r="D957" s="73"/>
      <c r="E957" s="70"/>
      <c r="F957" s="70" t="s">
        <v>1661</v>
      </c>
      <c r="G957" s="73"/>
      <c r="H957" s="76" t="s">
        <v>1489</v>
      </c>
      <c r="I957" s="96" t="s">
        <v>502</v>
      </c>
      <c r="J957" s="96"/>
      <c r="K957" s="76"/>
      <c r="L957" s="76"/>
      <c r="M957" s="76"/>
      <c r="N957" s="76"/>
      <c r="O957" s="76"/>
      <c r="P957" s="76"/>
      <c r="Q957" s="76"/>
      <c r="R957" s="76"/>
      <c r="S957" s="76"/>
      <c r="T957" s="76"/>
      <c r="U957" s="76"/>
      <c r="V957" s="76"/>
      <c r="W957" s="76"/>
      <c r="X957" s="76"/>
      <c r="Y957" s="76"/>
      <c r="Z957" s="76"/>
      <c r="AA957" s="76"/>
      <c r="AB957" s="76"/>
      <c r="AC957" s="76"/>
      <c r="AD957" s="76"/>
      <c r="AE957" s="76"/>
      <c r="AF957" s="76"/>
      <c r="AG957" s="76"/>
      <c r="AH957" s="76">
        <v>1</v>
      </c>
      <c r="AI957" s="76">
        <v>1</v>
      </c>
      <c r="AJ957" s="73"/>
      <c r="AK957" s="57"/>
      <c r="AL957" s="45"/>
      <c r="AM957" s="45"/>
      <c r="AN957" s="45"/>
    </row>
    <row r="958" spans="1:40" hidden="1" outlineLevel="3" x14ac:dyDescent="0.35">
      <c r="A958" s="45"/>
      <c r="B958" s="54"/>
      <c r="C958" s="47">
        <f t="shared" si="183"/>
        <v>4</v>
      </c>
      <c r="D958" s="73"/>
      <c r="E958" s="70"/>
      <c r="F958" s="70" t="s">
        <v>1662</v>
      </c>
      <c r="G958" s="73"/>
      <c r="H958" s="76" t="s">
        <v>1491</v>
      </c>
      <c r="I958" s="96" t="s">
        <v>502</v>
      </c>
      <c r="J958" s="96"/>
      <c r="K958" s="76"/>
      <c r="L958" s="76"/>
      <c r="M958" s="76"/>
      <c r="N958" s="76"/>
      <c r="O958" s="76"/>
      <c r="P958" s="76"/>
      <c r="Q958" s="76"/>
      <c r="R958" s="76"/>
      <c r="S958" s="76"/>
      <c r="T958" s="76"/>
      <c r="U958" s="76"/>
      <c r="V958" s="76"/>
      <c r="W958" s="76"/>
      <c r="X958" s="76"/>
      <c r="Y958" s="76"/>
      <c r="Z958" s="76"/>
      <c r="AA958" s="76"/>
      <c r="AB958" s="76"/>
      <c r="AC958" s="76"/>
      <c r="AD958" s="76"/>
      <c r="AE958" s="76"/>
      <c r="AF958" s="76"/>
      <c r="AG958" s="76"/>
      <c r="AH958" s="76">
        <v>1</v>
      </c>
      <c r="AI958" s="76">
        <v>1</v>
      </c>
      <c r="AJ958" s="73"/>
      <c r="AK958" s="57"/>
      <c r="AL958" s="45"/>
      <c r="AM958" s="45"/>
      <c r="AN958" s="45"/>
    </row>
    <row r="959" spans="1:40" hidden="1" outlineLevel="3" x14ac:dyDescent="0.35">
      <c r="A959" s="45"/>
      <c r="B959" s="54"/>
      <c r="C959" s="47">
        <f t="shared" si="183"/>
        <v>4</v>
      </c>
      <c r="D959" s="73"/>
      <c r="E959" s="70"/>
      <c r="F959" s="70" t="s">
        <v>1663</v>
      </c>
      <c r="G959" s="73"/>
      <c r="H959" s="76" t="s">
        <v>1493</v>
      </c>
      <c r="I959" s="96" t="s">
        <v>502</v>
      </c>
      <c r="J959" s="96"/>
      <c r="K959" s="76"/>
      <c r="L959" s="76"/>
      <c r="M959" s="76"/>
      <c r="N959" s="76"/>
      <c r="O959" s="76"/>
      <c r="P959" s="76"/>
      <c r="Q959" s="76"/>
      <c r="R959" s="76"/>
      <c r="S959" s="76"/>
      <c r="T959" s="76"/>
      <c r="U959" s="76"/>
      <c r="V959" s="76"/>
      <c r="W959" s="76"/>
      <c r="X959" s="76"/>
      <c r="Y959" s="76"/>
      <c r="Z959" s="76"/>
      <c r="AA959" s="76"/>
      <c r="AB959" s="76"/>
      <c r="AC959" s="76"/>
      <c r="AD959" s="76"/>
      <c r="AE959" s="76"/>
      <c r="AF959" s="76"/>
      <c r="AG959" s="76"/>
      <c r="AH959" s="76">
        <v>1</v>
      </c>
      <c r="AI959" s="76">
        <v>1</v>
      </c>
      <c r="AJ959" s="73"/>
      <c r="AK959" s="57"/>
      <c r="AL959" s="45"/>
      <c r="AM959" s="45"/>
      <c r="AN959" s="45"/>
    </row>
    <row r="960" spans="1:40" hidden="1" outlineLevel="3" x14ac:dyDescent="0.35">
      <c r="A960" s="45"/>
      <c r="B960" s="54"/>
      <c r="C960" s="47">
        <f t="shared" si="183"/>
        <v>4</v>
      </c>
      <c r="D960" s="73"/>
      <c r="E960" s="70"/>
      <c r="F960" s="70" t="s">
        <v>1664</v>
      </c>
      <c r="G960" s="73"/>
      <c r="H960" s="76" t="s">
        <v>1495</v>
      </c>
      <c r="I960" s="96" t="s">
        <v>502</v>
      </c>
      <c r="J960" s="96"/>
      <c r="K960" s="76"/>
      <c r="L960" s="76"/>
      <c r="M960" s="76"/>
      <c r="N960" s="76"/>
      <c r="O960" s="76"/>
      <c r="P960" s="76"/>
      <c r="Q960" s="76"/>
      <c r="R960" s="76"/>
      <c r="S960" s="76"/>
      <c r="T960" s="76"/>
      <c r="U960" s="76"/>
      <c r="V960" s="76"/>
      <c r="W960" s="76"/>
      <c r="X960" s="76"/>
      <c r="Y960" s="76"/>
      <c r="Z960" s="76"/>
      <c r="AA960" s="76"/>
      <c r="AB960" s="76"/>
      <c r="AC960" s="76"/>
      <c r="AD960" s="76"/>
      <c r="AE960" s="76"/>
      <c r="AF960" s="76"/>
      <c r="AG960" s="76"/>
      <c r="AH960" s="76">
        <v>1</v>
      </c>
      <c r="AI960" s="76">
        <v>1</v>
      </c>
      <c r="AJ960" s="73"/>
      <c r="AK960" s="57"/>
      <c r="AL960" s="45"/>
      <c r="AM960" s="45"/>
      <c r="AN960" s="45"/>
    </row>
    <row r="961" spans="1:40" hidden="1" outlineLevel="3" x14ac:dyDescent="0.35">
      <c r="A961" s="45"/>
      <c r="B961" s="54"/>
      <c r="C961" s="47">
        <f t="shared" si="183"/>
        <v>4</v>
      </c>
      <c r="D961" s="73"/>
      <c r="E961" s="70"/>
      <c r="F961" s="70" t="s">
        <v>1665</v>
      </c>
      <c r="G961" s="73"/>
      <c r="H961" s="76" t="s">
        <v>1489</v>
      </c>
      <c r="I961" s="96" t="s">
        <v>502</v>
      </c>
      <c r="J961" s="96"/>
      <c r="K961" s="76"/>
      <c r="L961" s="76"/>
      <c r="M961" s="76"/>
      <c r="N961" s="76"/>
      <c r="O961" s="76"/>
      <c r="P961" s="76"/>
      <c r="Q961" s="76"/>
      <c r="R961" s="76"/>
      <c r="S961" s="76"/>
      <c r="T961" s="76"/>
      <c r="U961" s="76"/>
      <c r="V961" s="76"/>
      <c r="W961" s="76"/>
      <c r="X961" s="76"/>
      <c r="Y961" s="76"/>
      <c r="Z961" s="76"/>
      <c r="AA961" s="76"/>
      <c r="AB961" s="76"/>
      <c r="AC961" s="76"/>
      <c r="AD961" s="76"/>
      <c r="AE961" s="76"/>
      <c r="AF961" s="76"/>
      <c r="AG961" s="76"/>
      <c r="AH961" s="76">
        <v>1</v>
      </c>
      <c r="AI961" s="76">
        <v>1</v>
      </c>
      <c r="AJ961" s="73"/>
      <c r="AK961" s="57"/>
      <c r="AL961" s="45"/>
      <c r="AM961" s="45"/>
      <c r="AN961" s="45"/>
    </row>
    <row r="962" spans="1:40" hidden="1" outlineLevel="3" x14ac:dyDescent="0.35">
      <c r="A962" s="45"/>
      <c r="B962" s="54"/>
      <c r="C962" s="47">
        <f t="shared" si="183"/>
        <v>4</v>
      </c>
      <c r="D962" s="73"/>
      <c r="E962" s="70"/>
      <c r="F962" s="70" t="s">
        <v>1666</v>
      </c>
      <c r="G962" s="73"/>
      <c r="H962" s="76" t="s">
        <v>1491</v>
      </c>
      <c r="I962" s="96" t="s">
        <v>502</v>
      </c>
      <c r="J962" s="96"/>
      <c r="K962" s="76"/>
      <c r="L962" s="76"/>
      <c r="M962" s="76"/>
      <c r="N962" s="76"/>
      <c r="O962" s="76"/>
      <c r="P962" s="76"/>
      <c r="Q962" s="76"/>
      <c r="R962" s="76"/>
      <c r="S962" s="76"/>
      <c r="T962" s="76"/>
      <c r="U962" s="76"/>
      <c r="V962" s="76"/>
      <c r="W962" s="76"/>
      <c r="X962" s="76"/>
      <c r="Y962" s="76"/>
      <c r="Z962" s="76"/>
      <c r="AA962" s="76"/>
      <c r="AB962" s="76"/>
      <c r="AC962" s="76"/>
      <c r="AD962" s="76"/>
      <c r="AE962" s="76"/>
      <c r="AF962" s="76"/>
      <c r="AG962" s="76"/>
      <c r="AH962" s="76">
        <v>1</v>
      </c>
      <c r="AI962" s="76">
        <v>1</v>
      </c>
      <c r="AJ962" s="73"/>
      <c r="AK962" s="57"/>
      <c r="AL962" s="45"/>
      <c r="AM962" s="45"/>
      <c r="AN962" s="45"/>
    </row>
    <row r="963" spans="1:40" hidden="1" outlineLevel="3" x14ac:dyDescent="0.35">
      <c r="A963" s="45"/>
      <c r="B963" s="54"/>
      <c r="C963" s="47">
        <f t="shared" si="183"/>
        <v>4</v>
      </c>
      <c r="D963" s="73"/>
      <c r="E963" s="70"/>
      <c r="F963" s="70" t="s">
        <v>1667</v>
      </c>
      <c r="G963" s="73"/>
      <c r="H963" s="76" t="s">
        <v>1493</v>
      </c>
      <c r="I963" s="96" t="s">
        <v>502</v>
      </c>
      <c r="J963" s="96"/>
      <c r="K963" s="76"/>
      <c r="L963" s="76"/>
      <c r="M963" s="76"/>
      <c r="N963" s="76"/>
      <c r="O963" s="76"/>
      <c r="P963" s="76"/>
      <c r="Q963" s="76"/>
      <c r="R963" s="76"/>
      <c r="S963" s="76"/>
      <c r="T963" s="76"/>
      <c r="U963" s="76"/>
      <c r="V963" s="76"/>
      <c r="W963" s="76"/>
      <c r="X963" s="76"/>
      <c r="Y963" s="76"/>
      <c r="Z963" s="76"/>
      <c r="AA963" s="76"/>
      <c r="AB963" s="76"/>
      <c r="AC963" s="76"/>
      <c r="AD963" s="76"/>
      <c r="AE963" s="76"/>
      <c r="AF963" s="76"/>
      <c r="AG963" s="76"/>
      <c r="AH963" s="76">
        <v>1</v>
      </c>
      <c r="AI963" s="76">
        <v>1</v>
      </c>
      <c r="AJ963" s="73"/>
      <c r="AK963" s="57"/>
      <c r="AL963" s="45"/>
      <c r="AM963" s="45"/>
      <c r="AN963" s="45"/>
    </row>
    <row r="964" spans="1:40" hidden="1" outlineLevel="3" x14ac:dyDescent="0.35">
      <c r="A964" s="45"/>
      <c r="B964" s="54"/>
      <c r="C964" s="47">
        <f t="shared" si="183"/>
        <v>4</v>
      </c>
      <c r="D964" s="73"/>
      <c r="E964" s="70"/>
      <c r="F964" s="70" t="s">
        <v>1668</v>
      </c>
      <c r="G964" s="73"/>
      <c r="H964" s="76" t="s">
        <v>1495</v>
      </c>
      <c r="I964" s="96" t="s">
        <v>502</v>
      </c>
      <c r="J964" s="96"/>
      <c r="K964" s="76"/>
      <c r="L964" s="76"/>
      <c r="M964" s="76"/>
      <c r="N964" s="76"/>
      <c r="O964" s="76"/>
      <c r="P964" s="76"/>
      <c r="Q964" s="76"/>
      <c r="R964" s="76"/>
      <c r="S964" s="76"/>
      <c r="T964" s="76"/>
      <c r="U964" s="76"/>
      <c r="V964" s="76"/>
      <c r="W964" s="76"/>
      <c r="X964" s="76"/>
      <c r="Y964" s="76"/>
      <c r="Z964" s="76"/>
      <c r="AA964" s="76"/>
      <c r="AB964" s="76"/>
      <c r="AC964" s="76"/>
      <c r="AD964" s="76"/>
      <c r="AE964" s="76"/>
      <c r="AF964" s="76"/>
      <c r="AG964" s="76"/>
      <c r="AH964" s="76">
        <v>1</v>
      </c>
      <c r="AI964" s="76">
        <v>1</v>
      </c>
      <c r="AJ964" s="73"/>
      <c r="AK964" s="57"/>
      <c r="AL964" s="45"/>
      <c r="AM964" s="45"/>
      <c r="AN964" s="45"/>
    </row>
    <row r="965" spans="1:40" hidden="1" outlineLevel="3" x14ac:dyDescent="0.35">
      <c r="A965" s="45"/>
      <c r="B965" s="54"/>
      <c r="C965" s="47">
        <f t="shared" ref="C965:C996" si="184">INT($C$29)+3</f>
        <v>4</v>
      </c>
      <c r="D965" s="73"/>
      <c r="E965" s="70"/>
      <c r="F965" s="70" t="s">
        <v>1669</v>
      </c>
      <c r="G965" s="73"/>
      <c r="H965" s="76" t="s">
        <v>1489</v>
      </c>
      <c r="I965" s="96" t="s">
        <v>502</v>
      </c>
      <c r="J965" s="96"/>
      <c r="K965" s="76"/>
      <c r="L965" s="76"/>
      <c r="M965" s="76"/>
      <c r="N965" s="76"/>
      <c r="O965" s="76"/>
      <c r="P965" s="76"/>
      <c r="Q965" s="76"/>
      <c r="R965" s="76"/>
      <c r="S965" s="76"/>
      <c r="T965" s="76"/>
      <c r="U965" s="76"/>
      <c r="V965" s="76"/>
      <c r="W965" s="76"/>
      <c r="X965" s="76"/>
      <c r="Y965" s="76"/>
      <c r="Z965" s="76"/>
      <c r="AA965" s="76"/>
      <c r="AB965" s="76"/>
      <c r="AC965" s="76"/>
      <c r="AD965" s="76"/>
      <c r="AE965" s="76"/>
      <c r="AF965" s="76"/>
      <c r="AG965" s="76"/>
      <c r="AH965" s="76">
        <v>1</v>
      </c>
      <c r="AI965" s="76">
        <v>1</v>
      </c>
      <c r="AJ965" s="73"/>
      <c r="AK965" s="57"/>
      <c r="AL965" s="45"/>
      <c r="AM965" s="45"/>
      <c r="AN965" s="45"/>
    </row>
    <row r="966" spans="1:40" hidden="1" outlineLevel="3" x14ac:dyDescent="0.35">
      <c r="A966" s="45"/>
      <c r="B966" s="54"/>
      <c r="C966" s="47">
        <f t="shared" si="184"/>
        <v>4</v>
      </c>
      <c r="D966" s="73"/>
      <c r="E966" s="70"/>
      <c r="F966" s="70" t="s">
        <v>1670</v>
      </c>
      <c r="G966" s="73"/>
      <c r="H966" s="76" t="s">
        <v>1491</v>
      </c>
      <c r="I966" s="96" t="s">
        <v>502</v>
      </c>
      <c r="J966" s="96"/>
      <c r="K966" s="76"/>
      <c r="L966" s="76"/>
      <c r="M966" s="76"/>
      <c r="N966" s="76"/>
      <c r="O966" s="76"/>
      <c r="P966" s="76"/>
      <c r="Q966" s="76"/>
      <c r="R966" s="76"/>
      <c r="S966" s="76"/>
      <c r="T966" s="76"/>
      <c r="U966" s="76"/>
      <c r="V966" s="76"/>
      <c r="W966" s="76"/>
      <c r="X966" s="76"/>
      <c r="Y966" s="76"/>
      <c r="Z966" s="76"/>
      <c r="AA966" s="76"/>
      <c r="AB966" s="76"/>
      <c r="AC966" s="76"/>
      <c r="AD966" s="76"/>
      <c r="AE966" s="76"/>
      <c r="AF966" s="76"/>
      <c r="AG966" s="76"/>
      <c r="AH966" s="76">
        <v>1</v>
      </c>
      <c r="AI966" s="76">
        <v>1</v>
      </c>
      <c r="AJ966" s="73"/>
      <c r="AK966" s="57"/>
      <c r="AL966" s="45"/>
      <c r="AM966" s="45"/>
      <c r="AN966" s="45"/>
    </row>
    <row r="967" spans="1:40" hidden="1" outlineLevel="3" x14ac:dyDescent="0.35">
      <c r="A967" s="45"/>
      <c r="B967" s="54"/>
      <c r="C967" s="47">
        <f t="shared" si="184"/>
        <v>4</v>
      </c>
      <c r="D967" s="73"/>
      <c r="E967" s="70"/>
      <c r="F967" s="70" t="s">
        <v>1671</v>
      </c>
      <c r="G967" s="73"/>
      <c r="H967" s="76" t="s">
        <v>1493</v>
      </c>
      <c r="I967" s="96" t="s">
        <v>502</v>
      </c>
      <c r="J967" s="96"/>
      <c r="K967" s="76"/>
      <c r="L967" s="76"/>
      <c r="M967" s="76"/>
      <c r="N967" s="76"/>
      <c r="O967" s="76"/>
      <c r="P967" s="76"/>
      <c r="Q967" s="76"/>
      <c r="R967" s="76"/>
      <c r="S967" s="76"/>
      <c r="T967" s="76"/>
      <c r="U967" s="76"/>
      <c r="V967" s="76"/>
      <c r="W967" s="76"/>
      <c r="X967" s="76"/>
      <c r="Y967" s="76"/>
      <c r="Z967" s="76"/>
      <c r="AA967" s="76"/>
      <c r="AB967" s="76"/>
      <c r="AC967" s="76"/>
      <c r="AD967" s="76"/>
      <c r="AE967" s="76"/>
      <c r="AF967" s="76"/>
      <c r="AG967" s="76"/>
      <c r="AH967" s="76">
        <v>1</v>
      </c>
      <c r="AI967" s="76">
        <v>1</v>
      </c>
      <c r="AJ967" s="73"/>
      <c r="AK967" s="57"/>
      <c r="AL967" s="45"/>
      <c r="AM967" s="45"/>
      <c r="AN967" s="45"/>
    </row>
    <row r="968" spans="1:40" hidden="1" outlineLevel="3" x14ac:dyDescent="0.35">
      <c r="A968" s="45"/>
      <c r="B968" s="54"/>
      <c r="C968" s="47">
        <f t="shared" si="184"/>
        <v>4</v>
      </c>
      <c r="D968" s="73"/>
      <c r="E968" s="70"/>
      <c r="F968" s="70" t="s">
        <v>1672</v>
      </c>
      <c r="G968" s="73"/>
      <c r="H968" s="76" t="s">
        <v>1495</v>
      </c>
      <c r="I968" s="96" t="s">
        <v>502</v>
      </c>
      <c r="J968" s="96"/>
      <c r="K968" s="76"/>
      <c r="L968" s="76"/>
      <c r="M968" s="76"/>
      <c r="N968" s="76"/>
      <c r="O968" s="76"/>
      <c r="P968" s="76"/>
      <c r="Q968" s="76"/>
      <c r="R968" s="76"/>
      <c r="S968" s="76"/>
      <c r="T968" s="76"/>
      <c r="U968" s="76"/>
      <c r="V968" s="76"/>
      <c r="W968" s="76"/>
      <c r="X968" s="76"/>
      <c r="Y968" s="76"/>
      <c r="Z968" s="76"/>
      <c r="AA968" s="76"/>
      <c r="AB968" s="76"/>
      <c r="AC968" s="76"/>
      <c r="AD968" s="76"/>
      <c r="AE968" s="76"/>
      <c r="AF968" s="76"/>
      <c r="AG968" s="76"/>
      <c r="AH968" s="76">
        <v>1</v>
      </c>
      <c r="AI968" s="76">
        <v>1</v>
      </c>
      <c r="AJ968" s="73"/>
      <c r="AK968" s="57"/>
      <c r="AL968" s="45"/>
      <c r="AM968" s="45"/>
      <c r="AN968" s="45"/>
    </row>
    <row r="969" spans="1:40" hidden="1" outlineLevel="3" x14ac:dyDescent="0.35">
      <c r="A969" s="45"/>
      <c r="B969" s="54"/>
      <c r="C969" s="47">
        <f t="shared" si="184"/>
        <v>4</v>
      </c>
      <c r="D969" s="73"/>
      <c r="E969" s="70"/>
      <c r="F969" s="70" t="s">
        <v>1673</v>
      </c>
      <c r="G969" s="73"/>
      <c r="H969" s="76" t="s">
        <v>1489</v>
      </c>
      <c r="I969" s="96" t="s">
        <v>502</v>
      </c>
      <c r="J969" s="96"/>
      <c r="K969" s="76"/>
      <c r="L969" s="76"/>
      <c r="M969" s="76"/>
      <c r="N969" s="76"/>
      <c r="O969" s="76"/>
      <c r="P969" s="76"/>
      <c r="Q969" s="76"/>
      <c r="R969" s="76"/>
      <c r="S969" s="76"/>
      <c r="T969" s="76"/>
      <c r="U969" s="76"/>
      <c r="V969" s="76"/>
      <c r="W969" s="76"/>
      <c r="X969" s="76"/>
      <c r="Y969" s="76"/>
      <c r="Z969" s="76"/>
      <c r="AA969" s="76"/>
      <c r="AB969" s="76"/>
      <c r="AC969" s="76"/>
      <c r="AD969" s="76"/>
      <c r="AE969" s="76"/>
      <c r="AF969" s="76"/>
      <c r="AG969" s="76"/>
      <c r="AH969" s="76">
        <v>1</v>
      </c>
      <c r="AI969" s="76">
        <v>1</v>
      </c>
      <c r="AJ969" s="73"/>
      <c r="AK969" s="57"/>
      <c r="AL969" s="45"/>
      <c r="AM969" s="45"/>
      <c r="AN969" s="45"/>
    </row>
    <row r="970" spans="1:40" hidden="1" outlineLevel="3" x14ac:dyDescent="0.35">
      <c r="A970" s="45"/>
      <c r="B970" s="54"/>
      <c r="C970" s="47">
        <f t="shared" si="184"/>
        <v>4</v>
      </c>
      <c r="D970" s="73"/>
      <c r="E970" s="70"/>
      <c r="F970" s="70" t="s">
        <v>1674</v>
      </c>
      <c r="G970" s="73"/>
      <c r="H970" s="76" t="s">
        <v>1491</v>
      </c>
      <c r="I970" s="96" t="s">
        <v>502</v>
      </c>
      <c r="J970" s="96"/>
      <c r="K970" s="76"/>
      <c r="L970" s="76"/>
      <c r="M970" s="76"/>
      <c r="N970" s="76"/>
      <c r="O970" s="76"/>
      <c r="P970" s="76"/>
      <c r="Q970" s="76"/>
      <c r="R970" s="76"/>
      <c r="S970" s="76"/>
      <c r="T970" s="76"/>
      <c r="U970" s="76"/>
      <c r="V970" s="76"/>
      <c r="W970" s="76"/>
      <c r="X970" s="76"/>
      <c r="Y970" s="76"/>
      <c r="Z970" s="76"/>
      <c r="AA970" s="76"/>
      <c r="AB970" s="76"/>
      <c r="AC970" s="76"/>
      <c r="AD970" s="76"/>
      <c r="AE970" s="76"/>
      <c r="AF970" s="76"/>
      <c r="AG970" s="76"/>
      <c r="AH970" s="76">
        <v>1</v>
      </c>
      <c r="AI970" s="76">
        <v>1</v>
      </c>
      <c r="AJ970" s="73"/>
      <c r="AK970" s="57"/>
      <c r="AL970" s="45"/>
      <c r="AM970" s="45"/>
      <c r="AN970" s="45"/>
    </row>
    <row r="971" spans="1:40" hidden="1" outlineLevel="3" x14ac:dyDescent="0.35">
      <c r="A971" s="45"/>
      <c r="B971" s="54"/>
      <c r="C971" s="47">
        <f t="shared" si="184"/>
        <v>4</v>
      </c>
      <c r="D971" s="73"/>
      <c r="E971" s="70"/>
      <c r="F971" s="70" t="s">
        <v>1675</v>
      </c>
      <c r="G971" s="73"/>
      <c r="H971" s="76" t="s">
        <v>1493</v>
      </c>
      <c r="I971" s="96" t="s">
        <v>502</v>
      </c>
      <c r="J971" s="96"/>
      <c r="K971" s="76"/>
      <c r="L971" s="76"/>
      <c r="M971" s="76"/>
      <c r="N971" s="76"/>
      <c r="O971" s="76"/>
      <c r="P971" s="76"/>
      <c r="Q971" s="76"/>
      <c r="R971" s="76"/>
      <c r="S971" s="76"/>
      <c r="T971" s="76"/>
      <c r="U971" s="76"/>
      <c r="V971" s="76"/>
      <c r="W971" s="76"/>
      <c r="X971" s="76"/>
      <c r="Y971" s="76"/>
      <c r="Z971" s="76"/>
      <c r="AA971" s="76"/>
      <c r="AB971" s="76"/>
      <c r="AC971" s="76"/>
      <c r="AD971" s="76"/>
      <c r="AE971" s="76"/>
      <c r="AF971" s="76"/>
      <c r="AG971" s="76"/>
      <c r="AH971" s="76">
        <v>1</v>
      </c>
      <c r="AI971" s="76">
        <v>1</v>
      </c>
      <c r="AJ971" s="73"/>
      <c r="AK971" s="57"/>
      <c r="AL971" s="45"/>
      <c r="AM971" s="45"/>
      <c r="AN971" s="45"/>
    </row>
    <row r="972" spans="1:40" hidden="1" outlineLevel="3" x14ac:dyDescent="0.35">
      <c r="A972" s="45"/>
      <c r="B972" s="54"/>
      <c r="C972" s="47">
        <f t="shared" si="184"/>
        <v>4</v>
      </c>
      <c r="D972" s="73"/>
      <c r="E972" s="70"/>
      <c r="F972" s="70" t="s">
        <v>1676</v>
      </c>
      <c r="G972" s="73"/>
      <c r="H972" s="76" t="s">
        <v>1495</v>
      </c>
      <c r="I972" s="96" t="s">
        <v>502</v>
      </c>
      <c r="J972" s="96"/>
      <c r="K972" s="76"/>
      <c r="L972" s="76"/>
      <c r="M972" s="76"/>
      <c r="N972" s="76"/>
      <c r="O972" s="76"/>
      <c r="P972" s="76"/>
      <c r="Q972" s="76"/>
      <c r="R972" s="76"/>
      <c r="S972" s="76"/>
      <c r="T972" s="76"/>
      <c r="U972" s="76"/>
      <c r="V972" s="76"/>
      <c r="W972" s="76"/>
      <c r="X972" s="76"/>
      <c r="Y972" s="76"/>
      <c r="Z972" s="76"/>
      <c r="AA972" s="76"/>
      <c r="AB972" s="76"/>
      <c r="AC972" s="76"/>
      <c r="AD972" s="76"/>
      <c r="AE972" s="76"/>
      <c r="AF972" s="76"/>
      <c r="AG972" s="76"/>
      <c r="AH972" s="76">
        <v>1</v>
      </c>
      <c r="AI972" s="76">
        <v>1</v>
      </c>
      <c r="AJ972" s="73"/>
      <c r="AK972" s="57"/>
      <c r="AL972" s="45"/>
      <c r="AM972" s="45"/>
      <c r="AN972" s="45"/>
    </row>
    <row r="973" spans="1:40" hidden="1" outlineLevel="3" x14ac:dyDescent="0.35">
      <c r="A973" s="45"/>
      <c r="B973" s="54"/>
      <c r="C973" s="47">
        <f t="shared" si="184"/>
        <v>4</v>
      </c>
      <c r="D973" s="73"/>
      <c r="E973" s="70"/>
      <c r="F973" s="70" t="s">
        <v>1677</v>
      </c>
      <c r="G973" s="73"/>
      <c r="H973" s="76" t="s">
        <v>1489</v>
      </c>
      <c r="I973" s="96" t="s">
        <v>502</v>
      </c>
      <c r="J973" s="96"/>
      <c r="K973" s="76"/>
      <c r="L973" s="76"/>
      <c r="M973" s="76"/>
      <c r="N973" s="76"/>
      <c r="O973" s="76"/>
      <c r="P973" s="76"/>
      <c r="Q973" s="76"/>
      <c r="R973" s="76"/>
      <c r="S973" s="76"/>
      <c r="T973" s="76"/>
      <c r="U973" s="76"/>
      <c r="V973" s="76"/>
      <c r="W973" s="76"/>
      <c r="X973" s="76"/>
      <c r="Y973" s="76"/>
      <c r="Z973" s="76"/>
      <c r="AA973" s="76"/>
      <c r="AB973" s="76"/>
      <c r="AC973" s="76"/>
      <c r="AD973" s="76"/>
      <c r="AE973" s="76"/>
      <c r="AF973" s="76"/>
      <c r="AG973" s="76"/>
      <c r="AH973" s="76">
        <v>1</v>
      </c>
      <c r="AI973" s="76">
        <v>1</v>
      </c>
      <c r="AJ973" s="73"/>
      <c r="AK973" s="57"/>
      <c r="AL973" s="45"/>
      <c r="AM973" s="45"/>
      <c r="AN973" s="45"/>
    </row>
    <row r="974" spans="1:40" hidden="1" outlineLevel="3" x14ac:dyDescent="0.35">
      <c r="A974" s="45"/>
      <c r="B974" s="54"/>
      <c r="C974" s="47">
        <f t="shared" si="184"/>
        <v>4</v>
      </c>
      <c r="D974" s="73"/>
      <c r="E974" s="70"/>
      <c r="F974" s="70" t="s">
        <v>1678</v>
      </c>
      <c r="G974" s="73"/>
      <c r="H974" s="76" t="s">
        <v>1491</v>
      </c>
      <c r="I974" s="96" t="s">
        <v>502</v>
      </c>
      <c r="J974" s="96"/>
      <c r="K974" s="76"/>
      <c r="L974" s="76"/>
      <c r="M974" s="76"/>
      <c r="N974" s="76"/>
      <c r="O974" s="76"/>
      <c r="P974" s="76"/>
      <c r="Q974" s="76"/>
      <c r="R974" s="76"/>
      <c r="S974" s="76"/>
      <c r="T974" s="76"/>
      <c r="U974" s="76"/>
      <c r="V974" s="76"/>
      <c r="W974" s="76"/>
      <c r="X974" s="76"/>
      <c r="Y974" s="76"/>
      <c r="Z974" s="76"/>
      <c r="AA974" s="76"/>
      <c r="AB974" s="76"/>
      <c r="AC974" s="76"/>
      <c r="AD974" s="76"/>
      <c r="AE974" s="76"/>
      <c r="AF974" s="76"/>
      <c r="AG974" s="76"/>
      <c r="AH974" s="76">
        <v>1</v>
      </c>
      <c r="AI974" s="76">
        <v>1</v>
      </c>
      <c r="AJ974" s="73"/>
      <c r="AK974" s="57"/>
      <c r="AL974" s="45"/>
      <c r="AM974" s="45"/>
      <c r="AN974" s="45"/>
    </row>
    <row r="975" spans="1:40" hidden="1" outlineLevel="3" x14ac:dyDescent="0.35">
      <c r="A975" s="45"/>
      <c r="B975" s="54"/>
      <c r="C975" s="47">
        <f t="shared" si="184"/>
        <v>4</v>
      </c>
      <c r="D975" s="73"/>
      <c r="E975" s="70"/>
      <c r="F975" s="70" t="s">
        <v>1679</v>
      </c>
      <c r="G975" s="73"/>
      <c r="H975" s="76" t="s">
        <v>1493</v>
      </c>
      <c r="I975" s="96" t="s">
        <v>502</v>
      </c>
      <c r="J975" s="96"/>
      <c r="K975" s="76"/>
      <c r="L975" s="76"/>
      <c r="M975" s="76"/>
      <c r="N975" s="76"/>
      <c r="O975" s="76"/>
      <c r="P975" s="76"/>
      <c r="Q975" s="76"/>
      <c r="R975" s="76"/>
      <c r="S975" s="76"/>
      <c r="T975" s="76"/>
      <c r="U975" s="76"/>
      <c r="V975" s="76"/>
      <c r="W975" s="76"/>
      <c r="X975" s="76"/>
      <c r="Y975" s="76"/>
      <c r="Z975" s="76"/>
      <c r="AA975" s="76"/>
      <c r="AB975" s="76"/>
      <c r="AC975" s="76"/>
      <c r="AD975" s="76"/>
      <c r="AE975" s="76"/>
      <c r="AF975" s="76"/>
      <c r="AG975" s="76"/>
      <c r="AH975" s="76">
        <v>1</v>
      </c>
      <c r="AI975" s="76">
        <v>1</v>
      </c>
      <c r="AJ975" s="73"/>
      <c r="AK975" s="57"/>
      <c r="AL975" s="45"/>
      <c r="AM975" s="45"/>
      <c r="AN975" s="45"/>
    </row>
    <row r="976" spans="1:40" hidden="1" outlineLevel="3" x14ac:dyDescent="0.35">
      <c r="A976" s="45"/>
      <c r="B976" s="54"/>
      <c r="C976" s="47">
        <f t="shared" si="184"/>
        <v>4</v>
      </c>
      <c r="D976" s="73"/>
      <c r="E976" s="70"/>
      <c r="F976" s="70" t="s">
        <v>1680</v>
      </c>
      <c r="G976" s="73"/>
      <c r="H976" s="76" t="s">
        <v>1495</v>
      </c>
      <c r="I976" s="96" t="s">
        <v>502</v>
      </c>
      <c r="J976" s="96"/>
      <c r="K976" s="76"/>
      <c r="L976" s="76"/>
      <c r="M976" s="76"/>
      <c r="N976" s="76"/>
      <c r="O976" s="76"/>
      <c r="P976" s="76"/>
      <c r="Q976" s="76"/>
      <c r="R976" s="76"/>
      <c r="S976" s="76"/>
      <c r="T976" s="76"/>
      <c r="U976" s="76"/>
      <c r="V976" s="76"/>
      <c r="W976" s="76"/>
      <c r="X976" s="76"/>
      <c r="Y976" s="76"/>
      <c r="Z976" s="76"/>
      <c r="AA976" s="76"/>
      <c r="AB976" s="76"/>
      <c r="AC976" s="76"/>
      <c r="AD976" s="76"/>
      <c r="AE976" s="76"/>
      <c r="AF976" s="76"/>
      <c r="AG976" s="76"/>
      <c r="AH976" s="76">
        <v>1</v>
      </c>
      <c r="AI976" s="76">
        <v>1</v>
      </c>
      <c r="AJ976" s="73"/>
      <c r="AK976" s="57"/>
      <c r="AL976" s="45"/>
      <c r="AM976" s="45"/>
      <c r="AN976" s="45"/>
    </row>
    <row r="977" spans="1:40" hidden="1" outlineLevel="3" x14ac:dyDescent="0.35">
      <c r="A977" s="45"/>
      <c r="B977" s="54"/>
      <c r="C977" s="47">
        <f t="shared" si="184"/>
        <v>4</v>
      </c>
      <c r="D977" s="73"/>
      <c r="E977" s="70"/>
      <c r="F977" s="70" t="s">
        <v>1681</v>
      </c>
      <c r="G977" s="73"/>
      <c r="H977" s="76" t="s">
        <v>1577</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35">
      <c r="A978" s="45"/>
      <c r="B978" s="54"/>
      <c r="C978" s="47">
        <f t="shared" si="184"/>
        <v>4</v>
      </c>
      <c r="D978" s="73"/>
      <c r="E978" s="70"/>
      <c r="F978" s="70" t="s">
        <v>1682</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35">
      <c r="A979" s="45"/>
      <c r="B979" s="54"/>
      <c r="C979" s="47">
        <f t="shared" si="184"/>
        <v>4</v>
      </c>
      <c r="D979" s="73"/>
      <c r="E979" s="70"/>
      <c r="F979" s="70" t="s">
        <v>1683</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35">
      <c r="A980" s="45"/>
      <c r="B980" s="54"/>
      <c r="C980" s="47">
        <f t="shared" si="184"/>
        <v>4</v>
      </c>
      <c r="D980" s="73"/>
      <c r="E980" s="70"/>
      <c r="F980" s="70" t="s">
        <v>1684</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35">
      <c r="A981" s="45"/>
      <c r="B981" s="54"/>
      <c r="C981" s="47">
        <f t="shared" si="184"/>
        <v>4</v>
      </c>
      <c r="D981" s="73"/>
      <c r="E981" s="70"/>
      <c r="F981" s="70" t="s">
        <v>1685</v>
      </c>
      <c r="G981" s="73"/>
      <c r="H981" s="76" t="s">
        <v>1582</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35">
      <c r="A982" s="45"/>
      <c r="B982" s="54"/>
      <c r="C982" s="47">
        <f t="shared" si="184"/>
        <v>4</v>
      </c>
      <c r="D982" s="73"/>
      <c r="E982" s="70"/>
      <c r="F982" s="70" t="s">
        <v>1686</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35">
      <c r="A983" s="45"/>
      <c r="B983" s="54"/>
      <c r="C983" s="47">
        <f t="shared" si="184"/>
        <v>4</v>
      </c>
      <c r="D983" s="73"/>
      <c r="E983" s="70"/>
      <c r="F983" s="70" t="s">
        <v>1687</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35">
      <c r="A984" s="45"/>
      <c r="B984" s="54"/>
      <c r="C984" s="47">
        <f t="shared" si="184"/>
        <v>4</v>
      </c>
      <c r="D984" s="73"/>
      <c r="E984" s="70"/>
      <c r="F984" s="70" t="s">
        <v>1688</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35">
      <c r="A985" s="45"/>
      <c r="B985" s="54"/>
      <c r="C985" s="47">
        <f t="shared" si="184"/>
        <v>4</v>
      </c>
      <c r="D985" s="73"/>
      <c r="E985" s="70"/>
      <c r="F985" s="70" t="s">
        <v>1689</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35">
      <c r="A986" s="45"/>
      <c r="B986" s="54"/>
      <c r="C986" s="47">
        <f t="shared" si="184"/>
        <v>4</v>
      </c>
      <c r="D986" s="73"/>
      <c r="E986" s="70"/>
      <c r="F986" s="70" t="s">
        <v>1690</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35">
      <c r="A987" s="45"/>
      <c r="B987" s="54"/>
      <c r="C987" s="47">
        <f t="shared" si="184"/>
        <v>4</v>
      </c>
      <c r="D987" s="73"/>
      <c r="E987" s="70"/>
      <c r="F987" s="70" t="s">
        <v>1691</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35">
      <c r="A988" s="45"/>
      <c r="B988" s="54"/>
      <c r="C988" s="47">
        <f t="shared" si="184"/>
        <v>4</v>
      </c>
      <c r="D988" s="73"/>
      <c r="E988" s="70"/>
      <c r="F988" s="70" t="s">
        <v>1692</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35">
      <c r="A989" s="45"/>
      <c r="B989" s="54"/>
      <c r="C989" s="47">
        <f t="shared" si="184"/>
        <v>4</v>
      </c>
      <c r="D989" s="73"/>
      <c r="E989" s="70"/>
      <c r="F989" s="70" t="s">
        <v>1693</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184"/>
        <v>4</v>
      </c>
      <c r="D990" s="73"/>
      <c r="E990" s="70"/>
      <c r="F990" s="70" t="s">
        <v>1694</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184"/>
        <v>4</v>
      </c>
      <c r="D991" s="73"/>
      <c r="E991" s="70"/>
      <c r="F991" s="70" t="s">
        <v>1695</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184"/>
        <v>4</v>
      </c>
      <c r="D992" s="73"/>
      <c r="E992" s="70"/>
      <c r="F992" s="70" t="s">
        <v>1696</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184"/>
        <v>4</v>
      </c>
      <c r="D993" s="73"/>
      <c r="E993" s="70"/>
      <c r="F993" s="70" t="s">
        <v>1697</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184"/>
        <v>4</v>
      </c>
      <c r="D994" s="73"/>
      <c r="E994" s="70"/>
      <c r="F994" s="70" t="s">
        <v>1698</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184"/>
        <v>4</v>
      </c>
      <c r="D995" s="73"/>
      <c r="E995" s="70"/>
      <c r="F995" s="70" t="s">
        <v>1699</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184"/>
        <v>4</v>
      </c>
      <c r="D996" s="73"/>
      <c r="E996" s="70"/>
      <c r="F996" s="70" t="s">
        <v>1700</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ref="C997:C1004" si="185">INT($C$29)+3</f>
        <v>4</v>
      </c>
      <c r="D997" s="73"/>
      <c r="E997" s="70"/>
      <c r="F997" s="70" t="s">
        <v>1701</v>
      </c>
      <c r="G997" s="73"/>
      <c r="H997" s="76" t="s">
        <v>1611</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185"/>
        <v>4</v>
      </c>
      <c r="D998" s="73"/>
      <c r="E998" s="70"/>
      <c r="F998" s="70" t="s">
        <v>1702</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185"/>
        <v>4</v>
      </c>
      <c r="D999" s="73"/>
      <c r="E999" s="70"/>
      <c r="F999" s="70" t="s">
        <v>1703</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185"/>
        <v>4</v>
      </c>
      <c r="D1000" s="73"/>
      <c r="E1000" s="70"/>
      <c r="F1000" s="70" t="s">
        <v>1704</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185"/>
        <v>4</v>
      </c>
      <c r="D1001" s="73"/>
      <c r="E1001" s="70"/>
      <c r="F1001" s="70" t="s">
        <v>1705</v>
      </c>
      <c r="G1001" s="73"/>
      <c r="H1001" s="76" t="s">
        <v>1616</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185"/>
        <v>4</v>
      </c>
      <c r="D1002" s="73"/>
      <c r="E1002" s="70"/>
      <c r="F1002" s="70" t="s">
        <v>1706</v>
      </c>
      <c r="G1002" s="73"/>
      <c r="H1002" s="76" t="s">
        <v>1618</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185"/>
        <v>4</v>
      </c>
      <c r="D1003" s="73"/>
      <c r="E1003" s="70"/>
      <c r="F1003" s="70" t="s">
        <v>1707</v>
      </c>
      <c r="G1003" s="73"/>
      <c r="H1003" s="76" t="s">
        <v>1620</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185"/>
        <v>4</v>
      </c>
      <c r="D1004" s="73"/>
      <c r="E1004" s="70"/>
      <c r="F1004" s="70" t="s">
        <v>1708</v>
      </c>
      <c r="G1004" s="73"/>
      <c r="H1004" s="76" t="s">
        <v>1622</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2" x14ac:dyDescent="0.35">
      <c r="A1005" s="45"/>
      <c r="B1005" s="54"/>
      <c r="C1005" s="47">
        <f>INT($C$29)+2</f>
        <v>3</v>
      </c>
      <c r="D1005" s="73"/>
      <c r="E1005" s="70" t="s">
        <v>1709</v>
      </c>
      <c r="F1005" s="70" t="s">
        <v>1710</v>
      </c>
      <c r="G1005" s="73"/>
      <c r="H1005" s="76" t="s">
        <v>1711</v>
      </c>
      <c r="I1005" s="96" t="s">
        <v>502</v>
      </c>
      <c r="J1005" s="96"/>
      <c r="K1005" s="76"/>
      <c r="L1005" s="76"/>
      <c r="M1005" s="76"/>
      <c r="N1005" s="76"/>
      <c r="O1005" s="76"/>
      <c r="P1005" s="76"/>
      <c r="Q1005" s="76"/>
      <c r="R1005" s="76"/>
      <c r="S1005" s="76"/>
      <c r="T1005" s="76"/>
      <c r="U1005" s="76">
        <v>0</v>
      </c>
      <c r="V1005" s="76">
        <v>0</v>
      </c>
      <c r="W1005" s="76">
        <v>0</v>
      </c>
      <c r="X1005" s="76">
        <v>0</v>
      </c>
      <c r="Y1005" s="76">
        <v>0</v>
      </c>
      <c r="Z1005" s="76">
        <v>0</v>
      </c>
      <c r="AA1005" s="76">
        <v>0</v>
      </c>
      <c r="AB1005" s="76">
        <v>0</v>
      </c>
      <c r="AC1005" s="76">
        <v>0</v>
      </c>
      <c r="AD1005" s="76">
        <v>0</v>
      </c>
      <c r="AE1005" s="76"/>
      <c r="AF1005" s="264" t="s">
        <v>1712</v>
      </c>
      <c r="AG1005" s="76"/>
      <c r="AH1005" s="76">
        <v>1</v>
      </c>
      <c r="AI1005" s="76">
        <v>1</v>
      </c>
      <c r="AJ1005" s="73"/>
      <c r="AK1005" s="57"/>
      <c r="AL1005" s="45"/>
      <c r="AM1005" s="45"/>
      <c r="AN1005" s="45"/>
    </row>
    <row r="1006" spans="1:40" hidden="1" outlineLevel="2" x14ac:dyDescent="0.35">
      <c r="A1006" s="45"/>
      <c r="B1006" s="54"/>
      <c r="C1006" s="47">
        <f>INT($C$29)+2</f>
        <v>3</v>
      </c>
      <c r="D1006" s="73"/>
      <c r="E1006" s="70"/>
      <c r="F1006" s="70" t="s">
        <v>1713</v>
      </c>
      <c r="G1006" s="73"/>
      <c r="H1006" s="76" t="s">
        <v>1714</v>
      </c>
      <c r="I1006" s="96" t="s">
        <v>502</v>
      </c>
      <c r="J1006" s="96"/>
      <c r="K1006" s="97">
        <v>0.52400000000000002</v>
      </c>
      <c r="L1006" s="97">
        <v>0.65500000000000003</v>
      </c>
      <c r="M1006" s="97">
        <v>0.41599999999999998</v>
      </c>
      <c r="N1006" s="97">
        <v>0.41599999999999998</v>
      </c>
      <c r="O1006" s="97">
        <v>0.41599999999999998</v>
      </c>
      <c r="P1006" s="97">
        <v>0.57699999999999996</v>
      </c>
      <c r="Q1006" s="76"/>
      <c r="R1006" s="76" t="s">
        <v>550</v>
      </c>
      <c r="S1006" s="76" t="s">
        <v>550</v>
      </c>
      <c r="T1006" s="76"/>
      <c r="U1006" s="253">
        <f t="shared" ref="U1006:AD1008" si="186">INDEX($K1006:$Q1006,1,U$43)</f>
        <v>0.52400000000000002</v>
      </c>
      <c r="V1006" s="253">
        <f t="shared" si="186"/>
        <v>0.52400000000000002</v>
      </c>
      <c r="W1006" s="253">
        <f t="shared" si="186"/>
        <v>0.52400000000000002</v>
      </c>
      <c r="X1006" s="253">
        <f t="shared" si="186"/>
        <v>0.52400000000000002</v>
      </c>
      <c r="Y1006" s="253">
        <f t="shared" si="186"/>
        <v>0.52400000000000002</v>
      </c>
      <c r="Z1006" s="253">
        <f t="shared" si="186"/>
        <v>0.65500000000000003</v>
      </c>
      <c r="AA1006" s="253">
        <f t="shared" si="186"/>
        <v>0.65500000000000003</v>
      </c>
      <c r="AB1006" s="253">
        <f t="shared" si="186"/>
        <v>0.65500000000000003</v>
      </c>
      <c r="AC1006" s="253">
        <f t="shared" si="186"/>
        <v>0.65500000000000003</v>
      </c>
      <c r="AD1006" s="253">
        <f t="shared" si="186"/>
        <v>0.65500000000000003</v>
      </c>
      <c r="AE1006" s="76"/>
      <c r="AF1006" s="76"/>
      <c r="AG1006" s="76"/>
      <c r="AH1006" s="97">
        <v>1</v>
      </c>
      <c r="AI1006" s="97">
        <v>1</v>
      </c>
      <c r="AJ1006" s="73"/>
      <c r="AK1006" s="57"/>
      <c r="AL1006" s="45"/>
      <c r="AM1006" s="45"/>
      <c r="AN1006" s="45"/>
    </row>
    <row r="1007" spans="1:40" hidden="1" outlineLevel="2" x14ac:dyDescent="0.35">
      <c r="A1007" s="45"/>
      <c r="B1007" s="54"/>
      <c r="C1007" s="47">
        <f>INT($C$29)+2</f>
        <v>3</v>
      </c>
      <c r="D1007" s="73"/>
      <c r="E1007" s="70"/>
      <c r="F1007" s="70" t="s">
        <v>1715</v>
      </c>
      <c r="G1007" s="73"/>
      <c r="H1007" s="76" t="s">
        <v>1716</v>
      </c>
      <c r="I1007" s="96" t="s">
        <v>502</v>
      </c>
      <c r="J1007" s="96"/>
      <c r="K1007" s="97">
        <v>0.70699999999999996</v>
      </c>
      <c r="L1007" s="97">
        <v>0.88400000000000001</v>
      </c>
      <c r="M1007" s="76"/>
      <c r="N1007" s="76"/>
      <c r="O1007" s="76"/>
      <c r="P1007" s="76"/>
      <c r="Q1007" s="76"/>
      <c r="R1007" s="76" t="s">
        <v>550</v>
      </c>
      <c r="S1007" s="76"/>
      <c r="T1007" s="76"/>
      <c r="U1007" s="253">
        <f t="shared" si="186"/>
        <v>0.70699999999999996</v>
      </c>
      <c r="V1007" s="253">
        <f t="shared" si="186"/>
        <v>0.70699999999999996</v>
      </c>
      <c r="W1007" s="253">
        <f t="shared" si="186"/>
        <v>0.70699999999999996</v>
      </c>
      <c r="X1007" s="253">
        <f t="shared" si="186"/>
        <v>0.70699999999999996</v>
      </c>
      <c r="Y1007" s="253">
        <f t="shared" si="186"/>
        <v>0.70699999999999996</v>
      </c>
      <c r="Z1007" s="253">
        <f t="shared" si="186"/>
        <v>0.88400000000000001</v>
      </c>
      <c r="AA1007" s="253">
        <f t="shared" si="186"/>
        <v>0.88400000000000001</v>
      </c>
      <c r="AB1007" s="253">
        <f t="shared" si="186"/>
        <v>0.88400000000000001</v>
      </c>
      <c r="AC1007" s="253">
        <f t="shared" si="186"/>
        <v>0.88400000000000001</v>
      </c>
      <c r="AD1007" s="253">
        <f t="shared" si="186"/>
        <v>0.88400000000000001</v>
      </c>
      <c r="AE1007" s="76"/>
      <c r="AF1007" s="76"/>
      <c r="AG1007" s="76"/>
      <c r="AH1007" s="97">
        <v>1</v>
      </c>
      <c r="AI1007" s="97">
        <v>1</v>
      </c>
      <c r="AJ1007" s="73"/>
      <c r="AK1007" s="57"/>
      <c r="AL1007" s="45"/>
      <c r="AM1007" s="45"/>
      <c r="AN1007" s="45"/>
    </row>
    <row r="1008" spans="1:40" hidden="1" outlineLevel="2" collapsed="1" x14ac:dyDescent="0.35">
      <c r="A1008" s="45"/>
      <c r="B1008" s="54"/>
      <c r="C1008" s="47">
        <f>INT($C$29)+2</f>
        <v>3</v>
      </c>
      <c r="D1008" s="73"/>
      <c r="E1008" s="70"/>
      <c r="F1008" s="70" t="s">
        <v>1717</v>
      </c>
      <c r="G1008" s="73"/>
      <c r="H1008" s="76" t="s">
        <v>1718</v>
      </c>
      <c r="I1008" s="96" t="s">
        <v>502</v>
      </c>
      <c r="J1008" s="96"/>
      <c r="K1008" s="97">
        <v>0.89100000000000001</v>
      </c>
      <c r="L1008" s="97">
        <v>1.1140000000000001</v>
      </c>
      <c r="M1008" s="76"/>
      <c r="N1008" s="76"/>
      <c r="O1008" s="76"/>
      <c r="P1008" s="76"/>
      <c r="Q1008" s="76"/>
      <c r="R1008" s="76" t="s">
        <v>550</v>
      </c>
      <c r="S1008" s="76"/>
      <c r="T1008" s="76"/>
      <c r="U1008" s="253">
        <f t="shared" si="186"/>
        <v>0.89100000000000001</v>
      </c>
      <c r="V1008" s="253">
        <f t="shared" si="186"/>
        <v>0.89100000000000001</v>
      </c>
      <c r="W1008" s="253">
        <f t="shared" si="186"/>
        <v>0.89100000000000001</v>
      </c>
      <c r="X1008" s="253">
        <f t="shared" si="186"/>
        <v>0.89100000000000001</v>
      </c>
      <c r="Y1008" s="253">
        <f t="shared" si="186"/>
        <v>0.89100000000000001</v>
      </c>
      <c r="Z1008" s="253">
        <f t="shared" si="186"/>
        <v>1.1140000000000001</v>
      </c>
      <c r="AA1008" s="253">
        <f t="shared" si="186"/>
        <v>1.1140000000000001</v>
      </c>
      <c r="AB1008" s="253">
        <f t="shared" si="186"/>
        <v>1.1140000000000001</v>
      </c>
      <c r="AC1008" s="253">
        <f t="shared" si="186"/>
        <v>1.1140000000000001</v>
      </c>
      <c r="AD1008" s="253">
        <f t="shared" si="186"/>
        <v>1.1140000000000001</v>
      </c>
      <c r="AE1008" s="76"/>
      <c r="AF1008" s="76"/>
      <c r="AG1008" s="76"/>
      <c r="AH1008" s="97">
        <v>1</v>
      </c>
      <c r="AI1008" s="97">
        <v>1</v>
      </c>
      <c r="AJ1008" s="73"/>
      <c r="AK1008" s="57"/>
      <c r="AL1008" s="45"/>
      <c r="AM1008" s="45"/>
      <c r="AN1008" s="45"/>
    </row>
    <row r="1009" spans="1:40" hidden="1" outlineLevel="3" x14ac:dyDescent="0.35">
      <c r="A1009" s="45"/>
      <c r="B1009" s="54"/>
      <c r="C1009" s="47">
        <f t="shared" ref="C1009:C1036" si="187">INT($C$29)+3</f>
        <v>4</v>
      </c>
      <c r="D1009" s="73"/>
      <c r="E1009" s="70"/>
      <c r="F1009" s="70" t="s">
        <v>2545</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187"/>
        <v>4</v>
      </c>
      <c r="D1010" s="73"/>
      <c r="E1010" s="70"/>
      <c r="F1010" s="70" t="s">
        <v>2546</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187"/>
        <v>4</v>
      </c>
      <c r="D1011" s="73"/>
      <c r="E1011" s="70"/>
      <c r="F1011" s="70" t="s">
        <v>2547</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187"/>
        <v>4</v>
      </c>
      <c r="D1012" s="73"/>
      <c r="E1012" s="70"/>
      <c r="F1012" s="70" t="s">
        <v>2548</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187"/>
        <v>4</v>
      </c>
      <c r="D1013" s="73"/>
      <c r="E1013" s="70"/>
      <c r="F1013" s="70" t="s">
        <v>2549</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187"/>
        <v>4</v>
      </c>
      <c r="D1014" s="73"/>
      <c r="E1014" s="70"/>
      <c r="F1014" s="70" t="s">
        <v>2550</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187"/>
        <v>4</v>
      </c>
      <c r="D1015" s="73"/>
      <c r="E1015" s="70"/>
      <c r="F1015" s="70" t="s">
        <v>2551</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187"/>
        <v>4</v>
      </c>
      <c r="D1016" s="73"/>
      <c r="E1016" s="70"/>
      <c r="F1016" s="70" t="s">
        <v>2552</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187"/>
        <v>4</v>
      </c>
      <c r="D1017" s="73"/>
      <c r="E1017" s="70"/>
      <c r="F1017" s="70" t="s">
        <v>2553</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187"/>
        <v>4</v>
      </c>
      <c r="D1018" s="73"/>
      <c r="E1018" s="70"/>
      <c r="F1018" s="70" t="s">
        <v>2554</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187"/>
        <v>4</v>
      </c>
      <c r="D1019" s="73"/>
      <c r="E1019" s="70"/>
      <c r="F1019" s="70" t="s">
        <v>2555</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187"/>
        <v>4</v>
      </c>
      <c r="D1020" s="73"/>
      <c r="E1020" s="70"/>
      <c r="F1020" s="70" t="s">
        <v>2556</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187"/>
        <v>4</v>
      </c>
      <c r="D1021" s="73"/>
      <c r="E1021" s="70"/>
      <c r="F1021" s="70" t="s">
        <v>2557</v>
      </c>
      <c r="G1021" s="73"/>
      <c r="H1021" s="76" t="s">
        <v>1489</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187"/>
        <v>4</v>
      </c>
      <c r="D1022" s="73"/>
      <c r="E1022" s="70"/>
      <c r="F1022" s="70" t="s">
        <v>2558</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187"/>
        <v>4</v>
      </c>
      <c r="D1023" s="73"/>
      <c r="E1023" s="70"/>
      <c r="F1023" s="70" t="s">
        <v>2559</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187"/>
        <v>4</v>
      </c>
      <c r="D1024" s="73"/>
      <c r="E1024" s="70"/>
      <c r="F1024" s="70" t="s">
        <v>2560</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187"/>
        <v>4</v>
      </c>
      <c r="D1025" s="73"/>
      <c r="E1025" s="70"/>
      <c r="F1025" s="70" t="s">
        <v>2561</v>
      </c>
      <c r="G1025" s="73"/>
      <c r="H1025" s="76" t="s">
        <v>1489</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187"/>
        <v>4</v>
      </c>
      <c r="D1026" s="73"/>
      <c r="E1026" s="70"/>
      <c r="F1026" s="70" t="s">
        <v>2562</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187"/>
        <v>4</v>
      </c>
      <c r="D1027" s="73"/>
      <c r="E1027" s="70"/>
      <c r="F1027" s="70" t="s">
        <v>2563</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187"/>
        <v>4</v>
      </c>
      <c r="D1028" s="73"/>
      <c r="E1028" s="70"/>
      <c r="F1028" s="70" t="s">
        <v>2564</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187"/>
        <v>4</v>
      </c>
      <c r="D1029" s="73"/>
      <c r="E1029" s="70"/>
      <c r="F1029" s="70" t="s">
        <v>2565</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187"/>
        <v>4</v>
      </c>
      <c r="D1030" s="73"/>
      <c r="E1030" s="70"/>
      <c r="F1030" s="70" t="s">
        <v>2566</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187"/>
        <v>4</v>
      </c>
      <c r="D1031" s="73"/>
      <c r="E1031" s="70"/>
      <c r="F1031" s="70" t="s">
        <v>2567</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187"/>
        <v>4</v>
      </c>
      <c r="D1032" s="73"/>
      <c r="E1032" s="70"/>
      <c r="F1032" s="70" t="s">
        <v>2568</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187"/>
        <v>4</v>
      </c>
      <c r="D1033" s="73"/>
      <c r="E1033" s="70"/>
      <c r="F1033" s="70" t="s">
        <v>3358</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187"/>
        <v>4</v>
      </c>
      <c r="D1034" s="73"/>
      <c r="E1034" s="70"/>
      <c r="F1034" s="70" t="s">
        <v>3359</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187"/>
        <v>4</v>
      </c>
      <c r="D1035" s="73"/>
      <c r="E1035" s="70"/>
      <c r="F1035" s="70" t="s">
        <v>3360</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187"/>
        <v>4</v>
      </c>
      <c r="D1036" s="73"/>
      <c r="E1036" s="70"/>
      <c r="F1036" s="70" t="s">
        <v>3361</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outlineLevel="1" collapsed="1" x14ac:dyDescent="0.35">
      <c r="A1037" s="45"/>
      <c r="B1037" s="54"/>
      <c r="C1037" s="47">
        <f>INT($C$29)+1</f>
        <v>2</v>
      </c>
      <c r="D1037" s="73"/>
      <c r="E1037" s="70"/>
      <c r="F1037" s="265" t="s">
        <v>1719</v>
      </c>
      <c r="G1037" s="73"/>
      <c r="H1037" s="246" t="s">
        <v>1720</v>
      </c>
      <c r="I1037" s="96"/>
      <c r="J1037" s="96" t="s">
        <v>519</v>
      </c>
      <c r="K1037" s="76"/>
      <c r="L1037" s="76"/>
      <c r="M1037" s="76"/>
      <c r="N1037" s="76"/>
      <c r="O1037" s="76"/>
      <c r="P1037" s="76"/>
      <c r="Q1037" s="76"/>
      <c r="R1037" s="76"/>
      <c r="S1037" s="76"/>
      <c r="T1037" s="76"/>
      <c r="U1037" s="79">
        <v>5</v>
      </c>
      <c r="V1037" s="76"/>
      <c r="W1037" s="79">
        <v>0</v>
      </c>
      <c r="X1037" s="76"/>
      <c r="Y1037" s="76"/>
      <c r="Z1037" s="76"/>
      <c r="AA1037" s="76"/>
      <c r="AB1037" s="76"/>
      <c r="AC1037" s="76"/>
      <c r="AD1037" s="76"/>
      <c r="AE1037" s="76"/>
      <c r="AF1037" s="76"/>
      <c r="AG1037" s="76"/>
      <c r="AH1037" s="76"/>
      <c r="AI1037" s="76"/>
      <c r="AJ1037" s="73"/>
      <c r="AK1037" s="57"/>
      <c r="AL1037" s="45"/>
      <c r="AM1037" s="45"/>
      <c r="AN1037" s="45"/>
    </row>
    <row r="1038" spans="1:40" hidden="1" outlineLevel="2" x14ac:dyDescent="0.35">
      <c r="A1038" s="45"/>
      <c r="B1038" s="54"/>
      <c r="C1038" s="47">
        <f>INT($C$29)+2</f>
        <v>3</v>
      </c>
      <c r="D1038" s="73"/>
      <c r="E1038" s="70" t="s">
        <v>1721</v>
      </c>
      <c r="F1038" s="70" t="s">
        <v>1722</v>
      </c>
      <c r="G1038" s="73"/>
      <c r="H1038" s="76" t="s">
        <v>1723</v>
      </c>
      <c r="I1038" s="76"/>
      <c r="J1038" s="76"/>
      <c r="K1038" s="97">
        <v>0.99704199999999998</v>
      </c>
      <c r="L1038" s="97">
        <v>0.99704199999999998</v>
      </c>
      <c r="M1038" s="76"/>
      <c r="N1038" s="76"/>
      <c r="O1038" s="76"/>
      <c r="P1038" s="76"/>
      <c r="Q1038" s="76"/>
      <c r="R1038" s="76"/>
      <c r="S1038" s="76"/>
      <c r="T1038" s="76"/>
      <c r="U1038" s="253">
        <f t="shared" ref="U1038:AD1038" si="188">INDEX($K1038:$Q1038,1,U$43)</f>
        <v>0.99704199999999998</v>
      </c>
      <c r="V1038" s="253">
        <f t="shared" si="188"/>
        <v>0.99704199999999998</v>
      </c>
      <c r="W1038" s="253">
        <f t="shared" si="188"/>
        <v>0.99704199999999998</v>
      </c>
      <c r="X1038" s="253">
        <f t="shared" si="188"/>
        <v>0.99704199999999998</v>
      </c>
      <c r="Y1038" s="253">
        <f t="shared" si="188"/>
        <v>0.99704199999999998</v>
      </c>
      <c r="Z1038" s="253">
        <f t="shared" si="188"/>
        <v>0.99704199999999998</v>
      </c>
      <c r="AA1038" s="253">
        <f t="shared" si="188"/>
        <v>0.99704199999999998</v>
      </c>
      <c r="AB1038" s="253">
        <f t="shared" si="188"/>
        <v>0.99704199999999998</v>
      </c>
      <c r="AC1038" s="253">
        <f t="shared" si="188"/>
        <v>0.99704199999999998</v>
      </c>
      <c r="AD1038" s="253">
        <f t="shared" si="188"/>
        <v>0.99704199999999998</v>
      </c>
      <c r="AE1038" s="76"/>
      <c r="AF1038" s="76"/>
      <c r="AG1038" s="76"/>
      <c r="AH1038" s="97">
        <v>1</v>
      </c>
      <c r="AI1038" s="97">
        <v>1</v>
      </c>
      <c r="AJ1038" s="73"/>
      <c r="AK1038" s="57"/>
      <c r="AL1038" s="45"/>
      <c r="AM1038" s="45"/>
      <c r="AN1038" s="45"/>
    </row>
    <row r="1039" spans="1:40" hidden="1" outlineLevel="2" x14ac:dyDescent="0.35">
      <c r="A1039" s="45"/>
      <c r="B1039" s="54"/>
      <c r="C1039" s="47">
        <f>INT($C$29)+2</f>
        <v>3</v>
      </c>
      <c r="D1039" s="73"/>
      <c r="E1039" s="70"/>
      <c r="F1039" s="70" t="s">
        <v>1724</v>
      </c>
      <c r="G1039" s="73"/>
      <c r="H1039" s="129" t="s">
        <v>2788</v>
      </c>
      <c r="I1039" s="96"/>
      <c r="J1039" s="96"/>
      <c r="K1039" s="76"/>
      <c r="L1039" s="76"/>
      <c r="M1039" s="76"/>
      <c r="N1039" s="76"/>
      <c r="O1039" s="76"/>
      <c r="P1039" s="76"/>
      <c r="Q1039" s="76"/>
      <c r="R1039" s="76"/>
      <c r="S1039" s="76"/>
      <c r="T1039" s="76"/>
      <c r="U1039" s="266">
        <v>0.19</v>
      </c>
      <c r="V1039" s="266">
        <v>0.19</v>
      </c>
      <c r="W1039" s="266">
        <v>0.19</v>
      </c>
      <c r="X1039" s="266">
        <v>0.19</v>
      </c>
      <c r="Y1039" s="266">
        <v>0.19</v>
      </c>
      <c r="Z1039" s="266">
        <v>0.25</v>
      </c>
      <c r="AA1039" s="266">
        <v>0.25</v>
      </c>
      <c r="AB1039" s="266">
        <v>0.25</v>
      </c>
      <c r="AC1039" s="266">
        <v>0.25</v>
      </c>
      <c r="AD1039" s="266">
        <v>0.25</v>
      </c>
      <c r="AE1039" s="76"/>
      <c r="AF1039" s="97" t="s">
        <v>1726</v>
      </c>
      <c r="AG1039" s="76"/>
      <c r="AH1039" s="97">
        <v>1</v>
      </c>
      <c r="AI1039" s="97">
        <v>1</v>
      </c>
      <c r="AJ1039" s="73"/>
      <c r="AK1039" s="57"/>
      <c r="AL1039" s="45"/>
      <c r="AM1039" s="45"/>
      <c r="AN1039" s="45"/>
    </row>
    <row r="1040" spans="1:40" hidden="1" outlineLevel="2" x14ac:dyDescent="0.35">
      <c r="A1040" s="45"/>
      <c r="B1040" s="54"/>
      <c r="C1040" s="47">
        <f>INT($C$29)+2</f>
        <v>3</v>
      </c>
      <c r="D1040" s="73"/>
      <c r="E1040" s="70"/>
      <c r="F1040" s="70" t="s">
        <v>1727</v>
      </c>
      <c r="G1040" s="73"/>
      <c r="H1040" s="76" t="s">
        <v>1728</v>
      </c>
      <c r="I1040" s="76"/>
      <c r="J1040" s="76"/>
      <c r="K1040" s="76"/>
      <c r="L1040" s="76"/>
      <c r="M1040" s="76"/>
      <c r="N1040" s="76"/>
      <c r="O1040" s="76"/>
      <c r="P1040" s="76"/>
      <c r="Q1040" s="76"/>
      <c r="R1040" s="76"/>
      <c r="S1040" s="76"/>
      <c r="T1040" s="76"/>
      <c r="U1040" s="97">
        <v>0.13739999999999999</v>
      </c>
      <c r="V1040" s="97">
        <v>0.13739999999999999</v>
      </c>
      <c r="W1040" s="97">
        <v>0.13739999999999999</v>
      </c>
      <c r="X1040" s="97">
        <v>0.13739999999999999</v>
      </c>
      <c r="Y1040" s="97">
        <v>0.13739999999999999</v>
      </c>
      <c r="Z1040" s="255">
        <f t="shared" ref="Z1040:AD1042" si="189">Y1040</f>
        <v>0.13739999999999999</v>
      </c>
      <c r="AA1040" s="255">
        <f t="shared" si="189"/>
        <v>0.13739999999999999</v>
      </c>
      <c r="AB1040" s="255">
        <f t="shared" si="189"/>
        <v>0.13739999999999999</v>
      </c>
      <c r="AC1040" s="255">
        <f t="shared" si="189"/>
        <v>0.13739999999999999</v>
      </c>
      <c r="AD1040" s="255">
        <f t="shared" si="189"/>
        <v>0.13739999999999999</v>
      </c>
      <c r="AE1040" s="76"/>
      <c r="AF1040" s="76"/>
      <c r="AG1040" s="76"/>
      <c r="AH1040" s="97">
        <v>1</v>
      </c>
      <c r="AI1040" s="97">
        <v>1</v>
      </c>
      <c r="AJ1040" s="73"/>
      <c r="AK1040" s="57"/>
      <c r="AL1040" s="45"/>
      <c r="AM1040" s="45"/>
      <c r="AN1040" s="45"/>
    </row>
    <row r="1041" spans="1:40" hidden="1" outlineLevel="2" x14ac:dyDescent="0.35">
      <c r="A1041" s="45"/>
      <c r="B1041" s="54"/>
      <c r="C1041" s="47">
        <f>INT($C$29)+2</f>
        <v>3</v>
      </c>
      <c r="D1041" s="73"/>
      <c r="E1041" s="70"/>
      <c r="F1041" s="70" t="s">
        <v>1729</v>
      </c>
      <c r="G1041" s="73"/>
      <c r="H1041" s="76" t="s">
        <v>1730</v>
      </c>
      <c r="I1041" s="76"/>
      <c r="J1041" s="76"/>
      <c r="K1041" s="76"/>
      <c r="L1041" s="76"/>
      <c r="M1041" s="76"/>
      <c r="N1041" s="76"/>
      <c r="O1041" s="76"/>
      <c r="P1041" s="76"/>
      <c r="Q1041" s="76"/>
      <c r="R1041" s="76"/>
      <c r="S1041" s="76"/>
      <c r="T1041" s="76"/>
      <c r="U1041" s="97">
        <v>0.16700000000000001</v>
      </c>
      <c r="V1041" s="97">
        <v>0.16700000000000001</v>
      </c>
      <c r="W1041" s="97">
        <v>0.16700000000000001</v>
      </c>
      <c r="X1041" s="97">
        <v>0.16700000000000001</v>
      </c>
      <c r="Y1041" s="97">
        <v>0.16700000000000001</v>
      </c>
      <c r="Z1041" s="255">
        <f t="shared" si="189"/>
        <v>0.16700000000000001</v>
      </c>
      <c r="AA1041" s="255">
        <f t="shared" si="189"/>
        <v>0.16700000000000001</v>
      </c>
      <c r="AB1041" s="255">
        <f t="shared" si="189"/>
        <v>0.16700000000000001</v>
      </c>
      <c r="AC1041" s="255">
        <f t="shared" si="189"/>
        <v>0.16700000000000001</v>
      </c>
      <c r="AD1041" s="255">
        <f t="shared" si="189"/>
        <v>0.16700000000000001</v>
      </c>
      <c r="AE1041" s="76"/>
      <c r="AF1041" s="76"/>
      <c r="AG1041" s="76"/>
      <c r="AH1041" s="97">
        <v>1</v>
      </c>
      <c r="AI1041" s="97">
        <v>1</v>
      </c>
      <c r="AJ1041" s="73"/>
      <c r="AK1041" s="57"/>
      <c r="AL1041" s="45"/>
      <c r="AM1041" s="45"/>
      <c r="AN1041" s="45"/>
    </row>
    <row r="1042" spans="1:40" hidden="1" outlineLevel="2" x14ac:dyDescent="0.35">
      <c r="A1042" s="45"/>
      <c r="B1042" s="54"/>
      <c r="C1042" s="47">
        <f>INT($C$29)+2</f>
        <v>3</v>
      </c>
      <c r="D1042" s="73"/>
      <c r="E1042" s="70"/>
      <c r="F1042" s="70" t="s">
        <v>1731</v>
      </c>
      <c r="G1042" s="73"/>
      <c r="H1042" s="76" t="s">
        <v>1732</v>
      </c>
      <c r="I1042" s="76"/>
      <c r="J1042" s="76"/>
      <c r="K1042" s="76"/>
      <c r="L1042" s="76"/>
      <c r="M1042" s="76"/>
      <c r="N1042" s="76"/>
      <c r="O1042" s="76"/>
      <c r="P1042" s="76"/>
      <c r="Q1042" s="76"/>
      <c r="R1042" s="76"/>
      <c r="S1042" s="76"/>
      <c r="T1042" s="76"/>
      <c r="U1042" s="97">
        <v>0.08</v>
      </c>
      <c r="V1042" s="97">
        <v>0.08</v>
      </c>
      <c r="W1042" s="97">
        <v>0.08</v>
      </c>
      <c r="X1042" s="97">
        <v>0.08</v>
      </c>
      <c r="Y1042" s="97">
        <v>0.08</v>
      </c>
      <c r="Z1042" s="255">
        <f t="shared" si="189"/>
        <v>0.08</v>
      </c>
      <c r="AA1042" s="255">
        <f t="shared" si="189"/>
        <v>0.08</v>
      </c>
      <c r="AB1042" s="255">
        <f t="shared" si="189"/>
        <v>0.08</v>
      </c>
      <c r="AC1042" s="255">
        <f t="shared" si="189"/>
        <v>0.08</v>
      </c>
      <c r="AD1042" s="255">
        <f t="shared" si="189"/>
        <v>0.08</v>
      </c>
      <c r="AE1042" s="76"/>
      <c r="AF1042" s="76"/>
      <c r="AG1042" s="76"/>
      <c r="AH1042" s="97">
        <v>1</v>
      </c>
      <c r="AI1042" s="97">
        <v>1</v>
      </c>
      <c r="AJ1042" s="73"/>
      <c r="AK1042" s="57"/>
      <c r="AL1042" s="45"/>
      <c r="AM1042" s="45"/>
      <c r="AN1042" s="45"/>
    </row>
    <row r="1043" spans="1:40" outlineLevel="1" collapsed="1" x14ac:dyDescent="0.35">
      <c r="A1043" s="45"/>
      <c r="B1043" s="54"/>
      <c r="C1043" s="47">
        <f>INT($C$29)+1</f>
        <v>2</v>
      </c>
      <c r="D1043" s="73"/>
      <c r="E1043" s="70"/>
      <c r="F1043" s="265" t="s">
        <v>1719</v>
      </c>
      <c r="G1043" s="73"/>
      <c r="H1043" s="267" t="s">
        <v>1733</v>
      </c>
      <c r="I1043" s="129"/>
      <c r="J1043" s="129" t="s">
        <v>1045</v>
      </c>
      <c r="K1043" s="76"/>
      <c r="L1043" s="76"/>
      <c r="M1043" s="76"/>
      <c r="N1043" s="76"/>
      <c r="O1043" s="76"/>
      <c r="P1043" s="76"/>
      <c r="Q1043" s="76"/>
      <c r="R1043" s="76"/>
      <c r="S1043" s="76"/>
      <c r="T1043" s="76"/>
      <c r="U1043" s="79">
        <v>19</v>
      </c>
      <c r="V1043" s="79">
        <v>8</v>
      </c>
      <c r="W1043" s="79">
        <v>0</v>
      </c>
      <c r="X1043" s="76"/>
      <c r="Y1043" s="76"/>
      <c r="Z1043" s="76"/>
      <c r="AA1043" s="76"/>
      <c r="AB1043" s="76"/>
      <c r="AC1043" s="76"/>
      <c r="AD1043" s="76"/>
      <c r="AE1043" s="76"/>
      <c r="AF1043" s="76"/>
      <c r="AG1043" s="76"/>
      <c r="AH1043" s="76"/>
      <c r="AI1043" s="76"/>
      <c r="AJ1043" s="73"/>
      <c r="AK1043" s="57"/>
      <c r="AL1043" s="45"/>
      <c r="AM1043" s="45"/>
      <c r="AN1043" s="45"/>
    </row>
    <row r="1044" spans="1:40" hidden="1" outlineLevel="3" x14ac:dyDescent="0.35">
      <c r="A1044" s="45"/>
      <c r="B1044" s="54"/>
      <c r="C1044" s="47">
        <f t="shared" ref="C1044:C1051" si="190">INT($C$29)+2</f>
        <v>3</v>
      </c>
      <c r="D1044" s="73"/>
      <c r="E1044" s="70"/>
      <c r="F1044" s="70" t="s">
        <v>1734</v>
      </c>
      <c r="G1044" s="73"/>
      <c r="H1044" s="76" t="s">
        <v>1735</v>
      </c>
      <c r="I1044" s="76"/>
      <c r="J1044" s="7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190"/>
        <v>3</v>
      </c>
      <c r="D1045" s="73"/>
      <c r="E1045" s="70"/>
      <c r="F1045" s="70" t="s">
        <v>1736</v>
      </c>
      <c r="G1045" s="73"/>
      <c r="H1045" s="76" t="s">
        <v>1737</v>
      </c>
      <c r="I1045" s="76"/>
      <c r="J1045" s="7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190"/>
        <v>3</v>
      </c>
      <c r="D1046" s="73"/>
      <c r="E1046" s="70"/>
      <c r="F1046" s="70" t="s">
        <v>1738</v>
      </c>
      <c r="G1046" s="73"/>
      <c r="H1046" s="76" t="s">
        <v>1739</v>
      </c>
      <c r="I1046" s="76"/>
      <c r="J1046" s="7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190"/>
        <v>3</v>
      </c>
      <c r="D1047" s="73"/>
      <c r="E1047" s="70"/>
      <c r="F1047" s="70" t="s">
        <v>1740</v>
      </c>
      <c r="G1047" s="73"/>
      <c r="H1047" s="76" t="s">
        <v>1741</v>
      </c>
      <c r="I1047" s="76"/>
      <c r="J1047" s="7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190"/>
        <v>3</v>
      </c>
      <c r="D1048" s="73"/>
      <c r="E1048" s="70"/>
      <c r="F1048" s="70" t="s">
        <v>1742</v>
      </c>
      <c r="G1048" s="73"/>
      <c r="H1048" s="76" t="s">
        <v>1743</v>
      </c>
      <c r="I1048" s="76"/>
      <c r="J1048" s="7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190"/>
        <v>3</v>
      </c>
      <c r="D1049" s="73"/>
      <c r="E1049" s="70"/>
      <c r="F1049" s="70" t="s">
        <v>1744</v>
      </c>
      <c r="G1049" s="73"/>
      <c r="H1049" s="76" t="s">
        <v>1745</v>
      </c>
      <c r="I1049" s="76"/>
      <c r="J1049" s="7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190"/>
        <v>3</v>
      </c>
      <c r="D1050" s="73"/>
      <c r="E1050" s="70"/>
      <c r="F1050" s="70" t="s">
        <v>1746</v>
      </c>
      <c r="G1050" s="73"/>
      <c r="H1050" s="76" t="s">
        <v>1747</v>
      </c>
      <c r="I1050" s="76"/>
      <c r="J1050" s="7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190"/>
        <v>3</v>
      </c>
      <c r="D1051" s="73"/>
      <c r="E1051" s="70"/>
      <c r="F1051" s="70" t="s">
        <v>1748</v>
      </c>
      <c r="G1051" s="73"/>
      <c r="H1051" s="76" t="s">
        <v>1749</v>
      </c>
      <c r="I1051" s="76"/>
      <c r="J1051" s="7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ref="C1052:C1083" si="191">INT($C$29)+3</f>
        <v>4</v>
      </c>
      <c r="D1052" s="73"/>
      <c r="E1052" s="70"/>
      <c r="F1052" s="70" t="s">
        <v>1750</v>
      </c>
      <c r="G1052" s="73"/>
      <c r="H1052" s="76" t="s">
        <v>604</v>
      </c>
      <c r="I1052" s="76"/>
      <c r="J1052" s="7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si="191"/>
        <v>4</v>
      </c>
      <c r="D1053" s="73"/>
      <c r="E1053" s="70"/>
      <c r="F1053" s="70" t="s">
        <v>1751</v>
      </c>
      <c r="G1053" s="73"/>
      <c r="H1053" s="76"/>
      <c r="I1053" s="76"/>
      <c r="J1053" s="7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si="191"/>
        <v>4</v>
      </c>
      <c r="D1054" s="73"/>
      <c r="E1054" s="70"/>
      <c r="F1054" s="70" t="s">
        <v>1752</v>
      </c>
      <c r="G1054" s="73"/>
      <c r="H1054" s="76"/>
      <c r="I1054" s="76"/>
      <c r="J1054" s="7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191"/>
        <v>4</v>
      </c>
      <c r="D1055" s="73"/>
      <c r="E1055" s="70"/>
      <c r="F1055" s="70" t="s">
        <v>1753</v>
      </c>
      <c r="G1055" s="73"/>
      <c r="H1055" s="76"/>
      <c r="I1055" s="76"/>
      <c r="J1055" s="7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191"/>
        <v>4</v>
      </c>
      <c r="D1056" s="73"/>
      <c r="E1056" s="70"/>
      <c r="F1056" s="70" t="s">
        <v>1754</v>
      </c>
      <c r="G1056" s="73"/>
      <c r="H1056" s="76"/>
      <c r="I1056" s="76"/>
      <c r="J1056" s="7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191"/>
        <v>4</v>
      </c>
      <c r="D1057" s="73"/>
      <c r="E1057" s="70"/>
      <c r="F1057" s="70" t="s">
        <v>1755</v>
      </c>
      <c r="G1057" s="73"/>
      <c r="H1057" s="76"/>
      <c r="I1057" s="76"/>
      <c r="J1057" s="7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191"/>
        <v>4</v>
      </c>
      <c r="D1058" s="73"/>
      <c r="E1058" s="70"/>
      <c r="F1058" s="70" t="s">
        <v>1756</v>
      </c>
      <c r="G1058" s="73"/>
      <c r="H1058" s="76"/>
      <c r="I1058" s="76"/>
      <c r="J1058" s="7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191"/>
        <v>4</v>
      </c>
      <c r="D1059" s="73"/>
      <c r="E1059" s="70"/>
      <c r="F1059" s="70" t="s">
        <v>1757</v>
      </c>
      <c r="G1059" s="73"/>
      <c r="H1059" s="76"/>
      <c r="I1059" s="76"/>
      <c r="J1059" s="7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191"/>
        <v>4</v>
      </c>
      <c r="D1060" s="73"/>
      <c r="E1060" s="70"/>
      <c r="F1060" s="70" t="s">
        <v>1758</v>
      </c>
      <c r="G1060" s="73"/>
      <c r="H1060" s="76" t="s">
        <v>604</v>
      </c>
      <c r="I1060" s="76"/>
      <c r="J1060" s="7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35">
      <c r="A1061" s="45"/>
      <c r="B1061" s="54"/>
      <c r="C1061" s="47">
        <f t="shared" si="191"/>
        <v>4</v>
      </c>
      <c r="D1061" s="73"/>
      <c r="E1061" s="70"/>
      <c r="F1061" s="70" t="s">
        <v>1759</v>
      </c>
      <c r="G1061" s="73"/>
      <c r="H1061" s="76"/>
      <c r="I1061" s="76"/>
      <c r="J1061" s="7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35">
      <c r="A1062" s="45"/>
      <c r="B1062" s="54"/>
      <c r="C1062" s="47">
        <f t="shared" si="191"/>
        <v>4</v>
      </c>
      <c r="D1062" s="73"/>
      <c r="E1062" s="70"/>
      <c r="F1062" s="70" t="s">
        <v>1760</v>
      </c>
      <c r="G1062" s="73"/>
      <c r="H1062" s="76"/>
      <c r="I1062" s="76"/>
      <c r="J1062" s="7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35">
      <c r="A1063" s="45"/>
      <c r="B1063" s="54"/>
      <c r="C1063" s="47">
        <f t="shared" si="191"/>
        <v>4</v>
      </c>
      <c r="D1063" s="73"/>
      <c r="E1063" s="70"/>
      <c r="F1063" s="70" t="s">
        <v>1761</v>
      </c>
      <c r="G1063" s="73"/>
      <c r="H1063" s="76"/>
      <c r="I1063" s="76"/>
      <c r="J1063" s="7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35">
      <c r="A1064" s="45"/>
      <c r="B1064" s="54"/>
      <c r="C1064" s="47">
        <f t="shared" si="191"/>
        <v>4</v>
      </c>
      <c r="D1064" s="73"/>
      <c r="E1064" s="70"/>
      <c r="F1064" s="70" t="s">
        <v>1762</v>
      </c>
      <c r="G1064" s="73"/>
      <c r="H1064" s="76"/>
      <c r="I1064" s="76"/>
      <c r="J1064" s="7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35">
      <c r="A1065" s="45"/>
      <c r="B1065" s="54"/>
      <c r="C1065" s="47">
        <f t="shared" si="191"/>
        <v>4</v>
      </c>
      <c r="D1065" s="73"/>
      <c r="E1065" s="70"/>
      <c r="F1065" s="70" t="s">
        <v>1763</v>
      </c>
      <c r="G1065" s="73"/>
      <c r="H1065" s="76"/>
      <c r="I1065" s="76"/>
      <c r="J1065" s="7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35">
      <c r="A1066" s="45"/>
      <c r="B1066" s="54"/>
      <c r="C1066" s="47">
        <f t="shared" si="191"/>
        <v>4</v>
      </c>
      <c r="D1066" s="73"/>
      <c r="E1066" s="70"/>
      <c r="F1066" s="70" t="s">
        <v>1764</v>
      </c>
      <c r="G1066" s="73"/>
      <c r="H1066" s="76"/>
      <c r="I1066" s="76"/>
      <c r="J1066" s="7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191"/>
        <v>4</v>
      </c>
      <c r="D1067" s="73"/>
      <c r="E1067" s="70"/>
      <c r="F1067" s="70" t="s">
        <v>1765</v>
      </c>
      <c r="G1067" s="73"/>
      <c r="H1067" s="76"/>
      <c r="I1067" s="76"/>
      <c r="J1067" s="7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191"/>
        <v>4</v>
      </c>
      <c r="D1068" s="73"/>
      <c r="E1068" s="70"/>
      <c r="F1068" s="70" t="s">
        <v>1766</v>
      </c>
      <c r="G1068" s="73"/>
      <c r="H1068" s="76" t="s">
        <v>604</v>
      </c>
      <c r="I1068" s="76"/>
      <c r="J1068" s="7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191"/>
        <v>4</v>
      </c>
      <c r="D1069" s="73"/>
      <c r="E1069" s="70"/>
      <c r="F1069" s="70" t="s">
        <v>1767</v>
      </c>
      <c r="G1069" s="73"/>
      <c r="H1069" s="76"/>
      <c r="I1069" s="76"/>
      <c r="J1069" s="7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191"/>
        <v>4</v>
      </c>
      <c r="D1070" s="73"/>
      <c r="E1070" s="70"/>
      <c r="F1070" s="70" t="s">
        <v>1768</v>
      </c>
      <c r="G1070" s="73"/>
      <c r="H1070" s="76"/>
      <c r="I1070" s="76"/>
      <c r="J1070" s="7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191"/>
        <v>4</v>
      </c>
      <c r="D1071" s="73"/>
      <c r="E1071" s="70"/>
      <c r="F1071" s="70" t="s">
        <v>1769</v>
      </c>
      <c r="G1071" s="73"/>
      <c r="H1071" s="76"/>
      <c r="I1071" s="76"/>
      <c r="J1071" s="7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191"/>
        <v>4</v>
      </c>
      <c r="D1072" s="73"/>
      <c r="E1072" s="70"/>
      <c r="F1072" s="70" t="s">
        <v>1770</v>
      </c>
      <c r="G1072" s="73"/>
      <c r="H1072" s="76"/>
      <c r="I1072" s="76"/>
      <c r="J1072" s="7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191"/>
        <v>4</v>
      </c>
      <c r="D1073" s="73"/>
      <c r="E1073" s="70"/>
      <c r="F1073" s="70" t="s">
        <v>1771</v>
      </c>
      <c r="G1073" s="73"/>
      <c r="H1073" s="76"/>
      <c r="I1073" s="76"/>
      <c r="J1073" s="7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191"/>
        <v>4</v>
      </c>
      <c r="D1074" s="73"/>
      <c r="E1074" s="70"/>
      <c r="F1074" s="70" t="s">
        <v>1772</v>
      </c>
      <c r="G1074" s="73"/>
      <c r="H1074" s="76"/>
      <c r="I1074" s="76"/>
      <c r="J1074" s="7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191"/>
        <v>4</v>
      </c>
      <c r="D1075" s="73"/>
      <c r="E1075" s="70"/>
      <c r="F1075" s="70" t="s">
        <v>1773</v>
      </c>
      <c r="G1075" s="73"/>
      <c r="H1075" s="76"/>
      <c r="I1075" s="76"/>
      <c r="J1075" s="7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191"/>
        <v>4</v>
      </c>
      <c r="D1076" s="73"/>
      <c r="E1076" s="70"/>
      <c r="F1076" s="70" t="s">
        <v>1774</v>
      </c>
      <c r="G1076" s="73"/>
      <c r="H1076" s="76" t="s">
        <v>604</v>
      </c>
      <c r="I1076" s="76"/>
      <c r="J1076" s="7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191"/>
        <v>4</v>
      </c>
      <c r="D1077" s="73"/>
      <c r="E1077" s="70"/>
      <c r="F1077" s="70" t="s">
        <v>1775</v>
      </c>
      <c r="G1077" s="73"/>
      <c r="H1077" s="76"/>
      <c r="I1077" s="76"/>
      <c r="J1077" s="7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191"/>
        <v>4</v>
      </c>
      <c r="D1078" s="73"/>
      <c r="E1078" s="70"/>
      <c r="F1078" s="70" t="s">
        <v>1776</v>
      </c>
      <c r="G1078" s="73"/>
      <c r="H1078" s="76"/>
      <c r="I1078" s="76"/>
      <c r="J1078" s="7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191"/>
        <v>4</v>
      </c>
      <c r="D1079" s="73"/>
      <c r="E1079" s="70"/>
      <c r="F1079" s="70" t="s">
        <v>1777</v>
      </c>
      <c r="G1079" s="73"/>
      <c r="H1079" s="76"/>
      <c r="I1079" s="76"/>
      <c r="J1079" s="7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191"/>
        <v>4</v>
      </c>
      <c r="D1080" s="73"/>
      <c r="E1080" s="70"/>
      <c r="F1080" s="70" t="s">
        <v>1778</v>
      </c>
      <c r="G1080" s="73"/>
      <c r="H1080" s="76"/>
      <c r="I1080" s="76"/>
      <c r="J1080" s="7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191"/>
        <v>4</v>
      </c>
      <c r="D1081" s="73"/>
      <c r="E1081" s="70"/>
      <c r="F1081" s="70" t="s">
        <v>1779</v>
      </c>
      <c r="G1081" s="73"/>
      <c r="H1081" s="76"/>
      <c r="I1081" s="76"/>
      <c r="J1081" s="7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191"/>
        <v>4</v>
      </c>
      <c r="D1082" s="73"/>
      <c r="E1082" s="70"/>
      <c r="F1082" s="70" t="s">
        <v>1780</v>
      </c>
      <c r="G1082" s="73"/>
      <c r="H1082" s="76"/>
      <c r="I1082" s="76"/>
      <c r="J1082" s="7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191"/>
        <v>4</v>
      </c>
      <c r="D1083" s="73"/>
      <c r="E1083" s="70"/>
      <c r="F1083" s="70" t="s">
        <v>1781</v>
      </c>
      <c r="G1083" s="73"/>
      <c r="H1083" s="76"/>
      <c r="I1083" s="76"/>
      <c r="J1083" s="7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ref="C1084:C1115" si="192">INT($C$29)+3</f>
        <v>4</v>
      </c>
      <c r="D1084" s="73"/>
      <c r="E1084" s="70"/>
      <c r="F1084" s="70" t="s">
        <v>1782</v>
      </c>
      <c r="G1084" s="73"/>
      <c r="H1084" s="76" t="s">
        <v>604</v>
      </c>
      <c r="I1084" s="76"/>
      <c r="J1084" s="7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192"/>
        <v>4</v>
      </c>
      <c r="D1085" s="73"/>
      <c r="E1085" s="70"/>
      <c r="F1085" s="70" t="s">
        <v>1783</v>
      </c>
      <c r="G1085" s="73"/>
      <c r="H1085" s="76"/>
      <c r="I1085" s="76"/>
      <c r="J1085" s="7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192"/>
        <v>4</v>
      </c>
      <c r="D1086" s="73"/>
      <c r="E1086" s="70"/>
      <c r="F1086" s="70" t="s">
        <v>1784</v>
      </c>
      <c r="G1086" s="73"/>
      <c r="H1086" s="76"/>
      <c r="I1086" s="76"/>
      <c r="J1086" s="7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192"/>
        <v>4</v>
      </c>
      <c r="D1087" s="73"/>
      <c r="E1087" s="70"/>
      <c r="F1087" s="70" t="s">
        <v>1785</v>
      </c>
      <c r="G1087" s="73"/>
      <c r="H1087" s="76"/>
      <c r="I1087" s="76"/>
      <c r="J1087" s="7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192"/>
        <v>4</v>
      </c>
      <c r="D1088" s="73"/>
      <c r="E1088" s="70"/>
      <c r="F1088" s="70" t="s">
        <v>1786</v>
      </c>
      <c r="G1088" s="73"/>
      <c r="H1088" s="76"/>
      <c r="I1088" s="76"/>
      <c r="J1088" s="7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192"/>
        <v>4</v>
      </c>
      <c r="D1089" s="73"/>
      <c r="E1089" s="70"/>
      <c r="F1089" s="70" t="s">
        <v>1787</v>
      </c>
      <c r="G1089" s="73"/>
      <c r="H1089" s="76"/>
      <c r="I1089" s="76"/>
      <c r="J1089" s="7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192"/>
        <v>4</v>
      </c>
      <c r="D1090" s="73"/>
      <c r="E1090" s="70"/>
      <c r="F1090" s="70" t="s">
        <v>1788</v>
      </c>
      <c r="G1090" s="73"/>
      <c r="H1090" s="76"/>
      <c r="I1090" s="76"/>
      <c r="J1090" s="7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192"/>
        <v>4</v>
      </c>
      <c r="D1091" s="73"/>
      <c r="E1091" s="70"/>
      <c r="F1091" s="70" t="s">
        <v>1789</v>
      </c>
      <c r="G1091" s="73"/>
      <c r="H1091" s="76"/>
      <c r="I1091" s="76"/>
      <c r="J1091" s="7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192"/>
        <v>4</v>
      </c>
      <c r="D1092" s="73"/>
      <c r="E1092" s="70"/>
      <c r="F1092" s="70" t="s">
        <v>1790</v>
      </c>
      <c r="G1092" s="73"/>
      <c r="H1092" s="76" t="s">
        <v>604</v>
      </c>
      <c r="I1092" s="76"/>
      <c r="J1092" s="7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192"/>
        <v>4</v>
      </c>
      <c r="D1093" s="73"/>
      <c r="E1093" s="70"/>
      <c r="F1093" s="70" t="s">
        <v>1791</v>
      </c>
      <c r="G1093" s="73"/>
      <c r="H1093" s="76"/>
      <c r="I1093" s="76"/>
      <c r="J1093" s="7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192"/>
        <v>4</v>
      </c>
      <c r="D1094" s="73"/>
      <c r="E1094" s="70"/>
      <c r="F1094" s="70" t="s">
        <v>1792</v>
      </c>
      <c r="G1094" s="73"/>
      <c r="H1094" s="76"/>
      <c r="I1094" s="76"/>
      <c r="J1094" s="7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192"/>
        <v>4</v>
      </c>
      <c r="D1095" s="73"/>
      <c r="E1095" s="70"/>
      <c r="F1095" s="70" t="s">
        <v>1793</v>
      </c>
      <c r="G1095" s="73"/>
      <c r="H1095" s="76"/>
      <c r="I1095" s="76"/>
      <c r="J1095" s="7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192"/>
        <v>4</v>
      </c>
      <c r="D1096" s="73"/>
      <c r="E1096" s="70"/>
      <c r="F1096" s="70" t="s">
        <v>1794</v>
      </c>
      <c r="G1096" s="73"/>
      <c r="H1096" s="76"/>
      <c r="I1096" s="76"/>
      <c r="J1096" s="7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192"/>
        <v>4</v>
      </c>
      <c r="D1097" s="73"/>
      <c r="E1097" s="70"/>
      <c r="F1097" s="70" t="s">
        <v>1795</v>
      </c>
      <c r="G1097" s="73"/>
      <c r="H1097" s="76"/>
      <c r="I1097" s="76"/>
      <c r="J1097" s="7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192"/>
        <v>4</v>
      </c>
      <c r="D1098" s="73"/>
      <c r="E1098" s="70"/>
      <c r="F1098" s="70" t="s">
        <v>1796</v>
      </c>
      <c r="G1098" s="73"/>
      <c r="H1098" s="76"/>
      <c r="I1098" s="76"/>
      <c r="J1098" s="7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192"/>
        <v>4</v>
      </c>
      <c r="D1099" s="73"/>
      <c r="E1099" s="70"/>
      <c r="F1099" s="70" t="s">
        <v>1797</v>
      </c>
      <c r="G1099" s="73"/>
      <c r="H1099" s="76"/>
      <c r="I1099" s="76"/>
      <c r="J1099" s="7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192"/>
        <v>4</v>
      </c>
      <c r="D1100" s="73"/>
      <c r="E1100" s="70"/>
      <c r="F1100" s="70" t="s">
        <v>1798</v>
      </c>
      <c r="G1100" s="73"/>
      <c r="H1100" s="76" t="s">
        <v>604</v>
      </c>
      <c r="I1100" s="76"/>
      <c r="J1100" s="7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192"/>
        <v>4</v>
      </c>
      <c r="D1101" s="73"/>
      <c r="E1101" s="70"/>
      <c r="F1101" s="70" t="s">
        <v>1799</v>
      </c>
      <c r="G1101" s="73"/>
      <c r="H1101" s="76"/>
      <c r="I1101" s="76"/>
      <c r="J1101" s="7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192"/>
        <v>4</v>
      </c>
      <c r="D1102" s="73"/>
      <c r="E1102" s="70"/>
      <c r="F1102" s="70" t="s">
        <v>1800</v>
      </c>
      <c r="G1102" s="73"/>
      <c r="H1102" s="76"/>
      <c r="I1102" s="76"/>
      <c r="J1102" s="7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192"/>
        <v>4</v>
      </c>
      <c r="D1103" s="73"/>
      <c r="E1103" s="70"/>
      <c r="F1103" s="70" t="s">
        <v>1801</v>
      </c>
      <c r="G1103" s="73"/>
      <c r="H1103" s="76"/>
      <c r="I1103" s="76"/>
      <c r="J1103" s="7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192"/>
        <v>4</v>
      </c>
      <c r="D1104" s="73"/>
      <c r="E1104" s="70"/>
      <c r="F1104" s="70" t="s">
        <v>1802</v>
      </c>
      <c r="G1104" s="73"/>
      <c r="H1104" s="76"/>
      <c r="I1104" s="76"/>
      <c r="J1104" s="7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192"/>
        <v>4</v>
      </c>
      <c r="D1105" s="73"/>
      <c r="E1105" s="70"/>
      <c r="F1105" s="70" t="s">
        <v>1803</v>
      </c>
      <c r="G1105" s="73"/>
      <c r="H1105" s="76"/>
      <c r="I1105" s="76"/>
      <c r="J1105" s="7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192"/>
        <v>4</v>
      </c>
      <c r="D1106" s="73"/>
      <c r="E1106" s="70"/>
      <c r="F1106" s="70" t="s">
        <v>1804</v>
      </c>
      <c r="G1106" s="73"/>
      <c r="H1106" s="76"/>
      <c r="I1106" s="76"/>
      <c r="J1106" s="7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192"/>
        <v>4</v>
      </c>
      <c r="D1107" s="73"/>
      <c r="E1107" s="70"/>
      <c r="F1107" s="70" t="s">
        <v>1805</v>
      </c>
      <c r="G1107" s="73"/>
      <c r="H1107" s="76"/>
      <c r="I1107" s="76"/>
      <c r="J1107" s="7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192"/>
        <v>4</v>
      </c>
      <c r="D1108" s="73"/>
      <c r="E1108" s="70"/>
      <c r="F1108" s="70" t="s">
        <v>1806</v>
      </c>
      <c r="G1108" s="73"/>
      <c r="H1108" s="76" t="s">
        <v>604</v>
      </c>
      <c r="I1108" s="76"/>
      <c r="J1108" s="7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192"/>
        <v>4</v>
      </c>
      <c r="D1109" s="73"/>
      <c r="E1109" s="70"/>
      <c r="F1109" s="70" t="s">
        <v>1807</v>
      </c>
      <c r="G1109" s="73"/>
      <c r="H1109" s="76"/>
      <c r="I1109" s="76"/>
      <c r="J1109" s="7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192"/>
        <v>4</v>
      </c>
      <c r="D1110" s="73"/>
      <c r="E1110" s="70"/>
      <c r="F1110" s="70" t="s">
        <v>1808</v>
      </c>
      <c r="G1110" s="73"/>
      <c r="H1110" s="76"/>
      <c r="I1110" s="76"/>
      <c r="J1110" s="7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192"/>
        <v>4</v>
      </c>
      <c r="D1111" s="73"/>
      <c r="E1111" s="70"/>
      <c r="F1111" s="70" t="s">
        <v>1809</v>
      </c>
      <c r="G1111" s="73"/>
      <c r="H1111" s="76"/>
      <c r="I1111" s="76"/>
      <c r="J1111" s="7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192"/>
        <v>4</v>
      </c>
      <c r="D1112" s="73"/>
      <c r="E1112" s="70"/>
      <c r="F1112" s="70" t="s">
        <v>1810</v>
      </c>
      <c r="G1112" s="73"/>
      <c r="H1112" s="76"/>
      <c r="I1112" s="76"/>
      <c r="J1112" s="7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192"/>
        <v>4</v>
      </c>
      <c r="D1113" s="73"/>
      <c r="E1113" s="70"/>
      <c r="F1113" s="70" t="s">
        <v>1811</v>
      </c>
      <c r="G1113" s="73"/>
      <c r="H1113" s="76"/>
      <c r="I1113" s="76"/>
      <c r="J1113" s="7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192"/>
        <v>4</v>
      </c>
      <c r="D1114" s="73"/>
      <c r="E1114" s="70"/>
      <c r="F1114" s="70" t="s">
        <v>1812</v>
      </c>
      <c r="G1114" s="73"/>
      <c r="H1114" s="76"/>
      <c r="I1114" s="76"/>
      <c r="J1114" s="7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192"/>
        <v>4</v>
      </c>
      <c r="D1115" s="73"/>
      <c r="E1115" s="70"/>
      <c r="F1115" s="70" t="s">
        <v>1813</v>
      </c>
      <c r="G1115" s="73"/>
      <c r="H1115" s="76"/>
      <c r="I1115" s="76"/>
      <c r="J1115" s="7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ref="C1116:C1139" si="193">INT($C$29)+3</f>
        <v>4</v>
      </c>
      <c r="D1116" s="73"/>
      <c r="E1116" s="70"/>
      <c r="F1116" s="70" t="s">
        <v>1814</v>
      </c>
      <c r="G1116" s="73"/>
      <c r="H1116" s="76" t="s">
        <v>604</v>
      </c>
      <c r="I1116" s="76"/>
      <c r="J1116" s="7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193"/>
        <v>4</v>
      </c>
      <c r="D1117" s="73"/>
      <c r="E1117" s="70"/>
      <c r="F1117" s="70" t="s">
        <v>1815</v>
      </c>
      <c r="G1117" s="73"/>
      <c r="H1117" s="76"/>
      <c r="I1117" s="76"/>
      <c r="J1117" s="7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193"/>
        <v>4</v>
      </c>
      <c r="D1118" s="73"/>
      <c r="E1118" s="70"/>
      <c r="F1118" s="70" t="s">
        <v>1816</v>
      </c>
      <c r="G1118" s="73"/>
      <c r="H1118" s="76"/>
      <c r="I1118" s="76"/>
      <c r="J1118" s="7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193"/>
        <v>4</v>
      </c>
      <c r="D1119" s="73"/>
      <c r="E1119" s="70"/>
      <c r="F1119" s="70" t="s">
        <v>1817</v>
      </c>
      <c r="G1119" s="73"/>
      <c r="H1119" s="76"/>
      <c r="I1119" s="76"/>
      <c r="J1119" s="7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193"/>
        <v>4</v>
      </c>
      <c r="D1120" s="73"/>
      <c r="E1120" s="70"/>
      <c r="F1120" s="70" t="s">
        <v>1818</v>
      </c>
      <c r="G1120" s="73"/>
      <c r="H1120" s="76"/>
      <c r="I1120" s="76"/>
      <c r="J1120" s="7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193"/>
        <v>4</v>
      </c>
      <c r="D1121" s="73"/>
      <c r="E1121" s="70"/>
      <c r="F1121" s="70" t="s">
        <v>1819</v>
      </c>
      <c r="G1121" s="73"/>
      <c r="H1121" s="76"/>
      <c r="I1121" s="76"/>
      <c r="J1121" s="7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193"/>
        <v>4</v>
      </c>
      <c r="D1122" s="73"/>
      <c r="E1122" s="70"/>
      <c r="F1122" s="70" t="s">
        <v>1820</v>
      </c>
      <c r="G1122" s="73"/>
      <c r="H1122" s="76"/>
      <c r="I1122" s="76"/>
      <c r="J1122" s="7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193"/>
        <v>4</v>
      </c>
      <c r="D1123" s="73"/>
      <c r="E1123" s="70"/>
      <c r="F1123" s="70" t="s">
        <v>1821</v>
      </c>
      <c r="G1123" s="73"/>
      <c r="H1123" s="76"/>
      <c r="I1123" s="76"/>
      <c r="J1123" s="7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193"/>
        <v>4</v>
      </c>
      <c r="D1124" s="73"/>
      <c r="E1124" s="70"/>
      <c r="F1124" s="70" t="s">
        <v>1822</v>
      </c>
      <c r="G1124" s="73"/>
      <c r="H1124" s="76" t="s">
        <v>604</v>
      </c>
      <c r="I1124" s="76"/>
      <c r="J1124" s="7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193"/>
        <v>4</v>
      </c>
      <c r="D1125" s="73"/>
      <c r="E1125" s="70"/>
      <c r="F1125" s="70" t="s">
        <v>1823</v>
      </c>
      <c r="G1125" s="73"/>
      <c r="H1125" s="76"/>
      <c r="I1125" s="76"/>
      <c r="J1125" s="7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193"/>
        <v>4</v>
      </c>
      <c r="D1126" s="73"/>
      <c r="E1126" s="70"/>
      <c r="F1126" s="70" t="s">
        <v>1824</v>
      </c>
      <c r="G1126" s="73"/>
      <c r="H1126" s="76"/>
      <c r="I1126" s="76"/>
      <c r="J1126" s="7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193"/>
        <v>4</v>
      </c>
      <c r="D1127" s="73"/>
      <c r="E1127" s="70"/>
      <c r="F1127" s="70" t="s">
        <v>1825</v>
      </c>
      <c r="G1127" s="73"/>
      <c r="H1127" s="76"/>
      <c r="I1127" s="76"/>
      <c r="J1127" s="7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193"/>
        <v>4</v>
      </c>
      <c r="D1128" s="73"/>
      <c r="E1128" s="70"/>
      <c r="F1128" s="70" t="s">
        <v>1826</v>
      </c>
      <c r="G1128" s="73"/>
      <c r="H1128" s="76"/>
      <c r="I1128" s="76"/>
      <c r="J1128" s="7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si="193"/>
        <v>4</v>
      </c>
      <c r="D1129" s="73"/>
      <c r="E1129" s="70"/>
      <c r="F1129" s="70" t="s">
        <v>1827</v>
      </c>
      <c r="G1129" s="73"/>
      <c r="H1129" s="76"/>
      <c r="I1129" s="76"/>
      <c r="J1129" s="7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si="193"/>
        <v>4</v>
      </c>
      <c r="D1130" s="73"/>
      <c r="E1130" s="70"/>
      <c r="F1130" s="70" t="s">
        <v>1828</v>
      </c>
      <c r="G1130" s="73"/>
      <c r="H1130" s="76"/>
      <c r="I1130" s="76"/>
      <c r="J1130" s="7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193"/>
        <v>4</v>
      </c>
      <c r="D1131" s="73"/>
      <c r="E1131" s="70"/>
      <c r="F1131" s="70" t="s">
        <v>1829</v>
      </c>
      <c r="G1131" s="73"/>
      <c r="H1131" s="76"/>
      <c r="I1131" s="76"/>
      <c r="J1131" s="7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193"/>
        <v>4</v>
      </c>
      <c r="D1132" s="73"/>
      <c r="E1132" s="70"/>
      <c r="F1132" s="70" t="s">
        <v>1830</v>
      </c>
      <c r="G1132" s="73"/>
      <c r="H1132" s="76" t="s">
        <v>604</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193"/>
        <v>4</v>
      </c>
      <c r="D1133" s="73"/>
      <c r="E1133" s="70"/>
      <c r="F1133" s="70" t="s">
        <v>1831</v>
      </c>
      <c r="G1133" s="73"/>
      <c r="H1133" s="76"/>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193"/>
        <v>4</v>
      </c>
      <c r="D1134" s="73"/>
      <c r="E1134" s="70"/>
      <c r="F1134" s="70" t="s">
        <v>1832</v>
      </c>
      <c r="G1134" s="73"/>
      <c r="H1134" s="76"/>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193"/>
        <v>4</v>
      </c>
      <c r="D1135" s="73"/>
      <c r="E1135" s="70"/>
      <c r="F1135" s="70" t="s">
        <v>1833</v>
      </c>
      <c r="G1135" s="73"/>
      <c r="H1135" s="76"/>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193"/>
        <v>4</v>
      </c>
      <c r="D1136" s="73"/>
      <c r="E1136" s="70"/>
      <c r="F1136" s="70" t="s">
        <v>1834</v>
      </c>
      <c r="G1136" s="73"/>
      <c r="H1136" s="76"/>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193"/>
        <v>4</v>
      </c>
      <c r="D1137" s="73"/>
      <c r="E1137" s="70"/>
      <c r="F1137" s="70" t="s">
        <v>1835</v>
      </c>
      <c r="G1137" s="73"/>
      <c r="H1137" s="76"/>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193"/>
        <v>4</v>
      </c>
      <c r="D1138" s="73"/>
      <c r="E1138" s="70"/>
      <c r="F1138" s="70" t="s">
        <v>1836</v>
      </c>
      <c r="G1138" s="73"/>
      <c r="H1138" s="76"/>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193"/>
        <v>4</v>
      </c>
      <c r="D1139" s="73"/>
      <c r="E1139" s="70"/>
      <c r="F1139" s="70" t="s">
        <v>1837</v>
      </c>
      <c r="G1139" s="73"/>
      <c r="H1139" s="76"/>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2" x14ac:dyDescent="0.35">
      <c r="A1140" s="45"/>
      <c r="B1140" s="54"/>
      <c r="C1140" s="47">
        <f>INT($C$29)+2</f>
        <v>3</v>
      </c>
      <c r="D1140" s="73"/>
      <c r="E1140" s="70"/>
      <c r="F1140" s="70" t="s">
        <v>1838</v>
      </c>
      <c r="G1140" s="73"/>
      <c r="H1140" s="76" t="s">
        <v>1839</v>
      </c>
      <c r="I1140" s="96" t="s">
        <v>2172</v>
      </c>
      <c r="J1140" s="96"/>
      <c r="K1140" s="76"/>
      <c r="L1140" s="76"/>
      <c r="M1140" s="76"/>
      <c r="N1140" s="76"/>
      <c r="O1140" s="76"/>
      <c r="P1140" s="76"/>
      <c r="Q1140" s="76"/>
      <c r="R1140" s="76"/>
      <c r="S1140" s="76"/>
      <c r="T1140" s="76"/>
      <c r="U1140" s="97">
        <v>1.2E-2</v>
      </c>
      <c r="V1140" s="97">
        <v>1.2E-2</v>
      </c>
      <c r="W1140" s="97">
        <v>1.2E-2</v>
      </c>
      <c r="X1140" s="97">
        <v>1.2E-2</v>
      </c>
      <c r="Y1140" s="97">
        <v>1.2E-2</v>
      </c>
      <c r="Z1140" s="255">
        <f>Y1140</f>
        <v>1.2E-2</v>
      </c>
      <c r="AA1140" s="255">
        <f>Z1140</f>
        <v>1.2E-2</v>
      </c>
      <c r="AB1140" s="255">
        <f>AA1140</f>
        <v>1.2E-2</v>
      </c>
      <c r="AC1140" s="255">
        <f>AB1140</f>
        <v>1.2E-2</v>
      </c>
      <c r="AD1140" s="255">
        <f>AC1140</f>
        <v>1.2E-2</v>
      </c>
      <c r="AE1140" s="76"/>
      <c r="AF1140" s="97" t="s">
        <v>1840</v>
      </c>
      <c r="AG1140" s="76"/>
      <c r="AH1140" s="97">
        <v>1</v>
      </c>
      <c r="AI1140" s="97">
        <v>1</v>
      </c>
      <c r="AJ1140" s="73"/>
      <c r="AK1140" s="57"/>
      <c r="AL1140" s="45"/>
      <c r="AM1140" s="45"/>
      <c r="AN1140" s="45"/>
    </row>
    <row r="1141" spans="1:40" hidden="1" outlineLevel="2" x14ac:dyDescent="0.35">
      <c r="A1141" s="45"/>
      <c r="B1141" s="54"/>
      <c r="C1141" s="47">
        <f>INT($C$29)+2</f>
        <v>3</v>
      </c>
      <c r="D1141" s="73"/>
      <c r="E1141" s="70"/>
      <c r="F1141" s="70" t="s">
        <v>1841</v>
      </c>
      <c r="G1141" s="73"/>
      <c r="H1141" s="76" t="s">
        <v>1842</v>
      </c>
      <c r="I1141" s="96"/>
      <c r="J1141" s="96"/>
      <c r="K1141" s="76"/>
      <c r="L1141" s="76"/>
      <c r="M1141" s="76"/>
      <c r="N1141" s="76"/>
      <c r="O1141" s="76"/>
      <c r="P1141" s="76"/>
      <c r="Q1141" s="76"/>
      <c r="R1141" s="76"/>
      <c r="S1141" s="76"/>
      <c r="T1141" s="76"/>
      <c r="U1141" s="280">
        <f t="shared" ref="U1141:AD1141" si="194">U1142</f>
        <v>9.9999999999999985E-3</v>
      </c>
      <c r="V1141" s="253">
        <f t="shared" si="194"/>
        <v>9.9999999999999985E-3</v>
      </c>
      <c r="W1141" s="253">
        <f t="shared" si="194"/>
        <v>9.9999999999999985E-3</v>
      </c>
      <c r="X1141" s="253">
        <f t="shared" si="194"/>
        <v>9.9999999999999985E-3</v>
      </c>
      <c r="Y1141" s="253">
        <f t="shared" si="194"/>
        <v>9.9999999999999985E-3</v>
      </c>
      <c r="Z1141" s="253">
        <f t="shared" si="194"/>
        <v>9.9999999999999985E-3</v>
      </c>
      <c r="AA1141" s="253">
        <f t="shared" si="194"/>
        <v>9.9999999999999985E-3</v>
      </c>
      <c r="AB1141" s="253">
        <f t="shared" si="194"/>
        <v>9.9999999999999985E-3</v>
      </c>
      <c r="AC1141" s="253">
        <f t="shared" si="194"/>
        <v>9.9999999999999985E-3</v>
      </c>
      <c r="AD1141" s="253">
        <f t="shared" si="194"/>
        <v>9.9999999999999985E-3</v>
      </c>
      <c r="AE1141" s="76"/>
      <c r="AF1141" s="76"/>
      <c r="AG1141" s="76"/>
      <c r="AH1141" s="253">
        <f>AH1142</f>
        <v>1</v>
      </c>
      <c r="AI1141" s="253">
        <f>AI1142</f>
        <v>1</v>
      </c>
      <c r="AJ1141" s="73"/>
      <c r="AK1141" s="57"/>
      <c r="AL1141" s="45"/>
      <c r="AM1141" s="45"/>
      <c r="AN1141" s="45"/>
    </row>
    <row r="1142" spans="1:40" hidden="1" outlineLevel="2" x14ac:dyDescent="0.35">
      <c r="A1142" s="45"/>
      <c r="B1142" s="54"/>
      <c r="C1142" s="47">
        <f>INT($C$29)+2</f>
        <v>3</v>
      </c>
      <c r="D1142" s="73"/>
      <c r="E1142" s="70"/>
      <c r="F1142" s="70" t="s">
        <v>1843</v>
      </c>
      <c r="G1142" s="73"/>
      <c r="H1142" s="76" t="s">
        <v>1844</v>
      </c>
      <c r="I1142" s="96" t="s">
        <v>2171</v>
      </c>
      <c r="J1142" s="96"/>
      <c r="K1142" s="76"/>
      <c r="L1142" s="76"/>
      <c r="M1142" s="76"/>
      <c r="N1142" s="76"/>
      <c r="O1142" s="76"/>
      <c r="P1142" s="76"/>
      <c r="Q1142" s="76"/>
      <c r="R1142" s="76"/>
      <c r="S1142" s="76"/>
      <c r="T1142" s="76"/>
      <c r="U1142" s="281">
        <f>0.022-U$1140</f>
        <v>9.9999999999999985E-3</v>
      </c>
      <c r="V1142" s="97">
        <f>0.022-V$1140</f>
        <v>9.9999999999999985E-3</v>
      </c>
      <c r="W1142" s="97">
        <f>0.022-W$1140</f>
        <v>9.9999999999999985E-3</v>
      </c>
      <c r="X1142" s="97">
        <f>0.022-X$1140</f>
        <v>9.9999999999999985E-3</v>
      </c>
      <c r="Y1142" s="97">
        <f>0.022-Y$1140</f>
        <v>9.9999999999999985E-3</v>
      </c>
      <c r="Z1142" s="255">
        <f t="shared" ref="Z1142:AD1143" si="195">Y1142</f>
        <v>9.9999999999999985E-3</v>
      </c>
      <c r="AA1142" s="255">
        <f t="shared" si="195"/>
        <v>9.9999999999999985E-3</v>
      </c>
      <c r="AB1142" s="255">
        <f t="shared" si="195"/>
        <v>9.9999999999999985E-3</v>
      </c>
      <c r="AC1142" s="255">
        <f t="shared" si="195"/>
        <v>9.9999999999999985E-3</v>
      </c>
      <c r="AD1142" s="255">
        <f t="shared" si="195"/>
        <v>9.9999999999999985E-3</v>
      </c>
      <c r="AE1142" s="76"/>
      <c r="AF1142" s="76"/>
      <c r="AG1142" s="76"/>
      <c r="AH1142" s="97">
        <v>1</v>
      </c>
      <c r="AI1142" s="97">
        <v>1</v>
      </c>
      <c r="AJ1142" s="73"/>
      <c r="AK1142" s="57"/>
      <c r="AL1142" s="45"/>
      <c r="AM1142" s="45"/>
      <c r="AN1142" s="45"/>
    </row>
    <row r="1143" spans="1:40" hidden="1" outlineLevel="2" collapsed="1" x14ac:dyDescent="0.35">
      <c r="A1143" s="45"/>
      <c r="B1143" s="54"/>
      <c r="C1143" s="47">
        <f>INT($C$29)+2</f>
        <v>3</v>
      </c>
      <c r="D1143" s="73"/>
      <c r="E1143" s="70"/>
      <c r="F1143" s="70" t="s">
        <v>1845</v>
      </c>
      <c r="G1143" s="73"/>
      <c r="H1143" s="76" t="s">
        <v>1846</v>
      </c>
      <c r="I1143" s="96" t="s">
        <v>2171</v>
      </c>
      <c r="J1143" s="96"/>
      <c r="K1143" s="76"/>
      <c r="L1143" s="76"/>
      <c r="M1143" s="76"/>
      <c r="N1143" s="76"/>
      <c r="O1143" s="76"/>
      <c r="P1143" s="76"/>
      <c r="Q1143" s="76"/>
      <c r="R1143" s="76"/>
      <c r="S1143" s="76"/>
      <c r="T1143" s="76"/>
      <c r="U1143" s="281">
        <f>0.021-U$1140</f>
        <v>9.0000000000000011E-3</v>
      </c>
      <c r="V1143" s="97">
        <f>0.021-V$1140</f>
        <v>9.0000000000000011E-3</v>
      </c>
      <c r="W1143" s="97">
        <f>0.021-W$1140</f>
        <v>9.0000000000000011E-3</v>
      </c>
      <c r="X1143" s="97">
        <f>0.021-X$1140</f>
        <v>9.0000000000000011E-3</v>
      </c>
      <c r="Y1143" s="97">
        <f>0.021-Y$1140</f>
        <v>9.0000000000000011E-3</v>
      </c>
      <c r="Z1143" s="255">
        <f t="shared" si="195"/>
        <v>9.0000000000000011E-3</v>
      </c>
      <c r="AA1143" s="255">
        <f t="shared" si="195"/>
        <v>9.0000000000000011E-3</v>
      </c>
      <c r="AB1143" s="255">
        <f t="shared" si="195"/>
        <v>9.0000000000000011E-3</v>
      </c>
      <c r="AC1143" s="255">
        <f t="shared" si="195"/>
        <v>9.0000000000000011E-3</v>
      </c>
      <c r="AD1143" s="255">
        <f t="shared" si="195"/>
        <v>9.0000000000000011E-3</v>
      </c>
      <c r="AE1143" s="76"/>
      <c r="AF1143" s="76"/>
      <c r="AG1143" s="76"/>
      <c r="AH1143" s="97">
        <v>1</v>
      </c>
      <c r="AI1143" s="97">
        <v>1</v>
      </c>
      <c r="AJ1143" s="73"/>
      <c r="AK1143" s="57"/>
      <c r="AL1143" s="45"/>
      <c r="AM1143" s="45"/>
      <c r="AN1143" s="45"/>
    </row>
    <row r="1144" spans="1:40" hidden="1" outlineLevel="3" x14ac:dyDescent="0.35">
      <c r="A1144" s="45"/>
      <c r="B1144" s="54"/>
      <c r="C1144" s="47">
        <f>INT($C$29)+3</f>
        <v>4</v>
      </c>
      <c r="D1144" s="73"/>
      <c r="E1144" s="70"/>
      <c r="F1144" s="70" t="s">
        <v>1847</v>
      </c>
      <c r="G1144" s="73"/>
      <c r="H1144" s="76" t="s">
        <v>1848</v>
      </c>
      <c r="I1144" s="76"/>
      <c r="J1144" s="76"/>
      <c r="K1144" s="76"/>
      <c r="L1144" s="76"/>
      <c r="M1144" s="76"/>
      <c r="N1144" s="76"/>
      <c r="O1144" s="76"/>
      <c r="P1144" s="76"/>
      <c r="Q1144" s="76"/>
      <c r="R1144" s="76"/>
      <c r="S1144" s="76"/>
      <c r="T1144" s="76"/>
      <c r="U1144" s="76">
        <v>0</v>
      </c>
      <c r="V1144" s="76">
        <v>0</v>
      </c>
      <c r="W1144" s="76">
        <v>0</v>
      </c>
      <c r="X1144" s="76">
        <v>0</v>
      </c>
      <c r="Y1144" s="76">
        <v>0</v>
      </c>
      <c r="Z1144" s="76">
        <v>0</v>
      </c>
      <c r="AA1144" s="76">
        <v>0</v>
      </c>
      <c r="AB1144" s="76">
        <v>0</v>
      </c>
      <c r="AC1144" s="76">
        <v>0</v>
      </c>
      <c r="AD1144" s="76">
        <v>0</v>
      </c>
      <c r="AE1144" s="76"/>
      <c r="AF1144" s="76"/>
      <c r="AG1144" s="76"/>
      <c r="AH1144" s="76">
        <v>1</v>
      </c>
      <c r="AI1144" s="76">
        <v>1</v>
      </c>
      <c r="AJ1144" s="73"/>
      <c r="AK1144" s="57"/>
      <c r="AL1144" s="45"/>
      <c r="AM1144" s="45"/>
      <c r="AN1144" s="45"/>
    </row>
    <row r="1145" spans="1:40" hidden="1" outlineLevel="3" x14ac:dyDescent="0.35">
      <c r="A1145" s="45"/>
      <c r="B1145" s="54"/>
      <c r="C1145" s="47">
        <f>INT($C$29)+3</f>
        <v>4</v>
      </c>
      <c r="D1145" s="73"/>
      <c r="E1145" s="70"/>
      <c r="F1145" s="70" t="s">
        <v>1849</v>
      </c>
      <c r="G1145" s="73"/>
      <c r="H1145" s="76" t="s">
        <v>1850</v>
      </c>
      <c r="I1145" s="76"/>
      <c r="J1145" s="76"/>
      <c r="K1145" s="76"/>
      <c r="L1145" s="76"/>
      <c r="M1145" s="76"/>
      <c r="N1145" s="76"/>
      <c r="O1145" s="76"/>
      <c r="P1145" s="76"/>
      <c r="Q1145" s="76"/>
      <c r="R1145" s="76"/>
      <c r="S1145" s="76"/>
      <c r="T1145" s="76"/>
      <c r="U1145" s="76">
        <v>0</v>
      </c>
      <c r="V1145" s="76">
        <v>0</v>
      </c>
      <c r="W1145" s="76">
        <v>0</v>
      </c>
      <c r="X1145" s="76">
        <v>0</v>
      </c>
      <c r="Y1145" s="76">
        <v>0</v>
      </c>
      <c r="Z1145" s="76">
        <v>0</v>
      </c>
      <c r="AA1145" s="76">
        <v>0</v>
      </c>
      <c r="AB1145" s="76">
        <v>0</v>
      </c>
      <c r="AC1145" s="76">
        <v>0</v>
      </c>
      <c r="AD1145" s="76">
        <v>0</v>
      </c>
      <c r="AE1145" s="76"/>
      <c r="AF1145" s="76"/>
      <c r="AG1145" s="76"/>
      <c r="AH1145" s="76">
        <v>1</v>
      </c>
      <c r="AI1145" s="76">
        <v>1</v>
      </c>
      <c r="AJ1145" s="73"/>
      <c r="AK1145" s="57"/>
      <c r="AL1145" s="45"/>
      <c r="AM1145" s="45"/>
      <c r="AN1145" s="45"/>
    </row>
    <row r="1146" spans="1:40" hidden="1" outlineLevel="3" x14ac:dyDescent="0.35">
      <c r="A1146" s="45"/>
      <c r="B1146" s="54"/>
      <c r="C1146" s="47">
        <f>INT($C$29)+3</f>
        <v>4</v>
      </c>
      <c r="D1146" s="73"/>
      <c r="E1146" s="70"/>
      <c r="F1146" s="70" t="s">
        <v>1851</v>
      </c>
      <c r="G1146" s="73"/>
      <c r="H1146" s="76" t="s">
        <v>1852</v>
      </c>
      <c r="I1146" s="76"/>
      <c r="J1146" s="76"/>
      <c r="K1146" s="76"/>
      <c r="L1146" s="76"/>
      <c r="M1146" s="76"/>
      <c r="N1146" s="76"/>
      <c r="O1146" s="76"/>
      <c r="P1146" s="76"/>
      <c r="Q1146" s="76"/>
      <c r="R1146" s="76"/>
      <c r="S1146" s="76"/>
      <c r="T1146" s="76"/>
      <c r="U1146" s="76">
        <v>0</v>
      </c>
      <c r="V1146" s="76">
        <v>0</v>
      </c>
      <c r="W1146" s="76">
        <v>0</v>
      </c>
      <c r="X1146" s="76">
        <v>0</v>
      </c>
      <c r="Y1146" s="76">
        <v>0</v>
      </c>
      <c r="Z1146" s="76">
        <v>0</v>
      </c>
      <c r="AA1146" s="76">
        <v>0</v>
      </c>
      <c r="AB1146" s="76">
        <v>0</v>
      </c>
      <c r="AC1146" s="76">
        <v>0</v>
      </c>
      <c r="AD1146" s="76">
        <v>0</v>
      </c>
      <c r="AE1146" s="76"/>
      <c r="AF1146" s="76"/>
      <c r="AG1146" s="76"/>
      <c r="AH1146" s="76">
        <v>1</v>
      </c>
      <c r="AI1146" s="76">
        <v>1</v>
      </c>
      <c r="AJ1146" s="73"/>
      <c r="AK1146" s="57"/>
      <c r="AL1146" s="45"/>
      <c r="AM1146" s="45"/>
      <c r="AN1146" s="45"/>
    </row>
    <row r="1147" spans="1:40" hidden="1" outlineLevel="2" x14ac:dyDescent="0.35">
      <c r="A1147" s="45"/>
      <c r="B1147" s="54"/>
      <c r="C1147" s="47">
        <f>INT($C$29)+2</f>
        <v>3</v>
      </c>
      <c r="D1147" s="73"/>
      <c r="E1147" s="70"/>
      <c r="F1147" s="70" t="s">
        <v>1853</v>
      </c>
      <c r="G1147" s="73"/>
      <c r="H1147" s="76" t="s">
        <v>1854</v>
      </c>
      <c r="I1147" s="76"/>
      <c r="J1147" s="76"/>
      <c r="K1147" s="76"/>
      <c r="L1147" s="76"/>
      <c r="M1147" s="76"/>
      <c r="N1147" s="76"/>
      <c r="O1147" s="76"/>
      <c r="P1147" s="76"/>
      <c r="Q1147" s="76"/>
      <c r="R1147" s="76"/>
      <c r="S1147" s="76"/>
      <c r="T1147" s="76"/>
      <c r="U1147" s="97">
        <v>0</v>
      </c>
      <c r="V1147" s="97">
        <v>0</v>
      </c>
      <c r="W1147" s="97">
        <v>0</v>
      </c>
      <c r="X1147" s="97">
        <v>0</v>
      </c>
      <c r="Y1147" s="97">
        <v>0</v>
      </c>
      <c r="Z1147" s="255">
        <f t="shared" ref="Z1147:AD1148" si="196">Y1147</f>
        <v>0</v>
      </c>
      <c r="AA1147" s="255">
        <f t="shared" si="196"/>
        <v>0</v>
      </c>
      <c r="AB1147" s="255">
        <f t="shared" si="196"/>
        <v>0</v>
      </c>
      <c r="AC1147" s="255">
        <f t="shared" si="196"/>
        <v>0</v>
      </c>
      <c r="AD1147" s="255">
        <f t="shared" si="196"/>
        <v>0</v>
      </c>
      <c r="AE1147" s="76"/>
      <c r="AF1147" s="97" t="s">
        <v>2169</v>
      </c>
      <c r="AG1147" s="76"/>
      <c r="AH1147" s="97">
        <v>1</v>
      </c>
      <c r="AI1147" s="97">
        <v>1</v>
      </c>
      <c r="AJ1147" s="73"/>
      <c r="AK1147" s="57"/>
      <c r="AL1147" s="45"/>
      <c r="AM1147" s="45"/>
      <c r="AN1147" s="45"/>
    </row>
    <row r="1148" spans="1:40" hidden="1" outlineLevel="2" x14ac:dyDescent="0.35">
      <c r="A1148" s="45"/>
      <c r="B1148" s="54"/>
      <c r="C1148" s="47">
        <f>INT($C$29)+2</f>
        <v>3</v>
      </c>
      <c r="D1148" s="73"/>
      <c r="E1148" s="70"/>
      <c r="F1148" s="70" t="s">
        <v>1855</v>
      </c>
      <c r="G1148" s="73"/>
      <c r="H1148" s="76" t="s">
        <v>1856</v>
      </c>
      <c r="I1148" s="96" t="s">
        <v>2174</v>
      </c>
      <c r="J1148" s="96"/>
      <c r="K1148" s="76"/>
      <c r="L1148" s="76"/>
      <c r="M1148" s="76"/>
      <c r="N1148" s="76"/>
      <c r="O1148" s="76"/>
      <c r="P1148" s="76"/>
      <c r="Q1148" s="76"/>
      <c r="R1148" s="76"/>
      <c r="S1148" s="76"/>
      <c r="T1148" s="76"/>
      <c r="U1148" s="97">
        <v>0</v>
      </c>
      <c r="V1148" s="97">
        <v>0</v>
      </c>
      <c r="W1148" s="97">
        <v>0</v>
      </c>
      <c r="X1148" s="97">
        <v>0</v>
      </c>
      <c r="Y1148" s="97">
        <v>0</v>
      </c>
      <c r="Z1148" s="255">
        <f t="shared" si="196"/>
        <v>0</v>
      </c>
      <c r="AA1148" s="255">
        <f t="shared" si="196"/>
        <v>0</v>
      </c>
      <c r="AB1148" s="255">
        <f t="shared" si="196"/>
        <v>0</v>
      </c>
      <c r="AC1148" s="255">
        <f t="shared" si="196"/>
        <v>0</v>
      </c>
      <c r="AD1148" s="255">
        <f t="shared" si="196"/>
        <v>0</v>
      </c>
      <c r="AE1148" s="76"/>
      <c r="AF1148" s="97" t="s">
        <v>1857</v>
      </c>
      <c r="AG1148" s="76"/>
      <c r="AH1148" s="97">
        <v>1</v>
      </c>
      <c r="AI1148" s="97">
        <v>1</v>
      </c>
      <c r="AJ1148" s="73"/>
      <c r="AK1148" s="57"/>
      <c r="AL1148" s="45"/>
      <c r="AM1148" s="45"/>
      <c r="AN1148" s="45"/>
    </row>
    <row r="1149" spans="1:40" hidden="1" outlineLevel="2" x14ac:dyDescent="0.35">
      <c r="A1149" s="45"/>
      <c r="B1149" s="54"/>
      <c r="C1149" s="47">
        <f>INT($C$29)+2</f>
        <v>3</v>
      </c>
      <c r="D1149" s="73"/>
      <c r="E1149" s="70"/>
      <c r="F1149" s="70" t="s">
        <v>1858</v>
      </c>
      <c r="G1149" s="73"/>
      <c r="H1149" s="76" t="s">
        <v>1859</v>
      </c>
      <c r="I1149" s="96"/>
      <c r="J1149" s="96"/>
      <c r="K1149" s="76"/>
      <c r="L1149" s="76"/>
      <c r="M1149" s="76"/>
      <c r="N1149" s="76"/>
      <c r="O1149" s="76"/>
      <c r="P1149" s="76"/>
      <c r="Q1149" s="76"/>
      <c r="R1149" s="76"/>
      <c r="S1149" s="76"/>
      <c r="T1149" s="76"/>
      <c r="U1149" s="253">
        <f t="shared" ref="U1149:AD1149" si="197">U1150</f>
        <v>-1.9E-2</v>
      </c>
      <c r="V1149" s="253">
        <f t="shared" si="197"/>
        <v>-1.9E-2</v>
      </c>
      <c r="W1149" s="253">
        <f t="shared" si="197"/>
        <v>-1.9E-2</v>
      </c>
      <c r="X1149" s="253">
        <f t="shared" si="197"/>
        <v>-1.9E-2</v>
      </c>
      <c r="Y1149" s="253">
        <f t="shared" si="197"/>
        <v>-1.9E-2</v>
      </c>
      <c r="Z1149" s="253">
        <f t="shared" si="197"/>
        <v>-1.9E-2</v>
      </c>
      <c r="AA1149" s="253">
        <f t="shared" si="197"/>
        <v>-1.9E-2</v>
      </c>
      <c r="AB1149" s="253">
        <f t="shared" si="197"/>
        <v>-1.9E-2</v>
      </c>
      <c r="AC1149" s="253">
        <f t="shared" si="197"/>
        <v>-1.9E-2</v>
      </c>
      <c r="AD1149" s="253">
        <f t="shared" si="197"/>
        <v>-1.9E-2</v>
      </c>
      <c r="AE1149" s="76"/>
      <c r="AF1149" s="76"/>
      <c r="AG1149" s="76"/>
      <c r="AH1149" s="253">
        <f>AH1150</f>
        <v>1</v>
      </c>
      <c r="AI1149" s="253">
        <f>AI1150</f>
        <v>1</v>
      </c>
      <c r="AJ1149" s="73"/>
      <c r="AK1149" s="57"/>
      <c r="AL1149" s="45"/>
      <c r="AM1149" s="45"/>
      <c r="AN1149" s="45"/>
    </row>
    <row r="1150" spans="1:40" hidden="1" outlineLevel="2" x14ac:dyDescent="0.35">
      <c r="A1150" s="45"/>
      <c r="B1150" s="54"/>
      <c r="C1150" s="47">
        <f>INT($C$29)+2</f>
        <v>3</v>
      </c>
      <c r="D1150" s="73"/>
      <c r="E1150" s="70"/>
      <c r="F1150" s="70" t="s">
        <v>1860</v>
      </c>
      <c r="G1150" s="73"/>
      <c r="H1150" s="76" t="s">
        <v>1861</v>
      </c>
      <c r="I1150" s="96" t="s">
        <v>2173</v>
      </c>
      <c r="J1150" s="96"/>
      <c r="K1150" s="76"/>
      <c r="L1150" s="76"/>
      <c r="M1150" s="76"/>
      <c r="N1150" s="76"/>
      <c r="O1150" s="76"/>
      <c r="P1150" s="76"/>
      <c r="Q1150" s="76"/>
      <c r="R1150" s="76"/>
      <c r="S1150" s="76"/>
      <c r="T1150" s="76"/>
      <c r="U1150" s="97">
        <f>-0.019-U$1148</f>
        <v>-1.9E-2</v>
      </c>
      <c r="V1150" s="97">
        <f>-0.019-V$1148</f>
        <v>-1.9E-2</v>
      </c>
      <c r="W1150" s="97">
        <f>-0.019-W$1148</f>
        <v>-1.9E-2</v>
      </c>
      <c r="X1150" s="97">
        <f>-0.019-X$1148</f>
        <v>-1.9E-2</v>
      </c>
      <c r="Y1150" s="97">
        <f>-0.019-Y$1148</f>
        <v>-1.9E-2</v>
      </c>
      <c r="Z1150" s="255">
        <f t="shared" ref="Z1150:AD1151" si="198">Y1150</f>
        <v>-1.9E-2</v>
      </c>
      <c r="AA1150" s="255">
        <f t="shared" si="198"/>
        <v>-1.9E-2</v>
      </c>
      <c r="AB1150" s="255">
        <f t="shared" si="198"/>
        <v>-1.9E-2</v>
      </c>
      <c r="AC1150" s="255">
        <f t="shared" si="198"/>
        <v>-1.9E-2</v>
      </c>
      <c r="AD1150" s="255">
        <f t="shared" si="198"/>
        <v>-1.9E-2</v>
      </c>
      <c r="AE1150" s="76"/>
      <c r="AF1150" s="76"/>
      <c r="AG1150" s="76"/>
      <c r="AH1150" s="97">
        <v>1</v>
      </c>
      <c r="AI1150" s="97">
        <v>1</v>
      </c>
      <c r="AJ1150" s="73"/>
      <c r="AK1150" s="57"/>
      <c r="AL1150" s="45"/>
      <c r="AM1150" s="45"/>
      <c r="AN1150" s="45"/>
    </row>
    <row r="1151" spans="1:40" hidden="1" outlineLevel="2" collapsed="1" x14ac:dyDescent="0.35">
      <c r="A1151" s="45"/>
      <c r="B1151" s="54"/>
      <c r="C1151" s="47">
        <f>INT($C$29)+2</f>
        <v>3</v>
      </c>
      <c r="D1151" s="73"/>
      <c r="E1151" s="70"/>
      <c r="F1151" s="70" t="s">
        <v>1862</v>
      </c>
      <c r="G1151" s="73"/>
      <c r="H1151" s="76" t="s">
        <v>1863</v>
      </c>
      <c r="I1151" s="96" t="s">
        <v>2173</v>
      </c>
      <c r="J1151" s="96"/>
      <c r="K1151" s="76"/>
      <c r="L1151" s="76"/>
      <c r="M1151" s="76"/>
      <c r="N1151" s="76"/>
      <c r="O1151" s="76"/>
      <c r="P1151" s="76"/>
      <c r="Q1151" s="76"/>
      <c r="R1151" s="76"/>
      <c r="S1151" s="76"/>
      <c r="T1151" s="76"/>
      <c r="U1151" s="97">
        <f>-0.031-U$1148</f>
        <v>-3.1E-2</v>
      </c>
      <c r="V1151" s="97">
        <f>-0.031-V$1148</f>
        <v>-3.1E-2</v>
      </c>
      <c r="W1151" s="97">
        <f>-0.031-W$1148</f>
        <v>-3.1E-2</v>
      </c>
      <c r="X1151" s="97">
        <f>-0.031-X$1148</f>
        <v>-3.1E-2</v>
      </c>
      <c r="Y1151" s="97">
        <f>-0.031-Y$1148</f>
        <v>-3.1E-2</v>
      </c>
      <c r="Z1151" s="255">
        <f t="shared" si="198"/>
        <v>-3.1E-2</v>
      </c>
      <c r="AA1151" s="255">
        <f t="shared" si="198"/>
        <v>-3.1E-2</v>
      </c>
      <c r="AB1151" s="255">
        <f t="shared" si="198"/>
        <v>-3.1E-2</v>
      </c>
      <c r="AC1151" s="255">
        <f t="shared" si="198"/>
        <v>-3.1E-2</v>
      </c>
      <c r="AD1151" s="255">
        <f t="shared" si="198"/>
        <v>-3.1E-2</v>
      </c>
      <c r="AE1151" s="76"/>
      <c r="AF1151" s="76"/>
      <c r="AG1151" s="76"/>
      <c r="AH1151" s="97">
        <v>1</v>
      </c>
      <c r="AI1151" s="97">
        <v>1</v>
      </c>
      <c r="AJ1151" s="73"/>
      <c r="AK1151" s="57"/>
      <c r="AL1151" s="45"/>
      <c r="AM1151" s="45"/>
      <c r="AN1151" s="45"/>
    </row>
    <row r="1152" spans="1:40" hidden="1" outlineLevel="3" x14ac:dyDescent="0.35">
      <c r="A1152" s="45"/>
      <c r="B1152" s="54"/>
      <c r="C1152" s="47">
        <f>INT($C$29)+3</f>
        <v>4</v>
      </c>
      <c r="D1152" s="73"/>
      <c r="E1152" s="70"/>
      <c r="F1152" s="70" t="s">
        <v>1864</v>
      </c>
      <c r="G1152" s="73"/>
      <c r="H1152" s="76" t="s">
        <v>1865</v>
      </c>
      <c r="I1152" s="76"/>
      <c r="J1152" s="76"/>
      <c r="K1152" s="76"/>
      <c r="L1152" s="76"/>
      <c r="M1152" s="76"/>
      <c r="N1152" s="76"/>
      <c r="O1152" s="76"/>
      <c r="P1152" s="76"/>
      <c r="Q1152" s="76"/>
      <c r="R1152" s="76"/>
      <c r="S1152" s="76"/>
      <c r="T1152" s="76"/>
      <c r="U1152" s="76">
        <v>0</v>
      </c>
      <c r="V1152" s="76">
        <v>0</v>
      </c>
      <c r="W1152" s="76">
        <v>0</v>
      </c>
      <c r="X1152" s="76">
        <v>0</v>
      </c>
      <c r="Y1152" s="76">
        <v>0</v>
      </c>
      <c r="Z1152" s="76">
        <v>0</v>
      </c>
      <c r="AA1152" s="76">
        <v>0</v>
      </c>
      <c r="AB1152" s="76">
        <v>0</v>
      </c>
      <c r="AC1152" s="76">
        <v>0</v>
      </c>
      <c r="AD1152" s="76">
        <v>0</v>
      </c>
      <c r="AE1152" s="76"/>
      <c r="AF1152" s="76"/>
      <c r="AG1152" s="76"/>
      <c r="AH1152" s="76">
        <v>1</v>
      </c>
      <c r="AI1152" s="76">
        <v>1</v>
      </c>
      <c r="AJ1152" s="73"/>
      <c r="AK1152" s="57"/>
      <c r="AL1152" s="45"/>
      <c r="AM1152" s="45"/>
      <c r="AN1152" s="45"/>
    </row>
    <row r="1153" spans="1:40" hidden="1" outlineLevel="3" x14ac:dyDescent="0.35">
      <c r="A1153" s="45"/>
      <c r="B1153" s="54"/>
      <c r="C1153" s="47">
        <f>INT($C$29)+3</f>
        <v>4</v>
      </c>
      <c r="D1153" s="73"/>
      <c r="E1153" s="70"/>
      <c r="F1153" s="70" t="s">
        <v>1866</v>
      </c>
      <c r="G1153" s="73"/>
      <c r="H1153" s="76" t="s">
        <v>1867</v>
      </c>
      <c r="I1153" s="76"/>
      <c r="J1153" s="76"/>
      <c r="K1153" s="76"/>
      <c r="L1153" s="76"/>
      <c r="M1153" s="76"/>
      <c r="N1153" s="76"/>
      <c r="O1153" s="76"/>
      <c r="P1153" s="76"/>
      <c r="Q1153" s="76"/>
      <c r="R1153" s="76"/>
      <c r="S1153" s="76"/>
      <c r="T1153" s="76"/>
      <c r="U1153" s="76">
        <v>0</v>
      </c>
      <c r="V1153" s="76">
        <v>0</v>
      </c>
      <c r="W1153" s="76">
        <v>0</v>
      </c>
      <c r="X1153" s="76">
        <v>0</v>
      </c>
      <c r="Y1153" s="76">
        <v>0</v>
      </c>
      <c r="Z1153" s="76">
        <v>0</v>
      </c>
      <c r="AA1153" s="76">
        <v>0</v>
      </c>
      <c r="AB1153" s="76">
        <v>0</v>
      </c>
      <c r="AC1153" s="76">
        <v>0</v>
      </c>
      <c r="AD1153" s="76">
        <v>0</v>
      </c>
      <c r="AE1153" s="76"/>
      <c r="AF1153" s="76"/>
      <c r="AG1153" s="76"/>
      <c r="AH1153" s="76">
        <v>1</v>
      </c>
      <c r="AI1153" s="76">
        <v>1</v>
      </c>
      <c r="AJ1153" s="73"/>
      <c r="AK1153" s="57"/>
      <c r="AL1153" s="45"/>
      <c r="AM1153" s="45"/>
      <c r="AN1153" s="45"/>
    </row>
    <row r="1154" spans="1:40" hidden="1" outlineLevel="3" x14ac:dyDescent="0.35">
      <c r="A1154" s="45"/>
      <c r="B1154" s="54"/>
      <c r="C1154" s="47">
        <f>INT($C$29)+3</f>
        <v>4</v>
      </c>
      <c r="D1154" s="73"/>
      <c r="E1154" s="70"/>
      <c r="F1154" s="70" t="s">
        <v>1868</v>
      </c>
      <c r="G1154" s="73"/>
      <c r="H1154" s="76" t="s">
        <v>1869</v>
      </c>
      <c r="I1154" s="76"/>
      <c r="J1154" s="76"/>
      <c r="K1154" s="76"/>
      <c r="L1154" s="76"/>
      <c r="M1154" s="76"/>
      <c r="N1154" s="76"/>
      <c r="O1154" s="76"/>
      <c r="P1154" s="76"/>
      <c r="Q1154" s="76"/>
      <c r="R1154" s="76"/>
      <c r="S1154" s="76"/>
      <c r="T1154" s="76"/>
      <c r="U1154" s="76">
        <v>0</v>
      </c>
      <c r="V1154" s="76">
        <v>0</v>
      </c>
      <c r="W1154" s="76">
        <v>0</v>
      </c>
      <c r="X1154" s="76">
        <v>0</v>
      </c>
      <c r="Y1154" s="76">
        <v>0</v>
      </c>
      <c r="Z1154" s="76">
        <v>0</v>
      </c>
      <c r="AA1154" s="76">
        <v>0</v>
      </c>
      <c r="AB1154" s="76">
        <v>0</v>
      </c>
      <c r="AC1154" s="76">
        <v>0</v>
      </c>
      <c r="AD1154" s="76">
        <v>0</v>
      </c>
      <c r="AE1154" s="76"/>
      <c r="AF1154" s="76"/>
      <c r="AG1154" s="76"/>
      <c r="AH1154" s="76">
        <v>1</v>
      </c>
      <c r="AI1154" s="76">
        <v>1</v>
      </c>
      <c r="AJ1154" s="73"/>
      <c r="AK1154" s="57"/>
      <c r="AL1154" s="45"/>
      <c r="AM1154" s="45"/>
      <c r="AN1154" s="45"/>
    </row>
    <row r="1155" spans="1:40" hidden="1" outlineLevel="2" collapsed="1" x14ac:dyDescent="0.35">
      <c r="A1155" s="45"/>
      <c r="B1155" s="54"/>
      <c r="C1155" s="47">
        <f>INT($C$29)+2</f>
        <v>3</v>
      </c>
      <c r="D1155" s="73"/>
      <c r="E1155" s="70"/>
      <c r="F1155" s="70" t="s">
        <v>1870</v>
      </c>
      <c r="G1155" s="73"/>
      <c r="H1155" s="76" t="s">
        <v>1749</v>
      </c>
      <c r="I1155" s="76"/>
      <c r="J1155" s="76"/>
      <c r="K1155" s="76"/>
      <c r="L1155" s="76"/>
      <c r="M1155" s="76"/>
      <c r="N1155" s="76"/>
      <c r="O1155" s="76"/>
      <c r="P1155" s="76"/>
      <c r="Q1155" s="76"/>
      <c r="R1155" s="76"/>
      <c r="S1155" s="76"/>
      <c r="T1155" s="76"/>
      <c r="U1155" s="97">
        <v>0</v>
      </c>
      <c r="V1155" s="97">
        <v>0</v>
      </c>
      <c r="W1155" s="97">
        <v>0</v>
      </c>
      <c r="X1155" s="97">
        <v>0</v>
      </c>
      <c r="Y1155" s="97">
        <v>0</v>
      </c>
      <c r="Z1155" s="255">
        <f>Y1155</f>
        <v>0</v>
      </c>
      <c r="AA1155" s="255">
        <f>Z1155</f>
        <v>0</v>
      </c>
      <c r="AB1155" s="255">
        <f>AA1155</f>
        <v>0</v>
      </c>
      <c r="AC1155" s="255">
        <f>AB1155</f>
        <v>0</v>
      </c>
      <c r="AD1155" s="255">
        <f>AC1155</f>
        <v>0</v>
      </c>
      <c r="AE1155" s="76"/>
      <c r="AF1155" s="97" t="s">
        <v>2169</v>
      </c>
      <c r="AG1155" s="76"/>
      <c r="AH1155" s="97">
        <v>1</v>
      </c>
      <c r="AI1155" s="97">
        <v>1</v>
      </c>
      <c r="AJ1155" s="73"/>
      <c r="AK1155" s="57"/>
      <c r="AL1155" s="45"/>
      <c r="AM1155" s="45"/>
      <c r="AN1155" s="45"/>
    </row>
    <row r="1156" spans="1:40" hidden="1" outlineLevel="3" x14ac:dyDescent="0.35">
      <c r="A1156" s="45"/>
      <c r="B1156" s="54"/>
      <c r="C1156" s="47">
        <f t="shared" ref="C1156:C1171" si="199">INT($C$29)+3</f>
        <v>4</v>
      </c>
      <c r="D1156" s="73"/>
      <c r="E1156" s="70"/>
      <c r="F1156" s="70" t="s">
        <v>1871</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199"/>
        <v>4</v>
      </c>
      <c r="D1157" s="73"/>
      <c r="E1157" s="70"/>
      <c r="F1157" s="70" t="s">
        <v>1872</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199"/>
        <v>4</v>
      </c>
      <c r="D1158" s="73"/>
      <c r="E1158" s="70"/>
      <c r="F1158" s="70" t="s">
        <v>1873</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199"/>
        <v>4</v>
      </c>
      <c r="D1159" s="73"/>
      <c r="E1159" s="70"/>
      <c r="F1159" s="70" t="s">
        <v>1874</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199"/>
        <v>4</v>
      </c>
      <c r="D1160" s="73"/>
      <c r="E1160" s="70"/>
      <c r="F1160" s="70" t="s">
        <v>1875</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199"/>
        <v>4</v>
      </c>
      <c r="D1161" s="73"/>
      <c r="E1161" s="70"/>
      <c r="F1161" s="70" t="s">
        <v>1876</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199"/>
        <v>4</v>
      </c>
      <c r="D1162" s="73"/>
      <c r="E1162" s="70"/>
      <c r="F1162" s="70" t="s">
        <v>1877</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199"/>
        <v>4</v>
      </c>
      <c r="D1163" s="73"/>
      <c r="E1163" s="70"/>
      <c r="F1163" s="70" t="s">
        <v>1878</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199"/>
        <v>4</v>
      </c>
      <c r="D1164" s="73"/>
      <c r="E1164" s="70"/>
      <c r="F1164" s="70" t="s">
        <v>1879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199"/>
        <v>4</v>
      </c>
      <c r="D1165" s="73"/>
      <c r="E1165" s="70"/>
      <c r="F1165" s="70" t="s">
        <v>1880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199"/>
        <v>4</v>
      </c>
      <c r="D1166" s="73"/>
      <c r="E1166" s="70"/>
      <c r="F1166" s="70" t="s">
        <v>1881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199"/>
        <v>4</v>
      </c>
      <c r="D1167" s="73"/>
      <c r="E1167" s="70"/>
      <c r="F1167" s="70" t="s">
        <v>1882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199"/>
        <v>4</v>
      </c>
      <c r="D1168" s="73"/>
      <c r="E1168" s="70"/>
      <c r="F1168" s="70" t="s">
        <v>1883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199"/>
        <v>4</v>
      </c>
      <c r="D1169" s="73"/>
      <c r="E1169" s="70"/>
      <c r="F1169" s="70" t="s">
        <v>1884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199"/>
        <v>4</v>
      </c>
      <c r="D1170" s="73"/>
      <c r="E1170" s="70"/>
      <c r="F1170" s="70" t="s">
        <v>1885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199"/>
        <v>4</v>
      </c>
      <c r="D1171" s="73"/>
      <c r="E1171" s="402"/>
      <c r="F1171" s="402" t="s">
        <v>1886</v>
      </c>
      <c r="G1171" s="73"/>
      <c r="H1171" s="109"/>
      <c r="I1171" s="109"/>
      <c r="J1171" s="109"/>
      <c r="K1171" s="109"/>
      <c r="L1171" s="109"/>
      <c r="M1171" s="109"/>
      <c r="N1171" s="109"/>
      <c r="O1171" s="109"/>
      <c r="P1171" s="109"/>
      <c r="Q1171" s="109"/>
      <c r="R1171" s="109"/>
      <c r="S1171" s="109"/>
      <c r="T1171" s="109"/>
      <c r="U1171" s="109"/>
      <c r="V1171" s="109"/>
      <c r="W1171" s="109"/>
      <c r="X1171" s="109"/>
      <c r="Y1171" s="109"/>
      <c r="Z1171" s="109"/>
      <c r="AA1171" s="109"/>
      <c r="AB1171" s="109"/>
      <c r="AC1171" s="109"/>
      <c r="AD1171" s="109"/>
      <c r="AE1171" s="109"/>
      <c r="AF1171" s="109"/>
      <c r="AG1171" s="109"/>
      <c r="AH1171" s="109">
        <v>1</v>
      </c>
      <c r="AI1171" s="109">
        <v>1</v>
      </c>
      <c r="AJ1171" s="73"/>
      <c r="AK1171" s="57"/>
      <c r="AL1171" s="45"/>
      <c r="AM1171" s="45"/>
      <c r="AN1171" s="45"/>
    </row>
    <row r="1172" spans="1:40" hidden="1" outlineLevel="2" x14ac:dyDescent="0.35">
      <c r="A1172" s="45"/>
      <c r="B1172" s="54"/>
      <c r="C1172" s="47">
        <f>INT($C$29)+2</f>
        <v>3</v>
      </c>
      <c r="D1172" s="73"/>
      <c r="E1172" s="406"/>
      <c r="F1172" s="406" t="s">
        <v>1887</v>
      </c>
      <c r="G1172" s="407"/>
      <c r="H1172" s="181" t="s">
        <v>1888</v>
      </c>
      <c r="I1172" s="151"/>
      <c r="J1172" s="151"/>
      <c r="K1172" s="181"/>
      <c r="L1172" s="181"/>
      <c r="M1172" s="181"/>
      <c r="N1172" s="181"/>
      <c r="O1172" s="181"/>
      <c r="P1172" s="181"/>
      <c r="Q1172" s="181"/>
      <c r="R1172" s="181"/>
      <c r="S1172" s="181"/>
      <c r="T1172" s="181"/>
      <c r="U1172" s="408">
        <v>3.024E-2</v>
      </c>
      <c r="V1172" s="409">
        <f>U1172</f>
        <v>3.024E-2</v>
      </c>
      <c r="W1172" s="409">
        <f>U1172</f>
        <v>3.024E-2</v>
      </c>
      <c r="X1172" s="409">
        <f>V1172</f>
        <v>3.024E-2</v>
      </c>
      <c r="Y1172" s="409">
        <f>V1172</f>
        <v>3.024E-2</v>
      </c>
      <c r="Z1172" s="409">
        <f>AA1172</f>
        <v>2.248E-2</v>
      </c>
      <c r="AA1172" s="408">
        <v>2.248E-2</v>
      </c>
      <c r="AB1172" s="409">
        <f>AA1172</f>
        <v>2.248E-2</v>
      </c>
      <c r="AC1172" s="409">
        <f>AB1172</f>
        <v>2.248E-2</v>
      </c>
      <c r="AD1172" s="409">
        <f>AC1172</f>
        <v>2.248E-2</v>
      </c>
      <c r="AE1172" s="181"/>
      <c r="AF1172" s="408" t="s">
        <v>1889</v>
      </c>
      <c r="AG1172" s="181"/>
      <c r="AH1172" s="408">
        <v>1</v>
      </c>
      <c r="AI1172" s="408">
        <v>1</v>
      </c>
      <c r="AJ1172" s="73"/>
      <c r="AK1172" s="57"/>
      <c r="AL1172" s="45"/>
      <c r="AM1172" s="45"/>
      <c r="AN1172" s="45"/>
    </row>
    <row r="1173" spans="1:40" hidden="1" outlineLevel="2" x14ac:dyDescent="0.35">
      <c r="A1173" s="45"/>
      <c r="B1173" s="54"/>
      <c r="C1173" s="47">
        <f>INT($C$29)+2</f>
        <v>3</v>
      </c>
      <c r="D1173" s="73"/>
      <c r="E1173" s="70"/>
      <c r="F1173" s="70" t="s">
        <v>1890</v>
      </c>
      <c r="G1173" s="234"/>
      <c r="H1173" s="76" t="s">
        <v>1891</v>
      </c>
      <c r="I1173" s="96"/>
      <c r="J1173" s="96"/>
      <c r="K1173" s="76"/>
      <c r="L1173" s="76"/>
      <c r="M1173" s="76"/>
      <c r="N1173" s="76"/>
      <c r="O1173" s="76"/>
      <c r="P1173" s="76"/>
      <c r="Q1173" s="76"/>
      <c r="R1173" s="76"/>
      <c r="S1173" s="76"/>
      <c r="T1173" s="76"/>
      <c r="U1173" s="253">
        <f t="shared" ref="U1173:AD1173" si="200">U1174</f>
        <v>8.5699999999999995E-3</v>
      </c>
      <c r="V1173" s="253">
        <f t="shared" si="200"/>
        <v>8.5699999999999995E-3</v>
      </c>
      <c r="W1173" s="253">
        <f t="shared" si="200"/>
        <v>8.5699999999999995E-3</v>
      </c>
      <c r="X1173" s="253">
        <f t="shared" si="200"/>
        <v>8.5699999999999995E-3</v>
      </c>
      <c r="Y1173" s="253">
        <f t="shared" si="200"/>
        <v>8.5699999999999995E-3</v>
      </c>
      <c r="Z1173" s="253">
        <f t="shared" si="200"/>
        <v>2.7799999999999999E-3</v>
      </c>
      <c r="AA1173" s="253">
        <f t="shared" si="200"/>
        <v>2.7799999999999999E-3</v>
      </c>
      <c r="AB1173" s="253">
        <f t="shared" si="200"/>
        <v>2.7799999999999999E-3</v>
      </c>
      <c r="AC1173" s="253">
        <f t="shared" si="200"/>
        <v>2.7799999999999999E-3</v>
      </c>
      <c r="AD1173" s="253">
        <f t="shared" si="200"/>
        <v>2.7799999999999999E-3</v>
      </c>
      <c r="AE1173" s="76"/>
      <c r="AF1173" s="97" t="s">
        <v>2182</v>
      </c>
      <c r="AG1173" s="76"/>
      <c r="AH1173" s="253">
        <f>AH1174</f>
        <v>1</v>
      </c>
      <c r="AI1173" s="253">
        <f>AI1174</f>
        <v>1</v>
      </c>
      <c r="AJ1173" s="73"/>
      <c r="AK1173" s="57"/>
      <c r="AL1173" s="45"/>
      <c r="AM1173" s="45"/>
      <c r="AN1173" s="45"/>
    </row>
    <row r="1174" spans="1:40" hidden="1" outlineLevel="2" x14ac:dyDescent="0.35">
      <c r="A1174" s="45"/>
      <c r="B1174" s="54"/>
      <c r="C1174" s="47">
        <f>INT($C$29)+2</f>
        <v>3</v>
      </c>
      <c r="D1174" s="73"/>
      <c r="E1174" s="70"/>
      <c r="F1174" s="70" t="s">
        <v>1892</v>
      </c>
      <c r="G1174" s="234"/>
      <c r="H1174" s="76" t="s">
        <v>1893</v>
      </c>
      <c r="I1174" s="96"/>
      <c r="J1174" s="96"/>
      <c r="K1174" s="76"/>
      <c r="L1174" s="76"/>
      <c r="M1174" s="76"/>
      <c r="N1174" s="76"/>
      <c r="O1174" s="76"/>
      <c r="P1174" s="76"/>
      <c r="Q1174" s="76"/>
      <c r="R1174" s="76"/>
      <c r="S1174" s="76"/>
      <c r="T1174" s="76"/>
      <c r="U1174" s="97">
        <v>8.5699999999999995E-3</v>
      </c>
      <c r="V1174" s="404">
        <f>U1174</f>
        <v>8.5699999999999995E-3</v>
      </c>
      <c r="W1174" s="404">
        <f>U1174</f>
        <v>8.5699999999999995E-3</v>
      </c>
      <c r="X1174" s="404">
        <f>V1174</f>
        <v>8.5699999999999995E-3</v>
      </c>
      <c r="Y1174" s="404">
        <f>V1174</f>
        <v>8.5699999999999995E-3</v>
      </c>
      <c r="Z1174" s="404">
        <f>AA1174</f>
        <v>2.7799999999999999E-3</v>
      </c>
      <c r="AA1174" s="97">
        <v>2.7799999999999999E-3</v>
      </c>
      <c r="AB1174" s="404">
        <f t="shared" ref="AB1174:AD1175" si="201">AA1174</f>
        <v>2.7799999999999999E-3</v>
      </c>
      <c r="AC1174" s="404">
        <f t="shared" si="201"/>
        <v>2.7799999999999999E-3</v>
      </c>
      <c r="AD1174" s="404">
        <f t="shared" si="201"/>
        <v>2.7799999999999999E-3</v>
      </c>
      <c r="AE1174" s="76"/>
      <c r="AF1174" s="76"/>
      <c r="AG1174" s="76"/>
      <c r="AH1174" s="97">
        <v>1</v>
      </c>
      <c r="AI1174" s="97">
        <v>1</v>
      </c>
      <c r="AJ1174" s="73"/>
      <c r="AK1174" s="57"/>
      <c r="AL1174" s="45"/>
      <c r="AM1174" s="45"/>
      <c r="AN1174" s="45"/>
    </row>
    <row r="1175" spans="1:40" hidden="1" outlineLevel="2" collapsed="1" x14ac:dyDescent="0.35">
      <c r="A1175" s="45"/>
      <c r="B1175" s="54"/>
      <c r="C1175" s="47">
        <f>INT($C$29)+2</f>
        <v>3</v>
      </c>
      <c r="D1175" s="73"/>
      <c r="E1175" s="70"/>
      <c r="F1175" s="70" t="s">
        <v>1894</v>
      </c>
      <c r="G1175" s="234"/>
      <c r="H1175" s="76" t="s">
        <v>1895</v>
      </c>
      <c r="I1175" s="96"/>
      <c r="J1175" s="96"/>
      <c r="K1175" s="76"/>
      <c r="L1175" s="76"/>
      <c r="M1175" s="76"/>
      <c r="N1175" s="76"/>
      <c r="O1175" s="76"/>
      <c r="P1175" s="76"/>
      <c r="Q1175" s="76"/>
      <c r="R1175" s="76"/>
      <c r="S1175" s="76"/>
      <c r="T1175" s="76"/>
      <c r="U1175" s="97">
        <v>1.626E-2</v>
      </c>
      <c r="V1175" s="404">
        <f>U1175</f>
        <v>1.626E-2</v>
      </c>
      <c r="W1175" s="404">
        <f>U1175</f>
        <v>1.626E-2</v>
      </c>
      <c r="X1175" s="404">
        <f>V1175</f>
        <v>1.626E-2</v>
      </c>
      <c r="Y1175" s="404">
        <f>V1175</f>
        <v>1.626E-2</v>
      </c>
      <c r="Z1175" s="404">
        <f>AA1175</f>
        <v>1.6129999999999999E-2</v>
      </c>
      <c r="AA1175" s="97">
        <v>1.6129999999999999E-2</v>
      </c>
      <c r="AB1175" s="404">
        <f t="shared" si="201"/>
        <v>1.6129999999999999E-2</v>
      </c>
      <c r="AC1175" s="404">
        <f t="shared" si="201"/>
        <v>1.6129999999999999E-2</v>
      </c>
      <c r="AD1175" s="404">
        <f t="shared" si="201"/>
        <v>1.6129999999999999E-2</v>
      </c>
      <c r="AE1175" s="76"/>
      <c r="AF1175" s="76"/>
      <c r="AG1175" s="76"/>
      <c r="AH1175" s="97">
        <v>1</v>
      </c>
      <c r="AI1175" s="97">
        <v>1</v>
      </c>
      <c r="AJ1175" s="73"/>
      <c r="AK1175" s="57"/>
      <c r="AL1175" s="45"/>
      <c r="AM1175" s="45"/>
      <c r="AN1175" s="45"/>
    </row>
    <row r="1176" spans="1:40" hidden="1" outlineLevel="3" x14ac:dyDescent="0.35">
      <c r="A1176" s="45"/>
      <c r="B1176" s="54"/>
      <c r="C1176" s="47">
        <f>INT($C$29)+3</f>
        <v>4</v>
      </c>
      <c r="D1176" s="73"/>
      <c r="E1176" s="70"/>
      <c r="F1176" s="70" t="s">
        <v>1896</v>
      </c>
      <c r="G1176" s="234"/>
      <c r="H1176" s="76" t="s">
        <v>1897</v>
      </c>
      <c r="I1176" s="76"/>
      <c r="J1176" s="76"/>
      <c r="K1176" s="76"/>
      <c r="L1176" s="76"/>
      <c r="M1176" s="76"/>
      <c r="N1176" s="76"/>
      <c r="O1176" s="76"/>
      <c r="P1176" s="76"/>
      <c r="Q1176" s="76"/>
      <c r="R1176" s="76"/>
      <c r="S1176" s="76"/>
      <c r="T1176" s="76"/>
      <c r="U1176" s="76">
        <v>0</v>
      </c>
      <c r="V1176" s="76">
        <v>0</v>
      </c>
      <c r="W1176" s="76">
        <v>0</v>
      </c>
      <c r="X1176" s="76">
        <v>0</v>
      </c>
      <c r="Y1176" s="76">
        <v>0</v>
      </c>
      <c r="Z1176" s="76">
        <v>0</v>
      </c>
      <c r="AA1176" s="76">
        <v>0</v>
      </c>
      <c r="AB1176" s="76">
        <v>0</v>
      </c>
      <c r="AC1176" s="76">
        <v>0</v>
      </c>
      <c r="AD1176" s="76">
        <v>0</v>
      </c>
      <c r="AE1176" s="76"/>
      <c r="AF1176" s="76"/>
      <c r="AG1176" s="76"/>
      <c r="AH1176" s="76">
        <v>1</v>
      </c>
      <c r="AI1176" s="76">
        <v>1</v>
      </c>
      <c r="AJ1176" s="73"/>
      <c r="AK1176" s="57"/>
      <c r="AL1176" s="45"/>
      <c r="AM1176" s="45"/>
      <c r="AN1176" s="45"/>
    </row>
    <row r="1177" spans="1:40" hidden="1" outlineLevel="3" x14ac:dyDescent="0.35">
      <c r="A1177" s="45"/>
      <c r="B1177" s="54"/>
      <c r="C1177" s="47">
        <f>INT($C$29)+3</f>
        <v>4</v>
      </c>
      <c r="D1177" s="73"/>
      <c r="E1177" s="70"/>
      <c r="F1177" s="70" t="s">
        <v>1898</v>
      </c>
      <c r="G1177" s="234"/>
      <c r="H1177" s="76" t="s">
        <v>1899</v>
      </c>
      <c r="I1177" s="76"/>
      <c r="J1177" s="76"/>
      <c r="K1177" s="76"/>
      <c r="L1177" s="76"/>
      <c r="M1177" s="76"/>
      <c r="N1177" s="76"/>
      <c r="O1177" s="76"/>
      <c r="P1177" s="76"/>
      <c r="Q1177" s="76"/>
      <c r="R1177" s="76"/>
      <c r="S1177" s="76"/>
      <c r="T1177" s="76"/>
      <c r="U1177" s="76">
        <v>0</v>
      </c>
      <c r="V1177" s="76">
        <v>0</v>
      </c>
      <c r="W1177" s="76">
        <v>0</v>
      </c>
      <c r="X1177" s="76">
        <v>0</v>
      </c>
      <c r="Y1177" s="76">
        <v>0</v>
      </c>
      <c r="Z1177" s="76">
        <v>0</v>
      </c>
      <c r="AA1177" s="76">
        <v>0</v>
      </c>
      <c r="AB1177" s="76">
        <v>0</v>
      </c>
      <c r="AC1177" s="76">
        <v>0</v>
      </c>
      <c r="AD1177" s="76">
        <v>0</v>
      </c>
      <c r="AE1177" s="76"/>
      <c r="AF1177" s="76"/>
      <c r="AG1177" s="76"/>
      <c r="AH1177" s="76">
        <v>1</v>
      </c>
      <c r="AI1177" s="76">
        <v>1</v>
      </c>
      <c r="AJ1177" s="73"/>
      <c r="AK1177" s="57"/>
      <c r="AL1177" s="45"/>
      <c r="AM1177" s="45"/>
      <c r="AN1177" s="45"/>
    </row>
    <row r="1178" spans="1:40" hidden="1" outlineLevel="3" x14ac:dyDescent="0.35">
      <c r="A1178" s="45"/>
      <c r="B1178" s="54"/>
      <c r="C1178" s="47">
        <f>INT($C$29)+3</f>
        <v>4</v>
      </c>
      <c r="D1178" s="73"/>
      <c r="E1178" s="70"/>
      <c r="F1178" s="70" t="s">
        <v>1900</v>
      </c>
      <c r="G1178" s="234"/>
      <c r="H1178" s="76" t="s">
        <v>1901</v>
      </c>
      <c r="I1178" s="76"/>
      <c r="J1178" s="76"/>
      <c r="K1178" s="76"/>
      <c r="L1178" s="76"/>
      <c r="M1178" s="76"/>
      <c r="N1178" s="76"/>
      <c r="O1178" s="76"/>
      <c r="P1178" s="76"/>
      <c r="Q1178" s="76"/>
      <c r="R1178" s="76"/>
      <c r="S1178" s="76"/>
      <c r="T1178" s="76"/>
      <c r="U1178" s="76">
        <v>0</v>
      </c>
      <c r="V1178" s="76">
        <v>0</v>
      </c>
      <c r="W1178" s="76">
        <v>0</v>
      </c>
      <c r="X1178" s="76">
        <v>0</v>
      </c>
      <c r="Y1178" s="76">
        <v>0</v>
      </c>
      <c r="Z1178" s="76">
        <v>0</v>
      </c>
      <c r="AA1178" s="76">
        <v>0</v>
      </c>
      <c r="AB1178" s="76">
        <v>0</v>
      </c>
      <c r="AC1178" s="76">
        <v>0</v>
      </c>
      <c r="AD1178" s="76">
        <v>0</v>
      </c>
      <c r="AE1178" s="76"/>
      <c r="AF1178" s="76"/>
      <c r="AG1178" s="76"/>
      <c r="AH1178" s="76">
        <v>1</v>
      </c>
      <c r="AI1178" s="76">
        <v>1</v>
      </c>
      <c r="AJ1178" s="73"/>
      <c r="AK1178" s="57"/>
      <c r="AL1178" s="45"/>
      <c r="AM1178" s="45"/>
      <c r="AN1178" s="45"/>
    </row>
    <row r="1179" spans="1:40" hidden="1" outlineLevel="2" x14ac:dyDescent="0.35">
      <c r="A1179" s="45"/>
      <c r="B1179" s="54"/>
      <c r="C1179" s="47">
        <f t="shared" ref="C1179:C1195" si="202">INT($C$29)+2</f>
        <v>3</v>
      </c>
      <c r="D1179" s="73"/>
      <c r="E1179" s="410"/>
      <c r="F1179" s="410" t="s">
        <v>1902</v>
      </c>
      <c r="G1179" s="411"/>
      <c r="H1179" s="184" t="s">
        <v>1903</v>
      </c>
      <c r="I1179" s="184"/>
      <c r="J1179" s="184"/>
      <c r="K1179" s="184"/>
      <c r="L1179" s="184"/>
      <c r="M1179" s="184"/>
      <c r="N1179" s="184"/>
      <c r="O1179" s="184"/>
      <c r="P1179" s="184"/>
      <c r="Q1179" s="184"/>
      <c r="R1179" s="184"/>
      <c r="S1179" s="184"/>
      <c r="T1179" s="184"/>
      <c r="U1179" s="412">
        <v>3.496</v>
      </c>
      <c r="V1179" s="412">
        <v>3.496</v>
      </c>
      <c r="W1179" s="412">
        <v>3.496</v>
      </c>
      <c r="X1179" s="412">
        <v>3.496</v>
      </c>
      <c r="Y1179" s="412">
        <v>3.496</v>
      </c>
      <c r="Z1179" s="415">
        <f>AA1179</f>
        <v>4.2411000000000003</v>
      </c>
      <c r="AA1179" s="416">
        <v>4.2411000000000003</v>
      </c>
      <c r="AB1179" s="415">
        <f t="shared" ref="AB1179:AD1180" si="203">AA1179</f>
        <v>4.2411000000000003</v>
      </c>
      <c r="AC1179" s="415">
        <f t="shared" si="203"/>
        <v>4.2411000000000003</v>
      </c>
      <c r="AD1179" s="415">
        <f t="shared" si="203"/>
        <v>4.2411000000000003</v>
      </c>
      <c r="AE1179" s="184"/>
      <c r="AF1179" s="184"/>
      <c r="AG1179" s="184"/>
      <c r="AH1179" s="413">
        <v>1</v>
      </c>
      <c r="AI1179" s="413">
        <v>1</v>
      </c>
      <c r="AJ1179" s="73"/>
      <c r="AK1179" s="57"/>
      <c r="AL1179" s="45"/>
      <c r="AM1179" s="45"/>
      <c r="AN1179" s="45"/>
    </row>
    <row r="1180" spans="1:40" hidden="1" outlineLevel="2" x14ac:dyDescent="0.35">
      <c r="A1180" s="45"/>
      <c r="B1180" s="54"/>
      <c r="C1180" s="47">
        <f t="shared" si="202"/>
        <v>3</v>
      </c>
      <c r="D1180" s="73"/>
      <c r="E1180" s="403"/>
      <c r="F1180" s="403" t="s">
        <v>1904</v>
      </c>
      <c r="G1180" s="73"/>
      <c r="H1180" s="105" t="s">
        <v>1905</v>
      </c>
      <c r="I1180" s="177"/>
      <c r="J1180" s="177"/>
      <c r="K1180" s="105"/>
      <c r="L1180" s="105"/>
      <c r="M1180" s="105"/>
      <c r="N1180" s="105"/>
      <c r="O1180" s="105"/>
      <c r="P1180" s="105"/>
      <c r="Q1180" s="105"/>
      <c r="R1180" s="105"/>
      <c r="S1180" s="105"/>
      <c r="T1180" s="105"/>
      <c r="U1180" s="119">
        <v>0.18</v>
      </c>
      <c r="V1180" s="119">
        <v>0.18</v>
      </c>
      <c r="W1180" s="119">
        <v>0.18</v>
      </c>
      <c r="X1180" s="119">
        <v>0.18</v>
      </c>
      <c r="Y1180" s="119">
        <v>0.18</v>
      </c>
      <c r="Z1180" s="405">
        <f>AA1180</f>
        <v>0.13919999999999999</v>
      </c>
      <c r="AA1180" s="119">
        <v>0.13919999999999999</v>
      </c>
      <c r="AB1180" s="405">
        <f t="shared" si="203"/>
        <v>0.13919999999999999</v>
      </c>
      <c r="AC1180" s="405">
        <f t="shared" si="203"/>
        <v>0.13919999999999999</v>
      </c>
      <c r="AD1180" s="405">
        <f t="shared" si="203"/>
        <v>0.13919999999999999</v>
      </c>
      <c r="AE1180" s="105"/>
      <c r="AF1180" s="119" t="s">
        <v>1283</v>
      </c>
      <c r="AG1180" s="105"/>
      <c r="AH1180" s="119">
        <v>1</v>
      </c>
      <c r="AI1180" s="119">
        <v>1</v>
      </c>
      <c r="AJ1180" s="73"/>
      <c r="AK1180" s="57"/>
      <c r="AL1180" s="45"/>
      <c r="AM1180" s="45"/>
      <c r="AN1180" s="45"/>
    </row>
    <row r="1181" spans="1:40" hidden="1" outlineLevel="2" x14ac:dyDescent="0.35">
      <c r="A1181" s="45"/>
      <c r="B1181" s="54"/>
      <c r="C1181" s="47">
        <f t="shared" si="202"/>
        <v>3</v>
      </c>
      <c r="D1181" s="73"/>
      <c r="E1181" s="70"/>
      <c r="F1181" s="70" t="s">
        <v>1906</v>
      </c>
      <c r="G1181" s="73"/>
      <c r="H1181" s="76" t="s">
        <v>1907</v>
      </c>
      <c r="I1181" s="96"/>
      <c r="J1181" s="96"/>
      <c r="K1181" s="76"/>
      <c r="L1181" s="76"/>
      <c r="M1181" s="76"/>
      <c r="N1181" s="76"/>
      <c r="O1181" s="76"/>
      <c r="P1181" s="76"/>
      <c r="Q1181" s="76"/>
      <c r="R1181" s="76"/>
      <c r="S1181" s="76"/>
      <c r="T1181" s="76"/>
      <c r="U1181" s="253">
        <f t="shared" ref="U1181:AD1181" si="204">U1182</f>
        <v>0.03</v>
      </c>
      <c r="V1181" s="253">
        <f t="shared" si="204"/>
        <v>0.03</v>
      </c>
      <c r="W1181" s="253">
        <f t="shared" si="204"/>
        <v>0.03</v>
      </c>
      <c r="X1181" s="253">
        <f t="shared" si="204"/>
        <v>0.03</v>
      </c>
      <c r="Y1181" s="253">
        <f t="shared" si="204"/>
        <v>0.03</v>
      </c>
      <c r="Z1181" s="253">
        <f t="shared" si="204"/>
        <v>7.0000000000000062E-3</v>
      </c>
      <c r="AA1181" s="253">
        <f t="shared" si="204"/>
        <v>7.0000000000000062E-3</v>
      </c>
      <c r="AB1181" s="253">
        <f t="shared" si="204"/>
        <v>7.0000000000000062E-3</v>
      </c>
      <c r="AC1181" s="253">
        <f t="shared" si="204"/>
        <v>7.0000000000000062E-3</v>
      </c>
      <c r="AD1181" s="253">
        <f t="shared" si="204"/>
        <v>7.0000000000000062E-3</v>
      </c>
      <c r="AE1181" s="76"/>
      <c r="AF1181" s="97" t="s">
        <v>2182</v>
      </c>
      <c r="AG1181" s="76"/>
      <c r="AH1181" s="253">
        <f>AH1182</f>
        <v>1</v>
      </c>
      <c r="AI1181" s="253">
        <f>AI1182</f>
        <v>1</v>
      </c>
      <c r="AJ1181" s="73"/>
      <c r="AK1181" s="57"/>
      <c r="AL1181" s="45"/>
      <c r="AM1181" s="45"/>
      <c r="AN1181" s="45"/>
    </row>
    <row r="1182" spans="1:40" hidden="1" outlineLevel="2" x14ac:dyDescent="0.35">
      <c r="A1182" s="45"/>
      <c r="B1182" s="54"/>
      <c r="C1182" s="47">
        <f t="shared" si="202"/>
        <v>3</v>
      </c>
      <c r="D1182" s="73"/>
      <c r="E1182" s="70"/>
      <c r="F1182" s="70" t="s">
        <v>1908</v>
      </c>
      <c r="G1182" s="73"/>
      <c r="H1182" s="76" t="s">
        <v>1739</v>
      </c>
      <c r="I1182" s="96"/>
      <c r="J1182" s="96"/>
      <c r="K1182" s="76"/>
      <c r="L1182" s="76"/>
      <c r="M1182" s="76"/>
      <c r="N1182" s="76"/>
      <c r="O1182" s="76"/>
      <c r="P1182" s="76"/>
      <c r="Q1182" s="76"/>
      <c r="R1182" s="76"/>
      <c r="S1182" s="76"/>
      <c r="T1182" s="76"/>
      <c r="U1182" s="97">
        <f>0.21-U$1180</f>
        <v>0.03</v>
      </c>
      <c r="V1182" s="97">
        <f>0.21-V$1180</f>
        <v>0.03</v>
      </c>
      <c r="W1182" s="97">
        <f>0.21-W$1180</f>
        <v>0.03</v>
      </c>
      <c r="X1182" s="97">
        <f>0.21-X$1180</f>
        <v>0.03</v>
      </c>
      <c r="Y1182" s="97">
        <f>0.21-Y$1180</f>
        <v>0.03</v>
      </c>
      <c r="Z1182" s="255">
        <f t="shared" ref="Z1182:Z1188" si="205">AA1182</f>
        <v>7.0000000000000062E-3</v>
      </c>
      <c r="AA1182" s="97">
        <f>0.1462-AA$1180</f>
        <v>7.0000000000000062E-3</v>
      </c>
      <c r="AB1182" s="255">
        <f t="shared" ref="AB1182:AD1188" si="206">AA1182</f>
        <v>7.0000000000000062E-3</v>
      </c>
      <c r="AC1182" s="255">
        <f t="shared" si="206"/>
        <v>7.0000000000000062E-3</v>
      </c>
      <c r="AD1182" s="255">
        <f t="shared" si="206"/>
        <v>7.0000000000000062E-3</v>
      </c>
      <c r="AE1182" s="76"/>
      <c r="AF1182" s="76"/>
      <c r="AG1182" s="76"/>
      <c r="AH1182" s="97">
        <v>1</v>
      </c>
      <c r="AI1182" s="97">
        <v>1</v>
      </c>
      <c r="AJ1182" s="73"/>
      <c r="AK1182" s="57"/>
      <c r="AL1182" s="45"/>
      <c r="AM1182" s="45"/>
      <c r="AN1182" s="45"/>
    </row>
    <row r="1183" spans="1:40" hidden="1" outlineLevel="2" x14ac:dyDescent="0.35">
      <c r="A1183" s="45"/>
      <c r="B1183" s="54"/>
      <c r="C1183" s="47">
        <f t="shared" si="202"/>
        <v>3</v>
      </c>
      <c r="D1183" s="73"/>
      <c r="E1183" s="70"/>
      <c r="F1183" s="70" t="s">
        <v>1909</v>
      </c>
      <c r="G1183" s="73"/>
      <c r="H1183" s="76" t="s">
        <v>1741</v>
      </c>
      <c r="I1183" s="96"/>
      <c r="J1183" s="96"/>
      <c r="K1183" s="76"/>
      <c r="L1183" s="76"/>
      <c r="M1183" s="76"/>
      <c r="N1183" s="76"/>
      <c r="O1183" s="76"/>
      <c r="P1183" s="76"/>
      <c r="Q1183" s="76"/>
      <c r="R1183" s="76"/>
      <c r="S1183" s="76"/>
      <c r="T1183" s="76"/>
      <c r="U1183" s="97">
        <f>0.14-U$1180</f>
        <v>-3.999999999999998E-2</v>
      </c>
      <c r="V1183" s="97">
        <f>0.14-V$1180</f>
        <v>-3.999999999999998E-2</v>
      </c>
      <c r="W1183" s="97">
        <f>0.14-W$1180</f>
        <v>-3.999999999999998E-2</v>
      </c>
      <c r="X1183" s="97">
        <f>0.14-X$1180</f>
        <v>-3.999999999999998E-2</v>
      </c>
      <c r="Y1183" s="97">
        <f>0.14-Y$1180</f>
        <v>-3.999999999999998E-2</v>
      </c>
      <c r="Z1183" s="255">
        <f t="shared" si="205"/>
        <v>-3.0299999999999994E-2</v>
      </c>
      <c r="AA1183" s="97">
        <f>0.1089-AA$1180</f>
        <v>-3.0299999999999994E-2</v>
      </c>
      <c r="AB1183" s="255">
        <f t="shared" si="206"/>
        <v>-3.0299999999999994E-2</v>
      </c>
      <c r="AC1183" s="255">
        <f t="shared" si="206"/>
        <v>-3.0299999999999994E-2</v>
      </c>
      <c r="AD1183" s="255">
        <f t="shared" si="206"/>
        <v>-3.0299999999999994E-2</v>
      </c>
      <c r="AE1183" s="76"/>
      <c r="AF1183" s="76"/>
      <c r="AG1183" s="76"/>
      <c r="AH1183" s="97">
        <v>1</v>
      </c>
      <c r="AI1183" s="97">
        <v>1</v>
      </c>
      <c r="AJ1183" s="73"/>
      <c r="AK1183" s="57"/>
      <c r="AL1183" s="45"/>
      <c r="AM1183" s="45"/>
      <c r="AN1183" s="45"/>
    </row>
    <row r="1184" spans="1:40" hidden="1" outlineLevel="2" x14ac:dyDescent="0.35">
      <c r="A1184" s="45"/>
      <c r="B1184" s="54"/>
      <c r="C1184" s="47">
        <f t="shared" si="202"/>
        <v>3</v>
      </c>
      <c r="D1184" s="73"/>
      <c r="E1184" s="70"/>
      <c r="F1184" s="70" t="s">
        <v>1910</v>
      </c>
      <c r="G1184" s="73"/>
      <c r="H1184" s="76" t="s">
        <v>1743</v>
      </c>
      <c r="I1184" s="76"/>
      <c r="J1184" s="76"/>
      <c r="K1184" s="76"/>
      <c r="L1184" s="76"/>
      <c r="M1184" s="76"/>
      <c r="N1184" s="76"/>
      <c r="O1184" s="76"/>
      <c r="P1184" s="76"/>
      <c r="Q1184" s="76"/>
      <c r="R1184" s="76"/>
      <c r="S1184" s="76"/>
      <c r="T1184" s="76"/>
      <c r="U1184" s="97">
        <f>0-U$1180</f>
        <v>-0.18</v>
      </c>
      <c r="V1184" s="97">
        <f>0-V$1180</f>
        <v>-0.18</v>
      </c>
      <c r="W1184" s="97">
        <f>0-W$1180</f>
        <v>-0.18</v>
      </c>
      <c r="X1184" s="97">
        <f>0-X$1180</f>
        <v>-0.18</v>
      </c>
      <c r="Y1184" s="97">
        <f>0-Y$1180</f>
        <v>-0.18</v>
      </c>
      <c r="Z1184" s="255">
        <f t="shared" si="205"/>
        <v>-0.13919999999999999</v>
      </c>
      <c r="AA1184" s="97">
        <f>0-AA$1180</f>
        <v>-0.13919999999999999</v>
      </c>
      <c r="AB1184" s="255">
        <f t="shared" si="206"/>
        <v>-0.13919999999999999</v>
      </c>
      <c r="AC1184" s="255">
        <f t="shared" si="206"/>
        <v>-0.13919999999999999</v>
      </c>
      <c r="AD1184" s="255">
        <f t="shared" si="206"/>
        <v>-0.13919999999999999</v>
      </c>
      <c r="AE1184" s="76"/>
      <c r="AF1184" s="76"/>
      <c r="AG1184" s="76"/>
      <c r="AH1184" s="97">
        <v>1</v>
      </c>
      <c r="AI1184" s="97">
        <v>1</v>
      </c>
      <c r="AJ1184" s="73"/>
      <c r="AK1184" s="57"/>
      <c r="AL1184" s="45"/>
      <c r="AM1184" s="45"/>
      <c r="AN1184" s="45"/>
    </row>
    <row r="1185" spans="1:40" hidden="1" outlineLevel="2" x14ac:dyDescent="0.35">
      <c r="A1185" s="45"/>
      <c r="B1185" s="54"/>
      <c r="C1185" s="47">
        <f t="shared" si="202"/>
        <v>3</v>
      </c>
      <c r="D1185" s="73"/>
      <c r="E1185" s="70"/>
      <c r="F1185" s="70" t="s">
        <v>1911</v>
      </c>
      <c r="G1185" s="73"/>
      <c r="H1185" s="76" t="s">
        <v>1899</v>
      </c>
      <c r="I1185" s="76"/>
      <c r="J1185" s="76"/>
      <c r="K1185" s="76"/>
      <c r="L1185" s="76"/>
      <c r="M1185" s="76"/>
      <c r="N1185" s="76"/>
      <c r="O1185" s="76"/>
      <c r="P1185" s="76"/>
      <c r="Q1185" s="76"/>
      <c r="R1185" s="76"/>
      <c r="S1185" s="76"/>
      <c r="T1185" s="76"/>
      <c r="U1185" s="97">
        <v>7.9000000000000008E-3</v>
      </c>
      <c r="V1185" s="97">
        <v>7.9000000000000008E-3</v>
      </c>
      <c r="W1185" s="97">
        <v>7.9000000000000008E-3</v>
      </c>
      <c r="X1185" s="97">
        <v>7.9000000000000008E-3</v>
      </c>
      <c r="Y1185" s="97">
        <v>7.9000000000000008E-3</v>
      </c>
      <c r="Z1185" s="255">
        <f t="shared" si="205"/>
        <v>0</v>
      </c>
      <c r="AA1185" s="76">
        <v>0</v>
      </c>
      <c r="AB1185" s="255">
        <f t="shared" si="206"/>
        <v>0</v>
      </c>
      <c r="AC1185" s="255">
        <f t="shared" si="206"/>
        <v>0</v>
      </c>
      <c r="AD1185" s="255">
        <f t="shared" si="206"/>
        <v>0</v>
      </c>
      <c r="AE1185" s="76"/>
      <c r="AF1185" s="76"/>
      <c r="AG1185" s="76"/>
      <c r="AH1185" s="97">
        <v>1</v>
      </c>
      <c r="AI1185" s="97">
        <v>1</v>
      </c>
      <c r="AJ1185" s="73"/>
      <c r="AK1185" s="57"/>
      <c r="AL1185" s="45"/>
      <c r="AM1185" s="45"/>
      <c r="AN1185" s="45"/>
    </row>
    <row r="1186" spans="1:40" hidden="1" outlineLevel="2" x14ac:dyDescent="0.35">
      <c r="A1186" s="45"/>
      <c r="B1186" s="54"/>
      <c r="C1186" s="47">
        <f t="shared" si="202"/>
        <v>3</v>
      </c>
      <c r="D1186" s="73"/>
      <c r="E1186" s="70"/>
      <c r="F1186" s="70" t="s">
        <v>1912</v>
      </c>
      <c r="G1186" s="73"/>
      <c r="H1186" s="76" t="s">
        <v>1901</v>
      </c>
      <c r="I1186" s="76"/>
      <c r="J1186" s="76"/>
      <c r="K1186" s="76"/>
      <c r="L1186" s="76"/>
      <c r="M1186" s="76"/>
      <c r="N1186" s="76"/>
      <c r="O1186" s="76"/>
      <c r="P1186" s="76"/>
      <c r="Q1186" s="76"/>
      <c r="R1186" s="76"/>
      <c r="S1186" s="76"/>
      <c r="T1186" s="76"/>
      <c r="U1186" s="97">
        <v>-1.5E-6</v>
      </c>
      <c r="V1186" s="97">
        <v>-1.5E-6</v>
      </c>
      <c r="W1186" s="97">
        <v>-1.5E-6</v>
      </c>
      <c r="X1186" s="97">
        <v>-1.5E-6</v>
      </c>
      <c r="Y1186" s="97">
        <v>-1.5E-6</v>
      </c>
      <c r="Z1186" s="255">
        <f t="shared" si="205"/>
        <v>0</v>
      </c>
      <c r="AA1186" s="76">
        <v>0</v>
      </c>
      <c r="AB1186" s="255">
        <f t="shared" si="206"/>
        <v>0</v>
      </c>
      <c r="AC1186" s="255">
        <f t="shared" si="206"/>
        <v>0</v>
      </c>
      <c r="AD1186" s="255">
        <f t="shared" si="206"/>
        <v>0</v>
      </c>
      <c r="AE1186" s="76"/>
      <c r="AF1186" s="76"/>
      <c r="AG1186" s="76"/>
      <c r="AH1186" s="97">
        <v>1</v>
      </c>
      <c r="AI1186" s="97">
        <v>1</v>
      </c>
      <c r="AJ1186" s="73"/>
      <c r="AK1186" s="57"/>
      <c r="AL1186" s="45"/>
      <c r="AM1186" s="45"/>
      <c r="AN1186" s="45"/>
    </row>
    <row r="1187" spans="1:40" hidden="1" outlineLevel="2" x14ac:dyDescent="0.35">
      <c r="A1187" s="45"/>
      <c r="B1187" s="54"/>
      <c r="C1187" s="47">
        <f t="shared" si="202"/>
        <v>3</v>
      </c>
      <c r="D1187" s="73"/>
      <c r="E1187" s="70"/>
      <c r="F1187" s="70" t="s">
        <v>1913</v>
      </c>
      <c r="G1187" s="73"/>
      <c r="H1187" s="76" t="s">
        <v>1914</v>
      </c>
      <c r="I1187" s="76"/>
      <c r="J1187" s="76"/>
      <c r="K1187" s="76"/>
      <c r="L1187" s="76"/>
      <c r="M1187" s="76"/>
      <c r="N1187" s="76"/>
      <c r="O1187" s="76"/>
      <c r="P1187" s="76"/>
      <c r="Q1187" s="76"/>
      <c r="R1187" s="76"/>
      <c r="S1187" s="76"/>
      <c r="T1187" s="76"/>
      <c r="U1187" s="97">
        <v>4.5599999999999996</v>
      </c>
      <c r="V1187" s="97">
        <v>4.5599999999999996</v>
      </c>
      <c r="W1187" s="97">
        <v>4.5599999999999996</v>
      </c>
      <c r="X1187" s="97">
        <v>4.5599999999999996</v>
      </c>
      <c r="Y1187" s="97">
        <v>4.5599999999999996</v>
      </c>
      <c r="Z1187" s="255">
        <f t="shared" si="205"/>
        <v>24.748000000000001</v>
      </c>
      <c r="AA1187" s="97">
        <f>27.01-0.2262*10</f>
        <v>24.748000000000001</v>
      </c>
      <c r="AB1187" s="255">
        <f t="shared" si="206"/>
        <v>24.748000000000001</v>
      </c>
      <c r="AC1187" s="255">
        <f t="shared" si="206"/>
        <v>24.748000000000001</v>
      </c>
      <c r="AD1187" s="255">
        <f t="shared" si="206"/>
        <v>24.748000000000001</v>
      </c>
      <c r="AE1187" s="76"/>
      <c r="AF1187" s="76"/>
      <c r="AG1187" s="76"/>
      <c r="AH1187" s="97">
        <v>1</v>
      </c>
      <c r="AI1187" s="97">
        <v>1</v>
      </c>
      <c r="AJ1187" s="73"/>
      <c r="AK1187" s="57"/>
      <c r="AL1187" s="45"/>
      <c r="AM1187" s="45"/>
      <c r="AN1187" s="45"/>
    </row>
    <row r="1188" spans="1:40" hidden="1" outlineLevel="2" x14ac:dyDescent="0.35">
      <c r="A1188" s="45"/>
      <c r="B1188" s="54"/>
      <c r="C1188" s="47">
        <f t="shared" si="202"/>
        <v>3</v>
      </c>
      <c r="D1188" s="73"/>
      <c r="E1188" s="70"/>
      <c r="F1188" s="70" t="s">
        <v>1915</v>
      </c>
      <c r="G1188" s="73"/>
      <c r="H1188" s="76" t="s">
        <v>1916</v>
      </c>
      <c r="I1188" s="96"/>
      <c r="J1188" s="96"/>
      <c r="K1188" s="76"/>
      <c r="L1188" s="76"/>
      <c r="M1188" s="76"/>
      <c r="N1188" s="76"/>
      <c r="O1188" s="76"/>
      <c r="P1188" s="76"/>
      <c r="Q1188" s="76"/>
      <c r="R1188" s="76"/>
      <c r="S1188" s="76"/>
      <c r="T1188" s="76"/>
      <c r="U1188" s="97">
        <f>2.05/1000</f>
        <v>2.0499999999999997E-3</v>
      </c>
      <c r="V1188" s="97">
        <f>2.05/1000</f>
        <v>2.0499999999999997E-3</v>
      </c>
      <c r="W1188" s="97">
        <f>2.05/1000</f>
        <v>2.0499999999999997E-3</v>
      </c>
      <c r="X1188" s="97">
        <f>2.05/1000</f>
        <v>2.0499999999999997E-3</v>
      </c>
      <c r="Y1188" s="97">
        <f>2.05/1000</f>
        <v>2.0499999999999997E-3</v>
      </c>
      <c r="Z1188" s="255">
        <f t="shared" si="205"/>
        <v>2.0499999999999997E-3</v>
      </c>
      <c r="AA1188" s="97">
        <f>2.05/1000</f>
        <v>2.0499999999999997E-3</v>
      </c>
      <c r="AB1188" s="255">
        <f t="shared" si="206"/>
        <v>2.0499999999999997E-3</v>
      </c>
      <c r="AC1188" s="255">
        <f t="shared" si="206"/>
        <v>2.0499999999999997E-3</v>
      </c>
      <c r="AD1188" s="255">
        <f t="shared" si="206"/>
        <v>2.0499999999999997E-3</v>
      </c>
      <c r="AE1188" s="76"/>
      <c r="AF1188" s="97" t="s">
        <v>1290</v>
      </c>
      <c r="AG1188" s="76"/>
      <c r="AH1188" s="97">
        <v>1</v>
      </c>
      <c r="AI1188" s="97">
        <v>1</v>
      </c>
      <c r="AJ1188" s="73"/>
      <c r="AK1188" s="57"/>
      <c r="AL1188" s="45"/>
      <c r="AM1188" s="45"/>
      <c r="AN1188" s="45"/>
    </row>
    <row r="1189" spans="1:40" hidden="1" outlineLevel="2" x14ac:dyDescent="0.35">
      <c r="A1189" s="45"/>
      <c r="B1189" s="54"/>
      <c r="C1189" s="47">
        <f t="shared" si="202"/>
        <v>3</v>
      </c>
      <c r="D1189" s="73"/>
      <c r="E1189" s="70"/>
      <c r="F1189" s="70" t="s">
        <v>1917</v>
      </c>
      <c r="G1189" s="73"/>
      <c r="H1189" s="76" t="s">
        <v>1918</v>
      </c>
      <c r="I1189" s="96"/>
      <c r="J1189" s="96"/>
      <c r="K1189" s="76"/>
      <c r="L1189" s="76"/>
      <c r="M1189" s="76"/>
      <c r="N1189" s="76"/>
      <c r="O1189" s="76"/>
      <c r="P1189" s="76"/>
      <c r="Q1189" s="76"/>
      <c r="R1189" s="76"/>
      <c r="S1189" s="76"/>
      <c r="T1189" s="76"/>
      <c r="U1189" s="253">
        <f t="shared" ref="U1189:AD1189" si="207">U1190</f>
        <v>-5.9999999999999724E-5</v>
      </c>
      <c r="V1189" s="253">
        <f t="shared" si="207"/>
        <v>-5.9999999999999724E-5</v>
      </c>
      <c r="W1189" s="253">
        <f t="shared" si="207"/>
        <v>-5.9999999999999724E-5</v>
      </c>
      <c r="X1189" s="253">
        <f t="shared" si="207"/>
        <v>-5.9999999999999724E-5</v>
      </c>
      <c r="Y1189" s="253">
        <f t="shared" si="207"/>
        <v>-5.9999999999999724E-5</v>
      </c>
      <c r="Z1189" s="253">
        <f t="shared" si="207"/>
        <v>-5.9999999999999724E-5</v>
      </c>
      <c r="AA1189" s="253">
        <f t="shared" si="207"/>
        <v>-5.9999999999999724E-5</v>
      </c>
      <c r="AB1189" s="253">
        <f t="shared" si="207"/>
        <v>-5.9999999999999724E-5</v>
      </c>
      <c r="AC1189" s="253">
        <f t="shared" si="207"/>
        <v>-5.9999999999999724E-5</v>
      </c>
      <c r="AD1189" s="253">
        <f t="shared" si="207"/>
        <v>-5.9999999999999724E-5</v>
      </c>
      <c r="AE1189" s="76"/>
      <c r="AF1189" s="76"/>
      <c r="AG1189" s="76"/>
      <c r="AH1189" s="253">
        <f>AH1190</f>
        <v>1</v>
      </c>
      <c r="AI1189" s="253">
        <f>AI1190</f>
        <v>1</v>
      </c>
      <c r="AJ1189" s="73"/>
      <c r="AK1189" s="57"/>
      <c r="AL1189" s="45"/>
      <c r="AM1189" s="45"/>
      <c r="AN1189" s="45"/>
    </row>
    <row r="1190" spans="1:40" hidden="1" outlineLevel="2" x14ac:dyDescent="0.35">
      <c r="A1190" s="45"/>
      <c r="B1190" s="54"/>
      <c r="C1190" s="47">
        <f t="shared" si="202"/>
        <v>3</v>
      </c>
      <c r="D1190" s="73"/>
      <c r="E1190" s="70"/>
      <c r="F1190" s="70" t="s">
        <v>1919</v>
      </c>
      <c r="G1190" s="73"/>
      <c r="H1190" s="76" t="s">
        <v>1920</v>
      </c>
      <c r="I1190" s="96"/>
      <c r="J1190" s="96"/>
      <c r="K1190" s="76"/>
      <c r="L1190" s="76"/>
      <c r="M1190" s="76"/>
      <c r="N1190" s="76"/>
      <c r="O1190" s="76"/>
      <c r="P1190" s="76"/>
      <c r="Q1190" s="76"/>
      <c r="R1190" s="76"/>
      <c r="S1190" s="76"/>
      <c r="T1190" s="76"/>
      <c r="U1190" s="97">
        <f>1.99/1000-U$1188</f>
        <v>-5.9999999999999724E-5</v>
      </c>
      <c r="V1190" s="97">
        <f>1.99/1000-V$1188</f>
        <v>-5.9999999999999724E-5</v>
      </c>
      <c r="W1190" s="97">
        <f>1.99/1000-W$1188</f>
        <v>-5.9999999999999724E-5</v>
      </c>
      <c r="X1190" s="97">
        <f>1.99/1000-X$1188</f>
        <v>-5.9999999999999724E-5</v>
      </c>
      <c r="Y1190" s="97">
        <f>1.99/1000-Y$1188</f>
        <v>-5.9999999999999724E-5</v>
      </c>
      <c r="Z1190" s="255">
        <f t="shared" ref="Z1190:Z1195" si="208">AA1190</f>
        <v>-5.9999999999999724E-5</v>
      </c>
      <c r="AA1190" s="97">
        <f>1.99/1000-AA$1188</f>
        <v>-5.9999999999999724E-5</v>
      </c>
      <c r="AB1190" s="255">
        <f t="shared" ref="AB1190:AD1195" si="209">AA1190</f>
        <v>-5.9999999999999724E-5</v>
      </c>
      <c r="AC1190" s="255">
        <f t="shared" si="209"/>
        <v>-5.9999999999999724E-5</v>
      </c>
      <c r="AD1190" s="255">
        <f t="shared" si="209"/>
        <v>-5.9999999999999724E-5</v>
      </c>
      <c r="AE1190" s="76"/>
      <c r="AF1190" s="76"/>
      <c r="AG1190" s="76"/>
      <c r="AH1190" s="97">
        <v>1</v>
      </c>
      <c r="AI1190" s="97">
        <v>1</v>
      </c>
      <c r="AJ1190" s="73"/>
      <c r="AK1190" s="57"/>
      <c r="AL1190" s="45"/>
      <c r="AM1190" s="45"/>
      <c r="AN1190" s="45"/>
    </row>
    <row r="1191" spans="1:40" hidden="1" outlineLevel="2" x14ac:dyDescent="0.35">
      <c r="A1191" s="45"/>
      <c r="B1191" s="54"/>
      <c r="C1191" s="47">
        <f t="shared" si="202"/>
        <v>3</v>
      </c>
      <c r="D1191" s="73"/>
      <c r="E1191" s="70"/>
      <c r="F1191" s="70" t="s">
        <v>1921</v>
      </c>
      <c r="G1191" s="73"/>
      <c r="H1191" s="76" t="s">
        <v>1922</v>
      </c>
      <c r="I1191" s="96"/>
      <c r="J1191" s="96"/>
      <c r="K1191" s="76"/>
      <c r="L1191" s="76"/>
      <c r="M1191" s="76"/>
      <c r="N1191" s="76"/>
      <c r="O1191" s="76"/>
      <c r="P1191" s="76"/>
      <c r="Q1191" s="76"/>
      <c r="R1191" s="76"/>
      <c r="S1191" s="76"/>
      <c r="T1191" s="76"/>
      <c r="U1191" s="97">
        <f>1.4/1000-U$1188</f>
        <v>-6.4999999999999975E-4</v>
      </c>
      <c r="V1191" s="97">
        <f>1.4/1000-V$1188</f>
        <v>-6.4999999999999975E-4</v>
      </c>
      <c r="W1191" s="97">
        <f>1.4/1000-W$1188</f>
        <v>-6.4999999999999975E-4</v>
      </c>
      <c r="X1191" s="97">
        <f>1.4/1000-X$1188</f>
        <v>-6.4999999999999975E-4</v>
      </c>
      <c r="Y1191" s="97">
        <f>1.4/1000-Y$1188</f>
        <v>-6.4999999999999975E-4</v>
      </c>
      <c r="Z1191" s="255">
        <f t="shared" si="208"/>
        <v>-6.4999999999999975E-4</v>
      </c>
      <c r="AA1191" s="97">
        <f>1.4/1000-AA$1188</f>
        <v>-6.4999999999999975E-4</v>
      </c>
      <c r="AB1191" s="255">
        <f t="shared" si="209"/>
        <v>-6.4999999999999975E-4</v>
      </c>
      <c r="AC1191" s="255">
        <f t="shared" si="209"/>
        <v>-6.4999999999999975E-4</v>
      </c>
      <c r="AD1191" s="255">
        <f t="shared" si="209"/>
        <v>-6.4999999999999975E-4</v>
      </c>
      <c r="AE1191" s="76"/>
      <c r="AF1191" s="76"/>
      <c r="AG1191" s="76"/>
      <c r="AH1191" s="97">
        <v>1</v>
      </c>
      <c r="AI1191" s="97">
        <v>1</v>
      </c>
      <c r="AJ1191" s="73"/>
      <c r="AK1191" s="57"/>
      <c r="AL1191" s="45"/>
      <c r="AM1191" s="45"/>
      <c r="AN1191" s="45"/>
    </row>
    <row r="1192" spans="1:40" hidden="1" outlineLevel="2" x14ac:dyDescent="0.35">
      <c r="A1192" s="45"/>
      <c r="B1192" s="54"/>
      <c r="C1192" s="47">
        <f t="shared" si="202"/>
        <v>3</v>
      </c>
      <c r="D1192" s="73"/>
      <c r="E1192" s="70"/>
      <c r="F1192" s="70" t="s">
        <v>1923</v>
      </c>
      <c r="G1192" s="73"/>
      <c r="H1192" s="76" t="s">
        <v>1924</v>
      </c>
      <c r="I1192" s="76"/>
      <c r="J1192" s="76"/>
      <c r="K1192" s="76"/>
      <c r="L1192" s="76"/>
      <c r="M1192" s="76"/>
      <c r="N1192" s="76"/>
      <c r="O1192" s="76"/>
      <c r="P1192" s="76"/>
      <c r="Q1192" s="76"/>
      <c r="R1192" s="76"/>
      <c r="S1192" s="76"/>
      <c r="T1192" s="76"/>
      <c r="U1192" s="97">
        <f>0-U$1188</f>
        <v>-2.0499999999999997E-3</v>
      </c>
      <c r="V1192" s="97">
        <f>0-V$1188</f>
        <v>-2.0499999999999997E-3</v>
      </c>
      <c r="W1192" s="97">
        <f>0-W$1188</f>
        <v>-2.0499999999999997E-3</v>
      </c>
      <c r="X1192" s="97">
        <f>0-X$1188</f>
        <v>-2.0499999999999997E-3</v>
      </c>
      <c r="Y1192" s="97">
        <f>0-Y$1188</f>
        <v>-2.0499999999999997E-3</v>
      </c>
      <c r="Z1192" s="255">
        <f t="shared" si="208"/>
        <v>-2.0499999999999997E-3</v>
      </c>
      <c r="AA1192" s="97">
        <f>0-AA$1188</f>
        <v>-2.0499999999999997E-3</v>
      </c>
      <c r="AB1192" s="255">
        <f t="shared" si="209"/>
        <v>-2.0499999999999997E-3</v>
      </c>
      <c r="AC1192" s="255">
        <f t="shared" si="209"/>
        <v>-2.0499999999999997E-3</v>
      </c>
      <c r="AD1192" s="255">
        <f t="shared" si="209"/>
        <v>-2.0499999999999997E-3</v>
      </c>
      <c r="AE1192" s="76"/>
      <c r="AF1192" s="76"/>
      <c r="AG1192" s="76"/>
      <c r="AH1192" s="97">
        <v>1</v>
      </c>
      <c r="AI1192" s="97">
        <v>1</v>
      </c>
      <c r="AJ1192" s="73"/>
      <c r="AK1192" s="57"/>
      <c r="AL1192" s="45"/>
      <c r="AM1192" s="45"/>
      <c r="AN1192" s="45"/>
    </row>
    <row r="1193" spans="1:40" hidden="1" outlineLevel="2" x14ac:dyDescent="0.35">
      <c r="A1193" s="45"/>
      <c r="B1193" s="54"/>
      <c r="C1193" s="47">
        <f t="shared" si="202"/>
        <v>3</v>
      </c>
      <c r="D1193" s="73"/>
      <c r="E1193" s="70"/>
      <c r="F1193" s="70" t="s">
        <v>1925</v>
      </c>
      <c r="G1193" s="73"/>
      <c r="H1193" s="76" t="s">
        <v>1926</v>
      </c>
      <c r="I1193" s="76"/>
      <c r="J1193" s="76"/>
      <c r="K1193" s="76"/>
      <c r="L1193" s="76"/>
      <c r="M1193" s="76"/>
      <c r="N1193" s="76"/>
      <c r="O1193" s="76"/>
      <c r="P1193" s="76"/>
      <c r="Q1193" s="76"/>
      <c r="R1193" s="76"/>
      <c r="S1193" s="76"/>
      <c r="T1193" s="76"/>
      <c r="U1193" s="97">
        <f>0.102/1000</f>
        <v>1.02E-4</v>
      </c>
      <c r="V1193" s="97">
        <f>0.102/1000</f>
        <v>1.02E-4</v>
      </c>
      <c r="W1193" s="97">
        <f>0.102/1000</f>
        <v>1.02E-4</v>
      </c>
      <c r="X1193" s="97">
        <f>0.102/1000</f>
        <v>1.02E-4</v>
      </c>
      <c r="Y1193" s="97">
        <f>0.102/1000</f>
        <v>1.02E-4</v>
      </c>
      <c r="Z1193" s="255">
        <f t="shared" si="208"/>
        <v>1.02E-4</v>
      </c>
      <c r="AA1193" s="97">
        <f>0.102/1000</f>
        <v>1.02E-4</v>
      </c>
      <c r="AB1193" s="255">
        <f t="shared" si="209"/>
        <v>1.02E-4</v>
      </c>
      <c r="AC1193" s="255">
        <f t="shared" si="209"/>
        <v>1.02E-4</v>
      </c>
      <c r="AD1193" s="255">
        <f t="shared" si="209"/>
        <v>1.02E-4</v>
      </c>
      <c r="AE1193" s="76"/>
      <c r="AF1193" s="76"/>
      <c r="AG1193" s="76"/>
      <c r="AH1193" s="97">
        <v>1</v>
      </c>
      <c r="AI1193" s="97">
        <v>1</v>
      </c>
      <c r="AJ1193" s="73"/>
      <c r="AK1193" s="57"/>
      <c r="AL1193" s="45"/>
      <c r="AM1193" s="45"/>
      <c r="AN1193" s="45"/>
    </row>
    <row r="1194" spans="1:40" hidden="1" outlineLevel="2" x14ac:dyDescent="0.35">
      <c r="A1194" s="45"/>
      <c r="B1194" s="54"/>
      <c r="C1194" s="47">
        <f t="shared" si="202"/>
        <v>3</v>
      </c>
      <c r="D1194" s="73"/>
      <c r="E1194" s="70"/>
      <c r="F1194" s="70" t="s">
        <v>1927</v>
      </c>
      <c r="G1194" s="73"/>
      <c r="H1194" s="76" t="s">
        <v>1928</v>
      </c>
      <c r="I1194" s="76"/>
      <c r="J1194" s="76"/>
      <c r="K1194" s="76"/>
      <c r="L1194" s="76"/>
      <c r="M1194" s="76"/>
      <c r="N1194" s="76"/>
      <c r="O1194" s="76"/>
      <c r="P1194" s="76"/>
      <c r="Q1194" s="76"/>
      <c r="R1194" s="76"/>
      <c r="S1194" s="76"/>
      <c r="T1194" s="76"/>
      <c r="U1194" s="97">
        <f>-0.000019/1000</f>
        <v>-1.9000000000000001E-8</v>
      </c>
      <c r="V1194" s="97">
        <f>-0.000019/1000</f>
        <v>-1.9000000000000001E-8</v>
      </c>
      <c r="W1194" s="97">
        <f>-0.000019/1000</f>
        <v>-1.9000000000000001E-8</v>
      </c>
      <c r="X1194" s="97">
        <f>-0.000019/1000</f>
        <v>-1.9000000000000001E-8</v>
      </c>
      <c r="Y1194" s="97">
        <f>-0.000019/1000</f>
        <v>-1.9000000000000001E-8</v>
      </c>
      <c r="Z1194" s="255">
        <f t="shared" si="208"/>
        <v>-1.9000000000000001E-8</v>
      </c>
      <c r="AA1194" s="97">
        <f>-0.000019/1000</f>
        <v>-1.9000000000000001E-8</v>
      </c>
      <c r="AB1194" s="255">
        <f t="shared" si="209"/>
        <v>-1.9000000000000001E-8</v>
      </c>
      <c r="AC1194" s="255">
        <f t="shared" si="209"/>
        <v>-1.9000000000000001E-8</v>
      </c>
      <c r="AD1194" s="255">
        <f t="shared" si="209"/>
        <v>-1.9000000000000001E-8</v>
      </c>
      <c r="AE1194" s="76"/>
      <c r="AF1194" s="76"/>
      <c r="AG1194" s="76"/>
      <c r="AH1194" s="97">
        <v>1</v>
      </c>
      <c r="AI1194" s="97">
        <v>1</v>
      </c>
      <c r="AJ1194" s="73"/>
      <c r="AK1194" s="57"/>
      <c r="AL1194" s="45"/>
      <c r="AM1194" s="45"/>
      <c r="AN1194" s="45"/>
    </row>
    <row r="1195" spans="1:40" hidden="1" outlineLevel="2" x14ac:dyDescent="0.35">
      <c r="A1195" s="45"/>
      <c r="B1195" s="54"/>
      <c r="C1195" s="47">
        <f t="shared" si="202"/>
        <v>3</v>
      </c>
      <c r="D1195" s="73"/>
      <c r="E1195" s="70"/>
      <c r="F1195" s="70" t="s">
        <v>1929</v>
      </c>
      <c r="G1195" s="73"/>
      <c r="H1195" s="76" t="s">
        <v>1930</v>
      </c>
      <c r="I1195" s="76"/>
      <c r="J1195" s="76"/>
      <c r="K1195" s="76"/>
      <c r="L1195" s="76"/>
      <c r="M1195" s="76"/>
      <c r="N1195" s="76"/>
      <c r="O1195" s="76"/>
      <c r="P1195" s="76"/>
      <c r="Q1195" s="76"/>
      <c r="R1195" s="76"/>
      <c r="S1195" s="76"/>
      <c r="T1195" s="76"/>
      <c r="U1195" s="97">
        <f>14.9/1000</f>
        <v>1.49E-2</v>
      </c>
      <c r="V1195" s="97">
        <f>14.9/1000</f>
        <v>1.49E-2</v>
      </c>
      <c r="W1195" s="97">
        <f>14.9/1000</f>
        <v>1.49E-2</v>
      </c>
      <c r="X1195" s="97">
        <f>14.9/1000</f>
        <v>1.49E-2</v>
      </c>
      <c r="Y1195" s="97">
        <f>14.9/1000</f>
        <v>1.49E-2</v>
      </c>
      <c r="Z1195" s="255">
        <f t="shared" si="208"/>
        <v>1.49E-2</v>
      </c>
      <c r="AA1195" s="97">
        <f>14.9/1000</f>
        <v>1.49E-2</v>
      </c>
      <c r="AB1195" s="255">
        <f t="shared" si="209"/>
        <v>1.49E-2</v>
      </c>
      <c r="AC1195" s="255">
        <f t="shared" si="209"/>
        <v>1.49E-2</v>
      </c>
      <c r="AD1195" s="255">
        <f t="shared" si="209"/>
        <v>1.49E-2</v>
      </c>
      <c r="AE1195" s="76"/>
      <c r="AF1195" s="76"/>
      <c r="AG1195" s="76"/>
      <c r="AH1195" s="97">
        <v>1</v>
      </c>
      <c r="AI1195" s="97">
        <v>1</v>
      </c>
      <c r="AJ1195" s="73"/>
      <c r="AK1195" s="57"/>
      <c r="AL1195" s="45"/>
      <c r="AM1195" s="45"/>
      <c r="AN1195" s="45"/>
    </row>
    <row r="1196" spans="1:40" outlineLevel="1" x14ac:dyDescent="0.35">
      <c r="A1196" s="45"/>
      <c r="B1196" s="54"/>
      <c r="C1196" s="47">
        <f>INT($C$29)+1</f>
        <v>2</v>
      </c>
      <c r="D1196" s="73"/>
      <c r="E1196" s="70"/>
      <c r="F1196" s="265" t="s">
        <v>1719</v>
      </c>
      <c r="G1196" s="73"/>
      <c r="H1196" s="267" t="s">
        <v>2655</v>
      </c>
      <c r="I1196" s="129"/>
      <c r="J1196" s="129" t="s">
        <v>1045</v>
      </c>
      <c r="K1196" s="76"/>
      <c r="L1196" s="76"/>
      <c r="M1196" s="76"/>
      <c r="N1196" s="76"/>
      <c r="O1196" s="76"/>
      <c r="P1196" s="76"/>
      <c r="Q1196" s="76"/>
      <c r="R1196" s="76"/>
      <c r="S1196" s="76"/>
      <c r="T1196" s="76"/>
      <c r="U1196" s="79">
        <v>27</v>
      </c>
      <c r="V1196" s="79">
        <v>15</v>
      </c>
      <c r="W1196" s="79">
        <v>-15</v>
      </c>
      <c r="X1196" s="76"/>
      <c r="Y1196" s="76"/>
      <c r="Z1196" s="76"/>
      <c r="AA1196" s="76"/>
      <c r="AB1196" s="76"/>
      <c r="AC1196" s="76"/>
      <c r="AD1196" s="76"/>
      <c r="AE1196" s="76"/>
      <c r="AF1196" s="76"/>
      <c r="AG1196" s="76"/>
      <c r="AH1196" s="76"/>
      <c r="AI1196" s="76"/>
      <c r="AJ1196" s="73"/>
      <c r="AK1196" s="57"/>
      <c r="AL1196" s="45"/>
      <c r="AM1196" s="45"/>
      <c r="AN1196" s="45"/>
    </row>
    <row r="1197" spans="1:40" outlineLevel="3" x14ac:dyDescent="0.35">
      <c r="A1197" s="45"/>
      <c r="B1197" s="54"/>
      <c r="C1197" s="47">
        <f t="shared" ref="C1197:C1216" si="210">INT($C$29)+3</f>
        <v>4</v>
      </c>
      <c r="D1197" s="73"/>
      <c r="E1197" s="70"/>
      <c r="F1197" s="70" t="s">
        <v>1931</v>
      </c>
      <c r="G1197" s="73"/>
      <c r="H1197" s="76" t="s">
        <v>1932</v>
      </c>
      <c r="I1197" s="96" t="s">
        <v>2354</v>
      </c>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outlineLevel="3" x14ac:dyDescent="0.35">
      <c r="A1198" s="45"/>
      <c r="B1198" s="54"/>
      <c r="C1198" s="47">
        <f t="shared" si="210"/>
        <v>4</v>
      </c>
      <c r="D1198" s="73"/>
      <c r="E1198" s="70"/>
      <c r="F1198" s="70" t="s">
        <v>1933</v>
      </c>
      <c r="G1198" s="73"/>
      <c r="H1198" s="76" t="s">
        <v>1934</v>
      </c>
      <c r="I1198" s="96" t="s">
        <v>2355</v>
      </c>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outlineLevel="3" x14ac:dyDescent="0.35">
      <c r="A1199" s="45"/>
      <c r="B1199" s="54"/>
      <c r="C1199" s="47">
        <f t="shared" si="210"/>
        <v>4</v>
      </c>
      <c r="D1199" s="73"/>
      <c r="E1199" s="70"/>
      <c r="F1199" s="70" t="s">
        <v>1935</v>
      </c>
      <c r="G1199" s="73"/>
      <c r="H1199" s="76" t="s">
        <v>1936</v>
      </c>
      <c r="I1199" s="96" t="s">
        <v>2356</v>
      </c>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outlineLevel="3" x14ac:dyDescent="0.35">
      <c r="A1200" s="45"/>
      <c r="B1200" s="54"/>
      <c r="C1200" s="47">
        <f t="shared" si="210"/>
        <v>4</v>
      </c>
      <c r="D1200" s="73"/>
      <c r="E1200" s="70"/>
      <c r="F1200" s="70" t="s">
        <v>1937</v>
      </c>
      <c r="G1200" s="73"/>
      <c r="H1200" s="76" t="s">
        <v>2389</v>
      </c>
      <c r="I1200" s="96" t="s">
        <v>2390</v>
      </c>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outlineLevel="3" x14ac:dyDescent="0.35">
      <c r="A1201" s="45"/>
      <c r="B1201" s="54"/>
      <c r="C1201" s="47">
        <f t="shared" si="210"/>
        <v>4</v>
      </c>
      <c r="D1201" s="73"/>
      <c r="E1201" s="70"/>
      <c r="F1201" s="70" t="s">
        <v>1939</v>
      </c>
      <c r="G1201" s="73"/>
      <c r="H1201" s="76" t="s">
        <v>1938</v>
      </c>
      <c r="I1201" s="96" t="s">
        <v>2357</v>
      </c>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outlineLevel="3" x14ac:dyDescent="0.35">
      <c r="A1202" s="45"/>
      <c r="B1202" s="54"/>
      <c r="C1202" s="47">
        <f t="shared" si="210"/>
        <v>4</v>
      </c>
      <c r="D1202" s="73"/>
      <c r="E1202" s="70"/>
      <c r="F1202" s="70" t="s">
        <v>2395</v>
      </c>
      <c r="G1202" s="73"/>
      <c r="H1202" s="76" t="s">
        <v>1940</v>
      </c>
      <c r="I1202" s="96" t="s">
        <v>2358</v>
      </c>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outlineLevel="3" x14ac:dyDescent="0.35">
      <c r="A1203" s="45"/>
      <c r="B1203" s="54"/>
      <c r="C1203" s="47">
        <f t="shared" si="210"/>
        <v>4</v>
      </c>
      <c r="D1203" s="73"/>
      <c r="E1203" s="70"/>
      <c r="F1203" s="70" t="s">
        <v>2396</v>
      </c>
      <c r="G1203" s="73"/>
      <c r="H1203" s="76" t="s">
        <v>2391</v>
      </c>
      <c r="I1203" s="96" t="s">
        <v>2392</v>
      </c>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outlineLevel="3" x14ac:dyDescent="0.35">
      <c r="A1204" s="45"/>
      <c r="B1204" s="54"/>
      <c r="C1204" s="47">
        <f t="shared" si="210"/>
        <v>4</v>
      </c>
      <c r="D1204" s="73"/>
      <c r="E1204" s="70"/>
      <c r="F1204" s="70" t="s">
        <v>2397</v>
      </c>
      <c r="G1204" s="73"/>
      <c r="H1204" s="76" t="s">
        <v>2393</v>
      </c>
      <c r="I1204" s="96" t="s">
        <v>2394</v>
      </c>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outlineLevel="3" x14ac:dyDescent="0.35">
      <c r="A1205" s="45"/>
      <c r="B1205" s="54"/>
      <c r="C1205" s="47">
        <f t="shared" si="210"/>
        <v>4</v>
      </c>
      <c r="D1205" s="73"/>
      <c r="E1205" s="70"/>
      <c r="F1205" s="70" t="str">
        <f>SUBSTITUTE(F1201,",4)",",8)")</f>
        <v>C(U2,0,8)</v>
      </c>
      <c r="G1205" s="73"/>
      <c r="H1205" s="76" t="s">
        <v>2747</v>
      </c>
      <c r="I1205" s="96" t="s">
        <v>2751</v>
      </c>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outlineLevel="3" x14ac:dyDescent="0.35">
      <c r="A1206" s="45"/>
      <c r="B1206" s="54"/>
      <c r="C1206" s="47">
        <f t="shared" si="210"/>
        <v>4</v>
      </c>
      <c r="D1206" s="73"/>
      <c r="E1206" s="70"/>
      <c r="F1206" s="70" t="str">
        <f>SUBSTITUTE(F1202,",5)",",9)")</f>
        <v>C(U2,0,9)</v>
      </c>
      <c r="G1206" s="73"/>
      <c r="H1206" s="76" t="s">
        <v>2748</v>
      </c>
      <c r="I1206" s="96" t="s">
        <v>2752</v>
      </c>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outlineLevel="3" x14ac:dyDescent="0.35">
      <c r="A1207" s="45"/>
      <c r="B1207" s="54"/>
      <c r="C1207" s="47">
        <f t="shared" si="210"/>
        <v>4</v>
      </c>
      <c r="D1207" s="73"/>
      <c r="E1207" s="70"/>
      <c r="F1207" s="70" t="str">
        <f>SUBSTITUTE(F1203,",6)",",10)")</f>
        <v>C(U2,0,10)</v>
      </c>
      <c r="G1207" s="73"/>
      <c r="H1207" s="76" t="s">
        <v>2749</v>
      </c>
      <c r="I1207" s="96" t="s">
        <v>2753</v>
      </c>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outlineLevel="3" x14ac:dyDescent="0.35">
      <c r="A1208" s="45"/>
      <c r="B1208" s="54"/>
      <c r="C1208" s="47">
        <f t="shared" si="210"/>
        <v>4</v>
      </c>
      <c r="D1208" s="73"/>
      <c r="E1208" s="70"/>
      <c r="F1208" s="70" t="str">
        <f>SUBSTITUTE(F1204,",7)",",11)")</f>
        <v>C(U2,0,11)</v>
      </c>
      <c r="G1208" s="73"/>
      <c r="H1208" s="76" t="s">
        <v>2750</v>
      </c>
      <c r="I1208" s="96" t="s">
        <v>2754</v>
      </c>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outlineLevel="3" x14ac:dyDescent="0.35">
      <c r="A1209" s="45"/>
      <c r="B1209" s="54"/>
      <c r="C1209" s="47">
        <f t="shared" si="210"/>
        <v>4</v>
      </c>
      <c r="D1209" s="73"/>
      <c r="E1209" s="70"/>
      <c r="F1209" s="70" t="str">
        <f>SUBSTITUTE(F1204,",7)",",12)")</f>
        <v>C(U2,0,12)</v>
      </c>
      <c r="G1209" s="73"/>
      <c r="H1209" s="76" t="s">
        <v>3375</v>
      </c>
      <c r="I1209" s="96" t="s">
        <v>2753</v>
      </c>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outlineLevel="3" x14ac:dyDescent="0.35">
      <c r="A1210" s="45"/>
      <c r="B1210" s="54"/>
      <c r="C1210" s="47">
        <f t="shared" si="210"/>
        <v>4</v>
      </c>
      <c r="D1210" s="73"/>
      <c r="E1210" s="70"/>
      <c r="F1210" s="70" t="str">
        <f>SUBSTITUTE(F1204,",7)",",13)")</f>
        <v>C(U2,0,13)</v>
      </c>
      <c r="G1210" s="73"/>
      <c r="H1210" s="76" t="s">
        <v>3376</v>
      </c>
      <c r="I1210" s="96" t="s">
        <v>2754</v>
      </c>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outlineLevel="3" x14ac:dyDescent="0.35">
      <c r="A1211" s="45"/>
      <c r="B1211" s="54"/>
      <c r="C1211" s="47">
        <f t="shared" si="210"/>
        <v>4</v>
      </c>
      <c r="D1211" s="73"/>
      <c r="E1211" s="70"/>
      <c r="F1211" s="70" t="s">
        <v>1941</v>
      </c>
      <c r="G1211" s="73"/>
      <c r="H1211" s="76" t="s">
        <v>1942</v>
      </c>
      <c r="I1211" s="96" t="s">
        <v>2359</v>
      </c>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outlineLevel="3" x14ac:dyDescent="0.35">
      <c r="A1212" s="45"/>
      <c r="B1212" s="54"/>
      <c r="C1212" s="47">
        <f t="shared" si="210"/>
        <v>4</v>
      </c>
      <c r="D1212" s="73"/>
      <c r="E1212" s="70"/>
      <c r="F1212" s="70" t="s">
        <v>1943</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outlineLevel="3" x14ac:dyDescent="0.35">
      <c r="A1213" s="45"/>
      <c r="B1213" s="54"/>
      <c r="C1213" s="47">
        <f t="shared" si="210"/>
        <v>4</v>
      </c>
      <c r="D1213" s="73"/>
      <c r="E1213" s="70"/>
      <c r="F1213" s="70" t="s">
        <v>1944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outlineLevel="3" x14ac:dyDescent="0.35">
      <c r="A1214" s="45"/>
      <c r="B1214" s="54"/>
      <c r="C1214" s="47">
        <f t="shared" si="210"/>
        <v>4</v>
      </c>
      <c r="D1214" s="73"/>
      <c r="E1214" s="70"/>
      <c r="F1214" s="70" t="s">
        <v>1945</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outlineLevel="3" x14ac:dyDescent="0.35">
      <c r="A1215" s="45"/>
      <c r="B1215" s="54"/>
      <c r="C1215" s="47">
        <f t="shared" si="210"/>
        <v>4</v>
      </c>
      <c r="D1215" s="73"/>
      <c r="E1215" s="70"/>
      <c r="F1215" s="70" t="s">
        <v>1946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outlineLevel="3" x14ac:dyDescent="0.35">
      <c r="A1216" s="45"/>
      <c r="B1216" s="54"/>
      <c r="C1216" s="47">
        <f t="shared" si="210"/>
        <v>4</v>
      </c>
      <c r="D1216" s="73"/>
      <c r="E1216" s="70"/>
      <c r="F1216" s="70" t="s">
        <v>1947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outlineLevel="3" x14ac:dyDescent="0.35">
      <c r="A1217" s="45"/>
      <c r="B1217" s="54"/>
      <c r="C1217" s="47"/>
      <c r="D1217" s="73"/>
      <c r="E1217" s="70"/>
      <c r="F1217" s="70" t="s">
        <v>2398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outlineLevel="3" x14ac:dyDescent="0.35">
      <c r="A1218" s="45"/>
      <c r="B1218" s="54"/>
      <c r="C1218" s="47"/>
      <c r="D1218" s="73"/>
      <c r="E1218" s="70"/>
      <c r="F1218" s="70" t="s">
        <v>2399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outlineLevel="3" x14ac:dyDescent="0.35">
      <c r="A1219" s="45"/>
      <c r="B1219" s="54"/>
      <c r="C1219" s="47"/>
      <c r="D1219" s="73"/>
      <c r="E1219" s="70"/>
      <c r="F1219" s="70" t="s">
        <v>2400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outlineLevel="3" x14ac:dyDescent="0.35">
      <c r="A1220" s="45"/>
      <c r="B1220" s="54"/>
      <c r="C1220" s="47">
        <f t="shared" ref="C1220:C1231" si="211">INT($C$29)+3</f>
        <v>4</v>
      </c>
      <c r="D1220" s="73"/>
      <c r="E1220" s="70"/>
      <c r="F1220" s="70" t="str">
        <f>SUBSTITUTE(F1216,",4)",",8)")</f>
        <v>C(U2,1,8)</v>
      </c>
      <c r="G1220" s="73"/>
      <c r="H1220" s="76"/>
      <c r="I1220" s="9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outlineLevel="3" x14ac:dyDescent="0.35">
      <c r="A1221" s="45"/>
      <c r="B1221" s="54"/>
      <c r="C1221" s="47">
        <f t="shared" si="211"/>
        <v>4</v>
      </c>
      <c r="D1221" s="73"/>
      <c r="E1221" s="70"/>
      <c r="F1221" s="70" t="str">
        <f>SUBSTITUTE(F1217,",5)",",9)")</f>
        <v>C(U2,1,9)</v>
      </c>
      <c r="G1221" s="73"/>
      <c r="H1221" s="76"/>
      <c r="I1221" s="9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outlineLevel="3" x14ac:dyDescent="0.35">
      <c r="A1222" s="45"/>
      <c r="B1222" s="54"/>
      <c r="C1222" s="47">
        <f t="shared" si="211"/>
        <v>4</v>
      </c>
      <c r="D1222" s="73"/>
      <c r="E1222" s="70"/>
      <c r="F1222" s="70" t="str">
        <f>SUBSTITUTE(F1218,",6)",",10)")</f>
        <v>C(U2,1,10)</v>
      </c>
      <c r="G1222" s="73"/>
      <c r="H1222" s="76"/>
      <c r="I1222" s="9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outlineLevel="3" x14ac:dyDescent="0.35">
      <c r="A1223" s="45"/>
      <c r="B1223" s="54"/>
      <c r="C1223" s="47">
        <f t="shared" si="211"/>
        <v>4</v>
      </c>
      <c r="D1223" s="73"/>
      <c r="E1223" s="70"/>
      <c r="F1223" s="70" t="str">
        <f>SUBSTITUTE(F1219,",7)",",11)")</f>
        <v>C(U2,1,11)</v>
      </c>
      <c r="G1223" s="73"/>
      <c r="H1223" s="76"/>
      <c r="I1223" s="9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outlineLevel="3" x14ac:dyDescent="0.35">
      <c r="A1224" s="45"/>
      <c r="B1224" s="54"/>
      <c r="C1224" s="47">
        <f t="shared" si="211"/>
        <v>4</v>
      </c>
      <c r="D1224" s="73"/>
      <c r="E1224" s="70"/>
      <c r="F1224" s="70" t="str">
        <f>SUBSTITUTE(F1218,",6)",",12)")</f>
        <v>C(U2,1,12)</v>
      </c>
      <c r="G1224" s="73"/>
      <c r="H1224" s="76"/>
      <c r="I1224" s="9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outlineLevel="3" x14ac:dyDescent="0.35">
      <c r="A1225" s="45"/>
      <c r="B1225" s="54"/>
      <c r="C1225" s="47">
        <f t="shared" si="211"/>
        <v>4</v>
      </c>
      <c r="D1225" s="73"/>
      <c r="E1225" s="70"/>
      <c r="F1225" s="70" t="str">
        <f>SUBSTITUTE(F1219,",7)",",13)")</f>
        <v>C(U2,1,13)</v>
      </c>
      <c r="G1225" s="73"/>
      <c r="H1225" s="76"/>
      <c r="I1225" s="9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outlineLevel="3" x14ac:dyDescent="0.35">
      <c r="A1226" s="45"/>
      <c r="B1226" s="54"/>
      <c r="C1226" s="47">
        <f t="shared" si="211"/>
        <v>4</v>
      </c>
      <c r="D1226" s="73"/>
      <c r="E1226" s="70"/>
      <c r="F1226" s="70" t="s">
        <v>1948</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outlineLevel="3" x14ac:dyDescent="0.35">
      <c r="A1227" s="45"/>
      <c r="B1227" s="54"/>
      <c r="C1227" s="47">
        <f t="shared" si="211"/>
        <v>4</v>
      </c>
      <c r="D1227" s="73"/>
      <c r="E1227" s="70"/>
      <c r="F1227" s="70" t="s">
        <v>1949</v>
      </c>
      <c r="G1227" s="73"/>
      <c r="H1227" s="76" t="s">
        <v>604</v>
      </c>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outlineLevel="3" x14ac:dyDescent="0.35">
      <c r="A1228" s="45"/>
      <c r="B1228" s="54"/>
      <c r="C1228" s="47">
        <f t="shared" si="211"/>
        <v>4</v>
      </c>
      <c r="D1228" s="73"/>
      <c r="E1228" s="70"/>
      <c r="F1228" s="70" t="s">
        <v>1950</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outlineLevel="3" x14ac:dyDescent="0.35">
      <c r="A1229" s="45"/>
      <c r="B1229" s="54"/>
      <c r="C1229" s="47">
        <f t="shared" si="211"/>
        <v>4</v>
      </c>
      <c r="D1229" s="73"/>
      <c r="E1229" s="70"/>
      <c r="F1229" s="70" t="s">
        <v>1951</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outlineLevel="3" x14ac:dyDescent="0.35">
      <c r="A1230" s="45"/>
      <c r="B1230" s="54"/>
      <c r="C1230" s="47">
        <f t="shared" si="211"/>
        <v>4</v>
      </c>
      <c r="D1230" s="73"/>
      <c r="E1230" s="70"/>
      <c r="F1230" s="70" t="s">
        <v>1952</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outlineLevel="3" x14ac:dyDescent="0.35">
      <c r="A1231" s="45"/>
      <c r="B1231" s="54"/>
      <c r="C1231" s="47">
        <f t="shared" si="211"/>
        <v>4</v>
      </c>
      <c r="D1231" s="73"/>
      <c r="E1231" s="70"/>
      <c r="F1231" s="70" t="s">
        <v>1953</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outlineLevel="3" x14ac:dyDescent="0.35">
      <c r="A1232" s="45"/>
      <c r="B1232" s="54"/>
      <c r="C1232" s="47"/>
      <c r="D1232" s="73"/>
      <c r="E1232" s="70"/>
      <c r="F1232" s="70" t="s">
        <v>2401</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outlineLevel="3" x14ac:dyDescent="0.35">
      <c r="A1233" s="45"/>
      <c r="B1233" s="54"/>
      <c r="C1233" s="47"/>
      <c r="D1233" s="73"/>
      <c r="E1233" s="70"/>
      <c r="F1233" s="70" t="s">
        <v>2402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outlineLevel="3" x14ac:dyDescent="0.35">
      <c r="A1234" s="45"/>
      <c r="B1234" s="54"/>
      <c r="C1234" s="47"/>
      <c r="D1234" s="73"/>
      <c r="E1234" s="70"/>
      <c r="F1234" s="70" t="s">
        <v>2403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outlineLevel="3" x14ac:dyDescent="0.35">
      <c r="A1235" s="45"/>
      <c r="B1235" s="54"/>
      <c r="C1235" s="47">
        <f t="shared" ref="C1235:C1246" si="212">INT($C$29)+3</f>
        <v>4</v>
      </c>
      <c r="D1235" s="73"/>
      <c r="E1235" s="70"/>
      <c r="F1235" s="70" t="str">
        <f>SUBSTITUTE(F1231,",4)",",8)")</f>
        <v>C(U2,2,8)</v>
      </c>
      <c r="G1235" s="73"/>
      <c r="H1235" s="76"/>
      <c r="I1235" s="9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outlineLevel="3" x14ac:dyDescent="0.35">
      <c r="A1236" s="45"/>
      <c r="B1236" s="54"/>
      <c r="C1236" s="47">
        <f t="shared" si="212"/>
        <v>4</v>
      </c>
      <c r="D1236" s="73"/>
      <c r="E1236" s="70"/>
      <c r="F1236" s="70" t="str">
        <f>SUBSTITUTE(F1232,",5)",",9)")</f>
        <v>C(U2,2,9)</v>
      </c>
      <c r="G1236" s="73"/>
      <c r="H1236" s="76"/>
      <c r="I1236" s="9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outlineLevel="3" x14ac:dyDescent="0.35">
      <c r="A1237" s="45"/>
      <c r="B1237" s="54"/>
      <c r="C1237" s="47">
        <f t="shared" si="212"/>
        <v>4</v>
      </c>
      <c r="D1237" s="73"/>
      <c r="E1237" s="70"/>
      <c r="F1237" s="70" t="str">
        <f>SUBSTITUTE(F1233,",6)",",10)")</f>
        <v>C(U2,2,10)</v>
      </c>
      <c r="G1237" s="73"/>
      <c r="H1237" s="76"/>
      <c r="I1237" s="9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outlineLevel="3" x14ac:dyDescent="0.35">
      <c r="A1238" s="45"/>
      <c r="B1238" s="54"/>
      <c r="C1238" s="47">
        <f t="shared" si="212"/>
        <v>4</v>
      </c>
      <c r="D1238" s="73"/>
      <c r="E1238" s="70"/>
      <c r="F1238" s="70" t="str">
        <f>SUBSTITUTE(F1234,",7)",",11)")</f>
        <v>C(U2,2,11)</v>
      </c>
      <c r="G1238" s="73"/>
      <c r="H1238" s="76"/>
      <c r="I1238" s="9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outlineLevel="3" x14ac:dyDescent="0.35">
      <c r="A1239" s="45"/>
      <c r="B1239" s="54"/>
      <c r="C1239" s="47">
        <f t="shared" si="212"/>
        <v>4</v>
      </c>
      <c r="D1239" s="73"/>
      <c r="E1239" s="70"/>
      <c r="F1239" s="70" t="str">
        <f>SUBSTITUTE(F1233,",6)",",12)")</f>
        <v>C(U2,2,12)</v>
      </c>
      <c r="G1239" s="73"/>
      <c r="H1239" s="76"/>
      <c r="I1239" s="9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outlineLevel="3" x14ac:dyDescent="0.35">
      <c r="A1240" s="45"/>
      <c r="B1240" s="54"/>
      <c r="C1240" s="47">
        <f t="shared" si="212"/>
        <v>4</v>
      </c>
      <c r="D1240" s="73"/>
      <c r="E1240" s="70"/>
      <c r="F1240" s="70" t="str">
        <f>SUBSTITUTE(F1234,",7)",",13)")</f>
        <v>C(U2,2,13)</v>
      </c>
      <c r="G1240" s="73"/>
      <c r="H1240" s="76"/>
      <c r="I1240" s="9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outlineLevel="3" x14ac:dyDescent="0.35">
      <c r="A1241" s="45"/>
      <c r="B1241" s="54"/>
      <c r="C1241" s="47">
        <f t="shared" si="212"/>
        <v>4</v>
      </c>
      <c r="D1241" s="73"/>
      <c r="E1241" s="70"/>
      <c r="F1241" s="70" t="s">
        <v>1954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outlineLevel="3" x14ac:dyDescent="0.35">
      <c r="A1242" s="45"/>
      <c r="B1242" s="54"/>
      <c r="C1242" s="47">
        <f t="shared" si="212"/>
        <v>4</v>
      </c>
      <c r="D1242" s="73"/>
      <c r="E1242" s="70"/>
      <c r="F1242" s="70" t="s">
        <v>1955</v>
      </c>
      <c r="G1242" s="73"/>
      <c r="H1242" s="76" t="s">
        <v>604</v>
      </c>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outlineLevel="3" x14ac:dyDescent="0.35">
      <c r="A1243" s="45"/>
      <c r="B1243" s="54"/>
      <c r="C1243" s="47">
        <f t="shared" si="212"/>
        <v>4</v>
      </c>
      <c r="D1243" s="73"/>
      <c r="E1243" s="70"/>
      <c r="F1243" s="70" t="s">
        <v>1956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outlineLevel="3" x14ac:dyDescent="0.35">
      <c r="A1244" s="45"/>
      <c r="B1244" s="54"/>
      <c r="C1244" s="47">
        <f t="shared" si="212"/>
        <v>4</v>
      </c>
      <c r="D1244" s="73"/>
      <c r="E1244" s="70"/>
      <c r="F1244" s="70" t="s">
        <v>1957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outlineLevel="3" x14ac:dyDescent="0.35">
      <c r="A1245" s="45"/>
      <c r="B1245" s="54"/>
      <c r="C1245" s="47">
        <f t="shared" si="212"/>
        <v>4</v>
      </c>
      <c r="D1245" s="73"/>
      <c r="E1245" s="70"/>
      <c r="F1245" s="70" t="s">
        <v>1958</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outlineLevel="3" x14ac:dyDescent="0.35">
      <c r="A1246" s="45"/>
      <c r="B1246" s="54"/>
      <c r="C1246" s="47">
        <f t="shared" si="212"/>
        <v>4</v>
      </c>
      <c r="D1246" s="73"/>
      <c r="E1246" s="70"/>
      <c r="F1246" s="70" t="s">
        <v>1959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outlineLevel="3" x14ac:dyDescent="0.35">
      <c r="A1247" s="45"/>
      <c r="B1247" s="54"/>
      <c r="C1247" s="47"/>
      <c r="D1247" s="73"/>
      <c r="E1247" s="70"/>
      <c r="F1247" s="70" t="s">
        <v>2404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outlineLevel="3" x14ac:dyDescent="0.35">
      <c r="A1248" s="45"/>
      <c r="B1248" s="54"/>
      <c r="C1248" s="47"/>
      <c r="D1248" s="73"/>
      <c r="E1248" s="70"/>
      <c r="F1248" s="70" t="s">
        <v>2405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outlineLevel="3" x14ac:dyDescent="0.35">
      <c r="A1249" s="45"/>
      <c r="B1249" s="54"/>
      <c r="C1249" s="47"/>
      <c r="D1249" s="73"/>
      <c r="E1249" s="70"/>
      <c r="F1249" s="70" t="s">
        <v>2406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outlineLevel="3" x14ac:dyDescent="0.35">
      <c r="A1250" s="45"/>
      <c r="B1250" s="54"/>
      <c r="C1250" s="47">
        <f t="shared" ref="C1250:C1261" si="213">INT($C$29)+3</f>
        <v>4</v>
      </c>
      <c r="D1250" s="73"/>
      <c r="E1250" s="70"/>
      <c r="F1250" s="70" t="str">
        <f>SUBSTITUTE(F1246,",4)",",8)")</f>
        <v>C(U2,3,8)</v>
      </c>
      <c r="G1250" s="73"/>
      <c r="H1250" s="76"/>
      <c r="I1250" s="9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outlineLevel="3" x14ac:dyDescent="0.35">
      <c r="A1251" s="45"/>
      <c r="B1251" s="54"/>
      <c r="C1251" s="47">
        <f t="shared" si="213"/>
        <v>4</v>
      </c>
      <c r="D1251" s="73"/>
      <c r="E1251" s="70"/>
      <c r="F1251" s="70" t="str">
        <f>SUBSTITUTE(F1247,",5)",",9)")</f>
        <v>C(U2,3,9)</v>
      </c>
      <c r="G1251" s="73"/>
      <c r="H1251" s="76"/>
      <c r="I1251" s="9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outlineLevel="3" x14ac:dyDescent="0.35">
      <c r="A1252" s="45"/>
      <c r="B1252" s="54"/>
      <c r="C1252" s="47">
        <f t="shared" si="213"/>
        <v>4</v>
      </c>
      <c r="D1252" s="73"/>
      <c r="E1252" s="70"/>
      <c r="F1252" s="70" t="str">
        <f>SUBSTITUTE(F1248,",6)",",10)")</f>
        <v>C(U2,3,10)</v>
      </c>
      <c r="G1252" s="73"/>
      <c r="H1252" s="76"/>
      <c r="I1252" s="9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outlineLevel="3" x14ac:dyDescent="0.35">
      <c r="A1253" s="45"/>
      <c r="B1253" s="54"/>
      <c r="C1253" s="47">
        <f t="shared" si="213"/>
        <v>4</v>
      </c>
      <c r="D1253" s="73"/>
      <c r="E1253" s="70"/>
      <c r="F1253" s="70" t="str">
        <f>SUBSTITUTE(F1249,",7)",",11)")</f>
        <v>C(U2,3,11)</v>
      </c>
      <c r="G1253" s="73"/>
      <c r="H1253" s="76"/>
      <c r="I1253" s="9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outlineLevel="3" x14ac:dyDescent="0.35">
      <c r="A1254" s="45"/>
      <c r="B1254" s="54"/>
      <c r="C1254" s="47">
        <f t="shared" si="213"/>
        <v>4</v>
      </c>
      <c r="D1254" s="73"/>
      <c r="E1254" s="70"/>
      <c r="F1254" s="70" t="str">
        <f>SUBSTITUTE(F1248,",6)",",12)")</f>
        <v>C(U2,3,12)</v>
      </c>
      <c r="G1254" s="73"/>
      <c r="H1254" s="76"/>
      <c r="I1254" s="9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outlineLevel="3" x14ac:dyDescent="0.35">
      <c r="A1255" s="45"/>
      <c r="B1255" s="54"/>
      <c r="C1255" s="47">
        <f t="shared" si="213"/>
        <v>4</v>
      </c>
      <c r="D1255" s="73"/>
      <c r="E1255" s="70"/>
      <c r="F1255" s="70" t="str">
        <f>SUBSTITUTE(F1249,",7)",",13)")</f>
        <v>C(U2,3,13)</v>
      </c>
      <c r="G1255" s="73"/>
      <c r="H1255" s="76"/>
      <c r="I1255" s="9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outlineLevel="3" x14ac:dyDescent="0.35">
      <c r="A1256" s="45"/>
      <c r="B1256" s="54"/>
      <c r="C1256" s="47">
        <f t="shared" si="213"/>
        <v>4</v>
      </c>
      <c r="D1256" s="73"/>
      <c r="E1256" s="70"/>
      <c r="F1256" s="70" t="s">
        <v>1960</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outlineLevel="3" x14ac:dyDescent="0.35">
      <c r="A1257" s="45"/>
      <c r="B1257" s="54"/>
      <c r="C1257" s="47">
        <f t="shared" si="213"/>
        <v>4</v>
      </c>
      <c r="D1257" s="73"/>
      <c r="E1257" s="70"/>
      <c r="F1257" s="70" t="s">
        <v>1961</v>
      </c>
      <c r="G1257" s="73"/>
      <c r="H1257" s="76" t="s">
        <v>604</v>
      </c>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outlineLevel="3" x14ac:dyDescent="0.35">
      <c r="A1258" s="45"/>
      <c r="B1258" s="54"/>
      <c r="C1258" s="47">
        <f t="shared" si="213"/>
        <v>4</v>
      </c>
      <c r="D1258" s="73"/>
      <c r="E1258" s="70"/>
      <c r="F1258" s="70" t="s">
        <v>1962</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outlineLevel="3" x14ac:dyDescent="0.35">
      <c r="A1259" s="45"/>
      <c r="B1259" s="54"/>
      <c r="C1259" s="47">
        <f t="shared" si="213"/>
        <v>4</v>
      </c>
      <c r="D1259" s="73"/>
      <c r="E1259" s="70"/>
      <c r="F1259" s="70" t="s">
        <v>1963</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v>1</v>
      </c>
      <c r="AI1259" s="76">
        <v>1</v>
      </c>
      <c r="AJ1259" s="73"/>
      <c r="AK1259" s="57"/>
      <c r="AL1259" s="45"/>
      <c r="AM1259" s="45"/>
      <c r="AN1259" s="45"/>
    </row>
    <row r="1260" spans="1:40" outlineLevel="3" x14ac:dyDescent="0.35">
      <c r="A1260" s="45"/>
      <c r="B1260" s="54"/>
      <c r="C1260" s="47">
        <f t="shared" si="213"/>
        <v>4</v>
      </c>
      <c r="D1260" s="73"/>
      <c r="E1260" s="70"/>
      <c r="F1260" s="70" t="s">
        <v>1964</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v>1</v>
      </c>
      <c r="AI1260" s="76">
        <v>1</v>
      </c>
      <c r="AJ1260" s="73"/>
      <c r="AK1260" s="57"/>
      <c r="AL1260" s="45"/>
      <c r="AM1260" s="45"/>
      <c r="AN1260" s="45"/>
    </row>
    <row r="1261" spans="1:40" outlineLevel="3" x14ac:dyDescent="0.35">
      <c r="A1261" s="45"/>
      <c r="B1261" s="54"/>
      <c r="C1261" s="47">
        <f t="shared" si="213"/>
        <v>4</v>
      </c>
      <c r="D1261" s="73"/>
      <c r="E1261" s="70"/>
      <c r="F1261" s="70" t="s">
        <v>1965</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v>1</v>
      </c>
      <c r="AI1261" s="76">
        <v>1</v>
      </c>
      <c r="AJ1261" s="73"/>
      <c r="AK1261" s="57"/>
      <c r="AL1261" s="45"/>
      <c r="AM1261" s="45"/>
      <c r="AN1261" s="45"/>
    </row>
    <row r="1262" spans="1:40" outlineLevel="3" x14ac:dyDescent="0.35">
      <c r="A1262" s="45"/>
      <c r="B1262" s="54"/>
      <c r="C1262" s="47"/>
      <c r="D1262" s="73"/>
      <c r="E1262" s="70"/>
      <c r="F1262" s="70" t="s">
        <v>2428</v>
      </c>
      <c r="G1262" s="73"/>
      <c r="H1262" s="76"/>
      <c r="I1262" s="7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v>1</v>
      </c>
      <c r="AI1262" s="76">
        <v>1</v>
      </c>
      <c r="AJ1262" s="73"/>
      <c r="AK1262" s="57"/>
      <c r="AL1262" s="45"/>
      <c r="AM1262" s="45"/>
      <c r="AN1262" s="45"/>
    </row>
    <row r="1263" spans="1:40" outlineLevel="3" x14ac:dyDescent="0.35">
      <c r="A1263" s="45"/>
      <c r="B1263" s="54"/>
      <c r="C1263" s="47"/>
      <c r="D1263" s="73"/>
      <c r="E1263" s="70"/>
      <c r="F1263" s="70" t="s">
        <v>2429</v>
      </c>
      <c r="G1263" s="73"/>
      <c r="H1263" s="76"/>
      <c r="I1263" s="76"/>
      <c r="J1263" s="76"/>
      <c r="K1263" s="76"/>
      <c r="L1263" s="76"/>
      <c r="M1263" s="76"/>
      <c r="N1263" s="76"/>
      <c r="O1263" s="76"/>
      <c r="P1263" s="76"/>
      <c r="Q1263" s="76"/>
      <c r="R1263" s="76"/>
      <c r="S1263" s="76"/>
      <c r="T1263" s="76"/>
      <c r="U1263" s="76"/>
      <c r="V1263" s="76"/>
      <c r="W1263" s="76"/>
      <c r="X1263" s="76"/>
      <c r="Y1263" s="76"/>
      <c r="Z1263" s="76"/>
      <c r="AA1263" s="76"/>
      <c r="AB1263" s="76"/>
      <c r="AC1263" s="76"/>
      <c r="AD1263" s="76"/>
      <c r="AE1263" s="76"/>
      <c r="AF1263" s="76"/>
      <c r="AG1263" s="76"/>
      <c r="AH1263" s="76">
        <v>1</v>
      </c>
      <c r="AI1263" s="76">
        <v>1</v>
      </c>
      <c r="AJ1263" s="73"/>
      <c r="AK1263" s="57"/>
      <c r="AL1263" s="45"/>
      <c r="AM1263" s="45"/>
      <c r="AN1263" s="45"/>
    </row>
    <row r="1264" spans="1:40" outlineLevel="3" x14ac:dyDescent="0.35">
      <c r="A1264" s="45"/>
      <c r="B1264" s="54"/>
      <c r="C1264" s="47"/>
      <c r="D1264" s="73"/>
      <c r="E1264" s="70"/>
      <c r="F1264" s="70" t="s">
        <v>2430</v>
      </c>
      <c r="G1264" s="73"/>
      <c r="H1264" s="76"/>
      <c r="I1264" s="76"/>
      <c r="J1264" s="76"/>
      <c r="K1264" s="76"/>
      <c r="L1264" s="76"/>
      <c r="M1264" s="76"/>
      <c r="N1264" s="76"/>
      <c r="O1264" s="76"/>
      <c r="P1264" s="76"/>
      <c r="Q1264" s="76"/>
      <c r="R1264" s="76"/>
      <c r="S1264" s="76"/>
      <c r="T1264" s="76"/>
      <c r="U1264" s="76"/>
      <c r="V1264" s="76"/>
      <c r="W1264" s="76"/>
      <c r="X1264" s="76"/>
      <c r="Y1264" s="76"/>
      <c r="Z1264" s="76"/>
      <c r="AA1264" s="76"/>
      <c r="AB1264" s="76"/>
      <c r="AC1264" s="76"/>
      <c r="AD1264" s="76"/>
      <c r="AE1264" s="76"/>
      <c r="AF1264" s="76"/>
      <c r="AG1264" s="76"/>
      <c r="AH1264" s="76">
        <v>1</v>
      </c>
      <c r="AI1264" s="76">
        <v>1</v>
      </c>
      <c r="AJ1264" s="73"/>
      <c r="AK1264" s="57"/>
      <c r="AL1264" s="45"/>
      <c r="AM1264" s="45"/>
      <c r="AN1264" s="45"/>
    </row>
    <row r="1265" spans="1:40" outlineLevel="3" x14ac:dyDescent="0.35">
      <c r="A1265" s="45"/>
      <c r="B1265" s="54"/>
      <c r="C1265" s="47">
        <f t="shared" ref="C1265:C1276" si="214">INT($C$29)+3</f>
        <v>4</v>
      </c>
      <c r="D1265" s="73"/>
      <c r="E1265" s="70"/>
      <c r="F1265" s="70" t="str">
        <f>SUBSTITUTE(F1261,",4)",",8)")</f>
        <v>C(U2,4,8)</v>
      </c>
      <c r="G1265" s="73"/>
      <c r="H1265" s="76"/>
      <c r="I1265" s="96"/>
      <c r="J1265" s="76"/>
      <c r="K1265" s="76"/>
      <c r="L1265" s="76"/>
      <c r="M1265" s="76"/>
      <c r="N1265" s="76"/>
      <c r="O1265" s="76"/>
      <c r="P1265" s="76"/>
      <c r="Q1265" s="76"/>
      <c r="R1265" s="76"/>
      <c r="S1265" s="76"/>
      <c r="T1265" s="76"/>
      <c r="U1265" s="76"/>
      <c r="V1265" s="76"/>
      <c r="W1265" s="76"/>
      <c r="X1265" s="76"/>
      <c r="Y1265" s="76"/>
      <c r="Z1265" s="76"/>
      <c r="AA1265" s="76"/>
      <c r="AB1265" s="76"/>
      <c r="AC1265" s="76"/>
      <c r="AD1265" s="76"/>
      <c r="AE1265" s="76"/>
      <c r="AF1265" s="76"/>
      <c r="AG1265" s="76"/>
      <c r="AH1265" s="76">
        <v>1</v>
      </c>
      <c r="AI1265" s="76">
        <v>1</v>
      </c>
      <c r="AJ1265" s="73"/>
      <c r="AK1265" s="57"/>
      <c r="AL1265" s="45"/>
      <c r="AM1265" s="45"/>
      <c r="AN1265" s="45"/>
    </row>
    <row r="1266" spans="1:40" outlineLevel="3" x14ac:dyDescent="0.35">
      <c r="A1266" s="45"/>
      <c r="B1266" s="54"/>
      <c r="C1266" s="47">
        <f t="shared" si="214"/>
        <v>4</v>
      </c>
      <c r="D1266" s="73"/>
      <c r="E1266" s="70"/>
      <c r="F1266" s="70" t="str">
        <f>SUBSTITUTE(F1262,",5)",",9)")</f>
        <v>C(U2,4,9)</v>
      </c>
      <c r="G1266" s="73"/>
      <c r="H1266" s="76"/>
      <c r="I1266" s="96"/>
      <c r="J1266" s="76"/>
      <c r="K1266" s="76"/>
      <c r="L1266" s="76"/>
      <c r="M1266" s="76"/>
      <c r="N1266" s="76"/>
      <c r="O1266" s="76"/>
      <c r="P1266" s="76"/>
      <c r="Q1266" s="76"/>
      <c r="R1266" s="76"/>
      <c r="S1266" s="76"/>
      <c r="T1266" s="76"/>
      <c r="U1266" s="76"/>
      <c r="V1266" s="76"/>
      <c r="W1266" s="76"/>
      <c r="X1266" s="76"/>
      <c r="Y1266" s="76"/>
      <c r="Z1266" s="76"/>
      <c r="AA1266" s="76"/>
      <c r="AB1266" s="76"/>
      <c r="AC1266" s="76"/>
      <c r="AD1266" s="76"/>
      <c r="AE1266" s="76"/>
      <c r="AF1266" s="76"/>
      <c r="AG1266" s="76"/>
      <c r="AH1266" s="76">
        <v>1</v>
      </c>
      <c r="AI1266" s="76">
        <v>1</v>
      </c>
      <c r="AJ1266" s="73"/>
      <c r="AK1266" s="57"/>
      <c r="AL1266" s="45"/>
      <c r="AM1266" s="45"/>
      <c r="AN1266" s="45"/>
    </row>
    <row r="1267" spans="1:40" outlineLevel="3" x14ac:dyDescent="0.35">
      <c r="A1267" s="45"/>
      <c r="B1267" s="54"/>
      <c r="C1267" s="47">
        <f t="shared" si="214"/>
        <v>4</v>
      </c>
      <c r="D1267" s="73"/>
      <c r="E1267" s="70"/>
      <c r="F1267" s="70" t="str">
        <f>SUBSTITUTE(F1263,",6)",",10)")</f>
        <v>C(U2,4,10)</v>
      </c>
      <c r="G1267" s="73"/>
      <c r="H1267" s="76"/>
      <c r="I1267" s="96"/>
      <c r="J1267" s="76"/>
      <c r="K1267" s="76"/>
      <c r="L1267" s="76"/>
      <c r="M1267" s="76"/>
      <c r="N1267" s="76"/>
      <c r="O1267" s="76"/>
      <c r="P1267" s="76"/>
      <c r="Q1267" s="76"/>
      <c r="R1267" s="76"/>
      <c r="S1267" s="76"/>
      <c r="T1267" s="76"/>
      <c r="U1267" s="76"/>
      <c r="V1267" s="76"/>
      <c r="W1267" s="76"/>
      <c r="X1267" s="76"/>
      <c r="Y1267" s="76"/>
      <c r="Z1267" s="76"/>
      <c r="AA1267" s="76"/>
      <c r="AB1267" s="76"/>
      <c r="AC1267" s="76"/>
      <c r="AD1267" s="76"/>
      <c r="AE1267" s="76"/>
      <c r="AF1267" s="76"/>
      <c r="AG1267" s="76"/>
      <c r="AH1267" s="76">
        <v>1</v>
      </c>
      <c r="AI1267" s="76">
        <v>1</v>
      </c>
      <c r="AJ1267" s="73"/>
      <c r="AK1267" s="57"/>
      <c r="AL1267" s="45"/>
      <c r="AM1267" s="45"/>
      <c r="AN1267" s="45"/>
    </row>
    <row r="1268" spans="1:40" outlineLevel="3" x14ac:dyDescent="0.35">
      <c r="A1268" s="45"/>
      <c r="B1268" s="54"/>
      <c r="C1268" s="47">
        <f t="shared" si="214"/>
        <v>4</v>
      </c>
      <c r="D1268" s="73"/>
      <c r="E1268" s="70"/>
      <c r="F1268" s="70" t="str">
        <f>SUBSTITUTE(F1264,",7)",",11)")</f>
        <v>C(U2,4,11)</v>
      </c>
      <c r="G1268" s="73"/>
      <c r="H1268" s="76"/>
      <c r="I1268" s="9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outlineLevel="3" x14ac:dyDescent="0.35">
      <c r="A1269" s="45"/>
      <c r="B1269" s="54"/>
      <c r="C1269" s="47">
        <f t="shared" si="214"/>
        <v>4</v>
      </c>
      <c r="D1269" s="73"/>
      <c r="E1269" s="70"/>
      <c r="F1269" s="70" t="str">
        <f>SUBSTITUTE(F1263,",6)",",12)")</f>
        <v>C(U2,4,12)</v>
      </c>
      <c r="G1269" s="73"/>
      <c r="H1269" s="76"/>
      <c r="I1269" s="9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outlineLevel="3" x14ac:dyDescent="0.35">
      <c r="A1270" s="45"/>
      <c r="B1270" s="54"/>
      <c r="C1270" s="47">
        <f t="shared" si="214"/>
        <v>4</v>
      </c>
      <c r="D1270" s="73"/>
      <c r="E1270" s="70"/>
      <c r="F1270" s="70" t="str">
        <f>SUBSTITUTE(F1264,",7)",",13)")</f>
        <v>C(U2,4,13)</v>
      </c>
      <c r="G1270" s="73"/>
      <c r="H1270" s="76"/>
      <c r="I1270" s="9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outlineLevel="3" x14ac:dyDescent="0.35">
      <c r="A1271" s="45"/>
      <c r="B1271" s="54"/>
      <c r="C1271" s="47">
        <f t="shared" si="214"/>
        <v>4</v>
      </c>
      <c r="D1271" s="73"/>
      <c r="E1271" s="70"/>
      <c r="F1271" s="70" t="s">
        <v>1966</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outlineLevel="3" x14ac:dyDescent="0.35">
      <c r="A1272" s="45"/>
      <c r="B1272" s="54"/>
      <c r="C1272" s="47">
        <f t="shared" si="214"/>
        <v>4</v>
      </c>
      <c r="D1272" s="73"/>
      <c r="E1272" s="70"/>
      <c r="F1272" s="70" t="s">
        <v>1967</v>
      </c>
      <c r="G1272" s="73"/>
      <c r="H1272" s="76" t="s">
        <v>604</v>
      </c>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outlineLevel="3" x14ac:dyDescent="0.35">
      <c r="A1273" s="45"/>
      <c r="B1273" s="54"/>
      <c r="C1273" s="47">
        <f t="shared" si="214"/>
        <v>4</v>
      </c>
      <c r="D1273" s="73"/>
      <c r="E1273" s="70"/>
      <c r="F1273" s="70" t="s">
        <v>1968</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outlineLevel="3" x14ac:dyDescent="0.35">
      <c r="A1274" s="45"/>
      <c r="B1274" s="54"/>
      <c r="C1274" s="47">
        <f t="shared" si="214"/>
        <v>4</v>
      </c>
      <c r="D1274" s="73"/>
      <c r="E1274" s="70"/>
      <c r="F1274" s="70" t="s">
        <v>1969</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outlineLevel="3" x14ac:dyDescent="0.35">
      <c r="A1275" s="45"/>
      <c r="B1275" s="54"/>
      <c r="C1275" s="47">
        <f t="shared" si="214"/>
        <v>4</v>
      </c>
      <c r="D1275" s="73"/>
      <c r="E1275" s="70"/>
      <c r="F1275" s="70" t="s">
        <v>1970</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outlineLevel="3" x14ac:dyDescent="0.35">
      <c r="A1276" s="45"/>
      <c r="B1276" s="54"/>
      <c r="C1276" s="47">
        <f t="shared" si="214"/>
        <v>4</v>
      </c>
      <c r="D1276" s="73"/>
      <c r="E1276" s="70"/>
      <c r="F1276" s="70" t="s">
        <v>1971</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outlineLevel="3" x14ac:dyDescent="0.35">
      <c r="A1277" s="45"/>
      <c r="B1277" s="54"/>
      <c r="C1277" s="47"/>
      <c r="D1277" s="73"/>
      <c r="E1277" s="70"/>
      <c r="F1277" s="70" t="s">
        <v>2431</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outlineLevel="3" x14ac:dyDescent="0.35">
      <c r="A1278" s="45"/>
      <c r="B1278" s="54"/>
      <c r="C1278" s="47"/>
      <c r="D1278" s="73"/>
      <c r="E1278" s="70"/>
      <c r="F1278" s="70" t="s">
        <v>2432</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outlineLevel="3" x14ac:dyDescent="0.35">
      <c r="A1279" s="45"/>
      <c r="B1279" s="54"/>
      <c r="C1279" s="47"/>
      <c r="D1279" s="73"/>
      <c r="E1279" s="70"/>
      <c r="F1279" s="70" t="s">
        <v>2433</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outlineLevel="3" x14ac:dyDescent="0.35">
      <c r="A1280" s="45"/>
      <c r="B1280" s="54"/>
      <c r="C1280" s="47">
        <f t="shared" ref="C1280:C1291" si="215">INT($C$29)+3</f>
        <v>4</v>
      </c>
      <c r="D1280" s="73"/>
      <c r="E1280" s="70"/>
      <c r="F1280" s="70" t="str">
        <f>SUBSTITUTE(F1276,",4)",",8)")</f>
        <v>C(U2,5,8)</v>
      </c>
      <c r="G1280" s="73"/>
      <c r="H1280" s="76"/>
      <c r="I1280" s="9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outlineLevel="3" x14ac:dyDescent="0.35">
      <c r="A1281" s="45"/>
      <c r="B1281" s="54"/>
      <c r="C1281" s="47">
        <f t="shared" si="215"/>
        <v>4</v>
      </c>
      <c r="D1281" s="73"/>
      <c r="E1281" s="70"/>
      <c r="F1281" s="70" t="str">
        <f>SUBSTITUTE(F1277,",5)",",9)")</f>
        <v>C(U2,5,9)</v>
      </c>
      <c r="G1281" s="73"/>
      <c r="H1281" s="76"/>
      <c r="I1281" s="9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outlineLevel="3" x14ac:dyDescent="0.35">
      <c r="A1282" s="45"/>
      <c r="B1282" s="54"/>
      <c r="C1282" s="47">
        <f t="shared" si="215"/>
        <v>4</v>
      </c>
      <c r="D1282" s="73"/>
      <c r="E1282" s="70"/>
      <c r="F1282" s="70" t="str">
        <f>SUBSTITUTE(F1278,",6)",",10)")</f>
        <v>C(U2,5,10)</v>
      </c>
      <c r="G1282" s="73"/>
      <c r="H1282" s="76"/>
      <c r="I1282" s="9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outlineLevel="3" x14ac:dyDescent="0.35">
      <c r="A1283" s="45"/>
      <c r="B1283" s="54"/>
      <c r="C1283" s="47">
        <f t="shared" si="215"/>
        <v>4</v>
      </c>
      <c r="D1283" s="73"/>
      <c r="E1283" s="70"/>
      <c r="F1283" s="70" t="str">
        <f>SUBSTITUTE(F1279,",7)",",11)")</f>
        <v>C(U2,5,11)</v>
      </c>
      <c r="G1283" s="73"/>
      <c r="H1283" s="76"/>
      <c r="I1283" s="9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outlineLevel="3" x14ac:dyDescent="0.35">
      <c r="A1284" s="45"/>
      <c r="B1284" s="54"/>
      <c r="C1284" s="47">
        <f t="shared" si="215"/>
        <v>4</v>
      </c>
      <c r="D1284" s="73"/>
      <c r="E1284" s="70"/>
      <c r="F1284" s="70" t="str">
        <f>SUBSTITUTE(F1278,",6)",",12)")</f>
        <v>C(U2,5,12)</v>
      </c>
      <c r="G1284" s="73"/>
      <c r="H1284" s="76"/>
      <c r="I1284" s="9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outlineLevel="3" x14ac:dyDescent="0.35">
      <c r="A1285" s="45"/>
      <c r="B1285" s="54"/>
      <c r="C1285" s="47">
        <f t="shared" si="215"/>
        <v>4</v>
      </c>
      <c r="D1285" s="73"/>
      <c r="E1285" s="70"/>
      <c r="F1285" s="70" t="str">
        <f>SUBSTITUTE(F1279,",7)",",13)")</f>
        <v>C(U2,5,13)</v>
      </c>
      <c r="G1285" s="73"/>
      <c r="H1285" s="76"/>
      <c r="I1285" s="9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v>1</v>
      </c>
      <c r="AI1285" s="76">
        <v>1</v>
      </c>
      <c r="AJ1285" s="73"/>
      <c r="AK1285" s="57"/>
      <c r="AL1285" s="45"/>
      <c r="AM1285" s="45"/>
      <c r="AN1285" s="45"/>
    </row>
    <row r="1286" spans="1:40" outlineLevel="3" x14ac:dyDescent="0.35">
      <c r="A1286" s="45"/>
      <c r="B1286" s="54"/>
      <c r="C1286" s="47">
        <f t="shared" si="215"/>
        <v>4</v>
      </c>
      <c r="D1286" s="73"/>
      <c r="E1286" s="70"/>
      <c r="F1286" s="70" t="s">
        <v>1972</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v>1</v>
      </c>
      <c r="AI1286" s="76">
        <v>1</v>
      </c>
      <c r="AJ1286" s="73"/>
      <c r="AK1286" s="57"/>
      <c r="AL1286" s="45"/>
      <c r="AM1286" s="45"/>
      <c r="AN1286" s="45"/>
    </row>
    <row r="1287" spans="1:40" outlineLevel="3" x14ac:dyDescent="0.35">
      <c r="A1287" s="45"/>
      <c r="B1287" s="54"/>
      <c r="C1287" s="47">
        <f t="shared" si="215"/>
        <v>4</v>
      </c>
      <c r="D1287" s="73"/>
      <c r="E1287" s="70"/>
      <c r="F1287" s="70" t="s">
        <v>1973</v>
      </c>
      <c r="G1287" s="73"/>
      <c r="H1287" s="76" t="s">
        <v>604</v>
      </c>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v>1</v>
      </c>
      <c r="AI1287" s="76">
        <v>1</v>
      </c>
      <c r="AJ1287" s="73"/>
      <c r="AK1287" s="57"/>
      <c r="AL1287" s="45"/>
      <c r="AM1287" s="45"/>
      <c r="AN1287" s="45"/>
    </row>
    <row r="1288" spans="1:40" outlineLevel="3" x14ac:dyDescent="0.35">
      <c r="A1288" s="45"/>
      <c r="B1288" s="54"/>
      <c r="C1288" s="47">
        <f t="shared" si="215"/>
        <v>4</v>
      </c>
      <c r="D1288" s="73"/>
      <c r="E1288" s="70"/>
      <c r="F1288" s="70" t="s">
        <v>1974</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v>1</v>
      </c>
      <c r="AI1288" s="76">
        <v>1</v>
      </c>
      <c r="AJ1288" s="73"/>
      <c r="AK1288" s="57"/>
      <c r="AL1288" s="45"/>
      <c r="AM1288" s="45"/>
      <c r="AN1288" s="45"/>
    </row>
    <row r="1289" spans="1:40" outlineLevel="3" x14ac:dyDescent="0.35">
      <c r="A1289" s="45"/>
      <c r="B1289" s="54"/>
      <c r="C1289" s="47">
        <f t="shared" si="215"/>
        <v>4</v>
      </c>
      <c r="D1289" s="73"/>
      <c r="E1289" s="70"/>
      <c r="F1289" s="70" t="s">
        <v>1975</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v>1</v>
      </c>
      <c r="AI1289" s="76">
        <v>1</v>
      </c>
      <c r="AJ1289" s="73"/>
      <c r="AK1289" s="57"/>
      <c r="AL1289" s="45"/>
      <c r="AM1289" s="45"/>
      <c r="AN1289" s="45"/>
    </row>
    <row r="1290" spans="1:40" outlineLevel="3" x14ac:dyDescent="0.35">
      <c r="A1290" s="45"/>
      <c r="B1290" s="54"/>
      <c r="C1290" s="47">
        <f t="shared" si="215"/>
        <v>4</v>
      </c>
      <c r="D1290" s="73"/>
      <c r="E1290" s="70"/>
      <c r="F1290" s="70" t="s">
        <v>1976</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v>1</v>
      </c>
      <c r="AI1290" s="76">
        <v>1</v>
      </c>
      <c r="AJ1290" s="73"/>
      <c r="AK1290" s="57"/>
      <c r="AL1290" s="45"/>
      <c r="AM1290" s="45"/>
      <c r="AN1290" s="45"/>
    </row>
    <row r="1291" spans="1:40" outlineLevel="3" x14ac:dyDescent="0.35">
      <c r="A1291" s="45"/>
      <c r="B1291" s="54"/>
      <c r="C1291" s="47">
        <f t="shared" si="215"/>
        <v>4</v>
      </c>
      <c r="D1291" s="73"/>
      <c r="E1291" s="70"/>
      <c r="F1291" s="70" t="s">
        <v>1977</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v>1</v>
      </c>
      <c r="AI1291" s="76">
        <v>1</v>
      </c>
      <c r="AJ1291" s="73"/>
      <c r="AK1291" s="57"/>
      <c r="AL1291" s="45"/>
      <c r="AM1291" s="45"/>
      <c r="AN1291" s="45"/>
    </row>
    <row r="1292" spans="1:40" outlineLevel="3" x14ac:dyDescent="0.35">
      <c r="A1292" s="45"/>
      <c r="B1292" s="54"/>
      <c r="C1292" s="47"/>
      <c r="D1292" s="73"/>
      <c r="E1292" s="70"/>
      <c r="F1292" s="70" t="s">
        <v>2434</v>
      </c>
      <c r="G1292" s="73"/>
      <c r="H1292" s="76"/>
      <c r="I1292" s="76"/>
      <c r="J1292" s="76"/>
      <c r="K1292" s="76"/>
      <c r="L1292" s="76"/>
      <c r="M1292" s="76"/>
      <c r="N1292" s="76"/>
      <c r="O1292" s="76"/>
      <c r="P1292" s="76"/>
      <c r="Q1292" s="76"/>
      <c r="R1292" s="76"/>
      <c r="S1292" s="76"/>
      <c r="T1292" s="76"/>
      <c r="U1292" s="76"/>
      <c r="V1292" s="76"/>
      <c r="W1292" s="76"/>
      <c r="X1292" s="76"/>
      <c r="Y1292" s="76"/>
      <c r="Z1292" s="76"/>
      <c r="AA1292" s="76"/>
      <c r="AB1292" s="76"/>
      <c r="AC1292" s="76"/>
      <c r="AD1292" s="76"/>
      <c r="AE1292" s="76"/>
      <c r="AF1292" s="76"/>
      <c r="AG1292" s="76"/>
      <c r="AH1292" s="76">
        <v>1</v>
      </c>
      <c r="AI1292" s="76">
        <v>1</v>
      </c>
      <c r="AJ1292" s="73"/>
      <c r="AK1292" s="57"/>
      <c r="AL1292" s="45"/>
      <c r="AM1292" s="45"/>
      <c r="AN1292" s="45"/>
    </row>
    <row r="1293" spans="1:40" outlineLevel="3" x14ac:dyDescent="0.35">
      <c r="A1293" s="45"/>
      <c r="B1293" s="54"/>
      <c r="C1293" s="47"/>
      <c r="D1293" s="73"/>
      <c r="E1293" s="70"/>
      <c r="F1293" s="70" t="s">
        <v>2435</v>
      </c>
      <c r="G1293" s="73"/>
      <c r="H1293" s="76"/>
      <c r="I1293" s="76"/>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outlineLevel="3" x14ac:dyDescent="0.35">
      <c r="A1294" s="45"/>
      <c r="B1294" s="54"/>
      <c r="C1294" s="47"/>
      <c r="D1294" s="73"/>
      <c r="E1294" s="70"/>
      <c r="F1294" s="70" t="s">
        <v>2436</v>
      </c>
      <c r="G1294" s="73"/>
      <c r="H1294" s="76"/>
      <c r="I1294" s="76"/>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outlineLevel="3" x14ac:dyDescent="0.35">
      <c r="A1295" s="45"/>
      <c r="B1295" s="54"/>
      <c r="C1295" s="47">
        <f t="shared" ref="C1295:C1306" si="216">INT($C$29)+3</f>
        <v>4</v>
      </c>
      <c r="D1295" s="73"/>
      <c r="E1295" s="70"/>
      <c r="F1295" s="70" t="str">
        <f>SUBSTITUTE(F1291,",4)",",8)")</f>
        <v>C(U2,6,8)</v>
      </c>
      <c r="G1295" s="73"/>
      <c r="H1295" s="76"/>
      <c r="I1295" s="96"/>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outlineLevel="3" x14ac:dyDescent="0.35">
      <c r="A1296" s="45"/>
      <c r="B1296" s="54"/>
      <c r="C1296" s="47">
        <f t="shared" si="216"/>
        <v>4</v>
      </c>
      <c r="D1296" s="73"/>
      <c r="E1296" s="70"/>
      <c r="F1296" s="70" t="str">
        <f>SUBSTITUTE(F1292,",5)",",9)")</f>
        <v>C(U2,6,9)</v>
      </c>
      <c r="G1296" s="73"/>
      <c r="H1296" s="76"/>
      <c r="I1296" s="96"/>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outlineLevel="3" x14ac:dyDescent="0.35">
      <c r="A1297" s="45"/>
      <c r="B1297" s="54"/>
      <c r="C1297" s="47">
        <f t="shared" si="216"/>
        <v>4</v>
      </c>
      <c r="D1297" s="73"/>
      <c r="E1297" s="70"/>
      <c r="F1297" s="70" t="str">
        <f>SUBSTITUTE(F1293,",6)",",10)")</f>
        <v>C(U2,6,10)</v>
      </c>
      <c r="G1297" s="73"/>
      <c r="H1297" s="76"/>
      <c r="I1297" s="96"/>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outlineLevel="3" x14ac:dyDescent="0.35">
      <c r="A1298" s="45"/>
      <c r="B1298" s="54"/>
      <c r="C1298" s="47">
        <f t="shared" si="216"/>
        <v>4</v>
      </c>
      <c r="D1298" s="73"/>
      <c r="E1298" s="70"/>
      <c r="F1298" s="70" t="str">
        <f>SUBSTITUTE(F1294,",7)",",11)")</f>
        <v>C(U2,6,11)</v>
      </c>
      <c r="G1298" s="73"/>
      <c r="H1298" s="76"/>
      <c r="I1298" s="96"/>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outlineLevel="3" x14ac:dyDescent="0.35">
      <c r="A1299" s="45"/>
      <c r="B1299" s="54"/>
      <c r="C1299" s="47">
        <f t="shared" si="216"/>
        <v>4</v>
      </c>
      <c r="D1299" s="73"/>
      <c r="E1299" s="70"/>
      <c r="F1299" s="70" t="str">
        <f>SUBSTITUTE(F1293,",6)",",12)")</f>
        <v>C(U2,6,12)</v>
      </c>
      <c r="G1299" s="73"/>
      <c r="H1299" s="76"/>
      <c r="I1299" s="96"/>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outlineLevel="3" x14ac:dyDescent="0.35">
      <c r="A1300" s="45"/>
      <c r="B1300" s="54"/>
      <c r="C1300" s="47">
        <f t="shared" si="216"/>
        <v>4</v>
      </c>
      <c r="D1300" s="73"/>
      <c r="E1300" s="70"/>
      <c r="F1300" s="70" t="str">
        <f>SUBSTITUTE(F1294,",7)",",13)")</f>
        <v>C(U2,6,13)</v>
      </c>
      <c r="G1300" s="73"/>
      <c r="H1300" s="76"/>
      <c r="I1300" s="96"/>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outlineLevel="3" x14ac:dyDescent="0.35">
      <c r="A1301" s="45"/>
      <c r="B1301" s="54"/>
      <c r="C1301" s="47">
        <f t="shared" si="216"/>
        <v>4</v>
      </c>
      <c r="D1301" s="73"/>
      <c r="E1301" s="70"/>
      <c r="F1301" s="70" t="s">
        <v>1978</v>
      </c>
      <c r="G1301" s="73"/>
      <c r="H1301" s="76"/>
      <c r="I1301" s="76"/>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outlineLevel="3" x14ac:dyDescent="0.35">
      <c r="A1302" s="45"/>
      <c r="B1302" s="54"/>
      <c r="C1302" s="47">
        <f t="shared" si="216"/>
        <v>4</v>
      </c>
      <c r="D1302" s="73"/>
      <c r="E1302" s="70"/>
      <c r="F1302" s="70" t="s">
        <v>1979</v>
      </c>
      <c r="G1302" s="73"/>
      <c r="H1302" s="76" t="s">
        <v>604</v>
      </c>
      <c r="I1302" s="76"/>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outlineLevel="3" x14ac:dyDescent="0.35">
      <c r="A1303" s="45"/>
      <c r="B1303" s="54"/>
      <c r="C1303" s="47">
        <f t="shared" si="216"/>
        <v>4</v>
      </c>
      <c r="D1303" s="73"/>
      <c r="E1303" s="70"/>
      <c r="F1303" s="70" t="s">
        <v>1980</v>
      </c>
      <c r="G1303" s="73"/>
      <c r="H1303" s="76"/>
      <c r="I1303" s="76"/>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outlineLevel="3" x14ac:dyDescent="0.35">
      <c r="A1304" s="45"/>
      <c r="B1304" s="54"/>
      <c r="C1304" s="47">
        <f t="shared" si="216"/>
        <v>4</v>
      </c>
      <c r="D1304" s="73"/>
      <c r="E1304" s="70"/>
      <c r="F1304" s="70" t="s">
        <v>1981</v>
      </c>
      <c r="G1304" s="73"/>
      <c r="H1304" s="76"/>
      <c r="I1304" s="76"/>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3" x14ac:dyDescent="0.35">
      <c r="A1305" s="45"/>
      <c r="B1305" s="54"/>
      <c r="C1305" s="47">
        <f t="shared" si="216"/>
        <v>4</v>
      </c>
      <c r="D1305" s="73"/>
      <c r="E1305" s="70"/>
      <c r="F1305" s="70" t="s">
        <v>1982</v>
      </c>
      <c r="G1305" s="73"/>
      <c r="H1305" s="76"/>
      <c r="I1305" s="76"/>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outlineLevel="3" x14ac:dyDescent="0.35">
      <c r="A1306" s="45"/>
      <c r="B1306" s="54"/>
      <c r="C1306" s="47">
        <f t="shared" si="216"/>
        <v>4</v>
      </c>
      <c r="D1306" s="73"/>
      <c r="E1306" s="70"/>
      <c r="F1306" s="70" t="s">
        <v>1983</v>
      </c>
      <c r="G1306" s="73"/>
      <c r="H1306" s="76"/>
      <c r="I1306" s="76"/>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outlineLevel="3" x14ac:dyDescent="0.35">
      <c r="A1307" s="45"/>
      <c r="B1307" s="54"/>
      <c r="C1307" s="47"/>
      <c r="D1307" s="73"/>
      <c r="E1307" s="70"/>
      <c r="F1307" s="70" t="s">
        <v>2437</v>
      </c>
      <c r="G1307" s="73"/>
      <c r="H1307" s="76"/>
      <c r="I1307" s="76"/>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outlineLevel="3" x14ac:dyDescent="0.35">
      <c r="A1308" s="45"/>
      <c r="B1308" s="54"/>
      <c r="C1308" s="47"/>
      <c r="D1308" s="73"/>
      <c r="E1308" s="70"/>
      <c r="F1308" s="70" t="s">
        <v>2438</v>
      </c>
      <c r="G1308" s="73"/>
      <c r="H1308" s="76"/>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outlineLevel="3" x14ac:dyDescent="0.35">
      <c r="A1309" s="45"/>
      <c r="B1309" s="54"/>
      <c r="C1309" s="47"/>
      <c r="D1309" s="73"/>
      <c r="E1309" s="70"/>
      <c r="F1309" s="70" t="s">
        <v>2439</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outlineLevel="3" x14ac:dyDescent="0.35">
      <c r="A1310" s="45"/>
      <c r="B1310" s="54"/>
      <c r="C1310" s="47">
        <f>INT($C$29)+3</f>
        <v>4</v>
      </c>
      <c r="D1310" s="73"/>
      <c r="E1310" s="70"/>
      <c r="F1310" s="70" t="str">
        <f>SUBSTITUTE(F1306,",4)",",8)")</f>
        <v>C(U2,7,8)</v>
      </c>
      <c r="G1310" s="73"/>
      <c r="H1310" s="76"/>
      <c r="I1310" s="9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3" x14ac:dyDescent="0.35">
      <c r="A1311" s="45"/>
      <c r="B1311" s="54"/>
      <c r="C1311" s="47">
        <f>INT($C$29)+3</f>
        <v>4</v>
      </c>
      <c r="D1311" s="73"/>
      <c r="E1311" s="70"/>
      <c r="F1311" s="70" t="str">
        <f>SUBSTITUTE(F1307,",5)",",9)")</f>
        <v>C(U2,7,9)</v>
      </c>
      <c r="G1311" s="73"/>
      <c r="H1311" s="76"/>
      <c r="I1311" s="9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3" x14ac:dyDescent="0.35">
      <c r="A1312" s="45"/>
      <c r="B1312" s="54"/>
      <c r="C1312" s="47">
        <f>INT($C$29)+3</f>
        <v>4</v>
      </c>
      <c r="D1312" s="73"/>
      <c r="E1312" s="70"/>
      <c r="F1312" s="70" t="str">
        <f>SUBSTITUTE(F1308,",6)",",10)")</f>
        <v>C(U2,7,10)</v>
      </c>
      <c r="G1312" s="73"/>
      <c r="H1312" s="76"/>
      <c r="I1312" s="9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3" x14ac:dyDescent="0.35">
      <c r="A1313" s="45"/>
      <c r="B1313" s="54"/>
      <c r="C1313" s="47">
        <f>INT($C$29)+3</f>
        <v>4</v>
      </c>
      <c r="D1313" s="73"/>
      <c r="E1313" s="70"/>
      <c r="F1313" s="70" t="str">
        <f>SUBSTITUTE(F1309,",7)",",11)")</f>
        <v>C(U2,7,11)</v>
      </c>
      <c r="G1313" s="73"/>
      <c r="H1313" s="76"/>
      <c r="I1313" s="9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3" x14ac:dyDescent="0.35">
      <c r="A1314" s="45"/>
      <c r="B1314" s="54"/>
      <c r="C1314" s="47">
        <f t="shared" ref="C1314:C1315" si="217">INT($C$29)+3</f>
        <v>4</v>
      </c>
      <c r="D1314" s="73"/>
      <c r="E1314" s="70"/>
      <c r="F1314" s="70" t="str">
        <f>SUBSTITUTE(F1308,",6)",",12)")</f>
        <v>C(U2,7,12)</v>
      </c>
      <c r="G1314" s="73"/>
      <c r="H1314" s="76"/>
      <c r="I1314" s="9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3" x14ac:dyDescent="0.35">
      <c r="A1315" s="45"/>
      <c r="B1315" s="54"/>
      <c r="C1315" s="47">
        <f t="shared" si="217"/>
        <v>4</v>
      </c>
      <c r="D1315" s="73"/>
      <c r="E1315" s="70"/>
      <c r="F1315" s="70" t="str">
        <f>SUBSTITUTE(F1309,",7)",",13)")</f>
        <v>C(U2,7,13)</v>
      </c>
      <c r="G1315" s="73"/>
      <c r="H1315" s="76"/>
      <c r="I1315" s="9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35">
      <c r="A1316" s="45"/>
      <c r="B1316" s="54"/>
      <c r="C1316" s="47">
        <f>INT($C$29)+3</f>
        <v>4</v>
      </c>
      <c r="D1316" s="73"/>
      <c r="E1316" s="402"/>
      <c r="F1316" s="402" t="s">
        <v>1984</v>
      </c>
      <c r="G1316" s="73"/>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2" x14ac:dyDescent="0.35">
      <c r="A1317" s="45"/>
      <c r="B1317" s="54"/>
      <c r="C1317" s="47">
        <f>INT($C$29)+2</f>
        <v>3</v>
      </c>
      <c r="D1317" s="73"/>
      <c r="E1317" s="406"/>
      <c r="F1317" s="406" t="s">
        <v>1985</v>
      </c>
      <c r="G1317" s="407"/>
      <c r="H1317" s="181" t="s">
        <v>1986</v>
      </c>
      <c r="I1317" s="181"/>
      <c r="J1317" s="181"/>
      <c r="K1317" s="181"/>
      <c r="L1317" s="181"/>
      <c r="M1317" s="181"/>
      <c r="N1317" s="181"/>
      <c r="O1317" s="181"/>
      <c r="P1317" s="181"/>
      <c r="Q1317" s="181"/>
      <c r="R1317" s="181"/>
      <c r="S1317" s="181"/>
      <c r="T1317" s="181"/>
      <c r="U1317" s="408">
        <v>3.157</v>
      </c>
      <c r="V1317" s="409">
        <f>U1317</f>
        <v>3.157</v>
      </c>
      <c r="W1317" s="409">
        <f t="shared" ref="W1317:X1319" si="218">U1317</f>
        <v>3.157</v>
      </c>
      <c r="X1317" s="409">
        <f t="shared" si="218"/>
        <v>3.157</v>
      </c>
      <c r="Y1317" s="409">
        <f>V1317</f>
        <v>3.157</v>
      </c>
      <c r="Z1317" s="409">
        <f>AA1317</f>
        <v>2.9750000000000001</v>
      </c>
      <c r="AA1317" s="408">
        <v>2.9750000000000001</v>
      </c>
      <c r="AB1317" s="409">
        <f t="shared" ref="AB1317:AD1319" si="219">AA1317</f>
        <v>2.9750000000000001</v>
      </c>
      <c r="AC1317" s="409">
        <f t="shared" si="219"/>
        <v>2.9750000000000001</v>
      </c>
      <c r="AD1317" s="409">
        <f t="shared" si="219"/>
        <v>2.9750000000000001</v>
      </c>
      <c r="AE1317" s="181"/>
      <c r="AF1317" s="408" t="s">
        <v>2589</v>
      </c>
      <c r="AG1317" s="181"/>
      <c r="AH1317" s="408">
        <v>1</v>
      </c>
      <c r="AI1317" s="408">
        <v>1</v>
      </c>
      <c r="AJ1317" s="73"/>
      <c r="AK1317" s="57"/>
      <c r="AL1317" s="45"/>
      <c r="AM1317" s="45"/>
      <c r="AN1317" s="45"/>
    </row>
    <row r="1318" spans="1:40" outlineLevel="2" x14ac:dyDescent="0.35">
      <c r="A1318" s="45"/>
      <c r="B1318" s="54"/>
      <c r="C1318" s="47">
        <f>INT($C$29)+2</f>
        <v>3</v>
      </c>
      <c r="D1318" s="73"/>
      <c r="E1318" s="70"/>
      <c r="F1318" s="70" t="s">
        <v>1987</v>
      </c>
      <c r="G1318" s="234"/>
      <c r="H1318" s="76" t="s">
        <v>1988</v>
      </c>
      <c r="I1318" s="76"/>
      <c r="J1318" s="76"/>
      <c r="K1318" s="76"/>
      <c r="L1318" s="76"/>
      <c r="M1318" s="76"/>
      <c r="N1318" s="76"/>
      <c r="O1318" s="76"/>
      <c r="P1318" s="76"/>
      <c r="Q1318" s="76"/>
      <c r="R1318" s="76"/>
      <c r="S1318" s="76"/>
      <c r="T1318" s="76"/>
      <c r="U1318" s="97">
        <v>-0.28570000000000001</v>
      </c>
      <c r="V1318" s="255">
        <f>U1318</f>
        <v>-0.28570000000000001</v>
      </c>
      <c r="W1318" s="255">
        <f t="shared" si="218"/>
        <v>-0.28570000000000001</v>
      </c>
      <c r="X1318" s="255">
        <f t="shared" si="218"/>
        <v>-0.28570000000000001</v>
      </c>
      <c r="Y1318" s="255">
        <f>V1318</f>
        <v>-0.28570000000000001</v>
      </c>
      <c r="Z1318" s="404">
        <f>AA1318</f>
        <v>-0.23649999999999999</v>
      </c>
      <c r="AA1318" s="97">
        <v>-0.23649999999999999</v>
      </c>
      <c r="AB1318" s="404">
        <f t="shared" si="219"/>
        <v>-0.23649999999999999</v>
      </c>
      <c r="AC1318" s="404">
        <f t="shared" si="219"/>
        <v>-0.23649999999999999</v>
      </c>
      <c r="AD1318" s="404">
        <f t="shared" si="219"/>
        <v>-0.23649999999999999</v>
      </c>
      <c r="AE1318" s="76"/>
      <c r="AF1318" s="76"/>
      <c r="AG1318" s="76"/>
      <c r="AH1318" s="97">
        <v>1</v>
      </c>
      <c r="AI1318" s="97">
        <v>1</v>
      </c>
      <c r="AJ1318" s="73"/>
      <c r="AK1318" s="57"/>
      <c r="AL1318" s="45"/>
      <c r="AM1318" s="45"/>
      <c r="AN1318" s="45"/>
    </row>
    <row r="1319" spans="1:40" outlineLevel="2" collapsed="1" x14ac:dyDescent="0.35">
      <c r="A1319" s="45"/>
      <c r="B1319" s="54"/>
      <c r="C1319" s="47">
        <f>INT($C$29)+2</f>
        <v>3</v>
      </c>
      <c r="D1319" s="73"/>
      <c r="E1319" s="70"/>
      <c r="F1319" s="70" t="s">
        <v>1989</v>
      </c>
      <c r="G1319" s="234"/>
      <c r="H1319" s="76" t="s">
        <v>1990</v>
      </c>
      <c r="I1319" s="76"/>
      <c r="J1319" s="76"/>
      <c r="K1319" s="76"/>
      <c r="L1319" s="76"/>
      <c r="M1319" s="76"/>
      <c r="N1319" s="76"/>
      <c r="O1319" s="76"/>
      <c r="P1319" s="76"/>
      <c r="Q1319" s="76"/>
      <c r="R1319" s="76"/>
      <c r="S1319" s="76"/>
      <c r="T1319" s="76"/>
      <c r="U1319" s="97">
        <v>-7.9950000000000004E-3</v>
      </c>
      <c r="V1319" s="255">
        <f>U1319</f>
        <v>-7.9950000000000004E-3</v>
      </c>
      <c r="W1319" s="255">
        <f t="shared" si="218"/>
        <v>-7.9950000000000004E-3</v>
      </c>
      <c r="X1319" s="255">
        <f t="shared" si="218"/>
        <v>-7.9950000000000004E-3</v>
      </c>
      <c r="Y1319" s="255">
        <f>V1319</f>
        <v>-7.9950000000000004E-3</v>
      </c>
      <c r="Z1319" s="404">
        <f>AA1319</f>
        <v>-1.761E-3</v>
      </c>
      <c r="AA1319" s="97">
        <v>-1.761E-3</v>
      </c>
      <c r="AB1319" s="404">
        <f t="shared" si="219"/>
        <v>-1.761E-3</v>
      </c>
      <c r="AC1319" s="404">
        <f t="shared" si="219"/>
        <v>-1.761E-3</v>
      </c>
      <c r="AD1319" s="404">
        <f t="shared" si="219"/>
        <v>-1.761E-3</v>
      </c>
      <c r="AE1319" s="76"/>
      <c r="AF1319" s="76"/>
      <c r="AG1319" s="76"/>
      <c r="AH1319" s="97">
        <v>1</v>
      </c>
      <c r="AI1319" s="97">
        <v>1</v>
      </c>
      <c r="AJ1319" s="73"/>
      <c r="AK1319" s="57"/>
      <c r="AL1319" s="45"/>
      <c r="AM1319" s="45"/>
      <c r="AN1319" s="45"/>
    </row>
    <row r="1320" spans="1:40" hidden="1" outlineLevel="3" x14ac:dyDescent="0.35">
      <c r="A1320" s="45"/>
      <c r="B1320" s="54"/>
      <c r="C1320" s="47">
        <f>INT($C$29)+3</f>
        <v>4</v>
      </c>
      <c r="D1320" s="73"/>
      <c r="E1320" s="70"/>
      <c r="F1320" s="70" t="s">
        <v>1991</v>
      </c>
      <c r="G1320" s="234"/>
      <c r="H1320" s="76" t="s">
        <v>2492</v>
      </c>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2" x14ac:dyDescent="0.35">
      <c r="A1321" s="45"/>
      <c r="B1321" s="54"/>
      <c r="C1321" s="47">
        <f>INT($C$29)+2</f>
        <v>3</v>
      </c>
      <c r="D1321" s="73"/>
      <c r="E1321" s="70"/>
      <c r="F1321" s="70" t="s">
        <v>1993</v>
      </c>
      <c r="G1321" s="234"/>
      <c r="H1321" s="76" t="s">
        <v>1992</v>
      </c>
      <c r="I1321" s="76"/>
      <c r="J1321" s="76"/>
      <c r="K1321" s="76"/>
      <c r="L1321" s="76"/>
      <c r="M1321" s="76"/>
      <c r="N1321" s="76"/>
      <c r="O1321" s="76"/>
      <c r="P1321" s="76"/>
      <c r="Q1321" s="76"/>
      <c r="R1321" s="76"/>
      <c r="S1321" s="76"/>
      <c r="T1321" s="76"/>
      <c r="U1321" s="97">
        <f>0.001337*0</f>
        <v>0</v>
      </c>
      <c r="V1321" s="255">
        <f>U1321</f>
        <v>0</v>
      </c>
      <c r="W1321" s="255">
        <f>U1321</f>
        <v>0</v>
      </c>
      <c r="X1321" s="255">
        <f>V1321</f>
        <v>0</v>
      </c>
      <c r="Y1321" s="255">
        <f>V1321</f>
        <v>0</v>
      </c>
      <c r="Z1321" s="404">
        <f>AA1321</f>
        <v>0</v>
      </c>
      <c r="AA1321" s="97">
        <v>0</v>
      </c>
      <c r="AB1321" s="404">
        <f t="shared" ref="AB1321:AD1322" si="220">AA1321</f>
        <v>0</v>
      </c>
      <c r="AC1321" s="404">
        <f t="shared" si="220"/>
        <v>0</v>
      </c>
      <c r="AD1321" s="404">
        <f t="shared" si="220"/>
        <v>0</v>
      </c>
      <c r="AE1321" s="76"/>
      <c r="AF1321" s="76"/>
      <c r="AG1321" s="76"/>
      <c r="AH1321" s="97">
        <v>1</v>
      </c>
      <c r="AI1321" s="97">
        <v>1</v>
      </c>
      <c r="AJ1321" s="73"/>
      <c r="AK1321" s="57"/>
      <c r="AL1321" s="45"/>
      <c r="AM1321" s="45"/>
      <c r="AN1321" s="45"/>
    </row>
    <row r="1322" spans="1:40" outlineLevel="2" collapsed="1" x14ac:dyDescent="0.35">
      <c r="A1322" s="45"/>
      <c r="B1322" s="54"/>
      <c r="C1322" s="47">
        <f>INT($C$29)+2</f>
        <v>3</v>
      </c>
      <c r="D1322" s="73"/>
      <c r="E1322" s="70"/>
      <c r="F1322" s="70" t="s">
        <v>2495</v>
      </c>
      <c r="G1322" s="234"/>
      <c r="H1322" s="76" t="s">
        <v>1994</v>
      </c>
      <c r="I1322" s="76"/>
      <c r="J1322" s="76"/>
      <c r="K1322" s="76"/>
      <c r="L1322" s="76"/>
      <c r="M1322" s="76"/>
      <c r="N1322" s="76"/>
      <c r="O1322" s="76"/>
      <c r="P1322" s="76"/>
      <c r="Q1322" s="76"/>
      <c r="R1322" s="76"/>
      <c r="S1322" s="76"/>
      <c r="T1322" s="76"/>
      <c r="U1322" s="97">
        <f>-0.000000272*0</f>
        <v>0</v>
      </c>
      <c r="V1322" s="255">
        <f>U1322</f>
        <v>0</v>
      </c>
      <c r="W1322" s="255">
        <f>U1322</f>
        <v>0</v>
      </c>
      <c r="X1322" s="255">
        <f>V1322</f>
        <v>0</v>
      </c>
      <c r="Y1322" s="255">
        <f>V1322</f>
        <v>0</v>
      </c>
      <c r="Z1322" s="404">
        <f>AA1322</f>
        <v>0</v>
      </c>
      <c r="AA1322" s="97">
        <v>0</v>
      </c>
      <c r="AB1322" s="404">
        <f t="shared" si="220"/>
        <v>0</v>
      </c>
      <c r="AC1322" s="404">
        <f t="shared" si="220"/>
        <v>0</v>
      </c>
      <c r="AD1322" s="404">
        <f t="shared" si="220"/>
        <v>0</v>
      </c>
      <c r="AE1322" s="76"/>
      <c r="AF1322" s="76"/>
      <c r="AG1322" s="76"/>
      <c r="AH1322" s="97">
        <v>1</v>
      </c>
      <c r="AI1322" s="97">
        <v>1</v>
      </c>
      <c r="AJ1322" s="73"/>
      <c r="AK1322" s="57"/>
      <c r="AL1322" s="45"/>
      <c r="AM1322" s="45"/>
      <c r="AN1322" s="45"/>
    </row>
    <row r="1323" spans="1:40" hidden="1" outlineLevel="3" x14ac:dyDescent="0.35">
      <c r="A1323" s="45"/>
      <c r="B1323" s="54"/>
      <c r="C1323" s="47">
        <f t="shared" ref="C1323:C1330" si="221">INT($C$29)+3</f>
        <v>4</v>
      </c>
      <c r="D1323" s="73"/>
      <c r="E1323" s="70"/>
      <c r="F1323" s="70" t="s">
        <v>2496</v>
      </c>
      <c r="G1323" s="234"/>
      <c r="H1323" s="76" t="s">
        <v>2493</v>
      </c>
      <c r="I1323" s="9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221"/>
        <v>4</v>
      </c>
      <c r="D1324" s="73"/>
      <c r="E1324" s="70"/>
      <c r="F1324" s="70" t="s">
        <v>2497</v>
      </c>
      <c r="G1324" s="234"/>
      <c r="H1324" s="76" t="s">
        <v>2494</v>
      </c>
      <c r="I1324" s="9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221"/>
        <v>4</v>
      </c>
      <c r="D1325" s="73"/>
      <c r="E1325" s="70"/>
      <c r="F1325" s="70" t="str">
        <f>SUBSTITUTE(F1321,",4)",",8)")</f>
        <v>C(U2,8,8)</v>
      </c>
      <c r="G1325" s="73"/>
      <c r="H1325" s="76" t="s">
        <v>2747</v>
      </c>
      <c r="I1325" s="9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221"/>
        <v>4</v>
      </c>
      <c r="D1326" s="73"/>
      <c r="E1326" s="70"/>
      <c r="F1326" s="70" t="str">
        <f>SUBSTITUTE(F1322,",5)",",9)")</f>
        <v>C(U2,8,9)</v>
      </c>
      <c r="G1326" s="73"/>
      <c r="H1326" s="76" t="s">
        <v>2748</v>
      </c>
      <c r="I1326" s="9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221"/>
        <v>4</v>
      </c>
      <c r="D1327" s="73"/>
      <c r="E1327" s="70"/>
      <c r="F1327" s="70" t="str">
        <f>SUBSTITUTE(F1323,",6)",",10)")</f>
        <v>C(U2,8,10)</v>
      </c>
      <c r="G1327" s="73"/>
      <c r="H1327" s="76" t="s">
        <v>2749</v>
      </c>
      <c r="I1327" s="9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221"/>
        <v>4</v>
      </c>
      <c r="D1328" s="73"/>
      <c r="E1328" s="70"/>
      <c r="F1328" s="70" t="str">
        <f>SUBSTITUTE(F1324,",7)",",11)")</f>
        <v>C(U2,8,11)</v>
      </c>
      <c r="G1328" s="73"/>
      <c r="H1328" s="76" t="s">
        <v>2750</v>
      </c>
      <c r="I1328" s="9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221"/>
        <v>4</v>
      </c>
      <c r="D1329" s="73"/>
      <c r="E1329" s="70"/>
      <c r="F1329" s="70" t="str">
        <f>SUBSTITUTE(F1323,",6)",",12)")</f>
        <v>C(U2,8,12)</v>
      </c>
      <c r="G1329" s="73"/>
      <c r="H1329" s="76"/>
      <c r="I1329" s="9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221"/>
        <v>4</v>
      </c>
      <c r="D1330" s="73"/>
      <c r="E1330" s="70"/>
      <c r="F1330" s="70" t="str">
        <f>SUBSTITUTE(F1324,",7)",",13)")</f>
        <v>C(U2,8,13)</v>
      </c>
      <c r="G1330" s="73"/>
      <c r="H1330" s="76"/>
      <c r="I1330" s="9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2" collapsed="1" x14ac:dyDescent="0.35">
      <c r="A1331" s="45"/>
      <c r="B1331" s="54"/>
      <c r="C1331" s="47">
        <f>INT($C$29)+2</f>
        <v>3</v>
      </c>
      <c r="D1331" s="73"/>
      <c r="E1331" s="410"/>
      <c r="F1331" s="410" t="s">
        <v>1995</v>
      </c>
      <c r="G1331" s="411"/>
      <c r="H1331" s="184" t="s">
        <v>2656</v>
      </c>
      <c r="I1331" s="184"/>
      <c r="J1331" s="184"/>
      <c r="K1331" s="184"/>
      <c r="L1331" s="184"/>
      <c r="M1331" s="184"/>
      <c r="N1331" s="184"/>
      <c r="O1331" s="184"/>
      <c r="P1331" s="184"/>
      <c r="Q1331" s="184"/>
      <c r="R1331" s="184"/>
      <c r="S1331" s="184"/>
      <c r="T1331" s="184" t="s">
        <v>3328</v>
      </c>
      <c r="U1331" s="413">
        <v>1.7397800000000001</v>
      </c>
      <c r="V1331" s="414">
        <f>U1331</f>
        <v>1.7397800000000001</v>
      </c>
      <c r="W1331" s="413">
        <v>1.88365</v>
      </c>
      <c r="X1331" s="413">
        <v>1.74003</v>
      </c>
      <c r="Y1331" s="413">
        <v>1.966477</v>
      </c>
      <c r="Z1331" s="414">
        <f>AA1331</f>
        <v>-4.3544999999999998</v>
      </c>
      <c r="AA1331" s="413">
        <v>-4.3544999999999998</v>
      </c>
      <c r="AB1331" s="414">
        <f>AA1331</f>
        <v>-4.3544999999999998</v>
      </c>
      <c r="AC1331" s="414">
        <f>AB1331</f>
        <v>-4.3544999999999998</v>
      </c>
      <c r="AD1331" s="414">
        <f>AC1331</f>
        <v>-4.3544999999999998</v>
      </c>
      <c r="AE1331" s="184"/>
      <c r="AF1331" s="184"/>
      <c r="AG1331" s="184"/>
      <c r="AH1331" s="413">
        <v>1</v>
      </c>
      <c r="AI1331" s="413">
        <v>1</v>
      </c>
      <c r="AJ1331" s="73"/>
      <c r="AK1331" s="57"/>
      <c r="AL1331" s="45"/>
      <c r="AM1331" s="45"/>
      <c r="AN1331" s="45"/>
    </row>
    <row r="1332" spans="1:40" hidden="1" outlineLevel="3" x14ac:dyDescent="0.35">
      <c r="A1332" s="45"/>
      <c r="B1332" s="54"/>
      <c r="C1332" s="47">
        <f>INT($C$29)+3</f>
        <v>4</v>
      </c>
      <c r="D1332" s="73"/>
      <c r="E1332" s="403"/>
      <c r="F1332" s="403" t="s">
        <v>1996</v>
      </c>
      <c r="G1332" s="73"/>
      <c r="H1332" s="105" t="s">
        <v>604</v>
      </c>
      <c r="I1332" s="105"/>
      <c r="J1332" s="105"/>
      <c r="K1332" s="105"/>
      <c r="L1332" s="105"/>
      <c r="M1332" s="105"/>
      <c r="N1332" s="105"/>
      <c r="O1332" s="105"/>
      <c r="P1332" s="105"/>
      <c r="Q1332" s="105"/>
      <c r="R1332" s="105"/>
      <c r="S1332" s="105"/>
      <c r="T1332" s="105"/>
      <c r="U1332" s="105"/>
      <c r="V1332" s="105"/>
      <c r="W1332" s="105"/>
      <c r="X1332" s="105"/>
      <c r="Y1332" s="105"/>
      <c r="Z1332" s="105"/>
      <c r="AA1332" s="105"/>
      <c r="AB1332" s="105"/>
      <c r="AC1332" s="105"/>
      <c r="AD1332" s="105"/>
      <c r="AE1332" s="105"/>
      <c r="AF1332" s="105"/>
      <c r="AG1332" s="105"/>
      <c r="AH1332" s="105">
        <v>1</v>
      </c>
      <c r="AI1332" s="105">
        <v>1</v>
      </c>
      <c r="AJ1332" s="73"/>
      <c r="AK1332" s="57"/>
      <c r="AL1332" s="45"/>
      <c r="AM1332" s="45"/>
      <c r="AN1332" s="45"/>
    </row>
    <row r="1333" spans="1:40" hidden="1" outlineLevel="3" x14ac:dyDescent="0.35">
      <c r="A1333" s="45"/>
      <c r="B1333" s="54"/>
      <c r="C1333" s="47">
        <f>INT($C$29)+3</f>
        <v>4</v>
      </c>
      <c r="D1333" s="73"/>
      <c r="E1333" s="70"/>
      <c r="F1333" s="70" t="s">
        <v>1997</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INT($C$29)+3</f>
        <v>4</v>
      </c>
      <c r="D1334" s="73"/>
      <c r="E1334" s="70"/>
      <c r="F1334" s="70" t="s">
        <v>1998</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INT($C$29)+3</f>
        <v>4</v>
      </c>
      <c r="D1335" s="73"/>
      <c r="E1335" s="70"/>
      <c r="F1335" s="70" t="s">
        <v>1999</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INT($C$29)+3</f>
        <v>4</v>
      </c>
      <c r="D1336" s="73"/>
      <c r="E1336" s="70"/>
      <c r="F1336" s="70" t="s">
        <v>2000</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c r="D1337" s="73"/>
      <c r="E1337" s="70"/>
      <c r="F1337" s="70" t="s">
        <v>2440</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2441</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2442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f t="shared" ref="C1340:C1351" si="222">INT($C$29)+3</f>
        <v>4</v>
      </c>
      <c r="D1340" s="73"/>
      <c r="E1340" s="70"/>
      <c r="F1340" s="70" t="str">
        <f>SUBSTITUTE(F1336,",4)",",8)")</f>
        <v>C(U2,9,8)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si="222"/>
        <v>4</v>
      </c>
      <c r="D1341" s="73"/>
      <c r="E1341" s="70"/>
      <c r="F1341" s="70" t="str">
        <f>SUBSTITUTE(F1337,",5)",",9)")</f>
        <v>C(U2,9,9)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222"/>
        <v>4</v>
      </c>
      <c r="D1342" s="73"/>
      <c r="E1342" s="70"/>
      <c r="F1342" s="70" t="str">
        <f>SUBSTITUTE(F1338,",6)",",10)")</f>
        <v>C(U2,9,10)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222"/>
        <v>4</v>
      </c>
      <c r="D1343" s="73"/>
      <c r="E1343" s="70"/>
      <c r="F1343" s="70" t="str">
        <f>SUBSTITUTE(F1339,",7)",",11)")</f>
        <v>C(U2,9,11)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222"/>
        <v>4</v>
      </c>
      <c r="D1344" s="73"/>
      <c r="E1344" s="70"/>
      <c r="F1344" s="70" t="str">
        <f>SUBSTITUTE(F1338,",6)",",12)")</f>
        <v>C(U2,9,12)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222"/>
        <v>4</v>
      </c>
      <c r="D1345" s="73"/>
      <c r="E1345" s="70"/>
      <c r="F1345" s="70" t="str">
        <f>SUBSTITUTE(F1339,",7)",",13)")</f>
        <v>C(U2,9,13)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222"/>
        <v>4</v>
      </c>
      <c r="D1346" s="73"/>
      <c r="E1346" s="70"/>
      <c r="F1346" s="70" t="s">
        <v>2001</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222"/>
        <v>4</v>
      </c>
      <c r="D1347" s="73"/>
      <c r="E1347" s="70"/>
      <c r="F1347" s="70" t="s">
        <v>2002</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222"/>
        <v>4</v>
      </c>
      <c r="D1348" s="73"/>
      <c r="E1348" s="70"/>
      <c r="F1348" s="70" t="s">
        <v>2003</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222"/>
        <v>4</v>
      </c>
      <c r="D1349" s="73"/>
      <c r="E1349" s="70"/>
      <c r="F1349" s="70" t="s">
        <v>2004</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222"/>
        <v>4</v>
      </c>
      <c r="D1350" s="73"/>
      <c r="E1350" s="70"/>
      <c r="F1350" s="70" t="s">
        <v>2005</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222"/>
        <v>4</v>
      </c>
      <c r="D1351" s="73"/>
      <c r="E1351" s="70"/>
      <c r="F1351" s="70" t="s">
        <v>2006</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c r="D1352" s="73"/>
      <c r="E1352" s="70"/>
      <c r="F1352" s="70" t="s">
        <v>2443</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2444</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2445</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f t="shared" ref="C1355:C1366" si="223">INT($C$29)+3</f>
        <v>4</v>
      </c>
      <c r="D1355" s="73"/>
      <c r="E1355" s="70"/>
      <c r="F1355" s="70" t="str">
        <f>SUBSTITUTE(F1351,",4)",",8)")</f>
        <v>C(U2,10,8)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si="223"/>
        <v>4</v>
      </c>
      <c r="D1356" s="73"/>
      <c r="E1356" s="70"/>
      <c r="F1356" s="70" t="str">
        <f>SUBSTITUTE(F1352,",5)",",9)")</f>
        <v>C(U2,10,9)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223"/>
        <v>4</v>
      </c>
      <c r="D1357" s="73"/>
      <c r="E1357" s="70"/>
      <c r="F1357" s="70" t="str">
        <f>SUBSTITUTE(F1353,",6)",",10)")</f>
        <v>C(U2,10,10)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223"/>
        <v>4</v>
      </c>
      <c r="D1358" s="73"/>
      <c r="E1358" s="70"/>
      <c r="F1358" s="70" t="str">
        <f>SUBSTITUTE(F1354,",7)",",11)")</f>
        <v>C(U2,10,11)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223"/>
        <v>4</v>
      </c>
      <c r="D1359" s="73"/>
      <c r="E1359" s="70"/>
      <c r="F1359" s="70" t="str">
        <f>SUBSTITUTE(F1353,",6)",",12)")</f>
        <v>C(U2,10,12)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223"/>
        <v>4</v>
      </c>
      <c r="D1360" s="73"/>
      <c r="E1360" s="70"/>
      <c r="F1360" s="70" t="str">
        <f>SUBSTITUTE(F1354,",7)",",13)")</f>
        <v>C(U2,10,13)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223"/>
        <v>4</v>
      </c>
      <c r="D1361" s="73"/>
      <c r="E1361" s="70"/>
      <c r="F1361" s="70" t="s">
        <v>2007</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223"/>
        <v>4</v>
      </c>
      <c r="D1362" s="73"/>
      <c r="E1362" s="70"/>
      <c r="F1362" s="70" t="s">
        <v>2008</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223"/>
        <v>4</v>
      </c>
      <c r="D1363" s="73"/>
      <c r="E1363" s="70"/>
      <c r="F1363" s="70" t="s">
        <v>2009</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223"/>
        <v>4</v>
      </c>
      <c r="D1364" s="73"/>
      <c r="E1364" s="70"/>
      <c r="F1364" s="70" t="s">
        <v>2010</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223"/>
        <v>4</v>
      </c>
      <c r="D1365" s="73"/>
      <c r="E1365" s="70"/>
      <c r="F1365" s="70" t="s">
        <v>2011</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223"/>
        <v>4</v>
      </c>
      <c r="D1366" s="73"/>
      <c r="E1366" s="70"/>
      <c r="F1366" s="70" t="s">
        <v>2012</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c r="D1367" s="73"/>
      <c r="E1367" s="70"/>
      <c r="F1367" s="70" t="s">
        <v>2446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2447</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2448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f t="shared" ref="C1370:C1381" si="224">INT($C$29)+3</f>
        <v>4</v>
      </c>
      <c r="D1370" s="73"/>
      <c r="E1370" s="70"/>
      <c r="F1370" s="70" t="str">
        <f>SUBSTITUTE(F1366,",4)",",8)")</f>
        <v>C(U2,11,8)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si="224"/>
        <v>4</v>
      </c>
      <c r="D1371" s="73"/>
      <c r="E1371" s="70"/>
      <c r="F1371" s="70" t="str">
        <f>SUBSTITUTE(F1367,",5)",",9)")</f>
        <v>C(U2,11,9)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224"/>
        <v>4</v>
      </c>
      <c r="D1372" s="73"/>
      <c r="E1372" s="70"/>
      <c r="F1372" s="70" t="str">
        <f>SUBSTITUTE(F1368,",6)",",10)")</f>
        <v>C(U2,11,10)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224"/>
        <v>4</v>
      </c>
      <c r="D1373" s="73"/>
      <c r="E1373" s="70"/>
      <c r="F1373" s="70" t="str">
        <f>SUBSTITUTE(F1369,",7)",",11)")</f>
        <v>C(U2,11,11)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224"/>
        <v>4</v>
      </c>
      <c r="D1374" s="73"/>
      <c r="E1374" s="70"/>
      <c r="F1374" s="70" t="str">
        <f>SUBSTITUTE(F1368,",6)",",12)")</f>
        <v>C(U2,11,12)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224"/>
        <v>4</v>
      </c>
      <c r="D1375" s="73"/>
      <c r="E1375" s="70"/>
      <c r="F1375" s="70" t="str">
        <f>SUBSTITUTE(F1369,",7)",",13)")</f>
        <v>C(U2,11,13)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224"/>
        <v>4</v>
      </c>
      <c r="D1376" s="73"/>
      <c r="E1376" s="70"/>
      <c r="F1376" s="70" t="s">
        <v>2013</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224"/>
        <v>4</v>
      </c>
      <c r="D1377" s="73"/>
      <c r="E1377" s="70"/>
      <c r="F1377" s="70" t="s">
        <v>2014</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224"/>
        <v>4</v>
      </c>
      <c r="D1378" s="73"/>
      <c r="E1378" s="70"/>
      <c r="F1378" s="70" t="s">
        <v>2015</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224"/>
        <v>4</v>
      </c>
      <c r="D1379" s="73"/>
      <c r="E1379" s="70"/>
      <c r="F1379" s="70" t="s">
        <v>2016</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224"/>
        <v>4</v>
      </c>
      <c r="D1380" s="73"/>
      <c r="E1380" s="70"/>
      <c r="F1380" s="70" t="s">
        <v>2017</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224"/>
        <v>4</v>
      </c>
      <c r="D1381" s="73"/>
      <c r="E1381" s="70"/>
      <c r="F1381" s="70" t="s">
        <v>2018</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c r="D1382" s="73"/>
      <c r="E1382" s="70"/>
      <c r="F1382" s="70" t="s">
        <v>2449</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2450</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2451</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f t="shared" ref="C1385:C1396" si="225">INT($C$29)+3</f>
        <v>4</v>
      </c>
      <c r="D1385" s="73"/>
      <c r="E1385" s="70"/>
      <c r="F1385" s="70" t="str">
        <f>SUBSTITUTE(F1381,",4)",",8)")</f>
        <v>C(U2,12,8)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si="225"/>
        <v>4</v>
      </c>
      <c r="D1386" s="73"/>
      <c r="E1386" s="70"/>
      <c r="F1386" s="70" t="str">
        <f>SUBSTITUTE(F1382,",5)",",9)")</f>
        <v>C(U2,12,9)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225"/>
        <v>4</v>
      </c>
      <c r="D1387" s="73"/>
      <c r="E1387" s="70"/>
      <c r="F1387" s="70" t="str">
        <f>SUBSTITUTE(F1383,",6)",",10)")</f>
        <v>C(U2,12,10)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225"/>
        <v>4</v>
      </c>
      <c r="D1388" s="73"/>
      <c r="E1388" s="70"/>
      <c r="F1388" s="70" t="str">
        <f>SUBSTITUTE(F1384,",7)",",11)")</f>
        <v>C(U2,12,11)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225"/>
        <v>4</v>
      </c>
      <c r="D1389" s="73"/>
      <c r="E1389" s="70"/>
      <c r="F1389" s="70" t="str">
        <f>SUBSTITUTE(F1383,",6)",",12)")</f>
        <v>C(U2,12,12)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225"/>
        <v>4</v>
      </c>
      <c r="D1390" s="73"/>
      <c r="E1390" s="70"/>
      <c r="F1390" s="70" t="str">
        <f>SUBSTITUTE(F1384,",7)",",13)")</f>
        <v>C(U2,12,13)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225"/>
        <v>4</v>
      </c>
      <c r="D1391" s="73"/>
      <c r="E1391" s="70"/>
      <c r="F1391" s="70" t="s">
        <v>2019</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225"/>
        <v>4</v>
      </c>
      <c r="D1392" s="73"/>
      <c r="E1392" s="70"/>
      <c r="F1392" s="70" t="s">
        <v>2020</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225"/>
        <v>4</v>
      </c>
      <c r="D1393" s="73"/>
      <c r="E1393" s="70"/>
      <c r="F1393" s="70" t="s">
        <v>2021</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225"/>
        <v>4</v>
      </c>
      <c r="D1394" s="73"/>
      <c r="E1394" s="70"/>
      <c r="F1394" s="70" t="s">
        <v>2022</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225"/>
        <v>4</v>
      </c>
      <c r="D1395" s="73"/>
      <c r="E1395" s="70"/>
      <c r="F1395" s="70" t="s">
        <v>2023</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225"/>
        <v>4</v>
      </c>
      <c r="D1396" s="73"/>
      <c r="E1396" s="70"/>
      <c r="F1396" s="70" t="s">
        <v>2024</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c r="D1397" s="73"/>
      <c r="E1397" s="70"/>
      <c r="F1397" s="70" t="s">
        <v>2452</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2453</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2454</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f t="shared" ref="C1400:C1411" si="226">INT($C$29)+3</f>
        <v>4</v>
      </c>
      <c r="D1400" s="73"/>
      <c r="E1400" s="70"/>
      <c r="F1400" s="70" t="str">
        <f>SUBSTITUTE(F1396,",4)",",8)")</f>
        <v>C(U2,13,8)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si="226"/>
        <v>4</v>
      </c>
      <c r="D1401" s="73"/>
      <c r="E1401" s="70"/>
      <c r="F1401" s="70" t="str">
        <f>SUBSTITUTE(F1397,",5)",",9)")</f>
        <v>C(U2,13,9)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226"/>
        <v>4</v>
      </c>
      <c r="D1402" s="73"/>
      <c r="E1402" s="70"/>
      <c r="F1402" s="70" t="str">
        <f>SUBSTITUTE(F1398,",6)",",10)")</f>
        <v>C(U2,13,10)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226"/>
        <v>4</v>
      </c>
      <c r="D1403" s="73"/>
      <c r="E1403" s="70"/>
      <c r="F1403" s="70" t="str">
        <f>SUBSTITUTE(F1399,",7)",",11)")</f>
        <v>C(U2,13,11)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226"/>
        <v>4</v>
      </c>
      <c r="D1404" s="73"/>
      <c r="E1404" s="70"/>
      <c r="F1404" s="70" t="str">
        <f>SUBSTITUTE(F1398,",6)",",12)")</f>
        <v>C(U2,13,12)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226"/>
        <v>4</v>
      </c>
      <c r="D1405" s="73"/>
      <c r="E1405" s="70"/>
      <c r="F1405" s="70" t="str">
        <f>SUBSTITUTE(F1399,",7)",",13)")</f>
        <v>C(U2,13,13)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226"/>
        <v>4</v>
      </c>
      <c r="D1406" s="73"/>
      <c r="E1406" s="70"/>
      <c r="F1406" s="70" t="s">
        <v>2025</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226"/>
        <v>4</v>
      </c>
      <c r="D1407" s="73"/>
      <c r="E1407" s="70"/>
      <c r="F1407" s="70" t="s">
        <v>2026</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226"/>
        <v>4</v>
      </c>
      <c r="D1408" s="73"/>
      <c r="E1408" s="70"/>
      <c r="F1408" s="70" t="s">
        <v>2027</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226"/>
        <v>4</v>
      </c>
      <c r="D1409" s="73"/>
      <c r="E1409" s="70"/>
      <c r="F1409" s="70" t="s">
        <v>2028</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226"/>
        <v>4</v>
      </c>
      <c r="D1410" s="73"/>
      <c r="E1410" s="70"/>
      <c r="F1410" s="70" t="s">
        <v>2029</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226"/>
        <v>4</v>
      </c>
      <c r="D1411" s="73"/>
      <c r="E1411" s="70"/>
      <c r="F1411" s="70" t="s">
        <v>2030</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c r="D1412" s="73"/>
      <c r="E1412" s="70"/>
      <c r="F1412" s="70" t="s">
        <v>2455</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2456</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2457</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f t="shared" ref="C1415:C1426" si="227">INT($C$29)+3</f>
        <v>4</v>
      </c>
      <c r="D1415" s="73"/>
      <c r="E1415" s="70"/>
      <c r="F1415" s="70" t="str">
        <f>SUBSTITUTE(F1411,",4)",",8)")</f>
        <v>C(U2,14,8)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si="227"/>
        <v>4</v>
      </c>
      <c r="D1416" s="73"/>
      <c r="E1416" s="70"/>
      <c r="F1416" s="70" t="str">
        <f>SUBSTITUTE(F1412,",5)",",9)")</f>
        <v>C(U2,14,9)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227"/>
        <v>4</v>
      </c>
      <c r="D1417" s="73"/>
      <c r="E1417" s="70"/>
      <c r="F1417" s="70" t="str">
        <f>SUBSTITUTE(F1413,",6)",",10)")</f>
        <v>C(U2,14,10)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227"/>
        <v>4</v>
      </c>
      <c r="D1418" s="73"/>
      <c r="E1418" s="70"/>
      <c r="F1418" s="70" t="str">
        <f>SUBSTITUTE(F1414,",7)",",11)")</f>
        <v>C(U2,14,11)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227"/>
        <v>4</v>
      </c>
      <c r="D1419" s="73"/>
      <c r="E1419" s="70"/>
      <c r="F1419" s="70" t="str">
        <f>SUBSTITUTE(F1413,",6)",",12)")</f>
        <v>C(U2,14,12)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227"/>
        <v>4</v>
      </c>
      <c r="D1420" s="73"/>
      <c r="E1420" s="70"/>
      <c r="F1420" s="70" t="str">
        <f>SUBSTITUTE(F1414,",7)",",13)")</f>
        <v>C(U2,14,13)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227"/>
        <v>4</v>
      </c>
      <c r="D1421" s="73"/>
      <c r="E1421" s="70"/>
      <c r="F1421" s="70" t="s">
        <v>2031</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227"/>
        <v>4</v>
      </c>
      <c r="D1422" s="73"/>
      <c r="E1422" s="70"/>
      <c r="F1422" s="70" t="s">
        <v>2032</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227"/>
        <v>4</v>
      </c>
      <c r="D1423" s="73"/>
      <c r="E1423" s="70"/>
      <c r="F1423" s="70" t="s">
        <v>2033</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227"/>
        <v>4</v>
      </c>
      <c r="D1424" s="73"/>
      <c r="E1424" s="70"/>
      <c r="F1424" s="70" t="s">
        <v>2034</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227"/>
        <v>4</v>
      </c>
      <c r="D1425" s="73"/>
      <c r="E1425" s="70"/>
      <c r="F1425" s="70" t="s">
        <v>2035</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227"/>
        <v>4</v>
      </c>
      <c r="D1426" s="73"/>
      <c r="E1426" s="70"/>
      <c r="F1426" s="70" t="s">
        <v>2036</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c r="D1427" s="73"/>
      <c r="E1427" s="70"/>
      <c r="F1427" s="70" t="s">
        <v>2458</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2459</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2460</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 t="shared" ref="C1430:C1441" si="228">INT($C$29)+3</f>
        <v>4</v>
      </c>
      <c r="D1430" s="73"/>
      <c r="E1430" s="70"/>
      <c r="F1430" s="70" t="str">
        <f>SUBSTITUTE(F1426,",4)",",8)")</f>
        <v>C(U2,15,8)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 t="shared" si="228"/>
        <v>4</v>
      </c>
      <c r="D1431" s="73"/>
      <c r="E1431" s="70"/>
      <c r="F1431" s="70" t="str">
        <f>SUBSTITUTE(F1427,",5)",",9)")</f>
        <v>C(U2,15,9)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 t="shared" si="228"/>
        <v>4</v>
      </c>
      <c r="D1432" s="73"/>
      <c r="E1432" s="70"/>
      <c r="F1432" s="70" t="str">
        <f>SUBSTITUTE(F1428,",6)",",10)")</f>
        <v>C(U2,15,10)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 t="shared" si="228"/>
        <v>4</v>
      </c>
      <c r="D1433" s="73"/>
      <c r="E1433" s="70"/>
      <c r="F1433" s="70" t="str">
        <f>SUBSTITUTE(F1429,",7)",",11)")</f>
        <v>C(U2,15,11)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 t="shared" si="228"/>
        <v>4</v>
      </c>
      <c r="D1434" s="73"/>
      <c r="E1434" s="70"/>
      <c r="F1434" s="70" t="str">
        <f>SUBSTITUTE(F1428,",6)",",12)")</f>
        <v>C(U2,15,12)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si="228"/>
        <v>4</v>
      </c>
      <c r="D1435" s="73"/>
      <c r="E1435" s="70"/>
      <c r="F1435" s="70" t="str">
        <f>SUBSTITUTE(F1429,",7)",",13)")</f>
        <v>C(U2,15,13)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si="228"/>
        <v>4</v>
      </c>
      <c r="D1436" s="73"/>
      <c r="E1436" s="70"/>
      <c r="F1436" s="70" t="s">
        <v>2037</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 t="shared" si="228"/>
        <v>4</v>
      </c>
      <c r="D1437" s="73"/>
      <c r="E1437" s="70"/>
      <c r="F1437" s="70" t="s">
        <v>2038</v>
      </c>
      <c r="G1437" s="73"/>
      <c r="H1437" s="76" t="s">
        <v>604</v>
      </c>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35">
      <c r="A1438" s="45"/>
      <c r="B1438" s="54"/>
      <c r="C1438" s="47">
        <f t="shared" si="228"/>
        <v>4</v>
      </c>
      <c r="D1438" s="73"/>
      <c r="E1438" s="70"/>
      <c r="F1438" s="70" t="s">
        <v>2039</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35">
      <c r="A1439" s="45"/>
      <c r="B1439" s="54"/>
      <c r="C1439" s="47">
        <f t="shared" si="228"/>
        <v>4</v>
      </c>
      <c r="D1439" s="73"/>
      <c r="E1439" s="70"/>
      <c r="F1439" s="70" t="s">
        <v>2040</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35">
      <c r="A1440" s="45"/>
      <c r="B1440" s="54"/>
      <c r="C1440" s="47">
        <f t="shared" si="228"/>
        <v>4</v>
      </c>
      <c r="D1440" s="73"/>
      <c r="E1440" s="70"/>
      <c r="F1440" s="70" t="s">
        <v>2041</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35">
      <c r="A1441" s="45"/>
      <c r="B1441" s="54"/>
      <c r="C1441" s="47">
        <f t="shared" si="228"/>
        <v>4</v>
      </c>
      <c r="D1441" s="73"/>
      <c r="E1441" s="70"/>
      <c r="F1441" s="70" t="s">
        <v>2042</v>
      </c>
      <c r="G1441" s="73"/>
      <c r="H1441" s="76"/>
      <c r="I1441" s="7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35">
      <c r="A1442" s="45"/>
      <c r="B1442" s="54"/>
      <c r="C1442" s="47"/>
      <c r="D1442" s="73"/>
      <c r="E1442" s="70"/>
      <c r="F1442" s="70" t="s">
        <v>2461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35">
      <c r="A1443" s="45"/>
      <c r="B1443" s="54"/>
      <c r="C1443" s="47"/>
      <c r="D1443" s="73"/>
      <c r="E1443" s="70"/>
      <c r="F1443" s="70" t="s">
        <v>2462</v>
      </c>
      <c r="G1443" s="73"/>
      <c r="H1443" s="76"/>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c r="D1444" s="73"/>
      <c r="E1444" s="70"/>
      <c r="F1444" s="70" t="s">
        <v>2463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ref="C1445:C1456" si="229">INT($C$29)+3</f>
        <v>4</v>
      </c>
      <c r="D1445" s="73"/>
      <c r="E1445" s="70"/>
      <c r="F1445" s="70" t="str">
        <f>SUBSTITUTE(F1441,",4)",",8)")</f>
        <v>C(U2,16,8)</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229"/>
        <v>4</v>
      </c>
      <c r="D1446" s="73"/>
      <c r="E1446" s="70"/>
      <c r="F1446" s="70" t="str">
        <f>SUBSTITUTE(F1442,",5)",",9)")</f>
        <v>C(U2,16,9)</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229"/>
        <v>4</v>
      </c>
      <c r="D1447" s="73"/>
      <c r="E1447" s="70"/>
      <c r="F1447" s="70" t="str">
        <f>SUBSTITUTE(F1443,",6)",",10)")</f>
        <v>C(U2,16,10)</v>
      </c>
      <c r="G1447" s="73"/>
      <c r="H1447" s="76"/>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229"/>
        <v>4</v>
      </c>
      <c r="D1448" s="73"/>
      <c r="E1448" s="70"/>
      <c r="F1448" s="70" t="str">
        <f>SUBSTITUTE(F1444,",7)",",11)")</f>
        <v>C(U2,16,11)</v>
      </c>
      <c r="G1448" s="73"/>
      <c r="H1448" s="76"/>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229"/>
        <v>4</v>
      </c>
      <c r="D1449" s="73"/>
      <c r="E1449" s="70"/>
      <c r="F1449" s="70" t="str">
        <f>SUBSTITUTE(F1443,",6)",",12)")</f>
        <v>C(U2,16,12)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229"/>
        <v>4</v>
      </c>
      <c r="D1450" s="73"/>
      <c r="E1450" s="70"/>
      <c r="F1450" s="70" t="str">
        <f>SUBSTITUTE(F1444,",7)",",13)")</f>
        <v>C(U2,16,13)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si="229"/>
        <v>4</v>
      </c>
      <c r="D1451" s="73"/>
      <c r="E1451" s="70"/>
      <c r="F1451" s="70" t="s">
        <v>2043</v>
      </c>
      <c r="G1451" s="73"/>
      <c r="H1451" s="76"/>
      <c r="I1451" s="7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35">
      <c r="A1452" s="45"/>
      <c r="B1452" s="54"/>
      <c r="C1452" s="47">
        <f t="shared" si="229"/>
        <v>4</v>
      </c>
      <c r="D1452" s="73"/>
      <c r="E1452" s="70"/>
      <c r="F1452" s="70" t="s">
        <v>2044</v>
      </c>
      <c r="G1452" s="73"/>
      <c r="H1452" s="76" t="s">
        <v>604</v>
      </c>
      <c r="I1452" s="7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35">
      <c r="A1453" s="45"/>
      <c r="B1453" s="54"/>
      <c r="C1453" s="47">
        <f t="shared" si="229"/>
        <v>4</v>
      </c>
      <c r="D1453" s="73"/>
      <c r="E1453" s="70"/>
      <c r="F1453" s="70" t="s">
        <v>2045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 t="shared" si="229"/>
        <v>4</v>
      </c>
      <c r="D1454" s="73"/>
      <c r="E1454" s="70"/>
      <c r="F1454" s="70" t="s">
        <v>2046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 t="shared" si="229"/>
        <v>4</v>
      </c>
      <c r="D1455" s="73"/>
      <c r="E1455" s="70"/>
      <c r="F1455" s="70" t="s">
        <v>2047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 t="shared" si="229"/>
        <v>4</v>
      </c>
      <c r="D1456" s="73"/>
      <c r="E1456" s="70"/>
      <c r="F1456" s="70" t="s">
        <v>2048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c r="D1457" s="73"/>
      <c r="E1457" s="70"/>
      <c r="F1457" s="70" t="s">
        <v>2464</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2465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2466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ref="C1460:C1471" si="230">INT($C$29)+3</f>
        <v>4</v>
      </c>
      <c r="D1460" s="73"/>
      <c r="E1460" s="70"/>
      <c r="F1460" s="70" t="str">
        <f>SUBSTITUTE(F1456,",4)",",8)")</f>
        <v>C(U2,17,8)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230"/>
        <v>4</v>
      </c>
      <c r="D1461" s="73"/>
      <c r="E1461" s="70"/>
      <c r="F1461" s="70" t="str">
        <f>SUBSTITUTE(F1457,",5)",",9)")</f>
        <v>C(U2,17,9)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230"/>
        <v>4</v>
      </c>
      <c r="D1462" s="73"/>
      <c r="E1462" s="70"/>
      <c r="F1462" s="70" t="str">
        <f>SUBSTITUTE(F1458,",6)",",10)")</f>
        <v>C(U2,17,10)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230"/>
        <v>4</v>
      </c>
      <c r="D1463" s="73"/>
      <c r="E1463" s="70"/>
      <c r="F1463" s="70" t="str">
        <f>SUBSTITUTE(F1459,",7)",",11)")</f>
        <v>C(U2,17,11)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230"/>
        <v>4</v>
      </c>
      <c r="D1464" s="73"/>
      <c r="E1464" s="70"/>
      <c r="F1464" s="70" t="str">
        <f>SUBSTITUTE(F1458,",6)",",12)")</f>
        <v>C(U2,17,12)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230"/>
        <v>4</v>
      </c>
      <c r="D1465" s="73"/>
      <c r="E1465" s="70"/>
      <c r="F1465" s="70" t="str">
        <f>SUBSTITUTE(F1459,",7)",",13)")</f>
        <v>C(U2,17,13)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230"/>
        <v>4</v>
      </c>
      <c r="D1466" s="73"/>
      <c r="E1466" s="70"/>
      <c r="F1466" s="70" t="s">
        <v>2049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230"/>
        <v>4</v>
      </c>
      <c r="D1467" s="73"/>
      <c r="E1467" s="70"/>
      <c r="F1467" s="70" t="s">
        <v>2050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230"/>
        <v>4</v>
      </c>
      <c r="D1468" s="73"/>
      <c r="E1468" s="70"/>
      <c r="F1468" s="70" t="s">
        <v>2051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230"/>
        <v>4</v>
      </c>
      <c r="D1469" s="73"/>
      <c r="E1469" s="70"/>
      <c r="F1469" s="70" t="s">
        <v>2052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230"/>
        <v>4</v>
      </c>
      <c r="D1470" s="73"/>
      <c r="E1470" s="70"/>
      <c r="F1470" s="70" t="s">
        <v>2053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230"/>
        <v>4</v>
      </c>
      <c r="D1471" s="73"/>
      <c r="E1471" s="70"/>
      <c r="F1471" s="70" t="s">
        <v>2054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c r="D1472" s="73"/>
      <c r="E1472" s="70"/>
      <c r="F1472" s="70" t="s">
        <v>2467</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2468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2469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ref="C1475:C1486" si="231">INT($C$29)+3</f>
        <v>4</v>
      </c>
      <c r="D1475" s="73"/>
      <c r="E1475" s="70"/>
      <c r="F1475" s="70" t="str">
        <f>SUBSTITUTE(F1471,",4)",",8)")</f>
        <v>C(U2,18,8)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231"/>
        <v>4</v>
      </c>
      <c r="D1476" s="73"/>
      <c r="E1476" s="70"/>
      <c r="F1476" s="70" t="str">
        <f>SUBSTITUTE(F1472,",5)",",9)")</f>
        <v>C(U2,18,9)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231"/>
        <v>4</v>
      </c>
      <c r="D1477" s="73"/>
      <c r="E1477" s="70"/>
      <c r="F1477" s="70" t="str">
        <f>SUBSTITUTE(F1473,",6)",",10)")</f>
        <v>C(U2,18,10)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231"/>
        <v>4</v>
      </c>
      <c r="D1478" s="73"/>
      <c r="E1478" s="70"/>
      <c r="F1478" s="70" t="str">
        <f>SUBSTITUTE(F1474,",7)",",11)")</f>
        <v>C(U2,18,11)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231"/>
        <v>4</v>
      </c>
      <c r="D1479" s="73"/>
      <c r="E1479" s="70"/>
      <c r="F1479" s="70" t="str">
        <f>SUBSTITUTE(F1473,",6)",",12)")</f>
        <v>C(U2,18,12)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231"/>
        <v>4</v>
      </c>
      <c r="D1480" s="73"/>
      <c r="E1480" s="70"/>
      <c r="F1480" s="70" t="str">
        <f>SUBSTITUTE(F1474,",7)",",13)")</f>
        <v>C(U2,18,13)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231"/>
        <v>4</v>
      </c>
      <c r="D1481" s="73"/>
      <c r="E1481" s="70"/>
      <c r="F1481" s="70" t="s">
        <v>2055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231"/>
        <v>4</v>
      </c>
      <c r="D1482" s="73"/>
      <c r="E1482" s="70"/>
      <c r="F1482" s="70" t="s">
        <v>2056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231"/>
        <v>4</v>
      </c>
      <c r="D1483" s="73"/>
      <c r="E1483" s="70"/>
      <c r="F1483" s="70" t="s">
        <v>2057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231"/>
        <v>4</v>
      </c>
      <c r="D1484" s="73"/>
      <c r="E1484" s="70"/>
      <c r="F1484" s="70" t="s">
        <v>2058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231"/>
        <v>4</v>
      </c>
      <c r="D1485" s="73"/>
      <c r="E1485" s="70"/>
      <c r="F1485" s="70" t="s">
        <v>2059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231"/>
        <v>4</v>
      </c>
      <c r="D1486" s="73"/>
      <c r="E1486" s="70"/>
      <c r="F1486" s="70" t="s">
        <v>2060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c r="D1487" s="73"/>
      <c r="E1487" s="70"/>
      <c r="F1487" s="70" t="s">
        <v>2470</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2471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2472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INT($C$29)+3</f>
        <v>4</v>
      </c>
      <c r="D1490" s="73"/>
      <c r="E1490" s="70"/>
      <c r="F1490" s="70" t="str">
        <f>SUBSTITUTE(F1486,",4)",",8)")</f>
        <v>C(U2,19,8)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INT($C$29)+3</f>
        <v>4</v>
      </c>
      <c r="D1491" s="73"/>
      <c r="E1491" s="70"/>
      <c r="F1491" s="70" t="str">
        <f>SUBSTITUTE(F1487,",5)",",9)")</f>
        <v>C(U2,19,9)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INT($C$29)+3</f>
        <v>4</v>
      </c>
      <c r="D1492" s="73"/>
      <c r="E1492" s="70"/>
      <c r="F1492" s="70" t="str">
        <f>SUBSTITUTE(F1488,",6)",",10)")</f>
        <v>C(U2,19,10)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INT($C$29)+3</f>
        <v>4</v>
      </c>
      <c r="D1493" s="73"/>
      <c r="E1493" s="70"/>
      <c r="F1493" s="70" t="str">
        <f>SUBSTITUTE(F1489,",7)",",11)")</f>
        <v>C(U2,19,11)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ref="C1494:C1495" si="232">INT($C$29)+3</f>
        <v>4</v>
      </c>
      <c r="D1494" s="73"/>
      <c r="E1494" s="70"/>
      <c r="F1494" s="70" t="str">
        <f>SUBSTITUTE(F1488,",6)",",12)")</f>
        <v>C(U2,19,12)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232"/>
        <v>4</v>
      </c>
      <c r="D1495" s="73"/>
      <c r="E1495" s="70"/>
      <c r="F1495" s="70" t="str">
        <f>SUBSTITUTE(F1489,",7)",",13)")</f>
        <v>C(U2,19,13)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INT($C$29)+3</f>
        <v>4</v>
      </c>
      <c r="D1496" s="73"/>
      <c r="E1496" s="70"/>
      <c r="F1496" s="70" t="s">
        <v>2061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outlineLevel="2" x14ac:dyDescent="0.35">
      <c r="A1497" s="45"/>
      <c r="B1497" s="54"/>
      <c r="C1497" s="47">
        <f>INT($C$29)+2</f>
        <v>3</v>
      </c>
      <c r="D1497" s="73"/>
      <c r="E1497" s="70"/>
      <c r="F1497" s="70" t="s">
        <v>2062</v>
      </c>
      <c r="G1497" s="73"/>
      <c r="H1497" s="76" t="s">
        <v>2063</v>
      </c>
      <c r="I1497" s="76"/>
      <c r="J1497" s="76"/>
      <c r="K1497" s="76"/>
      <c r="L1497" s="76"/>
      <c r="M1497" s="76"/>
      <c r="N1497" s="76"/>
      <c r="O1497" s="76"/>
      <c r="P1497" s="76"/>
      <c r="Q1497" s="76"/>
      <c r="R1497" s="76"/>
      <c r="S1497" s="76"/>
      <c r="T1497" s="76"/>
      <c r="U1497" s="97">
        <v>0.57699999999999996</v>
      </c>
      <c r="V1497" s="97">
        <v>0.57699999999999996</v>
      </c>
      <c r="W1497" s="97">
        <v>0.57699999999999996</v>
      </c>
      <c r="X1497" s="97">
        <v>0.57699999999999996</v>
      </c>
      <c r="Y1497" s="97">
        <v>0.57699999999999996</v>
      </c>
      <c r="Z1497" s="255">
        <f t="shared" ref="Z1497:AD1498" si="233">Y1497</f>
        <v>0.57699999999999996</v>
      </c>
      <c r="AA1497" s="255">
        <f t="shared" si="233"/>
        <v>0.57699999999999996</v>
      </c>
      <c r="AB1497" s="255">
        <f t="shared" si="233"/>
        <v>0.57699999999999996</v>
      </c>
      <c r="AC1497" s="255">
        <f t="shared" si="233"/>
        <v>0.57699999999999996</v>
      </c>
      <c r="AD1497" s="255">
        <f t="shared" si="233"/>
        <v>0.57699999999999996</v>
      </c>
      <c r="AE1497" s="76"/>
      <c r="AF1497" s="97" t="s">
        <v>2064</v>
      </c>
      <c r="AG1497" s="76"/>
      <c r="AH1497" s="97">
        <v>1</v>
      </c>
      <c r="AI1497" s="97">
        <v>1</v>
      </c>
      <c r="AJ1497" s="73"/>
      <c r="AK1497" s="57"/>
      <c r="AL1497" s="45"/>
      <c r="AM1497" s="45"/>
      <c r="AN1497" s="45"/>
    </row>
    <row r="1498" spans="1:40" outlineLevel="2" collapsed="1" x14ac:dyDescent="0.35">
      <c r="A1498" s="45"/>
      <c r="B1498" s="54"/>
      <c r="C1498" s="47">
        <f>INT($C$29)+2</f>
        <v>3</v>
      </c>
      <c r="D1498" s="73"/>
      <c r="E1498" s="70"/>
      <c r="F1498" s="70" t="s">
        <v>2065</v>
      </c>
      <c r="G1498" s="73"/>
      <c r="H1498" s="76" t="s">
        <v>2066</v>
      </c>
      <c r="I1498" s="76"/>
      <c r="J1498" s="76"/>
      <c r="K1498" s="76"/>
      <c r="L1498" s="76"/>
      <c r="M1498" s="76"/>
      <c r="N1498" s="76"/>
      <c r="O1498" s="76"/>
      <c r="P1498" s="76"/>
      <c r="Q1498" s="76"/>
      <c r="R1498" s="76"/>
      <c r="S1498" s="76"/>
      <c r="T1498" s="76"/>
      <c r="U1498" s="97">
        <v>-1.2E-2</v>
      </c>
      <c r="V1498" s="97">
        <v>-1.2E-2</v>
      </c>
      <c r="W1498" s="97">
        <v>-1.2E-2</v>
      </c>
      <c r="X1498" s="97">
        <v>-1.2E-2</v>
      </c>
      <c r="Y1498" s="97">
        <v>-1.2E-2</v>
      </c>
      <c r="Z1498" s="255">
        <f t="shared" si="233"/>
        <v>-1.2E-2</v>
      </c>
      <c r="AA1498" s="255">
        <f t="shared" si="233"/>
        <v>-1.2E-2</v>
      </c>
      <c r="AB1498" s="255">
        <f t="shared" si="233"/>
        <v>-1.2E-2</v>
      </c>
      <c r="AC1498" s="255">
        <f t="shared" si="233"/>
        <v>-1.2E-2</v>
      </c>
      <c r="AD1498" s="255">
        <f t="shared" si="233"/>
        <v>-1.2E-2</v>
      </c>
      <c r="AE1498" s="76"/>
      <c r="AF1498" s="76"/>
      <c r="AG1498" s="76"/>
      <c r="AH1498" s="97">
        <v>1</v>
      </c>
      <c r="AI1498" s="97">
        <v>1</v>
      </c>
      <c r="AJ1498" s="73"/>
      <c r="AK1498" s="57"/>
      <c r="AL1498" s="45"/>
      <c r="AM1498" s="45"/>
      <c r="AN1498" s="45"/>
    </row>
    <row r="1499" spans="1:40" hidden="1" outlineLevel="3" x14ac:dyDescent="0.35">
      <c r="A1499" s="45"/>
      <c r="B1499" s="54"/>
      <c r="C1499" s="47">
        <f>INT($C$29)+2</f>
        <v>3</v>
      </c>
      <c r="D1499" s="73"/>
      <c r="E1499" s="70"/>
      <c r="F1499" s="70" t="s">
        <v>2067</v>
      </c>
      <c r="G1499" s="73"/>
      <c r="H1499" s="76" t="s">
        <v>2068</v>
      </c>
      <c r="I1499" s="76"/>
      <c r="J1499" s="76"/>
      <c r="K1499" s="76"/>
      <c r="L1499" s="76"/>
      <c r="M1499" s="76"/>
      <c r="N1499" s="76"/>
      <c r="O1499" s="76"/>
      <c r="P1499" s="76"/>
      <c r="Q1499" s="76"/>
      <c r="R1499" s="76"/>
      <c r="S1499" s="76"/>
      <c r="T1499" s="76"/>
      <c r="U1499" s="76">
        <v>0</v>
      </c>
      <c r="V1499" s="76">
        <v>0</v>
      </c>
      <c r="W1499" s="76">
        <v>0</v>
      </c>
      <c r="X1499" s="76">
        <v>0</v>
      </c>
      <c r="Y1499" s="76">
        <v>0</v>
      </c>
      <c r="Z1499" s="76">
        <v>0</v>
      </c>
      <c r="AA1499" s="76">
        <v>0</v>
      </c>
      <c r="AB1499" s="76">
        <v>0</v>
      </c>
      <c r="AC1499" s="76">
        <v>0</v>
      </c>
      <c r="AD1499" s="76">
        <v>0</v>
      </c>
      <c r="AE1499" s="76"/>
      <c r="AF1499" s="76"/>
      <c r="AG1499" s="76"/>
      <c r="AH1499" s="76">
        <v>1</v>
      </c>
      <c r="AI1499" s="76">
        <v>1</v>
      </c>
      <c r="AJ1499" s="73"/>
      <c r="AK1499" s="57"/>
      <c r="AL1499" s="45"/>
      <c r="AM1499" s="45"/>
      <c r="AN1499" s="45"/>
    </row>
    <row r="1500" spans="1:40" hidden="1" outlineLevel="3" x14ac:dyDescent="0.35">
      <c r="A1500" s="45"/>
      <c r="B1500" s="54"/>
      <c r="C1500" s="47">
        <f>INT($C$29)+3</f>
        <v>4</v>
      </c>
      <c r="D1500" s="73"/>
      <c r="E1500" s="70"/>
      <c r="F1500" s="70" t="s">
        <v>2069</v>
      </c>
      <c r="G1500" s="73"/>
      <c r="H1500" s="377" t="s">
        <v>2486</v>
      </c>
      <c r="I1500" s="76"/>
      <c r="J1500" s="76"/>
      <c r="K1500" s="76"/>
      <c r="L1500" s="76"/>
      <c r="M1500" s="76"/>
      <c r="N1500" s="76"/>
      <c r="O1500" s="76"/>
      <c r="P1500" s="76"/>
      <c r="Q1500" s="76"/>
      <c r="R1500" s="76"/>
      <c r="S1500" s="76"/>
      <c r="T1500" s="76"/>
      <c r="U1500" s="76">
        <v>0</v>
      </c>
      <c r="V1500" s="76">
        <v>0</v>
      </c>
      <c r="W1500" s="76">
        <v>0</v>
      </c>
      <c r="X1500" s="76">
        <v>0</v>
      </c>
      <c r="Y1500" s="76">
        <v>0</v>
      </c>
      <c r="Z1500" s="76">
        <v>0</v>
      </c>
      <c r="AA1500" s="76">
        <v>0</v>
      </c>
      <c r="AB1500" s="76">
        <v>0</v>
      </c>
      <c r="AC1500" s="76">
        <v>0</v>
      </c>
      <c r="AD1500" s="76">
        <v>0</v>
      </c>
      <c r="AE1500" s="76"/>
      <c r="AF1500" s="76"/>
      <c r="AG1500" s="76"/>
      <c r="AH1500" s="76">
        <v>1</v>
      </c>
      <c r="AI1500" s="76">
        <v>1</v>
      </c>
      <c r="AJ1500" s="73"/>
      <c r="AK1500" s="57"/>
      <c r="AL1500" s="45"/>
      <c r="AM1500" s="45"/>
      <c r="AN1500" s="45"/>
    </row>
    <row r="1501" spans="1:40" hidden="1" outlineLevel="3" x14ac:dyDescent="0.35">
      <c r="A1501" s="45"/>
      <c r="B1501" s="54"/>
      <c r="C1501" s="47">
        <f>INT($C$29)+2</f>
        <v>3</v>
      </c>
      <c r="D1501" s="73"/>
      <c r="E1501" s="70"/>
      <c r="F1501" s="70" t="s">
        <v>2071</v>
      </c>
      <c r="G1501" s="73"/>
      <c r="H1501" s="76" t="s">
        <v>2070</v>
      </c>
      <c r="I1501" s="76"/>
      <c r="J1501" s="76"/>
      <c r="K1501" s="76"/>
      <c r="L1501" s="76"/>
      <c r="M1501" s="76"/>
      <c r="N1501" s="76"/>
      <c r="O1501" s="76"/>
      <c r="P1501" s="76"/>
      <c r="Q1501" s="76"/>
      <c r="R1501" s="76"/>
      <c r="S1501" s="76"/>
      <c r="T1501" s="76"/>
      <c r="U1501" s="76">
        <v>0</v>
      </c>
      <c r="V1501" s="76">
        <v>0</v>
      </c>
      <c r="W1501" s="76">
        <v>0</v>
      </c>
      <c r="X1501" s="76">
        <v>0</v>
      </c>
      <c r="Y1501" s="76">
        <v>0</v>
      </c>
      <c r="Z1501" s="76">
        <v>0</v>
      </c>
      <c r="AA1501" s="76">
        <v>0</v>
      </c>
      <c r="AB1501" s="76">
        <v>0</v>
      </c>
      <c r="AC1501" s="76">
        <v>0</v>
      </c>
      <c r="AD1501" s="76">
        <v>0</v>
      </c>
      <c r="AE1501" s="76"/>
      <c r="AF1501" s="76"/>
      <c r="AG1501" s="76"/>
      <c r="AH1501" s="76">
        <v>1</v>
      </c>
      <c r="AI1501" s="76">
        <v>1</v>
      </c>
      <c r="AJ1501" s="73"/>
      <c r="AK1501" s="57"/>
      <c r="AL1501" s="45"/>
      <c r="AM1501" s="45"/>
      <c r="AN1501" s="45"/>
    </row>
    <row r="1502" spans="1:40" hidden="1" outlineLevel="3" x14ac:dyDescent="0.35">
      <c r="A1502" s="45"/>
      <c r="B1502" s="54"/>
      <c r="C1502" s="47">
        <f>INT($C$29)+2</f>
        <v>3</v>
      </c>
      <c r="D1502" s="73"/>
      <c r="E1502" s="70"/>
      <c r="F1502" s="70" t="s">
        <v>2491</v>
      </c>
      <c r="G1502" s="73"/>
      <c r="H1502" s="76" t="s">
        <v>2072</v>
      </c>
      <c r="I1502" s="76"/>
      <c r="J1502" s="76"/>
      <c r="K1502" s="76"/>
      <c r="L1502" s="76"/>
      <c r="M1502" s="76"/>
      <c r="N1502" s="76"/>
      <c r="O1502" s="76"/>
      <c r="P1502" s="76"/>
      <c r="Q1502" s="76"/>
      <c r="R1502" s="76"/>
      <c r="S1502" s="76"/>
      <c r="T1502" s="76"/>
      <c r="U1502" s="76">
        <v>0</v>
      </c>
      <c r="V1502" s="76">
        <v>0</v>
      </c>
      <c r="W1502" s="76">
        <v>0</v>
      </c>
      <c r="X1502" s="76">
        <v>0</v>
      </c>
      <c r="Y1502" s="76">
        <v>0</v>
      </c>
      <c r="Z1502" s="76">
        <v>0</v>
      </c>
      <c r="AA1502" s="76">
        <v>0</v>
      </c>
      <c r="AB1502" s="76">
        <v>0</v>
      </c>
      <c r="AC1502" s="76">
        <v>0</v>
      </c>
      <c r="AD1502" s="76">
        <v>0</v>
      </c>
      <c r="AE1502" s="76"/>
      <c r="AF1502" s="76"/>
      <c r="AG1502" s="76"/>
      <c r="AH1502" s="76">
        <v>1</v>
      </c>
      <c r="AI1502" s="76">
        <v>1</v>
      </c>
      <c r="AJ1502" s="73"/>
      <c r="AK1502" s="57"/>
      <c r="AL1502" s="45"/>
      <c r="AM1502" s="45"/>
      <c r="AN1502" s="45"/>
    </row>
    <row r="1503" spans="1:40" hidden="1" outlineLevel="3" x14ac:dyDescent="0.35">
      <c r="A1503" s="45"/>
      <c r="B1503" s="54"/>
      <c r="C1503" s="47">
        <f t="shared" ref="C1503:C1510" si="234">INT($C$29)+3</f>
        <v>4</v>
      </c>
      <c r="D1503" s="73"/>
      <c r="E1503" s="70"/>
      <c r="F1503" s="70" t="s">
        <v>2489</v>
      </c>
      <c r="G1503" s="73"/>
      <c r="H1503" s="377" t="s">
        <v>2487</v>
      </c>
      <c r="I1503" s="76"/>
      <c r="J1503" s="76"/>
      <c r="K1503" s="76"/>
      <c r="L1503" s="76"/>
      <c r="M1503" s="76"/>
      <c r="N1503" s="76"/>
      <c r="O1503" s="76"/>
      <c r="P1503" s="76"/>
      <c r="Q1503" s="76"/>
      <c r="R1503" s="76"/>
      <c r="S1503" s="76"/>
      <c r="T1503" s="76"/>
      <c r="U1503" s="76">
        <v>0</v>
      </c>
      <c r="V1503" s="76">
        <v>0</v>
      </c>
      <c r="W1503" s="76">
        <v>0</v>
      </c>
      <c r="X1503" s="76">
        <v>0</v>
      </c>
      <c r="Y1503" s="76">
        <v>0</v>
      </c>
      <c r="Z1503" s="76">
        <v>0</v>
      </c>
      <c r="AA1503" s="76">
        <v>0</v>
      </c>
      <c r="AB1503" s="76">
        <v>0</v>
      </c>
      <c r="AC1503" s="76">
        <v>0</v>
      </c>
      <c r="AD1503" s="76">
        <v>0</v>
      </c>
      <c r="AE1503" s="76"/>
      <c r="AF1503" s="76"/>
      <c r="AG1503" s="76"/>
      <c r="AH1503" s="76">
        <v>1</v>
      </c>
      <c r="AI1503" s="76">
        <v>1</v>
      </c>
      <c r="AJ1503" s="73"/>
      <c r="AK1503" s="57"/>
      <c r="AL1503" s="45"/>
      <c r="AM1503" s="45"/>
      <c r="AN1503" s="45"/>
    </row>
    <row r="1504" spans="1:40" hidden="1" outlineLevel="3" x14ac:dyDescent="0.35">
      <c r="A1504" s="45"/>
      <c r="B1504" s="54"/>
      <c r="C1504" s="47">
        <f t="shared" si="234"/>
        <v>4</v>
      </c>
      <c r="D1504" s="73"/>
      <c r="E1504" s="70"/>
      <c r="F1504" s="70" t="s">
        <v>2490</v>
      </c>
      <c r="G1504" s="73"/>
      <c r="H1504" s="377" t="s">
        <v>2488</v>
      </c>
      <c r="I1504" s="76"/>
      <c r="J1504" s="76"/>
      <c r="K1504" s="76"/>
      <c r="L1504" s="76"/>
      <c r="M1504" s="76"/>
      <c r="N1504" s="76"/>
      <c r="O1504" s="76"/>
      <c r="P1504" s="76"/>
      <c r="Q1504" s="76"/>
      <c r="R1504" s="76"/>
      <c r="S1504" s="76"/>
      <c r="T1504" s="76"/>
      <c r="U1504" s="76">
        <v>0</v>
      </c>
      <c r="V1504" s="76">
        <v>0</v>
      </c>
      <c r="W1504" s="76">
        <v>0</v>
      </c>
      <c r="X1504" s="76">
        <v>0</v>
      </c>
      <c r="Y1504" s="76">
        <v>0</v>
      </c>
      <c r="Z1504" s="76">
        <v>0</v>
      </c>
      <c r="AA1504" s="76">
        <v>0</v>
      </c>
      <c r="AB1504" s="76">
        <v>0</v>
      </c>
      <c r="AC1504" s="76">
        <v>0</v>
      </c>
      <c r="AD1504" s="76">
        <v>0</v>
      </c>
      <c r="AE1504" s="76"/>
      <c r="AF1504" s="76"/>
      <c r="AG1504" s="76"/>
      <c r="AH1504" s="76">
        <v>1</v>
      </c>
      <c r="AI1504" s="76">
        <v>1</v>
      </c>
      <c r="AJ1504" s="73"/>
      <c r="AK1504" s="57"/>
      <c r="AL1504" s="45"/>
      <c r="AM1504" s="45"/>
      <c r="AN1504" s="45"/>
    </row>
    <row r="1505" spans="1:40" hidden="1" outlineLevel="3" x14ac:dyDescent="0.35">
      <c r="A1505" s="45"/>
      <c r="B1505" s="54"/>
      <c r="C1505" s="47">
        <f t="shared" si="234"/>
        <v>4</v>
      </c>
      <c r="D1505" s="73"/>
      <c r="E1505" s="70"/>
      <c r="F1505" s="70" t="str">
        <f>SUBSTITUTE(F1501,",4)",",8)")</f>
        <v>C(U2,20,8)</v>
      </c>
      <c r="G1505" s="73"/>
      <c r="H1505" s="76" t="s">
        <v>2747</v>
      </c>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234"/>
        <v>4</v>
      </c>
      <c r="D1506" s="73"/>
      <c r="E1506" s="70"/>
      <c r="F1506" s="70" t="str">
        <f>SUBSTITUTE(F1502,",5)",",9)")</f>
        <v>C(U2,20,9)</v>
      </c>
      <c r="G1506" s="73"/>
      <c r="H1506" s="76" t="s">
        <v>2748</v>
      </c>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234"/>
        <v>4</v>
      </c>
      <c r="D1507" s="73"/>
      <c r="E1507" s="70"/>
      <c r="F1507" s="70" t="str">
        <f>SUBSTITUTE(F1503,",6)",",10)")</f>
        <v>C(U2,20,10)</v>
      </c>
      <c r="G1507" s="73"/>
      <c r="H1507" s="76" t="s">
        <v>2749</v>
      </c>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234"/>
        <v>4</v>
      </c>
      <c r="D1508" s="73"/>
      <c r="E1508" s="70"/>
      <c r="F1508" s="70" t="str">
        <f>SUBSTITUTE(F1504,",7)",",11)")</f>
        <v>C(U2,20,11)</v>
      </c>
      <c r="G1508" s="73"/>
      <c r="H1508" s="76" t="s">
        <v>2750</v>
      </c>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234"/>
        <v>4</v>
      </c>
      <c r="D1509" s="73"/>
      <c r="E1509" s="70"/>
      <c r="F1509" s="70" t="str">
        <f>SUBSTITUTE(F1503,",6)",",12)")</f>
        <v>C(U2,20,12)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234"/>
        <v>4</v>
      </c>
      <c r="D1510" s="73"/>
      <c r="E1510" s="70"/>
      <c r="F1510" s="70" t="str">
        <f>SUBSTITUTE(F1504,",7)",",13)")</f>
        <v>C(U2,20,13)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outlineLevel="2" collapsed="1" x14ac:dyDescent="0.35">
      <c r="A1511" s="45"/>
      <c r="B1511" s="54"/>
      <c r="C1511" s="47">
        <f>INT($C$29)+2</f>
        <v>3</v>
      </c>
      <c r="D1511" s="73"/>
      <c r="E1511" s="70"/>
      <c r="F1511" s="70" t="s">
        <v>2073</v>
      </c>
      <c r="G1511" s="73"/>
      <c r="H1511" s="76" t="s">
        <v>2074</v>
      </c>
      <c r="I1511" s="76"/>
      <c r="J1511" s="76"/>
      <c r="K1511" s="76"/>
      <c r="L1511" s="76"/>
      <c r="M1511" s="76"/>
      <c r="N1511" s="76"/>
      <c r="O1511" s="76"/>
      <c r="P1511" s="76"/>
      <c r="Q1511" s="76"/>
      <c r="R1511" s="76"/>
      <c r="S1511" s="76"/>
      <c r="T1511" s="76"/>
      <c r="U1511" s="97">
        <v>-4.07</v>
      </c>
      <c r="V1511" s="97">
        <v>-4.07</v>
      </c>
      <c r="W1511" s="97">
        <v>-4.07</v>
      </c>
      <c r="X1511" s="97">
        <v>-4.07</v>
      </c>
      <c r="Y1511" s="97">
        <v>-4.07</v>
      </c>
      <c r="Z1511" s="255">
        <f>Y1511</f>
        <v>-4.07</v>
      </c>
      <c r="AA1511" s="255">
        <f>Z1511</f>
        <v>-4.07</v>
      </c>
      <c r="AB1511" s="255">
        <f>AA1511</f>
        <v>-4.07</v>
      </c>
      <c r="AC1511" s="255">
        <f>AB1511</f>
        <v>-4.07</v>
      </c>
      <c r="AD1511" s="255">
        <f>AC1511</f>
        <v>-4.07</v>
      </c>
      <c r="AE1511" s="76"/>
      <c r="AF1511" s="76"/>
      <c r="AG1511" s="76"/>
      <c r="AH1511" s="97">
        <v>1</v>
      </c>
      <c r="AI1511" s="97">
        <v>1</v>
      </c>
      <c r="AJ1511" s="73"/>
      <c r="AK1511" s="57"/>
      <c r="AL1511" s="45"/>
      <c r="AM1511" s="45"/>
      <c r="AN1511" s="45"/>
    </row>
    <row r="1512" spans="1:40" hidden="1" outlineLevel="3" x14ac:dyDescent="0.35">
      <c r="A1512" s="45"/>
      <c r="B1512" s="54"/>
      <c r="C1512" s="47">
        <f>INT($C$29)+3</f>
        <v>4</v>
      </c>
      <c r="D1512" s="73"/>
      <c r="E1512" s="70"/>
      <c r="F1512" s="70" t="s">
        <v>2075</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INT($C$29)+3</f>
        <v>4</v>
      </c>
      <c r="D1513" s="73"/>
      <c r="E1513" s="70"/>
      <c r="F1513" s="70" t="s">
        <v>2076</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INT($C$29)+3</f>
        <v>4</v>
      </c>
      <c r="D1514" s="73"/>
      <c r="E1514" s="70"/>
      <c r="F1514" s="70" t="s">
        <v>2077</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INT($C$29)+3</f>
        <v>4</v>
      </c>
      <c r="D1515" s="73"/>
      <c r="E1515" s="70"/>
      <c r="F1515" s="70" t="s">
        <v>2078</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INT($C$29)+3</f>
        <v>4</v>
      </c>
      <c r="D1516" s="73"/>
      <c r="E1516" s="70"/>
      <c r="F1516" s="70" t="s">
        <v>2079</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c r="D1517" s="73"/>
      <c r="E1517" s="70"/>
      <c r="F1517" s="70" t="s">
        <v>2473</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2474</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2475</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INT($C$29)+3</f>
        <v>4</v>
      </c>
      <c r="D1520" s="73"/>
      <c r="E1520" s="70"/>
      <c r="F1520" s="70" t="str">
        <f>SUBSTITUTE(F1516,",4)",",8)")</f>
        <v>C(U2,21,8)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INT($C$29)+3</f>
        <v>4</v>
      </c>
      <c r="D1521" s="73"/>
      <c r="E1521" s="70"/>
      <c r="F1521" s="70" t="str">
        <f>SUBSTITUTE(F1517,",5)",",9)")</f>
        <v>C(U2,21,9)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INT($C$29)+3</f>
        <v>4</v>
      </c>
      <c r="D1522" s="73"/>
      <c r="E1522" s="70"/>
      <c r="F1522" s="70" t="str">
        <f>SUBSTITUTE(F1518,",6)",",10)")</f>
        <v>C(U2,21,10)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INT($C$29)+3</f>
        <v>4</v>
      </c>
      <c r="D1523" s="73"/>
      <c r="E1523" s="70"/>
      <c r="F1523" s="70" t="str">
        <f>SUBSTITUTE(F1519,",7)",",11)")</f>
        <v>C(U2,21,11)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ref="C1524:C1525" si="235">INT($C$29)+3</f>
        <v>4</v>
      </c>
      <c r="D1524" s="73"/>
      <c r="E1524" s="70"/>
      <c r="F1524" s="70" t="str">
        <f>SUBSTITUTE(F1518,",6)",",12)")</f>
        <v>C(U2,21,12)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235"/>
        <v>4</v>
      </c>
      <c r="D1525" s="73"/>
      <c r="E1525" s="70"/>
      <c r="F1525" s="70" t="str">
        <f>SUBSTITUTE(F1519,",7)",",13)")</f>
        <v>C(U2,21,13)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INT($C$29)+3</f>
        <v>4</v>
      </c>
      <c r="D1526" s="73"/>
      <c r="E1526" s="70"/>
      <c r="F1526" s="70" t="s">
        <v>2080</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outlineLevel="2" x14ac:dyDescent="0.35">
      <c r="A1527" s="45"/>
      <c r="B1527" s="54"/>
      <c r="C1527" s="47">
        <f>INT($C$29)+2</f>
        <v>3</v>
      </c>
      <c r="D1527" s="73"/>
      <c r="E1527" s="70"/>
      <c r="F1527" s="70" t="s">
        <v>2081</v>
      </c>
      <c r="G1527" s="73"/>
      <c r="H1527" s="76" t="s">
        <v>2765</v>
      </c>
      <c r="I1527" s="76"/>
      <c r="J1527" s="76"/>
      <c r="K1527" s="76"/>
      <c r="L1527" s="76"/>
      <c r="M1527" s="76"/>
      <c r="N1527" s="76"/>
      <c r="O1527" s="76"/>
      <c r="P1527" s="76"/>
      <c r="Q1527" s="76"/>
      <c r="R1527" s="76"/>
      <c r="S1527" s="76"/>
      <c r="T1527" s="76"/>
      <c r="U1527" s="97">
        <v>-8.4959000000000007</v>
      </c>
      <c r="V1527" s="261">
        <f>U1527</f>
        <v>-8.4959000000000007</v>
      </c>
      <c r="W1527" s="261">
        <f>U1527</f>
        <v>-8.4959000000000007</v>
      </c>
      <c r="X1527" s="261">
        <f>V1527</f>
        <v>-8.4959000000000007</v>
      </c>
      <c r="Y1527" s="261">
        <f>V1527</f>
        <v>-8.4959000000000007</v>
      </c>
      <c r="Z1527" s="261">
        <f t="shared" ref="Z1527:AD1528" si="236">Y1527</f>
        <v>-8.4959000000000007</v>
      </c>
      <c r="AA1527" s="261">
        <f t="shared" si="236"/>
        <v>-8.4959000000000007</v>
      </c>
      <c r="AB1527" s="261">
        <f t="shared" si="236"/>
        <v>-8.4959000000000007</v>
      </c>
      <c r="AC1527" s="261">
        <f t="shared" si="236"/>
        <v>-8.4959000000000007</v>
      </c>
      <c r="AD1527" s="261">
        <f t="shared" si="236"/>
        <v>-8.4959000000000007</v>
      </c>
      <c r="AE1527" s="76"/>
      <c r="AF1527" s="97" t="s">
        <v>2766</v>
      </c>
      <c r="AG1527" s="76"/>
      <c r="AH1527" s="97">
        <v>1</v>
      </c>
      <c r="AI1527" s="97">
        <v>1</v>
      </c>
      <c r="AJ1527" s="73"/>
      <c r="AK1527" s="57"/>
      <c r="AL1527" s="45"/>
      <c r="AM1527" s="45"/>
      <c r="AN1527" s="45"/>
    </row>
    <row r="1528" spans="1:40" outlineLevel="2" collapsed="1" x14ac:dyDescent="0.35">
      <c r="A1528" s="45"/>
      <c r="B1528" s="54"/>
      <c r="C1528" s="47">
        <f>INT($C$29)+2</f>
        <v>3</v>
      </c>
      <c r="D1528" s="73"/>
      <c r="E1528" s="70"/>
      <c r="F1528" s="70" t="s">
        <v>2082</v>
      </c>
      <c r="G1528" s="73"/>
      <c r="H1528" s="76" t="s">
        <v>2498</v>
      </c>
      <c r="I1528" s="76"/>
      <c r="J1528" s="76"/>
      <c r="K1528" s="76"/>
      <c r="L1528" s="76"/>
      <c r="M1528" s="76"/>
      <c r="N1528" s="76"/>
      <c r="O1528" s="76"/>
      <c r="P1528" s="76"/>
      <c r="Q1528" s="76"/>
      <c r="R1528" s="76"/>
      <c r="S1528" s="76"/>
      <c r="T1528" s="76"/>
      <c r="U1528" s="97">
        <v>1.38185</v>
      </c>
      <c r="V1528" s="261">
        <f>U1528</f>
        <v>1.38185</v>
      </c>
      <c r="W1528" s="261">
        <f>U1528</f>
        <v>1.38185</v>
      </c>
      <c r="X1528" s="261">
        <f>V1528</f>
        <v>1.38185</v>
      </c>
      <c r="Y1528" s="261">
        <f>V1528</f>
        <v>1.38185</v>
      </c>
      <c r="Z1528" s="261">
        <f t="shared" si="236"/>
        <v>1.38185</v>
      </c>
      <c r="AA1528" s="261">
        <f t="shared" si="236"/>
        <v>1.38185</v>
      </c>
      <c r="AB1528" s="261">
        <f t="shared" si="236"/>
        <v>1.38185</v>
      </c>
      <c r="AC1528" s="261">
        <f t="shared" si="236"/>
        <v>1.38185</v>
      </c>
      <c r="AD1528" s="261">
        <f t="shared" si="236"/>
        <v>1.38185</v>
      </c>
      <c r="AE1528" s="76"/>
      <c r="AF1528" s="76"/>
      <c r="AG1528" s="76"/>
      <c r="AH1528" s="97">
        <v>1</v>
      </c>
      <c r="AI1528" s="97">
        <v>1</v>
      </c>
      <c r="AJ1528" s="73"/>
      <c r="AK1528" s="57"/>
      <c r="AL1528" s="45"/>
      <c r="AM1528" s="45"/>
      <c r="AN1528" s="45"/>
    </row>
    <row r="1529" spans="1:40" hidden="1" outlineLevel="3" x14ac:dyDescent="0.35">
      <c r="A1529" s="45"/>
      <c r="B1529" s="54"/>
      <c r="C1529" s="47">
        <f t="shared" ref="C1529:C1540" si="237">INT($C$29)+3</f>
        <v>4</v>
      </c>
      <c r="D1529" s="73"/>
      <c r="E1529" s="70"/>
      <c r="F1529" s="70" t="s">
        <v>2083</v>
      </c>
      <c r="G1529" s="73"/>
      <c r="H1529" s="377" t="s">
        <v>2505</v>
      </c>
      <c r="I1529" s="76"/>
      <c r="J1529" s="76"/>
      <c r="K1529" s="76"/>
      <c r="L1529" s="76"/>
      <c r="M1529" s="76"/>
      <c r="N1529" s="76"/>
      <c r="O1529" s="76"/>
      <c r="P1529" s="76"/>
      <c r="Q1529" s="76"/>
      <c r="R1529" s="76"/>
      <c r="S1529" s="76"/>
      <c r="T1529" s="76"/>
      <c r="U1529" s="76">
        <v>0</v>
      </c>
      <c r="V1529" s="76">
        <v>0</v>
      </c>
      <c r="W1529" s="76">
        <v>0</v>
      </c>
      <c r="X1529" s="76">
        <v>0</v>
      </c>
      <c r="Y1529" s="76">
        <v>0</v>
      </c>
      <c r="Z1529" s="76">
        <v>0</v>
      </c>
      <c r="AA1529" s="76">
        <v>0</v>
      </c>
      <c r="AB1529" s="76">
        <v>0</v>
      </c>
      <c r="AC1529" s="76">
        <v>0</v>
      </c>
      <c r="AD1529" s="76">
        <v>0</v>
      </c>
      <c r="AE1529" s="76"/>
      <c r="AF1529" s="76"/>
      <c r="AG1529" s="76"/>
      <c r="AH1529" s="76">
        <v>1</v>
      </c>
      <c r="AI1529" s="76">
        <v>1</v>
      </c>
      <c r="AJ1529" s="73"/>
      <c r="AK1529" s="57"/>
      <c r="AL1529" s="45"/>
      <c r="AM1529" s="45"/>
      <c r="AN1529" s="45"/>
    </row>
    <row r="1530" spans="1:40" hidden="1" outlineLevel="3" x14ac:dyDescent="0.35">
      <c r="A1530" s="45"/>
      <c r="B1530" s="54"/>
      <c r="C1530" s="47">
        <f t="shared" si="237"/>
        <v>4</v>
      </c>
      <c r="D1530" s="73"/>
      <c r="E1530" s="70"/>
      <c r="F1530" s="70" t="s">
        <v>2084</v>
      </c>
      <c r="G1530" s="73"/>
      <c r="H1530" s="377" t="s">
        <v>2506</v>
      </c>
      <c r="I1530" s="76"/>
      <c r="J1530" s="76"/>
      <c r="K1530" s="76"/>
      <c r="L1530" s="76"/>
      <c r="M1530" s="76"/>
      <c r="N1530" s="76"/>
      <c r="O1530" s="76"/>
      <c r="P1530" s="76"/>
      <c r="Q1530" s="76"/>
      <c r="R1530" s="76"/>
      <c r="S1530" s="76"/>
      <c r="T1530" s="76"/>
      <c r="U1530" s="76">
        <v>0</v>
      </c>
      <c r="V1530" s="76">
        <v>0</v>
      </c>
      <c r="W1530" s="76">
        <v>0</v>
      </c>
      <c r="X1530" s="76">
        <v>0</v>
      </c>
      <c r="Y1530" s="76">
        <v>0</v>
      </c>
      <c r="Z1530" s="76">
        <v>0</v>
      </c>
      <c r="AA1530" s="76">
        <v>0</v>
      </c>
      <c r="AB1530" s="76">
        <v>0</v>
      </c>
      <c r="AC1530" s="76">
        <v>0</v>
      </c>
      <c r="AD1530" s="76">
        <v>0</v>
      </c>
      <c r="AE1530" s="76"/>
      <c r="AF1530" s="76"/>
      <c r="AG1530" s="76"/>
      <c r="AH1530" s="76">
        <v>1</v>
      </c>
      <c r="AI1530" s="76">
        <v>1</v>
      </c>
      <c r="AJ1530" s="73"/>
      <c r="AK1530" s="57"/>
      <c r="AL1530" s="45"/>
      <c r="AM1530" s="45"/>
      <c r="AN1530" s="45"/>
    </row>
    <row r="1531" spans="1:40" hidden="1" outlineLevel="3" x14ac:dyDescent="0.35">
      <c r="A1531" s="45"/>
      <c r="B1531" s="54"/>
      <c r="C1531" s="47">
        <f t="shared" si="237"/>
        <v>4</v>
      </c>
      <c r="D1531" s="73"/>
      <c r="E1531" s="70"/>
      <c r="F1531" s="70" t="s">
        <v>2085</v>
      </c>
      <c r="G1531" s="73"/>
      <c r="H1531" s="377" t="s">
        <v>2507</v>
      </c>
      <c r="I1531" s="76"/>
      <c r="J1531" s="76"/>
      <c r="K1531" s="76"/>
      <c r="L1531" s="76"/>
      <c r="M1531" s="76"/>
      <c r="N1531" s="76"/>
      <c r="O1531" s="76"/>
      <c r="P1531" s="76"/>
      <c r="Q1531" s="76"/>
      <c r="R1531" s="76"/>
      <c r="S1531" s="76"/>
      <c r="T1531" s="76"/>
      <c r="U1531" s="76">
        <v>0</v>
      </c>
      <c r="V1531" s="76">
        <v>0</v>
      </c>
      <c r="W1531" s="76">
        <v>0</v>
      </c>
      <c r="X1531" s="76">
        <v>0</v>
      </c>
      <c r="Y1531" s="76">
        <v>0</v>
      </c>
      <c r="Z1531" s="76">
        <v>0</v>
      </c>
      <c r="AA1531" s="76">
        <v>0</v>
      </c>
      <c r="AB1531" s="76">
        <v>0</v>
      </c>
      <c r="AC1531" s="76">
        <v>0</v>
      </c>
      <c r="AD1531" s="76">
        <v>0</v>
      </c>
      <c r="AE1531" s="76"/>
      <c r="AF1531" s="76"/>
      <c r="AG1531" s="76"/>
      <c r="AH1531" s="76">
        <v>1</v>
      </c>
      <c r="AI1531" s="76">
        <v>1</v>
      </c>
      <c r="AJ1531" s="73"/>
      <c r="AK1531" s="57"/>
      <c r="AL1531" s="45"/>
      <c r="AM1531" s="45"/>
      <c r="AN1531" s="45"/>
    </row>
    <row r="1532" spans="1:40" hidden="1" outlineLevel="3" x14ac:dyDescent="0.35">
      <c r="A1532" s="45"/>
      <c r="B1532" s="54"/>
      <c r="C1532" s="47">
        <f t="shared" si="237"/>
        <v>4</v>
      </c>
      <c r="D1532" s="73"/>
      <c r="E1532" s="70"/>
      <c r="F1532" s="70" t="s">
        <v>2407</v>
      </c>
      <c r="G1532" s="73"/>
      <c r="H1532" s="377" t="s">
        <v>2508</v>
      </c>
      <c r="I1532" s="76"/>
      <c r="J1532" s="76"/>
      <c r="K1532" s="76"/>
      <c r="L1532" s="76"/>
      <c r="M1532" s="76"/>
      <c r="N1532" s="76"/>
      <c r="O1532" s="76"/>
      <c r="P1532" s="76"/>
      <c r="Q1532" s="76"/>
      <c r="R1532" s="76"/>
      <c r="S1532" s="76"/>
      <c r="T1532" s="76"/>
      <c r="U1532" s="76">
        <v>0</v>
      </c>
      <c r="V1532" s="76">
        <v>0</v>
      </c>
      <c r="W1532" s="76">
        <v>0</v>
      </c>
      <c r="X1532" s="76">
        <v>0</v>
      </c>
      <c r="Y1532" s="76">
        <v>0</v>
      </c>
      <c r="Z1532" s="76">
        <v>0</v>
      </c>
      <c r="AA1532" s="76">
        <v>0</v>
      </c>
      <c r="AB1532" s="76">
        <v>0</v>
      </c>
      <c r="AC1532" s="76">
        <v>0</v>
      </c>
      <c r="AD1532" s="76">
        <v>0</v>
      </c>
      <c r="AE1532" s="76"/>
      <c r="AF1532" s="76"/>
      <c r="AG1532" s="76"/>
      <c r="AH1532" s="76">
        <v>1</v>
      </c>
      <c r="AI1532" s="76">
        <v>1</v>
      </c>
      <c r="AJ1532" s="73"/>
      <c r="AK1532" s="57"/>
      <c r="AL1532" s="45"/>
      <c r="AM1532" s="45"/>
      <c r="AN1532" s="45"/>
    </row>
    <row r="1533" spans="1:40" hidden="1" outlineLevel="3" x14ac:dyDescent="0.35">
      <c r="A1533" s="45"/>
      <c r="B1533" s="54"/>
      <c r="C1533" s="47">
        <f t="shared" si="237"/>
        <v>4</v>
      </c>
      <c r="D1533" s="73"/>
      <c r="E1533" s="70"/>
      <c r="F1533" s="70" t="s">
        <v>2408</v>
      </c>
      <c r="G1533" s="73"/>
      <c r="H1533" s="377" t="s">
        <v>2509</v>
      </c>
      <c r="I1533" s="76"/>
      <c r="J1533" s="76"/>
      <c r="K1533" s="76"/>
      <c r="L1533" s="76"/>
      <c r="M1533" s="76"/>
      <c r="N1533" s="76"/>
      <c r="O1533" s="76"/>
      <c r="P1533" s="76"/>
      <c r="Q1533" s="76"/>
      <c r="R1533" s="76"/>
      <c r="S1533" s="76"/>
      <c r="T1533" s="76"/>
      <c r="U1533" s="76">
        <v>0</v>
      </c>
      <c r="V1533" s="76">
        <v>0</v>
      </c>
      <c r="W1533" s="76">
        <v>0</v>
      </c>
      <c r="X1533" s="76">
        <v>0</v>
      </c>
      <c r="Y1533" s="76">
        <v>0</v>
      </c>
      <c r="Z1533" s="76">
        <v>0</v>
      </c>
      <c r="AA1533" s="76">
        <v>0</v>
      </c>
      <c r="AB1533" s="76">
        <v>0</v>
      </c>
      <c r="AC1533" s="76">
        <v>0</v>
      </c>
      <c r="AD1533" s="76">
        <v>0</v>
      </c>
      <c r="AE1533" s="76"/>
      <c r="AF1533" s="76"/>
      <c r="AG1533" s="76"/>
      <c r="AH1533" s="76">
        <v>1</v>
      </c>
      <c r="AI1533" s="76">
        <v>1</v>
      </c>
      <c r="AJ1533" s="73"/>
      <c r="AK1533" s="57"/>
      <c r="AL1533" s="45"/>
      <c r="AM1533" s="45"/>
      <c r="AN1533" s="45"/>
    </row>
    <row r="1534" spans="1:40" hidden="1" outlineLevel="3" x14ac:dyDescent="0.35">
      <c r="A1534" s="45"/>
      <c r="B1534" s="54"/>
      <c r="C1534" s="47">
        <f t="shared" si="237"/>
        <v>4</v>
      </c>
      <c r="D1534" s="73"/>
      <c r="E1534" s="70"/>
      <c r="F1534" s="70" t="s">
        <v>2409</v>
      </c>
      <c r="G1534" s="73"/>
      <c r="H1534" s="377" t="s">
        <v>2510</v>
      </c>
      <c r="I1534" s="76"/>
      <c r="J1534" s="76"/>
      <c r="K1534" s="76"/>
      <c r="L1534" s="76"/>
      <c r="M1534" s="76"/>
      <c r="N1534" s="76"/>
      <c r="O1534" s="76"/>
      <c r="P1534" s="76"/>
      <c r="Q1534" s="76"/>
      <c r="R1534" s="76"/>
      <c r="S1534" s="76"/>
      <c r="T1534" s="76"/>
      <c r="U1534" s="76">
        <v>0</v>
      </c>
      <c r="V1534" s="76">
        <v>0</v>
      </c>
      <c r="W1534" s="76">
        <v>0</v>
      </c>
      <c r="X1534" s="76">
        <v>0</v>
      </c>
      <c r="Y1534" s="76">
        <v>0</v>
      </c>
      <c r="Z1534" s="76">
        <v>0</v>
      </c>
      <c r="AA1534" s="76">
        <v>0</v>
      </c>
      <c r="AB1534" s="76">
        <v>0</v>
      </c>
      <c r="AC1534" s="76">
        <v>0</v>
      </c>
      <c r="AD1534" s="76">
        <v>0</v>
      </c>
      <c r="AE1534" s="76"/>
      <c r="AF1534" s="76"/>
      <c r="AG1534" s="76"/>
      <c r="AH1534" s="76">
        <v>1</v>
      </c>
      <c r="AI1534" s="76">
        <v>1</v>
      </c>
      <c r="AJ1534" s="73"/>
      <c r="AK1534" s="57"/>
      <c r="AL1534" s="45"/>
      <c r="AM1534" s="45"/>
      <c r="AN1534" s="45"/>
    </row>
    <row r="1535" spans="1:40" hidden="1" outlineLevel="3" x14ac:dyDescent="0.35">
      <c r="A1535" s="45"/>
      <c r="B1535" s="54"/>
      <c r="C1535" s="47">
        <f t="shared" si="237"/>
        <v>4</v>
      </c>
      <c r="D1535" s="73"/>
      <c r="E1535" s="70"/>
      <c r="F1535" s="70" t="str">
        <f>SUBSTITUTE(F1531,",4)",",8)")</f>
        <v>C(U2,22,8)</v>
      </c>
      <c r="G1535" s="73"/>
      <c r="H1535" s="76" t="s">
        <v>2747</v>
      </c>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237"/>
        <v>4</v>
      </c>
      <c r="D1536" s="73"/>
      <c r="E1536" s="70"/>
      <c r="F1536" s="70" t="str">
        <f>SUBSTITUTE(F1532,",5)",",9)")</f>
        <v>C(U2,22,9)</v>
      </c>
      <c r="G1536" s="73"/>
      <c r="H1536" s="76" t="s">
        <v>2748</v>
      </c>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237"/>
        <v>4</v>
      </c>
      <c r="D1537" s="73"/>
      <c r="E1537" s="70"/>
      <c r="F1537" s="70" t="str">
        <f>SUBSTITUTE(F1533,",6)",",10)")</f>
        <v>C(U2,22,10)</v>
      </c>
      <c r="G1537" s="73"/>
      <c r="H1537" s="76" t="s">
        <v>2749</v>
      </c>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237"/>
        <v>4</v>
      </c>
      <c r="D1538" s="73"/>
      <c r="E1538" s="70"/>
      <c r="F1538" s="70" t="str">
        <f>SUBSTITUTE(F1534,",7)",",11)")</f>
        <v>C(U2,22,11)</v>
      </c>
      <c r="G1538" s="73"/>
      <c r="H1538" s="76" t="s">
        <v>2750</v>
      </c>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237"/>
        <v>4</v>
      </c>
      <c r="D1539" s="73"/>
      <c r="E1539" s="70"/>
      <c r="F1539" s="70" t="str">
        <f>SUBSTITUTE(F1533,",6)",",12)")</f>
        <v>C(U2,22,12)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237"/>
        <v>4</v>
      </c>
      <c r="D1540" s="73"/>
      <c r="E1540" s="70"/>
      <c r="F1540" s="70" t="str">
        <f>SUBSTITUTE(F1534,",7)",",13)")</f>
        <v>C(U2,22,13)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outlineLevel="2" x14ac:dyDescent="0.35">
      <c r="A1541" s="45"/>
      <c r="B1541" s="54"/>
      <c r="C1541" s="47">
        <f>INT($C$29)+2</f>
        <v>3</v>
      </c>
      <c r="D1541" s="73"/>
      <c r="E1541" s="70"/>
      <c r="F1541" s="70" t="s">
        <v>2086</v>
      </c>
      <c r="G1541" s="73"/>
      <c r="H1541" s="76" t="s">
        <v>2657</v>
      </c>
      <c r="I1541" s="76"/>
      <c r="J1541" s="76"/>
      <c r="K1541" s="76"/>
      <c r="L1541" s="76"/>
      <c r="M1541" s="76"/>
      <c r="N1541" s="76"/>
      <c r="O1541" s="76"/>
      <c r="P1541" s="76"/>
      <c r="Q1541" s="76"/>
      <c r="R1541" s="76"/>
      <c r="S1541" s="76"/>
      <c r="T1541" s="76"/>
      <c r="U1541" s="97">
        <v>7.50061</v>
      </c>
      <c r="V1541" s="261">
        <f>U1541</f>
        <v>7.50061</v>
      </c>
      <c r="W1541" s="261">
        <f t="shared" ref="W1541:X1544" si="238">U1541</f>
        <v>7.50061</v>
      </c>
      <c r="X1541" s="261">
        <f t="shared" si="238"/>
        <v>7.50061</v>
      </c>
      <c r="Y1541" s="261">
        <f>V1541</f>
        <v>7.50061</v>
      </c>
      <c r="Z1541" s="261">
        <f>Y1541</f>
        <v>7.50061</v>
      </c>
      <c r="AA1541" s="261">
        <f>Z1541</f>
        <v>7.50061</v>
      </c>
      <c r="AB1541" s="261">
        <f>AA1541</f>
        <v>7.50061</v>
      </c>
      <c r="AC1541" s="261">
        <f>AB1541</f>
        <v>7.50061</v>
      </c>
      <c r="AD1541" s="261">
        <f>AC1541</f>
        <v>7.50061</v>
      </c>
      <c r="AE1541" s="76"/>
      <c r="AF1541" s="97"/>
      <c r="AG1541" s="76"/>
      <c r="AH1541" s="97">
        <v>1</v>
      </c>
      <c r="AI1541" s="97">
        <v>1</v>
      </c>
      <c r="AJ1541" s="73"/>
      <c r="AK1541" s="57"/>
      <c r="AL1541" s="45"/>
      <c r="AM1541" s="45"/>
      <c r="AN1541" s="45"/>
    </row>
    <row r="1542" spans="1:40" outlineLevel="2" x14ac:dyDescent="0.35">
      <c r="A1542" s="45"/>
      <c r="B1542" s="54"/>
      <c r="C1542" s="47">
        <f>INT($C$29)+2</f>
        <v>3</v>
      </c>
      <c r="D1542" s="73"/>
      <c r="E1542" s="70"/>
      <c r="F1542" s="70" t="s">
        <v>2410</v>
      </c>
      <c r="G1542" s="73"/>
      <c r="H1542" s="76" t="s">
        <v>2768</v>
      </c>
      <c r="I1542" s="76"/>
      <c r="J1542" s="76"/>
      <c r="K1542" s="76"/>
      <c r="L1542" s="76"/>
      <c r="M1542" s="76"/>
      <c r="N1542" s="76"/>
      <c r="O1542" s="76"/>
      <c r="P1542" s="76"/>
      <c r="Q1542" s="76"/>
      <c r="R1542" s="76"/>
      <c r="S1542" s="76"/>
      <c r="T1542" s="76"/>
      <c r="U1542" s="97">
        <f>AA1542</f>
        <v>-4.5568499999999998</v>
      </c>
      <c r="V1542" s="255">
        <f>U1542</f>
        <v>-4.5568499999999998</v>
      </c>
      <c r="W1542" s="255">
        <f t="shared" si="238"/>
        <v>-4.5568499999999998</v>
      </c>
      <c r="X1542" s="255">
        <f t="shared" si="238"/>
        <v>-4.5568499999999998</v>
      </c>
      <c r="Y1542" s="255">
        <f>V1542</f>
        <v>-4.5568499999999998</v>
      </c>
      <c r="Z1542" s="255">
        <f>AA1542</f>
        <v>-4.5568499999999998</v>
      </c>
      <c r="AA1542" s="97">
        <f>-(4.55685)</f>
        <v>-4.5568499999999998</v>
      </c>
      <c r="AB1542" s="255">
        <f t="shared" ref="AB1542:AD1544" si="239">AA1542</f>
        <v>-4.5568499999999998</v>
      </c>
      <c r="AC1542" s="255">
        <f t="shared" si="239"/>
        <v>-4.5568499999999998</v>
      </c>
      <c r="AD1542" s="255">
        <f t="shared" si="239"/>
        <v>-4.5568499999999998</v>
      </c>
      <c r="AE1542" s="76"/>
      <c r="AF1542" s="97" t="s">
        <v>2767</v>
      </c>
      <c r="AG1542" s="76"/>
      <c r="AH1542" s="76">
        <v>1</v>
      </c>
      <c r="AI1542" s="76">
        <v>1</v>
      </c>
      <c r="AJ1542" s="73"/>
      <c r="AK1542" s="57"/>
      <c r="AL1542" s="45"/>
      <c r="AM1542" s="45"/>
      <c r="AN1542" s="45"/>
    </row>
    <row r="1543" spans="1:40" outlineLevel="2" x14ac:dyDescent="0.35">
      <c r="A1543" s="45"/>
      <c r="B1543" s="54"/>
      <c r="C1543" s="47">
        <f>INT($C$29)+2</f>
        <v>3</v>
      </c>
      <c r="D1543" s="73"/>
      <c r="E1543" s="70"/>
      <c r="F1543" s="70" t="s">
        <v>2411</v>
      </c>
      <c r="G1543" s="73"/>
      <c r="H1543" s="76" t="s">
        <v>2498</v>
      </c>
      <c r="I1543" s="76"/>
      <c r="J1543" s="76"/>
      <c r="K1543" s="76"/>
      <c r="L1543" s="76"/>
      <c r="M1543" s="76"/>
      <c r="N1543" s="76"/>
      <c r="O1543" s="76"/>
      <c r="P1543" s="76"/>
      <c r="Q1543" s="76"/>
      <c r="R1543" s="76"/>
      <c r="S1543" s="76"/>
      <c r="T1543" s="76"/>
      <c r="U1543" s="97">
        <f>AA1543</f>
        <v>0.69092500000000001</v>
      </c>
      <c r="V1543" s="255">
        <f>U1543</f>
        <v>0.69092500000000001</v>
      </c>
      <c r="W1543" s="255">
        <f t="shared" si="238"/>
        <v>0.69092500000000001</v>
      </c>
      <c r="X1543" s="255">
        <f t="shared" si="238"/>
        <v>0.69092500000000001</v>
      </c>
      <c r="Y1543" s="255">
        <f>V1543</f>
        <v>0.69092500000000001</v>
      </c>
      <c r="Z1543" s="255">
        <f>AA1543</f>
        <v>0.69092500000000001</v>
      </c>
      <c r="AA1543" s="97">
        <f>-(-0.690925)</f>
        <v>0.69092500000000001</v>
      </c>
      <c r="AB1543" s="255">
        <f t="shared" si="239"/>
        <v>0.69092500000000001</v>
      </c>
      <c r="AC1543" s="255">
        <f t="shared" si="239"/>
        <v>0.69092500000000001</v>
      </c>
      <c r="AD1543" s="255">
        <f t="shared" si="239"/>
        <v>0.69092500000000001</v>
      </c>
      <c r="AE1543" s="76"/>
      <c r="AF1543" s="76"/>
      <c r="AG1543" s="76"/>
      <c r="AH1543" s="76">
        <v>1</v>
      </c>
      <c r="AI1543" s="76">
        <v>1</v>
      </c>
      <c r="AJ1543" s="73"/>
      <c r="AK1543" s="57"/>
      <c r="AL1543" s="45"/>
      <c r="AM1543" s="45"/>
      <c r="AN1543" s="45"/>
    </row>
    <row r="1544" spans="1:40" outlineLevel="2" collapsed="1" x14ac:dyDescent="0.35">
      <c r="A1544" s="45"/>
      <c r="B1544" s="54"/>
      <c r="C1544" s="47">
        <f t="shared" ref="C1544:C1555" si="240">INT($C$29)+3</f>
        <v>4</v>
      </c>
      <c r="D1544" s="73"/>
      <c r="E1544" s="70"/>
      <c r="F1544" s="70" t="s">
        <v>2412</v>
      </c>
      <c r="G1544" s="73"/>
      <c r="H1544" s="378" t="s">
        <v>2769</v>
      </c>
      <c r="I1544" s="76"/>
      <c r="J1544" s="76"/>
      <c r="K1544" s="76"/>
      <c r="L1544" s="76"/>
      <c r="M1544" s="76"/>
      <c r="N1544" s="76"/>
      <c r="O1544" s="76"/>
      <c r="P1544" s="76"/>
      <c r="Q1544" s="76"/>
      <c r="R1544" s="76"/>
      <c r="S1544" s="76"/>
      <c r="T1544" s="76"/>
      <c r="U1544" s="97">
        <f>AA1544</f>
        <v>-0.15570000000000001</v>
      </c>
      <c r="V1544" s="255">
        <f>U1544</f>
        <v>-0.15570000000000001</v>
      </c>
      <c r="W1544" s="255">
        <f t="shared" si="238"/>
        <v>-0.15570000000000001</v>
      </c>
      <c r="X1544" s="255">
        <f t="shared" si="238"/>
        <v>-0.15570000000000001</v>
      </c>
      <c r="Y1544" s="255">
        <f>V1544</f>
        <v>-0.15570000000000001</v>
      </c>
      <c r="Z1544" s="255">
        <f>AA1544</f>
        <v>-0.15570000000000001</v>
      </c>
      <c r="AA1544" s="97">
        <f>-(0.1557)</f>
        <v>-0.15570000000000001</v>
      </c>
      <c r="AB1544" s="255">
        <f t="shared" si="239"/>
        <v>-0.15570000000000001</v>
      </c>
      <c r="AC1544" s="255">
        <f t="shared" si="239"/>
        <v>-0.15570000000000001</v>
      </c>
      <c r="AD1544" s="255">
        <f t="shared" si="239"/>
        <v>-0.15570000000000001</v>
      </c>
      <c r="AE1544" s="76"/>
      <c r="AF1544" s="97"/>
      <c r="AG1544" s="76"/>
      <c r="AH1544" s="97">
        <v>1</v>
      </c>
      <c r="AI1544" s="97">
        <v>1</v>
      </c>
      <c r="AJ1544" s="73"/>
      <c r="AK1544" s="57"/>
      <c r="AL1544" s="45"/>
      <c r="AM1544" s="45"/>
      <c r="AN1544" s="45"/>
    </row>
    <row r="1545" spans="1:40" hidden="1" outlineLevel="3" collapsed="1" x14ac:dyDescent="0.35">
      <c r="A1545" s="45"/>
      <c r="B1545" s="54"/>
      <c r="C1545" s="47">
        <f t="shared" si="240"/>
        <v>4</v>
      </c>
      <c r="D1545" s="73"/>
      <c r="E1545" s="70"/>
      <c r="F1545" s="70" t="s">
        <v>2413</v>
      </c>
      <c r="G1545" s="73"/>
      <c r="H1545" s="378" t="s">
        <v>2770</v>
      </c>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240"/>
        <v>4</v>
      </c>
      <c r="D1546" s="73"/>
      <c r="E1546" s="70"/>
      <c r="F1546" s="70" t="s">
        <v>2414</v>
      </c>
      <c r="G1546" s="73"/>
      <c r="H1546" s="377" t="s">
        <v>2507</v>
      </c>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240"/>
        <v>4</v>
      </c>
      <c r="D1547" s="73"/>
      <c r="E1547" s="70"/>
      <c r="F1547" s="70" t="s">
        <v>2415</v>
      </c>
      <c r="G1547" s="73"/>
      <c r="H1547" s="377" t="s">
        <v>2508</v>
      </c>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f t="shared" si="240"/>
        <v>4</v>
      </c>
      <c r="D1548" s="73"/>
      <c r="E1548" s="70"/>
      <c r="F1548" s="70" t="s">
        <v>2416</v>
      </c>
      <c r="G1548" s="73"/>
      <c r="H1548" s="377" t="s">
        <v>2509</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f t="shared" si="240"/>
        <v>4</v>
      </c>
      <c r="D1549" s="73"/>
      <c r="E1549" s="70"/>
      <c r="F1549" s="70" t="s">
        <v>2417</v>
      </c>
      <c r="G1549" s="73"/>
      <c r="H1549" s="377" t="s">
        <v>2510</v>
      </c>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si="240"/>
        <v>4</v>
      </c>
      <c r="D1550" s="73"/>
      <c r="E1550" s="70"/>
      <c r="F1550" s="70" t="str">
        <f>SUBSTITUTE(F1546,",4)",",8)")</f>
        <v>C(U2,23,8)</v>
      </c>
      <c r="G1550" s="73"/>
      <c r="H1550" s="377" t="s">
        <v>2772</v>
      </c>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240"/>
        <v>4</v>
      </c>
      <c r="D1551" s="73"/>
      <c r="E1551" s="70"/>
      <c r="F1551" s="70" t="str">
        <f>SUBSTITUTE(F1547,",5)",",9)")</f>
        <v>C(U2,23,9)</v>
      </c>
      <c r="G1551" s="73"/>
      <c r="H1551" s="377" t="s">
        <v>2773</v>
      </c>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240"/>
        <v>4</v>
      </c>
      <c r="D1552" s="73"/>
      <c r="E1552" s="70"/>
      <c r="F1552" s="70" t="str">
        <f>SUBSTITUTE(F1548,",6)",",10)")</f>
        <v>C(U2,23,10)</v>
      </c>
      <c r="G1552" s="73"/>
      <c r="H1552" s="377" t="s">
        <v>2774</v>
      </c>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outlineLevel="2" collapsed="1" x14ac:dyDescent="0.35">
      <c r="A1553" s="45"/>
      <c r="B1553" s="54"/>
      <c r="C1553" s="47">
        <f t="shared" si="240"/>
        <v>4</v>
      </c>
      <c r="D1553" s="73"/>
      <c r="E1553" s="70"/>
      <c r="F1553" s="70" t="str">
        <f>SUBSTITUTE(F1549,",7)",",11)")</f>
        <v>C(U2,23,11)</v>
      </c>
      <c r="G1553" s="73"/>
      <c r="H1553" s="378" t="s">
        <v>2825</v>
      </c>
      <c r="I1553" s="96"/>
      <c r="J1553" s="76"/>
      <c r="K1553" s="76"/>
      <c r="L1553" s="76"/>
      <c r="M1553" s="76"/>
      <c r="N1553" s="76"/>
      <c r="O1553" s="76"/>
      <c r="P1553" s="76"/>
      <c r="Q1553" s="76"/>
      <c r="R1553" s="76"/>
      <c r="S1553" s="76"/>
      <c r="T1553" s="76"/>
      <c r="U1553" s="337">
        <f t="shared" ref="U1553:AD1553" si="241">-U$1542/(2*U$1543)</f>
        <v>3.2976444621340955</v>
      </c>
      <c r="V1553" s="337">
        <f t="shared" si="241"/>
        <v>3.2976444621340955</v>
      </c>
      <c r="W1553" s="337">
        <f t="shared" si="241"/>
        <v>3.2976444621340955</v>
      </c>
      <c r="X1553" s="337">
        <f t="shared" si="241"/>
        <v>3.2976444621340955</v>
      </c>
      <c r="Y1553" s="337">
        <f t="shared" si="241"/>
        <v>3.2976444621340955</v>
      </c>
      <c r="Z1553" s="337">
        <f t="shared" si="241"/>
        <v>3.2976444621340955</v>
      </c>
      <c r="AA1553" s="337">
        <f t="shared" si="241"/>
        <v>3.2976444621340955</v>
      </c>
      <c r="AB1553" s="337">
        <f t="shared" si="241"/>
        <v>3.2976444621340955</v>
      </c>
      <c r="AC1553" s="337">
        <f t="shared" si="241"/>
        <v>3.2976444621340955</v>
      </c>
      <c r="AD1553" s="337">
        <f t="shared" si="241"/>
        <v>3.2976444621340955</v>
      </c>
      <c r="AE1553" s="76"/>
      <c r="AF1553" s="76"/>
      <c r="AG1553" s="76"/>
      <c r="AH1553" s="76">
        <v>1</v>
      </c>
      <c r="AI1553" s="76">
        <v>1</v>
      </c>
      <c r="AJ1553" s="73"/>
      <c r="AK1553" s="57"/>
      <c r="AL1553" s="45"/>
      <c r="AM1553" s="45"/>
      <c r="AN1553" s="45"/>
    </row>
    <row r="1554" spans="1:40" hidden="1" outlineLevel="3" x14ac:dyDescent="0.35">
      <c r="A1554" s="45"/>
      <c r="B1554" s="54"/>
      <c r="C1554" s="47">
        <f t="shared" si="240"/>
        <v>4</v>
      </c>
      <c r="D1554" s="73"/>
      <c r="E1554" s="70"/>
      <c r="F1554" s="70" t="str">
        <f>SUBSTITUTE(F1548,",6)",",12)")</f>
        <v>C(U2,23,12)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240"/>
        <v>4</v>
      </c>
      <c r="D1555" s="73"/>
      <c r="E1555" s="70"/>
      <c r="F1555" s="70" t="str">
        <f>SUBSTITUTE(F1549,",7)",",13)")</f>
        <v>C(U2,23,13)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outlineLevel="2" x14ac:dyDescent="0.35">
      <c r="A1556" s="45"/>
      <c r="B1556" s="54"/>
      <c r="C1556" s="47">
        <f>INT($C$29)+2</f>
        <v>3</v>
      </c>
      <c r="D1556" s="73"/>
      <c r="E1556" s="70"/>
      <c r="F1556" s="70" t="s">
        <v>2418</v>
      </c>
      <c r="G1556" s="73"/>
      <c r="H1556" s="76" t="s">
        <v>2771</v>
      </c>
      <c r="I1556" s="76"/>
      <c r="J1556" s="76"/>
      <c r="K1556" s="76"/>
      <c r="L1556" s="76"/>
      <c r="M1556" s="76"/>
      <c r="N1556" s="76"/>
      <c r="O1556" s="76"/>
      <c r="P1556" s="76"/>
      <c r="Q1556" s="76"/>
      <c r="R1556" s="76"/>
      <c r="S1556" s="76"/>
      <c r="T1556" s="76"/>
      <c r="U1556" s="97">
        <f>AA1556-(1.61859)</f>
        <v>2.0276899999999998</v>
      </c>
      <c r="V1556" s="255">
        <f t="shared" ref="V1556:V1561" si="242">U1556</f>
        <v>2.0276899999999998</v>
      </c>
      <c r="W1556" s="255">
        <f t="shared" ref="W1556:X1561" si="243">U1556</f>
        <v>2.0276899999999998</v>
      </c>
      <c r="X1556" s="255">
        <f t="shared" si="243"/>
        <v>2.0276899999999998</v>
      </c>
      <c r="Y1556" s="255">
        <f t="shared" ref="Y1556:Y1561" si="244">V1556</f>
        <v>2.0276899999999998</v>
      </c>
      <c r="Z1556" s="255">
        <f t="shared" ref="Z1556:Z1561" si="245">AA1556</f>
        <v>3.64628</v>
      </c>
      <c r="AA1556" s="97">
        <f>-(-3.64628)</f>
        <v>3.64628</v>
      </c>
      <c r="AB1556" s="255">
        <f t="shared" ref="AB1556:AD1561" si="246">AA1556</f>
        <v>3.64628</v>
      </c>
      <c r="AC1556" s="255">
        <f t="shared" si="246"/>
        <v>3.64628</v>
      </c>
      <c r="AD1556" s="255">
        <f t="shared" si="246"/>
        <v>3.64628</v>
      </c>
      <c r="AE1556" s="76"/>
      <c r="AF1556" s="97"/>
      <c r="AG1556" s="76"/>
      <c r="AH1556" s="97">
        <v>1</v>
      </c>
      <c r="AI1556" s="97">
        <v>1</v>
      </c>
      <c r="AJ1556" s="73"/>
      <c r="AK1556" s="57"/>
      <c r="AL1556" s="45"/>
      <c r="AM1556" s="45"/>
      <c r="AN1556" s="45"/>
    </row>
    <row r="1557" spans="1:40" outlineLevel="2" x14ac:dyDescent="0.35">
      <c r="A1557" s="45"/>
      <c r="B1557" s="54"/>
      <c r="C1557" s="47">
        <f>INT($C$29)+2</f>
        <v>3</v>
      </c>
      <c r="D1557" s="73"/>
      <c r="E1557" s="70"/>
      <c r="F1557" s="70" t="s">
        <v>2419</v>
      </c>
      <c r="G1557" s="73"/>
      <c r="H1557" s="76" t="s">
        <v>2485</v>
      </c>
      <c r="I1557" s="76"/>
      <c r="J1557" s="76"/>
      <c r="K1557" s="76"/>
      <c r="L1557" s="76"/>
      <c r="M1557" s="76"/>
      <c r="N1557" s="76"/>
      <c r="O1557" s="76"/>
      <c r="P1557" s="76"/>
      <c r="Q1557" s="76"/>
      <c r="R1557" s="76"/>
      <c r="S1557" s="76"/>
      <c r="T1557" s="76"/>
      <c r="U1557" s="97">
        <v>-0.43659999999999999</v>
      </c>
      <c r="V1557" s="255">
        <f t="shared" si="242"/>
        <v>-0.43659999999999999</v>
      </c>
      <c r="W1557" s="255">
        <f t="shared" si="243"/>
        <v>-0.43659999999999999</v>
      </c>
      <c r="X1557" s="255">
        <f t="shared" si="243"/>
        <v>-0.43659999999999999</v>
      </c>
      <c r="Y1557" s="255">
        <f t="shared" si="244"/>
        <v>-0.43659999999999999</v>
      </c>
      <c r="Z1557" s="255">
        <f t="shared" si="245"/>
        <v>-0.54688000000000003</v>
      </c>
      <c r="AA1557" s="97">
        <v>-0.54688000000000003</v>
      </c>
      <c r="AB1557" s="255">
        <f t="shared" si="246"/>
        <v>-0.54688000000000003</v>
      </c>
      <c r="AC1557" s="255">
        <f t="shared" si="246"/>
        <v>-0.54688000000000003</v>
      </c>
      <c r="AD1557" s="255">
        <f t="shared" si="246"/>
        <v>-0.54688000000000003</v>
      </c>
      <c r="AE1557" s="76"/>
      <c r="AF1557" s="97" t="s">
        <v>2584</v>
      </c>
      <c r="AG1557" s="76"/>
      <c r="AH1557" s="97">
        <v>1</v>
      </c>
      <c r="AI1557" s="97">
        <v>1</v>
      </c>
      <c r="AJ1557" s="73"/>
      <c r="AK1557" s="57"/>
      <c r="AL1557" s="45"/>
      <c r="AM1557" s="45"/>
      <c r="AN1557" s="45"/>
    </row>
    <row r="1558" spans="1:40" outlineLevel="2" x14ac:dyDescent="0.35">
      <c r="A1558" s="45"/>
      <c r="B1558" s="54"/>
      <c r="C1558" s="47">
        <f>INT($C$29)+2</f>
        <v>3</v>
      </c>
      <c r="D1558" s="73"/>
      <c r="E1558" s="70"/>
      <c r="F1558" s="70" t="s">
        <v>2420</v>
      </c>
      <c r="G1558" s="73"/>
      <c r="H1558" s="76" t="s">
        <v>2499</v>
      </c>
      <c r="I1558" s="76"/>
      <c r="J1558" s="76"/>
      <c r="K1558" s="76"/>
      <c r="L1558" s="76"/>
      <c r="M1558" s="76"/>
      <c r="N1558" s="76"/>
      <c r="O1558" s="76"/>
      <c r="P1558" s="76"/>
      <c r="Q1558" s="76"/>
      <c r="R1558" s="76"/>
      <c r="S1558" s="76"/>
      <c r="T1558" s="76"/>
      <c r="U1558" s="97">
        <v>3.7200000000000002E-3</v>
      </c>
      <c r="V1558" s="255">
        <f t="shared" si="242"/>
        <v>3.7200000000000002E-3</v>
      </c>
      <c r="W1558" s="255">
        <f t="shared" si="243"/>
        <v>3.7200000000000002E-3</v>
      </c>
      <c r="X1558" s="255">
        <f t="shared" si="243"/>
        <v>3.7200000000000002E-3</v>
      </c>
      <c r="Y1558" s="255">
        <f t="shared" si="244"/>
        <v>3.7200000000000002E-3</v>
      </c>
      <c r="Z1558" s="255">
        <f t="shared" si="245"/>
        <v>5.4739999999999997E-3</v>
      </c>
      <c r="AA1558" s="97">
        <v>5.4739999999999997E-3</v>
      </c>
      <c r="AB1558" s="255">
        <f t="shared" si="246"/>
        <v>5.4739999999999997E-3</v>
      </c>
      <c r="AC1558" s="255">
        <f t="shared" si="246"/>
        <v>5.4739999999999997E-3</v>
      </c>
      <c r="AD1558" s="255">
        <f t="shared" si="246"/>
        <v>5.4739999999999997E-3</v>
      </c>
      <c r="AE1558" s="76"/>
      <c r="AF1558" s="76"/>
      <c r="AG1558" s="76"/>
      <c r="AH1558" s="97">
        <v>1</v>
      </c>
      <c r="AI1558" s="97">
        <v>1</v>
      </c>
      <c r="AJ1558" s="73"/>
      <c r="AK1558" s="57"/>
      <c r="AL1558" s="45"/>
      <c r="AM1558" s="45"/>
      <c r="AN1558" s="45"/>
    </row>
    <row r="1559" spans="1:40" outlineLevel="2" x14ac:dyDescent="0.35">
      <c r="A1559" s="45"/>
      <c r="B1559" s="54"/>
      <c r="C1559" s="47">
        <f t="shared" ref="C1559:C1570" si="247">INT($C$29)+3</f>
        <v>4</v>
      </c>
      <c r="D1559" s="73"/>
      <c r="E1559" s="70"/>
      <c r="F1559" s="70" t="s">
        <v>2421</v>
      </c>
      <c r="G1559" s="73"/>
      <c r="H1559" s="378" t="s">
        <v>2817</v>
      </c>
      <c r="I1559" s="76"/>
      <c r="J1559" s="76"/>
      <c r="K1559" s="76"/>
      <c r="L1559" s="76"/>
      <c r="M1559" s="76"/>
      <c r="N1559" s="76"/>
      <c r="O1559" s="76"/>
      <c r="P1559" s="76"/>
      <c r="Q1559" s="76"/>
      <c r="R1559" s="76"/>
      <c r="S1559" s="76"/>
      <c r="T1559" s="76"/>
      <c r="U1559" s="97">
        <v>-5.1499999999999997E-2</v>
      </c>
      <c r="V1559" s="255">
        <f t="shared" si="242"/>
        <v>-5.1499999999999997E-2</v>
      </c>
      <c r="W1559" s="255">
        <f t="shared" si="243"/>
        <v>-5.1499999999999997E-2</v>
      </c>
      <c r="X1559" s="255">
        <f t="shared" si="243"/>
        <v>-5.1499999999999997E-2</v>
      </c>
      <c r="Y1559" s="255">
        <f t="shared" si="244"/>
        <v>-5.1499999999999997E-2</v>
      </c>
      <c r="Z1559" s="255">
        <f t="shared" si="245"/>
        <v>-2.75E-2</v>
      </c>
      <c r="AA1559" s="97">
        <v>-2.75E-2</v>
      </c>
      <c r="AB1559" s="255">
        <f t="shared" si="246"/>
        <v>-2.75E-2</v>
      </c>
      <c r="AC1559" s="255">
        <f t="shared" si="246"/>
        <v>-2.75E-2</v>
      </c>
      <c r="AD1559" s="255">
        <f t="shared" si="246"/>
        <v>-2.75E-2</v>
      </c>
      <c r="AE1559" s="76"/>
      <c r="AF1559" s="76"/>
      <c r="AG1559" s="76"/>
      <c r="AH1559" s="97">
        <v>1</v>
      </c>
      <c r="AI1559" s="97">
        <v>1</v>
      </c>
      <c r="AJ1559" s="73"/>
      <c r="AK1559" s="57"/>
      <c r="AL1559" s="45"/>
      <c r="AM1559" s="45"/>
      <c r="AN1559" s="45"/>
    </row>
    <row r="1560" spans="1:40" outlineLevel="2" x14ac:dyDescent="0.35">
      <c r="A1560" s="45"/>
      <c r="B1560" s="54"/>
      <c r="C1560" s="47">
        <f t="shared" si="247"/>
        <v>4</v>
      </c>
      <c r="D1560" s="73"/>
      <c r="E1560" s="70"/>
      <c r="F1560" s="70" t="s">
        <v>2422</v>
      </c>
      <c r="G1560" s="73"/>
      <c r="H1560" s="378" t="s">
        <v>2818</v>
      </c>
      <c r="I1560" s="76"/>
      <c r="J1560" s="76"/>
      <c r="K1560" s="76"/>
      <c r="L1560" s="76"/>
      <c r="M1560" s="76"/>
      <c r="N1560" s="76"/>
      <c r="O1560" s="76"/>
      <c r="P1560" s="76"/>
      <c r="Q1560" s="76"/>
      <c r="R1560" s="76"/>
      <c r="S1560" s="76"/>
      <c r="T1560" s="76"/>
      <c r="U1560" s="97">
        <f>-U1559/(2*9.5*30.4)</f>
        <v>8.916204986149583E-5</v>
      </c>
      <c r="V1560" s="255">
        <f t="shared" si="242"/>
        <v>8.916204986149583E-5</v>
      </c>
      <c r="W1560" s="255">
        <f t="shared" si="243"/>
        <v>8.916204986149583E-5</v>
      </c>
      <c r="X1560" s="255">
        <f t="shared" si="243"/>
        <v>8.916204986149583E-5</v>
      </c>
      <c r="Y1560" s="255">
        <f t="shared" si="244"/>
        <v>8.916204986149583E-5</v>
      </c>
      <c r="Z1560" s="255">
        <f t="shared" si="245"/>
        <v>4.7610803324099718E-5</v>
      </c>
      <c r="AA1560" s="97">
        <f>-AA1559/(2*9.5*30.4)</f>
        <v>4.7610803324099718E-5</v>
      </c>
      <c r="AB1560" s="255">
        <f t="shared" si="246"/>
        <v>4.7610803324099718E-5</v>
      </c>
      <c r="AC1560" s="255">
        <f t="shared" si="246"/>
        <v>4.7610803324099718E-5</v>
      </c>
      <c r="AD1560" s="255">
        <f t="shared" si="246"/>
        <v>4.7610803324099718E-5</v>
      </c>
      <c r="AE1560" s="76"/>
      <c r="AF1560" s="76"/>
      <c r="AG1560" s="76"/>
      <c r="AH1560" s="76">
        <v>1</v>
      </c>
      <c r="AI1560" s="76">
        <v>1</v>
      </c>
      <c r="AJ1560" s="73"/>
      <c r="AK1560" s="57"/>
      <c r="AL1560" s="45"/>
      <c r="AM1560" s="45"/>
      <c r="AN1560" s="45"/>
    </row>
    <row r="1561" spans="1:40" outlineLevel="2" collapsed="1" x14ac:dyDescent="0.35">
      <c r="A1561" s="45"/>
      <c r="B1561" s="54"/>
      <c r="C1561" s="47">
        <f t="shared" si="247"/>
        <v>4</v>
      </c>
      <c r="D1561" s="73"/>
      <c r="E1561" s="70"/>
      <c r="F1561" s="70" t="s">
        <v>2423</v>
      </c>
      <c r="G1561" s="73"/>
      <c r="H1561" s="378" t="s">
        <v>2819</v>
      </c>
      <c r="I1561" s="76"/>
      <c r="J1561" s="76"/>
      <c r="K1561" s="76"/>
      <c r="L1561" s="76"/>
      <c r="M1561" s="76"/>
      <c r="N1561" s="76"/>
      <c r="O1561" s="76"/>
      <c r="P1561" s="76"/>
      <c r="Q1561" s="76"/>
      <c r="R1561" s="76"/>
      <c r="S1561" s="76"/>
      <c r="T1561" s="76"/>
      <c r="U1561" s="97">
        <v>-4.0000000000000001E-3</v>
      </c>
      <c r="V1561" s="255">
        <f t="shared" si="242"/>
        <v>-4.0000000000000001E-3</v>
      </c>
      <c r="W1561" s="255">
        <f t="shared" si="243"/>
        <v>-4.0000000000000001E-3</v>
      </c>
      <c r="X1561" s="255">
        <f t="shared" si="243"/>
        <v>-4.0000000000000001E-3</v>
      </c>
      <c r="Y1561" s="255">
        <f t="shared" si="244"/>
        <v>-4.0000000000000001E-3</v>
      </c>
      <c r="Z1561" s="255">
        <f t="shared" si="245"/>
        <v>-4.0000000000000001E-3</v>
      </c>
      <c r="AA1561" s="97">
        <v>-4.0000000000000001E-3</v>
      </c>
      <c r="AB1561" s="255">
        <f t="shared" si="246"/>
        <v>-4.0000000000000001E-3</v>
      </c>
      <c r="AC1561" s="255">
        <f t="shared" si="246"/>
        <v>-4.0000000000000001E-3</v>
      </c>
      <c r="AD1561" s="255">
        <f t="shared" si="246"/>
        <v>-4.0000000000000001E-3</v>
      </c>
      <c r="AE1561" s="76"/>
      <c r="AF1561" s="76"/>
      <c r="AG1561" s="76"/>
      <c r="AH1561" s="97">
        <v>1</v>
      </c>
      <c r="AI1561" s="97">
        <v>1</v>
      </c>
      <c r="AJ1561" s="73"/>
      <c r="AK1561" s="57"/>
      <c r="AL1561" s="45"/>
      <c r="AM1561" s="45"/>
      <c r="AN1561" s="45"/>
    </row>
    <row r="1562" spans="1:40" hidden="1" outlineLevel="3" x14ac:dyDescent="0.35">
      <c r="A1562" s="45"/>
      <c r="B1562" s="54"/>
      <c r="C1562" s="47">
        <f t="shared" si="247"/>
        <v>4</v>
      </c>
      <c r="D1562" s="73"/>
      <c r="E1562" s="70"/>
      <c r="F1562" s="70" t="s">
        <v>2424</v>
      </c>
      <c r="G1562" s="73"/>
      <c r="H1562" s="377" t="s">
        <v>2820</v>
      </c>
      <c r="I1562" s="76"/>
      <c r="J1562" s="76"/>
      <c r="K1562" s="76"/>
      <c r="L1562" s="76"/>
      <c r="M1562" s="76"/>
      <c r="N1562" s="76"/>
      <c r="O1562" s="76"/>
      <c r="P1562" s="76"/>
      <c r="Q1562" s="76"/>
      <c r="R1562" s="76"/>
      <c r="S1562" s="76"/>
      <c r="T1562" s="76"/>
      <c r="U1562" s="76">
        <v>0</v>
      </c>
      <c r="V1562" s="76">
        <v>0</v>
      </c>
      <c r="W1562" s="76">
        <v>0</v>
      </c>
      <c r="X1562" s="76">
        <v>0</v>
      </c>
      <c r="Y1562" s="76">
        <v>0</v>
      </c>
      <c r="Z1562" s="76">
        <v>0</v>
      </c>
      <c r="AA1562" s="76">
        <v>0</v>
      </c>
      <c r="AB1562" s="76">
        <v>0</v>
      </c>
      <c r="AC1562" s="76">
        <v>0</v>
      </c>
      <c r="AD1562" s="76">
        <v>0</v>
      </c>
      <c r="AE1562" s="76"/>
      <c r="AF1562" s="76"/>
      <c r="AG1562" s="76"/>
      <c r="AH1562" s="76">
        <v>1</v>
      </c>
      <c r="AI1562" s="76">
        <v>1</v>
      </c>
      <c r="AJ1562" s="73"/>
      <c r="AK1562" s="57"/>
      <c r="AL1562" s="45"/>
      <c r="AM1562" s="45"/>
      <c r="AN1562" s="45"/>
    </row>
    <row r="1563" spans="1:40" outlineLevel="2" collapsed="1" x14ac:dyDescent="0.35">
      <c r="A1563" s="45"/>
      <c r="B1563" s="54"/>
      <c r="C1563" s="47">
        <f t="shared" si="247"/>
        <v>4</v>
      </c>
      <c r="D1563" s="73"/>
      <c r="E1563" s="70"/>
      <c r="F1563" s="70" t="s">
        <v>2425</v>
      </c>
      <c r="G1563" s="73"/>
      <c r="H1563" s="378" t="s">
        <v>2821</v>
      </c>
      <c r="I1563" s="76"/>
      <c r="J1563" s="76"/>
      <c r="K1563" s="76"/>
      <c r="L1563" s="76"/>
      <c r="M1563" s="76"/>
      <c r="N1563" s="76"/>
      <c r="O1563" s="76"/>
      <c r="P1563" s="76"/>
      <c r="Q1563" s="76"/>
      <c r="R1563" s="76"/>
      <c r="S1563" s="76"/>
      <c r="T1563" s="76"/>
      <c r="U1563" s="97">
        <v>-2.75E-2</v>
      </c>
      <c r="V1563" s="255">
        <f>U1563</f>
        <v>-2.75E-2</v>
      </c>
      <c r="W1563" s="255">
        <f>U1563</f>
        <v>-2.75E-2</v>
      </c>
      <c r="X1563" s="255">
        <f>V1563</f>
        <v>-2.75E-2</v>
      </c>
      <c r="Y1563" s="255">
        <f>V1563</f>
        <v>-2.75E-2</v>
      </c>
      <c r="Z1563" s="255">
        <f>AA1563</f>
        <v>-2.5499999999999998E-2</v>
      </c>
      <c r="AA1563" s="97">
        <v>-2.5499999999999998E-2</v>
      </c>
      <c r="AB1563" s="255">
        <f>AA1563</f>
        <v>-2.5499999999999998E-2</v>
      </c>
      <c r="AC1563" s="255">
        <f>AB1563</f>
        <v>-2.5499999999999998E-2</v>
      </c>
      <c r="AD1563" s="255">
        <f>AC1563</f>
        <v>-2.5499999999999998E-2</v>
      </c>
      <c r="AE1563" s="76"/>
      <c r="AF1563" s="76"/>
      <c r="AG1563" s="76"/>
      <c r="AH1563" s="97">
        <v>1</v>
      </c>
      <c r="AI1563" s="97">
        <v>1</v>
      </c>
      <c r="AJ1563" s="73"/>
      <c r="AK1563" s="57"/>
      <c r="AL1563" s="45"/>
      <c r="AM1563" s="45"/>
      <c r="AN1563" s="45"/>
    </row>
    <row r="1564" spans="1:40" hidden="1" outlineLevel="3" x14ac:dyDescent="0.35">
      <c r="A1564" s="45"/>
      <c r="B1564" s="54"/>
      <c r="C1564" s="47">
        <f t="shared" si="247"/>
        <v>4</v>
      </c>
      <c r="D1564" s="73"/>
      <c r="E1564" s="70"/>
      <c r="F1564" s="70" t="s">
        <v>2426</v>
      </c>
      <c r="G1564" s="73"/>
      <c r="H1564" s="377" t="s">
        <v>2822</v>
      </c>
      <c r="I1564" s="76"/>
      <c r="J1564" s="76"/>
      <c r="K1564" s="76"/>
      <c r="L1564" s="76"/>
      <c r="M1564" s="76"/>
      <c r="N1564" s="76"/>
      <c r="O1564" s="76"/>
      <c r="P1564" s="76"/>
      <c r="Q1564" s="76"/>
      <c r="R1564" s="76"/>
      <c r="S1564" s="76"/>
      <c r="T1564" s="76"/>
      <c r="U1564" s="76">
        <v>0</v>
      </c>
      <c r="V1564" s="76">
        <v>0</v>
      </c>
      <c r="W1564" s="76">
        <v>0</v>
      </c>
      <c r="X1564" s="76">
        <v>0</v>
      </c>
      <c r="Y1564" s="76">
        <v>0</v>
      </c>
      <c r="Z1564" s="76">
        <v>0</v>
      </c>
      <c r="AA1564" s="76">
        <v>0</v>
      </c>
      <c r="AB1564" s="76">
        <v>0</v>
      </c>
      <c r="AC1564" s="76">
        <v>0</v>
      </c>
      <c r="AD1564" s="76">
        <v>0</v>
      </c>
      <c r="AE1564" s="76"/>
      <c r="AF1564" s="76"/>
      <c r="AG1564" s="76"/>
      <c r="AH1564" s="76">
        <v>1</v>
      </c>
      <c r="AI1564" s="76">
        <v>1</v>
      </c>
      <c r="AJ1564" s="73"/>
      <c r="AK1564" s="57"/>
      <c r="AL1564" s="45"/>
      <c r="AM1564" s="45"/>
      <c r="AN1564" s="45"/>
    </row>
    <row r="1565" spans="1:40" hidden="1" outlineLevel="3" x14ac:dyDescent="0.35">
      <c r="A1565" s="45"/>
      <c r="B1565" s="54"/>
      <c r="C1565" s="47">
        <f t="shared" si="247"/>
        <v>4</v>
      </c>
      <c r="D1565" s="73"/>
      <c r="E1565" s="70"/>
      <c r="F1565" s="70" t="str">
        <f>SUBSTITUTE(F1561,",4)",",8)")</f>
        <v>C(U2,24,8)</v>
      </c>
      <c r="G1565" s="73"/>
      <c r="H1565" s="378" t="s">
        <v>2816</v>
      </c>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outlineLevel="2" x14ac:dyDescent="0.35">
      <c r="A1566" s="45"/>
      <c r="B1566" s="54"/>
      <c r="C1566" s="47">
        <f t="shared" si="247"/>
        <v>4</v>
      </c>
      <c r="D1566" s="73"/>
      <c r="E1566" s="70"/>
      <c r="F1566" s="70" t="str">
        <f>SUBSTITUTE(F1562,",5)",",9)")</f>
        <v>C(U2,24,9)</v>
      </c>
      <c r="G1566" s="73"/>
      <c r="H1566" s="378" t="s">
        <v>2813</v>
      </c>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outlineLevel="2" x14ac:dyDescent="0.35">
      <c r="A1567" s="45"/>
      <c r="B1567" s="54"/>
      <c r="C1567" s="47">
        <f t="shared" si="247"/>
        <v>4</v>
      </c>
      <c r="D1567" s="73"/>
      <c r="E1567" s="70"/>
      <c r="F1567" s="70" t="str">
        <f>SUBSTITUTE(F1563,",6)",",10)")</f>
        <v>C(U2,24,10)</v>
      </c>
      <c r="G1567" s="73"/>
      <c r="H1567" s="378" t="s">
        <v>2814</v>
      </c>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outlineLevel="2" x14ac:dyDescent="0.35">
      <c r="A1568" s="45"/>
      <c r="B1568" s="54"/>
      <c r="C1568" s="47">
        <f t="shared" si="247"/>
        <v>4</v>
      </c>
      <c r="D1568" s="73"/>
      <c r="E1568" s="70"/>
      <c r="F1568" s="70" t="str">
        <f>SUBSTITUTE(F1564,",7)",",11)")</f>
        <v>C(U2,24,11)</v>
      </c>
      <c r="G1568" s="73"/>
      <c r="H1568" s="378" t="s">
        <v>2815</v>
      </c>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outlineLevel="2" x14ac:dyDescent="0.35">
      <c r="A1569" s="45"/>
      <c r="B1569" s="54"/>
      <c r="C1569" s="47">
        <f t="shared" si="247"/>
        <v>4</v>
      </c>
      <c r="D1569" s="73"/>
      <c r="E1569" s="70"/>
      <c r="F1569" s="70" t="s">
        <v>3371</v>
      </c>
      <c r="G1569" s="73"/>
      <c r="H1569" s="378" t="s">
        <v>3370</v>
      </c>
      <c r="I1569" s="96"/>
      <c r="J1569" s="76"/>
      <c r="K1569" s="76"/>
      <c r="L1569" s="76"/>
      <c r="M1569" s="76"/>
      <c r="N1569" s="76"/>
      <c r="O1569" s="76"/>
      <c r="P1569" s="76"/>
      <c r="Q1569" s="76"/>
      <c r="R1569" s="76"/>
      <c r="S1569" s="76"/>
      <c r="T1569" s="76"/>
      <c r="U1569" s="97">
        <v>0</v>
      </c>
      <c r="V1569" s="97">
        <v>0</v>
      </c>
      <c r="W1569" s="97">
        <v>0</v>
      </c>
      <c r="X1569" s="97">
        <v>0</v>
      </c>
      <c r="Y1569" s="97">
        <v>0</v>
      </c>
      <c r="Z1569" s="97">
        <v>0</v>
      </c>
      <c r="AA1569" s="97">
        <v>0</v>
      </c>
      <c r="AB1569" s="97">
        <v>0</v>
      </c>
      <c r="AC1569" s="97">
        <v>0</v>
      </c>
      <c r="AD1569" s="97">
        <v>0</v>
      </c>
      <c r="AE1569" s="76"/>
      <c r="AF1569" s="76"/>
      <c r="AG1569" s="76"/>
      <c r="AH1569" s="76">
        <v>1</v>
      </c>
      <c r="AI1569" s="76">
        <v>1</v>
      </c>
      <c r="AJ1569" s="73"/>
      <c r="AK1569" s="57"/>
      <c r="AL1569" s="45"/>
      <c r="AM1569" s="45"/>
      <c r="AN1569" s="45"/>
    </row>
    <row r="1570" spans="1:40" outlineLevel="2" x14ac:dyDescent="0.35">
      <c r="A1570" s="45"/>
      <c r="B1570" s="54"/>
      <c r="C1570" s="47">
        <f t="shared" si="247"/>
        <v>4</v>
      </c>
      <c r="D1570" s="73"/>
      <c r="E1570" s="70"/>
      <c r="F1570" s="70" t="s">
        <v>3372</v>
      </c>
      <c r="G1570" s="73"/>
      <c r="H1570" s="378" t="s">
        <v>3369</v>
      </c>
      <c r="I1570" s="96"/>
      <c r="J1570" s="76"/>
      <c r="K1570" s="76"/>
      <c r="L1570" s="76"/>
      <c r="M1570" s="76"/>
      <c r="N1570" s="76"/>
      <c r="O1570" s="76"/>
      <c r="P1570" s="76"/>
      <c r="Q1570" s="76"/>
      <c r="R1570" s="76"/>
      <c r="S1570" s="76"/>
      <c r="T1570" s="76"/>
      <c r="U1570" s="97">
        <v>0</v>
      </c>
      <c r="V1570" s="97">
        <v>0</v>
      </c>
      <c r="W1570" s="97">
        <v>0</v>
      </c>
      <c r="X1570" s="97">
        <v>0</v>
      </c>
      <c r="Y1570" s="97">
        <v>0</v>
      </c>
      <c r="Z1570" s="97">
        <v>0</v>
      </c>
      <c r="AA1570" s="97">
        <v>0</v>
      </c>
      <c r="AB1570" s="97">
        <v>0</v>
      </c>
      <c r="AC1570" s="97">
        <v>0</v>
      </c>
      <c r="AD1570" s="97">
        <v>0</v>
      </c>
      <c r="AE1570" s="76"/>
      <c r="AF1570" s="76"/>
      <c r="AG1570" s="76"/>
      <c r="AH1570" s="76">
        <v>1</v>
      </c>
      <c r="AI1570" s="76">
        <v>1</v>
      </c>
      <c r="AJ1570" s="73"/>
      <c r="AK1570" s="57"/>
      <c r="AL1570" s="45"/>
      <c r="AM1570" s="45"/>
      <c r="AN1570" s="45"/>
    </row>
    <row r="1571" spans="1:40" outlineLevel="2" x14ac:dyDescent="0.35">
      <c r="A1571" s="45"/>
      <c r="B1571" s="54"/>
      <c r="C1571" s="47">
        <f>INT($C$29)+2</f>
        <v>3</v>
      </c>
      <c r="D1571" s="73"/>
      <c r="E1571" s="70"/>
      <c r="F1571" s="70" t="s">
        <v>2427</v>
      </c>
      <c r="G1571" s="73"/>
      <c r="H1571" s="76" t="s">
        <v>2823</v>
      </c>
      <c r="I1571" s="76"/>
      <c r="J1571" s="76"/>
      <c r="K1571" s="76"/>
      <c r="L1571" s="76"/>
      <c r="M1571" s="76"/>
      <c r="N1571" s="76"/>
      <c r="O1571" s="76"/>
      <c r="P1571" s="76"/>
      <c r="Q1571" s="76"/>
      <c r="R1571" s="76"/>
      <c r="S1571" s="76"/>
      <c r="T1571" s="76"/>
      <c r="U1571" s="97">
        <f>19.4829</f>
        <v>19.482900000000001</v>
      </c>
      <c r="V1571" s="255">
        <f>U1571</f>
        <v>19.482900000000001</v>
      </c>
      <c r="W1571" s="255">
        <f t="shared" ref="W1571:X1589" si="248">U1571</f>
        <v>19.482900000000001</v>
      </c>
      <c r="X1571" s="255">
        <f t="shared" si="248"/>
        <v>19.482900000000001</v>
      </c>
      <c r="Y1571" s="255">
        <f>V1571</f>
        <v>19.482900000000001</v>
      </c>
      <c r="Z1571" s="255">
        <f>AA1571</f>
        <v>16.702999999999999</v>
      </c>
      <c r="AA1571" s="97">
        <v>16.702999999999999</v>
      </c>
      <c r="AB1571" s="255">
        <f t="shared" ref="AB1571:AD1589" si="249">AA1571</f>
        <v>16.702999999999999</v>
      </c>
      <c r="AC1571" s="255">
        <f t="shared" si="249"/>
        <v>16.702999999999999</v>
      </c>
      <c r="AD1571" s="255">
        <f t="shared" si="249"/>
        <v>16.702999999999999</v>
      </c>
      <c r="AE1571" s="76"/>
      <c r="AF1571" s="76"/>
      <c r="AG1571" s="76"/>
      <c r="AH1571" s="97">
        <v>1</v>
      </c>
      <c r="AI1571" s="97">
        <v>1</v>
      </c>
      <c r="AJ1571" s="73"/>
      <c r="AK1571" s="57"/>
      <c r="AL1571" s="45"/>
      <c r="AM1571" s="45"/>
      <c r="AN1571" s="45"/>
    </row>
    <row r="1572" spans="1:40" outlineLevel="2" x14ac:dyDescent="0.35">
      <c r="A1572" s="45"/>
      <c r="B1572" s="54"/>
      <c r="C1572" s="47">
        <f>INT($C$29)+2</f>
        <v>3</v>
      </c>
      <c r="D1572" s="73"/>
      <c r="E1572" s="70"/>
      <c r="F1572" s="70" t="s">
        <v>2476</v>
      </c>
      <c r="G1572" s="73"/>
      <c r="H1572" s="76" t="s">
        <v>3366</v>
      </c>
      <c r="I1572" s="76"/>
      <c r="J1572" s="76"/>
      <c r="K1572" s="76"/>
      <c r="L1572" s="76"/>
      <c r="M1572" s="76"/>
      <c r="N1572" s="76"/>
      <c r="O1572" s="76"/>
      <c r="P1572" s="76"/>
      <c r="Q1572" s="76"/>
      <c r="R1572" s="76"/>
      <c r="S1572" s="76"/>
      <c r="T1572" s="76"/>
      <c r="U1572" s="97">
        <v>-9.8000000000000004E-2</v>
      </c>
      <c r="V1572" s="255">
        <f t="shared" ref="V1572:V1586" si="250">U1572</f>
        <v>-9.8000000000000004E-2</v>
      </c>
      <c r="W1572" s="255">
        <f t="shared" si="248"/>
        <v>-9.8000000000000004E-2</v>
      </c>
      <c r="X1572" s="255">
        <f t="shared" si="248"/>
        <v>-9.8000000000000004E-2</v>
      </c>
      <c r="Y1572" s="255">
        <f>V1572</f>
        <v>-9.8000000000000004E-2</v>
      </c>
      <c r="Z1572" s="255">
        <f>AA1572</f>
        <v>-3.9480000000000001E-2</v>
      </c>
      <c r="AA1572" s="97">
        <v>-3.9480000000000001E-2</v>
      </c>
      <c r="AB1572" s="255">
        <f t="shared" si="249"/>
        <v>-3.9480000000000001E-2</v>
      </c>
      <c r="AC1572" s="255">
        <f t="shared" si="249"/>
        <v>-3.9480000000000001E-2</v>
      </c>
      <c r="AD1572" s="255">
        <f t="shared" si="249"/>
        <v>-3.9480000000000001E-2</v>
      </c>
      <c r="AE1572" s="76"/>
      <c r="AF1572" s="97" t="s">
        <v>2824</v>
      </c>
      <c r="AG1572" s="76"/>
      <c r="AH1572" s="97">
        <v>1</v>
      </c>
      <c r="AI1572" s="97">
        <v>1</v>
      </c>
      <c r="AJ1572" s="73"/>
      <c r="AK1572" s="57"/>
      <c r="AL1572" s="45"/>
      <c r="AM1572" s="45"/>
      <c r="AN1572" s="45"/>
    </row>
    <row r="1573" spans="1:40" outlineLevel="2" x14ac:dyDescent="0.35">
      <c r="A1573" s="45"/>
      <c r="B1573" s="54"/>
      <c r="C1573" s="47">
        <f>INT($C$29)+2</f>
        <v>3</v>
      </c>
      <c r="D1573" s="73"/>
      <c r="E1573" s="70"/>
      <c r="F1573" s="70" t="s">
        <v>2477</v>
      </c>
      <c r="G1573" s="73"/>
      <c r="H1573" s="76" t="s">
        <v>2500</v>
      </c>
      <c r="I1573" s="76"/>
      <c r="J1573" s="76"/>
      <c r="K1573" s="76"/>
      <c r="L1573" s="76"/>
      <c r="M1573" s="76"/>
      <c r="N1573" s="76"/>
      <c r="O1573" s="76"/>
      <c r="P1573" s="76"/>
      <c r="Q1573" s="76"/>
      <c r="R1573" s="76"/>
      <c r="S1573" s="76"/>
      <c r="T1573" s="76"/>
      <c r="U1573" s="97">
        <v>0</v>
      </c>
      <c r="V1573" s="255">
        <f t="shared" si="250"/>
        <v>0</v>
      </c>
      <c r="W1573" s="255">
        <f t="shared" si="248"/>
        <v>0</v>
      </c>
      <c r="X1573" s="255">
        <f t="shared" si="248"/>
        <v>0</v>
      </c>
      <c r="Y1573" s="255">
        <f>V1573</f>
        <v>0</v>
      </c>
      <c r="Z1573" s="255">
        <f>AA1573</f>
        <v>0</v>
      </c>
      <c r="AA1573" s="97">
        <v>0</v>
      </c>
      <c r="AB1573" s="255">
        <f t="shared" si="249"/>
        <v>0</v>
      </c>
      <c r="AC1573" s="255">
        <f t="shared" si="249"/>
        <v>0</v>
      </c>
      <c r="AD1573" s="255">
        <f t="shared" si="249"/>
        <v>0</v>
      </c>
      <c r="AE1573" s="76"/>
      <c r="AF1573" s="76"/>
      <c r="AG1573" s="76"/>
      <c r="AH1573" s="97">
        <v>1</v>
      </c>
      <c r="AI1573" s="97">
        <v>1</v>
      </c>
      <c r="AJ1573" s="73"/>
      <c r="AK1573" s="57"/>
      <c r="AL1573" s="45"/>
      <c r="AM1573" s="45"/>
      <c r="AN1573" s="45"/>
    </row>
    <row r="1574" spans="1:40" outlineLevel="3" collapsed="1" x14ac:dyDescent="0.35">
      <c r="A1574" s="45"/>
      <c r="B1574" s="54"/>
      <c r="C1574" s="47">
        <f t="shared" ref="C1574:C1585" si="251">INT($C$29)+3</f>
        <v>4</v>
      </c>
      <c r="D1574" s="73"/>
      <c r="E1574" s="70"/>
      <c r="F1574" s="70" t="s">
        <v>2478</v>
      </c>
      <c r="G1574" s="73"/>
      <c r="H1574" s="378" t="s">
        <v>2501</v>
      </c>
      <c r="I1574" s="76"/>
      <c r="J1574" s="76"/>
      <c r="K1574" s="76"/>
      <c r="L1574" s="76"/>
      <c r="M1574" s="76"/>
      <c r="N1574" s="76"/>
      <c r="O1574" s="76"/>
      <c r="P1574" s="76"/>
      <c r="Q1574" s="76"/>
      <c r="R1574" s="76"/>
      <c r="S1574" s="76"/>
      <c r="T1574" s="76"/>
      <c r="U1574" s="97">
        <v>0</v>
      </c>
      <c r="V1574" s="255">
        <f t="shared" si="250"/>
        <v>0</v>
      </c>
      <c r="W1574" s="255">
        <f t="shared" si="248"/>
        <v>0</v>
      </c>
      <c r="X1574" s="255">
        <f t="shared" si="248"/>
        <v>0</v>
      </c>
      <c r="Y1574" s="255">
        <f>V1574</f>
        <v>0</v>
      </c>
      <c r="Z1574" s="255">
        <f>AA1574</f>
        <v>0</v>
      </c>
      <c r="AA1574" s="97">
        <v>0</v>
      </c>
      <c r="AB1574" s="255">
        <f t="shared" si="249"/>
        <v>0</v>
      </c>
      <c r="AC1574" s="255">
        <f t="shared" si="249"/>
        <v>0</v>
      </c>
      <c r="AD1574" s="255">
        <f t="shared" si="249"/>
        <v>0</v>
      </c>
      <c r="AE1574" s="76"/>
      <c r="AF1574" s="76"/>
      <c r="AG1574" s="76"/>
      <c r="AH1574" s="97">
        <v>1</v>
      </c>
      <c r="AI1574" s="97">
        <v>1</v>
      </c>
      <c r="AJ1574" s="73"/>
      <c r="AK1574" s="57"/>
      <c r="AL1574" s="45"/>
      <c r="AM1574" s="45"/>
      <c r="AN1574" s="45"/>
    </row>
    <row r="1575" spans="1:40" outlineLevel="3" x14ac:dyDescent="0.35">
      <c r="A1575" s="45"/>
      <c r="B1575" s="54"/>
      <c r="C1575" s="47">
        <f t="shared" si="251"/>
        <v>4</v>
      </c>
      <c r="D1575" s="73"/>
      <c r="E1575" s="70"/>
      <c r="F1575" s="70" t="s">
        <v>2479</v>
      </c>
      <c r="G1575" s="73"/>
      <c r="H1575" s="378" t="s">
        <v>2759</v>
      </c>
      <c r="I1575" s="76"/>
      <c r="J1575" s="76"/>
      <c r="K1575" s="76"/>
      <c r="L1575" s="76"/>
      <c r="M1575" s="76"/>
      <c r="N1575" s="76"/>
      <c r="O1575" s="76"/>
      <c r="P1575" s="76"/>
      <c r="Q1575" s="76"/>
      <c r="R1575" s="76"/>
      <c r="S1575" s="76"/>
      <c r="T1575" s="76"/>
      <c r="U1575" s="76">
        <v>0</v>
      </c>
      <c r="V1575" s="255">
        <f t="shared" si="250"/>
        <v>0</v>
      </c>
      <c r="W1575" s="76">
        <v>0</v>
      </c>
      <c r="X1575" s="76">
        <v>0</v>
      </c>
      <c r="Y1575" s="76">
        <v>0</v>
      </c>
      <c r="Z1575" s="76">
        <v>0</v>
      </c>
      <c r="AA1575" s="76">
        <v>0</v>
      </c>
      <c r="AB1575" s="76">
        <v>0</v>
      </c>
      <c r="AC1575" s="76">
        <v>0</v>
      </c>
      <c r="AD1575" s="76">
        <v>0</v>
      </c>
      <c r="AE1575" s="76"/>
      <c r="AF1575" s="76"/>
      <c r="AG1575" s="76"/>
      <c r="AH1575" s="76">
        <v>1</v>
      </c>
      <c r="AI1575" s="76">
        <v>1</v>
      </c>
      <c r="AJ1575" s="73"/>
      <c r="AK1575" s="57"/>
      <c r="AL1575" s="45"/>
      <c r="AM1575" s="45"/>
      <c r="AN1575" s="45"/>
    </row>
    <row r="1576" spans="1:40" outlineLevel="2" x14ac:dyDescent="0.35">
      <c r="A1576" s="45"/>
      <c r="B1576" s="54"/>
      <c r="C1576" s="47">
        <f t="shared" si="251"/>
        <v>4</v>
      </c>
      <c r="D1576" s="73"/>
      <c r="E1576" s="70"/>
      <c r="F1576" s="70" t="s">
        <v>2480</v>
      </c>
      <c r="G1576" s="73"/>
      <c r="H1576" s="378" t="s">
        <v>2502</v>
      </c>
      <c r="I1576" s="76"/>
      <c r="J1576" s="76"/>
      <c r="K1576" s="76"/>
      <c r="L1576" s="76"/>
      <c r="M1576" s="76"/>
      <c r="N1576" s="76"/>
      <c r="O1576" s="76"/>
      <c r="P1576" s="76"/>
      <c r="Q1576" s="76"/>
      <c r="R1576" s="76"/>
      <c r="S1576" s="76"/>
      <c r="T1576" s="76"/>
      <c r="U1576" s="97">
        <v>0</v>
      </c>
      <c r="V1576" s="255">
        <f t="shared" si="250"/>
        <v>0</v>
      </c>
      <c r="W1576" s="255">
        <f>U1576</f>
        <v>0</v>
      </c>
      <c r="X1576" s="255">
        <f>V1576</f>
        <v>0</v>
      </c>
      <c r="Y1576" s="255">
        <f>V1576</f>
        <v>0</v>
      </c>
      <c r="Z1576" s="255">
        <f>AA1576</f>
        <v>0</v>
      </c>
      <c r="AA1576" s="97">
        <v>0</v>
      </c>
      <c r="AB1576" s="255">
        <f>AA1576</f>
        <v>0</v>
      </c>
      <c r="AC1576" s="255">
        <f>AB1576</f>
        <v>0</v>
      </c>
      <c r="AD1576" s="255">
        <f>AC1576</f>
        <v>0</v>
      </c>
      <c r="AE1576" s="76"/>
      <c r="AF1576" s="76"/>
      <c r="AG1576" s="76"/>
      <c r="AH1576" s="97">
        <v>1</v>
      </c>
      <c r="AI1576" s="97">
        <v>1</v>
      </c>
      <c r="AJ1576" s="73"/>
      <c r="AK1576" s="57"/>
      <c r="AL1576" s="45"/>
      <c r="AM1576" s="45"/>
      <c r="AN1576" s="45"/>
    </row>
    <row r="1577" spans="1:40" outlineLevel="3" x14ac:dyDescent="0.35">
      <c r="A1577" s="45"/>
      <c r="B1577" s="54"/>
      <c r="C1577" s="47">
        <f t="shared" si="251"/>
        <v>4</v>
      </c>
      <c r="D1577" s="73"/>
      <c r="E1577" s="70"/>
      <c r="F1577" s="70" t="s">
        <v>2481</v>
      </c>
      <c r="G1577" s="73"/>
      <c r="H1577" s="377" t="s">
        <v>2758</v>
      </c>
      <c r="I1577" s="76"/>
      <c r="J1577" s="76"/>
      <c r="K1577" s="76"/>
      <c r="L1577" s="76"/>
      <c r="M1577" s="76"/>
      <c r="N1577" s="76"/>
      <c r="O1577" s="76"/>
      <c r="P1577" s="76"/>
      <c r="Q1577" s="76"/>
      <c r="R1577" s="76"/>
      <c r="S1577" s="76"/>
      <c r="T1577" s="76"/>
      <c r="U1577" s="76">
        <v>0</v>
      </c>
      <c r="V1577" s="255">
        <f t="shared" si="250"/>
        <v>0</v>
      </c>
      <c r="W1577" s="76">
        <v>0</v>
      </c>
      <c r="X1577" s="76">
        <v>0</v>
      </c>
      <c r="Y1577" s="76">
        <v>0</v>
      </c>
      <c r="Z1577" s="76">
        <v>0</v>
      </c>
      <c r="AA1577" s="76">
        <v>0</v>
      </c>
      <c r="AB1577" s="76">
        <v>0</v>
      </c>
      <c r="AC1577" s="76">
        <v>0</v>
      </c>
      <c r="AD1577" s="76">
        <v>0</v>
      </c>
      <c r="AE1577" s="76"/>
      <c r="AF1577" s="76"/>
      <c r="AG1577" s="76"/>
      <c r="AH1577" s="76">
        <v>1</v>
      </c>
      <c r="AI1577" s="76">
        <v>1</v>
      </c>
      <c r="AJ1577" s="73"/>
      <c r="AK1577" s="57"/>
      <c r="AL1577" s="45"/>
      <c r="AM1577" s="45"/>
      <c r="AN1577" s="45"/>
    </row>
    <row r="1578" spans="1:40" outlineLevel="2" x14ac:dyDescent="0.35">
      <c r="A1578" s="45"/>
      <c r="B1578" s="54"/>
      <c r="C1578" s="47">
        <f t="shared" si="251"/>
        <v>4</v>
      </c>
      <c r="D1578" s="73"/>
      <c r="E1578" s="70"/>
      <c r="F1578" s="70" t="s">
        <v>2482</v>
      </c>
      <c r="G1578" s="73"/>
      <c r="H1578" s="378" t="s">
        <v>2503</v>
      </c>
      <c r="I1578" s="76"/>
      <c r="J1578" s="76"/>
      <c r="K1578" s="76"/>
      <c r="L1578" s="76"/>
      <c r="M1578" s="76"/>
      <c r="N1578" s="76"/>
      <c r="O1578" s="76"/>
      <c r="P1578" s="76"/>
      <c r="Q1578" s="76"/>
      <c r="R1578" s="76"/>
      <c r="S1578" s="76"/>
      <c r="T1578" s="76"/>
      <c r="U1578" s="97">
        <v>-3.7749999999999999E-2</v>
      </c>
      <c r="V1578" s="255">
        <f t="shared" si="250"/>
        <v>-3.7749999999999999E-2</v>
      </c>
      <c r="W1578" s="255">
        <f>U1578</f>
        <v>-3.7749999999999999E-2</v>
      </c>
      <c r="X1578" s="255">
        <f>V1578</f>
        <v>-3.7749999999999999E-2</v>
      </c>
      <c r="Y1578" s="255">
        <f>V1578</f>
        <v>-3.7749999999999999E-2</v>
      </c>
      <c r="Z1578" s="255">
        <f>AA1578</f>
        <v>-2.775E-2</v>
      </c>
      <c r="AA1578" s="97">
        <v>-2.775E-2</v>
      </c>
      <c r="AB1578" s="255">
        <f>AA1578</f>
        <v>-2.775E-2</v>
      </c>
      <c r="AC1578" s="255">
        <f>AB1578</f>
        <v>-2.775E-2</v>
      </c>
      <c r="AD1578" s="255">
        <f>AC1578</f>
        <v>-2.775E-2</v>
      </c>
      <c r="AE1578" s="76"/>
      <c r="AF1578" s="76"/>
      <c r="AG1578" s="76"/>
      <c r="AH1578" s="97">
        <v>1</v>
      </c>
      <c r="AI1578" s="97">
        <v>1</v>
      </c>
      <c r="AJ1578" s="73"/>
      <c r="AK1578" s="57"/>
      <c r="AL1578" s="45"/>
      <c r="AM1578" s="45"/>
      <c r="AN1578" s="45"/>
    </row>
    <row r="1579" spans="1:40" outlineLevel="3" x14ac:dyDescent="0.35">
      <c r="A1579" s="45"/>
      <c r="B1579" s="54"/>
      <c r="C1579" s="47">
        <f t="shared" si="251"/>
        <v>4</v>
      </c>
      <c r="D1579" s="73"/>
      <c r="E1579" s="70"/>
      <c r="F1579" s="70" t="s">
        <v>2483</v>
      </c>
      <c r="G1579" s="73"/>
      <c r="H1579" s="377" t="s">
        <v>2760</v>
      </c>
      <c r="I1579" s="76"/>
      <c r="J1579" s="76"/>
      <c r="K1579" s="76"/>
      <c r="L1579" s="76"/>
      <c r="M1579" s="76"/>
      <c r="N1579" s="76"/>
      <c r="O1579" s="76"/>
      <c r="P1579" s="76"/>
      <c r="Q1579" s="76"/>
      <c r="R1579" s="76"/>
      <c r="S1579" s="76"/>
      <c r="T1579" s="76"/>
      <c r="U1579" s="76">
        <v>0</v>
      </c>
      <c r="V1579" s="255">
        <f t="shared" si="250"/>
        <v>0</v>
      </c>
      <c r="W1579" s="76">
        <v>0</v>
      </c>
      <c r="X1579" s="76">
        <v>0</v>
      </c>
      <c r="Y1579" s="76">
        <v>0</v>
      </c>
      <c r="Z1579" s="76">
        <v>0</v>
      </c>
      <c r="AA1579" s="76">
        <v>0</v>
      </c>
      <c r="AB1579" s="76">
        <v>0</v>
      </c>
      <c r="AC1579" s="76">
        <v>0</v>
      </c>
      <c r="AD1579" s="76">
        <v>0</v>
      </c>
      <c r="AE1579" s="76"/>
      <c r="AF1579" s="76"/>
      <c r="AG1579" s="76"/>
      <c r="AH1579" s="76">
        <v>1</v>
      </c>
      <c r="AI1579" s="76">
        <v>1</v>
      </c>
      <c r="AJ1579" s="73"/>
      <c r="AK1579" s="57"/>
      <c r="AL1579" s="45"/>
      <c r="AM1579" s="45"/>
      <c r="AN1579" s="45"/>
    </row>
    <row r="1580" spans="1:40" outlineLevel="2" x14ac:dyDescent="0.35">
      <c r="A1580" s="45"/>
      <c r="B1580" s="54"/>
      <c r="C1580" s="47">
        <f t="shared" si="251"/>
        <v>4</v>
      </c>
      <c r="D1580" s="73"/>
      <c r="E1580" s="70"/>
      <c r="F1580" s="70" t="str">
        <f>SUBSTITUTE(F1576,",4)",",8)")</f>
        <v>C(U2,25,8)</v>
      </c>
      <c r="G1580" s="73"/>
      <c r="H1580" s="378" t="s">
        <v>2755</v>
      </c>
      <c r="I1580" s="96"/>
      <c r="J1580" s="76"/>
      <c r="K1580" s="76"/>
      <c r="L1580" s="76"/>
      <c r="M1580" s="76"/>
      <c r="N1580" s="76"/>
      <c r="O1580" s="76"/>
      <c r="P1580" s="76"/>
      <c r="Q1580" s="76"/>
      <c r="R1580" s="76"/>
      <c r="S1580" s="76"/>
      <c r="T1580" s="76"/>
      <c r="U1580" s="97">
        <v>0.05</v>
      </c>
      <c r="V1580" s="255">
        <f t="shared" si="250"/>
        <v>0.05</v>
      </c>
      <c r="W1580" s="255">
        <f t="shared" ref="W1580:W1586" si="252">U1580</f>
        <v>0.05</v>
      </c>
      <c r="X1580" s="255">
        <f t="shared" ref="X1580:X1586" si="253">V1580</f>
        <v>0.05</v>
      </c>
      <c r="Y1580" s="255">
        <f>V1580</f>
        <v>0.05</v>
      </c>
      <c r="Z1580" s="255">
        <f>AA1580</f>
        <v>0</v>
      </c>
      <c r="AA1580" s="97">
        <v>0</v>
      </c>
      <c r="AB1580" s="255">
        <f t="shared" ref="AB1580:AB1586" si="254">AA1580</f>
        <v>0</v>
      </c>
      <c r="AC1580" s="255">
        <f t="shared" ref="AC1580:AC1586" si="255">AB1580</f>
        <v>0</v>
      </c>
      <c r="AD1580" s="255">
        <f t="shared" ref="AD1580:AD1586" si="256">AC1580</f>
        <v>0</v>
      </c>
      <c r="AE1580" s="76"/>
      <c r="AF1580" s="76"/>
      <c r="AG1580" s="76"/>
      <c r="AH1580" s="76">
        <v>1</v>
      </c>
      <c r="AI1580" s="76">
        <v>1</v>
      </c>
      <c r="AJ1580" s="73"/>
      <c r="AK1580" s="57"/>
      <c r="AL1580" s="45"/>
      <c r="AM1580" s="45"/>
      <c r="AN1580" s="45"/>
    </row>
    <row r="1581" spans="1:40" outlineLevel="2" x14ac:dyDescent="0.35">
      <c r="A1581" s="45"/>
      <c r="B1581" s="54"/>
      <c r="C1581" s="47">
        <f t="shared" si="251"/>
        <v>4</v>
      </c>
      <c r="D1581" s="73"/>
      <c r="E1581" s="70"/>
      <c r="F1581" s="70" t="str">
        <f>SUBSTITUTE(F1577,",5)",",9)")</f>
        <v>C(U2,25,9)</v>
      </c>
      <c r="G1581" s="73"/>
      <c r="H1581" s="378" t="s">
        <v>2812</v>
      </c>
      <c r="I1581" s="96"/>
      <c r="J1581" s="76"/>
      <c r="K1581" s="76"/>
      <c r="L1581" s="76"/>
      <c r="M1581" s="76"/>
      <c r="N1581" s="76"/>
      <c r="O1581" s="76"/>
      <c r="P1581" s="76"/>
      <c r="Q1581" s="76"/>
      <c r="R1581" s="76"/>
      <c r="S1581" s="76"/>
      <c r="T1581" s="76"/>
      <c r="U1581" s="97">
        <v>-9.3500000000000007E-3</v>
      </c>
      <c r="V1581" s="255">
        <f t="shared" si="250"/>
        <v>-9.3500000000000007E-3</v>
      </c>
      <c r="W1581" s="255">
        <f t="shared" si="252"/>
        <v>-9.3500000000000007E-3</v>
      </c>
      <c r="X1581" s="255">
        <f t="shared" si="253"/>
        <v>-9.3500000000000007E-3</v>
      </c>
      <c r="Y1581" s="255">
        <f>V1581</f>
        <v>-9.3500000000000007E-3</v>
      </c>
      <c r="Z1581" s="255">
        <f>AA1581</f>
        <v>-9.3500000000000007E-3</v>
      </c>
      <c r="AA1581" s="97">
        <v>-9.3500000000000007E-3</v>
      </c>
      <c r="AB1581" s="255">
        <f t="shared" si="254"/>
        <v>-9.3500000000000007E-3</v>
      </c>
      <c r="AC1581" s="255">
        <f t="shared" si="255"/>
        <v>-9.3500000000000007E-3</v>
      </c>
      <c r="AD1581" s="255">
        <f t="shared" si="256"/>
        <v>-9.3500000000000007E-3</v>
      </c>
      <c r="AE1581" s="76"/>
      <c r="AF1581" s="76"/>
      <c r="AG1581" s="76"/>
      <c r="AH1581" s="76">
        <v>1</v>
      </c>
      <c r="AI1581" s="76">
        <v>1</v>
      </c>
      <c r="AJ1581" s="73"/>
      <c r="AK1581" s="57"/>
      <c r="AL1581" s="45"/>
      <c r="AM1581" s="45"/>
      <c r="AN1581" s="45"/>
    </row>
    <row r="1582" spans="1:40" outlineLevel="2" x14ac:dyDescent="0.35">
      <c r="A1582" s="45"/>
      <c r="B1582" s="54"/>
      <c r="C1582" s="47">
        <f t="shared" si="251"/>
        <v>4</v>
      </c>
      <c r="D1582" s="73"/>
      <c r="E1582" s="70"/>
      <c r="F1582" s="70" t="str">
        <f>SUBSTITUTE(F1578,",6)",",10)")</f>
        <v>C(U2,25,10)</v>
      </c>
      <c r="G1582" s="73"/>
      <c r="H1582" s="378" t="s">
        <v>2811</v>
      </c>
      <c r="I1582" s="96"/>
      <c r="J1582" s="76"/>
      <c r="K1582" s="76"/>
      <c r="L1582" s="76"/>
      <c r="M1582" s="76"/>
      <c r="N1582" s="76"/>
      <c r="O1582" s="76"/>
      <c r="P1582" s="76"/>
      <c r="Q1582" s="76"/>
      <c r="R1582" s="76"/>
      <c r="S1582" s="76"/>
      <c r="T1582" s="76"/>
      <c r="U1582" s="97">
        <v>-7.0369200000000003E-3</v>
      </c>
      <c r="V1582" s="255">
        <f t="shared" si="250"/>
        <v>-7.0369200000000003E-3</v>
      </c>
      <c r="W1582" s="255">
        <f t="shared" si="252"/>
        <v>-7.0369200000000003E-3</v>
      </c>
      <c r="X1582" s="255">
        <f t="shared" si="253"/>
        <v>-7.0369200000000003E-3</v>
      </c>
      <c r="Y1582" s="255">
        <f>V1582</f>
        <v>-7.0369200000000003E-3</v>
      </c>
      <c r="Z1582" s="255">
        <f>AA1582</f>
        <v>-7.0369200000000003E-3</v>
      </c>
      <c r="AA1582" s="97">
        <v>-7.0369200000000003E-3</v>
      </c>
      <c r="AB1582" s="255">
        <f t="shared" si="254"/>
        <v>-7.0369200000000003E-3</v>
      </c>
      <c r="AC1582" s="255">
        <f t="shared" si="255"/>
        <v>-7.0369200000000003E-3</v>
      </c>
      <c r="AD1582" s="255">
        <f t="shared" si="256"/>
        <v>-7.0369200000000003E-3</v>
      </c>
      <c r="AE1582" s="76"/>
      <c r="AF1582" s="76"/>
      <c r="AG1582" s="76"/>
      <c r="AH1582" s="76">
        <v>1</v>
      </c>
      <c r="AI1582" s="76">
        <v>1</v>
      </c>
      <c r="AJ1582" s="73"/>
      <c r="AK1582" s="57"/>
      <c r="AL1582" s="45"/>
      <c r="AM1582" s="45"/>
      <c r="AN1582" s="45"/>
    </row>
    <row r="1583" spans="1:40" outlineLevel="2" x14ac:dyDescent="0.35">
      <c r="A1583" s="45"/>
      <c r="B1583" s="54"/>
      <c r="C1583" s="47">
        <f t="shared" si="251"/>
        <v>4</v>
      </c>
      <c r="D1583" s="73"/>
      <c r="E1583" s="70"/>
      <c r="F1583" s="70" t="str">
        <f>SUBSTITUTE(F1579,",7)",",11)")</f>
        <v>C(U2,25,11)</v>
      </c>
      <c r="G1583" s="73"/>
      <c r="H1583" s="378" t="s">
        <v>2761</v>
      </c>
      <c r="I1583" s="96"/>
      <c r="J1583" s="76"/>
      <c r="K1583" s="76"/>
      <c r="L1583" s="76"/>
      <c r="M1583" s="76"/>
      <c r="N1583" s="76"/>
      <c r="O1583" s="76"/>
      <c r="P1583" s="76"/>
      <c r="Q1583" s="76"/>
      <c r="R1583" s="76"/>
      <c r="S1583" s="76"/>
      <c r="T1583" s="76"/>
      <c r="U1583" s="97">
        <v>7.4569999999999999E-5</v>
      </c>
      <c r="V1583" s="255">
        <f t="shared" si="250"/>
        <v>7.4569999999999999E-5</v>
      </c>
      <c r="W1583" s="255">
        <f t="shared" si="252"/>
        <v>7.4569999999999999E-5</v>
      </c>
      <c r="X1583" s="255">
        <f t="shared" si="253"/>
        <v>7.4569999999999999E-5</v>
      </c>
      <c r="Y1583" s="255">
        <f>V1583</f>
        <v>7.4569999999999999E-5</v>
      </c>
      <c r="Z1583" s="255">
        <f>AA1583</f>
        <v>7.4569999999999999E-5</v>
      </c>
      <c r="AA1583" s="97">
        <v>7.4569999999999999E-5</v>
      </c>
      <c r="AB1583" s="255">
        <f t="shared" si="254"/>
        <v>7.4569999999999999E-5</v>
      </c>
      <c r="AC1583" s="255">
        <f t="shared" si="255"/>
        <v>7.4569999999999999E-5</v>
      </c>
      <c r="AD1583" s="255">
        <f t="shared" si="256"/>
        <v>7.4569999999999999E-5</v>
      </c>
      <c r="AE1583" s="76"/>
      <c r="AF1583" s="76"/>
      <c r="AG1583" s="76"/>
      <c r="AH1583" s="76">
        <v>1</v>
      </c>
      <c r="AI1583" s="76">
        <v>1</v>
      </c>
      <c r="AJ1583" s="73"/>
      <c r="AK1583" s="57"/>
      <c r="AL1583" s="45"/>
      <c r="AM1583" s="45"/>
      <c r="AN1583" s="45"/>
    </row>
    <row r="1584" spans="1:40" outlineLevel="2" x14ac:dyDescent="0.35">
      <c r="A1584" s="45"/>
      <c r="B1584" s="54"/>
      <c r="C1584" s="47">
        <f t="shared" si="251"/>
        <v>4</v>
      </c>
      <c r="D1584" s="73"/>
      <c r="E1584" s="70"/>
      <c r="F1584" s="70" t="s">
        <v>3373</v>
      </c>
      <c r="G1584" s="73"/>
      <c r="H1584" s="378" t="s">
        <v>3370</v>
      </c>
      <c r="I1584" s="96"/>
      <c r="J1584" s="76"/>
      <c r="K1584" s="76"/>
      <c r="L1584" s="76"/>
      <c r="M1584" s="76"/>
      <c r="N1584" s="76"/>
      <c r="O1584" s="76"/>
      <c r="P1584" s="76"/>
      <c r="Q1584" s="76"/>
      <c r="R1584" s="76"/>
      <c r="S1584" s="76"/>
      <c r="T1584" s="76"/>
      <c r="U1584" s="97">
        <v>0</v>
      </c>
      <c r="V1584" s="255">
        <f t="shared" si="250"/>
        <v>0</v>
      </c>
      <c r="W1584" s="97">
        <v>0</v>
      </c>
      <c r="X1584" s="97">
        <v>0</v>
      </c>
      <c r="Y1584" s="97">
        <v>0</v>
      </c>
      <c r="Z1584" s="97">
        <v>0</v>
      </c>
      <c r="AA1584" s="97">
        <v>0</v>
      </c>
      <c r="AB1584" s="97">
        <v>0</v>
      </c>
      <c r="AC1584" s="97">
        <v>0</v>
      </c>
      <c r="AD1584" s="97">
        <v>0</v>
      </c>
      <c r="AE1584" s="76"/>
      <c r="AF1584" s="76"/>
      <c r="AG1584" s="76"/>
      <c r="AH1584" s="76">
        <v>1</v>
      </c>
      <c r="AI1584" s="76">
        <v>1</v>
      </c>
      <c r="AJ1584" s="73"/>
      <c r="AK1584" s="57"/>
      <c r="AL1584" s="45"/>
      <c r="AM1584" s="45"/>
      <c r="AN1584" s="45"/>
    </row>
    <row r="1585" spans="1:40" outlineLevel="2" x14ac:dyDescent="0.35">
      <c r="A1585" s="45"/>
      <c r="B1585" s="54"/>
      <c r="C1585" s="47">
        <f t="shared" si="251"/>
        <v>4</v>
      </c>
      <c r="D1585" s="73"/>
      <c r="E1585" s="70"/>
      <c r="F1585" s="70" t="s">
        <v>3374</v>
      </c>
      <c r="G1585" s="73"/>
      <c r="H1585" s="378" t="s">
        <v>3369</v>
      </c>
      <c r="I1585" s="96"/>
      <c r="J1585" s="76"/>
      <c r="K1585" s="76"/>
      <c r="L1585" s="76"/>
      <c r="M1585" s="76"/>
      <c r="N1585" s="76"/>
      <c r="O1585" s="76"/>
      <c r="P1585" s="76"/>
      <c r="Q1585" s="76"/>
      <c r="R1585" s="76"/>
      <c r="S1585" s="76"/>
      <c r="T1585" s="76"/>
      <c r="U1585" s="97">
        <v>0</v>
      </c>
      <c r="V1585" s="255">
        <f t="shared" si="250"/>
        <v>0</v>
      </c>
      <c r="W1585" s="97">
        <v>0</v>
      </c>
      <c r="X1585" s="97">
        <v>0</v>
      </c>
      <c r="Y1585" s="97">
        <v>0</v>
      </c>
      <c r="Z1585" s="97">
        <v>0</v>
      </c>
      <c r="AA1585" s="97">
        <v>0</v>
      </c>
      <c r="AB1585" s="97">
        <v>0</v>
      </c>
      <c r="AC1585" s="97">
        <v>0</v>
      </c>
      <c r="AD1585" s="97">
        <v>0</v>
      </c>
      <c r="AE1585" s="76"/>
      <c r="AF1585" s="76"/>
      <c r="AG1585" s="76"/>
      <c r="AH1585" s="76">
        <v>1</v>
      </c>
      <c r="AI1585" s="76">
        <v>1</v>
      </c>
      <c r="AJ1585" s="73"/>
      <c r="AK1585" s="57"/>
      <c r="AL1585" s="45"/>
      <c r="AM1585" s="45"/>
      <c r="AN1585" s="45"/>
    </row>
    <row r="1586" spans="1:40" outlineLevel="2" x14ac:dyDescent="0.35">
      <c r="A1586" s="45"/>
      <c r="B1586" s="54"/>
      <c r="C1586" s="47">
        <f>INT($C$29)+2</f>
        <v>3</v>
      </c>
      <c r="D1586" s="73"/>
      <c r="E1586" s="70"/>
      <c r="F1586" s="70" t="s">
        <v>2484</v>
      </c>
      <c r="G1586" s="73"/>
      <c r="H1586" s="76" t="s">
        <v>2504</v>
      </c>
      <c r="I1586" s="76"/>
      <c r="J1586" s="76"/>
      <c r="K1586" s="76"/>
      <c r="L1586" s="76"/>
      <c r="M1586" s="76"/>
      <c r="N1586" s="76"/>
      <c r="O1586" s="76"/>
      <c r="P1586" s="76"/>
      <c r="Q1586" s="76"/>
      <c r="R1586" s="76"/>
      <c r="S1586" s="76"/>
      <c r="T1586" s="76"/>
      <c r="U1586" s="97">
        <v>-1.8110552</v>
      </c>
      <c r="V1586" s="255">
        <f t="shared" si="250"/>
        <v>-1.8110552</v>
      </c>
      <c r="W1586" s="255">
        <f t="shared" si="252"/>
        <v>-1.8110552</v>
      </c>
      <c r="X1586" s="255">
        <f t="shared" si="253"/>
        <v>-1.8110552</v>
      </c>
      <c r="Y1586" s="255">
        <f>V1586</f>
        <v>-1.8110552</v>
      </c>
      <c r="Z1586" s="255">
        <f>AA1586</f>
        <v>-0.49941732500000002</v>
      </c>
      <c r="AA1586" s="97">
        <v>-0.49941732500000002</v>
      </c>
      <c r="AB1586" s="255">
        <f t="shared" si="254"/>
        <v>-0.49941732500000002</v>
      </c>
      <c r="AC1586" s="255">
        <f t="shared" si="255"/>
        <v>-0.49941732500000002</v>
      </c>
      <c r="AD1586" s="255">
        <f t="shared" si="256"/>
        <v>-0.49941732500000002</v>
      </c>
      <c r="AE1586" s="76"/>
      <c r="AF1586" s="97" t="s">
        <v>2757</v>
      </c>
      <c r="AG1586" s="76"/>
      <c r="AH1586" s="97">
        <v>1</v>
      </c>
      <c r="AI1586" s="97">
        <v>1</v>
      </c>
      <c r="AJ1586" s="73"/>
      <c r="AK1586" s="57"/>
      <c r="AL1586" s="45"/>
      <c r="AM1586" s="45"/>
      <c r="AN1586" s="45"/>
    </row>
    <row r="1587" spans="1:40" outlineLevel="2" x14ac:dyDescent="0.35">
      <c r="A1587" s="45"/>
      <c r="B1587" s="54"/>
      <c r="C1587" s="47">
        <f>INT($C$29)+2</f>
        <v>3</v>
      </c>
      <c r="D1587" s="73"/>
      <c r="E1587" s="70"/>
      <c r="F1587" s="70" t="s">
        <v>3344</v>
      </c>
      <c r="G1587" s="73"/>
      <c r="H1587" s="76" t="s">
        <v>2540</v>
      </c>
      <c r="I1587" s="76"/>
      <c r="J1587" s="76"/>
      <c r="K1587" s="76"/>
      <c r="L1587" s="76"/>
      <c r="M1587" s="76"/>
      <c r="N1587" s="76"/>
      <c r="O1587" s="76"/>
      <c r="P1587" s="76"/>
      <c r="Q1587" s="76"/>
      <c r="R1587" s="76"/>
      <c r="S1587" s="76"/>
      <c r="T1587" s="76"/>
      <c r="U1587" s="97">
        <v>-9.8000000000000004E-2</v>
      </c>
      <c r="V1587" s="255">
        <f>U1587</f>
        <v>-9.8000000000000004E-2</v>
      </c>
      <c r="W1587" s="255">
        <f t="shared" si="248"/>
        <v>-9.8000000000000004E-2</v>
      </c>
      <c r="X1587" s="255">
        <f t="shared" si="248"/>
        <v>-9.8000000000000004E-2</v>
      </c>
      <c r="Y1587" s="255">
        <f>V1587</f>
        <v>-9.8000000000000004E-2</v>
      </c>
      <c r="Z1587" s="255">
        <f>AA1587</f>
        <v>-3.9480000000000001E-2</v>
      </c>
      <c r="AA1587" s="97">
        <v>-3.9480000000000001E-2</v>
      </c>
      <c r="AB1587" s="255">
        <f t="shared" si="249"/>
        <v>-3.9480000000000001E-2</v>
      </c>
      <c r="AC1587" s="255">
        <f t="shared" si="249"/>
        <v>-3.9480000000000001E-2</v>
      </c>
      <c r="AD1587" s="255">
        <f t="shared" si="249"/>
        <v>-3.9480000000000001E-2</v>
      </c>
      <c r="AE1587" s="76"/>
      <c r="AF1587" s="97" t="s">
        <v>2824</v>
      </c>
      <c r="AG1587" s="76"/>
      <c r="AH1587" s="97">
        <v>1</v>
      </c>
      <c r="AI1587" s="97">
        <v>1</v>
      </c>
      <c r="AJ1587" s="73"/>
      <c r="AK1587" s="57"/>
      <c r="AL1587" s="45"/>
      <c r="AM1587" s="45"/>
      <c r="AN1587" s="45"/>
    </row>
    <row r="1588" spans="1:40" outlineLevel="2" collapsed="1" x14ac:dyDescent="0.35">
      <c r="A1588" s="45"/>
      <c r="B1588" s="54"/>
      <c r="C1588" s="47">
        <f>INT($C$29)+2</f>
        <v>3</v>
      </c>
      <c r="D1588" s="73"/>
      <c r="E1588" s="70"/>
      <c r="F1588" s="70" t="s">
        <v>3346</v>
      </c>
      <c r="G1588" s="73"/>
      <c r="H1588" s="76" t="s">
        <v>2500</v>
      </c>
      <c r="I1588" s="76"/>
      <c r="J1588" s="76"/>
      <c r="K1588" s="76"/>
      <c r="L1588" s="76"/>
      <c r="M1588" s="76"/>
      <c r="N1588" s="76"/>
      <c r="O1588" s="76"/>
      <c r="P1588" s="76"/>
      <c r="Q1588" s="76"/>
      <c r="R1588" s="76"/>
      <c r="S1588" s="76"/>
      <c r="T1588" s="76"/>
      <c r="U1588" s="97">
        <v>0</v>
      </c>
      <c r="V1588" s="255">
        <f>U1588</f>
        <v>0</v>
      </c>
      <c r="W1588" s="255">
        <f t="shared" si="248"/>
        <v>0</v>
      </c>
      <c r="X1588" s="255">
        <f t="shared" si="248"/>
        <v>0</v>
      </c>
      <c r="Y1588" s="255">
        <f>V1588</f>
        <v>0</v>
      </c>
      <c r="Z1588" s="255">
        <f>AA1588</f>
        <v>0</v>
      </c>
      <c r="AA1588" s="97">
        <v>0</v>
      </c>
      <c r="AB1588" s="255">
        <f t="shared" si="249"/>
        <v>0</v>
      </c>
      <c r="AC1588" s="255">
        <f t="shared" si="249"/>
        <v>0</v>
      </c>
      <c r="AD1588" s="255">
        <f t="shared" si="249"/>
        <v>0</v>
      </c>
      <c r="AE1588" s="76"/>
      <c r="AF1588" s="76"/>
      <c r="AG1588" s="76"/>
      <c r="AH1588" s="97">
        <v>1</v>
      </c>
      <c r="AI1588" s="97">
        <v>1</v>
      </c>
      <c r="AJ1588" s="73"/>
      <c r="AK1588" s="57"/>
      <c r="AL1588" s="45"/>
      <c r="AM1588" s="45"/>
      <c r="AN1588" s="45"/>
    </row>
    <row r="1589" spans="1:40" hidden="1" outlineLevel="3" collapsed="1" x14ac:dyDescent="0.35">
      <c r="A1589" s="45"/>
      <c r="B1589" s="54"/>
      <c r="C1589" s="47">
        <f t="shared" ref="C1589:C1600" si="257">INT($C$29)+3</f>
        <v>4</v>
      </c>
      <c r="D1589" s="73"/>
      <c r="E1589" s="70"/>
      <c r="F1589" s="70" t="s">
        <v>3345</v>
      </c>
      <c r="G1589" s="73"/>
      <c r="H1589" s="378" t="s">
        <v>2501</v>
      </c>
      <c r="I1589" s="76"/>
      <c r="J1589" s="76"/>
      <c r="K1589" s="76"/>
      <c r="L1589" s="76"/>
      <c r="M1589" s="76"/>
      <c r="N1589" s="76"/>
      <c r="O1589" s="76"/>
      <c r="P1589" s="76"/>
      <c r="Q1589" s="76"/>
      <c r="R1589" s="76"/>
      <c r="S1589" s="76"/>
      <c r="T1589" s="76"/>
      <c r="U1589" s="97">
        <v>0</v>
      </c>
      <c r="V1589" s="255">
        <f>U1589</f>
        <v>0</v>
      </c>
      <c r="W1589" s="255">
        <f t="shared" si="248"/>
        <v>0</v>
      </c>
      <c r="X1589" s="255">
        <f t="shared" si="248"/>
        <v>0</v>
      </c>
      <c r="Y1589" s="255">
        <f>V1589</f>
        <v>0</v>
      </c>
      <c r="Z1589" s="255">
        <f>AA1589</f>
        <v>0</v>
      </c>
      <c r="AA1589" s="97">
        <v>0</v>
      </c>
      <c r="AB1589" s="255">
        <f t="shared" si="249"/>
        <v>0</v>
      </c>
      <c r="AC1589" s="255">
        <f t="shared" si="249"/>
        <v>0</v>
      </c>
      <c r="AD1589" s="255">
        <f t="shared" si="249"/>
        <v>0</v>
      </c>
      <c r="AE1589" s="76"/>
      <c r="AF1589" s="76"/>
      <c r="AG1589" s="76"/>
      <c r="AH1589" s="97">
        <v>1</v>
      </c>
      <c r="AI1589" s="97">
        <v>1</v>
      </c>
      <c r="AJ1589" s="73"/>
      <c r="AK1589" s="57"/>
      <c r="AL1589" s="45"/>
      <c r="AM1589" s="45"/>
      <c r="AN1589" s="45"/>
    </row>
    <row r="1590" spans="1:40" hidden="1" outlineLevel="3" x14ac:dyDescent="0.35">
      <c r="A1590" s="45"/>
      <c r="B1590" s="54"/>
      <c r="C1590" s="47">
        <f t="shared" si="257"/>
        <v>4</v>
      </c>
      <c r="D1590" s="73"/>
      <c r="E1590" s="70"/>
      <c r="F1590" s="70" t="s">
        <v>3347</v>
      </c>
      <c r="G1590" s="73"/>
      <c r="H1590" s="378" t="s">
        <v>2759</v>
      </c>
      <c r="I1590" s="76"/>
      <c r="J1590" s="76"/>
      <c r="K1590" s="76"/>
      <c r="L1590" s="76"/>
      <c r="M1590" s="76"/>
      <c r="N1590" s="76"/>
      <c r="O1590" s="76"/>
      <c r="P1590" s="76"/>
      <c r="Q1590" s="76"/>
      <c r="R1590" s="76"/>
      <c r="S1590" s="76"/>
      <c r="T1590" s="76"/>
      <c r="U1590" s="76">
        <v>0</v>
      </c>
      <c r="V1590" s="76">
        <v>0</v>
      </c>
      <c r="W1590" s="76">
        <v>0</v>
      </c>
      <c r="X1590" s="76">
        <v>0</v>
      </c>
      <c r="Y1590" s="76">
        <v>0</v>
      </c>
      <c r="Z1590" s="76">
        <v>0</v>
      </c>
      <c r="AA1590" s="76">
        <v>0</v>
      </c>
      <c r="AB1590" s="76">
        <v>0</v>
      </c>
      <c r="AC1590" s="76">
        <v>0</v>
      </c>
      <c r="AD1590" s="76">
        <v>0</v>
      </c>
      <c r="AE1590" s="76"/>
      <c r="AF1590" s="76"/>
      <c r="AG1590" s="76"/>
      <c r="AH1590" s="76">
        <v>1</v>
      </c>
      <c r="AI1590" s="76">
        <v>1</v>
      </c>
      <c r="AJ1590" s="73"/>
      <c r="AK1590" s="57"/>
      <c r="AL1590" s="45"/>
      <c r="AM1590" s="45"/>
      <c r="AN1590" s="45"/>
    </row>
    <row r="1591" spans="1:40" outlineLevel="2" collapsed="1" x14ac:dyDescent="0.35">
      <c r="A1591" s="45"/>
      <c r="B1591" s="54"/>
      <c r="C1591" s="47">
        <f t="shared" si="257"/>
        <v>4</v>
      </c>
      <c r="D1591" s="73"/>
      <c r="E1591" s="70"/>
      <c r="F1591" s="70" t="s">
        <v>3348</v>
      </c>
      <c r="G1591" s="73"/>
      <c r="H1591" s="378" t="s">
        <v>2502</v>
      </c>
      <c r="I1591" s="76"/>
      <c r="J1591" s="76"/>
      <c r="K1591" s="76"/>
      <c r="L1591" s="76"/>
      <c r="M1591" s="76"/>
      <c r="N1591" s="76"/>
      <c r="O1591" s="76"/>
      <c r="P1591" s="76"/>
      <c r="Q1591" s="76"/>
      <c r="R1591" s="76"/>
      <c r="S1591" s="76"/>
      <c r="T1591" s="76"/>
      <c r="U1591" s="97">
        <v>0</v>
      </c>
      <c r="V1591" s="255">
        <f>U1591</f>
        <v>0</v>
      </c>
      <c r="W1591" s="255">
        <f>U1591</f>
        <v>0</v>
      </c>
      <c r="X1591" s="255">
        <f>V1591</f>
        <v>0</v>
      </c>
      <c r="Y1591" s="255">
        <f>V1591</f>
        <v>0</v>
      </c>
      <c r="Z1591" s="255">
        <f>AA1591</f>
        <v>0</v>
      </c>
      <c r="AA1591" s="97">
        <v>0</v>
      </c>
      <c r="AB1591" s="255">
        <f>AA1591</f>
        <v>0</v>
      </c>
      <c r="AC1591" s="255">
        <f>AB1591</f>
        <v>0</v>
      </c>
      <c r="AD1591" s="255">
        <f>AC1591</f>
        <v>0</v>
      </c>
      <c r="AE1591" s="76"/>
      <c r="AF1591" s="76"/>
      <c r="AG1591" s="76"/>
      <c r="AH1591" s="97">
        <v>1</v>
      </c>
      <c r="AI1591" s="97">
        <v>1</v>
      </c>
      <c r="AJ1591" s="73"/>
      <c r="AK1591" s="57"/>
      <c r="AL1591" s="45"/>
      <c r="AM1591" s="45"/>
      <c r="AN1591" s="45"/>
    </row>
    <row r="1592" spans="1:40" hidden="1" outlineLevel="3" x14ac:dyDescent="0.35">
      <c r="A1592" s="45"/>
      <c r="B1592" s="54"/>
      <c r="C1592" s="47">
        <f t="shared" si="257"/>
        <v>4</v>
      </c>
      <c r="D1592" s="73"/>
      <c r="E1592" s="70"/>
      <c r="F1592" s="70" t="s">
        <v>3349</v>
      </c>
      <c r="G1592" s="73"/>
      <c r="H1592" s="377" t="s">
        <v>2758</v>
      </c>
      <c r="I1592" s="76"/>
      <c r="J1592" s="76"/>
      <c r="K1592" s="76"/>
      <c r="L1592" s="76"/>
      <c r="M1592" s="76"/>
      <c r="N1592" s="76"/>
      <c r="O1592" s="76"/>
      <c r="P1592" s="76"/>
      <c r="Q1592" s="76"/>
      <c r="R1592" s="76"/>
      <c r="S1592" s="76"/>
      <c r="T1592" s="76"/>
      <c r="U1592" s="76">
        <v>0</v>
      </c>
      <c r="V1592" s="76">
        <v>0</v>
      </c>
      <c r="W1592" s="76">
        <v>0</v>
      </c>
      <c r="X1592" s="76">
        <v>0</v>
      </c>
      <c r="Y1592" s="76">
        <v>0</v>
      </c>
      <c r="Z1592" s="76">
        <v>0</v>
      </c>
      <c r="AA1592" s="76">
        <v>0</v>
      </c>
      <c r="AB1592" s="76">
        <v>0</v>
      </c>
      <c r="AC1592" s="76">
        <v>0</v>
      </c>
      <c r="AD1592" s="76">
        <v>0</v>
      </c>
      <c r="AE1592" s="76"/>
      <c r="AF1592" s="76"/>
      <c r="AG1592" s="76"/>
      <c r="AH1592" s="76">
        <v>1</v>
      </c>
      <c r="AI1592" s="76">
        <v>1</v>
      </c>
      <c r="AJ1592" s="73"/>
      <c r="AK1592" s="57"/>
      <c r="AL1592" s="45"/>
      <c r="AM1592" s="45"/>
      <c r="AN1592" s="45"/>
    </row>
    <row r="1593" spans="1:40" outlineLevel="2" collapsed="1" x14ac:dyDescent="0.35">
      <c r="A1593" s="45"/>
      <c r="B1593" s="54"/>
      <c r="C1593" s="47">
        <f t="shared" si="257"/>
        <v>4</v>
      </c>
      <c r="D1593" s="73"/>
      <c r="E1593" s="70"/>
      <c r="F1593" s="70" t="s">
        <v>3350</v>
      </c>
      <c r="G1593" s="73"/>
      <c r="H1593" s="378" t="s">
        <v>2503</v>
      </c>
      <c r="I1593" s="76"/>
      <c r="J1593" s="76"/>
      <c r="K1593" s="76"/>
      <c r="L1593" s="76"/>
      <c r="M1593" s="76"/>
      <c r="N1593" s="76"/>
      <c r="O1593" s="76"/>
      <c r="P1593" s="76"/>
      <c r="Q1593" s="76"/>
      <c r="R1593" s="76"/>
      <c r="S1593" s="76"/>
      <c r="T1593" s="76"/>
      <c r="U1593" s="97">
        <v>-3.7749999999999999E-2</v>
      </c>
      <c r="V1593" s="255">
        <f>U1593</f>
        <v>-3.7749999999999999E-2</v>
      </c>
      <c r="W1593" s="255">
        <f>U1593</f>
        <v>-3.7749999999999999E-2</v>
      </c>
      <c r="X1593" s="255">
        <f>V1593</f>
        <v>-3.7749999999999999E-2</v>
      </c>
      <c r="Y1593" s="255">
        <f>V1593</f>
        <v>-3.7749999999999999E-2</v>
      </c>
      <c r="Z1593" s="255">
        <f>AA1593</f>
        <v>-2.775E-2</v>
      </c>
      <c r="AA1593" s="97">
        <v>-2.775E-2</v>
      </c>
      <c r="AB1593" s="255">
        <f>AA1593</f>
        <v>-2.775E-2</v>
      </c>
      <c r="AC1593" s="255">
        <f>AB1593</f>
        <v>-2.775E-2</v>
      </c>
      <c r="AD1593" s="255">
        <f>AC1593</f>
        <v>-2.775E-2</v>
      </c>
      <c r="AE1593" s="76"/>
      <c r="AF1593" s="76"/>
      <c r="AG1593" s="76"/>
      <c r="AH1593" s="97">
        <v>1</v>
      </c>
      <c r="AI1593" s="97">
        <v>1</v>
      </c>
      <c r="AJ1593" s="73"/>
      <c r="AK1593" s="57"/>
      <c r="AL1593" s="45"/>
      <c r="AM1593" s="45"/>
      <c r="AN1593" s="45"/>
    </row>
    <row r="1594" spans="1:40" hidden="1" outlineLevel="3" x14ac:dyDescent="0.35">
      <c r="A1594" s="45"/>
      <c r="B1594" s="54"/>
      <c r="C1594" s="47">
        <f t="shared" si="257"/>
        <v>4</v>
      </c>
      <c r="D1594" s="73"/>
      <c r="E1594" s="70"/>
      <c r="F1594" s="70" t="s">
        <v>3351</v>
      </c>
      <c r="G1594" s="73"/>
      <c r="H1594" s="377" t="s">
        <v>2760</v>
      </c>
      <c r="I1594" s="76"/>
      <c r="J1594" s="76"/>
      <c r="K1594" s="76"/>
      <c r="L1594" s="76"/>
      <c r="M1594" s="76"/>
      <c r="N1594" s="76"/>
      <c r="O1594" s="76"/>
      <c r="P1594" s="76"/>
      <c r="Q1594" s="76"/>
      <c r="R1594" s="76"/>
      <c r="S1594" s="76"/>
      <c r="T1594" s="76"/>
      <c r="U1594" s="76">
        <v>0</v>
      </c>
      <c r="V1594" s="76">
        <v>0</v>
      </c>
      <c r="W1594" s="76">
        <v>0</v>
      </c>
      <c r="X1594" s="76">
        <v>0</v>
      </c>
      <c r="Y1594" s="76">
        <v>0</v>
      </c>
      <c r="Z1594" s="76">
        <v>0</v>
      </c>
      <c r="AA1594" s="76">
        <v>0</v>
      </c>
      <c r="AB1594" s="76">
        <v>0</v>
      </c>
      <c r="AC1594" s="76">
        <v>0</v>
      </c>
      <c r="AD1594" s="76">
        <v>0</v>
      </c>
      <c r="AE1594" s="76"/>
      <c r="AF1594" s="76"/>
      <c r="AG1594" s="76"/>
      <c r="AH1594" s="76">
        <v>1</v>
      </c>
      <c r="AI1594" s="76">
        <v>1</v>
      </c>
      <c r="AJ1594" s="73"/>
      <c r="AK1594" s="57"/>
      <c r="AL1594" s="45"/>
      <c r="AM1594" s="45"/>
      <c r="AN1594" s="45"/>
    </row>
    <row r="1595" spans="1:40" outlineLevel="2" x14ac:dyDescent="0.35">
      <c r="A1595" s="45"/>
      <c r="B1595" s="54"/>
      <c r="C1595" s="47">
        <f t="shared" si="257"/>
        <v>4</v>
      </c>
      <c r="D1595" s="73"/>
      <c r="E1595" s="70"/>
      <c r="F1595" s="70" t="s">
        <v>3352</v>
      </c>
      <c r="G1595" s="73"/>
      <c r="H1595" s="378" t="s">
        <v>2755</v>
      </c>
      <c r="I1595" s="96"/>
      <c r="J1595" s="76"/>
      <c r="K1595" s="76"/>
      <c r="L1595" s="76"/>
      <c r="M1595" s="76"/>
      <c r="N1595" s="76"/>
      <c r="O1595" s="76"/>
      <c r="P1595" s="76"/>
      <c r="Q1595" s="76"/>
      <c r="R1595" s="76"/>
      <c r="S1595" s="76"/>
      <c r="T1595" s="76"/>
      <c r="U1595" s="97">
        <v>0.05</v>
      </c>
      <c r="V1595" s="255">
        <f>U1595</f>
        <v>0.05</v>
      </c>
      <c r="W1595" s="255">
        <f t="shared" ref="W1595:X1601" si="258">U1595</f>
        <v>0.05</v>
      </c>
      <c r="X1595" s="255">
        <f t="shared" si="258"/>
        <v>0.05</v>
      </c>
      <c r="Y1595" s="255">
        <f>V1595</f>
        <v>0.05</v>
      </c>
      <c r="Z1595" s="255">
        <f>AA1595</f>
        <v>0</v>
      </c>
      <c r="AA1595" s="97">
        <v>0</v>
      </c>
      <c r="AB1595" s="255">
        <f t="shared" ref="AB1595:AD1601" si="259">AA1595</f>
        <v>0</v>
      </c>
      <c r="AC1595" s="255">
        <f t="shared" si="259"/>
        <v>0</v>
      </c>
      <c r="AD1595" s="255">
        <f t="shared" si="259"/>
        <v>0</v>
      </c>
      <c r="AE1595" s="76"/>
      <c r="AF1595" s="76"/>
      <c r="AG1595" s="76"/>
      <c r="AH1595" s="76">
        <v>1</v>
      </c>
      <c r="AI1595" s="76">
        <v>1</v>
      </c>
      <c r="AJ1595" s="73"/>
      <c r="AK1595" s="57"/>
      <c r="AL1595" s="45"/>
      <c r="AM1595" s="45"/>
      <c r="AN1595" s="45"/>
    </row>
    <row r="1596" spans="1:40" outlineLevel="2" x14ac:dyDescent="0.35">
      <c r="A1596" s="45"/>
      <c r="B1596" s="54"/>
      <c r="C1596" s="47">
        <f t="shared" si="257"/>
        <v>4</v>
      </c>
      <c r="D1596" s="73"/>
      <c r="E1596" s="70"/>
      <c r="F1596" s="70" t="s">
        <v>3353</v>
      </c>
      <c r="G1596" s="73"/>
      <c r="H1596" s="378" t="s">
        <v>2812</v>
      </c>
      <c r="I1596" s="96"/>
      <c r="J1596" s="76"/>
      <c r="K1596" s="76"/>
      <c r="L1596" s="76"/>
      <c r="M1596" s="76"/>
      <c r="N1596" s="76"/>
      <c r="O1596" s="76"/>
      <c r="P1596" s="76"/>
      <c r="Q1596" s="76"/>
      <c r="R1596" s="76"/>
      <c r="S1596" s="76"/>
      <c r="T1596" s="76"/>
      <c r="U1596" s="97">
        <v>-9.3500000000000007E-3</v>
      </c>
      <c r="V1596" s="255">
        <f>U1596</f>
        <v>-9.3500000000000007E-3</v>
      </c>
      <c r="W1596" s="255">
        <f t="shared" si="258"/>
        <v>-9.3500000000000007E-3</v>
      </c>
      <c r="X1596" s="255">
        <f t="shared" si="258"/>
        <v>-9.3500000000000007E-3</v>
      </c>
      <c r="Y1596" s="255">
        <f>V1596</f>
        <v>-9.3500000000000007E-3</v>
      </c>
      <c r="Z1596" s="255">
        <f>AA1596</f>
        <v>-9.3500000000000007E-3</v>
      </c>
      <c r="AA1596" s="97">
        <v>-9.3500000000000007E-3</v>
      </c>
      <c r="AB1596" s="255">
        <f t="shared" si="259"/>
        <v>-9.3500000000000007E-3</v>
      </c>
      <c r="AC1596" s="255">
        <f t="shared" si="259"/>
        <v>-9.3500000000000007E-3</v>
      </c>
      <c r="AD1596" s="255">
        <f t="shared" si="259"/>
        <v>-9.3500000000000007E-3</v>
      </c>
      <c r="AE1596" s="76"/>
      <c r="AF1596" s="76"/>
      <c r="AG1596" s="76"/>
      <c r="AH1596" s="76">
        <v>1</v>
      </c>
      <c r="AI1596" s="76">
        <v>1</v>
      </c>
      <c r="AJ1596" s="73"/>
      <c r="AK1596" s="57"/>
      <c r="AL1596" s="45"/>
      <c r="AM1596" s="45"/>
      <c r="AN1596" s="45"/>
    </row>
    <row r="1597" spans="1:40" outlineLevel="2" x14ac:dyDescent="0.35">
      <c r="A1597" s="45"/>
      <c r="B1597" s="54"/>
      <c r="C1597" s="47">
        <f t="shared" si="257"/>
        <v>4</v>
      </c>
      <c r="D1597" s="73"/>
      <c r="E1597" s="70"/>
      <c r="F1597" s="70" t="s">
        <v>3354</v>
      </c>
      <c r="G1597" s="73"/>
      <c r="H1597" s="378" t="s">
        <v>2811</v>
      </c>
      <c r="I1597" s="96"/>
      <c r="J1597" s="76"/>
      <c r="K1597" s="76"/>
      <c r="L1597" s="76"/>
      <c r="M1597" s="76"/>
      <c r="N1597" s="76"/>
      <c r="O1597" s="76"/>
      <c r="P1597" s="76"/>
      <c r="Q1597" s="76"/>
      <c r="R1597" s="76"/>
      <c r="S1597" s="76"/>
      <c r="T1597" s="76"/>
      <c r="U1597" s="97">
        <v>-7.0369200000000003E-3</v>
      </c>
      <c r="V1597" s="255">
        <f>U1597</f>
        <v>-7.0369200000000003E-3</v>
      </c>
      <c r="W1597" s="255">
        <f t="shared" si="258"/>
        <v>-7.0369200000000003E-3</v>
      </c>
      <c r="X1597" s="255">
        <f t="shared" si="258"/>
        <v>-7.0369200000000003E-3</v>
      </c>
      <c r="Y1597" s="255">
        <f>V1597</f>
        <v>-7.0369200000000003E-3</v>
      </c>
      <c r="Z1597" s="255">
        <f>AA1597</f>
        <v>-7.0369200000000003E-3</v>
      </c>
      <c r="AA1597" s="97">
        <v>-7.0369200000000003E-3</v>
      </c>
      <c r="AB1597" s="255">
        <f t="shared" si="259"/>
        <v>-7.0369200000000003E-3</v>
      </c>
      <c r="AC1597" s="255">
        <f t="shared" si="259"/>
        <v>-7.0369200000000003E-3</v>
      </c>
      <c r="AD1597" s="255">
        <f t="shared" si="259"/>
        <v>-7.0369200000000003E-3</v>
      </c>
      <c r="AE1597" s="76"/>
      <c r="AF1597" s="76"/>
      <c r="AG1597" s="76"/>
      <c r="AH1597" s="76">
        <v>1</v>
      </c>
      <c r="AI1597" s="76">
        <v>1</v>
      </c>
      <c r="AJ1597" s="73"/>
      <c r="AK1597" s="57"/>
      <c r="AL1597" s="45"/>
      <c r="AM1597" s="45"/>
      <c r="AN1597" s="45"/>
    </row>
    <row r="1598" spans="1:40" outlineLevel="2" x14ac:dyDescent="0.35">
      <c r="A1598" s="45"/>
      <c r="B1598" s="54"/>
      <c r="C1598" s="47">
        <f t="shared" si="257"/>
        <v>4</v>
      </c>
      <c r="D1598" s="73"/>
      <c r="E1598" s="70"/>
      <c r="F1598" s="70" t="s">
        <v>3355</v>
      </c>
      <c r="G1598" s="73"/>
      <c r="H1598" s="378" t="s">
        <v>2761</v>
      </c>
      <c r="I1598" s="96"/>
      <c r="J1598" s="76"/>
      <c r="K1598" s="76"/>
      <c r="L1598" s="76"/>
      <c r="M1598" s="76"/>
      <c r="N1598" s="76"/>
      <c r="O1598" s="76"/>
      <c r="P1598" s="76"/>
      <c r="Q1598" s="76"/>
      <c r="R1598" s="76"/>
      <c r="S1598" s="76"/>
      <c r="T1598" s="76"/>
      <c r="U1598" s="97">
        <v>7.4569999999999999E-5</v>
      </c>
      <c r="V1598" s="255">
        <f>U1598</f>
        <v>7.4569999999999999E-5</v>
      </c>
      <c r="W1598" s="255">
        <f t="shared" si="258"/>
        <v>7.4569999999999999E-5</v>
      </c>
      <c r="X1598" s="255">
        <f t="shared" si="258"/>
        <v>7.4569999999999999E-5</v>
      </c>
      <c r="Y1598" s="255">
        <f>V1598</f>
        <v>7.4569999999999999E-5</v>
      </c>
      <c r="Z1598" s="255">
        <f>AA1598</f>
        <v>7.4569999999999999E-5</v>
      </c>
      <c r="AA1598" s="97">
        <v>7.4569999999999999E-5</v>
      </c>
      <c r="AB1598" s="255">
        <f t="shared" si="259"/>
        <v>7.4569999999999999E-5</v>
      </c>
      <c r="AC1598" s="255">
        <f t="shared" si="259"/>
        <v>7.4569999999999999E-5</v>
      </c>
      <c r="AD1598" s="255">
        <f t="shared" si="259"/>
        <v>7.4569999999999999E-5</v>
      </c>
      <c r="AE1598" s="76"/>
      <c r="AF1598" s="76"/>
      <c r="AG1598" s="76"/>
      <c r="AH1598" s="76">
        <v>1</v>
      </c>
      <c r="AI1598" s="76">
        <v>1</v>
      </c>
      <c r="AJ1598" s="73"/>
      <c r="AK1598" s="57"/>
      <c r="AL1598" s="45"/>
      <c r="AM1598" s="45"/>
      <c r="AN1598" s="45"/>
    </row>
    <row r="1599" spans="1:40" outlineLevel="2" x14ac:dyDescent="0.35">
      <c r="A1599" s="45"/>
      <c r="B1599" s="54"/>
      <c r="C1599" s="47">
        <f t="shared" si="257"/>
        <v>4</v>
      </c>
      <c r="D1599" s="73"/>
      <c r="E1599" s="70"/>
      <c r="F1599" s="70" t="s">
        <v>3367</v>
      </c>
      <c r="G1599" s="73"/>
      <c r="H1599" s="378" t="s">
        <v>3370</v>
      </c>
      <c r="I1599" s="96"/>
      <c r="J1599" s="76"/>
      <c r="K1599" s="76"/>
      <c r="L1599" s="76"/>
      <c r="M1599" s="76"/>
      <c r="N1599" s="76"/>
      <c r="O1599" s="76"/>
      <c r="P1599" s="76"/>
      <c r="Q1599" s="76"/>
      <c r="R1599" s="76"/>
      <c r="S1599" s="76"/>
      <c r="T1599" s="76"/>
      <c r="U1599" s="97">
        <v>0</v>
      </c>
      <c r="V1599" s="97">
        <v>0</v>
      </c>
      <c r="W1599" s="97">
        <v>0</v>
      </c>
      <c r="X1599" s="97">
        <v>0</v>
      </c>
      <c r="Y1599" s="97">
        <v>0</v>
      </c>
      <c r="Z1599" s="97">
        <v>0</v>
      </c>
      <c r="AA1599" s="97">
        <v>0</v>
      </c>
      <c r="AB1599" s="97">
        <v>0</v>
      </c>
      <c r="AC1599" s="97">
        <v>0</v>
      </c>
      <c r="AD1599" s="97">
        <v>0</v>
      </c>
      <c r="AE1599" s="76"/>
      <c r="AF1599" s="76"/>
      <c r="AG1599" s="76"/>
      <c r="AH1599" s="76">
        <v>1</v>
      </c>
      <c r="AI1599" s="76">
        <v>1</v>
      </c>
      <c r="AJ1599" s="73"/>
      <c r="AK1599" s="57"/>
      <c r="AL1599" s="45"/>
      <c r="AM1599" s="45"/>
      <c r="AN1599" s="45"/>
    </row>
    <row r="1600" spans="1:40" outlineLevel="2" x14ac:dyDescent="0.35">
      <c r="A1600" s="45"/>
      <c r="B1600" s="54"/>
      <c r="C1600" s="47">
        <f t="shared" si="257"/>
        <v>4</v>
      </c>
      <c r="D1600" s="73"/>
      <c r="E1600" s="70"/>
      <c r="F1600" s="70" t="s">
        <v>3368</v>
      </c>
      <c r="G1600" s="73"/>
      <c r="H1600" s="378" t="s">
        <v>3369</v>
      </c>
      <c r="I1600" s="96"/>
      <c r="J1600" s="76"/>
      <c r="K1600" s="76"/>
      <c r="L1600" s="76"/>
      <c r="M1600" s="76"/>
      <c r="N1600" s="76"/>
      <c r="O1600" s="76"/>
      <c r="P1600" s="76"/>
      <c r="Q1600" s="76"/>
      <c r="R1600" s="76"/>
      <c r="S1600" s="76"/>
      <c r="T1600" s="76"/>
      <c r="U1600" s="97">
        <v>0</v>
      </c>
      <c r="V1600" s="97">
        <v>0</v>
      </c>
      <c r="W1600" s="97">
        <v>0</v>
      </c>
      <c r="X1600" s="97">
        <v>0</v>
      </c>
      <c r="Y1600" s="97">
        <v>0</v>
      </c>
      <c r="Z1600" s="97">
        <v>0</v>
      </c>
      <c r="AA1600" s="97">
        <v>0</v>
      </c>
      <c r="AB1600" s="97">
        <v>0</v>
      </c>
      <c r="AC1600" s="97">
        <v>0</v>
      </c>
      <c r="AD1600" s="97">
        <v>0</v>
      </c>
      <c r="AE1600" s="76"/>
      <c r="AF1600" s="76"/>
      <c r="AG1600" s="76"/>
      <c r="AH1600" s="76">
        <v>1</v>
      </c>
      <c r="AI1600" s="76">
        <v>1</v>
      </c>
      <c r="AJ1600" s="73"/>
      <c r="AK1600" s="57"/>
      <c r="AL1600" s="45"/>
      <c r="AM1600" s="45"/>
      <c r="AN1600" s="45"/>
    </row>
    <row r="1601" spans="1:40" outlineLevel="2" x14ac:dyDescent="0.35">
      <c r="A1601" s="45"/>
      <c r="B1601" s="54"/>
      <c r="C1601" s="47">
        <f>INT($C$29)+2</f>
        <v>3</v>
      </c>
      <c r="D1601" s="73"/>
      <c r="E1601" s="70"/>
      <c r="F1601" s="70" t="s">
        <v>3356</v>
      </c>
      <c r="G1601" s="73"/>
      <c r="H1601" s="76" t="s">
        <v>2504</v>
      </c>
      <c r="I1601" s="76"/>
      <c r="J1601" s="76"/>
      <c r="K1601" s="155"/>
      <c r="L1601" s="76"/>
      <c r="M1601" s="76"/>
      <c r="N1601" s="76"/>
      <c r="O1601" s="76"/>
      <c r="P1601" s="76"/>
      <c r="Q1601" s="76"/>
      <c r="R1601" s="76"/>
      <c r="S1601" s="76"/>
      <c r="T1601" s="76"/>
      <c r="U1601" s="97">
        <v>-1.8110552</v>
      </c>
      <c r="V1601" s="255">
        <f>U1601</f>
        <v>-1.8110552</v>
      </c>
      <c r="W1601" s="255">
        <f t="shared" si="258"/>
        <v>-1.8110552</v>
      </c>
      <c r="X1601" s="255">
        <f t="shared" si="258"/>
        <v>-1.8110552</v>
      </c>
      <c r="Y1601" s="255">
        <f>V1601</f>
        <v>-1.8110552</v>
      </c>
      <c r="Z1601" s="255">
        <f>AA1601</f>
        <v>-0.49941732500000002</v>
      </c>
      <c r="AA1601" s="97">
        <v>-0.49941732500000002</v>
      </c>
      <c r="AB1601" s="255">
        <f t="shared" si="259"/>
        <v>-0.49941732500000002</v>
      </c>
      <c r="AC1601" s="255">
        <f t="shared" si="259"/>
        <v>-0.49941732500000002</v>
      </c>
      <c r="AD1601" s="255">
        <f t="shared" si="259"/>
        <v>-0.49941732500000002</v>
      </c>
      <c r="AE1601" s="76"/>
      <c r="AF1601" s="97" t="s">
        <v>2757</v>
      </c>
      <c r="AG1601" s="76"/>
      <c r="AH1601" s="97">
        <v>1</v>
      </c>
      <c r="AI1601" s="97">
        <v>1</v>
      </c>
      <c r="AJ1601" s="73"/>
      <c r="AK1601" s="57"/>
      <c r="AL1601" s="45"/>
      <c r="AM1601" s="45"/>
      <c r="AN1601" s="45"/>
    </row>
    <row r="1602" spans="1:40" outlineLevel="2" x14ac:dyDescent="0.35">
      <c r="A1602" s="45"/>
      <c r="B1602" s="54"/>
      <c r="C1602" s="47">
        <f>INT($C$29)+2</f>
        <v>3</v>
      </c>
      <c r="D1602" s="73"/>
      <c r="E1602" s="70"/>
      <c r="F1602" s="70"/>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c r="AJ1602" s="73"/>
      <c r="AK1602" s="57"/>
      <c r="AL1602" s="45"/>
      <c r="AM1602" s="45"/>
      <c r="AN1602" s="45"/>
    </row>
    <row r="1603" spans="1:40" outlineLevel="2" collapsed="1" x14ac:dyDescent="0.35">
      <c r="A1603" s="45"/>
      <c r="B1603" s="54"/>
      <c r="C1603" s="47">
        <f>INT($C$29)+2</f>
        <v>3</v>
      </c>
      <c r="D1603" s="73"/>
      <c r="E1603" s="70"/>
      <c r="F1603" s="70"/>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c r="AJ1603" s="73"/>
      <c r="AK1603" s="57"/>
      <c r="AL1603" s="45"/>
      <c r="AM1603" s="45"/>
      <c r="AN1603" s="45"/>
    </row>
    <row r="1604" spans="1:40" ht="5.15" hidden="1" customHeight="1" outlineLevel="3" x14ac:dyDescent="0.35">
      <c r="A1604" s="45"/>
      <c r="B1604" s="54"/>
      <c r="C1604" s="47">
        <f>INT($C$29)+3.005</f>
        <v>4.0049999999999999</v>
      </c>
      <c r="D1604" s="73"/>
      <c r="E1604" s="73"/>
      <c r="F1604" s="73"/>
      <c r="G1604" s="73"/>
      <c r="H1604" s="73"/>
      <c r="I1604" s="73"/>
      <c r="J1604" s="73"/>
      <c r="K1604" s="73"/>
      <c r="L1604" s="73"/>
      <c r="M1604" s="73"/>
      <c r="N1604" s="73"/>
      <c r="O1604" s="73"/>
      <c r="P1604" s="73"/>
      <c r="Q1604" s="73"/>
      <c r="R1604" s="73"/>
      <c r="S1604" s="73"/>
      <c r="T1604" s="73"/>
      <c r="U1604" s="73"/>
      <c r="V1604" s="73"/>
      <c r="W1604" s="73"/>
      <c r="X1604" s="73"/>
      <c r="Y1604" s="73"/>
      <c r="Z1604" s="73"/>
      <c r="AA1604" s="73"/>
      <c r="AB1604" s="73"/>
      <c r="AC1604" s="73"/>
      <c r="AD1604" s="73"/>
      <c r="AE1604" s="73"/>
      <c r="AF1604" s="73"/>
      <c r="AG1604" s="73"/>
      <c r="AH1604" s="73"/>
      <c r="AI1604" s="73"/>
      <c r="AJ1604" s="73" t="s">
        <v>136</v>
      </c>
      <c r="AK1604" s="57"/>
      <c r="AL1604" s="45"/>
      <c r="AM1604" s="45"/>
      <c r="AN1604" s="45"/>
    </row>
    <row r="1605" spans="1:40" ht="5.15" customHeight="1" outlineLevel="2" x14ac:dyDescent="0.35">
      <c r="A1605" s="45"/>
      <c r="B1605" s="54"/>
      <c r="C1605" s="47">
        <f>INT($C$29)+2.005</f>
        <v>3.0049999999999999</v>
      </c>
      <c r="D1605" s="73" t="s">
        <v>132</v>
      </c>
      <c r="E1605" s="73"/>
      <c r="F1605" s="73"/>
      <c r="G1605" s="73"/>
      <c r="H1605" s="73"/>
      <c r="I1605" s="73"/>
      <c r="J1605" s="73"/>
      <c r="K1605" s="73"/>
      <c r="L1605" s="73"/>
      <c r="M1605" s="73"/>
      <c r="N1605" s="73"/>
      <c r="O1605" s="73"/>
      <c r="P1605" s="73"/>
      <c r="Q1605" s="73"/>
      <c r="R1605" s="73"/>
      <c r="S1605" s="73"/>
      <c r="T1605" s="73"/>
      <c r="U1605" s="73"/>
      <c r="V1605" s="73"/>
      <c r="W1605" s="73"/>
      <c r="X1605" s="73"/>
      <c r="Y1605" s="73"/>
      <c r="Z1605" s="73"/>
      <c r="AA1605" s="73"/>
      <c r="AB1605" s="73"/>
      <c r="AC1605" s="73"/>
      <c r="AD1605" s="73"/>
      <c r="AE1605" s="73"/>
      <c r="AF1605" s="73"/>
      <c r="AG1605" s="73"/>
      <c r="AH1605" s="73"/>
      <c r="AI1605" s="73"/>
      <c r="AJ1605" s="73"/>
      <c r="AK1605" s="57"/>
      <c r="AL1605" s="45"/>
      <c r="AM1605" s="45"/>
      <c r="AN1605" s="45"/>
    </row>
    <row r="1606" spans="1:40" outlineLevel="2" x14ac:dyDescent="0.35">
      <c r="A1606" s="45"/>
      <c r="B1606" s="54"/>
      <c r="C1606" s="47">
        <f>INT($C$29)+2</f>
        <v>3</v>
      </c>
      <c r="D1606" s="73"/>
      <c r="E1606" s="70"/>
      <c r="F1606" s="70"/>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c r="AJ1606" s="73"/>
      <c r="AK1606" s="57"/>
      <c r="AL1606" s="45"/>
      <c r="AM1606" s="45"/>
      <c r="AN1606" s="45"/>
    </row>
    <row r="1607" spans="1:40" outlineLevel="2" collapsed="1" x14ac:dyDescent="0.35">
      <c r="A1607" s="45"/>
      <c r="B1607" s="54"/>
      <c r="C1607" s="47">
        <f>INT($C$29)+2</f>
        <v>3</v>
      </c>
      <c r="D1607" s="73"/>
      <c r="E1607" s="70"/>
      <c r="F1607" s="70"/>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c r="AJ1607" s="73"/>
      <c r="AK1607" s="57"/>
      <c r="AL1607" s="45"/>
      <c r="AM1607" s="45"/>
      <c r="AN1607" s="45"/>
    </row>
    <row r="1608" spans="1:40" hidden="1" outlineLevel="3" x14ac:dyDescent="0.35">
      <c r="A1608" s="45"/>
      <c r="B1608" s="54"/>
      <c r="C1608" s="47">
        <f>INT($C$29)+3</f>
        <v>4</v>
      </c>
      <c r="D1608" s="73"/>
      <c r="E1608" s="70"/>
      <c r="F1608" s="70"/>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c r="AJ1608" s="73"/>
      <c r="AK1608" s="57"/>
      <c r="AL1608" s="45"/>
      <c r="AM1608" s="45"/>
      <c r="AN1608" s="45"/>
    </row>
    <row r="1609" spans="1:40" hidden="1" outlineLevel="3" x14ac:dyDescent="0.35">
      <c r="A1609" s="45"/>
      <c r="B1609" s="54"/>
      <c r="C1609" s="47">
        <f>INT($C$29)+3</f>
        <v>4</v>
      </c>
      <c r="D1609" s="73"/>
      <c r="E1609" s="70"/>
      <c r="F1609" s="70"/>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c r="AJ1609" s="73"/>
      <c r="AK1609" s="57"/>
      <c r="AL1609" s="45"/>
      <c r="AM1609" s="45"/>
      <c r="AN1609" s="45"/>
    </row>
    <row r="1610" spans="1:40" hidden="1" outlineLevel="3" x14ac:dyDescent="0.35">
      <c r="A1610" s="45"/>
      <c r="B1610" s="54"/>
      <c r="C1610" s="47">
        <f>INT($C$29)+3</f>
        <v>4</v>
      </c>
      <c r="D1610" s="73"/>
      <c r="E1610" s="70"/>
      <c r="F1610" s="70"/>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c r="AJ1610" s="73"/>
      <c r="AK1610" s="57"/>
      <c r="AL1610" s="45"/>
      <c r="AM1610" s="45"/>
      <c r="AN1610" s="45"/>
    </row>
    <row r="1611" spans="1:40" ht="5.15" hidden="1" customHeight="1" outlineLevel="3" x14ac:dyDescent="0.35">
      <c r="A1611" s="45"/>
      <c r="B1611" s="54"/>
      <c r="C1611" s="47">
        <f>INT($C$29)+3.005</f>
        <v>4.0049999999999999</v>
      </c>
      <c r="D1611" s="73"/>
      <c r="E1611" s="73"/>
      <c r="F1611" s="73"/>
      <c r="G1611" s="73"/>
      <c r="H1611" s="73"/>
      <c r="I1611" s="73"/>
      <c r="J1611" s="73"/>
      <c r="K1611" s="73"/>
      <c r="L1611" s="73"/>
      <c r="M1611" s="73"/>
      <c r="N1611" s="73"/>
      <c r="O1611" s="73"/>
      <c r="P1611" s="73"/>
      <c r="Q1611" s="73"/>
      <c r="R1611" s="73"/>
      <c r="S1611" s="73"/>
      <c r="T1611" s="73"/>
      <c r="U1611" s="73"/>
      <c r="V1611" s="73"/>
      <c r="W1611" s="73"/>
      <c r="X1611" s="73"/>
      <c r="Y1611" s="73"/>
      <c r="Z1611" s="73"/>
      <c r="AA1611" s="73"/>
      <c r="AB1611" s="73"/>
      <c r="AC1611" s="73"/>
      <c r="AD1611" s="73"/>
      <c r="AE1611" s="76"/>
      <c r="AF1611" s="73"/>
      <c r="AG1611" s="73"/>
      <c r="AH1611" s="73"/>
      <c r="AI1611" s="73"/>
      <c r="AJ1611" s="73" t="s">
        <v>136</v>
      </c>
      <c r="AK1611" s="57"/>
      <c r="AL1611" s="45"/>
      <c r="AM1611" s="45"/>
      <c r="AN1611" s="45"/>
    </row>
    <row r="1612" spans="1:40" ht="5.15" customHeight="1" outlineLevel="2" x14ac:dyDescent="0.35">
      <c r="A1612" s="45"/>
      <c r="B1612" s="54"/>
      <c r="C1612" s="47">
        <f>INT($C$29)+2.005</f>
        <v>3.0049999999999999</v>
      </c>
      <c r="D1612" s="73"/>
      <c r="E1612" s="73"/>
      <c r="F1612" s="73"/>
      <c r="G1612" s="73"/>
      <c r="H1612" s="73"/>
      <c r="I1612" s="73"/>
      <c r="J1612" s="73"/>
      <c r="K1612" s="73"/>
      <c r="L1612" s="73"/>
      <c r="M1612" s="73"/>
      <c r="N1612" s="73"/>
      <c r="O1612" s="73"/>
      <c r="P1612" s="73"/>
      <c r="Q1612" s="73"/>
      <c r="R1612" s="73"/>
      <c r="S1612" s="73"/>
      <c r="T1612" s="73"/>
      <c r="U1612" s="73"/>
      <c r="V1612" s="73"/>
      <c r="W1612" s="73"/>
      <c r="X1612" s="73"/>
      <c r="Y1612" s="73"/>
      <c r="Z1612" s="73"/>
      <c r="AA1612" s="73"/>
      <c r="AB1612" s="73"/>
      <c r="AC1612" s="73"/>
      <c r="AD1612" s="73"/>
      <c r="AE1612" s="76"/>
      <c r="AF1612" s="73"/>
      <c r="AG1612" s="73"/>
      <c r="AH1612" s="73"/>
      <c r="AI1612" s="73"/>
      <c r="AJ1612" s="73"/>
      <c r="AK1612" s="57"/>
      <c r="AL1612" s="45"/>
      <c r="AM1612" s="45"/>
      <c r="AN1612" s="45"/>
    </row>
    <row r="1613" spans="1:40" ht="5.15" customHeight="1" outlineLevel="1" x14ac:dyDescent="0.35">
      <c r="A1613" s="45"/>
      <c r="B1613" s="81"/>
      <c r="C1613" s="82">
        <f>INT($C$29)+1.005</f>
        <v>2.0049999999999999</v>
      </c>
      <c r="D1613" s="83"/>
      <c r="E1613" s="83"/>
      <c r="F1613" s="83"/>
      <c r="G1613" s="83"/>
      <c r="H1613" s="83"/>
      <c r="I1613" s="83"/>
      <c r="J1613" s="83"/>
      <c r="K1613" s="83"/>
      <c r="L1613" s="83"/>
      <c r="M1613" s="83"/>
      <c r="N1613" s="83"/>
      <c r="O1613" s="83"/>
      <c r="P1613" s="83"/>
      <c r="Q1613" s="83"/>
      <c r="R1613" s="83"/>
      <c r="S1613" s="83"/>
      <c r="T1613" s="83"/>
      <c r="U1613" s="83"/>
      <c r="V1613" s="83"/>
      <c r="W1613" s="83"/>
      <c r="X1613" s="83"/>
      <c r="Y1613" s="83"/>
      <c r="Z1613" s="83"/>
      <c r="AA1613" s="83"/>
      <c r="AB1613" s="83"/>
      <c r="AC1613" s="83"/>
      <c r="AD1613" s="83"/>
      <c r="AE1613" s="83"/>
      <c r="AF1613" s="83"/>
      <c r="AG1613" s="83"/>
      <c r="AH1613" s="83"/>
      <c r="AI1613" s="83"/>
      <c r="AJ1613" s="83"/>
      <c r="AK1613" s="84" t="s">
        <v>145</v>
      </c>
      <c r="AL1613" s="45"/>
      <c r="AM1613" s="45"/>
      <c r="AN1613" s="45"/>
    </row>
    <row r="1614" spans="1:40" ht="5.15" customHeight="1" collapsed="1" x14ac:dyDescent="0.35">
      <c r="A1614" s="45"/>
      <c r="B1614" s="85"/>
      <c r="C1614" s="86">
        <f>INT($C$29)+0.005</f>
        <v>1.0049999999999999</v>
      </c>
      <c r="D1614" s="85"/>
      <c r="E1614" s="85"/>
      <c r="F1614" s="85"/>
      <c r="G1614" s="85"/>
      <c r="H1614" s="85"/>
      <c r="I1614" s="85"/>
      <c r="J1614" s="85"/>
      <c r="K1614" s="85"/>
      <c r="L1614" s="85"/>
      <c r="M1614" s="85"/>
      <c r="N1614" s="85"/>
      <c r="O1614" s="85"/>
      <c r="P1614" s="85"/>
      <c r="Q1614" s="85"/>
      <c r="R1614" s="85"/>
      <c r="S1614" s="85"/>
      <c r="T1614" s="85"/>
      <c r="U1614" s="85"/>
      <c r="V1614" s="85"/>
      <c r="W1614" s="85"/>
      <c r="X1614" s="85"/>
      <c r="Y1614" s="85"/>
      <c r="Z1614" s="85"/>
      <c r="AA1614" s="85"/>
      <c r="AB1614" s="85"/>
      <c r="AC1614" s="85"/>
      <c r="AD1614" s="85"/>
      <c r="AE1614" s="85"/>
      <c r="AF1614" s="85"/>
      <c r="AG1614" s="85"/>
      <c r="AH1614" s="85"/>
      <c r="AI1614" s="85"/>
      <c r="AJ1614" s="85"/>
      <c r="AK1614" s="85"/>
      <c r="AL1614" s="45"/>
      <c r="AM1614" s="45"/>
      <c r="AN1614" s="45"/>
    </row>
    <row r="1615" spans="1:40" hidden="1" outlineLevel="2" x14ac:dyDescent="0.35">
      <c r="A1615" s="45"/>
      <c r="B1615" s="45"/>
      <c r="C1615" s="47">
        <f>INT($C$29)+2</f>
        <v>3</v>
      </c>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c r="AG1615" s="45"/>
      <c r="AH1615" s="45"/>
      <c r="AI1615" s="45"/>
      <c r="AJ1615" s="45"/>
      <c r="AK1615" s="45"/>
      <c r="AL1615" s="45"/>
      <c r="AM1615" s="45"/>
      <c r="AN1615" s="45"/>
    </row>
    <row r="1616" spans="1:40" x14ac:dyDescent="0.35">
      <c r="A1616" s="45"/>
      <c r="B1616" s="45"/>
      <c r="C1616" s="46"/>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c r="AG1616" s="45"/>
      <c r="AH1616" s="45"/>
      <c r="AI1616" s="45"/>
      <c r="AJ1616" s="45"/>
      <c r="AK1616" s="45"/>
      <c r="AL1616" s="45"/>
      <c r="AM1616" s="45"/>
      <c r="AN1616" s="45"/>
    </row>
    <row r="1617" spans="1:40" x14ac:dyDescent="0.35">
      <c r="A1617" s="45"/>
      <c r="B1617" s="45"/>
      <c r="C1617" s="46"/>
      <c r="D1617" s="45"/>
      <c r="E1617" s="45"/>
      <c r="F1617" s="45"/>
      <c r="G1617" s="45"/>
      <c r="H1617" s="45"/>
      <c r="I1617" s="45"/>
      <c r="J1617" s="45"/>
      <c r="K1617" s="45"/>
      <c r="L1617" s="45"/>
      <c r="M1617" s="45"/>
      <c r="N1617" s="45"/>
      <c r="O1617" s="45"/>
      <c r="P1617" s="45"/>
      <c r="Q1617" s="45"/>
      <c r="R1617" s="45"/>
      <c r="S1617" s="45"/>
      <c r="T1617" s="45"/>
      <c r="U1617" s="45"/>
      <c r="V1617" s="45"/>
      <c r="W1617" s="45"/>
      <c r="X1617" s="45"/>
      <c r="Y1617" s="45"/>
      <c r="Z1617" s="45"/>
      <c r="AA1617" s="45"/>
      <c r="AB1617" s="45"/>
      <c r="AC1617" s="45"/>
      <c r="AD1617" s="45"/>
      <c r="AE1617" s="45"/>
      <c r="AF1617" s="45"/>
      <c r="AG1617" s="45"/>
      <c r="AH1617" s="45"/>
      <c r="AI1617" s="45"/>
      <c r="AJ1617" s="45"/>
      <c r="AK1617" s="45"/>
      <c r="AL1617" s="45"/>
      <c r="AM1617" s="45"/>
      <c r="AN1617" s="45"/>
    </row>
    <row r="1618" spans="1:40" x14ac:dyDescent="0.35">
      <c r="A1618" s="45"/>
      <c r="B1618" s="45"/>
      <c r="C1618" s="46"/>
      <c r="D1618" s="45"/>
      <c r="E1618" s="45"/>
      <c r="F1618" s="45"/>
      <c r="G1618" s="45"/>
      <c r="H1618" s="45"/>
      <c r="I1618" s="45"/>
      <c r="J1618" s="45"/>
      <c r="K1618" s="45"/>
      <c r="L1618" s="45"/>
      <c r="M1618" s="45"/>
      <c r="N1618" s="45"/>
      <c r="O1618" s="45"/>
      <c r="P1618" s="45"/>
      <c r="Q1618" s="45"/>
      <c r="R1618" s="45"/>
      <c r="S1618" s="45"/>
      <c r="T1618" s="45"/>
      <c r="U1618" s="45"/>
      <c r="V1618" s="45"/>
      <c r="W1618" s="45"/>
      <c r="X1618" s="45"/>
      <c r="Y1618" s="45"/>
      <c r="Z1618" s="45"/>
      <c r="AA1618" s="45"/>
      <c r="AB1618" s="45"/>
      <c r="AC1618" s="45"/>
      <c r="AD1618" s="45"/>
      <c r="AE1618" s="45"/>
      <c r="AF1618" s="45"/>
      <c r="AG1618" s="45"/>
      <c r="AH1618" s="45"/>
      <c r="AI1618" s="45"/>
      <c r="AJ1618" s="45"/>
      <c r="AK1618" s="45"/>
      <c r="AL1618" s="45"/>
      <c r="AM1618" s="45"/>
      <c r="AN1618" s="45"/>
    </row>
    <row r="1619" spans="1:40" x14ac:dyDescent="0.35">
      <c r="A1619" s="45"/>
      <c r="B1619" s="45"/>
      <c r="C1619" s="46"/>
      <c r="D1619" s="45"/>
      <c r="E1619" s="45"/>
      <c r="F1619" s="45"/>
      <c r="G1619" s="45"/>
      <c r="H1619" s="45"/>
      <c r="I1619" s="45"/>
      <c r="J1619" s="45"/>
      <c r="K1619" s="45"/>
      <c r="L1619" s="45"/>
      <c r="M1619" s="45"/>
      <c r="N1619" s="45"/>
      <c r="O1619" s="45"/>
      <c r="P1619" s="45"/>
      <c r="Q1619" s="45"/>
      <c r="R1619" s="45"/>
      <c r="S1619" s="45"/>
      <c r="T1619" s="45"/>
      <c r="U1619" s="45"/>
      <c r="V1619" s="45"/>
      <c r="W1619" s="45"/>
      <c r="X1619" s="45"/>
      <c r="Y1619" s="45"/>
      <c r="Z1619" s="45"/>
      <c r="AA1619" s="45"/>
      <c r="AB1619" s="45"/>
      <c r="AC1619" s="45"/>
      <c r="AD1619" s="45"/>
      <c r="AE1619" s="45"/>
      <c r="AF1619" s="45"/>
      <c r="AG1619" s="45"/>
      <c r="AH1619" s="45"/>
      <c r="AI1619" s="45"/>
      <c r="AJ1619" s="45"/>
      <c r="AK1619" s="45"/>
      <c r="AL1619" s="45"/>
      <c r="AM1619" s="45"/>
      <c r="AN1619" s="45"/>
    </row>
    <row r="1620" spans="1:40" x14ac:dyDescent="0.35">
      <c r="A1620" s="45"/>
      <c r="B1620" s="45"/>
      <c r="C1620" s="46"/>
      <c r="D1620" s="45"/>
      <c r="E1620" s="45"/>
      <c r="F1620" s="45"/>
      <c r="G1620" s="45"/>
      <c r="H1620" s="45"/>
      <c r="I1620" s="45"/>
      <c r="J1620" s="45"/>
      <c r="K1620" s="45"/>
      <c r="L1620" s="45"/>
      <c r="M1620" s="45"/>
      <c r="N1620" s="45"/>
      <c r="O1620" s="45"/>
      <c r="P1620" s="45"/>
      <c r="Q1620" s="45"/>
      <c r="R1620" s="45"/>
      <c r="S1620" s="45"/>
      <c r="T1620" s="45"/>
      <c r="U1620" s="45"/>
      <c r="V1620" s="45"/>
      <c r="W1620" s="45"/>
      <c r="X1620" s="45"/>
      <c r="Y1620" s="45"/>
      <c r="Z1620" s="45"/>
      <c r="AA1620" s="45"/>
      <c r="AB1620" s="45"/>
      <c r="AC1620" s="45"/>
      <c r="AD1620" s="45"/>
      <c r="AE1620" s="45"/>
      <c r="AF1620" s="45"/>
      <c r="AG1620" s="45"/>
      <c r="AH1620" s="45"/>
      <c r="AI1620" s="45"/>
      <c r="AJ1620" s="45"/>
      <c r="AK1620" s="45"/>
      <c r="AL1620" s="45"/>
      <c r="AM1620" s="45"/>
      <c r="AN1620" s="45"/>
    </row>
    <row r="1621" spans="1:40" x14ac:dyDescent="0.35">
      <c r="A1621" s="45"/>
      <c r="B1621" s="45"/>
      <c r="C1621" s="46"/>
      <c r="D1621" s="45"/>
      <c r="E1621" s="45"/>
      <c r="F1621" s="45"/>
      <c r="G1621" s="45"/>
      <c r="H1621" s="45"/>
      <c r="I1621" s="45"/>
      <c r="J1621" s="45"/>
      <c r="K1621" s="45"/>
      <c r="L1621" s="45"/>
      <c r="M1621" s="45"/>
      <c r="N1621" s="45"/>
      <c r="O1621" s="45"/>
      <c r="P1621" s="45"/>
      <c r="Q1621" s="45"/>
      <c r="R1621" s="45"/>
      <c r="S1621" s="45"/>
      <c r="T1621" s="45"/>
      <c r="U1621" s="45"/>
      <c r="V1621" s="45"/>
      <c r="W1621" s="45"/>
      <c r="X1621" s="45"/>
      <c r="Y1621" s="45"/>
      <c r="Z1621" s="45"/>
      <c r="AA1621" s="45"/>
      <c r="AB1621" s="45"/>
      <c r="AC1621" s="45"/>
      <c r="AD1621" s="45"/>
      <c r="AE1621" s="45"/>
      <c r="AF1621" s="45"/>
      <c r="AG1621" s="45"/>
      <c r="AH1621" s="45"/>
      <c r="AI1621" s="45"/>
      <c r="AJ1621" s="45"/>
      <c r="AK1621" s="45"/>
      <c r="AL1621" s="45"/>
      <c r="AM1621" s="45"/>
      <c r="AN1621" s="45"/>
    </row>
    <row r="1622" spans="1:40" x14ac:dyDescent="0.35">
      <c r="C1622" s="233" t="s">
        <v>419</v>
      </c>
    </row>
  </sheetData>
  <autoFilter ref="E36:AJ1615"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31" t="s">
        <v>2375</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28" t="s">
        <v>2386</v>
      </c>
      <c r="K12" s="629"/>
      <c r="L12" s="629"/>
      <c r="M12" s="629"/>
      <c r="N12" s="629"/>
      <c r="O12" s="629"/>
      <c r="P12" s="629"/>
      <c r="Q12" s="629"/>
      <c r="R12" s="629"/>
      <c r="S12" s="629"/>
      <c r="T12" s="629"/>
      <c r="U12" s="629"/>
      <c r="V12" s="629"/>
      <c r="W12" s="629"/>
      <c r="X12" s="630"/>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3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3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3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2917</v>
      </c>
      <c r="B3" s="491">
        <v>6.9999999999999994E-5</v>
      </c>
      <c r="C3" s="1" t="s">
        <v>2921</v>
      </c>
    </row>
    <row r="4" spans="1:3" x14ac:dyDescent="0.35">
      <c r="A4" t="s">
        <v>2918</v>
      </c>
      <c r="B4" s="491">
        <v>1.2999999999999999E-4</v>
      </c>
      <c r="C4" s="1" t="s">
        <v>2922</v>
      </c>
    </row>
    <row r="5" spans="1:3" x14ac:dyDescent="0.35">
      <c r="A5" t="s">
        <v>2919</v>
      </c>
      <c r="B5" s="491">
        <v>1.9000000000000001E-4</v>
      </c>
      <c r="C5" s="1" t="s">
        <v>2923</v>
      </c>
    </row>
    <row r="6" spans="1:3" x14ac:dyDescent="0.35">
      <c r="A6" t="s">
        <v>2920</v>
      </c>
      <c r="B6" s="491">
        <v>1.9000000000000001E-4</v>
      </c>
      <c r="C6" s="1" t="s">
        <v>2922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2929</v>
      </c>
      <c r="B14"/>
    </row>
    <row r="15" spans="1:3" x14ac:dyDescent="0.35">
      <c r="A15" s="341" t="str">
        <f>General!G37</f>
        <v>b</v>
      </c>
      <c r="B15">
        <v>20</v>
      </c>
      <c r="C15" s="1" t="s">
        <v>2927</v>
      </c>
    </row>
    <row r="16" spans="1:3" x14ac:dyDescent="0.35">
      <c r="A16" s="341" t="str">
        <f>General!G38</f>
        <v>bd</v>
      </c>
      <c r="B16">
        <v>20</v>
      </c>
      <c r="C16" s="1" t="s">
        <v>2927</v>
      </c>
    </row>
    <row r="17" spans="1:3" x14ac:dyDescent="0.35">
      <c r="A17" s="341" t="str">
        <f>General!G39</f>
        <v>f</v>
      </c>
      <c r="B17">
        <v>7</v>
      </c>
      <c r="C17" s="1" t="s">
        <v>2927</v>
      </c>
    </row>
    <row r="18" spans="1:3" x14ac:dyDescent="0.35">
      <c r="A18" s="341" t="str">
        <f>General!G40</f>
        <v>h</v>
      </c>
      <c r="B18">
        <v>20</v>
      </c>
      <c r="C18" s="1" t="s">
        <v>2927</v>
      </c>
    </row>
    <row r="19" spans="1:3" x14ac:dyDescent="0.35">
      <c r="A19" s="341" t="str">
        <f>General!G41</f>
        <v>i</v>
      </c>
      <c r="B19">
        <v>7</v>
      </c>
      <c r="C19" s="1" t="s">
        <v>2927</v>
      </c>
    </row>
    <row r="20" spans="1:3" x14ac:dyDescent="0.35">
      <c r="A20" s="341" t="str">
        <f>General!G42</f>
        <v>k</v>
      </c>
      <c r="B20">
        <v>7</v>
      </c>
      <c r="C20" s="1" t="s">
        <v>2927</v>
      </c>
    </row>
    <row r="21" spans="1:3" x14ac:dyDescent="0.35">
      <c r="A21" s="341" t="str">
        <f>General!G43</f>
        <v>l</v>
      </c>
      <c r="B21">
        <v>7</v>
      </c>
      <c r="C21" s="1" t="s">
        <v>2927</v>
      </c>
    </row>
    <row r="22" spans="1:3" x14ac:dyDescent="0.35">
      <c r="A22" s="341" t="str">
        <f>General!G44</f>
        <v>lf</v>
      </c>
      <c r="B22">
        <v>7</v>
      </c>
      <c r="C22" s="1" t="s">
        <v>2927</v>
      </c>
    </row>
    <row r="23" spans="1:3" x14ac:dyDescent="0.35">
      <c r="A23" s="341" t="str">
        <f>General!G45</f>
        <v>ms</v>
      </c>
      <c r="B23" s="528">
        <f>0.65*B15+0.35*B21</f>
        <v>15.45</v>
      </c>
      <c r="C23" s="1" t="s">
        <v>2927</v>
      </c>
    </row>
    <row r="24" spans="1:3" x14ac:dyDescent="0.35">
      <c r="A24" s="341" t="str">
        <f>General!G46</f>
        <v>o</v>
      </c>
      <c r="B24">
        <v>20</v>
      </c>
      <c r="C24" s="1" t="s">
        <v>2927</v>
      </c>
    </row>
    <row r="25" spans="1:3" x14ac:dyDescent="0.35">
      <c r="A25" s="341" t="str">
        <f>General!G47</f>
        <v>od</v>
      </c>
      <c r="B25">
        <v>20</v>
      </c>
      <c r="C25" s="1" t="s">
        <v>2927</v>
      </c>
    </row>
    <row r="26" spans="1:3" x14ac:dyDescent="0.35">
      <c r="A26" s="341" t="str">
        <f>General!G48</f>
        <v>of</v>
      </c>
      <c r="B26">
        <v>20</v>
      </c>
      <c r="C26" s="1" t="s">
        <v>2927</v>
      </c>
    </row>
    <row r="27" spans="1:3" x14ac:dyDescent="0.35">
      <c r="A27" s="341" t="str">
        <f>General!G49</f>
        <v>r</v>
      </c>
      <c r="B27">
        <v>7</v>
      </c>
      <c r="C27" s="1" t="s">
        <v>2927</v>
      </c>
    </row>
    <row r="28" spans="1:3" x14ac:dyDescent="0.35">
      <c r="A28" s="341" t="str">
        <f>General!G50</f>
        <v>rd</v>
      </c>
      <c r="B28">
        <v>7</v>
      </c>
      <c r="C28" s="1" t="s">
        <v>2927</v>
      </c>
    </row>
    <row r="29" spans="1:3" x14ac:dyDescent="0.35">
      <c r="A29" s="341" t="str">
        <f>General!G51</f>
        <v>v</v>
      </c>
      <c r="B29">
        <v>7</v>
      </c>
      <c r="C29" s="1" t="s">
        <v>2927</v>
      </c>
    </row>
    <row r="30" spans="1:3" x14ac:dyDescent="0.35">
      <c r="A30" s="341" t="str">
        <f>General!G52</f>
        <v>w</v>
      </c>
      <c r="B30">
        <v>20</v>
      </c>
      <c r="C30" s="1" t="s">
        <v>2927</v>
      </c>
    </row>
    <row r="31" spans="1:3" x14ac:dyDescent="0.35">
      <c r="A31" s="341" t="str">
        <f>General!G53</f>
        <v>wd</v>
      </c>
      <c r="B31">
        <v>20</v>
      </c>
      <c r="C31" s="1" t="s">
        <v>2927</v>
      </c>
    </row>
    <row r="32" spans="1:3" x14ac:dyDescent="0.35">
      <c r="A32" s="341" t="str">
        <f>General!G54</f>
        <v>z</v>
      </c>
      <c r="B32">
        <v>7</v>
      </c>
      <c r="C32" s="1" t="s">
        <v>2927</v>
      </c>
    </row>
    <row r="33" spans="1:3" x14ac:dyDescent="0.35">
      <c r="A33" s="341" t="str">
        <f>General!G55</f>
        <v>zd</v>
      </c>
      <c r="B33">
        <v>7</v>
      </c>
      <c r="C33" s="1" t="s">
        <v>2927</v>
      </c>
    </row>
    <row r="35" spans="1:3" x14ac:dyDescent="0.3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188000</v>
      </c>
      <c r="C12" s="44">
        <v>1</v>
      </c>
      <c r="D12" s="44">
        <v>0</v>
      </c>
      <c r="E12" s="44">
        <v>0</v>
      </c>
      <c r="F12" s="44">
        <v>0</v>
      </c>
    </row>
    <row r="13" spans="1:17" x14ac:dyDescent="0.35">
      <c r="A13" t="s">
        <v>2792</v>
      </c>
      <c r="B13">
        <v>87000</v>
      </c>
      <c r="C13" s="44">
        <v>1</v>
      </c>
      <c r="D13" s="44">
        <v>0</v>
      </c>
      <c r="E13" s="44">
        <v>0</v>
      </c>
      <c r="F13" s="44">
        <v>0</v>
      </c>
    </row>
    <row r="14" spans="1:17" x14ac:dyDescent="0.35">
      <c r="A14" t="s">
        <v>2793</v>
      </c>
      <c r="B14">
        <v>297000</v>
      </c>
      <c r="C14" s="44">
        <v>0</v>
      </c>
      <c r="D14" s="44">
        <v>1</v>
      </c>
      <c r="E14" s="44">
        <v>0</v>
      </c>
      <c r="F14" s="44">
        <v>0</v>
      </c>
    </row>
    <row r="15" spans="1:17" x14ac:dyDescent="0.35">
      <c r="A15" t="s">
        <v>119</v>
      </c>
      <c r="B15">
        <v>30000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2790</v>
      </c>
      <c r="B30" s="436">
        <v>1</v>
      </c>
    </row>
    <row r="31" spans="1:6" ht="7.4" customHeight="1" x14ac:dyDescent="0.35"/>
    <row r="32" spans="1:6" x14ac:dyDescent="0.35">
      <c r="A32" t="s">
        <v>2931</v>
      </c>
      <c r="B32">
        <v>8.6999999999999993</v>
      </c>
      <c r="C32" s="1" t="s">
        <v>2930</v>
      </c>
    </row>
    <row r="33" spans="1:3" ht="7.15" customHeight="1" x14ac:dyDescent="0.35"/>
    <row r="34" spans="1:3" x14ac:dyDescent="0.35">
      <c r="A34" t="s">
        <v>3322</v>
      </c>
      <c r="B34">
        <v>50</v>
      </c>
      <c r="C34" s="1" t="s">
        <v>2933</v>
      </c>
    </row>
    <row r="35" spans="1:3" ht="7.15" customHeight="1" x14ac:dyDescent="0.35"/>
    <row r="36" spans="1:3" x14ac:dyDescent="0.35">
      <c r="A36" t="s">
        <v>3323</v>
      </c>
      <c r="B36">
        <v>60</v>
      </c>
      <c r="C36" s="1" t="s">
        <v>3325</v>
      </c>
    </row>
    <row r="37" spans="1:3" ht="7.15" customHeight="1" x14ac:dyDescent="0.35"/>
    <row r="38" spans="1:3" x14ac:dyDescent="0.35">
      <c r="A38" t="s">
        <v>54</v>
      </c>
      <c r="B38"/>
    </row>
    <row r="39" spans="1:3" x14ac:dyDescent="0.35">
      <c r="A39" s="341" t="str">
        <f>General!I37</f>
        <v>a</v>
      </c>
      <c r="B39">
        <v>1</v>
      </c>
    </row>
    <row r="40" spans="1:3" x14ac:dyDescent="0.35">
      <c r="A40" s="341" t="str">
        <f>General!I38</f>
        <v>a2</v>
      </c>
      <c r="B40">
        <v>1</v>
      </c>
    </row>
    <row r="41" spans="1:3" x14ac:dyDescent="0.35">
      <c r="A41" s="341" t="str">
        <f>General!I39</f>
        <v>b</v>
      </c>
      <c r="B41">
        <v>1</v>
      </c>
    </row>
    <row r="42" spans="1:3" x14ac:dyDescent="0.35">
      <c r="A42" s="341" t="str">
        <f>General!I40</f>
        <v>bd</v>
      </c>
      <c r="B42">
        <v>1</v>
      </c>
    </row>
    <row r="43" spans="1:3" x14ac:dyDescent="0.35">
      <c r="A43" s="341" t="str">
        <f>General!I41</f>
        <v>f</v>
      </c>
      <c r="B43">
        <v>1</v>
      </c>
    </row>
    <row r="44" spans="1:3" x14ac:dyDescent="0.35">
      <c r="A44" s="341" t="str">
        <f>General!I42</f>
        <v>h</v>
      </c>
      <c r="B44">
        <v>1</v>
      </c>
    </row>
    <row r="45" spans="1:3" x14ac:dyDescent="0.35">
      <c r="A45" s="341" t="str">
        <f>General!I43</f>
        <v>i</v>
      </c>
      <c r="B45">
        <v>1</v>
      </c>
    </row>
    <row r="46" spans="1:3" x14ac:dyDescent="0.35">
      <c r="A46" s="341" t="str">
        <f>General!I44</f>
        <v>j</v>
      </c>
      <c r="B46">
        <v>1</v>
      </c>
    </row>
    <row r="47" spans="1:3" x14ac:dyDescent="0.35">
      <c r="A47" s="341" t="str">
        <f>General!I45</f>
        <v>jc</v>
      </c>
      <c r="B47">
        <v>1</v>
      </c>
    </row>
    <row r="48" spans="1:3" x14ac:dyDescent="0.35">
      <c r="A48" s="341" t="str">
        <f>General!I46</f>
        <v>k</v>
      </c>
      <c r="B48">
        <v>1</v>
      </c>
    </row>
    <row r="49" spans="1:2" x14ac:dyDescent="0.35">
      <c r="A49" s="341" t="str">
        <f>General!I47</f>
        <v>l</v>
      </c>
      <c r="B49">
        <v>1</v>
      </c>
    </row>
    <row r="50" spans="1:2" x14ac:dyDescent="0.35">
      <c r="A50" s="341" t="str">
        <f>General!I48</f>
        <v>lf</v>
      </c>
      <c r="B50">
        <v>1</v>
      </c>
    </row>
    <row r="51" spans="1:2" x14ac:dyDescent="0.35">
      <c r="A51" s="341" t="str">
        <f>General!I49</f>
        <v>m</v>
      </c>
      <c r="B51">
        <v>1</v>
      </c>
    </row>
    <row r="52" spans="1:2" x14ac:dyDescent="0.35">
      <c r="A52" s="341" t="str">
        <f>General!I50</f>
        <v>ms</v>
      </c>
      <c r="B52">
        <v>1</v>
      </c>
    </row>
    <row r="53" spans="1:2" x14ac:dyDescent="0.35">
      <c r="A53" s="341" t="str">
        <f>General!I51</f>
        <v>o</v>
      </c>
      <c r="B53">
        <v>1</v>
      </c>
    </row>
    <row r="54" spans="1:2" x14ac:dyDescent="0.35">
      <c r="A54" s="341" t="str">
        <f>General!I52</f>
        <v>od</v>
      </c>
      <c r="B54">
        <v>1</v>
      </c>
    </row>
    <row r="55" spans="1:2" x14ac:dyDescent="0.35">
      <c r="A55" s="341" t="str">
        <f>General!I53</f>
        <v>of</v>
      </c>
      <c r="B55">
        <v>1</v>
      </c>
    </row>
    <row r="56" spans="1:2" x14ac:dyDescent="0.35">
      <c r="A56" s="341" t="str">
        <f>General!I54</f>
        <v>r</v>
      </c>
      <c r="B56">
        <v>1</v>
      </c>
    </row>
    <row r="57" spans="1:2" x14ac:dyDescent="0.35">
      <c r="A57" s="341" t="str">
        <f>General!I55</f>
        <v>rd</v>
      </c>
      <c r="B57">
        <v>1</v>
      </c>
    </row>
    <row r="58" spans="1:2" x14ac:dyDescent="0.35">
      <c r="A58" s="341" t="str">
        <f>General!I56</f>
        <v>s</v>
      </c>
      <c r="B58">
        <v>1</v>
      </c>
    </row>
    <row r="59" spans="1:2" x14ac:dyDescent="0.35">
      <c r="A59" s="341" t="str">
        <f>General!I57</f>
        <v>sp</v>
      </c>
      <c r="B59">
        <v>1</v>
      </c>
    </row>
    <row r="60" spans="1:2" x14ac:dyDescent="0.35">
      <c r="A60" s="341" t="str">
        <f>General!I58</f>
        <v>t</v>
      </c>
      <c r="B60">
        <v>1</v>
      </c>
    </row>
    <row r="61" spans="1:2" x14ac:dyDescent="0.35">
      <c r="A61" s="341" t="str">
        <f>General!I59</f>
        <v>tc</v>
      </c>
      <c r="B61">
        <v>1</v>
      </c>
    </row>
    <row r="62" spans="1:2" x14ac:dyDescent="0.35">
      <c r="A62" s="341" t="str">
        <f>General!I60</f>
        <v>u</v>
      </c>
      <c r="B62">
        <v>1</v>
      </c>
    </row>
    <row r="63" spans="1:2" x14ac:dyDescent="0.35">
      <c r="A63" s="341" t="str">
        <f>General!I61</f>
        <v>uc</v>
      </c>
      <c r="B63">
        <v>1</v>
      </c>
    </row>
    <row r="64" spans="1:2" x14ac:dyDescent="0.35">
      <c r="A64" s="341" t="str">
        <f>General!I62</f>
        <v>v</v>
      </c>
      <c r="B64">
        <v>1</v>
      </c>
    </row>
    <row r="65" spans="1:5" x14ac:dyDescent="0.35">
      <c r="A65" s="341" t="str">
        <f>General!I63</f>
        <v>w</v>
      </c>
      <c r="B65">
        <v>1</v>
      </c>
    </row>
    <row r="66" spans="1:5" x14ac:dyDescent="0.35">
      <c r="A66" s="341" t="str">
        <f>General!I64</f>
        <v>wd</v>
      </c>
      <c r="B66">
        <v>1</v>
      </c>
    </row>
    <row r="67" spans="1:5" x14ac:dyDescent="0.35">
      <c r="A67" s="341" t="str">
        <f>General!I65</f>
        <v>x</v>
      </c>
      <c r="B67">
        <v>1</v>
      </c>
    </row>
    <row r="68" spans="1:5" x14ac:dyDescent="0.35">
      <c r="A68" s="341" t="str">
        <f>General!I66</f>
        <v>xc</v>
      </c>
      <c r="B68">
        <v>1</v>
      </c>
    </row>
    <row r="69" spans="1:5" x14ac:dyDescent="0.35">
      <c r="A69" s="341" t="str">
        <f>General!I67</f>
        <v>z</v>
      </c>
      <c r="B69">
        <v>1</v>
      </c>
    </row>
    <row r="70" spans="1:5" x14ac:dyDescent="0.35">
      <c r="A70" s="341" t="str">
        <f>General!I68</f>
        <v>zd</v>
      </c>
      <c r="B70">
        <v>1</v>
      </c>
    </row>
    <row r="72" spans="1:5" x14ac:dyDescent="0.35">
      <c r="A72" s="3" t="s">
        <v>35</v>
      </c>
    </row>
    <row r="73" spans="1:5" x14ac:dyDescent="0.35">
      <c r="A73" t="s">
        <v>2791</v>
      </c>
      <c r="B73" s="436">
        <v>1</v>
      </c>
    </row>
    <row r="74" spans="1:5" ht="7.4" customHeight="1" x14ac:dyDescent="0.35"/>
    <row r="75" spans="1:5" x14ac:dyDescent="0.35">
      <c r="A75" t="s">
        <v>2916</v>
      </c>
      <c r="B75">
        <v>63</v>
      </c>
    </row>
    <row r="76" spans="1:5" ht="7.15" customHeight="1" x14ac:dyDescent="0.35"/>
    <row r="77" spans="1:5" x14ac:dyDescent="0.35">
      <c r="A77" t="s">
        <v>3326</v>
      </c>
      <c r="B77">
        <f>0.3*harvest_maint</f>
        <v>16.5</v>
      </c>
      <c r="C77" s="1" t="s">
        <v>3327</v>
      </c>
    </row>
    <row r="78" spans="1:5" ht="7.15" customHeight="1" x14ac:dyDescent="0.35"/>
    <row r="79" spans="1:5" x14ac:dyDescent="0.35">
      <c r="A79" t="s">
        <v>2926</v>
      </c>
      <c r="B79"/>
    </row>
    <row r="80" spans="1:5" x14ac:dyDescent="0.35">
      <c r="A80" s="341" t="str">
        <f>General!G37</f>
        <v>b</v>
      </c>
      <c r="B80">
        <v>20</v>
      </c>
      <c r="C80" s="1" t="s">
        <v>2927</v>
      </c>
      <c r="E80" s="1" t="s">
        <v>2928</v>
      </c>
    </row>
    <row r="81" spans="1:3" x14ac:dyDescent="0.35">
      <c r="A81" s="341" t="str">
        <f>General!G38</f>
        <v>bd</v>
      </c>
      <c r="B81">
        <v>20</v>
      </c>
      <c r="C81" s="1" t="s">
        <v>2927</v>
      </c>
    </row>
    <row r="82" spans="1:3" x14ac:dyDescent="0.35">
      <c r="A82" s="341" t="str">
        <f>General!G39</f>
        <v>f</v>
      </c>
      <c r="B82">
        <v>12</v>
      </c>
      <c r="C82" s="1" t="s">
        <v>2927</v>
      </c>
    </row>
    <row r="83" spans="1:3" x14ac:dyDescent="0.35">
      <c r="A83" s="341" t="str">
        <f>General!G40</f>
        <v>h</v>
      </c>
      <c r="B83">
        <v>20</v>
      </c>
      <c r="C83" s="1" t="s">
        <v>2927</v>
      </c>
    </row>
    <row r="84" spans="1:3" x14ac:dyDescent="0.35">
      <c r="A84" s="341" t="str">
        <f>General!G41</f>
        <v>i</v>
      </c>
      <c r="B84">
        <v>12</v>
      </c>
      <c r="C84" s="1" t="s">
        <v>2927</v>
      </c>
    </row>
    <row r="85" spans="1:3" x14ac:dyDescent="0.35">
      <c r="A85" s="341" t="str">
        <f>General!G42</f>
        <v>k</v>
      </c>
      <c r="B85">
        <v>12</v>
      </c>
      <c r="C85" s="1" t="s">
        <v>2927</v>
      </c>
    </row>
    <row r="86" spans="1:3" x14ac:dyDescent="0.35">
      <c r="A86" s="341" t="str">
        <f>General!G43</f>
        <v>l</v>
      </c>
      <c r="B86">
        <v>12</v>
      </c>
      <c r="C86" s="1" t="s">
        <v>2927</v>
      </c>
    </row>
    <row r="87" spans="1:3" x14ac:dyDescent="0.35">
      <c r="A87" s="341" t="str">
        <f>General!G44</f>
        <v>lf</v>
      </c>
      <c r="B87">
        <v>12</v>
      </c>
      <c r="C87" s="1" t="s">
        <v>2927</v>
      </c>
    </row>
    <row r="88" spans="1:3" x14ac:dyDescent="0.35">
      <c r="A88" s="341" t="str">
        <f>General!G45</f>
        <v>ms</v>
      </c>
      <c r="B88" s="528">
        <f>0.65*B80+0.35*B86</f>
        <v>17.2</v>
      </c>
      <c r="C88" s="1" t="s">
        <v>2927</v>
      </c>
    </row>
    <row r="89" spans="1:3" x14ac:dyDescent="0.35">
      <c r="A89" s="341" t="str">
        <f>General!G46</f>
        <v>o</v>
      </c>
      <c r="B89">
        <v>20</v>
      </c>
      <c r="C89" s="1" t="s">
        <v>2927</v>
      </c>
    </row>
    <row r="90" spans="1:3" x14ac:dyDescent="0.35">
      <c r="A90" s="341" t="str">
        <f>General!G47</f>
        <v>od</v>
      </c>
      <c r="B90">
        <v>20</v>
      </c>
      <c r="C90" s="1" t="s">
        <v>2927</v>
      </c>
    </row>
    <row r="91" spans="1:3" x14ac:dyDescent="0.35">
      <c r="A91" s="341" t="str">
        <f>General!G48</f>
        <v>of</v>
      </c>
      <c r="B91">
        <v>20</v>
      </c>
      <c r="C91" s="1" t="s">
        <v>2927</v>
      </c>
    </row>
    <row r="92" spans="1:3" x14ac:dyDescent="0.35">
      <c r="A92" s="341" t="str">
        <f>General!G49</f>
        <v>r</v>
      </c>
      <c r="B92">
        <v>7</v>
      </c>
      <c r="C92" s="1" t="s">
        <v>2927</v>
      </c>
    </row>
    <row r="93" spans="1:3" x14ac:dyDescent="0.35">
      <c r="A93" s="341" t="str">
        <f>General!G50</f>
        <v>rd</v>
      </c>
      <c r="B93">
        <v>7</v>
      </c>
      <c r="C93" s="1" t="s">
        <v>2927</v>
      </c>
    </row>
    <row r="94" spans="1:3" x14ac:dyDescent="0.35">
      <c r="A94" s="341" t="str">
        <f>General!G51</f>
        <v>v</v>
      </c>
      <c r="B94">
        <v>12</v>
      </c>
      <c r="C94" s="1" t="s">
        <v>2927</v>
      </c>
    </row>
    <row r="95" spans="1:3" x14ac:dyDescent="0.35">
      <c r="A95" s="341" t="str">
        <f>General!G52</f>
        <v>w</v>
      </c>
      <c r="B95">
        <v>20</v>
      </c>
      <c r="C95" s="1" t="s">
        <v>2927</v>
      </c>
    </row>
    <row r="96" spans="1:3" x14ac:dyDescent="0.35">
      <c r="A96" s="341" t="str">
        <f>General!G53</f>
        <v>wd</v>
      </c>
      <c r="B96">
        <v>20</v>
      </c>
      <c r="C96" s="1" t="s">
        <v>2927</v>
      </c>
    </row>
    <row r="97" spans="1:3" x14ac:dyDescent="0.35">
      <c r="A97" s="341" t="str">
        <f>General!G54</f>
        <v>z</v>
      </c>
      <c r="B97">
        <v>7</v>
      </c>
      <c r="C97" s="1" t="s">
        <v>2927</v>
      </c>
    </row>
    <row r="98" spans="1:3" x14ac:dyDescent="0.35">
      <c r="A98" s="341" t="str">
        <f>General!G55</f>
        <v>zd</v>
      </c>
      <c r="B98">
        <v>7</v>
      </c>
      <c r="C98" s="1" t="s">
        <v>2927</v>
      </c>
    </row>
    <row r="100" spans="1:3" x14ac:dyDescent="0.35">
      <c r="A100" t="s">
        <v>37</v>
      </c>
      <c r="B100">
        <v>55</v>
      </c>
      <c r="C100" s="1" t="s">
        <v>2915</v>
      </c>
    </row>
    <row r="101" spans="1:3" ht="9" customHeight="1" x14ac:dyDescent="0.35"/>
    <row r="102" spans="1:3" x14ac:dyDescent="0.35">
      <c r="A102" t="s">
        <v>37</v>
      </c>
      <c r="B102" t="s">
        <v>3324</v>
      </c>
    </row>
    <row r="103" spans="1:3" x14ac:dyDescent="0.35">
      <c r="A103" s="341" t="str">
        <f>General!G37</f>
        <v>b</v>
      </c>
      <c r="B103" s="326">
        <v>1</v>
      </c>
    </row>
    <row r="104" spans="1:3" x14ac:dyDescent="0.35">
      <c r="A104" s="341" t="str">
        <f>General!G38</f>
        <v>bd</v>
      </c>
      <c r="B104" s="326">
        <v>1</v>
      </c>
    </row>
    <row r="105" spans="1:3" x14ac:dyDescent="0.35">
      <c r="A105" s="341" t="str">
        <f>General!G39</f>
        <v>f</v>
      </c>
      <c r="B105" s="326">
        <f>38/33</f>
        <v>1.1515151515151516</v>
      </c>
    </row>
    <row r="106" spans="1:3" x14ac:dyDescent="0.35">
      <c r="A106" s="341" t="str">
        <f>General!G40</f>
        <v>h</v>
      </c>
      <c r="B106" s="326">
        <v>1</v>
      </c>
    </row>
    <row r="107" spans="1:3" x14ac:dyDescent="0.35">
      <c r="A107" s="341" t="str">
        <f>General!G41</f>
        <v>i</v>
      </c>
      <c r="B107" s="326">
        <f t="shared" ref="B107:B108" si="0">38/33</f>
        <v>1.1515151515151516</v>
      </c>
    </row>
    <row r="108" spans="1:3" x14ac:dyDescent="0.35">
      <c r="A108" s="341" t="str">
        <f>General!G42</f>
        <v>k</v>
      </c>
      <c r="B108" s="326">
        <f t="shared" si="0"/>
        <v>1.1515151515151516</v>
      </c>
    </row>
    <row r="109" spans="1:3" x14ac:dyDescent="0.35">
      <c r="A109" s="341" t="str">
        <f>General!G43</f>
        <v>l</v>
      </c>
      <c r="B109" s="326">
        <v>1</v>
      </c>
    </row>
    <row r="110" spans="1:3" x14ac:dyDescent="0.35">
      <c r="A110" s="341" t="str">
        <f>General!G44</f>
        <v>lf</v>
      </c>
      <c r="B110" s="326">
        <v>1</v>
      </c>
    </row>
    <row r="111" spans="1:3" x14ac:dyDescent="0.35">
      <c r="A111" s="341" t="str">
        <f>General!G45</f>
        <v>ms</v>
      </c>
      <c r="B111" s="618">
        <f>0.65*B103+0.35*B109</f>
        <v>1</v>
      </c>
    </row>
    <row r="112" spans="1:3" x14ac:dyDescent="0.35">
      <c r="A112" s="341" t="str">
        <f>General!G46</f>
        <v>o</v>
      </c>
      <c r="B112" s="326">
        <v>1</v>
      </c>
    </row>
    <row r="113" spans="1:3" x14ac:dyDescent="0.35">
      <c r="A113" s="341" t="str">
        <f>General!G47</f>
        <v>od</v>
      </c>
      <c r="B113" s="326">
        <v>1</v>
      </c>
    </row>
    <row r="114" spans="1:3" x14ac:dyDescent="0.35">
      <c r="A114" s="341" t="str">
        <f>General!G48</f>
        <v>of</v>
      </c>
      <c r="B114" s="326">
        <v>1</v>
      </c>
    </row>
    <row r="115" spans="1:3" x14ac:dyDescent="0.35">
      <c r="A115" s="341" t="str">
        <f>General!G49</f>
        <v>r</v>
      </c>
      <c r="B115" s="326">
        <f t="shared" ref="B115:B117" si="1">38/33</f>
        <v>1.1515151515151516</v>
      </c>
    </row>
    <row r="116" spans="1:3" x14ac:dyDescent="0.35">
      <c r="A116" s="341" t="str">
        <f>General!G50</f>
        <v>rd</v>
      </c>
      <c r="B116" s="326">
        <f t="shared" si="1"/>
        <v>1.1515151515151516</v>
      </c>
    </row>
    <row r="117" spans="1:3" x14ac:dyDescent="0.35">
      <c r="A117" s="341" t="str">
        <f>General!G51</f>
        <v>v</v>
      </c>
      <c r="B117" s="326">
        <f t="shared" si="1"/>
        <v>1.1515151515151516</v>
      </c>
    </row>
    <row r="118" spans="1:3" x14ac:dyDescent="0.35">
      <c r="A118" s="341" t="str">
        <f>General!G52</f>
        <v>w</v>
      </c>
      <c r="B118" s="326">
        <v>1</v>
      </c>
    </row>
    <row r="119" spans="1:3" x14ac:dyDescent="0.35">
      <c r="A119" s="341" t="str">
        <f>General!G53</f>
        <v>wd</v>
      </c>
      <c r="B119" s="326">
        <v>1</v>
      </c>
    </row>
    <row r="120" spans="1:3" x14ac:dyDescent="0.35">
      <c r="A120" s="341" t="str">
        <f>General!G54</f>
        <v>z</v>
      </c>
      <c r="B120" s="326">
        <f t="shared" ref="B120:B121" si="2">38/33</f>
        <v>1.1515151515151516</v>
      </c>
    </row>
    <row r="121" spans="1:3" x14ac:dyDescent="0.35">
      <c r="A121" s="341" t="str">
        <f>General!G55</f>
        <v>zd</v>
      </c>
      <c r="B121" s="326">
        <f t="shared" si="2"/>
        <v>1.1515151515151516</v>
      </c>
    </row>
    <row r="123" spans="1:3" x14ac:dyDescent="0.35">
      <c r="A123" s="3" t="s">
        <v>38</v>
      </c>
    </row>
    <row r="124" spans="1:3" x14ac:dyDescent="0.35">
      <c r="A124" t="s">
        <v>2932</v>
      </c>
      <c r="B124">
        <v>33</v>
      </c>
      <c r="C124" s="1" t="s">
        <v>2934</v>
      </c>
    </row>
    <row r="125" spans="1:3" ht="4.1500000000000004" customHeight="1" x14ac:dyDescent="0.35"/>
    <row r="126" spans="1:3" x14ac:dyDescent="0.35">
      <c r="A126" t="s">
        <v>39</v>
      </c>
      <c r="B126">
        <v>30</v>
      </c>
      <c r="C126" s="1" t="s">
        <v>2933</v>
      </c>
    </row>
    <row r="127" spans="1:3" ht="3" customHeight="1" x14ac:dyDescent="0.35"/>
    <row r="128" spans="1:3" x14ac:dyDescent="0.35">
      <c r="A128" t="s">
        <v>40</v>
      </c>
      <c r="B128">
        <v>35</v>
      </c>
      <c r="C128" s="1" t="s">
        <v>3325</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General!K37</f>
        <v>lime</v>
      </c>
      <c r="C134">
        <v>15</v>
      </c>
    </row>
    <row r="135" spans="1:3" x14ac:dyDescent="0.35">
      <c r="A135" s="431" t="s">
        <v>44</v>
      </c>
      <c r="B135" t="str">
        <f>General!K38</f>
        <v>early</v>
      </c>
      <c r="C135">
        <v>25</v>
      </c>
    </row>
    <row r="136" spans="1:3" x14ac:dyDescent="0.35">
      <c r="A136" s="431" t="s">
        <v>69</v>
      </c>
      <c r="B136" t="str">
        <f>General!K39</f>
        <v>at_seeding</v>
      </c>
      <c r="C136"/>
    </row>
    <row r="137" spans="1:3" x14ac:dyDescent="0.35">
      <c r="A137" s="431" t="s">
        <v>2935</v>
      </c>
      <c r="B137" t="str">
        <f>General!K40</f>
        <v>mid</v>
      </c>
      <c r="C137">
        <v>25</v>
      </c>
    </row>
    <row r="138" spans="1:3" x14ac:dyDescent="0.35">
      <c r="A138" s="431" t="s">
        <v>2569</v>
      </c>
      <c r="B138" t="str">
        <f>General!K41</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3307</v>
      </c>
      <c r="B156" s="6" t="s">
        <v>92</v>
      </c>
      <c r="C156" s="6" t="s">
        <v>93</v>
      </c>
    </row>
    <row r="157" spans="1:3" x14ac:dyDescent="0.35">
      <c r="A157" s="342" t="str">
        <f>General!G37</f>
        <v>b</v>
      </c>
      <c r="B157" s="6">
        <v>1</v>
      </c>
      <c r="C157" s="6">
        <v>1</v>
      </c>
    </row>
    <row r="158" spans="1:3" x14ac:dyDescent="0.35">
      <c r="A158" s="342" t="str">
        <f>General!G38</f>
        <v>bd</v>
      </c>
      <c r="B158" s="6">
        <v>1</v>
      </c>
      <c r="C158" s="6">
        <v>1</v>
      </c>
    </row>
    <row r="159" spans="1:3" x14ac:dyDescent="0.35">
      <c r="A159" s="342" t="str">
        <f>General!G39</f>
        <v>f</v>
      </c>
      <c r="B159" s="6">
        <v>1</v>
      </c>
      <c r="C159" s="6">
        <v>1</v>
      </c>
    </row>
    <row r="160" spans="1:3" x14ac:dyDescent="0.35">
      <c r="A160" s="342" t="str">
        <f>General!G40</f>
        <v>h</v>
      </c>
      <c r="B160" s="6">
        <v>1</v>
      </c>
      <c r="C160" s="6">
        <v>3</v>
      </c>
    </row>
    <row r="161" spans="1:3" x14ac:dyDescent="0.35">
      <c r="A161" s="342" t="str">
        <f>General!G41</f>
        <v>i</v>
      </c>
      <c r="B161" s="6">
        <v>1</v>
      </c>
      <c r="C161" s="6">
        <v>1</v>
      </c>
    </row>
    <row r="162" spans="1:3" x14ac:dyDescent="0.35">
      <c r="A162" s="342" t="str">
        <f>General!G42</f>
        <v>k</v>
      </c>
      <c r="B162" s="6">
        <v>1</v>
      </c>
      <c r="C162" s="6">
        <v>1</v>
      </c>
    </row>
    <row r="163" spans="1:3" x14ac:dyDescent="0.35">
      <c r="A163" s="342" t="str">
        <f>General!G43</f>
        <v>l</v>
      </c>
      <c r="B163" s="6">
        <v>1</v>
      </c>
      <c r="C163" s="6">
        <v>1</v>
      </c>
    </row>
    <row r="164" spans="1:3" x14ac:dyDescent="0.35">
      <c r="A164" s="342" t="str">
        <f>General!G44</f>
        <v>lf</v>
      </c>
      <c r="B164" s="6">
        <v>1</v>
      </c>
      <c r="C164" s="6">
        <v>1</v>
      </c>
    </row>
    <row r="165" spans="1:3" x14ac:dyDescent="0.35">
      <c r="A165" s="342" t="str">
        <f>General!G45</f>
        <v>ms</v>
      </c>
      <c r="B165" s="6">
        <v>1</v>
      </c>
      <c r="C165" s="6">
        <v>1</v>
      </c>
    </row>
    <row r="166" spans="1:3" x14ac:dyDescent="0.35">
      <c r="A166" s="342" t="str">
        <f>General!G46</f>
        <v>o</v>
      </c>
      <c r="B166" s="6">
        <v>1</v>
      </c>
      <c r="C166" s="6">
        <v>1</v>
      </c>
    </row>
    <row r="167" spans="1:3" x14ac:dyDescent="0.35">
      <c r="A167" s="342" t="str">
        <f>General!G47</f>
        <v>od</v>
      </c>
      <c r="B167" s="6">
        <v>1</v>
      </c>
      <c r="C167" s="6">
        <v>1</v>
      </c>
    </row>
    <row r="168" spans="1:3" x14ac:dyDescent="0.35">
      <c r="A168" s="342" t="str">
        <f>General!G48</f>
        <v>of</v>
      </c>
      <c r="B168" s="6">
        <v>1</v>
      </c>
      <c r="C168" s="6">
        <v>1</v>
      </c>
    </row>
    <row r="169" spans="1:3" x14ac:dyDescent="0.35">
      <c r="A169" s="342" t="str">
        <f>General!G49</f>
        <v>r</v>
      </c>
      <c r="B169" s="6">
        <v>1</v>
      </c>
      <c r="C169" s="6">
        <v>1</v>
      </c>
    </row>
    <row r="170" spans="1:3" x14ac:dyDescent="0.35">
      <c r="A170" s="342" t="str">
        <f>General!G50</f>
        <v>rd</v>
      </c>
      <c r="B170" s="6">
        <v>1</v>
      </c>
      <c r="C170" s="6">
        <v>1</v>
      </c>
    </row>
    <row r="171" spans="1:3" x14ac:dyDescent="0.35">
      <c r="A171" s="342" t="str">
        <f>General!G51</f>
        <v>v</v>
      </c>
      <c r="B171" s="6">
        <v>1</v>
      </c>
      <c r="C171" s="6">
        <v>1</v>
      </c>
    </row>
    <row r="172" spans="1:3" x14ac:dyDescent="0.35">
      <c r="A172" s="342" t="str">
        <f>General!G52</f>
        <v>w</v>
      </c>
      <c r="B172" s="6">
        <v>1</v>
      </c>
      <c r="C172" s="6">
        <v>1</v>
      </c>
    </row>
    <row r="173" spans="1:3" x14ac:dyDescent="0.35">
      <c r="A173" s="342" t="str">
        <f>General!G53</f>
        <v>wd</v>
      </c>
      <c r="B173" s="6">
        <v>1</v>
      </c>
      <c r="C173" s="6">
        <v>1</v>
      </c>
    </row>
    <row r="174" spans="1:3" x14ac:dyDescent="0.35">
      <c r="A174" s="342" t="str">
        <f>General!G54</f>
        <v>z</v>
      </c>
      <c r="B174" s="6">
        <v>1</v>
      </c>
      <c r="C174" s="6">
        <v>1</v>
      </c>
    </row>
    <row r="175" spans="1:3" x14ac:dyDescent="0.35">
      <c r="A175" s="342"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2165</v>
      </c>
    </row>
    <row r="11" spans="1:6" x14ac:dyDescent="0.35">
      <c r="A11" t="s">
        <v>70</v>
      </c>
      <c r="B11" t="s">
        <v>71</v>
      </c>
      <c r="C11" t="s">
        <v>120</v>
      </c>
      <c r="D11" t="s">
        <v>121</v>
      </c>
      <c r="E11" t="s">
        <v>2924</v>
      </c>
      <c r="F11" t="s">
        <v>2925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2790</v>
      </c>
      <c r="B29" s="436">
        <v>1</v>
      </c>
    </row>
    <row r="30" spans="1:6" ht="7.4" customHeight="1" x14ac:dyDescent="0.35"/>
    <row r="31" spans="1:6" ht="4.9000000000000004" customHeight="1" x14ac:dyDescent="0.35"/>
    <row r="32" spans="1:6" x14ac:dyDescent="0.35">
      <c r="A32" t="s">
        <v>2931</v>
      </c>
      <c r="B32">
        <v>4</v>
      </c>
      <c r="C32" s="1" t="s">
        <v>2930</v>
      </c>
    </row>
    <row r="33" spans="1:3" ht="7.15" customHeight="1" x14ac:dyDescent="0.35"/>
    <row r="34" spans="1:3" x14ac:dyDescent="0.35">
      <c r="A34" t="s">
        <v>3322</v>
      </c>
      <c r="B34">
        <v>40</v>
      </c>
      <c r="C34" s="1" t="s">
        <v>2933</v>
      </c>
    </row>
    <row r="35" spans="1:3" ht="7.15" customHeight="1" x14ac:dyDescent="0.35"/>
    <row r="36" spans="1:3" x14ac:dyDescent="0.35">
      <c r="A36" t="s">
        <v>3323</v>
      </c>
      <c r="B36">
        <v>35</v>
      </c>
      <c r="C36" s="1" t="s">
        <v>3325</v>
      </c>
    </row>
    <row r="37" spans="1:3" ht="7.15" customHeight="1" x14ac:dyDescent="0.35"/>
    <row r="38" spans="1:3" x14ac:dyDescent="0.35">
      <c r="A38" t="s">
        <v>54</v>
      </c>
      <c r="B38"/>
    </row>
    <row r="39" spans="1:3" x14ac:dyDescent="0.35">
      <c r="A39" s="341" t="str">
        <f>General!I37</f>
        <v>a</v>
      </c>
      <c r="B39">
        <v>1</v>
      </c>
    </row>
    <row r="40" spans="1:3" x14ac:dyDescent="0.35">
      <c r="A40" s="341" t="str">
        <f>General!I38</f>
        <v>a2</v>
      </c>
      <c r="B40">
        <v>1</v>
      </c>
    </row>
    <row r="41" spans="1:3" x14ac:dyDescent="0.35">
      <c r="A41" s="341" t="str">
        <f>General!I39</f>
        <v>b</v>
      </c>
      <c r="B41">
        <v>1</v>
      </c>
    </row>
    <row r="42" spans="1:3" x14ac:dyDescent="0.35">
      <c r="A42" s="341" t="str">
        <f>General!I40</f>
        <v>bd</v>
      </c>
      <c r="B42">
        <v>1</v>
      </c>
    </row>
    <row r="43" spans="1:3" x14ac:dyDescent="0.35">
      <c r="A43" s="341" t="str">
        <f>General!I41</f>
        <v>f</v>
      </c>
      <c r="B43">
        <v>1</v>
      </c>
    </row>
    <row r="44" spans="1:3" x14ac:dyDescent="0.35">
      <c r="A44" s="341" t="str">
        <f>General!I42</f>
        <v>h</v>
      </c>
      <c r="B44">
        <v>1</v>
      </c>
    </row>
    <row r="45" spans="1:3" x14ac:dyDescent="0.35">
      <c r="A45" s="341" t="str">
        <f>General!I43</f>
        <v>i</v>
      </c>
      <c r="B45">
        <v>1</v>
      </c>
    </row>
    <row r="46" spans="1:3" x14ac:dyDescent="0.35">
      <c r="A46" s="341" t="str">
        <f>General!I44</f>
        <v>j</v>
      </c>
      <c r="B46">
        <v>1</v>
      </c>
    </row>
    <row r="47" spans="1:3" x14ac:dyDescent="0.35">
      <c r="A47" s="341" t="str">
        <f>General!I45</f>
        <v>jc</v>
      </c>
      <c r="B47">
        <v>1</v>
      </c>
    </row>
    <row r="48" spans="1:3" x14ac:dyDescent="0.35">
      <c r="A48" s="341" t="str">
        <f>General!I46</f>
        <v>k</v>
      </c>
      <c r="B48">
        <v>1</v>
      </c>
    </row>
    <row r="49" spans="1:2" x14ac:dyDescent="0.35">
      <c r="A49" s="341" t="str">
        <f>General!I47</f>
        <v>l</v>
      </c>
      <c r="B49">
        <v>1</v>
      </c>
    </row>
    <row r="50" spans="1:2" x14ac:dyDescent="0.35">
      <c r="A50" s="341" t="str">
        <f>General!I48</f>
        <v>lf</v>
      </c>
      <c r="B50">
        <v>1</v>
      </c>
    </row>
    <row r="51" spans="1:2" x14ac:dyDescent="0.35">
      <c r="A51" s="341" t="str">
        <f>General!I49</f>
        <v>m</v>
      </c>
      <c r="B51">
        <v>1</v>
      </c>
    </row>
    <row r="52" spans="1:2" x14ac:dyDescent="0.35">
      <c r="A52" s="341" t="str">
        <f>General!I50</f>
        <v>ms</v>
      </c>
      <c r="B52">
        <v>1</v>
      </c>
    </row>
    <row r="53" spans="1:2" x14ac:dyDescent="0.35">
      <c r="A53" s="341" t="str">
        <f>General!I51</f>
        <v>o</v>
      </c>
      <c r="B53">
        <v>1</v>
      </c>
    </row>
    <row r="54" spans="1:2" x14ac:dyDescent="0.35">
      <c r="A54" s="341" t="str">
        <f>General!I52</f>
        <v>od</v>
      </c>
      <c r="B54">
        <v>1</v>
      </c>
    </row>
    <row r="55" spans="1:2" x14ac:dyDescent="0.35">
      <c r="A55" s="341" t="str">
        <f>General!I53</f>
        <v>of</v>
      </c>
      <c r="B55">
        <v>1</v>
      </c>
    </row>
    <row r="56" spans="1:2" x14ac:dyDescent="0.35">
      <c r="A56" s="341" t="str">
        <f>General!I54</f>
        <v>r</v>
      </c>
      <c r="B56">
        <v>1</v>
      </c>
    </row>
    <row r="57" spans="1:2" x14ac:dyDescent="0.35">
      <c r="A57" s="341" t="str">
        <f>General!I55</f>
        <v>rd</v>
      </c>
      <c r="B57">
        <v>1</v>
      </c>
    </row>
    <row r="58" spans="1:2" x14ac:dyDescent="0.35">
      <c r="A58" s="341" t="str">
        <f>General!I56</f>
        <v>s</v>
      </c>
      <c r="B58">
        <v>1</v>
      </c>
    </row>
    <row r="59" spans="1:2" x14ac:dyDescent="0.35">
      <c r="A59" s="341" t="str">
        <f>General!I57</f>
        <v>sp</v>
      </c>
      <c r="B59">
        <v>1</v>
      </c>
    </row>
    <row r="60" spans="1:2" x14ac:dyDescent="0.35">
      <c r="A60" s="341" t="str">
        <f>General!I58</f>
        <v>t</v>
      </c>
      <c r="B60">
        <v>1</v>
      </c>
    </row>
    <row r="61" spans="1:2" x14ac:dyDescent="0.35">
      <c r="A61" s="341" t="str">
        <f>General!I59</f>
        <v>tc</v>
      </c>
      <c r="B61">
        <v>1</v>
      </c>
    </row>
    <row r="62" spans="1:2" x14ac:dyDescent="0.35">
      <c r="A62" s="341" t="str">
        <f>General!I60</f>
        <v>u</v>
      </c>
      <c r="B62">
        <v>1</v>
      </c>
    </row>
    <row r="63" spans="1:2" x14ac:dyDescent="0.35">
      <c r="A63" s="341" t="str">
        <f>General!I61</f>
        <v>uc</v>
      </c>
      <c r="B63">
        <v>1</v>
      </c>
    </row>
    <row r="64" spans="1:2" x14ac:dyDescent="0.35">
      <c r="A64" s="341" t="str">
        <f>General!I62</f>
        <v>v</v>
      </c>
      <c r="B64">
        <v>1</v>
      </c>
    </row>
    <row r="65" spans="1:3" x14ac:dyDescent="0.35">
      <c r="A65" s="341" t="str">
        <f>General!I63</f>
        <v>w</v>
      </c>
      <c r="B65">
        <v>1</v>
      </c>
    </row>
    <row r="66" spans="1:3" x14ac:dyDescent="0.35">
      <c r="A66" s="341" t="str">
        <f>General!I64</f>
        <v>wd</v>
      </c>
      <c r="B66">
        <v>1</v>
      </c>
    </row>
    <row r="67" spans="1:3" x14ac:dyDescent="0.35">
      <c r="A67" s="341" t="str">
        <f>General!I65</f>
        <v>x</v>
      </c>
      <c r="B67">
        <v>1</v>
      </c>
    </row>
    <row r="68" spans="1:3" x14ac:dyDescent="0.35">
      <c r="A68" s="341" t="str">
        <f>General!I66</f>
        <v>xc</v>
      </c>
      <c r="B68">
        <v>1</v>
      </c>
    </row>
    <row r="69" spans="1:3" x14ac:dyDescent="0.35">
      <c r="A69" s="341" t="str">
        <f>General!I67</f>
        <v>z</v>
      </c>
      <c r="B69">
        <v>1</v>
      </c>
    </row>
    <row r="70" spans="1:3" x14ac:dyDescent="0.35">
      <c r="A70" s="341" t="str">
        <f>General!I68</f>
        <v>zd</v>
      </c>
      <c r="B70">
        <v>1</v>
      </c>
    </row>
    <row r="72" spans="1:3" x14ac:dyDescent="0.35">
      <c r="A72" s="3" t="s">
        <v>35</v>
      </c>
    </row>
    <row r="73" spans="1:3" x14ac:dyDescent="0.35">
      <c r="A73" t="s">
        <v>2791</v>
      </c>
      <c r="B73" s="436">
        <v>1</v>
      </c>
    </row>
    <row r="74" spans="1:3" ht="7.4" customHeight="1" x14ac:dyDescent="0.35"/>
    <row r="75" spans="1:3" x14ac:dyDescent="0.35">
      <c r="A75" t="s">
        <v>36</v>
      </c>
      <c r="B75">
        <v>50</v>
      </c>
    </row>
    <row r="76" spans="1:3" ht="7.15" customHeight="1" x14ac:dyDescent="0.35"/>
    <row r="77" spans="1:3" x14ac:dyDescent="0.35">
      <c r="A77" t="s">
        <v>3326</v>
      </c>
      <c r="B77">
        <f>0.3*harvest_maint</f>
        <v>12</v>
      </c>
      <c r="C77" s="1" t="s">
        <v>3327</v>
      </c>
    </row>
    <row r="78" spans="1:3" ht="7.15" customHeight="1" x14ac:dyDescent="0.35"/>
    <row r="79" spans="1:3" x14ac:dyDescent="0.35">
      <c r="A79" t="s">
        <v>2926</v>
      </c>
      <c r="B79"/>
    </row>
    <row r="80" spans="1:3" x14ac:dyDescent="0.35">
      <c r="A80" s="341" t="str">
        <f>General!G37</f>
        <v>b</v>
      </c>
      <c r="B80">
        <f>'Mach 1'!B80*0.66</f>
        <v>13.200000000000001</v>
      </c>
      <c r="C80" s="1" t="s">
        <v>2927</v>
      </c>
    </row>
    <row r="81" spans="1:3" x14ac:dyDescent="0.35">
      <c r="A81" s="341" t="str">
        <f>General!G38</f>
        <v>bd</v>
      </c>
      <c r="B81">
        <f>'Mach 1'!B81*0.66</f>
        <v>13.200000000000001</v>
      </c>
      <c r="C81" s="1" t="s">
        <v>2927</v>
      </c>
    </row>
    <row r="82" spans="1:3" x14ac:dyDescent="0.35">
      <c r="A82" s="341" t="str">
        <f>General!G39</f>
        <v>f</v>
      </c>
      <c r="B82">
        <f>'Mach 1'!B82*0.66</f>
        <v>7.92</v>
      </c>
      <c r="C82" s="1" t="s">
        <v>2927</v>
      </c>
    </row>
    <row r="83" spans="1:3" x14ac:dyDescent="0.35">
      <c r="A83" s="341" t="str">
        <f>General!G40</f>
        <v>h</v>
      </c>
      <c r="B83">
        <f>'Mach 1'!B83*0.66</f>
        <v>13.200000000000001</v>
      </c>
      <c r="C83" s="1" t="s">
        <v>2927</v>
      </c>
    </row>
    <row r="84" spans="1:3" x14ac:dyDescent="0.35">
      <c r="A84" s="341" t="str">
        <f>General!G41</f>
        <v>i</v>
      </c>
      <c r="B84">
        <f>'Mach 1'!B84*0.66</f>
        <v>7.92</v>
      </c>
      <c r="C84" s="1" t="s">
        <v>2927</v>
      </c>
    </row>
    <row r="85" spans="1:3" x14ac:dyDescent="0.35">
      <c r="A85" s="341" t="str">
        <f>General!G42</f>
        <v>k</v>
      </c>
      <c r="B85">
        <f>'Mach 1'!B85*0.66</f>
        <v>7.92</v>
      </c>
      <c r="C85" s="1" t="s">
        <v>2927</v>
      </c>
    </row>
    <row r="86" spans="1:3" x14ac:dyDescent="0.35">
      <c r="A86" s="341" t="str">
        <f>General!G43</f>
        <v>l</v>
      </c>
      <c r="B86">
        <f>'Mach 1'!B86*0.66</f>
        <v>7.92</v>
      </c>
      <c r="C86" s="1" t="s">
        <v>2927</v>
      </c>
    </row>
    <row r="87" spans="1:3" x14ac:dyDescent="0.35">
      <c r="A87" s="341" t="str">
        <f>General!G44</f>
        <v>lf</v>
      </c>
      <c r="B87">
        <f>'Mach 1'!B87*0.66</f>
        <v>7.92</v>
      </c>
      <c r="C87" s="1" t="s">
        <v>2927</v>
      </c>
    </row>
    <row r="88" spans="1:3" x14ac:dyDescent="0.35">
      <c r="A88" s="341" t="str">
        <f>General!G45</f>
        <v>ms</v>
      </c>
      <c r="B88" s="528">
        <f>0.65*B80+0.35*B86</f>
        <v>11.352000000000002</v>
      </c>
      <c r="C88" s="1" t="s">
        <v>2927</v>
      </c>
    </row>
    <row r="89" spans="1:3" x14ac:dyDescent="0.35">
      <c r="A89" s="341" t="str">
        <f>General!G46</f>
        <v>o</v>
      </c>
      <c r="B89">
        <f>'Mach 1'!B89*0.66</f>
        <v>13.200000000000001</v>
      </c>
      <c r="C89" s="1" t="s">
        <v>2927</v>
      </c>
    </row>
    <row r="90" spans="1:3" x14ac:dyDescent="0.35">
      <c r="A90" s="341" t="str">
        <f>General!G47</f>
        <v>od</v>
      </c>
      <c r="B90">
        <f>'Mach 1'!B90*0.66</f>
        <v>13.200000000000001</v>
      </c>
      <c r="C90" s="1" t="s">
        <v>2927</v>
      </c>
    </row>
    <row r="91" spans="1:3" x14ac:dyDescent="0.35">
      <c r="A91" s="341" t="str">
        <f>General!G48</f>
        <v>of</v>
      </c>
      <c r="B91">
        <f>'Mach 1'!B91*0.66</f>
        <v>13.200000000000001</v>
      </c>
      <c r="C91" s="1" t="s">
        <v>2927</v>
      </c>
    </row>
    <row r="92" spans="1:3" x14ac:dyDescent="0.35">
      <c r="A92" s="341" t="str">
        <f>General!G49</f>
        <v>r</v>
      </c>
      <c r="B92">
        <f>'Mach 1'!B92*0.66</f>
        <v>4.62</v>
      </c>
      <c r="C92" s="1" t="s">
        <v>2927</v>
      </c>
    </row>
    <row r="93" spans="1:3" x14ac:dyDescent="0.35">
      <c r="A93" s="341" t="str">
        <f>General!G50</f>
        <v>rd</v>
      </c>
      <c r="B93">
        <f>'Mach 1'!B93*0.66</f>
        <v>4.62</v>
      </c>
      <c r="C93" s="1" t="s">
        <v>2927</v>
      </c>
    </row>
    <row r="94" spans="1:3" x14ac:dyDescent="0.35">
      <c r="A94" s="341" t="str">
        <f>General!G51</f>
        <v>v</v>
      </c>
      <c r="B94">
        <f>'Mach 1'!B94*0.66</f>
        <v>7.92</v>
      </c>
      <c r="C94" s="1" t="s">
        <v>2927</v>
      </c>
    </row>
    <row r="95" spans="1:3" x14ac:dyDescent="0.35">
      <c r="A95" s="341" t="str">
        <f>General!G52</f>
        <v>w</v>
      </c>
      <c r="B95">
        <f>'Mach 1'!B95*0.66</f>
        <v>13.200000000000001</v>
      </c>
      <c r="C95" s="1" t="s">
        <v>2927</v>
      </c>
    </row>
    <row r="96" spans="1:3" x14ac:dyDescent="0.35">
      <c r="A96" s="341" t="str">
        <f>General!G53</f>
        <v>wd</v>
      </c>
      <c r="B96">
        <f>'Mach 1'!B96*0.66</f>
        <v>13.200000000000001</v>
      </c>
      <c r="C96" s="1" t="s">
        <v>2927</v>
      </c>
    </row>
    <row r="97" spans="1:3" x14ac:dyDescent="0.35">
      <c r="A97" s="341" t="str">
        <f>General!G54</f>
        <v>z</v>
      </c>
      <c r="B97">
        <f>'Mach 1'!B97*0.66</f>
        <v>4.62</v>
      </c>
      <c r="C97" s="1" t="s">
        <v>2927</v>
      </c>
    </row>
    <row r="98" spans="1:3" x14ac:dyDescent="0.35">
      <c r="A98" s="341" t="str">
        <f>General!G55</f>
        <v>zd</v>
      </c>
      <c r="B98">
        <f>'Mach 1'!B98*0.66</f>
        <v>4.62</v>
      </c>
      <c r="C98" s="1" t="s">
        <v>2927</v>
      </c>
    </row>
    <row r="100" spans="1:3" x14ac:dyDescent="0.35">
      <c r="A100" t="s">
        <v>37</v>
      </c>
      <c r="B100">
        <v>40</v>
      </c>
      <c r="C100" s="1" t="s">
        <v>2915</v>
      </c>
    </row>
    <row r="102" spans="1:3" x14ac:dyDescent="0.35">
      <c r="A102" t="s">
        <v>37</v>
      </c>
      <c r="B102" t="s">
        <v>3324</v>
      </c>
    </row>
    <row r="103" spans="1:3" x14ac:dyDescent="0.35">
      <c r="A103" s="341" t="str">
        <f>General!G37</f>
        <v>b</v>
      </c>
      <c r="B103" s="326">
        <v>1</v>
      </c>
    </row>
    <row r="104" spans="1:3" x14ac:dyDescent="0.35">
      <c r="A104" s="341" t="str">
        <f>General!G38</f>
        <v>bd</v>
      </c>
      <c r="B104" s="326">
        <v>1</v>
      </c>
    </row>
    <row r="105" spans="1:3" x14ac:dyDescent="0.35">
      <c r="A105" s="341" t="str">
        <f>General!G39</f>
        <v>f</v>
      </c>
      <c r="B105" s="326">
        <f>38/33</f>
        <v>1.1515151515151516</v>
      </c>
    </row>
    <row r="106" spans="1:3" x14ac:dyDescent="0.35">
      <c r="A106" s="341" t="str">
        <f>General!G40</f>
        <v>h</v>
      </c>
      <c r="B106" s="326">
        <v>1</v>
      </c>
    </row>
    <row r="107" spans="1:3" x14ac:dyDescent="0.35">
      <c r="A107" s="341" t="str">
        <f>General!G41</f>
        <v>i</v>
      </c>
      <c r="B107" s="326">
        <f t="shared" ref="B107:B108" si="0">38/33</f>
        <v>1.1515151515151516</v>
      </c>
    </row>
    <row r="108" spans="1:3" x14ac:dyDescent="0.35">
      <c r="A108" s="341" t="str">
        <f>General!G42</f>
        <v>k</v>
      </c>
      <c r="B108" s="326">
        <f t="shared" si="0"/>
        <v>1.1515151515151516</v>
      </c>
    </row>
    <row r="109" spans="1:3" x14ac:dyDescent="0.35">
      <c r="A109" s="341" t="str">
        <f>General!G43</f>
        <v>l</v>
      </c>
      <c r="B109" s="326">
        <v>1</v>
      </c>
    </row>
    <row r="110" spans="1:3" x14ac:dyDescent="0.35">
      <c r="A110" s="341" t="str">
        <f>General!G44</f>
        <v>lf</v>
      </c>
      <c r="B110" s="326">
        <v>1</v>
      </c>
    </row>
    <row r="111" spans="1:3" x14ac:dyDescent="0.35">
      <c r="A111" s="341" t="str">
        <f>General!G45</f>
        <v>ms</v>
      </c>
      <c r="B111" s="618">
        <f>0.65*B103+0.35*B109</f>
        <v>1</v>
      </c>
    </row>
    <row r="112" spans="1:3" x14ac:dyDescent="0.35">
      <c r="A112" s="341" t="str">
        <f>General!G46</f>
        <v>o</v>
      </c>
      <c r="B112" s="326">
        <v>1</v>
      </c>
    </row>
    <row r="113" spans="1:3" x14ac:dyDescent="0.35">
      <c r="A113" s="341" t="str">
        <f>General!G47</f>
        <v>od</v>
      </c>
      <c r="B113" s="326">
        <v>1</v>
      </c>
    </row>
    <row r="114" spans="1:3" x14ac:dyDescent="0.35">
      <c r="A114" s="341" t="str">
        <f>General!G48</f>
        <v>of</v>
      </c>
      <c r="B114" s="326">
        <v>1</v>
      </c>
    </row>
    <row r="115" spans="1:3" x14ac:dyDescent="0.35">
      <c r="A115" s="341" t="str">
        <f>General!G49</f>
        <v>r</v>
      </c>
      <c r="B115" s="326">
        <f t="shared" ref="B115:B117" si="1">38/33</f>
        <v>1.1515151515151516</v>
      </c>
    </row>
    <row r="116" spans="1:3" x14ac:dyDescent="0.35">
      <c r="A116" s="341" t="str">
        <f>General!G50</f>
        <v>rd</v>
      </c>
      <c r="B116" s="326">
        <f t="shared" si="1"/>
        <v>1.1515151515151516</v>
      </c>
    </row>
    <row r="117" spans="1:3" x14ac:dyDescent="0.35">
      <c r="A117" s="341" t="str">
        <f>General!G51</f>
        <v>v</v>
      </c>
      <c r="B117" s="326">
        <f t="shared" si="1"/>
        <v>1.1515151515151516</v>
      </c>
    </row>
    <row r="118" spans="1:3" x14ac:dyDescent="0.35">
      <c r="A118" s="341" t="str">
        <f>General!G52</f>
        <v>w</v>
      </c>
      <c r="B118" s="326">
        <v>1</v>
      </c>
    </row>
    <row r="119" spans="1:3" x14ac:dyDescent="0.35">
      <c r="A119" s="341" t="str">
        <f>General!G53</f>
        <v>wd</v>
      </c>
      <c r="B119" s="326">
        <v>1</v>
      </c>
    </row>
    <row r="120" spans="1:3" x14ac:dyDescent="0.35">
      <c r="A120" s="341" t="str">
        <f>General!G54</f>
        <v>z</v>
      </c>
      <c r="B120" s="326">
        <f t="shared" ref="B120:B121" si="2">38/33</f>
        <v>1.1515151515151516</v>
      </c>
    </row>
    <row r="121" spans="1:3" x14ac:dyDescent="0.35">
      <c r="A121" s="341" t="str">
        <f>General!G55</f>
        <v>zd</v>
      </c>
      <c r="B121" s="326">
        <f t="shared" si="2"/>
        <v>1.1515151515151516</v>
      </c>
    </row>
    <row r="123" spans="1:3" x14ac:dyDescent="0.35">
      <c r="A123" s="3" t="s">
        <v>38</v>
      </c>
    </row>
    <row r="124" spans="1:3" x14ac:dyDescent="0.35">
      <c r="A124" t="s">
        <v>2932</v>
      </c>
      <c r="B124">
        <v>23</v>
      </c>
      <c r="C124" s="1" t="s">
        <v>2934</v>
      </c>
    </row>
    <row r="125" spans="1:3" ht="4.1500000000000004" customHeight="1" x14ac:dyDescent="0.35"/>
    <row r="126" spans="1:3" x14ac:dyDescent="0.35">
      <c r="A126" t="s">
        <v>39</v>
      </c>
      <c r="B126">
        <v>20</v>
      </c>
      <c r="C126" s="1" t="s">
        <v>2933</v>
      </c>
    </row>
    <row r="127" spans="1:3" ht="3" customHeight="1" x14ac:dyDescent="0.35"/>
    <row r="128" spans="1:3" x14ac:dyDescent="0.35">
      <c r="A128" t="s">
        <v>40</v>
      </c>
      <c r="B128">
        <v>22</v>
      </c>
      <c r="C128" s="1" t="s">
        <v>3325</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General!K37</f>
        <v>lime</v>
      </c>
      <c r="C134">
        <v>15</v>
      </c>
    </row>
    <row r="135" spans="1:3" x14ac:dyDescent="0.35">
      <c r="A135" s="431" t="s">
        <v>44</v>
      </c>
      <c r="B135" t="str">
        <f>General!K38</f>
        <v>early</v>
      </c>
      <c r="C135">
        <v>20</v>
      </c>
    </row>
    <row r="136" spans="1:3" x14ac:dyDescent="0.35">
      <c r="A136" s="431" t="s">
        <v>69</v>
      </c>
      <c r="B136" t="str">
        <f>General!K39</f>
        <v>at_seeding</v>
      </c>
      <c r="C136"/>
    </row>
    <row r="137" spans="1:3" x14ac:dyDescent="0.35">
      <c r="A137" s="431" t="s">
        <v>2935</v>
      </c>
      <c r="B137" t="str">
        <f>General!K40</f>
        <v>mid</v>
      </c>
      <c r="C137">
        <v>20</v>
      </c>
    </row>
    <row r="138" spans="1:3" x14ac:dyDescent="0.35">
      <c r="A138" s="431" t="s">
        <v>2569</v>
      </c>
      <c r="B138" t="str">
        <f>General!K41</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General!G37</f>
        <v>b</v>
      </c>
      <c r="B157" s="6">
        <v>1</v>
      </c>
      <c r="C157" s="6">
        <v>1</v>
      </c>
    </row>
    <row r="158" spans="1:3" x14ac:dyDescent="0.35">
      <c r="A158" s="342" t="str">
        <f>General!G38</f>
        <v>bd</v>
      </c>
      <c r="B158" s="6">
        <v>1</v>
      </c>
      <c r="C158" s="6">
        <v>1</v>
      </c>
    </row>
    <row r="159" spans="1:3" x14ac:dyDescent="0.35">
      <c r="A159" s="342" t="str">
        <f>General!G39</f>
        <v>f</v>
      </c>
      <c r="B159" s="6">
        <v>1</v>
      </c>
      <c r="C159" s="6">
        <v>1</v>
      </c>
    </row>
    <row r="160" spans="1:3" x14ac:dyDescent="0.35">
      <c r="A160" s="342" t="str">
        <f>General!G40</f>
        <v>h</v>
      </c>
      <c r="B160" s="6">
        <v>1</v>
      </c>
      <c r="C160" s="6">
        <v>3</v>
      </c>
    </row>
    <row r="161" spans="1:3" x14ac:dyDescent="0.35">
      <c r="A161" s="342" t="str">
        <f>General!G41</f>
        <v>i</v>
      </c>
      <c r="B161" s="6">
        <v>1</v>
      </c>
      <c r="C161" s="6">
        <v>1</v>
      </c>
    </row>
    <row r="162" spans="1:3" x14ac:dyDescent="0.35">
      <c r="A162" s="342" t="str">
        <f>General!G42</f>
        <v>k</v>
      </c>
      <c r="B162" s="6">
        <v>1</v>
      </c>
      <c r="C162" s="6">
        <v>1</v>
      </c>
    </row>
    <row r="163" spans="1:3" x14ac:dyDescent="0.35">
      <c r="A163" s="342" t="str">
        <f>General!G43</f>
        <v>l</v>
      </c>
      <c r="B163" s="6">
        <v>1</v>
      </c>
      <c r="C163" s="6">
        <v>1</v>
      </c>
    </row>
    <row r="164" spans="1:3" x14ac:dyDescent="0.35">
      <c r="A164" s="342" t="str">
        <f>General!G44</f>
        <v>lf</v>
      </c>
      <c r="B164" s="6">
        <v>1</v>
      </c>
      <c r="C164" s="6">
        <v>1</v>
      </c>
    </row>
    <row r="165" spans="1:3" x14ac:dyDescent="0.35">
      <c r="A165" s="342" t="str">
        <f>General!G45</f>
        <v>ms</v>
      </c>
      <c r="B165" s="6">
        <v>1</v>
      </c>
      <c r="C165" s="6">
        <v>1</v>
      </c>
    </row>
    <row r="166" spans="1:3" x14ac:dyDescent="0.35">
      <c r="A166" s="342" t="str">
        <f>General!G46</f>
        <v>o</v>
      </c>
      <c r="B166" s="6">
        <v>1</v>
      </c>
      <c r="C166" s="6">
        <v>1</v>
      </c>
    </row>
    <row r="167" spans="1:3" x14ac:dyDescent="0.35">
      <c r="A167" s="342" t="str">
        <f>General!G47</f>
        <v>od</v>
      </c>
      <c r="B167" s="6">
        <v>1</v>
      </c>
      <c r="C167" s="6">
        <v>1</v>
      </c>
    </row>
    <row r="168" spans="1:3" x14ac:dyDescent="0.35">
      <c r="A168" s="342" t="str">
        <f>General!G48</f>
        <v>of</v>
      </c>
      <c r="B168" s="6">
        <v>1</v>
      </c>
      <c r="C168" s="6">
        <v>1</v>
      </c>
    </row>
    <row r="169" spans="1:3" x14ac:dyDescent="0.35">
      <c r="A169" s="342" t="str">
        <f>General!G49</f>
        <v>r</v>
      </c>
      <c r="B169" s="6">
        <v>1</v>
      </c>
      <c r="C169" s="6">
        <v>1</v>
      </c>
    </row>
    <row r="170" spans="1:3" x14ac:dyDescent="0.35">
      <c r="A170" s="342" t="str">
        <f>General!G50</f>
        <v>rd</v>
      </c>
      <c r="B170" s="6">
        <v>1</v>
      </c>
      <c r="C170" s="6">
        <v>1</v>
      </c>
    </row>
    <row r="171" spans="1:3" x14ac:dyDescent="0.35">
      <c r="A171" s="342" t="str">
        <f>General!G51</f>
        <v>v</v>
      </c>
      <c r="B171" s="6">
        <v>1</v>
      </c>
      <c r="C171" s="6">
        <v>1</v>
      </c>
    </row>
    <row r="172" spans="1:3" x14ac:dyDescent="0.35">
      <c r="A172" s="342" t="str">
        <f>General!G52</f>
        <v>w</v>
      </c>
      <c r="B172" s="6">
        <v>1</v>
      </c>
      <c r="C172" s="6">
        <v>1</v>
      </c>
    </row>
    <row r="173" spans="1:3" x14ac:dyDescent="0.35">
      <c r="A173" s="342" t="str">
        <f>General!G53</f>
        <v>wd</v>
      </c>
      <c r="B173" s="6">
        <v>1</v>
      </c>
      <c r="C173" s="6">
        <v>1</v>
      </c>
    </row>
    <row r="174" spans="1:3" x14ac:dyDescent="0.35">
      <c r="A174" s="342" t="str">
        <f>General!G54</f>
        <v>z</v>
      </c>
      <c r="B174" s="6">
        <v>1</v>
      </c>
      <c r="C174" s="6">
        <v>1</v>
      </c>
    </row>
    <row r="175" spans="1:3" x14ac:dyDescent="0.35">
      <c r="A175" s="342"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250000</v>
      </c>
      <c r="C12" s="44">
        <v>1</v>
      </c>
      <c r="D12" s="44">
        <v>0</v>
      </c>
      <c r="E12" s="44">
        <v>0</v>
      </c>
      <c r="F12" s="44">
        <v>0</v>
      </c>
    </row>
    <row r="13" spans="1:17" x14ac:dyDescent="0.35">
      <c r="A13" t="s">
        <v>2792</v>
      </c>
      <c r="B13">
        <v>115000</v>
      </c>
      <c r="C13" s="44">
        <v>1</v>
      </c>
      <c r="D13" s="44">
        <v>0</v>
      </c>
      <c r="E13" s="44">
        <v>0</v>
      </c>
      <c r="F13" s="44">
        <v>0</v>
      </c>
    </row>
    <row r="14" spans="1:17" x14ac:dyDescent="0.35">
      <c r="A14" t="s">
        <v>2793</v>
      </c>
      <c r="B14">
        <v>500000</v>
      </c>
      <c r="C14" s="44">
        <v>0</v>
      </c>
      <c r="D14" s="44">
        <v>1</v>
      </c>
      <c r="E14" s="44">
        <v>0</v>
      </c>
      <c r="F14" s="44">
        <v>0</v>
      </c>
    </row>
    <row r="15" spans="1:17" x14ac:dyDescent="0.35">
      <c r="A15" t="s">
        <v>119</v>
      </c>
      <c r="B15">
        <v>50000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2790</v>
      </c>
      <c r="B29" s="436">
        <v>1</v>
      </c>
    </row>
    <row r="30" spans="1:6" ht="7.4" customHeight="1" x14ac:dyDescent="0.35"/>
    <row r="31" spans="1:6" x14ac:dyDescent="0.35">
      <c r="A31" t="s">
        <v>2931</v>
      </c>
      <c r="B31">
        <v>12.5</v>
      </c>
      <c r="C31" s="1" t="s">
        <v>2930</v>
      </c>
      <c r="D31" s="1" t="s">
        <v>3053</v>
      </c>
    </row>
    <row r="32" spans="1:6" ht="7.15" customHeight="1" x14ac:dyDescent="0.35"/>
    <row r="33" spans="1:3" x14ac:dyDescent="0.35">
      <c r="A33" t="s">
        <v>3322</v>
      </c>
      <c r="B33">
        <v>60</v>
      </c>
      <c r="C33" s="1" t="s">
        <v>2933</v>
      </c>
    </row>
    <row r="34" spans="1:3" ht="7.15" customHeight="1" x14ac:dyDescent="0.35"/>
    <row r="35" spans="1:3" x14ac:dyDescent="0.35">
      <c r="A35" t="s">
        <v>3323</v>
      </c>
      <c r="B35">
        <v>78</v>
      </c>
      <c r="C35" s="1" t="s">
        <v>3325</v>
      </c>
    </row>
    <row r="36" spans="1:3" ht="7.15" customHeight="1" x14ac:dyDescent="0.35"/>
    <row r="37" spans="1:3" x14ac:dyDescent="0.35">
      <c r="A37" t="s">
        <v>54</v>
      </c>
      <c r="B37"/>
    </row>
    <row r="38" spans="1:3" x14ac:dyDescent="0.35">
      <c r="A38" s="341" t="str">
        <f>General!I37</f>
        <v>a</v>
      </c>
      <c r="B38">
        <v>1</v>
      </c>
    </row>
    <row r="39" spans="1:3" x14ac:dyDescent="0.35">
      <c r="A39" s="341" t="str">
        <f>General!I38</f>
        <v>a2</v>
      </c>
      <c r="B39">
        <v>1</v>
      </c>
    </row>
    <row r="40" spans="1:3" x14ac:dyDescent="0.35">
      <c r="A40" s="341" t="str">
        <f>General!I39</f>
        <v>b</v>
      </c>
      <c r="B40">
        <v>1</v>
      </c>
    </row>
    <row r="41" spans="1:3" x14ac:dyDescent="0.35">
      <c r="A41" s="341" t="str">
        <f>General!I40</f>
        <v>bd</v>
      </c>
      <c r="B41">
        <v>1</v>
      </c>
    </row>
    <row r="42" spans="1:3" x14ac:dyDescent="0.35">
      <c r="A42" s="341" t="str">
        <f>General!I41</f>
        <v>f</v>
      </c>
      <c r="B42">
        <v>1</v>
      </c>
    </row>
    <row r="43" spans="1:3" x14ac:dyDescent="0.35">
      <c r="A43" s="341" t="str">
        <f>General!I42</f>
        <v>h</v>
      </c>
      <c r="B43">
        <v>1</v>
      </c>
    </row>
    <row r="44" spans="1:3" x14ac:dyDescent="0.35">
      <c r="A44" s="341" t="str">
        <f>General!I43</f>
        <v>i</v>
      </c>
      <c r="B44">
        <v>1</v>
      </c>
    </row>
    <row r="45" spans="1:3" x14ac:dyDescent="0.35">
      <c r="A45" s="341" t="str">
        <f>General!I44</f>
        <v>j</v>
      </c>
      <c r="B45">
        <v>1</v>
      </c>
    </row>
    <row r="46" spans="1:3" x14ac:dyDescent="0.35">
      <c r="A46" s="341" t="str">
        <f>General!I45</f>
        <v>jc</v>
      </c>
      <c r="B46">
        <v>1</v>
      </c>
    </row>
    <row r="47" spans="1:3" x14ac:dyDescent="0.35">
      <c r="A47" s="341" t="str">
        <f>General!I46</f>
        <v>k</v>
      </c>
      <c r="B47">
        <v>1</v>
      </c>
    </row>
    <row r="48" spans="1:3" x14ac:dyDescent="0.35">
      <c r="A48" s="341" t="str">
        <f>General!I47</f>
        <v>l</v>
      </c>
      <c r="B48">
        <v>1</v>
      </c>
    </row>
    <row r="49" spans="1:2" x14ac:dyDescent="0.35">
      <c r="A49" s="341" t="str">
        <f>General!I48</f>
        <v>lf</v>
      </c>
      <c r="B49">
        <v>1</v>
      </c>
    </row>
    <row r="50" spans="1:2" x14ac:dyDescent="0.35">
      <c r="A50" s="341" t="str">
        <f>General!I49</f>
        <v>m</v>
      </c>
      <c r="B50">
        <v>1</v>
      </c>
    </row>
    <row r="51" spans="1:2" x14ac:dyDescent="0.35">
      <c r="A51" s="341" t="str">
        <f>General!I50</f>
        <v>ms</v>
      </c>
      <c r="B51">
        <v>1</v>
      </c>
    </row>
    <row r="52" spans="1:2" x14ac:dyDescent="0.35">
      <c r="A52" s="341" t="str">
        <f>General!I51</f>
        <v>o</v>
      </c>
      <c r="B52">
        <v>1</v>
      </c>
    </row>
    <row r="53" spans="1:2" x14ac:dyDescent="0.35">
      <c r="A53" s="341" t="str">
        <f>General!I52</f>
        <v>od</v>
      </c>
      <c r="B53">
        <v>1</v>
      </c>
    </row>
    <row r="54" spans="1:2" x14ac:dyDescent="0.35">
      <c r="A54" s="341" t="str">
        <f>General!I53</f>
        <v>of</v>
      </c>
      <c r="B54">
        <v>1</v>
      </c>
    </row>
    <row r="55" spans="1:2" x14ac:dyDescent="0.35">
      <c r="A55" s="341" t="str">
        <f>General!I54</f>
        <v>r</v>
      </c>
      <c r="B55">
        <v>1</v>
      </c>
    </row>
    <row r="56" spans="1:2" x14ac:dyDescent="0.35">
      <c r="A56" s="341" t="str">
        <f>General!I55</f>
        <v>rd</v>
      </c>
      <c r="B56">
        <v>1</v>
      </c>
    </row>
    <row r="57" spans="1:2" x14ac:dyDescent="0.35">
      <c r="A57" s="341" t="str">
        <f>General!I56</f>
        <v>s</v>
      </c>
      <c r="B57">
        <v>1</v>
      </c>
    </row>
    <row r="58" spans="1:2" x14ac:dyDescent="0.35">
      <c r="A58" s="341" t="str">
        <f>General!I57</f>
        <v>sp</v>
      </c>
      <c r="B58">
        <v>1</v>
      </c>
    </row>
    <row r="59" spans="1:2" x14ac:dyDescent="0.35">
      <c r="A59" s="341" t="str">
        <f>General!I58</f>
        <v>t</v>
      </c>
      <c r="B59">
        <v>1</v>
      </c>
    </row>
    <row r="60" spans="1:2" x14ac:dyDescent="0.35">
      <c r="A60" s="341" t="str">
        <f>General!I59</f>
        <v>tc</v>
      </c>
      <c r="B60">
        <v>1</v>
      </c>
    </row>
    <row r="61" spans="1:2" x14ac:dyDescent="0.35">
      <c r="A61" s="341" t="str">
        <f>General!I60</f>
        <v>u</v>
      </c>
      <c r="B61">
        <v>1</v>
      </c>
    </row>
    <row r="62" spans="1:2" x14ac:dyDescent="0.35">
      <c r="A62" s="341" t="str">
        <f>General!I61</f>
        <v>uc</v>
      </c>
      <c r="B62">
        <v>1</v>
      </c>
    </row>
    <row r="63" spans="1:2" x14ac:dyDescent="0.35">
      <c r="A63" s="341" t="str">
        <f>General!I62</f>
        <v>v</v>
      </c>
      <c r="B63">
        <v>1</v>
      </c>
    </row>
    <row r="64" spans="1:2" x14ac:dyDescent="0.35">
      <c r="A64" s="341" t="str">
        <f>General!I63</f>
        <v>w</v>
      </c>
      <c r="B64">
        <v>1</v>
      </c>
    </row>
    <row r="65" spans="1:3" x14ac:dyDescent="0.35">
      <c r="A65" s="341" t="str">
        <f>General!I64</f>
        <v>wd</v>
      </c>
      <c r="B65">
        <v>1</v>
      </c>
    </row>
    <row r="66" spans="1:3" x14ac:dyDescent="0.35">
      <c r="A66" s="341" t="str">
        <f>General!I65</f>
        <v>x</v>
      </c>
      <c r="B66">
        <v>1</v>
      </c>
    </row>
    <row r="67" spans="1:3" x14ac:dyDescent="0.35">
      <c r="A67" s="341" t="str">
        <f>General!I66</f>
        <v>xc</v>
      </c>
      <c r="B67">
        <v>1</v>
      </c>
    </row>
    <row r="68" spans="1:3" x14ac:dyDescent="0.35">
      <c r="A68" s="341" t="str">
        <f>General!I67</f>
        <v>z</v>
      </c>
      <c r="B68">
        <v>1</v>
      </c>
    </row>
    <row r="69" spans="1:3" x14ac:dyDescent="0.35">
      <c r="A69" s="341" t="str">
        <f>General!I68</f>
        <v>zd</v>
      </c>
      <c r="B69">
        <v>1</v>
      </c>
    </row>
    <row r="71" spans="1:3" x14ac:dyDescent="0.35">
      <c r="A71" s="3" t="s">
        <v>35</v>
      </c>
    </row>
    <row r="72" spans="1:3" x14ac:dyDescent="0.35">
      <c r="A72" t="s">
        <v>2791</v>
      </c>
      <c r="B72" s="436">
        <v>1</v>
      </c>
    </row>
    <row r="73" spans="1:3" ht="7.4" customHeight="1" x14ac:dyDescent="0.35"/>
    <row r="74" spans="1:3" x14ac:dyDescent="0.35">
      <c r="A74" t="s">
        <v>2916</v>
      </c>
      <c r="B74">
        <v>63</v>
      </c>
    </row>
    <row r="75" spans="1:3" ht="7.15" customHeight="1" x14ac:dyDescent="0.35"/>
    <row r="76" spans="1:3" x14ac:dyDescent="0.35">
      <c r="A76" t="s">
        <v>3326</v>
      </c>
      <c r="B76">
        <f>0.3*harvest_maint</f>
        <v>24</v>
      </c>
      <c r="C76" s="1" t="s">
        <v>3327</v>
      </c>
    </row>
    <row r="77" spans="1:3" ht="7.15" customHeight="1" x14ac:dyDescent="0.35"/>
    <row r="78" spans="1:3" x14ac:dyDescent="0.35">
      <c r="A78" t="s">
        <v>2926</v>
      </c>
      <c r="B78"/>
    </row>
    <row r="79" spans="1:3" x14ac:dyDescent="0.35">
      <c r="A79" s="341" t="str">
        <f>General!G37</f>
        <v>b</v>
      </c>
      <c r="B79">
        <v>30</v>
      </c>
      <c r="C79" s="1" t="s">
        <v>2927</v>
      </c>
    </row>
    <row r="80" spans="1:3" x14ac:dyDescent="0.35">
      <c r="A80" s="341" t="str">
        <f>General!G38</f>
        <v>bd</v>
      </c>
      <c r="B80">
        <v>30</v>
      </c>
      <c r="C80" s="1" t="s">
        <v>2927</v>
      </c>
    </row>
    <row r="81" spans="1:3" x14ac:dyDescent="0.35">
      <c r="A81" s="341" t="str">
        <f>General!G39</f>
        <v>f</v>
      </c>
      <c r="B81">
        <v>18</v>
      </c>
      <c r="C81" s="1" t="s">
        <v>2927</v>
      </c>
    </row>
    <row r="82" spans="1:3" x14ac:dyDescent="0.35">
      <c r="A82" s="341" t="str">
        <f>General!G40</f>
        <v>h</v>
      </c>
      <c r="B82">
        <v>30</v>
      </c>
      <c r="C82" s="1" t="s">
        <v>2927</v>
      </c>
    </row>
    <row r="83" spans="1:3" x14ac:dyDescent="0.35">
      <c r="A83" s="341" t="str">
        <f>General!G41</f>
        <v>i</v>
      </c>
      <c r="B83">
        <v>18</v>
      </c>
      <c r="C83" s="1" t="s">
        <v>2927</v>
      </c>
    </row>
    <row r="84" spans="1:3" x14ac:dyDescent="0.35">
      <c r="A84" s="341" t="str">
        <f>General!G42</f>
        <v>k</v>
      </c>
      <c r="B84">
        <v>18</v>
      </c>
      <c r="C84" s="1" t="s">
        <v>2927</v>
      </c>
    </row>
    <row r="85" spans="1:3" x14ac:dyDescent="0.35">
      <c r="A85" s="341" t="str">
        <f>General!G43</f>
        <v>l</v>
      </c>
      <c r="B85">
        <v>18</v>
      </c>
      <c r="C85" s="1" t="s">
        <v>2927</v>
      </c>
    </row>
    <row r="86" spans="1:3" x14ac:dyDescent="0.35">
      <c r="A86" s="341" t="str">
        <f>General!G44</f>
        <v>lf</v>
      </c>
      <c r="B86">
        <v>18</v>
      </c>
      <c r="C86" s="1" t="s">
        <v>2927</v>
      </c>
    </row>
    <row r="87" spans="1:3" x14ac:dyDescent="0.35">
      <c r="A87" s="341" t="str">
        <f>General!G45</f>
        <v>ms</v>
      </c>
      <c r="B87" s="528">
        <f>0.65*B79+0.35*B85</f>
        <v>25.8</v>
      </c>
      <c r="C87" s="1" t="s">
        <v>2927</v>
      </c>
    </row>
    <row r="88" spans="1:3" x14ac:dyDescent="0.35">
      <c r="A88" s="341" t="str">
        <f>General!G46</f>
        <v>o</v>
      </c>
      <c r="B88">
        <v>30</v>
      </c>
      <c r="C88" s="1" t="s">
        <v>2927</v>
      </c>
    </row>
    <row r="89" spans="1:3" x14ac:dyDescent="0.35">
      <c r="A89" s="341" t="str">
        <f>General!G47</f>
        <v>od</v>
      </c>
      <c r="B89">
        <v>30</v>
      </c>
      <c r="C89" s="1" t="s">
        <v>2927</v>
      </c>
    </row>
    <row r="90" spans="1:3" x14ac:dyDescent="0.35">
      <c r="A90" s="341" t="str">
        <f>General!G48</f>
        <v>of</v>
      </c>
      <c r="B90">
        <v>30</v>
      </c>
      <c r="C90" s="1" t="s">
        <v>2927</v>
      </c>
    </row>
    <row r="91" spans="1:3" x14ac:dyDescent="0.35">
      <c r="A91" s="341" t="str">
        <f>General!G49</f>
        <v>r</v>
      </c>
      <c r="B91">
        <v>12</v>
      </c>
      <c r="C91" s="1" t="s">
        <v>2927</v>
      </c>
    </row>
    <row r="92" spans="1:3" x14ac:dyDescent="0.35">
      <c r="A92" s="341" t="str">
        <f>General!G50</f>
        <v>rd</v>
      </c>
      <c r="B92">
        <v>12</v>
      </c>
      <c r="C92" s="1" t="s">
        <v>2927</v>
      </c>
    </row>
    <row r="93" spans="1:3" x14ac:dyDescent="0.35">
      <c r="A93" s="341" t="str">
        <f>General!G51</f>
        <v>v</v>
      </c>
      <c r="B93">
        <v>18</v>
      </c>
      <c r="C93" s="1" t="s">
        <v>2927</v>
      </c>
    </row>
    <row r="94" spans="1:3" x14ac:dyDescent="0.35">
      <c r="A94" s="341" t="str">
        <f>General!G52</f>
        <v>w</v>
      </c>
      <c r="B94">
        <v>30</v>
      </c>
      <c r="C94" s="1" t="s">
        <v>2927</v>
      </c>
    </row>
    <row r="95" spans="1:3" x14ac:dyDescent="0.35">
      <c r="A95" s="341" t="str">
        <f>General!G53</f>
        <v>wd</v>
      </c>
      <c r="B95">
        <v>30</v>
      </c>
      <c r="C95" s="1" t="s">
        <v>2927</v>
      </c>
    </row>
    <row r="96" spans="1:3" x14ac:dyDescent="0.35">
      <c r="A96" s="341" t="str">
        <f>General!G54</f>
        <v>z</v>
      </c>
      <c r="B96">
        <v>12</v>
      </c>
      <c r="C96" s="1" t="s">
        <v>2927</v>
      </c>
    </row>
    <row r="97" spans="1:3" x14ac:dyDescent="0.35">
      <c r="A97" s="341" t="str">
        <f>General!G55</f>
        <v>zd</v>
      </c>
      <c r="B97">
        <v>12</v>
      </c>
      <c r="C97" s="1" t="s">
        <v>2927</v>
      </c>
    </row>
    <row r="99" spans="1:3" x14ac:dyDescent="0.35">
      <c r="A99" t="s">
        <v>37</v>
      </c>
      <c r="B99">
        <v>80</v>
      </c>
      <c r="C99" s="1" t="s">
        <v>2915</v>
      </c>
    </row>
    <row r="101" spans="1:3" x14ac:dyDescent="0.35">
      <c r="A101" t="s">
        <v>37</v>
      </c>
      <c r="B101" t="s">
        <v>3324</v>
      </c>
    </row>
    <row r="102" spans="1:3" x14ac:dyDescent="0.35">
      <c r="A102" s="341" t="str">
        <f>General!G37</f>
        <v>b</v>
      </c>
      <c r="B102" s="326">
        <v>1</v>
      </c>
    </row>
    <row r="103" spans="1:3" x14ac:dyDescent="0.35">
      <c r="A103" s="341" t="str">
        <f>General!G38</f>
        <v>bd</v>
      </c>
      <c r="B103" s="326">
        <v>1</v>
      </c>
    </row>
    <row r="104" spans="1:3" x14ac:dyDescent="0.35">
      <c r="A104" s="341" t="str">
        <f>General!G39</f>
        <v>f</v>
      </c>
      <c r="B104" s="326">
        <f>38/33</f>
        <v>1.1515151515151516</v>
      </c>
    </row>
    <row r="105" spans="1:3" x14ac:dyDescent="0.35">
      <c r="A105" s="341" t="str">
        <f>General!G40</f>
        <v>h</v>
      </c>
      <c r="B105" s="326">
        <v>1</v>
      </c>
    </row>
    <row r="106" spans="1:3" x14ac:dyDescent="0.35">
      <c r="A106" s="341" t="str">
        <f>General!G41</f>
        <v>i</v>
      </c>
      <c r="B106" s="326">
        <f t="shared" ref="B106:B107" si="0">38/33</f>
        <v>1.1515151515151516</v>
      </c>
    </row>
    <row r="107" spans="1:3" x14ac:dyDescent="0.35">
      <c r="A107" s="341" t="str">
        <f>General!G42</f>
        <v>k</v>
      </c>
      <c r="B107" s="326">
        <f t="shared" si="0"/>
        <v>1.1515151515151516</v>
      </c>
    </row>
    <row r="108" spans="1:3" x14ac:dyDescent="0.35">
      <c r="A108" s="341" t="str">
        <f>General!G43</f>
        <v>l</v>
      </c>
      <c r="B108" s="326">
        <v>1</v>
      </c>
    </row>
    <row r="109" spans="1:3" x14ac:dyDescent="0.35">
      <c r="A109" s="341" t="str">
        <f>General!G44</f>
        <v>lf</v>
      </c>
      <c r="B109" s="326">
        <v>1</v>
      </c>
    </row>
    <row r="110" spans="1:3" x14ac:dyDescent="0.35">
      <c r="A110" s="341" t="str">
        <f>General!G45</f>
        <v>ms</v>
      </c>
      <c r="B110" s="618">
        <f>0.65*B102+0.35*B108</f>
        <v>1</v>
      </c>
    </row>
    <row r="111" spans="1:3" x14ac:dyDescent="0.35">
      <c r="A111" s="341" t="str">
        <f>General!G46</f>
        <v>o</v>
      </c>
      <c r="B111" s="326">
        <v>1</v>
      </c>
    </row>
    <row r="112" spans="1:3" x14ac:dyDescent="0.35">
      <c r="A112" s="341" t="str">
        <f>General!G47</f>
        <v>od</v>
      </c>
      <c r="B112" s="326">
        <v>1</v>
      </c>
    </row>
    <row r="113" spans="1:3" x14ac:dyDescent="0.35">
      <c r="A113" s="341" t="str">
        <f>General!G48</f>
        <v>of</v>
      </c>
      <c r="B113" s="326">
        <v>1</v>
      </c>
    </row>
    <row r="114" spans="1:3" x14ac:dyDescent="0.35">
      <c r="A114" s="341" t="str">
        <f>General!G49</f>
        <v>r</v>
      </c>
      <c r="B114" s="326">
        <f t="shared" ref="B114:B116" si="1">38/33</f>
        <v>1.1515151515151516</v>
      </c>
    </row>
    <row r="115" spans="1:3" x14ac:dyDescent="0.35">
      <c r="A115" s="341" t="str">
        <f>General!G50</f>
        <v>rd</v>
      </c>
      <c r="B115" s="326">
        <f t="shared" si="1"/>
        <v>1.1515151515151516</v>
      </c>
    </row>
    <row r="116" spans="1:3" x14ac:dyDescent="0.35">
      <c r="A116" s="341" t="str">
        <f>General!G51</f>
        <v>v</v>
      </c>
      <c r="B116" s="326">
        <f t="shared" si="1"/>
        <v>1.1515151515151516</v>
      </c>
    </row>
    <row r="117" spans="1:3" x14ac:dyDescent="0.35">
      <c r="A117" s="341" t="str">
        <f>General!G52</f>
        <v>w</v>
      </c>
      <c r="B117" s="326">
        <v>1</v>
      </c>
    </row>
    <row r="118" spans="1:3" x14ac:dyDescent="0.35">
      <c r="A118" s="341" t="str">
        <f>General!G53</f>
        <v>wd</v>
      </c>
      <c r="B118" s="326">
        <v>1</v>
      </c>
    </row>
    <row r="119" spans="1:3" x14ac:dyDescent="0.35">
      <c r="A119" s="341" t="str">
        <f>General!G54</f>
        <v>z</v>
      </c>
      <c r="B119" s="326">
        <f t="shared" ref="B119:B120" si="2">38/33</f>
        <v>1.1515151515151516</v>
      </c>
    </row>
    <row r="120" spans="1:3" x14ac:dyDescent="0.35">
      <c r="A120" s="341" t="str">
        <f>General!G55</f>
        <v>zd</v>
      </c>
      <c r="B120" s="326">
        <f t="shared" si="2"/>
        <v>1.1515151515151516</v>
      </c>
    </row>
    <row r="122" spans="1:3" x14ac:dyDescent="0.35">
      <c r="A122" s="3" t="s">
        <v>38</v>
      </c>
    </row>
    <row r="123" spans="1:3" x14ac:dyDescent="0.35">
      <c r="A123" t="s">
        <v>2932</v>
      </c>
      <c r="B123">
        <v>50</v>
      </c>
      <c r="C123" s="1" t="s">
        <v>2934</v>
      </c>
    </row>
    <row r="124" spans="1:3" ht="4.1500000000000004" customHeight="1" x14ac:dyDescent="0.35"/>
    <row r="125" spans="1:3" x14ac:dyDescent="0.35">
      <c r="A125" t="s">
        <v>39</v>
      </c>
      <c r="B125">
        <v>40</v>
      </c>
      <c r="C125" s="1" t="s">
        <v>2933</v>
      </c>
    </row>
    <row r="126" spans="1:3" ht="3" customHeight="1" x14ac:dyDescent="0.35"/>
    <row r="127" spans="1:3" x14ac:dyDescent="0.35">
      <c r="A127" t="s">
        <v>40</v>
      </c>
      <c r="B127">
        <v>50</v>
      </c>
      <c r="C127" s="1" t="s">
        <v>3325</v>
      </c>
    </row>
    <row r="129" spans="1:3" x14ac:dyDescent="0.35">
      <c r="A129" s="3" t="s">
        <v>41</v>
      </c>
    </row>
    <row r="130" spans="1:3" x14ac:dyDescent="0.35">
      <c r="A130" t="s">
        <v>42</v>
      </c>
      <c r="B130">
        <v>20</v>
      </c>
      <c r="C130" s="1" t="s">
        <v>116</v>
      </c>
    </row>
    <row r="132" spans="1:3" x14ac:dyDescent="0.35">
      <c r="B132" t="s">
        <v>43</v>
      </c>
      <c r="C132"/>
    </row>
    <row r="133" spans="1:3" x14ac:dyDescent="0.35">
      <c r="A133" s="431" t="s">
        <v>45</v>
      </c>
      <c r="B133" t="str">
        <f>General!K37</f>
        <v>lime</v>
      </c>
      <c r="C133">
        <v>15</v>
      </c>
    </row>
    <row r="134" spans="1:3" x14ac:dyDescent="0.35">
      <c r="A134" s="431" t="s">
        <v>44</v>
      </c>
      <c r="B134" t="str">
        <f>General!K38</f>
        <v>early</v>
      </c>
      <c r="C134">
        <v>25</v>
      </c>
    </row>
    <row r="135" spans="1:3" x14ac:dyDescent="0.35">
      <c r="A135" s="431" t="s">
        <v>69</v>
      </c>
      <c r="B135" t="str">
        <f>General!K39</f>
        <v>at_seeding</v>
      </c>
      <c r="C135"/>
    </row>
    <row r="136" spans="1:3" x14ac:dyDescent="0.35">
      <c r="A136" s="431" t="s">
        <v>2935</v>
      </c>
      <c r="B136" t="str">
        <f>General!K40</f>
        <v>mid</v>
      </c>
      <c r="C136">
        <v>25</v>
      </c>
    </row>
    <row r="137" spans="1:3" x14ac:dyDescent="0.35">
      <c r="A137" s="431" t="s">
        <v>2569</v>
      </c>
      <c r="B137" t="str">
        <f>General!K41</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General!G37</f>
        <v>b</v>
      </c>
      <c r="B156" s="6">
        <v>1</v>
      </c>
      <c r="C156" s="6">
        <v>1</v>
      </c>
    </row>
    <row r="157" spans="1:3" x14ac:dyDescent="0.35">
      <c r="A157" s="342" t="str">
        <f>General!G38</f>
        <v>bd</v>
      </c>
      <c r="B157" s="6">
        <v>1</v>
      </c>
      <c r="C157" s="6">
        <v>1</v>
      </c>
    </row>
    <row r="158" spans="1:3" x14ac:dyDescent="0.35">
      <c r="A158" s="342" t="str">
        <f>General!G39</f>
        <v>f</v>
      </c>
      <c r="B158" s="6">
        <v>1</v>
      </c>
      <c r="C158" s="6">
        <v>1</v>
      </c>
    </row>
    <row r="159" spans="1:3" x14ac:dyDescent="0.35">
      <c r="A159" s="342" t="str">
        <f>General!G40</f>
        <v>h</v>
      </c>
      <c r="B159" s="6">
        <v>1</v>
      </c>
      <c r="C159" s="6">
        <v>3</v>
      </c>
    </row>
    <row r="160" spans="1:3" x14ac:dyDescent="0.35">
      <c r="A160" s="342" t="str">
        <f>General!G41</f>
        <v>i</v>
      </c>
      <c r="B160" s="6">
        <v>1</v>
      </c>
      <c r="C160" s="6">
        <v>1</v>
      </c>
    </row>
    <row r="161" spans="1:3" x14ac:dyDescent="0.35">
      <c r="A161" s="342" t="str">
        <f>General!G42</f>
        <v>k</v>
      </c>
      <c r="B161" s="6">
        <v>1</v>
      </c>
      <c r="C161" s="6">
        <v>1</v>
      </c>
    </row>
    <row r="162" spans="1:3" x14ac:dyDescent="0.35">
      <c r="A162" s="342" t="str">
        <f>General!G43</f>
        <v>l</v>
      </c>
      <c r="B162" s="6">
        <v>1</v>
      </c>
      <c r="C162" s="6">
        <v>1</v>
      </c>
    </row>
    <row r="163" spans="1:3" x14ac:dyDescent="0.35">
      <c r="A163" s="342" t="str">
        <f>General!G44</f>
        <v>lf</v>
      </c>
      <c r="B163" s="6">
        <v>1</v>
      </c>
      <c r="C163" s="6">
        <v>1</v>
      </c>
    </row>
    <row r="164" spans="1:3" x14ac:dyDescent="0.35">
      <c r="A164" s="342" t="str">
        <f>General!G45</f>
        <v>ms</v>
      </c>
      <c r="B164" s="6">
        <v>1</v>
      </c>
      <c r="C164" s="6">
        <v>1</v>
      </c>
    </row>
    <row r="165" spans="1:3" x14ac:dyDescent="0.35">
      <c r="A165" s="342" t="str">
        <f>General!G46</f>
        <v>o</v>
      </c>
      <c r="B165" s="6">
        <v>1</v>
      </c>
      <c r="C165" s="6">
        <v>1</v>
      </c>
    </row>
    <row r="166" spans="1:3" x14ac:dyDescent="0.35">
      <c r="A166" s="342" t="str">
        <f>General!G47</f>
        <v>od</v>
      </c>
      <c r="B166" s="6">
        <v>1</v>
      </c>
      <c r="C166" s="6">
        <v>1</v>
      </c>
    </row>
    <row r="167" spans="1:3" x14ac:dyDescent="0.35">
      <c r="A167" s="342" t="str">
        <f>General!G48</f>
        <v>of</v>
      </c>
      <c r="B167" s="6">
        <v>1</v>
      </c>
      <c r="C167" s="6">
        <v>1</v>
      </c>
    </row>
    <row r="168" spans="1:3" x14ac:dyDescent="0.35">
      <c r="A168" s="342" t="str">
        <f>General!G49</f>
        <v>r</v>
      </c>
      <c r="B168" s="6">
        <v>1</v>
      </c>
      <c r="C168" s="6">
        <v>1</v>
      </c>
    </row>
    <row r="169" spans="1:3" x14ac:dyDescent="0.35">
      <c r="A169" s="342" t="str">
        <f>General!G50</f>
        <v>rd</v>
      </c>
      <c r="B169" s="6">
        <v>1</v>
      </c>
      <c r="C169" s="6">
        <v>1</v>
      </c>
    </row>
    <row r="170" spans="1:3" x14ac:dyDescent="0.35">
      <c r="A170" s="342" t="str">
        <f>General!G51</f>
        <v>v</v>
      </c>
      <c r="B170" s="6">
        <v>1</v>
      </c>
      <c r="C170" s="6">
        <v>1</v>
      </c>
    </row>
    <row r="171" spans="1:3" x14ac:dyDescent="0.35">
      <c r="A171" s="342" t="str">
        <f>General!G52</f>
        <v>w</v>
      </c>
      <c r="B171" s="6">
        <v>1</v>
      </c>
      <c r="C171" s="6">
        <v>1</v>
      </c>
    </row>
    <row r="172" spans="1:3" x14ac:dyDescent="0.35">
      <c r="A172" s="342" t="str">
        <f>General!G53</f>
        <v>wd</v>
      </c>
      <c r="B172" s="6">
        <v>1</v>
      </c>
      <c r="C172" s="6">
        <v>1</v>
      </c>
    </row>
    <row r="173" spans="1:3" x14ac:dyDescent="0.35">
      <c r="A173" s="342" t="str">
        <f>General!G54</f>
        <v>z</v>
      </c>
      <c r="B173" s="6">
        <v>1</v>
      </c>
      <c r="C173" s="6">
        <v>1</v>
      </c>
    </row>
    <row r="174" spans="1:3" x14ac:dyDescent="0.35">
      <c r="A174" s="342"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519</vt:i4>
      </vt:variant>
    </vt:vector>
  </HeadingPairs>
  <TitlesOfParts>
    <vt:vector size="533"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Emissions!i_ef_ch4_burning</vt:lpstr>
      <vt:lpstr>Emissions!i_ef_diesel_ch4</vt:lpstr>
      <vt:lpstr>Emissions!i_ef_diesel_co2</vt:lpstr>
      <vt:lpstr>Emissions!i_ef_diesel_n2o</vt:lpstr>
      <vt:lpstr>Emissions!i_ef_dolomite</vt:lpstr>
      <vt:lpstr>Emissions!i_ef_fert</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2025-06-10T06:10:35Z</dcterms:modified>
</cp:coreProperties>
</file>